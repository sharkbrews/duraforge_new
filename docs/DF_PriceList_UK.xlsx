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Ops\repo\Duraforge\docs\"/>
    </mc:Choice>
  </mc:AlternateContent>
  <xr:revisionPtr revIDLastSave="0" documentId="13_ncr:1_{1D996534-480C-4AEC-A3E7-CBFE0ECCF1C7}" xr6:coauthVersionLast="47" xr6:coauthVersionMax="47" xr10:uidLastSave="{00000000-0000-0000-0000-000000000000}"/>
  <bookViews>
    <workbookView xWindow="-98" yWindow="-98" windowWidth="28996" windowHeight="17475" xr2:uid="{00000000-000D-0000-FFFF-FFFF00000000}"/>
  </bookViews>
  <sheets>
    <sheet name="PriceList" sheetId="2" r:id="rId1"/>
    <sheet name="SKU Mapping" sheetId="3" r:id="rId2"/>
  </sheets>
  <definedNames>
    <definedName name="_xlnm._FilterDatabase" localSheetId="0" hidden="1">PriceList!$A$3:$AB$2641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13" i="3" l="1"/>
  <c r="C1513" i="3" s="1"/>
  <c r="D1513" i="3" a="1"/>
  <c r="E1513" i="3" a="1"/>
  <c r="F1513" i="3" a="1"/>
  <c r="G1513" i="3" a="1"/>
  <c r="B1514" i="3"/>
  <c r="C1514" i="3" s="1"/>
  <c r="D1514" i="3" a="1"/>
  <c r="E1514" i="3" a="1"/>
  <c r="F1514" i="3" a="1"/>
  <c r="G1514" i="3" a="1"/>
  <c r="B1515" i="3"/>
  <c r="C1515" i="3" s="1"/>
  <c r="D1515" i="3" a="1"/>
  <c r="E1515" i="3" a="1"/>
  <c r="F1515" i="3" a="1"/>
  <c r="G1515" i="3" a="1"/>
  <c r="B1516" i="3"/>
  <c r="C1516" i="3" s="1"/>
  <c r="D1516" i="3" a="1"/>
  <c r="E1516" i="3" a="1"/>
  <c r="F1516" i="3" a="1"/>
  <c r="G1516" i="3" a="1"/>
  <c r="B1517" i="3"/>
  <c r="C1517" i="3" s="1"/>
  <c r="D1517" i="3" a="1"/>
  <c r="E1517" i="3" a="1"/>
  <c r="F1517" i="3" a="1"/>
  <c r="G1517" i="3" a="1"/>
  <c r="B1518" i="3"/>
  <c r="C1518" i="3" s="1"/>
  <c r="D1518" i="3" a="1"/>
  <c r="E1518" i="3" a="1"/>
  <c r="F1518" i="3" a="1"/>
  <c r="G1518" i="3" a="1"/>
  <c r="B1519" i="3"/>
  <c r="C1519" i="3" s="1"/>
  <c r="D1519" i="3" a="1"/>
  <c r="E1519" i="3" a="1"/>
  <c r="F1519" i="3" a="1"/>
  <c r="G1519" i="3" a="1"/>
  <c r="B1520" i="3"/>
  <c r="C1520" i="3" s="1"/>
  <c r="D1520" i="3" a="1"/>
  <c r="E1520" i="3" a="1"/>
  <c r="F1520" i="3" a="1"/>
  <c r="G1520" i="3" a="1"/>
  <c r="B1521" i="3"/>
  <c r="C1521" i="3" s="1"/>
  <c r="D1521" i="3" a="1"/>
  <c r="E1521" i="3" a="1"/>
  <c r="F1521" i="3" a="1"/>
  <c r="G1521" i="3" a="1"/>
  <c r="B1522" i="3"/>
  <c r="C1522" i="3"/>
  <c r="D1522" i="3" a="1"/>
  <c r="E1522" i="3" a="1"/>
  <c r="F1522" i="3" a="1"/>
  <c r="G1522" i="3" a="1"/>
  <c r="B1523" i="3"/>
  <c r="C1523" i="3"/>
  <c r="D1523" i="3" a="1"/>
  <c r="E1523" i="3" a="1"/>
  <c r="F1523" i="3" a="1"/>
  <c r="G1523" i="3" a="1"/>
  <c r="B1524" i="3"/>
  <c r="C1524" i="3" s="1"/>
  <c r="D1524" i="3" a="1"/>
  <c r="E1524" i="3" a="1"/>
  <c r="F1524" i="3" a="1"/>
  <c r="G1524" i="3" a="1"/>
  <c r="B1525" i="3"/>
  <c r="C1525" i="3" s="1"/>
  <c r="D1525" i="3" a="1"/>
  <c r="E1525" i="3" a="1"/>
  <c r="F1525" i="3" a="1"/>
  <c r="G1525" i="3" a="1"/>
  <c r="B1526" i="3"/>
  <c r="C1526" i="3" s="1"/>
  <c r="D1526" i="3" a="1"/>
  <c r="E1526" i="3" a="1"/>
  <c r="F1526" i="3" a="1"/>
  <c r="G1526" i="3" a="1"/>
  <c r="B1527" i="3"/>
  <c r="C1527" i="3" s="1"/>
  <c r="D1527" i="3" a="1"/>
  <c r="E1527" i="3" a="1"/>
  <c r="F1527" i="3" a="1"/>
  <c r="G1527" i="3" a="1"/>
  <c r="B1528" i="3"/>
  <c r="C1528" i="3" s="1"/>
  <c r="D1528" i="3" a="1"/>
  <c r="E1528" i="3" a="1"/>
  <c r="F1528" i="3" a="1"/>
  <c r="G1528" i="3" a="1"/>
  <c r="B1529" i="3"/>
  <c r="C1529" i="3" s="1"/>
  <c r="D1529" i="3" a="1"/>
  <c r="E1529" i="3" a="1"/>
  <c r="F1529" i="3" a="1"/>
  <c r="G1529" i="3" a="1"/>
  <c r="B1530" i="3"/>
  <c r="C1530" i="3" s="1"/>
  <c r="D1530" i="3" a="1"/>
  <c r="E1530" i="3" a="1"/>
  <c r="F1530" i="3" a="1"/>
  <c r="G1530" i="3" a="1"/>
  <c r="B1531" i="3"/>
  <c r="C1531" i="3"/>
  <c r="D1531" i="3" a="1"/>
  <c r="E1531" i="3" a="1"/>
  <c r="F1531" i="3" a="1"/>
  <c r="G1531" i="3" a="1"/>
  <c r="B1532" i="3"/>
  <c r="C1532" i="3" s="1"/>
  <c r="D1532" i="3" a="1"/>
  <c r="E1532" i="3" a="1"/>
  <c r="F1532" i="3" a="1"/>
  <c r="G1532" i="3" a="1"/>
  <c r="B1533" i="3"/>
  <c r="C1533" i="3"/>
  <c r="D1533" i="3" a="1"/>
  <c r="E1533" i="3" a="1"/>
  <c r="F1533" i="3" a="1"/>
  <c r="G1533" i="3" a="1"/>
  <c r="B1534" i="3"/>
  <c r="C1534" i="3"/>
  <c r="D1534" i="3" a="1"/>
  <c r="E1534" i="3" a="1"/>
  <c r="F1534" i="3" a="1"/>
  <c r="G1534" i="3" a="1"/>
  <c r="B1535" i="3"/>
  <c r="C1535" i="3" s="1"/>
  <c r="D1535" i="3" a="1"/>
  <c r="E1535" i="3" a="1"/>
  <c r="F1535" i="3" a="1"/>
  <c r="G1535" i="3" a="1"/>
  <c r="B1536" i="3"/>
  <c r="C1536" i="3" s="1"/>
  <c r="D1536" i="3" a="1"/>
  <c r="E1536" i="3" a="1"/>
  <c r="F1536" i="3" a="1"/>
  <c r="G1536" i="3" a="1"/>
  <c r="B1537" i="3"/>
  <c r="C1537" i="3" s="1"/>
  <c r="D1537" i="3" a="1"/>
  <c r="E1537" i="3" a="1"/>
  <c r="F1537" i="3" a="1"/>
  <c r="G1537" i="3" a="1"/>
  <c r="B1538" i="3"/>
  <c r="C1538" i="3"/>
  <c r="D1538" i="3" a="1"/>
  <c r="E1538" i="3" a="1"/>
  <c r="F1538" i="3" a="1"/>
  <c r="G1538" i="3" a="1"/>
  <c r="B1539" i="3"/>
  <c r="C1539" i="3" s="1"/>
  <c r="D1539" i="3" a="1"/>
  <c r="E1539" i="3" a="1"/>
  <c r="F1539" i="3" a="1"/>
  <c r="G1539" i="3" a="1"/>
  <c r="B1540" i="3"/>
  <c r="C1540" i="3"/>
  <c r="D1540" i="3" a="1"/>
  <c r="E1540" i="3" a="1"/>
  <c r="F1540" i="3" a="1"/>
  <c r="G1540" i="3" a="1"/>
  <c r="B1541" i="3"/>
  <c r="C1541" i="3" s="1"/>
  <c r="D1541" i="3" a="1"/>
  <c r="E1541" i="3" a="1"/>
  <c r="F1541" i="3" a="1"/>
  <c r="G1541" i="3" a="1"/>
  <c r="B1542" i="3"/>
  <c r="C1542" i="3"/>
  <c r="D1542" i="3" a="1"/>
  <c r="E1542" i="3" a="1"/>
  <c r="F1542" i="3" a="1"/>
  <c r="G1542" i="3" a="1"/>
  <c r="B1543" i="3"/>
  <c r="C1543" i="3"/>
  <c r="D1543" i="3" a="1"/>
  <c r="E1543" i="3" a="1"/>
  <c r="F1543" i="3" a="1"/>
  <c r="G1543" i="3" a="1"/>
  <c r="B1544" i="3"/>
  <c r="C1544" i="3"/>
  <c r="D1544" i="3" a="1"/>
  <c r="E1544" i="3" a="1"/>
  <c r="F1544" i="3" a="1"/>
  <c r="G1544" i="3" a="1"/>
  <c r="B1263" i="3"/>
  <c r="C1263" i="3" s="1"/>
  <c r="D1263" i="3" a="1"/>
  <c r="E1263" i="3" a="1"/>
  <c r="F1263" i="3" a="1"/>
  <c r="G1263" i="3" a="1"/>
  <c r="B1264" i="3"/>
  <c r="C1264" i="3" s="1"/>
  <c r="D1264" i="3" a="1"/>
  <c r="E1264" i="3" a="1"/>
  <c r="F1264" i="3" a="1"/>
  <c r="G1264" i="3" a="1"/>
  <c r="B1265" i="3"/>
  <c r="C1265" i="3" s="1"/>
  <c r="D1265" i="3" a="1"/>
  <c r="E1265" i="3" a="1"/>
  <c r="F1265" i="3" a="1"/>
  <c r="G1265" i="3" a="1"/>
  <c r="B1266" i="3"/>
  <c r="C1266" i="3" s="1"/>
  <c r="D1266" i="3" a="1"/>
  <c r="E1266" i="3" a="1"/>
  <c r="F1266" i="3" a="1"/>
  <c r="G1266" i="3" a="1"/>
  <c r="B1267" i="3"/>
  <c r="C1267" i="3" s="1"/>
  <c r="D1267" i="3" a="1"/>
  <c r="E1267" i="3" a="1"/>
  <c r="F1267" i="3" a="1"/>
  <c r="G1267" i="3" a="1"/>
  <c r="B1268" i="3"/>
  <c r="C1268" i="3" s="1"/>
  <c r="D1268" i="3" a="1"/>
  <c r="E1268" i="3" a="1"/>
  <c r="F1268" i="3" a="1"/>
  <c r="G1268" i="3" a="1"/>
  <c r="B1269" i="3"/>
  <c r="C1269" i="3" s="1"/>
  <c r="D1269" i="3" a="1"/>
  <c r="E1269" i="3" a="1"/>
  <c r="F1269" i="3" a="1"/>
  <c r="G1269" i="3" a="1"/>
  <c r="B1270" i="3"/>
  <c r="C1270" i="3" s="1"/>
  <c r="D1270" i="3" a="1"/>
  <c r="E1270" i="3" a="1"/>
  <c r="F1270" i="3" a="1"/>
  <c r="G1270" i="3" a="1"/>
  <c r="B1271" i="3"/>
  <c r="C1271" i="3" s="1"/>
  <c r="D1271" i="3" a="1"/>
  <c r="E1271" i="3" a="1"/>
  <c r="F1271" i="3" a="1"/>
  <c r="G1271" i="3" a="1"/>
  <c r="B1272" i="3"/>
  <c r="C1272" i="3" s="1"/>
  <c r="D1272" i="3" a="1"/>
  <c r="E1272" i="3" a="1"/>
  <c r="F1272" i="3" a="1"/>
  <c r="G1272" i="3" a="1"/>
  <c r="B1273" i="3"/>
  <c r="C1273" i="3"/>
  <c r="D1273" i="3" a="1"/>
  <c r="E1273" i="3" a="1"/>
  <c r="F1273" i="3" a="1"/>
  <c r="G1273" i="3" a="1"/>
  <c r="B1274" i="3"/>
  <c r="C1274" i="3"/>
  <c r="D1274" i="3" a="1"/>
  <c r="E1274" i="3" a="1"/>
  <c r="F1274" i="3" a="1"/>
  <c r="G1274" i="3" a="1"/>
  <c r="B1275" i="3"/>
  <c r="C1275" i="3" s="1"/>
  <c r="D1275" i="3" a="1"/>
  <c r="E1275" i="3" a="1"/>
  <c r="F1275" i="3" a="1"/>
  <c r="G1275" i="3" a="1"/>
  <c r="B1276" i="3"/>
  <c r="C1276" i="3" s="1"/>
  <c r="D1276" i="3" a="1"/>
  <c r="E1276" i="3" a="1"/>
  <c r="F1276" i="3" a="1"/>
  <c r="G1276" i="3" a="1"/>
  <c r="B1277" i="3"/>
  <c r="C1277" i="3" s="1"/>
  <c r="D1277" i="3" a="1"/>
  <c r="E1277" i="3" a="1"/>
  <c r="F1277" i="3" a="1"/>
  <c r="G1277" i="3" a="1"/>
  <c r="B1278" i="3"/>
  <c r="C1278" i="3" s="1"/>
  <c r="D1278" i="3" a="1"/>
  <c r="E1278" i="3" a="1"/>
  <c r="F1278" i="3" a="1"/>
  <c r="G1278" i="3" a="1"/>
  <c r="B1279" i="3"/>
  <c r="C1279" i="3" s="1"/>
  <c r="D1279" i="3" a="1"/>
  <c r="E1279" i="3" a="1"/>
  <c r="F1279" i="3" a="1"/>
  <c r="G1279" i="3" a="1"/>
  <c r="B1280" i="3"/>
  <c r="C1280" i="3" s="1"/>
  <c r="D1280" i="3" a="1"/>
  <c r="E1280" i="3" a="1"/>
  <c r="F1280" i="3" a="1"/>
  <c r="G1280" i="3" a="1"/>
  <c r="B1281" i="3"/>
  <c r="C1281" i="3" s="1"/>
  <c r="D1281" i="3" a="1"/>
  <c r="E1281" i="3" a="1"/>
  <c r="F1281" i="3" a="1"/>
  <c r="G1281" i="3" a="1"/>
  <c r="B1282" i="3"/>
  <c r="C1282" i="3" s="1"/>
  <c r="D1282" i="3" a="1"/>
  <c r="E1282" i="3" a="1"/>
  <c r="F1282" i="3" a="1"/>
  <c r="G1282" i="3" a="1"/>
  <c r="B1283" i="3"/>
  <c r="C1283" i="3" s="1"/>
  <c r="D1283" i="3" a="1"/>
  <c r="E1283" i="3" a="1"/>
  <c r="F1283" i="3" a="1"/>
  <c r="G1283" i="3" a="1"/>
  <c r="B1284" i="3"/>
  <c r="C1284" i="3" s="1"/>
  <c r="D1284" i="3" a="1"/>
  <c r="E1284" i="3" a="1"/>
  <c r="F1284" i="3" a="1"/>
  <c r="G1284" i="3" a="1"/>
  <c r="B1285" i="3"/>
  <c r="C1285" i="3" s="1"/>
  <c r="D1285" i="3" a="1"/>
  <c r="E1285" i="3" a="1"/>
  <c r="F1285" i="3" a="1"/>
  <c r="G1285" i="3" a="1"/>
  <c r="B1286" i="3"/>
  <c r="C1286" i="3" s="1"/>
  <c r="D1286" i="3" a="1"/>
  <c r="E1286" i="3" a="1"/>
  <c r="F1286" i="3" a="1"/>
  <c r="G1286" i="3" a="1"/>
  <c r="B1287" i="3"/>
  <c r="C1287" i="3" s="1"/>
  <c r="D1287" i="3" a="1"/>
  <c r="E1287" i="3" a="1"/>
  <c r="F1287" i="3" a="1"/>
  <c r="G1287" i="3" a="1"/>
  <c r="B1288" i="3"/>
  <c r="C1288" i="3" s="1"/>
  <c r="D1288" i="3" a="1"/>
  <c r="E1288" i="3" a="1"/>
  <c r="F1288" i="3" a="1"/>
  <c r="G1288" i="3" a="1"/>
  <c r="B1289" i="3"/>
  <c r="C1289" i="3" s="1"/>
  <c r="D1289" i="3" a="1"/>
  <c r="E1289" i="3" a="1"/>
  <c r="F1289" i="3" a="1"/>
  <c r="G1289" i="3" a="1"/>
  <c r="B1290" i="3"/>
  <c r="C1290" i="3" s="1"/>
  <c r="D1290" i="3" a="1"/>
  <c r="E1290" i="3" a="1"/>
  <c r="F1290" i="3" a="1"/>
  <c r="G1290" i="3" a="1"/>
  <c r="B1291" i="3"/>
  <c r="C1291" i="3" s="1"/>
  <c r="D1291" i="3" a="1"/>
  <c r="E1291" i="3" a="1"/>
  <c r="F1291" i="3" a="1"/>
  <c r="G1291" i="3" a="1"/>
  <c r="B1292" i="3"/>
  <c r="C1292" i="3"/>
  <c r="D1292" i="3" a="1"/>
  <c r="E1292" i="3" a="1"/>
  <c r="F1292" i="3" a="1"/>
  <c r="G1292" i="3" a="1"/>
  <c r="B1293" i="3"/>
  <c r="C1293" i="3" s="1"/>
  <c r="D1293" i="3" a="1"/>
  <c r="E1293" i="3" a="1"/>
  <c r="F1293" i="3" a="1"/>
  <c r="G1293" i="3" a="1"/>
  <c r="B1294" i="3"/>
  <c r="C1294" i="3" s="1"/>
  <c r="D1294" i="3" a="1"/>
  <c r="E1294" i="3" a="1"/>
  <c r="F1294" i="3" a="1"/>
  <c r="G1294" i="3" a="1"/>
  <c r="B1295" i="3"/>
  <c r="C1295" i="3"/>
  <c r="D1295" i="3" a="1"/>
  <c r="E1295" i="3" a="1"/>
  <c r="F1295" i="3" a="1"/>
  <c r="G1295" i="3" a="1"/>
  <c r="B1296" i="3"/>
  <c r="C1296" i="3"/>
  <c r="D1296" i="3" a="1"/>
  <c r="E1296" i="3" a="1"/>
  <c r="F1296" i="3" a="1"/>
  <c r="G1296" i="3" a="1"/>
  <c r="B1297" i="3"/>
  <c r="C1297" i="3"/>
  <c r="D1297" i="3" a="1"/>
  <c r="E1297" i="3" a="1"/>
  <c r="F1297" i="3" a="1"/>
  <c r="G1297" i="3" a="1"/>
  <c r="B1298" i="3"/>
  <c r="C1298" i="3"/>
  <c r="D1298" i="3" a="1"/>
  <c r="E1298" i="3" a="1"/>
  <c r="F1298" i="3" a="1"/>
  <c r="G1298" i="3" a="1"/>
  <c r="B1299" i="3"/>
  <c r="C1299" i="3"/>
  <c r="D1299" i="3" a="1"/>
  <c r="E1299" i="3" a="1"/>
  <c r="F1299" i="3" a="1"/>
  <c r="G1299" i="3" a="1"/>
  <c r="B1300" i="3"/>
  <c r="C1300" i="3" s="1"/>
  <c r="D1300" i="3" a="1"/>
  <c r="E1300" i="3" a="1"/>
  <c r="F1300" i="3" a="1"/>
  <c r="G1300" i="3" a="1"/>
  <c r="B1301" i="3"/>
  <c r="C1301" i="3"/>
  <c r="D1301" i="3" a="1"/>
  <c r="E1301" i="3" a="1"/>
  <c r="F1301" i="3" a="1"/>
  <c r="G1301" i="3" a="1"/>
  <c r="B1302" i="3"/>
  <c r="C1302" i="3"/>
  <c r="D1302" i="3" a="1"/>
  <c r="E1302" i="3" a="1"/>
  <c r="F1302" i="3" a="1"/>
  <c r="G1302" i="3" a="1"/>
  <c r="B1303" i="3"/>
  <c r="C1303" i="3"/>
  <c r="D1303" i="3" a="1"/>
  <c r="E1303" i="3" a="1"/>
  <c r="F1303" i="3" a="1"/>
  <c r="G1303" i="3" a="1"/>
  <c r="B1304" i="3"/>
  <c r="C1304" i="3"/>
  <c r="D1304" i="3" a="1"/>
  <c r="E1304" i="3" a="1"/>
  <c r="F1304" i="3" a="1"/>
  <c r="G1304" i="3" a="1"/>
  <c r="B1305" i="3"/>
  <c r="C1305" i="3"/>
  <c r="D1305" i="3" a="1"/>
  <c r="E1305" i="3" a="1"/>
  <c r="F1305" i="3" a="1"/>
  <c r="G1305" i="3" a="1"/>
  <c r="B1306" i="3"/>
  <c r="C1306" i="3"/>
  <c r="D1306" i="3" a="1"/>
  <c r="E1306" i="3" a="1"/>
  <c r="F1306" i="3" a="1"/>
  <c r="G1306" i="3" a="1"/>
  <c r="B1307" i="3"/>
  <c r="C1307" i="3" s="1"/>
  <c r="D1307" i="3" a="1"/>
  <c r="E1307" i="3" a="1"/>
  <c r="F1307" i="3" a="1"/>
  <c r="G1307" i="3" a="1"/>
  <c r="B1308" i="3"/>
  <c r="C1308" i="3"/>
  <c r="D1308" i="3" a="1"/>
  <c r="E1308" i="3" a="1"/>
  <c r="F1308" i="3" a="1"/>
  <c r="G1308" i="3" a="1"/>
  <c r="B1309" i="3"/>
  <c r="C1309" i="3" s="1"/>
  <c r="D1309" i="3" a="1"/>
  <c r="E1309" i="3" a="1"/>
  <c r="F1309" i="3" a="1"/>
  <c r="G1309" i="3" a="1"/>
  <c r="B1310" i="3"/>
  <c r="C1310" i="3"/>
  <c r="D1310" i="3" a="1"/>
  <c r="E1310" i="3" a="1"/>
  <c r="F1310" i="3" a="1"/>
  <c r="G1310" i="3" a="1"/>
  <c r="B1311" i="3"/>
  <c r="C1311" i="3"/>
  <c r="D1311" i="3" a="1"/>
  <c r="E1311" i="3" a="1"/>
  <c r="F1311" i="3" a="1"/>
  <c r="G1311" i="3" a="1"/>
  <c r="B1312" i="3"/>
  <c r="C1312" i="3"/>
  <c r="D1312" i="3" a="1"/>
  <c r="E1312" i="3" a="1"/>
  <c r="F1312" i="3" a="1"/>
  <c r="G1312" i="3" a="1"/>
  <c r="B1313" i="3"/>
  <c r="C1313" i="3" s="1"/>
  <c r="D1313" i="3" a="1"/>
  <c r="E1313" i="3" a="1"/>
  <c r="F1313" i="3" a="1"/>
  <c r="G1313" i="3" a="1"/>
  <c r="B1314" i="3"/>
  <c r="C1314" i="3"/>
  <c r="D1314" i="3" a="1"/>
  <c r="E1314" i="3" a="1"/>
  <c r="F1314" i="3" a="1"/>
  <c r="G1314" i="3" a="1"/>
  <c r="B1315" i="3"/>
  <c r="C1315" i="3"/>
  <c r="D1315" i="3" a="1"/>
  <c r="E1315" i="3" a="1"/>
  <c r="F1315" i="3" a="1"/>
  <c r="G1315" i="3" a="1"/>
  <c r="B1316" i="3"/>
  <c r="C1316" i="3"/>
  <c r="D1316" i="3" a="1"/>
  <c r="E1316" i="3" a="1"/>
  <c r="F1316" i="3" a="1"/>
  <c r="G1316" i="3" a="1"/>
  <c r="B1317" i="3"/>
  <c r="C1317" i="3"/>
  <c r="D1317" i="3" a="1"/>
  <c r="E1317" i="3" a="1"/>
  <c r="F1317" i="3" a="1"/>
  <c r="G1317" i="3" a="1"/>
  <c r="B1318" i="3"/>
  <c r="C1318" i="3"/>
  <c r="D1318" i="3" a="1"/>
  <c r="E1318" i="3" a="1"/>
  <c r="F1318" i="3" a="1"/>
  <c r="G1318" i="3" a="1"/>
  <c r="B1319" i="3"/>
  <c r="C1319" i="3"/>
  <c r="D1319" i="3" a="1"/>
  <c r="E1319" i="3" a="1"/>
  <c r="F1319" i="3" a="1"/>
  <c r="G1319" i="3" a="1"/>
  <c r="B1320" i="3"/>
  <c r="C1320" i="3" s="1"/>
  <c r="D1320" i="3" a="1"/>
  <c r="E1320" i="3" a="1"/>
  <c r="F1320" i="3" a="1"/>
  <c r="G1320" i="3" a="1"/>
  <c r="B1321" i="3"/>
  <c r="C1321" i="3"/>
  <c r="D1321" i="3" a="1"/>
  <c r="E1321" i="3" a="1"/>
  <c r="F1321" i="3" a="1"/>
  <c r="G1321" i="3" a="1"/>
  <c r="B1322" i="3"/>
  <c r="C1322" i="3" s="1"/>
  <c r="D1322" i="3" a="1"/>
  <c r="E1322" i="3" a="1"/>
  <c r="F1322" i="3" a="1"/>
  <c r="G1322" i="3" a="1"/>
  <c r="B1323" i="3"/>
  <c r="C1323" i="3"/>
  <c r="D1323" i="3" a="1"/>
  <c r="E1323" i="3" a="1"/>
  <c r="F1323" i="3" a="1"/>
  <c r="G1323" i="3" a="1"/>
  <c r="B1324" i="3"/>
  <c r="C1324" i="3" s="1"/>
  <c r="D1324" i="3" a="1"/>
  <c r="E1324" i="3" a="1"/>
  <c r="F1324" i="3" a="1"/>
  <c r="G1324" i="3" a="1"/>
  <c r="B1325" i="3"/>
  <c r="C1325" i="3"/>
  <c r="D1325" i="3" a="1"/>
  <c r="E1325" i="3" a="1"/>
  <c r="F1325" i="3" a="1"/>
  <c r="G1325" i="3" a="1"/>
  <c r="B1326" i="3"/>
  <c r="C1326" i="3"/>
  <c r="D1326" i="3" a="1"/>
  <c r="E1326" i="3" a="1"/>
  <c r="F1326" i="3" a="1"/>
  <c r="G1326" i="3" a="1"/>
  <c r="B1327" i="3"/>
  <c r="C1327" i="3" s="1"/>
  <c r="D1327" i="3" a="1"/>
  <c r="E1327" i="3" a="1"/>
  <c r="F1327" i="3" a="1"/>
  <c r="G1327" i="3" a="1"/>
  <c r="B1328" i="3"/>
  <c r="C1328" i="3"/>
  <c r="D1328" i="3" a="1"/>
  <c r="E1328" i="3" a="1"/>
  <c r="F1328" i="3" a="1"/>
  <c r="G1328" i="3" a="1"/>
  <c r="B1329" i="3"/>
  <c r="C1329" i="3" s="1"/>
  <c r="D1329" i="3" a="1"/>
  <c r="E1329" i="3" a="1"/>
  <c r="F1329" i="3" a="1"/>
  <c r="G1329" i="3" a="1"/>
  <c r="B1330" i="3"/>
  <c r="C1330" i="3"/>
  <c r="D1330" i="3" a="1"/>
  <c r="E1330" i="3" a="1"/>
  <c r="F1330" i="3" a="1"/>
  <c r="G1330" i="3" a="1"/>
  <c r="B1331" i="3"/>
  <c r="C1331" i="3"/>
  <c r="D1331" i="3" a="1"/>
  <c r="E1331" i="3" a="1"/>
  <c r="F1331" i="3" a="1"/>
  <c r="G1331" i="3" a="1"/>
  <c r="B1332" i="3"/>
  <c r="C1332" i="3" s="1"/>
  <c r="D1332" i="3" a="1"/>
  <c r="E1332" i="3" a="1"/>
  <c r="F1332" i="3" a="1"/>
  <c r="G1332" i="3" a="1"/>
  <c r="B1333" i="3"/>
  <c r="C1333" i="3" s="1"/>
  <c r="D1333" i="3" a="1"/>
  <c r="E1333" i="3" a="1"/>
  <c r="F1333" i="3" a="1"/>
  <c r="G1333" i="3" a="1"/>
  <c r="B1334" i="3"/>
  <c r="C1334" i="3"/>
  <c r="D1334" i="3" a="1"/>
  <c r="E1334" i="3" a="1"/>
  <c r="F1334" i="3" a="1"/>
  <c r="G1334" i="3" a="1"/>
  <c r="B1335" i="3"/>
  <c r="C1335" i="3" s="1"/>
  <c r="D1335" i="3" a="1"/>
  <c r="E1335" i="3" a="1"/>
  <c r="F1335" i="3" a="1"/>
  <c r="G1335" i="3" a="1"/>
  <c r="B1336" i="3"/>
  <c r="C1336" i="3"/>
  <c r="D1336" i="3" a="1"/>
  <c r="E1336" i="3" a="1"/>
  <c r="F1336" i="3" a="1"/>
  <c r="G1336" i="3" a="1"/>
  <c r="B1337" i="3"/>
  <c r="C1337" i="3"/>
  <c r="D1337" i="3" a="1"/>
  <c r="E1337" i="3" a="1"/>
  <c r="F1337" i="3" a="1"/>
  <c r="G1337" i="3" a="1"/>
  <c r="B1338" i="3"/>
  <c r="C1338" i="3"/>
  <c r="D1338" i="3" a="1"/>
  <c r="E1338" i="3" a="1"/>
  <c r="F1338" i="3" a="1"/>
  <c r="G1338" i="3" a="1"/>
  <c r="B1339" i="3"/>
  <c r="C1339" i="3" s="1"/>
  <c r="D1339" i="3" a="1"/>
  <c r="E1339" i="3" a="1"/>
  <c r="F1339" i="3" a="1"/>
  <c r="G1339" i="3" a="1"/>
  <c r="B1340" i="3"/>
  <c r="C1340" i="3"/>
  <c r="D1340" i="3" a="1"/>
  <c r="E1340" i="3" a="1"/>
  <c r="F1340" i="3" a="1"/>
  <c r="G1340" i="3" a="1"/>
  <c r="B1341" i="3"/>
  <c r="C1341" i="3" s="1"/>
  <c r="D1341" i="3" a="1"/>
  <c r="E1341" i="3" a="1"/>
  <c r="F1341" i="3" a="1"/>
  <c r="G1341" i="3" a="1"/>
  <c r="B1342" i="3"/>
  <c r="C1342" i="3"/>
  <c r="D1342" i="3" a="1"/>
  <c r="E1342" i="3" a="1"/>
  <c r="F1342" i="3" a="1"/>
  <c r="G1342" i="3" a="1"/>
  <c r="B1343" i="3"/>
  <c r="C1343" i="3" s="1"/>
  <c r="D1343" i="3" a="1"/>
  <c r="E1343" i="3" a="1"/>
  <c r="F1343" i="3" a="1"/>
  <c r="G1343" i="3" a="1"/>
  <c r="B1344" i="3"/>
  <c r="C1344" i="3" s="1"/>
  <c r="D1344" i="3" a="1"/>
  <c r="E1344" i="3" a="1"/>
  <c r="F1344" i="3" a="1"/>
  <c r="G1344" i="3" a="1"/>
  <c r="B1345" i="3"/>
  <c r="C1345" i="3"/>
  <c r="D1345" i="3" a="1"/>
  <c r="E1345" i="3" a="1"/>
  <c r="F1345" i="3" a="1"/>
  <c r="G1345" i="3" a="1"/>
  <c r="B1346" i="3"/>
  <c r="C1346" i="3"/>
  <c r="D1346" i="3" a="1"/>
  <c r="E1346" i="3" a="1"/>
  <c r="F1346" i="3" a="1"/>
  <c r="G1346" i="3" a="1"/>
  <c r="B1347" i="3"/>
  <c r="C1347" i="3"/>
  <c r="D1347" i="3" a="1"/>
  <c r="E1347" i="3" a="1"/>
  <c r="F1347" i="3" a="1"/>
  <c r="G1347" i="3" a="1"/>
  <c r="B1348" i="3"/>
  <c r="C1348" i="3"/>
  <c r="D1348" i="3" a="1"/>
  <c r="E1348" i="3" a="1"/>
  <c r="F1348" i="3" a="1"/>
  <c r="G1348" i="3" a="1"/>
  <c r="B1349" i="3"/>
  <c r="C1349" i="3"/>
  <c r="D1349" i="3" a="1"/>
  <c r="E1349" i="3" a="1"/>
  <c r="F1349" i="3" a="1"/>
  <c r="G1349" i="3" a="1"/>
  <c r="B1350" i="3"/>
  <c r="C1350" i="3"/>
  <c r="D1350" i="3" a="1"/>
  <c r="E1350" i="3" a="1"/>
  <c r="F1350" i="3" a="1"/>
  <c r="G1350" i="3" a="1"/>
  <c r="B1351" i="3"/>
  <c r="C1351" i="3"/>
  <c r="D1351" i="3" a="1"/>
  <c r="E1351" i="3" a="1"/>
  <c r="F1351" i="3" a="1"/>
  <c r="G1351" i="3" a="1"/>
  <c r="B1352" i="3"/>
  <c r="C1352" i="3" s="1"/>
  <c r="D1352" i="3" a="1"/>
  <c r="E1352" i="3" a="1"/>
  <c r="F1352" i="3" a="1"/>
  <c r="G1352" i="3" a="1"/>
  <c r="B1353" i="3"/>
  <c r="C1353" i="3"/>
  <c r="D1353" i="3" a="1"/>
  <c r="E1353" i="3" a="1"/>
  <c r="F1353" i="3" a="1"/>
  <c r="G1353" i="3" a="1"/>
  <c r="B1354" i="3"/>
  <c r="C1354" i="3" s="1"/>
  <c r="D1354" i="3" a="1"/>
  <c r="E1354" i="3" a="1"/>
  <c r="F1354" i="3" a="1"/>
  <c r="G1354" i="3" a="1"/>
  <c r="B1355" i="3"/>
  <c r="C1355" i="3"/>
  <c r="D1355" i="3" a="1"/>
  <c r="E1355" i="3" a="1"/>
  <c r="F1355" i="3" a="1"/>
  <c r="G1355" i="3" a="1"/>
  <c r="B1356" i="3"/>
  <c r="C1356" i="3"/>
  <c r="D1356" i="3" a="1"/>
  <c r="E1356" i="3" a="1"/>
  <c r="F1356" i="3" a="1"/>
  <c r="G1356" i="3" a="1"/>
  <c r="B1357" i="3"/>
  <c r="C1357" i="3"/>
  <c r="D1357" i="3" a="1"/>
  <c r="E1357" i="3" a="1"/>
  <c r="F1357" i="3" a="1"/>
  <c r="G1357" i="3" a="1"/>
  <c r="B1358" i="3"/>
  <c r="C1358" i="3"/>
  <c r="D1358" i="3" a="1"/>
  <c r="E1358" i="3" a="1"/>
  <c r="F1358" i="3" a="1"/>
  <c r="G1358" i="3" a="1"/>
  <c r="B1359" i="3"/>
  <c r="C1359" i="3"/>
  <c r="D1359" i="3" a="1"/>
  <c r="E1359" i="3" a="1"/>
  <c r="F1359" i="3" a="1"/>
  <c r="G1359" i="3" a="1"/>
  <c r="B1360" i="3"/>
  <c r="C1360" i="3"/>
  <c r="D1360" i="3" a="1"/>
  <c r="E1360" i="3" a="1"/>
  <c r="F1360" i="3" a="1"/>
  <c r="G1360" i="3" a="1"/>
  <c r="B1361" i="3"/>
  <c r="C1361" i="3"/>
  <c r="D1361" i="3" a="1"/>
  <c r="E1361" i="3" a="1"/>
  <c r="F1361" i="3" a="1"/>
  <c r="G1361" i="3" a="1"/>
  <c r="B1362" i="3"/>
  <c r="C1362" i="3"/>
  <c r="D1362" i="3" a="1"/>
  <c r="E1362" i="3" a="1"/>
  <c r="F1362" i="3" a="1"/>
  <c r="G1362" i="3" a="1"/>
  <c r="B1363" i="3"/>
  <c r="C1363" i="3"/>
  <c r="D1363" i="3" a="1"/>
  <c r="E1363" i="3" a="1"/>
  <c r="F1363" i="3" a="1"/>
  <c r="G1363" i="3" a="1"/>
  <c r="B1364" i="3"/>
  <c r="C1364" i="3"/>
  <c r="D1364" i="3" a="1"/>
  <c r="E1364" i="3" a="1"/>
  <c r="F1364" i="3" a="1"/>
  <c r="G1364" i="3" a="1"/>
  <c r="B1365" i="3"/>
  <c r="C1365" i="3"/>
  <c r="D1365" i="3" a="1"/>
  <c r="E1365" i="3" a="1"/>
  <c r="F1365" i="3" a="1"/>
  <c r="G1365" i="3" a="1"/>
  <c r="B1366" i="3"/>
  <c r="C1366" i="3"/>
  <c r="D1366" i="3" a="1"/>
  <c r="E1366" i="3" a="1"/>
  <c r="F1366" i="3" a="1"/>
  <c r="G1366" i="3" a="1"/>
  <c r="B1367" i="3"/>
  <c r="C1367" i="3"/>
  <c r="D1367" i="3" a="1"/>
  <c r="E1367" i="3" a="1"/>
  <c r="F1367" i="3" a="1"/>
  <c r="G1367" i="3" a="1"/>
  <c r="B1368" i="3"/>
  <c r="C1368" i="3" s="1"/>
  <c r="D1368" i="3" a="1"/>
  <c r="E1368" i="3" a="1"/>
  <c r="F1368" i="3" a="1"/>
  <c r="G1368" i="3" a="1"/>
  <c r="B1369" i="3"/>
  <c r="C1369" i="3" s="1"/>
  <c r="D1369" i="3" a="1"/>
  <c r="E1369" i="3" a="1"/>
  <c r="F1369" i="3" a="1"/>
  <c r="G1369" i="3" a="1"/>
  <c r="B1370" i="3"/>
  <c r="C1370" i="3"/>
  <c r="D1370" i="3" a="1"/>
  <c r="E1370" i="3" a="1"/>
  <c r="F1370" i="3" a="1"/>
  <c r="G1370" i="3" a="1"/>
  <c r="B1371" i="3"/>
  <c r="C1371" i="3"/>
  <c r="D1371" i="3" a="1"/>
  <c r="E1371" i="3" a="1"/>
  <c r="F1371" i="3" a="1"/>
  <c r="G1371" i="3" a="1"/>
  <c r="B1372" i="3"/>
  <c r="C1372" i="3"/>
  <c r="D1372" i="3" a="1"/>
  <c r="E1372" i="3" a="1"/>
  <c r="F1372" i="3" a="1"/>
  <c r="G1372" i="3" a="1"/>
  <c r="B1373" i="3"/>
  <c r="C1373" i="3"/>
  <c r="D1373" i="3" a="1"/>
  <c r="E1373" i="3" a="1"/>
  <c r="F1373" i="3" a="1"/>
  <c r="G1373" i="3" a="1"/>
  <c r="B1374" i="3"/>
  <c r="C1374" i="3"/>
  <c r="D1374" i="3" a="1"/>
  <c r="E1374" i="3" a="1"/>
  <c r="F1374" i="3" a="1"/>
  <c r="G1374" i="3" a="1"/>
  <c r="B1375" i="3"/>
  <c r="C1375" i="3"/>
  <c r="D1375" i="3" a="1"/>
  <c r="E1375" i="3" a="1"/>
  <c r="F1375" i="3" a="1"/>
  <c r="G1375" i="3" a="1"/>
  <c r="B1376" i="3"/>
  <c r="C1376" i="3" s="1"/>
  <c r="D1376" i="3" a="1"/>
  <c r="E1376" i="3" a="1"/>
  <c r="F1376" i="3" a="1"/>
  <c r="G1376" i="3" a="1"/>
  <c r="B1377" i="3"/>
  <c r="C1377" i="3"/>
  <c r="D1377" i="3" a="1"/>
  <c r="E1377" i="3" a="1"/>
  <c r="F1377" i="3" a="1"/>
  <c r="G1377" i="3" a="1"/>
  <c r="B1378" i="3"/>
  <c r="C1378" i="3"/>
  <c r="D1378" i="3" a="1"/>
  <c r="E1378" i="3" a="1"/>
  <c r="F1378" i="3" a="1"/>
  <c r="G1378" i="3" a="1"/>
  <c r="B1379" i="3"/>
  <c r="C1379" i="3"/>
  <c r="D1379" i="3" a="1"/>
  <c r="E1379" i="3" a="1"/>
  <c r="F1379" i="3" a="1"/>
  <c r="G1379" i="3" a="1"/>
  <c r="B1380" i="3"/>
  <c r="C1380" i="3"/>
  <c r="D1380" i="3" a="1"/>
  <c r="E1380" i="3" a="1"/>
  <c r="F1380" i="3" a="1"/>
  <c r="G1380" i="3" a="1"/>
  <c r="B1381" i="3"/>
  <c r="C1381" i="3"/>
  <c r="D1381" i="3" a="1"/>
  <c r="E1381" i="3" a="1"/>
  <c r="F1381" i="3" a="1"/>
  <c r="G1381" i="3" a="1"/>
  <c r="B1382" i="3"/>
  <c r="C1382" i="3"/>
  <c r="D1382" i="3" a="1"/>
  <c r="E1382" i="3" a="1"/>
  <c r="F1382" i="3" a="1"/>
  <c r="G1382" i="3" a="1"/>
  <c r="B1383" i="3"/>
  <c r="C1383" i="3" s="1"/>
  <c r="D1383" i="3" a="1"/>
  <c r="E1383" i="3" a="1"/>
  <c r="F1383" i="3" a="1"/>
  <c r="G1383" i="3" a="1"/>
  <c r="B1384" i="3"/>
  <c r="C1384" i="3"/>
  <c r="D1384" i="3" a="1"/>
  <c r="E1384" i="3" a="1"/>
  <c r="F1384" i="3" a="1"/>
  <c r="G1384" i="3" a="1"/>
  <c r="B1385" i="3"/>
  <c r="C1385" i="3" s="1"/>
  <c r="D1385" i="3" a="1"/>
  <c r="E1385" i="3" a="1"/>
  <c r="F1385" i="3" a="1"/>
  <c r="G1385" i="3" a="1"/>
  <c r="B1386" i="3"/>
  <c r="C1386" i="3"/>
  <c r="D1386" i="3" a="1"/>
  <c r="E1386" i="3" a="1"/>
  <c r="F1386" i="3" a="1"/>
  <c r="G1386" i="3" a="1"/>
  <c r="B1387" i="3"/>
  <c r="C1387" i="3" s="1"/>
  <c r="D1387" i="3" a="1"/>
  <c r="E1387" i="3" a="1"/>
  <c r="F1387" i="3" a="1"/>
  <c r="G1387" i="3" a="1"/>
  <c r="B1388" i="3"/>
  <c r="C1388" i="3"/>
  <c r="D1388" i="3" a="1"/>
  <c r="E1388" i="3" a="1"/>
  <c r="F1388" i="3" a="1"/>
  <c r="G1388" i="3" a="1"/>
  <c r="B1389" i="3"/>
  <c r="C1389" i="3"/>
  <c r="D1389" i="3" a="1"/>
  <c r="E1389" i="3" a="1"/>
  <c r="F1389" i="3" a="1"/>
  <c r="G1389" i="3" a="1"/>
  <c r="B1390" i="3"/>
  <c r="C1390" i="3"/>
  <c r="D1390" i="3" a="1"/>
  <c r="E1390" i="3" a="1"/>
  <c r="F1390" i="3" a="1"/>
  <c r="G1390" i="3" a="1"/>
  <c r="B1391" i="3"/>
  <c r="C1391" i="3"/>
  <c r="D1391" i="3" a="1"/>
  <c r="E1391" i="3" a="1"/>
  <c r="F1391" i="3" a="1"/>
  <c r="G1391" i="3" a="1"/>
  <c r="B1392" i="3"/>
  <c r="C1392" i="3"/>
  <c r="D1392" i="3" a="1"/>
  <c r="E1392" i="3" a="1"/>
  <c r="F1392" i="3" a="1"/>
  <c r="G1392" i="3" a="1"/>
  <c r="B1393" i="3"/>
  <c r="C1393" i="3"/>
  <c r="D1393" i="3" a="1"/>
  <c r="E1393" i="3" a="1"/>
  <c r="F1393" i="3" a="1"/>
  <c r="G1393" i="3" a="1"/>
  <c r="B1394" i="3"/>
  <c r="C1394" i="3" s="1"/>
  <c r="D1394" i="3" a="1"/>
  <c r="E1394" i="3" a="1"/>
  <c r="F1394" i="3" a="1"/>
  <c r="G1394" i="3" a="1"/>
  <c r="B1395" i="3"/>
  <c r="C1395" i="3" s="1"/>
  <c r="D1395" i="3" a="1"/>
  <c r="E1395" i="3" a="1"/>
  <c r="F1395" i="3" a="1"/>
  <c r="G1395" i="3" a="1"/>
  <c r="B1396" i="3"/>
  <c r="C1396" i="3" s="1"/>
  <c r="D1396" i="3" a="1"/>
  <c r="E1396" i="3" a="1"/>
  <c r="F1396" i="3" a="1"/>
  <c r="G1396" i="3" a="1"/>
  <c r="B1397" i="3"/>
  <c r="C1397" i="3" s="1"/>
  <c r="D1397" i="3" a="1"/>
  <c r="E1397" i="3" a="1"/>
  <c r="F1397" i="3" a="1"/>
  <c r="G1397" i="3" a="1"/>
  <c r="B1398" i="3"/>
  <c r="C1398" i="3"/>
  <c r="D1398" i="3" a="1"/>
  <c r="E1398" i="3" a="1"/>
  <c r="F1398" i="3" a="1"/>
  <c r="G1398" i="3" a="1"/>
  <c r="B1399" i="3"/>
  <c r="C1399" i="3"/>
  <c r="D1399" i="3" a="1"/>
  <c r="E1399" i="3" a="1"/>
  <c r="F1399" i="3" a="1"/>
  <c r="G1399" i="3" a="1"/>
  <c r="B1400" i="3"/>
  <c r="C1400" i="3" s="1"/>
  <c r="D1400" i="3" a="1"/>
  <c r="E1400" i="3" a="1"/>
  <c r="F1400" i="3" a="1"/>
  <c r="G1400" i="3" a="1"/>
  <c r="B1401" i="3"/>
  <c r="C1401" i="3" s="1"/>
  <c r="D1401" i="3" a="1"/>
  <c r="E1401" i="3" a="1"/>
  <c r="F1401" i="3" a="1"/>
  <c r="G1401" i="3" a="1"/>
  <c r="B1402" i="3"/>
  <c r="C1402" i="3" s="1"/>
  <c r="D1402" i="3" a="1"/>
  <c r="E1402" i="3" a="1"/>
  <c r="F1402" i="3" a="1"/>
  <c r="G1402" i="3" a="1"/>
  <c r="B1403" i="3"/>
  <c r="C1403" i="3"/>
  <c r="D1403" i="3" a="1"/>
  <c r="E1403" i="3" a="1"/>
  <c r="F1403" i="3" a="1"/>
  <c r="G1403" i="3" a="1"/>
  <c r="B1404" i="3"/>
  <c r="C1404" i="3"/>
  <c r="D1404" i="3" a="1"/>
  <c r="E1404" i="3" a="1"/>
  <c r="F1404" i="3" a="1"/>
  <c r="G1404" i="3" a="1"/>
  <c r="B1405" i="3"/>
  <c r="C1405" i="3"/>
  <c r="D1405" i="3" a="1"/>
  <c r="E1405" i="3" a="1"/>
  <c r="F1405" i="3" a="1"/>
  <c r="G1405" i="3" a="1"/>
  <c r="B1406" i="3"/>
  <c r="C1406" i="3" s="1"/>
  <c r="D1406" i="3" a="1"/>
  <c r="E1406" i="3" a="1"/>
  <c r="F1406" i="3" a="1"/>
  <c r="G1406" i="3" a="1"/>
  <c r="B1407" i="3"/>
  <c r="C1407" i="3" s="1"/>
  <c r="D1407" i="3" a="1"/>
  <c r="E1407" i="3" a="1"/>
  <c r="F1407" i="3" a="1"/>
  <c r="G1407" i="3" a="1"/>
  <c r="B1408" i="3"/>
  <c r="C1408" i="3" s="1"/>
  <c r="D1408" i="3" a="1"/>
  <c r="E1408" i="3" a="1"/>
  <c r="F1408" i="3" a="1"/>
  <c r="G1408" i="3" a="1"/>
  <c r="B1409" i="3"/>
  <c r="C1409" i="3"/>
  <c r="D1409" i="3" a="1"/>
  <c r="E1409" i="3" a="1"/>
  <c r="F1409" i="3" a="1"/>
  <c r="G1409" i="3" a="1"/>
  <c r="B1410" i="3"/>
  <c r="C1410" i="3"/>
  <c r="D1410" i="3" a="1"/>
  <c r="E1410" i="3" a="1"/>
  <c r="F1410" i="3" a="1"/>
  <c r="G1410" i="3" a="1"/>
  <c r="B1411" i="3"/>
  <c r="C1411" i="3"/>
  <c r="D1411" i="3" a="1"/>
  <c r="E1411" i="3" a="1"/>
  <c r="F1411" i="3" a="1"/>
  <c r="G1411" i="3" a="1"/>
  <c r="B1412" i="3"/>
  <c r="C1412" i="3" s="1"/>
  <c r="D1412" i="3" a="1"/>
  <c r="E1412" i="3" a="1"/>
  <c r="F1412" i="3" a="1"/>
  <c r="G1412" i="3" a="1"/>
  <c r="B1413" i="3"/>
  <c r="C1413" i="3"/>
  <c r="D1413" i="3" a="1"/>
  <c r="E1413" i="3" a="1"/>
  <c r="F1413" i="3" a="1"/>
  <c r="G1413" i="3" a="1"/>
  <c r="B1414" i="3"/>
  <c r="C1414" i="3"/>
  <c r="D1414" i="3" a="1"/>
  <c r="E1414" i="3" a="1"/>
  <c r="F1414" i="3" a="1"/>
  <c r="G1414" i="3" a="1"/>
  <c r="B1415" i="3"/>
  <c r="C1415" i="3"/>
  <c r="D1415" i="3" a="1"/>
  <c r="E1415" i="3" a="1"/>
  <c r="F1415" i="3" a="1"/>
  <c r="G1415" i="3" a="1"/>
  <c r="B1416" i="3"/>
  <c r="C1416" i="3" s="1"/>
  <c r="D1416" i="3" a="1"/>
  <c r="E1416" i="3" a="1"/>
  <c r="F1416" i="3" a="1"/>
  <c r="G1416" i="3" a="1"/>
  <c r="B1417" i="3"/>
  <c r="C1417" i="3" s="1"/>
  <c r="D1417" i="3" a="1"/>
  <c r="E1417" i="3" a="1"/>
  <c r="F1417" i="3" a="1"/>
  <c r="G1417" i="3" a="1"/>
  <c r="B1418" i="3"/>
  <c r="C1418" i="3"/>
  <c r="D1418" i="3" a="1"/>
  <c r="E1418" i="3" a="1"/>
  <c r="F1418" i="3" a="1"/>
  <c r="G1418" i="3" a="1"/>
  <c r="B1419" i="3"/>
  <c r="C1419" i="3"/>
  <c r="D1419" i="3" a="1"/>
  <c r="E1419" i="3" a="1"/>
  <c r="F1419" i="3" a="1"/>
  <c r="G1419" i="3" a="1"/>
  <c r="B1420" i="3"/>
  <c r="C1420" i="3" s="1"/>
  <c r="D1420" i="3" a="1"/>
  <c r="E1420" i="3" a="1"/>
  <c r="F1420" i="3" a="1"/>
  <c r="G1420" i="3" a="1"/>
  <c r="B1421" i="3"/>
  <c r="C1421" i="3"/>
  <c r="D1421" i="3" a="1"/>
  <c r="E1421" i="3" a="1"/>
  <c r="F1421" i="3" a="1"/>
  <c r="G1421" i="3" a="1"/>
  <c r="B1422" i="3"/>
  <c r="C1422" i="3"/>
  <c r="D1422" i="3" a="1"/>
  <c r="E1422" i="3" a="1"/>
  <c r="F1422" i="3" a="1"/>
  <c r="G1422" i="3" a="1"/>
  <c r="B1423" i="3"/>
  <c r="C1423" i="3" s="1"/>
  <c r="D1423" i="3" a="1"/>
  <c r="E1423" i="3" a="1"/>
  <c r="F1423" i="3" a="1"/>
  <c r="G1423" i="3" a="1"/>
  <c r="B1424" i="3"/>
  <c r="C1424" i="3"/>
  <c r="D1424" i="3" a="1"/>
  <c r="E1424" i="3" a="1"/>
  <c r="F1424" i="3" a="1"/>
  <c r="G1424" i="3" a="1"/>
  <c r="B1425" i="3"/>
  <c r="C1425" i="3"/>
  <c r="D1425" i="3" a="1"/>
  <c r="E1425" i="3" a="1"/>
  <c r="F1425" i="3" a="1"/>
  <c r="G1425" i="3" a="1"/>
  <c r="B1426" i="3"/>
  <c r="C1426" i="3" s="1"/>
  <c r="D1426" i="3" a="1"/>
  <c r="E1426" i="3" a="1"/>
  <c r="F1426" i="3" a="1"/>
  <c r="G1426" i="3" a="1"/>
  <c r="B1427" i="3"/>
  <c r="C1427" i="3"/>
  <c r="D1427" i="3" a="1"/>
  <c r="E1427" i="3" a="1"/>
  <c r="F1427" i="3" a="1"/>
  <c r="G1427" i="3" a="1"/>
  <c r="B1428" i="3"/>
  <c r="C1428" i="3" s="1"/>
  <c r="D1428" i="3" a="1"/>
  <c r="E1428" i="3" a="1"/>
  <c r="F1428" i="3" a="1"/>
  <c r="G1428" i="3" a="1"/>
  <c r="B1429" i="3"/>
  <c r="C1429" i="3"/>
  <c r="D1429" i="3" a="1"/>
  <c r="E1429" i="3" a="1"/>
  <c r="F1429" i="3" a="1"/>
  <c r="G1429" i="3" a="1"/>
  <c r="B1430" i="3"/>
  <c r="C1430" i="3" s="1"/>
  <c r="D1430" i="3" a="1"/>
  <c r="E1430" i="3" a="1"/>
  <c r="F1430" i="3" a="1"/>
  <c r="G1430" i="3" a="1"/>
  <c r="B1431" i="3"/>
  <c r="C1431" i="3" s="1"/>
  <c r="D1431" i="3" a="1"/>
  <c r="E1431" i="3" a="1"/>
  <c r="F1431" i="3" a="1"/>
  <c r="G1431" i="3" a="1"/>
  <c r="B1432" i="3"/>
  <c r="C1432" i="3" s="1"/>
  <c r="D1432" i="3" a="1"/>
  <c r="E1432" i="3" a="1"/>
  <c r="F1432" i="3" a="1"/>
  <c r="G1432" i="3" a="1"/>
  <c r="B1433" i="3"/>
  <c r="C1433" i="3" s="1"/>
  <c r="D1433" i="3" a="1"/>
  <c r="E1433" i="3" a="1"/>
  <c r="F1433" i="3" a="1"/>
  <c r="G1433" i="3" a="1"/>
  <c r="B1434" i="3"/>
  <c r="C1434" i="3"/>
  <c r="D1434" i="3" a="1"/>
  <c r="E1434" i="3" a="1"/>
  <c r="F1434" i="3" a="1"/>
  <c r="G1434" i="3" a="1"/>
  <c r="B1435" i="3"/>
  <c r="C1435" i="3"/>
  <c r="D1435" i="3" a="1"/>
  <c r="E1435" i="3" a="1"/>
  <c r="F1435" i="3" a="1"/>
  <c r="G1435" i="3" a="1"/>
  <c r="B1436" i="3"/>
  <c r="C1436" i="3"/>
  <c r="D1436" i="3" a="1"/>
  <c r="E1436" i="3" a="1"/>
  <c r="F1436" i="3" a="1"/>
  <c r="G1436" i="3" a="1"/>
  <c r="B1437" i="3"/>
  <c r="C1437" i="3" s="1"/>
  <c r="D1437" i="3" a="1"/>
  <c r="E1437" i="3" a="1"/>
  <c r="F1437" i="3" a="1"/>
  <c r="G1437" i="3" a="1"/>
  <c r="B1438" i="3"/>
  <c r="C1438" i="3"/>
  <c r="D1438" i="3" a="1"/>
  <c r="E1438" i="3" a="1"/>
  <c r="F1438" i="3" a="1"/>
  <c r="G1438" i="3" a="1"/>
  <c r="B1439" i="3"/>
  <c r="C1439" i="3"/>
  <c r="D1439" i="3" a="1"/>
  <c r="E1439" i="3" a="1"/>
  <c r="F1439" i="3" a="1"/>
  <c r="G1439" i="3" a="1"/>
  <c r="B1440" i="3"/>
  <c r="C1440" i="3"/>
  <c r="D1440" i="3" a="1"/>
  <c r="E1440" i="3" a="1"/>
  <c r="F1440" i="3" a="1"/>
  <c r="G1440" i="3" a="1"/>
  <c r="B1441" i="3"/>
  <c r="C1441" i="3"/>
  <c r="D1441" i="3" a="1"/>
  <c r="E1441" i="3" a="1"/>
  <c r="F1441" i="3" a="1"/>
  <c r="G1441" i="3" a="1"/>
  <c r="B1442" i="3"/>
  <c r="C1442" i="3"/>
  <c r="D1442" i="3" a="1"/>
  <c r="E1442" i="3" a="1"/>
  <c r="F1442" i="3" a="1"/>
  <c r="G1442" i="3" a="1"/>
  <c r="B1443" i="3"/>
  <c r="C1443" i="3" s="1"/>
  <c r="D1443" i="3" a="1"/>
  <c r="E1443" i="3" a="1"/>
  <c r="F1443" i="3" a="1"/>
  <c r="G1443" i="3" a="1"/>
  <c r="B1444" i="3"/>
  <c r="C1444" i="3" s="1"/>
  <c r="D1444" i="3" a="1"/>
  <c r="E1444" i="3" a="1"/>
  <c r="F1444" i="3" a="1"/>
  <c r="G1444" i="3" a="1"/>
  <c r="B1445" i="3"/>
  <c r="C1445" i="3"/>
  <c r="D1445" i="3" a="1"/>
  <c r="E1445" i="3" a="1"/>
  <c r="F1445" i="3" a="1"/>
  <c r="G1445" i="3" a="1"/>
  <c r="B1446" i="3"/>
  <c r="C1446" i="3"/>
  <c r="D1446" i="3" a="1"/>
  <c r="E1446" i="3" a="1"/>
  <c r="F1446" i="3" a="1"/>
  <c r="G1446" i="3" a="1"/>
  <c r="B1447" i="3"/>
  <c r="C1447" i="3"/>
  <c r="D1447" i="3" a="1"/>
  <c r="E1447" i="3" a="1"/>
  <c r="F1447" i="3" a="1"/>
  <c r="G1447" i="3" a="1"/>
  <c r="B1448" i="3"/>
  <c r="C1448" i="3" s="1"/>
  <c r="D1448" i="3" a="1"/>
  <c r="E1448" i="3" a="1"/>
  <c r="F1448" i="3" a="1"/>
  <c r="G1448" i="3" a="1"/>
  <c r="B1449" i="3"/>
  <c r="C1449" i="3"/>
  <c r="D1449" i="3" a="1"/>
  <c r="E1449" i="3" a="1"/>
  <c r="F1449" i="3" a="1"/>
  <c r="G1449" i="3" a="1"/>
  <c r="B1450" i="3"/>
  <c r="C1450" i="3" s="1"/>
  <c r="D1450" i="3" a="1"/>
  <c r="E1450" i="3" a="1"/>
  <c r="F1450" i="3" a="1"/>
  <c r="G1450" i="3" a="1"/>
  <c r="B1451" i="3"/>
  <c r="C1451" i="3"/>
  <c r="D1451" i="3" a="1"/>
  <c r="E1451" i="3" a="1"/>
  <c r="F1451" i="3" a="1"/>
  <c r="G1451" i="3" a="1"/>
  <c r="B1452" i="3"/>
  <c r="C1452" i="3"/>
  <c r="D1452" i="3" a="1"/>
  <c r="E1452" i="3" a="1"/>
  <c r="F1452" i="3" a="1"/>
  <c r="G1452" i="3" a="1"/>
  <c r="B1453" i="3"/>
  <c r="C1453" i="3"/>
  <c r="D1453" i="3" a="1"/>
  <c r="E1453" i="3" a="1"/>
  <c r="F1453" i="3" a="1"/>
  <c r="G1453" i="3" a="1"/>
  <c r="B1454" i="3"/>
  <c r="C1454" i="3"/>
  <c r="D1454" i="3" a="1"/>
  <c r="E1454" i="3" a="1"/>
  <c r="F1454" i="3" a="1"/>
  <c r="G1454" i="3" a="1"/>
  <c r="B1455" i="3"/>
  <c r="C1455" i="3" s="1"/>
  <c r="D1455" i="3" a="1"/>
  <c r="E1455" i="3" a="1"/>
  <c r="F1455" i="3" a="1"/>
  <c r="G1455" i="3" a="1"/>
  <c r="B1456" i="3"/>
  <c r="C1456" i="3"/>
  <c r="D1456" i="3" a="1"/>
  <c r="E1456" i="3" a="1"/>
  <c r="F1456" i="3" a="1"/>
  <c r="G1456" i="3" a="1"/>
  <c r="B1457" i="3"/>
  <c r="C1457" i="3" s="1"/>
  <c r="D1457" i="3" a="1"/>
  <c r="E1457" i="3" a="1"/>
  <c r="F1457" i="3" a="1"/>
  <c r="G1457" i="3" a="1"/>
  <c r="B1458" i="3"/>
  <c r="C1458" i="3"/>
  <c r="D1458" i="3" a="1"/>
  <c r="E1458" i="3" a="1"/>
  <c r="F1458" i="3" a="1"/>
  <c r="G1458" i="3" a="1"/>
  <c r="B1459" i="3"/>
  <c r="C1459" i="3"/>
  <c r="D1459" i="3" a="1"/>
  <c r="E1459" i="3" a="1"/>
  <c r="F1459" i="3" a="1"/>
  <c r="G1459" i="3" a="1"/>
  <c r="B1460" i="3"/>
  <c r="C1460" i="3"/>
  <c r="D1460" i="3" a="1"/>
  <c r="E1460" i="3" a="1"/>
  <c r="F1460" i="3" a="1"/>
  <c r="G1460" i="3" a="1"/>
  <c r="B1461" i="3"/>
  <c r="C1461" i="3"/>
  <c r="D1461" i="3" a="1"/>
  <c r="E1461" i="3" a="1"/>
  <c r="F1461" i="3" a="1"/>
  <c r="G1461" i="3" a="1"/>
  <c r="B1462" i="3"/>
  <c r="C1462" i="3"/>
  <c r="D1462" i="3" a="1"/>
  <c r="E1462" i="3" a="1"/>
  <c r="F1462" i="3" a="1"/>
  <c r="G1462" i="3" a="1"/>
  <c r="B1463" i="3"/>
  <c r="C1463" i="3" s="1"/>
  <c r="D1463" i="3" a="1"/>
  <c r="E1463" i="3" a="1"/>
  <c r="F1463" i="3" a="1"/>
  <c r="G1463" i="3" a="1"/>
  <c r="B1464" i="3"/>
  <c r="C1464" i="3"/>
  <c r="D1464" i="3" a="1"/>
  <c r="E1464" i="3" a="1"/>
  <c r="F1464" i="3" a="1"/>
  <c r="G1464" i="3" a="1"/>
  <c r="B1465" i="3"/>
  <c r="C1465" i="3"/>
  <c r="D1465" i="3" a="1"/>
  <c r="E1465" i="3" a="1"/>
  <c r="F1465" i="3" a="1"/>
  <c r="G1465" i="3" a="1"/>
  <c r="B1466" i="3"/>
  <c r="C1466" i="3" s="1"/>
  <c r="D1466" i="3" a="1"/>
  <c r="E1466" i="3" a="1"/>
  <c r="F1466" i="3" a="1"/>
  <c r="G1466" i="3" a="1"/>
  <c r="B1467" i="3"/>
  <c r="C1467" i="3"/>
  <c r="D1467" i="3" a="1"/>
  <c r="E1467" i="3" a="1"/>
  <c r="F1467" i="3" a="1"/>
  <c r="G1467" i="3" a="1"/>
  <c r="B1468" i="3"/>
  <c r="C1468" i="3"/>
  <c r="D1468" i="3" a="1"/>
  <c r="E1468" i="3" a="1"/>
  <c r="F1468" i="3" a="1"/>
  <c r="G1468" i="3" a="1"/>
  <c r="B1469" i="3"/>
  <c r="C1469" i="3"/>
  <c r="D1469" i="3" a="1"/>
  <c r="E1469" i="3" a="1"/>
  <c r="F1469" i="3" a="1"/>
  <c r="G1469" i="3" a="1"/>
  <c r="B1470" i="3"/>
  <c r="C1470" i="3"/>
  <c r="D1470" i="3" a="1"/>
  <c r="E1470" i="3" a="1"/>
  <c r="F1470" i="3" a="1"/>
  <c r="G1470" i="3" a="1"/>
  <c r="B1471" i="3"/>
  <c r="C1471" i="3"/>
  <c r="D1471" i="3" a="1"/>
  <c r="E1471" i="3" a="1"/>
  <c r="F1471" i="3" a="1"/>
  <c r="G1471" i="3" a="1"/>
  <c r="B1472" i="3"/>
  <c r="C1472" i="3"/>
  <c r="D1472" i="3" a="1"/>
  <c r="E1472" i="3" a="1"/>
  <c r="F1472" i="3" a="1"/>
  <c r="G1472" i="3" a="1"/>
  <c r="B1473" i="3"/>
  <c r="C1473" i="3"/>
  <c r="D1473" i="3" a="1"/>
  <c r="E1473" i="3" a="1"/>
  <c r="F1473" i="3" a="1"/>
  <c r="G1473" i="3" a="1"/>
  <c r="B1474" i="3"/>
  <c r="C1474" i="3"/>
  <c r="D1474" i="3" a="1"/>
  <c r="E1474" i="3" a="1"/>
  <c r="F1474" i="3" a="1"/>
  <c r="G1474" i="3" a="1"/>
  <c r="B1475" i="3"/>
  <c r="C1475" i="3"/>
  <c r="D1475" i="3" a="1"/>
  <c r="E1475" i="3" a="1"/>
  <c r="F1475" i="3" a="1"/>
  <c r="G1475" i="3" a="1"/>
  <c r="B1476" i="3"/>
  <c r="C1476" i="3"/>
  <c r="D1476" i="3" a="1"/>
  <c r="E1476" i="3" a="1"/>
  <c r="F1476" i="3" a="1"/>
  <c r="G1476" i="3" a="1"/>
  <c r="B1477" i="3"/>
  <c r="C1477" i="3" s="1"/>
  <c r="D1477" i="3" a="1"/>
  <c r="E1477" i="3" a="1"/>
  <c r="F1477" i="3" a="1"/>
  <c r="G1477" i="3" a="1"/>
  <c r="B1478" i="3"/>
  <c r="C1478" i="3" s="1"/>
  <c r="D1478" i="3" a="1"/>
  <c r="E1478" i="3" a="1"/>
  <c r="F1478" i="3" a="1"/>
  <c r="G1478" i="3" a="1"/>
  <c r="B1479" i="3"/>
  <c r="C1479" i="3"/>
  <c r="D1479" i="3" a="1"/>
  <c r="E1479" i="3" a="1"/>
  <c r="F1479" i="3" a="1"/>
  <c r="G1479" i="3" a="1"/>
  <c r="B1480" i="3"/>
  <c r="C1480" i="3" s="1"/>
  <c r="D1480" i="3" a="1"/>
  <c r="E1480" i="3" a="1"/>
  <c r="F1480" i="3" a="1"/>
  <c r="G1480" i="3" a="1"/>
  <c r="B1481" i="3"/>
  <c r="C1481" i="3"/>
  <c r="D1481" i="3" a="1"/>
  <c r="E1481" i="3" a="1"/>
  <c r="F1481" i="3" a="1"/>
  <c r="G1481" i="3" a="1"/>
  <c r="B1482" i="3"/>
  <c r="C1482" i="3"/>
  <c r="D1482" i="3" a="1"/>
  <c r="E1482" i="3" a="1"/>
  <c r="F1482" i="3" a="1"/>
  <c r="G1482" i="3" a="1"/>
  <c r="B1483" i="3"/>
  <c r="C1483" i="3"/>
  <c r="D1483" i="3" a="1"/>
  <c r="E1483" i="3" a="1"/>
  <c r="F1483" i="3" a="1"/>
  <c r="G1483" i="3" a="1"/>
  <c r="B1484" i="3"/>
  <c r="C1484" i="3" s="1"/>
  <c r="D1484" i="3" a="1"/>
  <c r="E1484" i="3" a="1"/>
  <c r="F1484" i="3" a="1"/>
  <c r="G1484" i="3" a="1"/>
  <c r="B1485" i="3"/>
  <c r="C1485" i="3"/>
  <c r="D1485" i="3" a="1"/>
  <c r="E1485" i="3" a="1"/>
  <c r="F1485" i="3" a="1"/>
  <c r="G1485" i="3" a="1"/>
  <c r="B1486" i="3"/>
  <c r="C1486" i="3"/>
  <c r="D1486" i="3" a="1"/>
  <c r="E1486" i="3" a="1"/>
  <c r="F1486" i="3" a="1"/>
  <c r="G1486" i="3" a="1"/>
  <c r="B1487" i="3"/>
  <c r="C1487" i="3"/>
  <c r="D1487" i="3" a="1"/>
  <c r="E1487" i="3" a="1"/>
  <c r="F1487" i="3" a="1"/>
  <c r="G1487" i="3" a="1"/>
  <c r="B1488" i="3"/>
  <c r="C1488" i="3"/>
  <c r="D1488" i="3" a="1"/>
  <c r="E1488" i="3" a="1"/>
  <c r="F1488" i="3" a="1"/>
  <c r="G1488" i="3" a="1"/>
  <c r="B1489" i="3"/>
  <c r="C1489" i="3"/>
  <c r="D1489" i="3" a="1"/>
  <c r="E1489" i="3" a="1"/>
  <c r="F1489" i="3" a="1"/>
  <c r="G1489" i="3" a="1"/>
  <c r="B1490" i="3"/>
  <c r="C1490" i="3" s="1"/>
  <c r="D1490" i="3" a="1"/>
  <c r="E1490" i="3" a="1"/>
  <c r="F1490" i="3" a="1"/>
  <c r="G1490" i="3" a="1"/>
  <c r="B1491" i="3"/>
  <c r="C1491" i="3"/>
  <c r="D1491" i="3" a="1"/>
  <c r="E1491" i="3" a="1"/>
  <c r="F1491" i="3" a="1"/>
  <c r="G1491" i="3" a="1"/>
  <c r="B1492" i="3"/>
  <c r="C1492" i="3"/>
  <c r="D1492" i="3" a="1"/>
  <c r="E1492" i="3" a="1"/>
  <c r="F1492" i="3" a="1"/>
  <c r="G1492" i="3" a="1"/>
  <c r="B1493" i="3"/>
  <c r="C1493" i="3"/>
  <c r="D1493" i="3" a="1"/>
  <c r="E1493" i="3" a="1"/>
  <c r="F1493" i="3" a="1"/>
  <c r="G1493" i="3" a="1"/>
  <c r="B1494" i="3"/>
  <c r="C1494" i="3"/>
  <c r="D1494" i="3" a="1"/>
  <c r="E1494" i="3" a="1"/>
  <c r="F1494" i="3" a="1"/>
  <c r="G1494" i="3" a="1"/>
  <c r="B1495" i="3"/>
  <c r="C1495" i="3" s="1"/>
  <c r="D1495" i="3" a="1"/>
  <c r="E1495" i="3" a="1"/>
  <c r="F1495" i="3" a="1"/>
  <c r="G1495" i="3" a="1"/>
  <c r="B1496" i="3"/>
  <c r="C1496" i="3"/>
  <c r="D1496" i="3" a="1"/>
  <c r="E1496" i="3" a="1"/>
  <c r="F1496" i="3" a="1"/>
  <c r="G1496" i="3" a="1"/>
  <c r="B1497" i="3"/>
  <c r="C1497" i="3"/>
  <c r="D1497" i="3" a="1"/>
  <c r="E1497" i="3" a="1"/>
  <c r="F1497" i="3" a="1"/>
  <c r="G1497" i="3" a="1"/>
  <c r="B1498" i="3"/>
  <c r="C1498" i="3"/>
  <c r="D1498" i="3" a="1"/>
  <c r="E1498" i="3" a="1"/>
  <c r="F1498" i="3" a="1"/>
  <c r="G1498" i="3" a="1"/>
  <c r="B1499" i="3"/>
  <c r="C1499" i="3"/>
  <c r="D1499" i="3" a="1"/>
  <c r="E1499" i="3" a="1"/>
  <c r="F1499" i="3" a="1"/>
  <c r="G1499" i="3" a="1"/>
  <c r="B1500" i="3"/>
  <c r="C1500" i="3" s="1"/>
  <c r="D1500" i="3" a="1"/>
  <c r="E1500" i="3" a="1"/>
  <c r="F1500" i="3" a="1"/>
  <c r="G1500" i="3" a="1"/>
  <c r="B1501" i="3"/>
  <c r="C1501" i="3" s="1"/>
  <c r="D1501" i="3" a="1"/>
  <c r="E1501" i="3" a="1"/>
  <c r="F1501" i="3" a="1"/>
  <c r="G1501" i="3" a="1"/>
  <c r="B1502" i="3"/>
  <c r="C1502" i="3"/>
  <c r="D1502" i="3" a="1"/>
  <c r="E1502" i="3" a="1"/>
  <c r="F1502" i="3" a="1"/>
  <c r="G1502" i="3" a="1"/>
  <c r="B1503" i="3"/>
  <c r="C1503" i="3" s="1"/>
  <c r="D1503" i="3" a="1"/>
  <c r="E1503" i="3" a="1"/>
  <c r="F1503" i="3" a="1"/>
  <c r="G1503" i="3" a="1"/>
  <c r="B1504" i="3"/>
  <c r="C1504" i="3"/>
  <c r="D1504" i="3" a="1"/>
  <c r="E1504" i="3" a="1"/>
  <c r="F1504" i="3" a="1"/>
  <c r="G1504" i="3" a="1"/>
  <c r="B1505" i="3"/>
  <c r="C1505" i="3" s="1"/>
  <c r="D1505" i="3" a="1"/>
  <c r="E1505" i="3" a="1"/>
  <c r="F1505" i="3" a="1"/>
  <c r="G1505" i="3" a="1"/>
  <c r="B1506" i="3"/>
  <c r="C1506" i="3"/>
  <c r="D1506" i="3" a="1"/>
  <c r="E1506" i="3" a="1"/>
  <c r="F1506" i="3" a="1"/>
  <c r="G1506" i="3" a="1"/>
  <c r="B1507" i="3"/>
  <c r="C1507" i="3" s="1"/>
  <c r="D1507" i="3" a="1"/>
  <c r="E1507" i="3" a="1"/>
  <c r="F1507" i="3" a="1"/>
  <c r="G1507" i="3" a="1"/>
  <c r="B1508" i="3"/>
  <c r="C1508" i="3" s="1"/>
  <c r="D1508" i="3" a="1"/>
  <c r="E1508" i="3" a="1"/>
  <c r="F1508" i="3" a="1"/>
  <c r="G1508" i="3" a="1"/>
  <c r="B1509" i="3"/>
  <c r="C1509" i="3"/>
  <c r="D1509" i="3" a="1"/>
  <c r="E1509" i="3" a="1"/>
  <c r="F1509" i="3" a="1"/>
  <c r="G1509" i="3" a="1"/>
  <c r="B1510" i="3"/>
  <c r="C1510" i="3" s="1"/>
  <c r="D1510" i="3" a="1"/>
  <c r="E1510" i="3" a="1"/>
  <c r="F1510" i="3" a="1"/>
  <c r="G1510" i="3" a="1"/>
  <c r="B1511" i="3"/>
  <c r="C1511" i="3"/>
  <c r="D1511" i="3" a="1"/>
  <c r="E1511" i="3" a="1"/>
  <c r="F1511" i="3" a="1"/>
  <c r="G1511" i="3" a="1"/>
  <c r="B1512" i="3"/>
  <c r="C1512" i="3"/>
  <c r="D1512" i="3" a="1"/>
  <c r="E1512" i="3" a="1"/>
  <c r="F1512" i="3" a="1"/>
  <c r="G1512" i="3" a="1"/>
  <c r="B1013" i="3"/>
  <c r="C1013" i="3" s="1"/>
  <c r="D1013" i="3" a="1"/>
  <c r="E1013" i="3" a="1"/>
  <c r="F1013" i="3" a="1"/>
  <c r="G1013" i="3" a="1"/>
  <c r="B1014" i="3"/>
  <c r="C1014" i="3" s="1"/>
  <c r="D1014" i="3" a="1"/>
  <c r="E1014" i="3" a="1"/>
  <c r="F1014" i="3" a="1"/>
  <c r="G1014" i="3" a="1"/>
  <c r="B1015" i="3"/>
  <c r="C1015" i="3" s="1"/>
  <c r="D1015" i="3" a="1"/>
  <c r="E1015" i="3" a="1"/>
  <c r="F1015" i="3" a="1"/>
  <c r="G1015" i="3" a="1"/>
  <c r="B1016" i="3"/>
  <c r="C1016" i="3" s="1"/>
  <c r="D1016" i="3" a="1"/>
  <c r="E1016" i="3" a="1"/>
  <c r="F1016" i="3" a="1"/>
  <c r="G1016" i="3" a="1"/>
  <c r="B1017" i="3"/>
  <c r="C1017" i="3" s="1"/>
  <c r="D1017" i="3" a="1"/>
  <c r="E1017" i="3" a="1"/>
  <c r="F1017" i="3" a="1"/>
  <c r="G1017" i="3" a="1"/>
  <c r="B1018" i="3"/>
  <c r="C1018" i="3" s="1"/>
  <c r="D1018" i="3" a="1"/>
  <c r="E1018" i="3" a="1"/>
  <c r="F1018" i="3" a="1"/>
  <c r="G1018" i="3" a="1"/>
  <c r="B1019" i="3"/>
  <c r="C1019" i="3" s="1"/>
  <c r="D1019" i="3" a="1"/>
  <c r="E1019" i="3" a="1"/>
  <c r="F1019" i="3" a="1"/>
  <c r="G1019" i="3" a="1"/>
  <c r="B1020" i="3"/>
  <c r="C1020" i="3" s="1"/>
  <c r="D1020" i="3" a="1"/>
  <c r="E1020" i="3" a="1"/>
  <c r="F1020" i="3" a="1"/>
  <c r="G1020" i="3" a="1"/>
  <c r="B1021" i="3"/>
  <c r="C1021" i="3"/>
  <c r="D1021" i="3" a="1"/>
  <c r="E1021" i="3" a="1"/>
  <c r="F1021" i="3" a="1"/>
  <c r="G1021" i="3" a="1"/>
  <c r="B1022" i="3"/>
  <c r="C1022" i="3"/>
  <c r="D1022" i="3" a="1"/>
  <c r="E1022" i="3" a="1"/>
  <c r="F1022" i="3" a="1"/>
  <c r="G1022" i="3" a="1"/>
  <c r="B1023" i="3"/>
  <c r="C1023" i="3" s="1"/>
  <c r="D1023" i="3" a="1"/>
  <c r="E1023" i="3" a="1"/>
  <c r="F1023" i="3" a="1"/>
  <c r="G1023" i="3" a="1"/>
  <c r="B1024" i="3"/>
  <c r="C1024" i="3" s="1"/>
  <c r="D1024" i="3" a="1"/>
  <c r="E1024" i="3" a="1"/>
  <c r="F1024" i="3" a="1"/>
  <c r="G1024" i="3" a="1"/>
  <c r="B1025" i="3"/>
  <c r="C1025" i="3" s="1"/>
  <c r="D1025" i="3" a="1"/>
  <c r="E1025" i="3" a="1"/>
  <c r="F1025" i="3" a="1"/>
  <c r="G1025" i="3" a="1"/>
  <c r="B1026" i="3"/>
  <c r="C1026" i="3" s="1"/>
  <c r="D1026" i="3" a="1"/>
  <c r="E1026" i="3" a="1"/>
  <c r="F1026" i="3" a="1"/>
  <c r="G1026" i="3" a="1"/>
  <c r="B1027" i="3"/>
  <c r="C1027" i="3" s="1"/>
  <c r="D1027" i="3" a="1"/>
  <c r="E1027" i="3" a="1"/>
  <c r="F1027" i="3" a="1"/>
  <c r="G1027" i="3" a="1"/>
  <c r="B1028" i="3"/>
  <c r="C1028" i="3" s="1"/>
  <c r="D1028" i="3" a="1"/>
  <c r="E1028" i="3" a="1"/>
  <c r="F1028" i="3" a="1"/>
  <c r="G1028" i="3" a="1"/>
  <c r="B1029" i="3"/>
  <c r="C1029" i="3"/>
  <c r="D1029" i="3" a="1"/>
  <c r="E1029" i="3" a="1"/>
  <c r="F1029" i="3" a="1"/>
  <c r="G1029" i="3" a="1"/>
  <c r="B1030" i="3"/>
  <c r="C1030" i="3"/>
  <c r="D1030" i="3" a="1"/>
  <c r="E1030" i="3" a="1"/>
  <c r="F1030" i="3" a="1"/>
  <c r="G1030" i="3" a="1"/>
  <c r="B1031" i="3"/>
  <c r="C1031" i="3" s="1"/>
  <c r="D1031" i="3" a="1"/>
  <c r="E1031" i="3" a="1"/>
  <c r="F1031" i="3" a="1"/>
  <c r="G1031" i="3" a="1"/>
  <c r="B1032" i="3"/>
  <c r="C1032" i="3"/>
  <c r="D1032" i="3" a="1"/>
  <c r="E1032" i="3" a="1"/>
  <c r="F1032" i="3" a="1"/>
  <c r="G1032" i="3" a="1"/>
  <c r="B1033" i="3"/>
  <c r="C1033" i="3" s="1"/>
  <c r="D1033" i="3" a="1"/>
  <c r="E1033" i="3" a="1"/>
  <c r="F1033" i="3" a="1"/>
  <c r="G1033" i="3" a="1"/>
  <c r="B1034" i="3"/>
  <c r="C1034" i="3" s="1"/>
  <c r="D1034" i="3" a="1"/>
  <c r="E1034" i="3" a="1"/>
  <c r="F1034" i="3" a="1"/>
  <c r="G1034" i="3" a="1"/>
  <c r="B1035" i="3"/>
  <c r="C1035" i="3" s="1"/>
  <c r="D1035" i="3" a="1"/>
  <c r="E1035" i="3" a="1"/>
  <c r="F1035" i="3" a="1"/>
  <c r="G1035" i="3" a="1"/>
  <c r="B1036" i="3"/>
  <c r="C1036" i="3" s="1"/>
  <c r="D1036" i="3" a="1"/>
  <c r="E1036" i="3" a="1"/>
  <c r="F1036" i="3" a="1"/>
  <c r="G1036" i="3" a="1"/>
  <c r="B1037" i="3"/>
  <c r="C1037" i="3" s="1"/>
  <c r="D1037" i="3" a="1"/>
  <c r="E1037" i="3" a="1"/>
  <c r="F1037" i="3" a="1"/>
  <c r="G1037" i="3" a="1"/>
  <c r="B1038" i="3"/>
  <c r="C1038" i="3" s="1"/>
  <c r="D1038" i="3" a="1"/>
  <c r="E1038" i="3" a="1"/>
  <c r="F1038" i="3" a="1"/>
  <c r="G1038" i="3" a="1"/>
  <c r="B1039" i="3"/>
  <c r="C1039" i="3" s="1"/>
  <c r="D1039" i="3" a="1"/>
  <c r="E1039" i="3" a="1"/>
  <c r="F1039" i="3" a="1"/>
  <c r="G1039" i="3" a="1"/>
  <c r="B1040" i="3"/>
  <c r="C1040" i="3"/>
  <c r="D1040" i="3" a="1"/>
  <c r="E1040" i="3" a="1"/>
  <c r="F1040" i="3" a="1"/>
  <c r="G1040" i="3" a="1"/>
  <c r="B1041" i="3"/>
  <c r="C1041" i="3"/>
  <c r="D1041" i="3" a="1"/>
  <c r="E1041" i="3" a="1"/>
  <c r="F1041" i="3" a="1"/>
  <c r="G1041" i="3" a="1"/>
  <c r="B1042" i="3"/>
  <c r="C1042" i="3"/>
  <c r="D1042" i="3" a="1"/>
  <c r="E1042" i="3" a="1"/>
  <c r="F1042" i="3" a="1"/>
  <c r="G1042" i="3" a="1"/>
  <c r="B1043" i="3"/>
  <c r="C1043" i="3"/>
  <c r="D1043" i="3" a="1"/>
  <c r="E1043" i="3" a="1"/>
  <c r="F1043" i="3" a="1"/>
  <c r="G1043" i="3" a="1"/>
  <c r="B1044" i="3"/>
  <c r="C1044" i="3" s="1"/>
  <c r="D1044" i="3" a="1"/>
  <c r="E1044" i="3" a="1"/>
  <c r="F1044" i="3" a="1"/>
  <c r="G1044" i="3" a="1"/>
  <c r="B1045" i="3"/>
  <c r="C1045" i="3"/>
  <c r="D1045" i="3" a="1"/>
  <c r="E1045" i="3" a="1"/>
  <c r="F1045" i="3" a="1"/>
  <c r="G1045" i="3" a="1"/>
  <c r="B1046" i="3"/>
  <c r="C1046" i="3"/>
  <c r="D1046" i="3" a="1"/>
  <c r="E1046" i="3" a="1"/>
  <c r="F1046" i="3" a="1"/>
  <c r="G1046" i="3" a="1"/>
  <c r="B1047" i="3"/>
  <c r="C1047" i="3"/>
  <c r="D1047" i="3" a="1"/>
  <c r="E1047" i="3" a="1"/>
  <c r="F1047" i="3" a="1"/>
  <c r="G1047" i="3" a="1"/>
  <c r="B1048" i="3"/>
  <c r="C1048" i="3"/>
  <c r="D1048" i="3" a="1"/>
  <c r="E1048" i="3" a="1"/>
  <c r="F1048" i="3" a="1"/>
  <c r="G1048" i="3" a="1"/>
  <c r="B1049" i="3"/>
  <c r="C1049" i="3" s="1"/>
  <c r="D1049" i="3" a="1"/>
  <c r="E1049" i="3" a="1"/>
  <c r="F1049" i="3" a="1"/>
  <c r="G1049" i="3" a="1"/>
  <c r="B1050" i="3"/>
  <c r="C1050" i="3"/>
  <c r="D1050" i="3" a="1"/>
  <c r="E1050" i="3" a="1"/>
  <c r="F1050" i="3" a="1"/>
  <c r="G1050" i="3" a="1"/>
  <c r="B1051" i="3"/>
  <c r="C1051" i="3"/>
  <c r="D1051" i="3" a="1"/>
  <c r="E1051" i="3" a="1"/>
  <c r="F1051" i="3" a="1"/>
  <c r="G1051" i="3" a="1"/>
  <c r="B1052" i="3"/>
  <c r="C1052" i="3" s="1"/>
  <c r="D1052" i="3" a="1"/>
  <c r="E1052" i="3" a="1"/>
  <c r="F1052" i="3" a="1"/>
  <c r="G1052" i="3" a="1"/>
  <c r="B1053" i="3"/>
  <c r="C1053" i="3" s="1"/>
  <c r="D1053" i="3" a="1"/>
  <c r="E1053" i="3" a="1"/>
  <c r="F1053" i="3" a="1"/>
  <c r="G1053" i="3" a="1"/>
  <c r="B1054" i="3"/>
  <c r="C1054" i="3" s="1"/>
  <c r="D1054" i="3" a="1"/>
  <c r="E1054" i="3" a="1"/>
  <c r="F1054" i="3" a="1"/>
  <c r="G1054" i="3" a="1"/>
  <c r="B1055" i="3"/>
  <c r="C1055" i="3"/>
  <c r="D1055" i="3" a="1"/>
  <c r="E1055" i="3" a="1"/>
  <c r="F1055" i="3" a="1"/>
  <c r="G1055" i="3" a="1"/>
  <c r="B1056" i="3"/>
  <c r="C1056" i="3"/>
  <c r="D1056" i="3" a="1"/>
  <c r="E1056" i="3" a="1"/>
  <c r="F1056" i="3" a="1"/>
  <c r="G1056" i="3" a="1"/>
  <c r="B1057" i="3"/>
  <c r="C1057" i="3"/>
  <c r="D1057" i="3" a="1"/>
  <c r="E1057" i="3" a="1"/>
  <c r="F1057" i="3" a="1"/>
  <c r="G1057" i="3" a="1"/>
  <c r="B1058" i="3"/>
  <c r="C1058" i="3"/>
  <c r="D1058" i="3" a="1"/>
  <c r="E1058" i="3" a="1"/>
  <c r="F1058" i="3" a="1"/>
  <c r="G1058" i="3" a="1"/>
  <c r="B1059" i="3"/>
  <c r="C1059" i="3"/>
  <c r="D1059" i="3" a="1"/>
  <c r="E1059" i="3" a="1"/>
  <c r="F1059" i="3" a="1"/>
  <c r="G1059" i="3" a="1"/>
  <c r="B1060" i="3"/>
  <c r="C1060" i="3"/>
  <c r="D1060" i="3" a="1"/>
  <c r="E1060" i="3" a="1"/>
  <c r="F1060" i="3" a="1"/>
  <c r="G1060" i="3" a="1"/>
  <c r="B1061" i="3"/>
  <c r="C1061" i="3"/>
  <c r="D1061" i="3" a="1"/>
  <c r="E1061" i="3" a="1"/>
  <c r="F1061" i="3" a="1"/>
  <c r="G1061" i="3" a="1"/>
  <c r="B1062" i="3"/>
  <c r="C1062" i="3"/>
  <c r="D1062" i="3" a="1"/>
  <c r="E1062" i="3" a="1"/>
  <c r="F1062" i="3" a="1"/>
  <c r="G1062" i="3" a="1"/>
  <c r="B1063" i="3"/>
  <c r="C1063" i="3"/>
  <c r="D1063" i="3" a="1"/>
  <c r="E1063" i="3" a="1"/>
  <c r="F1063" i="3" a="1"/>
  <c r="G1063" i="3" a="1"/>
  <c r="B1064" i="3"/>
  <c r="C1064" i="3" s="1"/>
  <c r="D1064" i="3" a="1"/>
  <c r="E1064" i="3" a="1"/>
  <c r="F1064" i="3" a="1"/>
  <c r="G1064" i="3" a="1"/>
  <c r="B1065" i="3"/>
  <c r="C1065" i="3"/>
  <c r="D1065" i="3" a="1"/>
  <c r="E1065" i="3" a="1"/>
  <c r="F1065" i="3" a="1"/>
  <c r="G1065" i="3" a="1"/>
  <c r="B1066" i="3"/>
  <c r="C1066" i="3"/>
  <c r="D1066" i="3" a="1"/>
  <c r="E1066" i="3" a="1"/>
  <c r="F1066" i="3" a="1"/>
  <c r="G1066" i="3" a="1"/>
  <c r="B1067" i="3"/>
  <c r="C1067" i="3"/>
  <c r="D1067" i="3" a="1"/>
  <c r="E1067" i="3" a="1"/>
  <c r="F1067" i="3" a="1"/>
  <c r="G1067" i="3" a="1"/>
  <c r="B1068" i="3"/>
  <c r="C1068" i="3"/>
  <c r="D1068" i="3" a="1"/>
  <c r="E1068" i="3" a="1"/>
  <c r="F1068" i="3" a="1"/>
  <c r="G1068" i="3" a="1"/>
  <c r="B1069" i="3"/>
  <c r="C1069" i="3"/>
  <c r="D1069" i="3" a="1"/>
  <c r="E1069" i="3" a="1"/>
  <c r="F1069" i="3" a="1"/>
  <c r="G1069" i="3" a="1"/>
  <c r="B1070" i="3"/>
  <c r="C1070" i="3"/>
  <c r="D1070" i="3" a="1"/>
  <c r="E1070" i="3" a="1"/>
  <c r="F1070" i="3" a="1"/>
  <c r="G1070" i="3" a="1"/>
  <c r="B1071" i="3"/>
  <c r="C1071" i="3"/>
  <c r="D1071" i="3" a="1"/>
  <c r="E1071" i="3" a="1"/>
  <c r="F1071" i="3" a="1"/>
  <c r="G1071" i="3" a="1"/>
  <c r="B1072" i="3"/>
  <c r="C1072" i="3"/>
  <c r="D1072" i="3" a="1"/>
  <c r="E1072" i="3" a="1"/>
  <c r="F1072" i="3" a="1"/>
  <c r="G1072" i="3" a="1"/>
  <c r="B1073" i="3"/>
  <c r="C1073" i="3"/>
  <c r="D1073" i="3" a="1"/>
  <c r="E1073" i="3" a="1"/>
  <c r="F1073" i="3" a="1"/>
  <c r="G1073" i="3" a="1"/>
  <c r="B1074" i="3"/>
  <c r="C1074" i="3" s="1"/>
  <c r="D1074" i="3" a="1"/>
  <c r="E1074" i="3" a="1"/>
  <c r="F1074" i="3" a="1"/>
  <c r="G1074" i="3" a="1"/>
  <c r="B1075" i="3"/>
  <c r="C1075" i="3" s="1"/>
  <c r="D1075" i="3" a="1"/>
  <c r="E1075" i="3" a="1"/>
  <c r="F1075" i="3" a="1"/>
  <c r="G1075" i="3" a="1"/>
  <c r="B1076" i="3"/>
  <c r="C1076" i="3"/>
  <c r="D1076" i="3" a="1"/>
  <c r="E1076" i="3" a="1"/>
  <c r="F1076" i="3" a="1"/>
  <c r="G1076" i="3" a="1"/>
  <c r="B1077" i="3"/>
  <c r="C1077" i="3"/>
  <c r="D1077" i="3" a="1"/>
  <c r="E1077" i="3" a="1"/>
  <c r="F1077" i="3" a="1"/>
  <c r="G1077" i="3" a="1"/>
  <c r="B1078" i="3"/>
  <c r="C1078" i="3"/>
  <c r="D1078" i="3" a="1"/>
  <c r="E1078" i="3" a="1"/>
  <c r="F1078" i="3" a="1"/>
  <c r="G1078" i="3" a="1"/>
  <c r="B1079" i="3"/>
  <c r="C1079" i="3"/>
  <c r="D1079" i="3" a="1"/>
  <c r="E1079" i="3" a="1"/>
  <c r="F1079" i="3" a="1"/>
  <c r="G1079" i="3" a="1"/>
  <c r="B1080" i="3"/>
  <c r="C1080" i="3"/>
  <c r="D1080" i="3" a="1"/>
  <c r="E1080" i="3" a="1"/>
  <c r="F1080" i="3" a="1"/>
  <c r="G1080" i="3" a="1"/>
  <c r="B1081" i="3"/>
  <c r="C1081" i="3"/>
  <c r="D1081" i="3" a="1"/>
  <c r="E1081" i="3" a="1"/>
  <c r="F1081" i="3" a="1"/>
  <c r="G1081" i="3" a="1"/>
  <c r="B1082" i="3"/>
  <c r="C1082" i="3"/>
  <c r="D1082" i="3" a="1"/>
  <c r="E1082" i="3" a="1"/>
  <c r="F1082" i="3" a="1"/>
  <c r="G1082" i="3" a="1"/>
  <c r="B1083" i="3"/>
  <c r="C1083" i="3"/>
  <c r="D1083" i="3" a="1"/>
  <c r="E1083" i="3" a="1"/>
  <c r="F1083" i="3" a="1"/>
  <c r="G1083" i="3" a="1"/>
  <c r="B1084" i="3"/>
  <c r="C1084" i="3" s="1"/>
  <c r="D1084" i="3" a="1"/>
  <c r="E1084" i="3" a="1"/>
  <c r="F1084" i="3" a="1"/>
  <c r="G1084" i="3" a="1"/>
  <c r="B1085" i="3"/>
  <c r="C1085" i="3"/>
  <c r="D1085" i="3" a="1"/>
  <c r="E1085" i="3" a="1"/>
  <c r="F1085" i="3" a="1"/>
  <c r="G1085" i="3" a="1"/>
  <c r="B1086" i="3"/>
  <c r="C1086" i="3" s="1"/>
  <c r="D1086" i="3" a="1"/>
  <c r="E1086" i="3" a="1"/>
  <c r="F1086" i="3" a="1"/>
  <c r="G1086" i="3" a="1"/>
  <c r="B1087" i="3"/>
  <c r="C1087" i="3" s="1"/>
  <c r="D1087" i="3" a="1"/>
  <c r="E1087" i="3" a="1"/>
  <c r="F1087" i="3" a="1"/>
  <c r="G1087" i="3" a="1"/>
  <c r="B1088" i="3"/>
  <c r="C1088" i="3" s="1"/>
  <c r="D1088" i="3" a="1"/>
  <c r="E1088" i="3" a="1"/>
  <c r="F1088" i="3" a="1"/>
  <c r="G1088" i="3" a="1"/>
  <c r="B1089" i="3"/>
  <c r="C1089" i="3"/>
  <c r="D1089" i="3" a="1"/>
  <c r="E1089" i="3" a="1"/>
  <c r="F1089" i="3" a="1"/>
  <c r="G1089" i="3" a="1"/>
  <c r="B1090" i="3"/>
  <c r="C1090" i="3" s="1"/>
  <c r="D1090" i="3" a="1"/>
  <c r="E1090" i="3" a="1"/>
  <c r="F1090" i="3" a="1"/>
  <c r="G1090" i="3" a="1"/>
  <c r="B1091" i="3"/>
  <c r="C1091" i="3"/>
  <c r="D1091" i="3" a="1"/>
  <c r="E1091" i="3" a="1"/>
  <c r="F1091" i="3" a="1"/>
  <c r="G1091" i="3" a="1"/>
  <c r="B1092" i="3"/>
  <c r="C1092" i="3"/>
  <c r="D1092" i="3" a="1"/>
  <c r="E1092" i="3" a="1"/>
  <c r="F1092" i="3" a="1"/>
  <c r="G1092" i="3" a="1"/>
  <c r="B1093" i="3"/>
  <c r="C1093" i="3" s="1"/>
  <c r="D1093" i="3" a="1"/>
  <c r="E1093" i="3" a="1"/>
  <c r="F1093" i="3" a="1"/>
  <c r="G1093" i="3" a="1"/>
  <c r="B1094" i="3"/>
  <c r="C1094" i="3"/>
  <c r="D1094" i="3" a="1"/>
  <c r="E1094" i="3" a="1"/>
  <c r="F1094" i="3" a="1"/>
  <c r="G1094" i="3" a="1"/>
  <c r="B1095" i="3"/>
  <c r="C1095" i="3" s="1"/>
  <c r="D1095" i="3" a="1"/>
  <c r="E1095" i="3" a="1"/>
  <c r="F1095" i="3" a="1"/>
  <c r="G1095" i="3" a="1"/>
  <c r="B1096" i="3"/>
  <c r="C1096" i="3" s="1"/>
  <c r="D1096" i="3" a="1"/>
  <c r="E1096" i="3" a="1"/>
  <c r="F1096" i="3" a="1"/>
  <c r="G1096" i="3" a="1"/>
  <c r="B1097" i="3"/>
  <c r="C1097" i="3"/>
  <c r="D1097" i="3" a="1"/>
  <c r="E1097" i="3" a="1"/>
  <c r="F1097" i="3" a="1"/>
  <c r="G1097" i="3" a="1"/>
  <c r="B1098" i="3"/>
  <c r="C1098" i="3"/>
  <c r="D1098" i="3" a="1"/>
  <c r="E1098" i="3" a="1"/>
  <c r="F1098" i="3" a="1"/>
  <c r="G1098" i="3" a="1"/>
  <c r="B1099" i="3"/>
  <c r="C1099" i="3"/>
  <c r="D1099" i="3" a="1"/>
  <c r="E1099" i="3" a="1"/>
  <c r="F1099" i="3" a="1"/>
  <c r="G1099" i="3" a="1"/>
  <c r="B1100" i="3"/>
  <c r="C1100" i="3"/>
  <c r="D1100" i="3" a="1"/>
  <c r="E1100" i="3" a="1"/>
  <c r="F1100" i="3" a="1"/>
  <c r="G1100" i="3" a="1"/>
  <c r="B1101" i="3"/>
  <c r="C1101" i="3"/>
  <c r="D1101" i="3" a="1"/>
  <c r="E1101" i="3" a="1"/>
  <c r="F1101" i="3" a="1"/>
  <c r="G1101" i="3" a="1"/>
  <c r="B1102" i="3"/>
  <c r="C1102" i="3"/>
  <c r="D1102" i="3" a="1"/>
  <c r="E1102" i="3" a="1"/>
  <c r="F1102" i="3" a="1"/>
  <c r="G1102" i="3" a="1"/>
  <c r="B1103" i="3"/>
  <c r="C1103" i="3"/>
  <c r="D1103" i="3" a="1"/>
  <c r="E1103" i="3" a="1"/>
  <c r="F1103" i="3" a="1"/>
  <c r="G1103" i="3" a="1"/>
  <c r="B1104" i="3"/>
  <c r="C1104" i="3" s="1"/>
  <c r="D1104" i="3" a="1"/>
  <c r="E1104" i="3" a="1"/>
  <c r="F1104" i="3" a="1"/>
  <c r="G1104" i="3" a="1"/>
  <c r="B1105" i="3"/>
  <c r="C1105" i="3" s="1"/>
  <c r="D1105" i="3" a="1"/>
  <c r="E1105" i="3" a="1"/>
  <c r="F1105" i="3" a="1"/>
  <c r="G1105" i="3" a="1"/>
  <c r="B1106" i="3"/>
  <c r="C1106" i="3"/>
  <c r="D1106" i="3" a="1"/>
  <c r="E1106" i="3" a="1"/>
  <c r="F1106" i="3" a="1"/>
  <c r="G1106" i="3" a="1"/>
  <c r="B1107" i="3"/>
  <c r="C1107" i="3"/>
  <c r="D1107" i="3" a="1"/>
  <c r="E1107" i="3" a="1"/>
  <c r="F1107" i="3" a="1"/>
  <c r="G1107" i="3" a="1"/>
  <c r="B1108" i="3"/>
  <c r="C1108" i="3"/>
  <c r="D1108" i="3" a="1"/>
  <c r="E1108" i="3" a="1"/>
  <c r="F1108" i="3" a="1"/>
  <c r="G1108" i="3" a="1"/>
  <c r="B1109" i="3"/>
  <c r="C1109" i="3"/>
  <c r="D1109" i="3" a="1"/>
  <c r="E1109" i="3" a="1"/>
  <c r="F1109" i="3" a="1"/>
  <c r="G1109" i="3" a="1"/>
  <c r="B1110" i="3"/>
  <c r="C1110" i="3"/>
  <c r="D1110" i="3" a="1"/>
  <c r="E1110" i="3" a="1"/>
  <c r="F1110" i="3" a="1"/>
  <c r="G1110" i="3" a="1"/>
  <c r="B1111" i="3"/>
  <c r="C1111" i="3"/>
  <c r="D1111" i="3" a="1"/>
  <c r="E1111" i="3" a="1"/>
  <c r="F1111" i="3" a="1"/>
  <c r="G1111" i="3" a="1"/>
  <c r="B1112" i="3"/>
  <c r="C1112" i="3" s="1"/>
  <c r="D1112" i="3" a="1"/>
  <c r="E1112" i="3" a="1"/>
  <c r="F1112" i="3" a="1"/>
  <c r="G1112" i="3" a="1"/>
  <c r="B1113" i="3"/>
  <c r="C1113" i="3" s="1"/>
  <c r="D1113" i="3" a="1"/>
  <c r="E1113" i="3" a="1"/>
  <c r="F1113" i="3" a="1"/>
  <c r="G1113" i="3" a="1"/>
  <c r="B1114" i="3"/>
  <c r="C1114" i="3"/>
  <c r="D1114" i="3" a="1"/>
  <c r="E1114" i="3" a="1"/>
  <c r="F1114" i="3" a="1"/>
  <c r="G1114" i="3" a="1"/>
  <c r="B1115" i="3"/>
  <c r="C1115" i="3"/>
  <c r="D1115" i="3" a="1"/>
  <c r="E1115" i="3" a="1"/>
  <c r="F1115" i="3" a="1"/>
  <c r="G1115" i="3" a="1"/>
  <c r="B1116" i="3"/>
  <c r="C1116" i="3" s="1"/>
  <c r="D1116" i="3" a="1"/>
  <c r="E1116" i="3" a="1"/>
  <c r="F1116" i="3" a="1"/>
  <c r="G1116" i="3" a="1"/>
  <c r="B1117" i="3"/>
  <c r="C1117" i="3"/>
  <c r="D1117" i="3" a="1"/>
  <c r="E1117" i="3" a="1"/>
  <c r="F1117" i="3" a="1"/>
  <c r="G1117" i="3" a="1"/>
  <c r="B1118" i="3"/>
  <c r="C1118" i="3" s="1"/>
  <c r="D1118" i="3" a="1"/>
  <c r="E1118" i="3" a="1"/>
  <c r="F1118" i="3" a="1"/>
  <c r="G1118" i="3" a="1"/>
  <c r="B1119" i="3"/>
  <c r="C1119" i="3"/>
  <c r="D1119" i="3" a="1"/>
  <c r="E1119" i="3" a="1"/>
  <c r="F1119" i="3" a="1"/>
  <c r="G1119" i="3" a="1"/>
  <c r="B1120" i="3"/>
  <c r="C1120" i="3" s="1"/>
  <c r="D1120" i="3" a="1"/>
  <c r="E1120" i="3" a="1"/>
  <c r="F1120" i="3" a="1"/>
  <c r="G1120" i="3" a="1"/>
  <c r="B1121" i="3"/>
  <c r="C1121" i="3" s="1"/>
  <c r="D1121" i="3" a="1"/>
  <c r="E1121" i="3" a="1"/>
  <c r="F1121" i="3" a="1"/>
  <c r="G1121" i="3" a="1"/>
  <c r="B1122" i="3"/>
  <c r="C1122" i="3"/>
  <c r="D1122" i="3" a="1"/>
  <c r="E1122" i="3" a="1"/>
  <c r="F1122" i="3" a="1"/>
  <c r="G1122" i="3" a="1"/>
  <c r="B1123" i="3"/>
  <c r="C1123" i="3"/>
  <c r="D1123" i="3" a="1"/>
  <c r="E1123" i="3" a="1"/>
  <c r="F1123" i="3" a="1"/>
  <c r="G1123" i="3" a="1"/>
  <c r="B1124" i="3"/>
  <c r="C1124" i="3"/>
  <c r="D1124" i="3" a="1"/>
  <c r="E1124" i="3" a="1"/>
  <c r="F1124" i="3" a="1"/>
  <c r="G1124" i="3" a="1"/>
  <c r="B1125" i="3"/>
  <c r="C1125" i="3"/>
  <c r="D1125" i="3" a="1"/>
  <c r="E1125" i="3" a="1"/>
  <c r="F1125" i="3" a="1"/>
  <c r="G1125" i="3" a="1"/>
  <c r="B1126" i="3"/>
  <c r="C1126" i="3" s="1"/>
  <c r="D1126" i="3" a="1"/>
  <c r="E1126" i="3" a="1"/>
  <c r="F1126" i="3" a="1"/>
  <c r="G1126" i="3" a="1"/>
  <c r="B1127" i="3"/>
  <c r="C1127" i="3"/>
  <c r="D1127" i="3" a="1"/>
  <c r="E1127" i="3" a="1"/>
  <c r="F1127" i="3" a="1"/>
  <c r="G1127" i="3" a="1"/>
  <c r="B1128" i="3"/>
  <c r="C1128" i="3" s="1"/>
  <c r="D1128" i="3" a="1"/>
  <c r="E1128" i="3" a="1"/>
  <c r="F1128" i="3" a="1"/>
  <c r="G1128" i="3" a="1"/>
  <c r="B1129" i="3"/>
  <c r="C1129" i="3"/>
  <c r="D1129" i="3" a="1"/>
  <c r="E1129" i="3" a="1"/>
  <c r="F1129" i="3" a="1"/>
  <c r="G1129" i="3" a="1"/>
  <c r="B1130" i="3"/>
  <c r="C1130" i="3"/>
  <c r="D1130" i="3" a="1"/>
  <c r="E1130" i="3" a="1"/>
  <c r="F1130" i="3" a="1"/>
  <c r="G1130" i="3" a="1"/>
  <c r="B1131" i="3"/>
  <c r="C1131" i="3"/>
  <c r="D1131" i="3" a="1"/>
  <c r="E1131" i="3" a="1"/>
  <c r="F1131" i="3" a="1"/>
  <c r="G1131" i="3" a="1"/>
  <c r="B1132" i="3"/>
  <c r="C1132" i="3"/>
  <c r="D1132" i="3" a="1"/>
  <c r="E1132" i="3" a="1"/>
  <c r="F1132" i="3" a="1"/>
  <c r="G1132" i="3" a="1"/>
  <c r="B1133" i="3"/>
  <c r="C1133" i="3"/>
  <c r="D1133" i="3" a="1"/>
  <c r="E1133" i="3" a="1"/>
  <c r="F1133" i="3" a="1"/>
  <c r="G1133" i="3" a="1"/>
  <c r="B1134" i="3"/>
  <c r="C1134" i="3"/>
  <c r="D1134" i="3" a="1"/>
  <c r="E1134" i="3" a="1"/>
  <c r="F1134" i="3" a="1"/>
  <c r="G1134" i="3" a="1"/>
  <c r="B1135" i="3"/>
  <c r="C1135" i="3"/>
  <c r="D1135" i="3" a="1"/>
  <c r="E1135" i="3" a="1"/>
  <c r="F1135" i="3" a="1"/>
  <c r="G1135" i="3" a="1"/>
  <c r="B1136" i="3"/>
  <c r="C1136" i="3"/>
  <c r="D1136" i="3" a="1"/>
  <c r="E1136" i="3" a="1"/>
  <c r="F1136" i="3" a="1"/>
  <c r="G1136" i="3" a="1"/>
  <c r="B1137" i="3"/>
  <c r="C1137" i="3" s="1"/>
  <c r="D1137" i="3" a="1"/>
  <c r="E1137" i="3" a="1"/>
  <c r="F1137" i="3" a="1"/>
  <c r="G1137" i="3" a="1"/>
  <c r="B1138" i="3"/>
  <c r="C1138" i="3"/>
  <c r="D1138" i="3" a="1"/>
  <c r="E1138" i="3" a="1"/>
  <c r="F1138" i="3" a="1"/>
  <c r="G1138" i="3" a="1"/>
  <c r="B1139" i="3"/>
  <c r="C1139" i="3"/>
  <c r="D1139" i="3" a="1"/>
  <c r="E1139" i="3" a="1"/>
  <c r="F1139" i="3" a="1"/>
  <c r="G1139" i="3" a="1"/>
  <c r="B1140" i="3"/>
  <c r="C1140" i="3"/>
  <c r="D1140" i="3" a="1"/>
  <c r="E1140" i="3" a="1"/>
  <c r="F1140" i="3" a="1"/>
  <c r="G1140" i="3" a="1"/>
  <c r="B1141" i="3"/>
  <c r="C1141" i="3"/>
  <c r="D1141" i="3" a="1"/>
  <c r="E1141" i="3" a="1"/>
  <c r="F1141" i="3" a="1"/>
  <c r="G1141" i="3" a="1"/>
  <c r="B1142" i="3"/>
  <c r="C1142" i="3"/>
  <c r="D1142" i="3" a="1"/>
  <c r="E1142" i="3" a="1"/>
  <c r="F1142" i="3" a="1"/>
  <c r="G1142" i="3" a="1"/>
  <c r="B1143" i="3"/>
  <c r="C1143" i="3"/>
  <c r="D1143" i="3" a="1"/>
  <c r="E1143" i="3" a="1"/>
  <c r="F1143" i="3" a="1"/>
  <c r="G1143" i="3" a="1"/>
  <c r="B1144" i="3"/>
  <c r="C1144" i="3"/>
  <c r="D1144" i="3" a="1"/>
  <c r="E1144" i="3" a="1"/>
  <c r="F1144" i="3" a="1"/>
  <c r="G1144" i="3" a="1"/>
  <c r="B1145" i="3"/>
  <c r="C1145" i="3"/>
  <c r="D1145" i="3" a="1"/>
  <c r="E1145" i="3" a="1"/>
  <c r="F1145" i="3" a="1"/>
  <c r="G1145" i="3" a="1"/>
  <c r="B1146" i="3"/>
  <c r="C1146" i="3" s="1"/>
  <c r="D1146" i="3" a="1"/>
  <c r="E1146" i="3" a="1"/>
  <c r="F1146" i="3" a="1"/>
  <c r="G1146" i="3" a="1"/>
  <c r="B1147" i="3"/>
  <c r="C1147" i="3"/>
  <c r="D1147" i="3" a="1"/>
  <c r="E1147" i="3" a="1"/>
  <c r="F1147" i="3" a="1"/>
  <c r="G1147" i="3" a="1"/>
  <c r="B1148" i="3"/>
  <c r="C1148" i="3"/>
  <c r="D1148" i="3" a="1"/>
  <c r="E1148" i="3" a="1"/>
  <c r="F1148" i="3" a="1"/>
  <c r="G1148" i="3" a="1"/>
  <c r="B1149" i="3"/>
  <c r="C1149" i="3"/>
  <c r="D1149" i="3" a="1"/>
  <c r="E1149" i="3" a="1"/>
  <c r="F1149" i="3" a="1"/>
  <c r="G1149" i="3" a="1"/>
  <c r="B1150" i="3"/>
  <c r="C1150" i="3" s="1"/>
  <c r="D1150" i="3" a="1"/>
  <c r="E1150" i="3" a="1"/>
  <c r="F1150" i="3" a="1"/>
  <c r="G1150" i="3" a="1"/>
  <c r="B1151" i="3"/>
  <c r="C1151" i="3"/>
  <c r="D1151" i="3" a="1"/>
  <c r="E1151" i="3" a="1"/>
  <c r="F1151" i="3" a="1"/>
  <c r="G1151" i="3" a="1"/>
  <c r="B1152" i="3"/>
  <c r="C1152" i="3"/>
  <c r="D1152" i="3" a="1"/>
  <c r="E1152" i="3" a="1"/>
  <c r="F1152" i="3" a="1"/>
  <c r="G1152" i="3" a="1"/>
  <c r="B1153" i="3"/>
  <c r="C1153" i="3" s="1"/>
  <c r="D1153" i="3" a="1"/>
  <c r="E1153" i="3" a="1"/>
  <c r="F1153" i="3" a="1"/>
  <c r="G1153" i="3" a="1"/>
  <c r="B1154" i="3"/>
  <c r="C1154" i="3"/>
  <c r="D1154" i="3" a="1"/>
  <c r="E1154" i="3" a="1"/>
  <c r="F1154" i="3" a="1"/>
  <c r="G1154" i="3" a="1"/>
  <c r="B1155" i="3"/>
  <c r="C1155" i="3"/>
  <c r="D1155" i="3" a="1"/>
  <c r="E1155" i="3" a="1"/>
  <c r="F1155" i="3" a="1"/>
  <c r="G1155" i="3" a="1"/>
  <c r="B1156" i="3"/>
  <c r="C1156" i="3"/>
  <c r="D1156" i="3" a="1"/>
  <c r="E1156" i="3" a="1"/>
  <c r="F1156" i="3" a="1"/>
  <c r="G1156" i="3" a="1"/>
  <c r="B1157" i="3"/>
  <c r="C1157" i="3"/>
  <c r="D1157" i="3" a="1"/>
  <c r="E1157" i="3" a="1"/>
  <c r="F1157" i="3" a="1"/>
  <c r="G1157" i="3" a="1"/>
  <c r="B1158" i="3"/>
  <c r="C1158" i="3"/>
  <c r="D1158" i="3" a="1"/>
  <c r="E1158" i="3" a="1"/>
  <c r="F1158" i="3" a="1"/>
  <c r="G1158" i="3" a="1"/>
  <c r="B1159" i="3"/>
  <c r="C1159" i="3" s="1"/>
  <c r="D1159" i="3" a="1"/>
  <c r="E1159" i="3" a="1"/>
  <c r="F1159" i="3" a="1"/>
  <c r="G1159" i="3" a="1"/>
  <c r="B1160" i="3"/>
  <c r="C1160" i="3" s="1"/>
  <c r="D1160" i="3" a="1"/>
  <c r="E1160" i="3" a="1"/>
  <c r="F1160" i="3" a="1"/>
  <c r="G1160" i="3" a="1"/>
  <c r="B1161" i="3"/>
  <c r="C1161" i="3"/>
  <c r="D1161" i="3" a="1"/>
  <c r="E1161" i="3" a="1"/>
  <c r="F1161" i="3" a="1"/>
  <c r="G1161" i="3" a="1"/>
  <c r="B1162" i="3"/>
  <c r="C1162" i="3" s="1"/>
  <c r="D1162" i="3" a="1"/>
  <c r="E1162" i="3" a="1"/>
  <c r="F1162" i="3" a="1"/>
  <c r="G1162" i="3" a="1"/>
  <c r="B1163" i="3"/>
  <c r="C1163" i="3"/>
  <c r="D1163" i="3" a="1"/>
  <c r="E1163" i="3" a="1"/>
  <c r="F1163" i="3" a="1"/>
  <c r="G1163" i="3" a="1"/>
  <c r="B1164" i="3"/>
  <c r="C1164" i="3"/>
  <c r="D1164" i="3" a="1"/>
  <c r="E1164" i="3" a="1"/>
  <c r="F1164" i="3" a="1"/>
  <c r="G1164" i="3" a="1"/>
  <c r="B1165" i="3"/>
  <c r="C1165" i="3"/>
  <c r="D1165" i="3" a="1"/>
  <c r="E1165" i="3" a="1"/>
  <c r="F1165" i="3" a="1"/>
  <c r="G1165" i="3" a="1"/>
  <c r="B1166" i="3"/>
  <c r="C1166" i="3" s="1"/>
  <c r="D1166" i="3" a="1"/>
  <c r="E1166" i="3" a="1"/>
  <c r="F1166" i="3" a="1"/>
  <c r="G1166" i="3" a="1"/>
  <c r="B1167" i="3"/>
  <c r="C1167" i="3"/>
  <c r="D1167" i="3" a="1"/>
  <c r="E1167" i="3" a="1"/>
  <c r="F1167" i="3" a="1"/>
  <c r="G1167" i="3" a="1"/>
  <c r="B1168" i="3"/>
  <c r="C1168" i="3"/>
  <c r="D1168" i="3" a="1"/>
  <c r="E1168" i="3" a="1"/>
  <c r="F1168" i="3" a="1"/>
  <c r="G1168" i="3" a="1"/>
  <c r="B1169" i="3"/>
  <c r="C1169" i="3"/>
  <c r="D1169" i="3" a="1"/>
  <c r="E1169" i="3" a="1"/>
  <c r="F1169" i="3" a="1"/>
  <c r="G1169" i="3" a="1"/>
  <c r="B1170" i="3"/>
  <c r="C1170" i="3"/>
  <c r="D1170" i="3" a="1"/>
  <c r="E1170" i="3" a="1"/>
  <c r="F1170" i="3" a="1"/>
  <c r="G1170" i="3" a="1"/>
  <c r="B1171" i="3"/>
  <c r="C1171" i="3" s="1"/>
  <c r="D1171" i="3" a="1"/>
  <c r="E1171" i="3" a="1"/>
  <c r="F1171" i="3" a="1"/>
  <c r="G1171" i="3" a="1"/>
  <c r="B1172" i="3"/>
  <c r="C1172" i="3" s="1"/>
  <c r="D1172" i="3" a="1"/>
  <c r="E1172" i="3" a="1"/>
  <c r="F1172" i="3" a="1"/>
  <c r="G1172" i="3" a="1"/>
  <c r="B1173" i="3"/>
  <c r="C1173" i="3"/>
  <c r="D1173" i="3" a="1"/>
  <c r="E1173" i="3" a="1"/>
  <c r="F1173" i="3" a="1"/>
  <c r="G1173" i="3" a="1"/>
  <c r="B1174" i="3"/>
  <c r="C1174" i="3"/>
  <c r="D1174" i="3" a="1"/>
  <c r="E1174" i="3" a="1"/>
  <c r="F1174" i="3" a="1"/>
  <c r="G1174" i="3" a="1"/>
  <c r="B1175" i="3"/>
  <c r="C1175" i="3"/>
  <c r="D1175" i="3" a="1"/>
  <c r="E1175" i="3" a="1"/>
  <c r="F1175" i="3" a="1"/>
  <c r="G1175" i="3" a="1"/>
  <c r="B1176" i="3"/>
  <c r="C1176" i="3" s="1"/>
  <c r="D1176" i="3" a="1"/>
  <c r="E1176" i="3" a="1"/>
  <c r="F1176" i="3" a="1"/>
  <c r="G1176" i="3" a="1"/>
  <c r="B1177" i="3"/>
  <c r="C1177" i="3"/>
  <c r="D1177" i="3" a="1"/>
  <c r="E1177" i="3" a="1"/>
  <c r="F1177" i="3" a="1"/>
  <c r="G1177" i="3" a="1"/>
  <c r="B1178" i="3"/>
  <c r="C1178" i="3"/>
  <c r="D1178" i="3" a="1"/>
  <c r="E1178" i="3" a="1"/>
  <c r="F1178" i="3" a="1"/>
  <c r="G1178" i="3" a="1"/>
  <c r="B1179" i="3"/>
  <c r="C1179" i="3"/>
  <c r="D1179" i="3" a="1"/>
  <c r="E1179" i="3" a="1"/>
  <c r="F1179" i="3" a="1"/>
  <c r="G1179" i="3" a="1"/>
  <c r="B1180" i="3"/>
  <c r="C1180" i="3" s="1"/>
  <c r="D1180" i="3" a="1"/>
  <c r="E1180" i="3" a="1"/>
  <c r="F1180" i="3" a="1"/>
  <c r="G1180" i="3" a="1"/>
  <c r="B1181" i="3"/>
  <c r="C1181" i="3"/>
  <c r="D1181" i="3" a="1"/>
  <c r="E1181" i="3" a="1"/>
  <c r="F1181" i="3" a="1"/>
  <c r="G1181" i="3" a="1"/>
  <c r="B1182" i="3"/>
  <c r="C1182" i="3"/>
  <c r="D1182" i="3" a="1"/>
  <c r="E1182" i="3" a="1"/>
  <c r="F1182" i="3" a="1"/>
  <c r="G1182" i="3" a="1"/>
  <c r="B1183" i="3"/>
  <c r="C1183" i="3"/>
  <c r="D1183" i="3" a="1"/>
  <c r="E1183" i="3" a="1"/>
  <c r="F1183" i="3" a="1"/>
  <c r="G1183" i="3" a="1"/>
  <c r="B1184" i="3"/>
  <c r="C1184" i="3" s="1"/>
  <c r="D1184" i="3" a="1"/>
  <c r="E1184" i="3" a="1"/>
  <c r="F1184" i="3" a="1"/>
  <c r="G1184" i="3" a="1"/>
  <c r="B1185" i="3"/>
  <c r="C1185" i="3"/>
  <c r="D1185" i="3" a="1"/>
  <c r="E1185" i="3" a="1"/>
  <c r="F1185" i="3" a="1"/>
  <c r="G1185" i="3" a="1"/>
  <c r="B1186" i="3"/>
  <c r="C1186" i="3" s="1"/>
  <c r="D1186" i="3" a="1"/>
  <c r="E1186" i="3" a="1"/>
  <c r="F1186" i="3" a="1"/>
  <c r="G1186" i="3" a="1"/>
  <c r="B1187" i="3"/>
  <c r="C1187" i="3"/>
  <c r="D1187" i="3" a="1"/>
  <c r="E1187" i="3" a="1"/>
  <c r="F1187" i="3" a="1"/>
  <c r="G1187" i="3" a="1"/>
  <c r="B1188" i="3"/>
  <c r="C1188" i="3"/>
  <c r="D1188" i="3" a="1"/>
  <c r="E1188" i="3" a="1"/>
  <c r="F1188" i="3" a="1"/>
  <c r="G1188" i="3" a="1"/>
  <c r="B1189" i="3"/>
  <c r="C1189" i="3"/>
  <c r="D1189" i="3" a="1"/>
  <c r="E1189" i="3" a="1"/>
  <c r="F1189" i="3" a="1"/>
  <c r="G1189" i="3" a="1"/>
  <c r="B1190" i="3"/>
  <c r="C1190" i="3"/>
  <c r="D1190" i="3" a="1"/>
  <c r="E1190" i="3" a="1"/>
  <c r="F1190" i="3" a="1"/>
  <c r="G1190" i="3" a="1"/>
  <c r="B1191" i="3"/>
  <c r="C1191" i="3" s="1"/>
  <c r="D1191" i="3" a="1"/>
  <c r="E1191" i="3" a="1"/>
  <c r="F1191" i="3" a="1"/>
  <c r="G1191" i="3" a="1"/>
  <c r="B1192" i="3"/>
  <c r="C1192" i="3"/>
  <c r="D1192" i="3" a="1"/>
  <c r="E1192" i="3" a="1"/>
  <c r="F1192" i="3" a="1"/>
  <c r="G1192" i="3" a="1"/>
  <c r="B1193" i="3"/>
  <c r="C1193" i="3"/>
  <c r="D1193" i="3" a="1"/>
  <c r="E1193" i="3" a="1"/>
  <c r="F1193" i="3" a="1"/>
  <c r="G1193" i="3" a="1"/>
  <c r="B1194" i="3"/>
  <c r="C1194" i="3"/>
  <c r="D1194" i="3" a="1"/>
  <c r="E1194" i="3" a="1"/>
  <c r="F1194" i="3" a="1"/>
  <c r="G1194" i="3" a="1"/>
  <c r="B1195" i="3"/>
  <c r="C1195" i="3"/>
  <c r="D1195" i="3" a="1"/>
  <c r="E1195" i="3" a="1"/>
  <c r="F1195" i="3" a="1"/>
  <c r="G1195" i="3" a="1"/>
  <c r="B1196" i="3"/>
  <c r="C1196" i="3"/>
  <c r="D1196" i="3" a="1"/>
  <c r="E1196" i="3" a="1"/>
  <c r="F1196" i="3" a="1"/>
  <c r="G1196" i="3" a="1"/>
  <c r="B1197" i="3"/>
  <c r="C1197" i="3"/>
  <c r="D1197" i="3" a="1"/>
  <c r="E1197" i="3" a="1"/>
  <c r="F1197" i="3" a="1"/>
  <c r="G1197" i="3" a="1"/>
  <c r="B1198" i="3"/>
  <c r="C1198" i="3"/>
  <c r="D1198" i="3" a="1"/>
  <c r="E1198" i="3" a="1"/>
  <c r="F1198" i="3" a="1"/>
  <c r="G1198" i="3" a="1"/>
  <c r="B1199" i="3"/>
  <c r="C1199" i="3"/>
  <c r="D1199" i="3" a="1"/>
  <c r="E1199" i="3" a="1"/>
  <c r="F1199" i="3" a="1"/>
  <c r="G1199" i="3" a="1"/>
  <c r="B1200" i="3"/>
  <c r="C1200" i="3"/>
  <c r="D1200" i="3" a="1"/>
  <c r="E1200" i="3" a="1"/>
  <c r="F1200" i="3" a="1"/>
  <c r="G1200" i="3" a="1"/>
  <c r="B1201" i="3"/>
  <c r="C1201" i="3"/>
  <c r="D1201" i="3" a="1"/>
  <c r="E1201" i="3" a="1"/>
  <c r="F1201" i="3" a="1"/>
  <c r="G1201" i="3" a="1"/>
  <c r="B1202" i="3"/>
  <c r="C1202" i="3" s="1"/>
  <c r="D1202" i="3" a="1"/>
  <c r="E1202" i="3" a="1"/>
  <c r="F1202" i="3" a="1"/>
  <c r="G1202" i="3" a="1"/>
  <c r="B1203" i="3"/>
  <c r="C1203" i="3" s="1"/>
  <c r="D1203" i="3" a="1"/>
  <c r="E1203" i="3" a="1"/>
  <c r="F1203" i="3" a="1"/>
  <c r="G1203" i="3" a="1"/>
  <c r="B1204" i="3"/>
  <c r="C1204" i="3"/>
  <c r="D1204" i="3" a="1"/>
  <c r="E1204" i="3" a="1"/>
  <c r="F1204" i="3" a="1"/>
  <c r="G1204" i="3" a="1"/>
  <c r="B1205" i="3"/>
  <c r="C1205" i="3"/>
  <c r="D1205" i="3" a="1"/>
  <c r="E1205" i="3" a="1"/>
  <c r="F1205" i="3" a="1"/>
  <c r="G1205" i="3" a="1"/>
  <c r="B1206" i="3"/>
  <c r="C1206" i="3" s="1"/>
  <c r="D1206" i="3" a="1"/>
  <c r="E1206" i="3" a="1"/>
  <c r="F1206" i="3" a="1"/>
  <c r="G1206" i="3" a="1"/>
  <c r="B1207" i="3"/>
  <c r="C1207" i="3"/>
  <c r="D1207" i="3" a="1"/>
  <c r="E1207" i="3" a="1"/>
  <c r="F1207" i="3" a="1"/>
  <c r="G1207" i="3" a="1"/>
  <c r="B1208" i="3"/>
  <c r="C1208" i="3"/>
  <c r="D1208" i="3" a="1"/>
  <c r="E1208" i="3" a="1"/>
  <c r="F1208" i="3" a="1"/>
  <c r="G1208" i="3" a="1"/>
  <c r="B1209" i="3"/>
  <c r="C1209" i="3"/>
  <c r="D1209" i="3" a="1"/>
  <c r="E1209" i="3" a="1"/>
  <c r="F1209" i="3" a="1"/>
  <c r="G1209" i="3" a="1"/>
  <c r="B1210" i="3"/>
  <c r="C1210" i="3" s="1"/>
  <c r="D1210" i="3" a="1"/>
  <c r="E1210" i="3" a="1"/>
  <c r="F1210" i="3" a="1"/>
  <c r="G1210" i="3" a="1"/>
  <c r="B1211" i="3"/>
  <c r="C1211" i="3"/>
  <c r="D1211" i="3" a="1"/>
  <c r="E1211" i="3" a="1"/>
  <c r="F1211" i="3" a="1"/>
  <c r="G1211" i="3" a="1"/>
  <c r="B1212" i="3"/>
  <c r="C1212" i="3"/>
  <c r="D1212" i="3" a="1"/>
  <c r="E1212" i="3" a="1"/>
  <c r="F1212" i="3" a="1"/>
  <c r="G1212" i="3" a="1"/>
  <c r="B1213" i="3"/>
  <c r="C1213" i="3"/>
  <c r="D1213" i="3" a="1"/>
  <c r="E1213" i="3" a="1"/>
  <c r="F1213" i="3" a="1"/>
  <c r="G1213" i="3" a="1"/>
  <c r="B1214" i="3"/>
  <c r="C1214" i="3" s="1"/>
  <c r="D1214" i="3" a="1"/>
  <c r="E1214" i="3" a="1"/>
  <c r="F1214" i="3" a="1"/>
  <c r="G1214" i="3" a="1"/>
  <c r="B1215" i="3"/>
  <c r="C1215" i="3"/>
  <c r="D1215" i="3" a="1"/>
  <c r="E1215" i="3" a="1"/>
  <c r="F1215" i="3" a="1"/>
  <c r="G1215" i="3" a="1"/>
  <c r="B1216" i="3"/>
  <c r="C1216" i="3"/>
  <c r="D1216" i="3" a="1"/>
  <c r="E1216" i="3" a="1"/>
  <c r="F1216" i="3" a="1"/>
  <c r="G1216" i="3" a="1"/>
  <c r="B1217" i="3"/>
  <c r="C1217" i="3"/>
  <c r="D1217" i="3" a="1"/>
  <c r="E1217" i="3" a="1"/>
  <c r="F1217" i="3" a="1"/>
  <c r="G1217" i="3" a="1"/>
  <c r="B1218" i="3"/>
  <c r="C1218" i="3"/>
  <c r="D1218" i="3" a="1"/>
  <c r="E1218" i="3" a="1"/>
  <c r="F1218" i="3" a="1"/>
  <c r="G1218" i="3" a="1"/>
  <c r="B1219" i="3"/>
  <c r="C1219" i="3"/>
  <c r="D1219" i="3" a="1"/>
  <c r="E1219" i="3" a="1"/>
  <c r="F1219" i="3" a="1"/>
  <c r="G1219" i="3" a="1"/>
  <c r="B1220" i="3"/>
  <c r="C1220" i="3"/>
  <c r="D1220" i="3" a="1"/>
  <c r="E1220" i="3" a="1"/>
  <c r="F1220" i="3" a="1"/>
  <c r="G1220" i="3" a="1"/>
  <c r="B1221" i="3"/>
  <c r="C1221" i="3" s="1"/>
  <c r="D1221" i="3" a="1"/>
  <c r="E1221" i="3" a="1"/>
  <c r="F1221" i="3" a="1"/>
  <c r="G1221" i="3" a="1"/>
  <c r="B1222" i="3"/>
  <c r="C1222" i="3" s="1"/>
  <c r="D1222" i="3" a="1"/>
  <c r="E1222" i="3" a="1"/>
  <c r="F1222" i="3" a="1"/>
  <c r="G1222" i="3" a="1"/>
  <c r="B1223" i="3"/>
  <c r="C1223" i="3"/>
  <c r="D1223" i="3" a="1"/>
  <c r="E1223" i="3" a="1"/>
  <c r="F1223" i="3" a="1"/>
  <c r="G1223" i="3" a="1"/>
  <c r="B1224" i="3"/>
  <c r="C1224" i="3"/>
  <c r="D1224" i="3" a="1"/>
  <c r="E1224" i="3" a="1"/>
  <c r="F1224" i="3" a="1"/>
  <c r="G1224" i="3" a="1"/>
  <c r="B1225" i="3"/>
  <c r="C1225" i="3"/>
  <c r="D1225" i="3" a="1"/>
  <c r="E1225" i="3" a="1"/>
  <c r="F1225" i="3" a="1"/>
  <c r="G1225" i="3" a="1"/>
  <c r="B1226" i="3"/>
  <c r="C1226" i="3" s="1"/>
  <c r="D1226" i="3" a="1"/>
  <c r="E1226" i="3" a="1"/>
  <c r="F1226" i="3" a="1"/>
  <c r="G1226" i="3" a="1"/>
  <c r="B1227" i="3"/>
  <c r="C1227" i="3" s="1"/>
  <c r="D1227" i="3" a="1"/>
  <c r="E1227" i="3" a="1"/>
  <c r="F1227" i="3" a="1"/>
  <c r="G1227" i="3" a="1"/>
  <c r="B1228" i="3"/>
  <c r="C1228" i="3"/>
  <c r="D1228" i="3" a="1"/>
  <c r="E1228" i="3" a="1"/>
  <c r="F1228" i="3" a="1"/>
  <c r="G1228" i="3" a="1"/>
  <c r="B1229" i="3"/>
  <c r="C1229" i="3"/>
  <c r="D1229" i="3" a="1"/>
  <c r="E1229" i="3" a="1"/>
  <c r="F1229" i="3" a="1"/>
  <c r="G1229" i="3" a="1"/>
  <c r="B1230" i="3"/>
  <c r="C1230" i="3" s="1"/>
  <c r="D1230" i="3" a="1"/>
  <c r="E1230" i="3" a="1"/>
  <c r="F1230" i="3" a="1"/>
  <c r="G1230" i="3" a="1"/>
  <c r="B1231" i="3"/>
  <c r="C1231" i="3"/>
  <c r="D1231" i="3" a="1"/>
  <c r="E1231" i="3" a="1"/>
  <c r="F1231" i="3" a="1"/>
  <c r="G1231" i="3" a="1"/>
  <c r="B1232" i="3"/>
  <c r="C1232" i="3"/>
  <c r="D1232" i="3" a="1"/>
  <c r="E1232" i="3" a="1"/>
  <c r="F1232" i="3" a="1"/>
  <c r="G1232" i="3" a="1"/>
  <c r="B1233" i="3"/>
  <c r="C1233" i="3"/>
  <c r="D1233" i="3" a="1"/>
  <c r="E1233" i="3" a="1"/>
  <c r="F1233" i="3" a="1"/>
  <c r="G1233" i="3" a="1"/>
  <c r="B1234" i="3"/>
  <c r="C1234" i="3" s="1"/>
  <c r="D1234" i="3" a="1"/>
  <c r="E1234" i="3" a="1"/>
  <c r="F1234" i="3" a="1"/>
  <c r="G1234" i="3" a="1"/>
  <c r="B1235" i="3"/>
  <c r="C1235" i="3" s="1"/>
  <c r="D1235" i="3" a="1"/>
  <c r="E1235" i="3" a="1"/>
  <c r="F1235" i="3" a="1"/>
  <c r="G1235" i="3" a="1"/>
  <c r="B1236" i="3"/>
  <c r="C1236" i="3" s="1"/>
  <c r="D1236" i="3" a="1"/>
  <c r="E1236" i="3" a="1"/>
  <c r="F1236" i="3" a="1"/>
  <c r="G1236" i="3" a="1"/>
  <c r="B1237" i="3"/>
  <c r="C1237" i="3"/>
  <c r="D1237" i="3" a="1"/>
  <c r="E1237" i="3" a="1"/>
  <c r="F1237" i="3" a="1"/>
  <c r="G1237" i="3" a="1"/>
  <c r="B1238" i="3"/>
  <c r="C1238" i="3"/>
  <c r="D1238" i="3" a="1"/>
  <c r="E1238" i="3" a="1"/>
  <c r="F1238" i="3" a="1"/>
  <c r="G1238" i="3" a="1"/>
  <c r="B1239" i="3"/>
  <c r="C1239" i="3"/>
  <c r="D1239" i="3" a="1"/>
  <c r="E1239" i="3" a="1"/>
  <c r="F1239" i="3" a="1"/>
  <c r="G1239" i="3" a="1"/>
  <c r="B1240" i="3"/>
  <c r="C1240" i="3" s="1"/>
  <c r="D1240" i="3" a="1"/>
  <c r="E1240" i="3" a="1"/>
  <c r="F1240" i="3" a="1"/>
  <c r="G1240" i="3" a="1"/>
  <c r="B1241" i="3"/>
  <c r="C1241" i="3"/>
  <c r="D1241" i="3" a="1"/>
  <c r="E1241" i="3" a="1"/>
  <c r="F1241" i="3" a="1"/>
  <c r="G1241" i="3" a="1"/>
  <c r="B1242" i="3"/>
  <c r="C1242" i="3"/>
  <c r="D1242" i="3" a="1"/>
  <c r="E1242" i="3" a="1"/>
  <c r="F1242" i="3" a="1"/>
  <c r="G1242" i="3" a="1"/>
  <c r="B1243" i="3"/>
  <c r="C1243" i="3" s="1"/>
  <c r="D1243" i="3" a="1"/>
  <c r="E1243" i="3" a="1"/>
  <c r="F1243" i="3" a="1"/>
  <c r="G1243" i="3" a="1"/>
  <c r="B1244" i="3"/>
  <c r="C1244" i="3" s="1"/>
  <c r="D1244" i="3" a="1"/>
  <c r="E1244" i="3" a="1"/>
  <c r="F1244" i="3" a="1"/>
  <c r="G1244" i="3" a="1"/>
  <c r="B1245" i="3"/>
  <c r="C1245" i="3" s="1"/>
  <c r="D1245" i="3" a="1"/>
  <c r="E1245" i="3" a="1"/>
  <c r="F1245" i="3" a="1"/>
  <c r="G1245" i="3" a="1"/>
  <c r="B1246" i="3"/>
  <c r="C1246" i="3" s="1"/>
  <c r="D1246" i="3" a="1"/>
  <c r="E1246" i="3" a="1"/>
  <c r="F1246" i="3" a="1"/>
  <c r="G1246" i="3" a="1"/>
  <c r="B1247" i="3"/>
  <c r="C1247" i="3" s="1"/>
  <c r="D1247" i="3" a="1"/>
  <c r="E1247" i="3" a="1"/>
  <c r="F1247" i="3" a="1"/>
  <c r="G1247" i="3" a="1"/>
  <c r="B1248" i="3"/>
  <c r="C1248" i="3"/>
  <c r="D1248" i="3" a="1"/>
  <c r="E1248" i="3" a="1"/>
  <c r="F1248" i="3" a="1"/>
  <c r="G1248" i="3" a="1"/>
  <c r="B1249" i="3"/>
  <c r="C1249" i="3"/>
  <c r="D1249" i="3" a="1"/>
  <c r="E1249" i="3" a="1"/>
  <c r="F1249" i="3" a="1"/>
  <c r="G1249" i="3" a="1"/>
  <c r="B1250" i="3"/>
  <c r="C1250" i="3"/>
  <c r="D1250" i="3" a="1"/>
  <c r="E1250" i="3" a="1"/>
  <c r="F1250" i="3" a="1"/>
  <c r="G1250" i="3" a="1"/>
  <c r="B1251" i="3"/>
  <c r="C1251" i="3"/>
  <c r="D1251" i="3" a="1"/>
  <c r="E1251" i="3" a="1"/>
  <c r="F1251" i="3" a="1"/>
  <c r="G1251" i="3" a="1"/>
  <c r="B1252" i="3"/>
  <c r="C1252" i="3" s="1"/>
  <c r="D1252" i="3" a="1"/>
  <c r="E1252" i="3" a="1"/>
  <c r="F1252" i="3" a="1"/>
  <c r="G1252" i="3" a="1"/>
  <c r="B1253" i="3"/>
  <c r="C1253" i="3"/>
  <c r="D1253" i="3" a="1"/>
  <c r="E1253" i="3" a="1"/>
  <c r="F1253" i="3" a="1"/>
  <c r="G1253" i="3" a="1"/>
  <c r="B1254" i="3"/>
  <c r="C1254" i="3"/>
  <c r="D1254" i="3" a="1"/>
  <c r="E1254" i="3" a="1"/>
  <c r="F1254" i="3" a="1"/>
  <c r="G1254" i="3" a="1"/>
  <c r="B1255" i="3"/>
  <c r="C1255" i="3"/>
  <c r="D1255" i="3" a="1"/>
  <c r="E1255" i="3" a="1"/>
  <c r="F1255" i="3" a="1"/>
  <c r="G1255" i="3" a="1"/>
  <c r="B1256" i="3"/>
  <c r="C1256" i="3" s="1"/>
  <c r="D1256" i="3" a="1"/>
  <c r="E1256" i="3" a="1"/>
  <c r="F1256" i="3" a="1"/>
  <c r="G1256" i="3" a="1"/>
  <c r="B1257" i="3"/>
  <c r="C1257" i="3"/>
  <c r="D1257" i="3" a="1"/>
  <c r="E1257" i="3" a="1"/>
  <c r="F1257" i="3" a="1"/>
  <c r="G1257" i="3" a="1"/>
  <c r="B1258" i="3"/>
  <c r="C1258" i="3"/>
  <c r="D1258" i="3" a="1"/>
  <c r="E1258" i="3" a="1"/>
  <c r="F1258" i="3" a="1"/>
  <c r="G1258" i="3" a="1"/>
  <c r="B1259" i="3"/>
  <c r="C1259" i="3"/>
  <c r="D1259" i="3" a="1"/>
  <c r="E1259" i="3" a="1"/>
  <c r="F1259" i="3" a="1"/>
  <c r="G1259" i="3" a="1"/>
  <c r="B1260" i="3"/>
  <c r="C1260" i="3"/>
  <c r="D1260" i="3" a="1"/>
  <c r="E1260" i="3" a="1"/>
  <c r="F1260" i="3" a="1"/>
  <c r="G1260" i="3" a="1"/>
  <c r="B1261" i="3"/>
  <c r="C1261" i="3"/>
  <c r="D1261" i="3" a="1"/>
  <c r="E1261" i="3" a="1"/>
  <c r="F1261" i="3" a="1"/>
  <c r="G1261" i="3" a="1"/>
  <c r="B1262" i="3"/>
  <c r="C1262" i="3"/>
  <c r="D1262" i="3" a="1"/>
  <c r="E1262" i="3" a="1"/>
  <c r="F1262" i="3" a="1"/>
  <c r="G1262" i="3" a="1"/>
  <c r="B763" i="3"/>
  <c r="C763" i="3" s="1"/>
  <c r="D763" i="3" a="1"/>
  <c r="E763" i="3" a="1"/>
  <c r="F763" i="3" a="1"/>
  <c r="G763" i="3" a="1"/>
  <c r="B764" i="3"/>
  <c r="C764" i="3" s="1"/>
  <c r="D764" i="3" a="1"/>
  <c r="E764" i="3" a="1"/>
  <c r="F764" i="3" a="1"/>
  <c r="G764" i="3" a="1"/>
  <c r="B765" i="3"/>
  <c r="C765" i="3" s="1"/>
  <c r="D765" i="3" a="1"/>
  <c r="E765" i="3" a="1"/>
  <c r="F765" i="3" a="1"/>
  <c r="G765" i="3" a="1"/>
  <c r="B766" i="3"/>
  <c r="C766" i="3" s="1"/>
  <c r="D766" i="3" a="1"/>
  <c r="E766" i="3" a="1"/>
  <c r="F766" i="3" a="1"/>
  <c r="G766" i="3" a="1"/>
  <c r="B767" i="3"/>
  <c r="C767" i="3" s="1"/>
  <c r="D767" i="3" a="1"/>
  <c r="E767" i="3" a="1"/>
  <c r="F767" i="3" a="1"/>
  <c r="G767" i="3" a="1"/>
  <c r="B768" i="3"/>
  <c r="C768" i="3" s="1"/>
  <c r="D768" i="3" a="1"/>
  <c r="E768" i="3" a="1"/>
  <c r="F768" i="3" a="1"/>
  <c r="G768" i="3" a="1"/>
  <c r="B769" i="3"/>
  <c r="C769" i="3" s="1"/>
  <c r="D769" i="3" a="1"/>
  <c r="E769" i="3" a="1"/>
  <c r="F769" i="3" a="1"/>
  <c r="G769" i="3" a="1"/>
  <c r="B770" i="3"/>
  <c r="C770" i="3"/>
  <c r="D770" i="3" a="1"/>
  <c r="E770" i="3" a="1"/>
  <c r="F770" i="3" a="1"/>
  <c r="G770" i="3" a="1"/>
  <c r="B771" i="3"/>
  <c r="C771" i="3" s="1"/>
  <c r="D771" i="3" a="1"/>
  <c r="E771" i="3" a="1"/>
  <c r="F771" i="3" a="1"/>
  <c r="G771" i="3" a="1"/>
  <c r="B772" i="3"/>
  <c r="C772" i="3"/>
  <c r="D772" i="3" a="1"/>
  <c r="E772" i="3" a="1"/>
  <c r="F772" i="3" a="1"/>
  <c r="G772" i="3" a="1"/>
  <c r="B773" i="3"/>
  <c r="C773" i="3" s="1"/>
  <c r="D773" i="3" a="1"/>
  <c r="E773" i="3" a="1"/>
  <c r="F773" i="3" a="1"/>
  <c r="G773" i="3" a="1"/>
  <c r="B774" i="3"/>
  <c r="C774" i="3" s="1"/>
  <c r="D774" i="3" a="1"/>
  <c r="E774" i="3" a="1"/>
  <c r="F774" i="3" a="1"/>
  <c r="G774" i="3" a="1"/>
  <c r="B775" i="3"/>
  <c r="C775" i="3" s="1"/>
  <c r="D775" i="3" a="1"/>
  <c r="E775" i="3" a="1"/>
  <c r="F775" i="3" a="1"/>
  <c r="G775" i="3" a="1"/>
  <c r="B776" i="3"/>
  <c r="C776" i="3"/>
  <c r="D776" i="3" a="1"/>
  <c r="E776" i="3" a="1"/>
  <c r="F776" i="3" a="1"/>
  <c r="G776" i="3" a="1"/>
  <c r="B777" i="3"/>
  <c r="C777" i="3" s="1"/>
  <c r="D777" i="3" a="1"/>
  <c r="E777" i="3" a="1"/>
  <c r="F777" i="3" a="1"/>
  <c r="G777" i="3" a="1"/>
  <c r="B778" i="3"/>
  <c r="C778" i="3" s="1"/>
  <c r="D778" i="3" a="1"/>
  <c r="E778" i="3" a="1"/>
  <c r="F778" i="3" a="1"/>
  <c r="G778" i="3" a="1"/>
  <c r="B779" i="3"/>
  <c r="C779" i="3" s="1"/>
  <c r="D779" i="3" a="1"/>
  <c r="E779" i="3" a="1"/>
  <c r="F779" i="3" a="1"/>
  <c r="G779" i="3" a="1"/>
  <c r="B780" i="3"/>
  <c r="C780" i="3" s="1"/>
  <c r="D780" i="3" a="1"/>
  <c r="E780" i="3" a="1"/>
  <c r="F780" i="3" a="1"/>
  <c r="G780" i="3" a="1"/>
  <c r="B781" i="3"/>
  <c r="C781" i="3" s="1"/>
  <c r="D781" i="3" a="1"/>
  <c r="E781" i="3" a="1"/>
  <c r="F781" i="3" a="1"/>
  <c r="G781" i="3" a="1"/>
  <c r="B782" i="3"/>
  <c r="C782" i="3" s="1"/>
  <c r="D782" i="3" a="1"/>
  <c r="E782" i="3" a="1"/>
  <c r="F782" i="3" a="1"/>
  <c r="G782" i="3" a="1"/>
  <c r="B783" i="3"/>
  <c r="C783" i="3"/>
  <c r="D783" i="3" a="1"/>
  <c r="E783" i="3" a="1"/>
  <c r="F783" i="3" a="1"/>
  <c r="G783" i="3" a="1"/>
  <c r="B784" i="3"/>
  <c r="C784" i="3" s="1"/>
  <c r="D784" i="3" a="1"/>
  <c r="E784" i="3" a="1"/>
  <c r="F784" i="3" a="1"/>
  <c r="G784" i="3" a="1"/>
  <c r="B785" i="3"/>
  <c r="C785" i="3" s="1"/>
  <c r="D785" i="3" a="1"/>
  <c r="E785" i="3" a="1"/>
  <c r="F785" i="3" a="1"/>
  <c r="G785" i="3" a="1"/>
  <c r="B786" i="3"/>
  <c r="C786" i="3"/>
  <c r="D786" i="3" a="1"/>
  <c r="E786" i="3" a="1"/>
  <c r="F786" i="3" a="1"/>
  <c r="G786" i="3" a="1"/>
  <c r="B787" i="3"/>
  <c r="C787" i="3" s="1"/>
  <c r="D787" i="3" a="1"/>
  <c r="E787" i="3" a="1"/>
  <c r="F787" i="3" a="1"/>
  <c r="G787" i="3" a="1"/>
  <c r="B788" i="3"/>
  <c r="C788" i="3"/>
  <c r="D788" i="3" a="1"/>
  <c r="E788" i="3" a="1"/>
  <c r="F788" i="3" a="1"/>
  <c r="G788" i="3" a="1"/>
  <c r="B789" i="3"/>
  <c r="C789" i="3"/>
  <c r="D789" i="3" a="1"/>
  <c r="E789" i="3" a="1"/>
  <c r="F789" i="3" a="1"/>
  <c r="G789" i="3" a="1"/>
  <c r="B790" i="3"/>
  <c r="C790" i="3"/>
  <c r="D790" i="3" a="1"/>
  <c r="E790" i="3" a="1"/>
  <c r="F790" i="3" a="1"/>
  <c r="G790" i="3" a="1"/>
  <c r="B791" i="3"/>
  <c r="C791" i="3"/>
  <c r="D791" i="3" a="1"/>
  <c r="E791" i="3" a="1"/>
  <c r="F791" i="3" a="1"/>
  <c r="G791" i="3" a="1"/>
  <c r="B792" i="3"/>
  <c r="C792" i="3"/>
  <c r="D792" i="3" a="1"/>
  <c r="E792" i="3" a="1"/>
  <c r="F792" i="3" a="1"/>
  <c r="G792" i="3" a="1"/>
  <c r="B793" i="3"/>
  <c r="C793" i="3"/>
  <c r="D793" i="3" a="1"/>
  <c r="E793" i="3" a="1"/>
  <c r="F793" i="3" a="1"/>
  <c r="G793" i="3" a="1"/>
  <c r="B794" i="3"/>
  <c r="C794" i="3"/>
  <c r="D794" i="3" a="1"/>
  <c r="E794" i="3" a="1"/>
  <c r="F794" i="3" a="1"/>
  <c r="G794" i="3" a="1"/>
  <c r="B795" i="3"/>
  <c r="C795" i="3"/>
  <c r="D795" i="3" a="1"/>
  <c r="E795" i="3" a="1"/>
  <c r="F795" i="3" a="1"/>
  <c r="G795" i="3" a="1"/>
  <c r="B796" i="3"/>
  <c r="C796" i="3"/>
  <c r="D796" i="3" a="1"/>
  <c r="E796" i="3" a="1"/>
  <c r="F796" i="3" a="1"/>
  <c r="G796" i="3" a="1"/>
  <c r="B797" i="3"/>
  <c r="C797" i="3"/>
  <c r="D797" i="3" a="1"/>
  <c r="E797" i="3" a="1"/>
  <c r="F797" i="3" a="1"/>
  <c r="G797" i="3" a="1"/>
  <c r="B798" i="3"/>
  <c r="C798" i="3"/>
  <c r="D798" i="3" a="1"/>
  <c r="E798" i="3" a="1"/>
  <c r="F798" i="3" a="1"/>
  <c r="G798" i="3" a="1"/>
  <c r="B799" i="3"/>
  <c r="C799" i="3"/>
  <c r="D799" i="3" a="1"/>
  <c r="E799" i="3" a="1"/>
  <c r="F799" i="3" a="1"/>
  <c r="G799" i="3" a="1"/>
  <c r="B800" i="3"/>
  <c r="C800" i="3"/>
  <c r="D800" i="3" a="1"/>
  <c r="E800" i="3" a="1"/>
  <c r="F800" i="3" a="1"/>
  <c r="G800" i="3" a="1"/>
  <c r="B801" i="3"/>
  <c r="C801" i="3"/>
  <c r="D801" i="3" a="1"/>
  <c r="E801" i="3" a="1"/>
  <c r="F801" i="3" a="1"/>
  <c r="G801" i="3" a="1"/>
  <c r="B802" i="3"/>
  <c r="C802" i="3"/>
  <c r="D802" i="3" a="1"/>
  <c r="E802" i="3" a="1"/>
  <c r="F802" i="3" a="1"/>
  <c r="G802" i="3" a="1"/>
  <c r="B803" i="3"/>
  <c r="C803" i="3"/>
  <c r="D803" i="3" a="1"/>
  <c r="E803" i="3" a="1"/>
  <c r="F803" i="3" a="1"/>
  <c r="G803" i="3" a="1"/>
  <c r="B804" i="3"/>
  <c r="C804" i="3"/>
  <c r="D804" i="3" a="1"/>
  <c r="E804" i="3" a="1"/>
  <c r="F804" i="3" a="1"/>
  <c r="G804" i="3" a="1"/>
  <c r="B805" i="3"/>
  <c r="C805" i="3"/>
  <c r="D805" i="3" a="1"/>
  <c r="E805" i="3" a="1"/>
  <c r="F805" i="3" a="1"/>
  <c r="G805" i="3" a="1"/>
  <c r="B806" i="3"/>
  <c r="C806" i="3"/>
  <c r="D806" i="3" a="1"/>
  <c r="E806" i="3" a="1"/>
  <c r="F806" i="3" a="1"/>
  <c r="G806" i="3" a="1"/>
  <c r="B807" i="3"/>
  <c r="C807" i="3"/>
  <c r="D807" i="3" a="1"/>
  <c r="E807" i="3" a="1"/>
  <c r="F807" i="3" a="1"/>
  <c r="G807" i="3" a="1"/>
  <c r="B808" i="3"/>
  <c r="C808" i="3"/>
  <c r="D808" i="3" a="1"/>
  <c r="E808" i="3" a="1"/>
  <c r="F808" i="3" a="1"/>
  <c r="G808" i="3" a="1"/>
  <c r="B809" i="3"/>
  <c r="C809" i="3" s="1"/>
  <c r="D809" i="3" a="1"/>
  <c r="E809" i="3" a="1"/>
  <c r="F809" i="3" a="1"/>
  <c r="G809" i="3" a="1"/>
  <c r="B810" i="3"/>
  <c r="C810" i="3"/>
  <c r="D810" i="3" a="1"/>
  <c r="E810" i="3" a="1"/>
  <c r="F810" i="3" a="1"/>
  <c r="G810" i="3" a="1"/>
  <c r="B811" i="3"/>
  <c r="C811" i="3" s="1"/>
  <c r="D811" i="3" a="1"/>
  <c r="E811" i="3" a="1"/>
  <c r="F811" i="3" a="1"/>
  <c r="G811" i="3" a="1"/>
  <c r="B812" i="3"/>
  <c r="C812" i="3"/>
  <c r="D812" i="3" a="1"/>
  <c r="E812" i="3" a="1"/>
  <c r="F812" i="3" a="1"/>
  <c r="G812" i="3" a="1"/>
  <c r="B813" i="3"/>
  <c r="C813" i="3"/>
  <c r="D813" i="3" a="1"/>
  <c r="E813" i="3" a="1"/>
  <c r="F813" i="3" a="1"/>
  <c r="G813" i="3" a="1"/>
  <c r="B814" i="3"/>
  <c r="C814" i="3"/>
  <c r="D814" i="3" a="1"/>
  <c r="E814" i="3" a="1"/>
  <c r="F814" i="3" a="1"/>
  <c r="G814" i="3" a="1"/>
  <c r="B815" i="3"/>
  <c r="C815" i="3"/>
  <c r="D815" i="3" a="1"/>
  <c r="E815" i="3" a="1"/>
  <c r="F815" i="3" a="1"/>
  <c r="G815" i="3" a="1"/>
  <c r="B816" i="3"/>
  <c r="C816" i="3"/>
  <c r="D816" i="3" a="1"/>
  <c r="E816" i="3" a="1"/>
  <c r="F816" i="3" a="1"/>
  <c r="G816" i="3" a="1"/>
  <c r="B817" i="3"/>
  <c r="C817" i="3"/>
  <c r="D817" i="3" a="1"/>
  <c r="E817" i="3" a="1"/>
  <c r="F817" i="3" a="1"/>
  <c r="G817" i="3" a="1"/>
  <c r="B818" i="3"/>
  <c r="C818" i="3" s="1"/>
  <c r="D818" i="3" a="1"/>
  <c r="E818" i="3" a="1"/>
  <c r="F818" i="3" a="1"/>
  <c r="G818" i="3" a="1"/>
  <c r="B819" i="3"/>
  <c r="C819" i="3" s="1"/>
  <c r="D819" i="3" a="1"/>
  <c r="E819" i="3" a="1"/>
  <c r="F819" i="3" a="1"/>
  <c r="G819" i="3" a="1"/>
  <c r="B820" i="3"/>
  <c r="C820" i="3"/>
  <c r="D820" i="3" a="1"/>
  <c r="E820" i="3" a="1"/>
  <c r="F820" i="3" a="1"/>
  <c r="G820" i="3" a="1"/>
  <c r="B821" i="3"/>
  <c r="C821" i="3"/>
  <c r="D821" i="3" a="1"/>
  <c r="E821" i="3" a="1"/>
  <c r="F821" i="3" a="1"/>
  <c r="G821" i="3" a="1"/>
  <c r="B822" i="3"/>
  <c r="C822" i="3"/>
  <c r="D822" i="3" a="1"/>
  <c r="E822" i="3" a="1"/>
  <c r="F822" i="3" a="1"/>
  <c r="G822" i="3" a="1"/>
  <c r="B823" i="3"/>
  <c r="C823" i="3"/>
  <c r="D823" i="3" a="1"/>
  <c r="E823" i="3" a="1"/>
  <c r="F823" i="3" a="1"/>
  <c r="G823" i="3" a="1"/>
  <c r="B824" i="3"/>
  <c r="C824" i="3"/>
  <c r="D824" i="3" a="1"/>
  <c r="E824" i="3" a="1"/>
  <c r="F824" i="3" a="1"/>
  <c r="G824" i="3" a="1"/>
  <c r="B825" i="3"/>
  <c r="C825" i="3"/>
  <c r="D825" i="3" a="1"/>
  <c r="E825" i="3" a="1"/>
  <c r="F825" i="3" a="1"/>
  <c r="G825" i="3" a="1"/>
  <c r="B826" i="3"/>
  <c r="C826" i="3"/>
  <c r="D826" i="3" a="1"/>
  <c r="E826" i="3" a="1"/>
  <c r="F826" i="3" a="1"/>
  <c r="G826" i="3" a="1"/>
  <c r="B827" i="3"/>
  <c r="C827" i="3"/>
  <c r="D827" i="3" a="1"/>
  <c r="E827" i="3" a="1"/>
  <c r="F827" i="3" a="1"/>
  <c r="G827" i="3" a="1"/>
  <c r="B828" i="3"/>
  <c r="C828" i="3" s="1"/>
  <c r="D828" i="3" a="1"/>
  <c r="E828" i="3" a="1"/>
  <c r="F828" i="3" a="1"/>
  <c r="G828" i="3" a="1"/>
  <c r="B829" i="3"/>
  <c r="C829" i="3"/>
  <c r="D829" i="3" a="1"/>
  <c r="E829" i="3" a="1"/>
  <c r="F829" i="3" a="1"/>
  <c r="G829" i="3" a="1"/>
  <c r="B830" i="3"/>
  <c r="C830" i="3"/>
  <c r="D830" i="3" a="1"/>
  <c r="E830" i="3" a="1"/>
  <c r="F830" i="3" a="1"/>
  <c r="G830" i="3" a="1"/>
  <c r="B831" i="3"/>
  <c r="C831" i="3"/>
  <c r="D831" i="3" a="1"/>
  <c r="E831" i="3" a="1"/>
  <c r="F831" i="3" a="1"/>
  <c r="G831" i="3" a="1"/>
  <c r="B832" i="3"/>
  <c r="C832" i="3"/>
  <c r="D832" i="3" a="1"/>
  <c r="E832" i="3" a="1"/>
  <c r="F832" i="3" a="1"/>
  <c r="G832" i="3" a="1"/>
  <c r="B833" i="3"/>
  <c r="C833" i="3"/>
  <c r="D833" i="3" a="1"/>
  <c r="E833" i="3" a="1"/>
  <c r="F833" i="3" a="1"/>
  <c r="G833" i="3" a="1"/>
  <c r="B834" i="3"/>
  <c r="C834" i="3"/>
  <c r="D834" i="3" a="1"/>
  <c r="E834" i="3" a="1"/>
  <c r="F834" i="3" a="1"/>
  <c r="G834" i="3" a="1"/>
  <c r="B835" i="3"/>
  <c r="C835" i="3"/>
  <c r="D835" i="3" a="1"/>
  <c r="E835" i="3" a="1"/>
  <c r="F835" i="3" a="1"/>
  <c r="G835" i="3" a="1"/>
  <c r="B836" i="3"/>
  <c r="C836" i="3"/>
  <c r="D836" i="3" a="1"/>
  <c r="E836" i="3" a="1"/>
  <c r="F836" i="3" a="1"/>
  <c r="G836" i="3" a="1"/>
  <c r="B837" i="3"/>
  <c r="C837" i="3" s="1"/>
  <c r="D837" i="3" a="1"/>
  <c r="E837" i="3" a="1"/>
  <c r="F837" i="3" a="1"/>
  <c r="G837" i="3" a="1"/>
  <c r="B838" i="3"/>
  <c r="C838" i="3"/>
  <c r="D838" i="3" a="1"/>
  <c r="E838" i="3" a="1"/>
  <c r="F838" i="3" a="1"/>
  <c r="G838" i="3" a="1"/>
  <c r="B839" i="3"/>
  <c r="C839" i="3"/>
  <c r="D839" i="3" a="1"/>
  <c r="E839" i="3" a="1"/>
  <c r="F839" i="3" a="1"/>
  <c r="G839" i="3" a="1"/>
  <c r="B840" i="3"/>
  <c r="C840" i="3" s="1"/>
  <c r="D840" i="3" a="1"/>
  <c r="E840" i="3" a="1"/>
  <c r="F840" i="3" a="1"/>
  <c r="G840" i="3" a="1"/>
  <c r="B841" i="3"/>
  <c r="C841" i="3"/>
  <c r="D841" i="3" a="1"/>
  <c r="E841" i="3" a="1"/>
  <c r="F841" i="3" a="1"/>
  <c r="G841" i="3" a="1"/>
  <c r="B842" i="3"/>
  <c r="C842" i="3"/>
  <c r="D842" i="3" a="1"/>
  <c r="E842" i="3" a="1"/>
  <c r="F842" i="3" a="1"/>
  <c r="G842" i="3" a="1"/>
  <c r="B843" i="3"/>
  <c r="C843" i="3"/>
  <c r="D843" i="3" a="1"/>
  <c r="E843" i="3" a="1"/>
  <c r="F843" i="3" a="1"/>
  <c r="G843" i="3" a="1"/>
  <c r="B844" i="3"/>
  <c r="C844" i="3"/>
  <c r="D844" i="3" a="1"/>
  <c r="E844" i="3" a="1"/>
  <c r="F844" i="3" a="1"/>
  <c r="G844" i="3" a="1"/>
  <c r="B845" i="3"/>
  <c r="C845" i="3"/>
  <c r="D845" i="3" a="1"/>
  <c r="E845" i="3" a="1"/>
  <c r="F845" i="3" a="1"/>
  <c r="G845" i="3" a="1"/>
  <c r="B846" i="3"/>
  <c r="C846" i="3"/>
  <c r="D846" i="3" a="1"/>
  <c r="E846" i="3" a="1"/>
  <c r="F846" i="3" a="1"/>
  <c r="G846" i="3" a="1"/>
  <c r="B847" i="3"/>
  <c r="C847" i="3" s="1"/>
  <c r="D847" i="3" a="1"/>
  <c r="E847" i="3" a="1"/>
  <c r="F847" i="3" a="1"/>
  <c r="G847" i="3" a="1"/>
  <c r="B848" i="3"/>
  <c r="C848" i="3"/>
  <c r="D848" i="3" a="1"/>
  <c r="E848" i="3" a="1"/>
  <c r="F848" i="3" a="1"/>
  <c r="G848" i="3" a="1"/>
  <c r="B849" i="3"/>
  <c r="C849" i="3" s="1"/>
  <c r="D849" i="3" a="1"/>
  <c r="E849" i="3" a="1"/>
  <c r="F849" i="3" a="1"/>
  <c r="G849" i="3" a="1"/>
  <c r="B850" i="3"/>
  <c r="C850" i="3"/>
  <c r="D850" i="3" a="1"/>
  <c r="E850" i="3" a="1"/>
  <c r="F850" i="3" a="1"/>
  <c r="G850" i="3" a="1"/>
  <c r="B851" i="3"/>
  <c r="C851" i="3"/>
  <c r="D851" i="3" a="1"/>
  <c r="E851" i="3" a="1"/>
  <c r="F851" i="3" a="1"/>
  <c r="G851" i="3" a="1"/>
  <c r="B852" i="3"/>
  <c r="C852" i="3" s="1"/>
  <c r="D852" i="3" a="1"/>
  <c r="E852" i="3" a="1"/>
  <c r="F852" i="3" a="1"/>
  <c r="G852" i="3" a="1"/>
  <c r="B853" i="3"/>
  <c r="C853" i="3"/>
  <c r="D853" i="3" a="1"/>
  <c r="E853" i="3" a="1"/>
  <c r="F853" i="3" a="1"/>
  <c r="G853" i="3" a="1"/>
  <c r="B854" i="3"/>
  <c r="C854" i="3"/>
  <c r="D854" i="3" a="1"/>
  <c r="E854" i="3" a="1"/>
  <c r="F854" i="3" a="1"/>
  <c r="G854" i="3" a="1"/>
  <c r="B855" i="3"/>
  <c r="C855" i="3"/>
  <c r="D855" i="3" a="1"/>
  <c r="E855" i="3" a="1"/>
  <c r="F855" i="3" a="1"/>
  <c r="G855" i="3" a="1"/>
  <c r="B856" i="3"/>
  <c r="C856" i="3"/>
  <c r="D856" i="3" a="1"/>
  <c r="E856" i="3" a="1"/>
  <c r="F856" i="3" a="1"/>
  <c r="G856" i="3" a="1"/>
  <c r="B857" i="3"/>
  <c r="C857" i="3" s="1"/>
  <c r="D857" i="3" a="1"/>
  <c r="E857" i="3" a="1"/>
  <c r="F857" i="3" a="1"/>
  <c r="G857" i="3" a="1"/>
  <c r="B858" i="3"/>
  <c r="C858" i="3"/>
  <c r="D858" i="3" a="1"/>
  <c r="E858" i="3" a="1"/>
  <c r="F858" i="3" a="1"/>
  <c r="G858" i="3" a="1"/>
  <c r="B859" i="3"/>
  <c r="C859" i="3"/>
  <c r="D859" i="3" a="1"/>
  <c r="E859" i="3" a="1"/>
  <c r="F859" i="3" a="1"/>
  <c r="G859" i="3" a="1"/>
  <c r="B860" i="3"/>
  <c r="C860" i="3"/>
  <c r="D860" i="3" a="1"/>
  <c r="E860" i="3" a="1"/>
  <c r="F860" i="3" a="1"/>
  <c r="G860" i="3" a="1"/>
  <c r="B861" i="3"/>
  <c r="C861" i="3"/>
  <c r="D861" i="3" a="1"/>
  <c r="E861" i="3" a="1"/>
  <c r="F861" i="3" a="1"/>
  <c r="G861" i="3" a="1"/>
  <c r="B862" i="3"/>
  <c r="C862" i="3"/>
  <c r="D862" i="3" a="1"/>
  <c r="E862" i="3" a="1"/>
  <c r="F862" i="3" a="1"/>
  <c r="G862" i="3" a="1"/>
  <c r="B863" i="3"/>
  <c r="C863" i="3"/>
  <c r="D863" i="3" a="1"/>
  <c r="E863" i="3" a="1"/>
  <c r="F863" i="3" a="1"/>
  <c r="G863" i="3" a="1"/>
  <c r="B864" i="3"/>
  <c r="C864" i="3" s="1"/>
  <c r="D864" i="3" a="1"/>
  <c r="E864" i="3" a="1"/>
  <c r="F864" i="3" a="1"/>
  <c r="G864" i="3" a="1"/>
  <c r="B865" i="3"/>
  <c r="C865" i="3"/>
  <c r="D865" i="3" a="1"/>
  <c r="E865" i="3" a="1"/>
  <c r="F865" i="3" a="1"/>
  <c r="G865" i="3" a="1"/>
  <c r="B866" i="3"/>
  <c r="C866" i="3" s="1"/>
  <c r="D866" i="3" a="1"/>
  <c r="E866" i="3" a="1"/>
  <c r="F866" i="3" a="1"/>
  <c r="G866" i="3" a="1"/>
  <c r="B867" i="3"/>
  <c r="C867" i="3" s="1"/>
  <c r="D867" i="3" a="1"/>
  <c r="E867" i="3" a="1"/>
  <c r="F867" i="3" a="1"/>
  <c r="G867" i="3" a="1"/>
  <c r="B868" i="3"/>
  <c r="C868" i="3"/>
  <c r="D868" i="3" a="1"/>
  <c r="E868" i="3" a="1"/>
  <c r="F868" i="3" a="1"/>
  <c r="G868" i="3" a="1"/>
  <c r="B869" i="3"/>
  <c r="C869" i="3" s="1"/>
  <c r="D869" i="3" a="1"/>
  <c r="E869" i="3" a="1"/>
  <c r="F869" i="3" a="1"/>
  <c r="G869" i="3" a="1"/>
  <c r="B870" i="3"/>
  <c r="C870" i="3" s="1"/>
  <c r="D870" i="3" a="1"/>
  <c r="E870" i="3" a="1"/>
  <c r="F870" i="3" a="1"/>
  <c r="G870" i="3" a="1"/>
  <c r="B871" i="3"/>
  <c r="C871" i="3"/>
  <c r="D871" i="3" a="1"/>
  <c r="E871" i="3" a="1"/>
  <c r="F871" i="3" a="1"/>
  <c r="G871" i="3" a="1"/>
  <c r="B872" i="3"/>
  <c r="C872" i="3"/>
  <c r="D872" i="3" a="1"/>
  <c r="E872" i="3" a="1"/>
  <c r="F872" i="3" a="1"/>
  <c r="G872" i="3" a="1"/>
  <c r="B873" i="3"/>
  <c r="C873" i="3"/>
  <c r="D873" i="3" a="1"/>
  <c r="E873" i="3" a="1"/>
  <c r="F873" i="3" a="1"/>
  <c r="G873" i="3" a="1"/>
  <c r="B874" i="3"/>
  <c r="C874" i="3"/>
  <c r="D874" i="3" a="1"/>
  <c r="E874" i="3" a="1"/>
  <c r="F874" i="3" a="1"/>
  <c r="G874" i="3" a="1"/>
  <c r="B875" i="3"/>
  <c r="C875" i="3"/>
  <c r="D875" i="3" a="1"/>
  <c r="E875" i="3" a="1"/>
  <c r="F875" i="3" a="1"/>
  <c r="G875" i="3" a="1"/>
  <c r="B876" i="3"/>
  <c r="C876" i="3"/>
  <c r="D876" i="3" a="1"/>
  <c r="E876" i="3" a="1"/>
  <c r="F876" i="3" a="1"/>
  <c r="G876" i="3" a="1"/>
  <c r="B877" i="3"/>
  <c r="C877" i="3"/>
  <c r="D877" i="3" a="1"/>
  <c r="E877" i="3" a="1"/>
  <c r="F877" i="3" a="1"/>
  <c r="G877" i="3" a="1"/>
  <c r="B878" i="3"/>
  <c r="C878" i="3"/>
  <c r="D878" i="3" a="1"/>
  <c r="E878" i="3" a="1"/>
  <c r="F878" i="3" a="1"/>
  <c r="G878" i="3" a="1"/>
  <c r="B879" i="3"/>
  <c r="C879" i="3"/>
  <c r="D879" i="3" a="1"/>
  <c r="E879" i="3" a="1"/>
  <c r="F879" i="3" a="1"/>
  <c r="G879" i="3" a="1"/>
  <c r="B880" i="3"/>
  <c r="C880" i="3" s="1"/>
  <c r="D880" i="3" a="1"/>
  <c r="E880" i="3" a="1"/>
  <c r="F880" i="3" a="1"/>
  <c r="G880" i="3" a="1"/>
  <c r="B881" i="3"/>
  <c r="C881" i="3"/>
  <c r="D881" i="3" a="1"/>
  <c r="E881" i="3" a="1"/>
  <c r="F881" i="3" a="1"/>
  <c r="G881" i="3" a="1"/>
  <c r="B882" i="3"/>
  <c r="C882" i="3"/>
  <c r="D882" i="3" a="1"/>
  <c r="E882" i="3" a="1"/>
  <c r="F882" i="3" a="1"/>
  <c r="G882" i="3" a="1"/>
  <c r="B883" i="3"/>
  <c r="C883" i="3"/>
  <c r="D883" i="3" a="1"/>
  <c r="E883" i="3" a="1"/>
  <c r="F883" i="3" a="1"/>
  <c r="G883" i="3" a="1"/>
  <c r="B884" i="3"/>
  <c r="C884" i="3"/>
  <c r="D884" i="3" a="1"/>
  <c r="E884" i="3" a="1"/>
  <c r="F884" i="3" a="1"/>
  <c r="G884" i="3" a="1"/>
  <c r="B885" i="3"/>
  <c r="C885" i="3" s="1"/>
  <c r="D885" i="3" a="1"/>
  <c r="E885" i="3" a="1"/>
  <c r="F885" i="3" a="1"/>
  <c r="G885" i="3" a="1"/>
  <c r="B886" i="3"/>
  <c r="C886" i="3"/>
  <c r="D886" i="3" a="1"/>
  <c r="E886" i="3" a="1"/>
  <c r="F886" i="3" a="1"/>
  <c r="G886" i="3" a="1"/>
  <c r="B887" i="3"/>
  <c r="C887" i="3"/>
  <c r="D887" i="3" a="1"/>
  <c r="E887" i="3" a="1"/>
  <c r="F887" i="3" a="1"/>
  <c r="G887" i="3" a="1"/>
  <c r="B888" i="3"/>
  <c r="C888" i="3"/>
  <c r="D888" i="3" a="1"/>
  <c r="E888" i="3" a="1"/>
  <c r="F888" i="3" a="1"/>
  <c r="G888" i="3" a="1"/>
  <c r="B889" i="3"/>
  <c r="C889" i="3"/>
  <c r="D889" i="3" a="1"/>
  <c r="E889" i="3" a="1"/>
  <c r="F889" i="3" a="1"/>
  <c r="G889" i="3" a="1"/>
  <c r="B890" i="3"/>
  <c r="C890" i="3"/>
  <c r="D890" i="3" a="1"/>
  <c r="E890" i="3" a="1"/>
  <c r="F890" i="3" a="1"/>
  <c r="G890" i="3" a="1"/>
  <c r="B891" i="3"/>
  <c r="C891" i="3" s="1"/>
  <c r="D891" i="3" a="1"/>
  <c r="E891" i="3" a="1"/>
  <c r="F891" i="3" a="1"/>
  <c r="G891" i="3" a="1"/>
  <c r="B892" i="3"/>
  <c r="C892" i="3"/>
  <c r="D892" i="3" a="1"/>
  <c r="E892" i="3" a="1"/>
  <c r="F892" i="3" a="1"/>
  <c r="G892" i="3" a="1"/>
  <c r="B893" i="3"/>
  <c r="C893" i="3"/>
  <c r="D893" i="3" a="1"/>
  <c r="E893" i="3" a="1"/>
  <c r="F893" i="3" a="1"/>
  <c r="G893" i="3" a="1"/>
  <c r="B894" i="3"/>
  <c r="C894" i="3" s="1"/>
  <c r="D894" i="3" a="1"/>
  <c r="E894" i="3" a="1"/>
  <c r="F894" i="3" a="1"/>
  <c r="G894" i="3" a="1"/>
  <c r="B895" i="3"/>
  <c r="C895" i="3"/>
  <c r="D895" i="3" a="1"/>
  <c r="E895" i="3" a="1"/>
  <c r="F895" i="3" a="1"/>
  <c r="G895" i="3" a="1"/>
  <c r="B896" i="3"/>
  <c r="C896" i="3"/>
  <c r="D896" i="3" a="1"/>
  <c r="E896" i="3" a="1"/>
  <c r="F896" i="3" a="1"/>
  <c r="G896" i="3" a="1"/>
  <c r="B897" i="3"/>
  <c r="C897" i="3"/>
  <c r="D897" i="3" a="1"/>
  <c r="E897" i="3" a="1"/>
  <c r="F897" i="3" a="1"/>
  <c r="G897" i="3" a="1"/>
  <c r="B898" i="3"/>
  <c r="C898" i="3"/>
  <c r="D898" i="3" a="1"/>
  <c r="E898" i="3" a="1"/>
  <c r="F898" i="3" a="1"/>
  <c r="G898" i="3" a="1"/>
  <c r="B899" i="3"/>
  <c r="C899" i="3"/>
  <c r="D899" i="3" a="1"/>
  <c r="E899" i="3" a="1"/>
  <c r="F899" i="3" a="1"/>
  <c r="G899" i="3" a="1"/>
  <c r="B900" i="3"/>
  <c r="C900" i="3" s="1"/>
  <c r="D900" i="3" a="1"/>
  <c r="E900" i="3" a="1"/>
  <c r="F900" i="3" a="1"/>
  <c r="G900" i="3" a="1"/>
  <c r="B901" i="3"/>
  <c r="C901" i="3"/>
  <c r="D901" i="3" a="1"/>
  <c r="E901" i="3" a="1"/>
  <c r="F901" i="3" a="1"/>
  <c r="G901" i="3" a="1"/>
  <c r="B902" i="3"/>
  <c r="C902" i="3"/>
  <c r="D902" i="3" a="1"/>
  <c r="E902" i="3" a="1"/>
  <c r="F902" i="3" a="1"/>
  <c r="G902" i="3" a="1"/>
  <c r="B903" i="3"/>
  <c r="C903" i="3"/>
  <c r="D903" i="3" a="1"/>
  <c r="E903" i="3" a="1"/>
  <c r="F903" i="3" a="1"/>
  <c r="G903" i="3" a="1"/>
  <c r="B904" i="3"/>
  <c r="C904" i="3"/>
  <c r="D904" i="3" a="1"/>
  <c r="E904" i="3" a="1"/>
  <c r="F904" i="3" a="1"/>
  <c r="G904" i="3" a="1"/>
  <c r="B905" i="3"/>
  <c r="C905" i="3"/>
  <c r="D905" i="3" a="1"/>
  <c r="E905" i="3" a="1"/>
  <c r="F905" i="3" a="1"/>
  <c r="G905" i="3" a="1"/>
  <c r="B906" i="3"/>
  <c r="C906" i="3" s="1"/>
  <c r="D906" i="3" a="1"/>
  <c r="E906" i="3" a="1"/>
  <c r="F906" i="3" a="1"/>
  <c r="G906" i="3" a="1"/>
  <c r="B907" i="3"/>
  <c r="C907" i="3"/>
  <c r="D907" i="3" a="1"/>
  <c r="E907" i="3" a="1"/>
  <c r="F907" i="3" a="1"/>
  <c r="G907" i="3" a="1"/>
  <c r="B908" i="3"/>
  <c r="C908" i="3"/>
  <c r="D908" i="3" a="1"/>
  <c r="E908" i="3" a="1"/>
  <c r="F908" i="3" a="1"/>
  <c r="G908" i="3" a="1"/>
  <c r="B909" i="3"/>
  <c r="C909" i="3"/>
  <c r="D909" i="3" a="1"/>
  <c r="E909" i="3" a="1"/>
  <c r="F909" i="3" a="1"/>
  <c r="G909" i="3" a="1"/>
  <c r="B910" i="3"/>
  <c r="C910" i="3"/>
  <c r="D910" i="3" a="1"/>
  <c r="E910" i="3" a="1"/>
  <c r="F910" i="3" a="1"/>
  <c r="G910" i="3" a="1"/>
  <c r="B911" i="3"/>
  <c r="C911" i="3" s="1"/>
  <c r="D911" i="3" a="1"/>
  <c r="E911" i="3" a="1"/>
  <c r="F911" i="3" a="1"/>
  <c r="G911" i="3" a="1"/>
  <c r="B912" i="3"/>
  <c r="C912" i="3"/>
  <c r="D912" i="3" a="1"/>
  <c r="E912" i="3" a="1"/>
  <c r="F912" i="3" a="1"/>
  <c r="G912" i="3" a="1"/>
  <c r="B913" i="3"/>
  <c r="C913" i="3"/>
  <c r="D913" i="3" a="1"/>
  <c r="E913" i="3" a="1"/>
  <c r="F913" i="3" a="1"/>
  <c r="G913" i="3" a="1"/>
  <c r="B914" i="3"/>
  <c r="C914" i="3" s="1"/>
  <c r="D914" i="3" a="1"/>
  <c r="E914" i="3" a="1"/>
  <c r="F914" i="3" a="1"/>
  <c r="G914" i="3" a="1"/>
  <c r="B915" i="3"/>
  <c r="C915" i="3"/>
  <c r="D915" i="3" a="1"/>
  <c r="E915" i="3" a="1"/>
  <c r="F915" i="3" a="1"/>
  <c r="G915" i="3" a="1"/>
  <c r="B916" i="3"/>
  <c r="C916" i="3"/>
  <c r="D916" i="3" a="1"/>
  <c r="E916" i="3" a="1"/>
  <c r="F916" i="3" a="1"/>
  <c r="G916" i="3" a="1"/>
  <c r="B917" i="3"/>
  <c r="C917" i="3"/>
  <c r="D917" i="3" a="1"/>
  <c r="E917" i="3" a="1"/>
  <c r="F917" i="3" a="1"/>
  <c r="G917" i="3" a="1"/>
  <c r="B918" i="3"/>
  <c r="C918" i="3"/>
  <c r="D918" i="3" a="1"/>
  <c r="E918" i="3" a="1"/>
  <c r="F918" i="3" a="1"/>
  <c r="G918" i="3" a="1"/>
  <c r="B919" i="3"/>
  <c r="C919" i="3"/>
  <c r="D919" i="3" a="1"/>
  <c r="E919" i="3" a="1"/>
  <c r="F919" i="3" a="1"/>
  <c r="G919" i="3" a="1"/>
  <c r="B920" i="3"/>
  <c r="C920" i="3" s="1"/>
  <c r="D920" i="3" a="1"/>
  <c r="E920" i="3" a="1"/>
  <c r="F920" i="3" a="1"/>
  <c r="G920" i="3" a="1"/>
  <c r="B921" i="3"/>
  <c r="C921" i="3"/>
  <c r="D921" i="3" a="1"/>
  <c r="E921" i="3" a="1"/>
  <c r="F921" i="3" a="1"/>
  <c r="G921" i="3" a="1"/>
  <c r="B922" i="3"/>
  <c r="C922" i="3"/>
  <c r="D922" i="3" a="1"/>
  <c r="E922" i="3" a="1"/>
  <c r="F922" i="3" a="1"/>
  <c r="G922" i="3" a="1"/>
  <c r="B923" i="3"/>
  <c r="C923" i="3"/>
  <c r="D923" i="3" a="1"/>
  <c r="E923" i="3" a="1"/>
  <c r="F923" i="3" a="1"/>
  <c r="G923" i="3" a="1"/>
  <c r="B924" i="3"/>
  <c r="C924" i="3"/>
  <c r="D924" i="3" a="1"/>
  <c r="E924" i="3" a="1"/>
  <c r="F924" i="3" a="1"/>
  <c r="G924" i="3" a="1"/>
  <c r="B925" i="3"/>
  <c r="C925" i="3"/>
  <c r="D925" i="3" a="1"/>
  <c r="E925" i="3" a="1"/>
  <c r="F925" i="3" a="1"/>
  <c r="G925" i="3" a="1"/>
  <c r="B926" i="3"/>
  <c r="C926" i="3"/>
  <c r="D926" i="3" a="1"/>
  <c r="E926" i="3" a="1"/>
  <c r="F926" i="3" a="1"/>
  <c r="G926" i="3" a="1"/>
  <c r="B927" i="3"/>
  <c r="C927" i="3"/>
  <c r="D927" i="3" a="1"/>
  <c r="E927" i="3" a="1"/>
  <c r="F927" i="3" a="1"/>
  <c r="G927" i="3" a="1"/>
  <c r="B928" i="3"/>
  <c r="C928" i="3"/>
  <c r="D928" i="3" a="1"/>
  <c r="E928" i="3" a="1"/>
  <c r="F928" i="3" a="1"/>
  <c r="G928" i="3" a="1"/>
  <c r="B929" i="3"/>
  <c r="C929" i="3"/>
  <c r="D929" i="3" a="1"/>
  <c r="E929" i="3" a="1"/>
  <c r="F929" i="3" a="1"/>
  <c r="G929" i="3" a="1"/>
  <c r="B930" i="3"/>
  <c r="C930" i="3"/>
  <c r="D930" i="3" a="1"/>
  <c r="E930" i="3" a="1"/>
  <c r="F930" i="3" a="1"/>
  <c r="G930" i="3" a="1"/>
  <c r="B931" i="3"/>
  <c r="C931" i="3"/>
  <c r="D931" i="3" a="1"/>
  <c r="E931" i="3" a="1"/>
  <c r="F931" i="3" a="1"/>
  <c r="G931" i="3" a="1"/>
  <c r="B932" i="3"/>
  <c r="C932" i="3"/>
  <c r="D932" i="3" a="1"/>
  <c r="E932" i="3" a="1"/>
  <c r="F932" i="3" a="1"/>
  <c r="G932" i="3" a="1"/>
  <c r="B933" i="3"/>
  <c r="C933" i="3" s="1"/>
  <c r="D933" i="3" a="1"/>
  <c r="E933" i="3" a="1"/>
  <c r="F933" i="3" a="1"/>
  <c r="G933" i="3" a="1"/>
  <c r="B934" i="3"/>
  <c r="C934" i="3" s="1"/>
  <c r="D934" i="3" a="1"/>
  <c r="E934" i="3" a="1"/>
  <c r="F934" i="3" a="1"/>
  <c r="G934" i="3" a="1"/>
  <c r="B935" i="3"/>
  <c r="C935" i="3"/>
  <c r="D935" i="3" a="1"/>
  <c r="E935" i="3" a="1"/>
  <c r="F935" i="3" a="1"/>
  <c r="G935" i="3" a="1"/>
  <c r="B936" i="3"/>
  <c r="C936" i="3"/>
  <c r="D936" i="3" a="1"/>
  <c r="E936" i="3" a="1"/>
  <c r="F936" i="3" a="1"/>
  <c r="G936" i="3" a="1"/>
  <c r="B937" i="3"/>
  <c r="C937" i="3"/>
  <c r="D937" i="3" a="1"/>
  <c r="E937" i="3" a="1"/>
  <c r="F937" i="3" a="1"/>
  <c r="G937" i="3" a="1"/>
  <c r="B938" i="3"/>
  <c r="C938" i="3" s="1"/>
  <c r="D938" i="3" a="1"/>
  <c r="E938" i="3" a="1"/>
  <c r="F938" i="3" a="1"/>
  <c r="G938" i="3" a="1"/>
  <c r="B939" i="3"/>
  <c r="C939" i="3"/>
  <c r="D939" i="3" a="1"/>
  <c r="E939" i="3" a="1"/>
  <c r="F939" i="3" a="1"/>
  <c r="G939" i="3" a="1"/>
  <c r="B940" i="3"/>
  <c r="C940" i="3"/>
  <c r="D940" i="3" a="1"/>
  <c r="E940" i="3" a="1"/>
  <c r="F940" i="3" a="1"/>
  <c r="G940" i="3" a="1"/>
  <c r="B941" i="3"/>
  <c r="C941" i="3" s="1"/>
  <c r="D941" i="3" a="1"/>
  <c r="E941" i="3" a="1"/>
  <c r="F941" i="3" a="1"/>
  <c r="G941" i="3" a="1"/>
  <c r="B942" i="3"/>
  <c r="C942" i="3"/>
  <c r="D942" i="3" a="1"/>
  <c r="E942" i="3" a="1"/>
  <c r="F942" i="3" a="1"/>
  <c r="G942" i="3" a="1"/>
  <c r="B943" i="3"/>
  <c r="C943" i="3" s="1"/>
  <c r="D943" i="3" a="1"/>
  <c r="E943" i="3" a="1"/>
  <c r="F943" i="3" a="1"/>
  <c r="G943" i="3" a="1"/>
  <c r="B944" i="3"/>
  <c r="C944" i="3" s="1"/>
  <c r="D944" i="3" a="1"/>
  <c r="E944" i="3" a="1"/>
  <c r="F944" i="3" a="1"/>
  <c r="G944" i="3" a="1"/>
  <c r="B945" i="3"/>
  <c r="C945" i="3" s="1"/>
  <c r="D945" i="3" a="1"/>
  <c r="E945" i="3" a="1"/>
  <c r="F945" i="3" a="1"/>
  <c r="G945" i="3" a="1"/>
  <c r="B946" i="3"/>
  <c r="C946" i="3" s="1"/>
  <c r="D946" i="3" a="1"/>
  <c r="E946" i="3" a="1"/>
  <c r="F946" i="3" a="1"/>
  <c r="G946" i="3" a="1"/>
  <c r="B947" i="3"/>
  <c r="C947" i="3"/>
  <c r="D947" i="3" a="1"/>
  <c r="E947" i="3" a="1"/>
  <c r="F947" i="3" a="1"/>
  <c r="G947" i="3" a="1"/>
  <c r="B948" i="3"/>
  <c r="C948" i="3" s="1"/>
  <c r="D948" i="3" a="1"/>
  <c r="E948" i="3" a="1"/>
  <c r="F948" i="3" a="1"/>
  <c r="G948" i="3" a="1"/>
  <c r="B949" i="3"/>
  <c r="C949" i="3"/>
  <c r="D949" i="3" a="1"/>
  <c r="E949" i="3" a="1"/>
  <c r="F949" i="3" a="1"/>
  <c r="G949" i="3" a="1"/>
  <c r="B950" i="3"/>
  <c r="C950" i="3" s="1"/>
  <c r="D950" i="3" a="1"/>
  <c r="E950" i="3" a="1"/>
  <c r="F950" i="3" a="1"/>
  <c r="G950" i="3" a="1"/>
  <c r="B951" i="3"/>
  <c r="C951" i="3"/>
  <c r="D951" i="3" a="1"/>
  <c r="E951" i="3" a="1"/>
  <c r="F951" i="3" a="1"/>
  <c r="G951" i="3" a="1"/>
  <c r="B952" i="3"/>
  <c r="C952" i="3" s="1"/>
  <c r="D952" i="3" a="1"/>
  <c r="E952" i="3" a="1"/>
  <c r="F952" i="3" a="1"/>
  <c r="G952" i="3" a="1"/>
  <c r="B953" i="3"/>
  <c r="C953" i="3"/>
  <c r="D953" i="3" a="1"/>
  <c r="E953" i="3" a="1"/>
  <c r="F953" i="3" a="1"/>
  <c r="G953" i="3" a="1"/>
  <c r="B954" i="3"/>
  <c r="C954" i="3"/>
  <c r="D954" i="3" a="1"/>
  <c r="E954" i="3" a="1"/>
  <c r="F954" i="3" a="1"/>
  <c r="G954" i="3" a="1"/>
  <c r="B955" i="3"/>
  <c r="C955" i="3"/>
  <c r="D955" i="3" a="1"/>
  <c r="E955" i="3" a="1"/>
  <c r="F955" i="3" a="1"/>
  <c r="G955" i="3" a="1"/>
  <c r="B956" i="3"/>
  <c r="C956" i="3"/>
  <c r="D956" i="3" a="1"/>
  <c r="E956" i="3" a="1"/>
  <c r="F956" i="3" a="1"/>
  <c r="G956" i="3" a="1"/>
  <c r="B957" i="3"/>
  <c r="C957" i="3"/>
  <c r="D957" i="3" a="1"/>
  <c r="E957" i="3" a="1"/>
  <c r="F957" i="3" a="1"/>
  <c r="G957" i="3" a="1"/>
  <c r="B958" i="3"/>
  <c r="C958" i="3" s="1"/>
  <c r="D958" i="3" a="1"/>
  <c r="E958" i="3" a="1"/>
  <c r="F958" i="3" a="1"/>
  <c r="G958" i="3" a="1"/>
  <c r="B959" i="3"/>
  <c r="C959" i="3" s="1"/>
  <c r="D959" i="3" a="1"/>
  <c r="E959" i="3" a="1"/>
  <c r="F959" i="3" a="1"/>
  <c r="G959" i="3" a="1"/>
  <c r="B960" i="3"/>
  <c r="C960" i="3"/>
  <c r="D960" i="3" a="1"/>
  <c r="E960" i="3" a="1"/>
  <c r="F960" i="3" a="1"/>
  <c r="G960" i="3" a="1"/>
  <c r="B961" i="3"/>
  <c r="C961" i="3"/>
  <c r="D961" i="3" a="1"/>
  <c r="E961" i="3" a="1"/>
  <c r="F961" i="3" a="1"/>
  <c r="G961" i="3" a="1"/>
  <c r="B962" i="3"/>
  <c r="C962" i="3"/>
  <c r="D962" i="3" a="1"/>
  <c r="E962" i="3" a="1"/>
  <c r="F962" i="3" a="1"/>
  <c r="G962" i="3" a="1"/>
  <c r="B963" i="3"/>
  <c r="C963" i="3"/>
  <c r="D963" i="3" a="1"/>
  <c r="E963" i="3" a="1"/>
  <c r="F963" i="3" a="1"/>
  <c r="G963" i="3" a="1"/>
  <c r="B964" i="3"/>
  <c r="C964" i="3"/>
  <c r="D964" i="3" a="1"/>
  <c r="E964" i="3" a="1"/>
  <c r="F964" i="3" a="1"/>
  <c r="G964" i="3" a="1"/>
  <c r="B965" i="3"/>
  <c r="C965" i="3"/>
  <c r="D965" i="3" a="1"/>
  <c r="E965" i="3" a="1"/>
  <c r="F965" i="3" a="1"/>
  <c r="G965" i="3" a="1"/>
  <c r="B966" i="3"/>
  <c r="C966" i="3"/>
  <c r="D966" i="3" a="1"/>
  <c r="E966" i="3" a="1"/>
  <c r="F966" i="3" a="1"/>
  <c r="G966" i="3" a="1"/>
  <c r="B967" i="3"/>
  <c r="C967" i="3"/>
  <c r="D967" i="3" a="1"/>
  <c r="E967" i="3" a="1"/>
  <c r="F967" i="3" a="1"/>
  <c r="G967" i="3" a="1"/>
  <c r="B968" i="3"/>
  <c r="C968" i="3"/>
  <c r="D968" i="3" a="1"/>
  <c r="E968" i="3" a="1"/>
  <c r="F968" i="3" a="1"/>
  <c r="G968" i="3" a="1"/>
  <c r="B969" i="3"/>
  <c r="C969" i="3"/>
  <c r="D969" i="3" a="1"/>
  <c r="E969" i="3" a="1"/>
  <c r="F969" i="3" a="1"/>
  <c r="G969" i="3" a="1"/>
  <c r="B970" i="3"/>
  <c r="C970" i="3"/>
  <c r="D970" i="3" a="1"/>
  <c r="E970" i="3" a="1"/>
  <c r="F970" i="3" a="1"/>
  <c r="G970" i="3" a="1"/>
  <c r="B971" i="3"/>
  <c r="C971" i="3"/>
  <c r="D971" i="3" a="1"/>
  <c r="E971" i="3" a="1"/>
  <c r="F971" i="3" a="1"/>
  <c r="G971" i="3" a="1"/>
  <c r="B972" i="3"/>
  <c r="C972" i="3"/>
  <c r="D972" i="3" a="1"/>
  <c r="E972" i="3" a="1"/>
  <c r="F972" i="3" a="1"/>
  <c r="G972" i="3" a="1"/>
  <c r="B973" i="3"/>
  <c r="C973" i="3"/>
  <c r="D973" i="3" a="1"/>
  <c r="E973" i="3" a="1"/>
  <c r="F973" i="3" a="1"/>
  <c r="G973" i="3" a="1"/>
  <c r="B974" i="3"/>
  <c r="C974" i="3"/>
  <c r="D974" i="3" a="1"/>
  <c r="E974" i="3" a="1"/>
  <c r="F974" i="3" a="1"/>
  <c r="G974" i="3" a="1"/>
  <c r="B975" i="3"/>
  <c r="C975" i="3"/>
  <c r="D975" i="3" a="1"/>
  <c r="E975" i="3" a="1"/>
  <c r="F975" i="3" a="1"/>
  <c r="G975" i="3" a="1"/>
  <c r="B976" i="3"/>
  <c r="C976" i="3" s="1"/>
  <c r="D976" i="3" a="1"/>
  <c r="E976" i="3" a="1"/>
  <c r="F976" i="3" a="1"/>
  <c r="G976" i="3" a="1"/>
  <c r="B977" i="3"/>
  <c r="C977" i="3"/>
  <c r="D977" i="3" a="1"/>
  <c r="E977" i="3" a="1"/>
  <c r="F977" i="3" a="1"/>
  <c r="G977" i="3" a="1"/>
  <c r="B978" i="3"/>
  <c r="C978" i="3" s="1"/>
  <c r="D978" i="3" a="1"/>
  <c r="E978" i="3" a="1"/>
  <c r="F978" i="3" a="1"/>
  <c r="G978" i="3" a="1"/>
  <c r="B979" i="3"/>
  <c r="C979" i="3"/>
  <c r="D979" i="3" a="1"/>
  <c r="E979" i="3" a="1"/>
  <c r="F979" i="3" a="1"/>
  <c r="G979" i="3" a="1"/>
  <c r="B980" i="3"/>
  <c r="C980" i="3"/>
  <c r="D980" i="3" a="1"/>
  <c r="E980" i="3" a="1"/>
  <c r="F980" i="3" a="1"/>
  <c r="G980" i="3" a="1"/>
  <c r="B981" i="3"/>
  <c r="C981" i="3"/>
  <c r="D981" i="3" a="1"/>
  <c r="E981" i="3" a="1"/>
  <c r="F981" i="3" a="1"/>
  <c r="G981" i="3" a="1"/>
  <c r="B982" i="3"/>
  <c r="C982" i="3"/>
  <c r="D982" i="3" a="1"/>
  <c r="E982" i="3" a="1"/>
  <c r="F982" i="3" a="1"/>
  <c r="G982" i="3" a="1"/>
  <c r="B983" i="3"/>
  <c r="C983" i="3"/>
  <c r="D983" i="3" a="1"/>
  <c r="E983" i="3" a="1"/>
  <c r="F983" i="3" a="1"/>
  <c r="G983" i="3" a="1"/>
  <c r="B984" i="3"/>
  <c r="C984" i="3"/>
  <c r="D984" i="3" a="1"/>
  <c r="E984" i="3" a="1"/>
  <c r="F984" i="3" a="1"/>
  <c r="G984" i="3" a="1"/>
  <c r="B985" i="3"/>
  <c r="C985" i="3" s="1"/>
  <c r="D985" i="3" a="1"/>
  <c r="E985" i="3" a="1"/>
  <c r="F985" i="3" a="1"/>
  <c r="G985" i="3" a="1"/>
  <c r="B986" i="3"/>
  <c r="C986" i="3" s="1"/>
  <c r="D986" i="3" a="1"/>
  <c r="E986" i="3" a="1"/>
  <c r="F986" i="3" a="1"/>
  <c r="G986" i="3" a="1"/>
  <c r="B987" i="3"/>
  <c r="C987" i="3"/>
  <c r="D987" i="3" a="1"/>
  <c r="E987" i="3" a="1"/>
  <c r="F987" i="3" a="1"/>
  <c r="G987" i="3" a="1"/>
  <c r="B988" i="3"/>
  <c r="C988" i="3"/>
  <c r="D988" i="3" a="1"/>
  <c r="E988" i="3" a="1"/>
  <c r="F988" i="3" a="1"/>
  <c r="G988" i="3" a="1"/>
  <c r="B989" i="3"/>
  <c r="C989" i="3" s="1"/>
  <c r="D989" i="3" a="1"/>
  <c r="E989" i="3" a="1"/>
  <c r="F989" i="3" a="1"/>
  <c r="G989" i="3" a="1"/>
  <c r="B990" i="3"/>
  <c r="C990" i="3"/>
  <c r="D990" i="3" a="1"/>
  <c r="E990" i="3" a="1"/>
  <c r="F990" i="3" a="1"/>
  <c r="G990" i="3" a="1"/>
  <c r="B991" i="3"/>
  <c r="C991" i="3" s="1"/>
  <c r="D991" i="3" a="1"/>
  <c r="E991" i="3" a="1"/>
  <c r="F991" i="3" a="1"/>
  <c r="G991" i="3" a="1"/>
  <c r="B992" i="3"/>
  <c r="C992" i="3" s="1"/>
  <c r="D992" i="3" a="1"/>
  <c r="E992" i="3" a="1"/>
  <c r="F992" i="3" a="1"/>
  <c r="G992" i="3" a="1"/>
  <c r="B993" i="3"/>
  <c r="C993" i="3" s="1"/>
  <c r="D993" i="3" a="1"/>
  <c r="E993" i="3" a="1"/>
  <c r="F993" i="3" a="1"/>
  <c r="G993" i="3" a="1"/>
  <c r="B994" i="3"/>
  <c r="C994" i="3"/>
  <c r="D994" i="3" a="1"/>
  <c r="E994" i="3" a="1"/>
  <c r="F994" i="3" a="1"/>
  <c r="G994" i="3" a="1"/>
  <c r="B995" i="3"/>
  <c r="C995" i="3"/>
  <c r="D995" i="3" a="1"/>
  <c r="E995" i="3" a="1"/>
  <c r="F995" i="3" a="1"/>
  <c r="G995" i="3" a="1"/>
  <c r="B996" i="3"/>
  <c r="C996" i="3"/>
  <c r="D996" i="3" a="1"/>
  <c r="E996" i="3" a="1"/>
  <c r="F996" i="3" a="1"/>
  <c r="G996" i="3" a="1"/>
  <c r="B997" i="3"/>
  <c r="C997" i="3"/>
  <c r="D997" i="3" a="1"/>
  <c r="E997" i="3" a="1"/>
  <c r="F997" i="3" a="1"/>
  <c r="G997" i="3" a="1"/>
  <c r="B998" i="3"/>
  <c r="C998" i="3" s="1"/>
  <c r="D998" i="3" a="1"/>
  <c r="E998" i="3" a="1"/>
  <c r="F998" i="3" a="1"/>
  <c r="G998" i="3" a="1"/>
  <c r="B999" i="3"/>
  <c r="C999" i="3" s="1"/>
  <c r="D999" i="3" a="1"/>
  <c r="E999" i="3" a="1"/>
  <c r="F999" i="3" a="1"/>
  <c r="G999" i="3" a="1"/>
  <c r="B1000" i="3"/>
  <c r="C1000" i="3"/>
  <c r="D1000" i="3" a="1"/>
  <c r="E1000" i="3" a="1"/>
  <c r="F1000" i="3" a="1"/>
  <c r="G1000" i="3" a="1"/>
  <c r="B1001" i="3"/>
  <c r="C1001" i="3"/>
  <c r="D1001" i="3" a="1"/>
  <c r="E1001" i="3" a="1"/>
  <c r="F1001" i="3" a="1"/>
  <c r="G1001" i="3" a="1"/>
  <c r="B1002" i="3"/>
  <c r="C1002" i="3"/>
  <c r="D1002" i="3" a="1"/>
  <c r="E1002" i="3" a="1"/>
  <c r="F1002" i="3" a="1"/>
  <c r="G1002" i="3" a="1"/>
  <c r="B1003" i="3"/>
  <c r="C1003" i="3"/>
  <c r="D1003" i="3" a="1"/>
  <c r="E1003" i="3" a="1"/>
  <c r="F1003" i="3" a="1"/>
  <c r="G1003" i="3" a="1"/>
  <c r="B1004" i="3"/>
  <c r="C1004" i="3"/>
  <c r="D1004" i="3" a="1"/>
  <c r="E1004" i="3" a="1"/>
  <c r="F1004" i="3" a="1"/>
  <c r="G1004" i="3" a="1"/>
  <c r="B1005" i="3"/>
  <c r="C1005" i="3"/>
  <c r="D1005" i="3" a="1"/>
  <c r="E1005" i="3" a="1"/>
  <c r="F1005" i="3" a="1"/>
  <c r="G1005" i="3" a="1"/>
  <c r="B1006" i="3"/>
  <c r="C1006" i="3"/>
  <c r="D1006" i="3" a="1"/>
  <c r="E1006" i="3" a="1"/>
  <c r="F1006" i="3" a="1"/>
  <c r="G1006" i="3" a="1"/>
  <c r="B1007" i="3"/>
  <c r="C1007" i="3"/>
  <c r="D1007" i="3" a="1"/>
  <c r="E1007" i="3" a="1"/>
  <c r="F1007" i="3" a="1"/>
  <c r="G1007" i="3" a="1"/>
  <c r="B1008" i="3"/>
  <c r="C1008" i="3"/>
  <c r="D1008" i="3" a="1"/>
  <c r="E1008" i="3" a="1"/>
  <c r="F1008" i="3" a="1"/>
  <c r="G1008" i="3" a="1"/>
  <c r="B1009" i="3"/>
  <c r="C1009" i="3"/>
  <c r="D1009" i="3" a="1"/>
  <c r="E1009" i="3" a="1"/>
  <c r="F1009" i="3" a="1"/>
  <c r="G1009" i="3" a="1"/>
  <c r="B1010" i="3"/>
  <c r="C1010" i="3"/>
  <c r="D1010" i="3" a="1"/>
  <c r="E1010" i="3" a="1"/>
  <c r="F1010" i="3" a="1"/>
  <c r="G1010" i="3" a="1"/>
  <c r="B1011" i="3"/>
  <c r="C1011" i="3"/>
  <c r="D1011" i="3" a="1"/>
  <c r="E1011" i="3" a="1"/>
  <c r="F1011" i="3" a="1"/>
  <c r="G1011" i="3" a="1"/>
  <c r="B1012" i="3"/>
  <c r="C1012" i="3" s="1"/>
  <c r="D1012" i="3" a="1"/>
  <c r="E1012" i="3" a="1"/>
  <c r="F1012" i="3" a="1"/>
  <c r="G1012" i="3" a="1"/>
  <c r="B513" i="3"/>
  <c r="C513" i="3" s="1"/>
  <c r="D513" i="3" a="1"/>
  <c r="E513" i="3" a="1"/>
  <c r="F513" i="3" a="1"/>
  <c r="G513" i="3" a="1"/>
  <c r="B514" i="3"/>
  <c r="C514" i="3" s="1"/>
  <c r="D514" i="3" a="1"/>
  <c r="E514" i="3" a="1"/>
  <c r="F514" i="3" a="1"/>
  <c r="G514" i="3" a="1"/>
  <c r="B515" i="3"/>
  <c r="C515" i="3"/>
  <c r="D515" i="3" a="1"/>
  <c r="E515" i="3" a="1"/>
  <c r="F515" i="3" a="1"/>
  <c r="G515" i="3" a="1"/>
  <c r="B516" i="3"/>
  <c r="C516" i="3" s="1"/>
  <c r="D516" i="3" a="1"/>
  <c r="E516" i="3" a="1"/>
  <c r="F516" i="3" a="1"/>
  <c r="G516" i="3" a="1"/>
  <c r="B517" i="3"/>
  <c r="C517" i="3" s="1"/>
  <c r="D517" i="3" a="1"/>
  <c r="E517" i="3" a="1"/>
  <c r="F517" i="3" a="1"/>
  <c r="G517" i="3" a="1"/>
  <c r="B518" i="3"/>
  <c r="C518" i="3" s="1"/>
  <c r="D518" i="3" a="1"/>
  <c r="E518" i="3" a="1"/>
  <c r="F518" i="3" a="1"/>
  <c r="G518" i="3" a="1"/>
  <c r="B519" i="3"/>
  <c r="C519" i="3" s="1"/>
  <c r="D519" i="3" a="1"/>
  <c r="E519" i="3" a="1"/>
  <c r="F519" i="3" a="1"/>
  <c r="G519" i="3" a="1"/>
  <c r="B520" i="3"/>
  <c r="C520" i="3" s="1"/>
  <c r="D520" i="3" a="1"/>
  <c r="E520" i="3" a="1"/>
  <c r="F520" i="3" a="1"/>
  <c r="G520" i="3" a="1"/>
  <c r="B521" i="3"/>
  <c r="C521" i="3" s="1"/>
  <c r="D521" i="3" a="1"/>
  <c r="E521" i="3" a="1"/>
  <c r="F521" i="3" a="1"/>
  <c r="G521" i="3" a="1"/>
  <c r="B522" i="3"/>
  <c r="C522" i="3"/>
  <c r="D522" i="3" a="1"/>
  <c r="E522" i="3" a="1"/>
  <c r="F522" i="3" a="1"/>
  <c r="G522" i="3" a="1"/>
  <c r="B523" i="3"/>
  <c r="C523" i="3"/>
  <c r="D523" i="3" a="1"/>
  <c r="E523" i="3" a="1"/>
  <c r="F523" i="3" a="1"/>
  <c r="G523" i="3" a="1"/>
  <c r="B524" i="3"/>
  <c r="C524" i="3" s="1"/>
  <c r="D524" i="3" a="1"/>
  <c r="E524" i="3" a="1"/>
  <c r="F524" i="3" a="1"/>
  <c r="G524" i="3" a="1"/>
  <c r="B525" i="3"/>
  <c r="C525" i="3" s="1"/>
  <c r="D525" i="3" a="1"/>
  <c r="E525" i="3" a="1"/>
  <c r="F525" i="3" a="1"/>
  <c r="G525" i="3" a="1"/>
  <c r="B526" i="3"/>
  <c r="C526" i="3" s="1"/>
  <c r="D526" i="3" a="1"/>
  <c r="E526" i="3" a="1"/>
  <c r="F526" i="3" a="1"/>
  <c r="G526" i="3" a="1"/>
  <c r="B527" i="3"/>
  <c r="C527" i="3" s="1"/>
  <c r="D527" i="3" a="1"/>
  <c r="E527" i="3" a="1"/>
  <c r="F527" i="3" a="1"/>
  <c r="G527" i="3" a="1"/>
  <c r="B528" i="3"/>
  <c r="C528" i="3" s="1"/>
  <c r="D528" i="3" a="1"/>
  <c r="E528" i="3" a="1"/>
  <c r="F528" i="3" a="1"/>
  <c r="G528" i="3" a="1"/>
  <c r="B529" i="3"/>
  <c r="C529" i="3" s="1"/>
  <c r="D529" i="3" a="1"/>
  <c r="E529" i="3" a="1"/>
  <c r="F529" i="3" a="1"/>
  <c r="G529" i="3" a="1"/>
  <c r="B530" i="3"/>
  <c r="C530" i="3"/>
  <c r="D530" i="3" a="1"/>
  <c r="E530" i="3" a="1"/>
  <c r="F530" i="3" a="1"/>
  <c r="G530" i="3" a="1"/>
  <c r="B531" i="3"/>
  <c r="C531" i="3" s="1"/>
  <c r="D531" i="3" a="1"/>
  <c r="E531" i="3" a="1"/>
  <c r="F531" i="3" a="1"/>
  <c r="G531" i="3" a="1"/>
  <c r="B532" i="3"/>
  <c r="C532" i="3"/>
  <c r="D532" i="3" a="1"/>
  <c r="E532" i="3" a="1"/>
  <c r="F532" i="3" a="1"/>
  <c r="G532" i="3" a="1"/>
  <c r="B533" i="3"/>
  <c r="C533" i="3" s="1"/>
  <c r="D533" i="3" a="1"/>
  <c r="E533" i="3" a="1"/>
  <c r="F533" i="3" a="1"/>
  <c r="G533" i="3" a="1"/>
  <c r="B534" i="3"/>
  <c r="C534" i="3" s="1"/>
  <c r="D534" i="3" a="1"/>
  <c r="E534" i="3" a="1"/>
  <c r="F534" i="3" a="1"/>
  <c r="G534" i="3" a="1"/>
  <c r="B535" i="3"/>
  <c r="C535" i="3" s="1"/>
  <c r="D535" i="3" a="1"/>
  <c r="E535" i="3" a="1"/>
  <c r="F535" i="3" a="1"/>
  <c r="G535" i="3" a="1"/>
  <c r="B536" i="3"/>
  <c r="C536" i="3" s="1"/>
  <c r="D536" i="3" a="1"/>
  <c r="E536" i="3" a="1"/>
  <c r="F536" i="3" a="1"/>
  <c r="G536" i="3" a="1"/>
  <c r="B537" i="3"/>
  <c r="C537" i="3" s="1"/>
  <c r="D537" i="3" a="1"/>
  <c r="E537" i="3" a="1"/>
  <c r="F537" i="3" a="1"/>
  <c r="G537" i="3" a="1"/>
  <c r="B538" i="3"/>
  <c r="C538" i="3" s="1"/>
  <c r="D538" i="3" a="1"/>
  <c r="E538" i="3" a="1"/>
  <c r="F538" i="3" a="1"/>
  <c r="G538" i="3" a="1"/>
  <c r="B539" i="3"/>
  <c r="C539" i="3"/>
  <c r="D539" i="3" a="1"/>
  <c r="E539" i="3" a="1"/>
  <c r="F539" i="3" a="1"/>
  <c r="G539" i="3" a="1"/>
  <c r="B540" i="3"/>
  <c r="C540" i="3"/>
  <c r="D540" i="3" a="1"/>
  <c r="E540" i="3" a="1"/>
  <c r="F540" i="3" a="1"/>
  <c r="G540" i="3" a="1"/>
  <c r="B541" i="3"/>
  <c r="C541" i="3" s="1"/>
  <c r="D541" i="3" a="1"/>
  <c r="E541" i="3" a="1"/>
  <c r="F541" i="3" a="1"/>
  <c r="G541" i="3" a="1"/>
  <c r="B542" i="3"/>
  <c r="C542" i="3" s="1"/>
  <c r="D542" i="3" a="1"/>
  <c r="E542" i="3" a="1"/>
  <c r="F542" i="3" a="1"/>
  <c r="G542" i="3" a="1"/>
  <c r="B543" i="3"/>
  <c r="C543" i="3"/>
  <c r="D543" i="3" a="1"/>
  <c r="E543" i="3" a="1"/>
  <c r="F543" i="3" a="1"/>
  <c r="G543" i="3" a="1"/>
  <c r="B544" i="3"/>
  <c r="C544" i="3" s="1"/>
  <c r="D544" i="3" a="1"/>
  <c r="E544" i="3" a="1"/>
  <c r="F544" i="3" a="1"/>
  <c r="G544" i="3" a="1"/>
  <c r="B545" i="3"/>
  <c r="C545" i="3" s="1"/>
  <c r="D545" i="3" a="1"/>
  <c r="E545" i="3" a="1"/>
  <c r="F545" i="3" a="1"/>
  <c r="G545" i="3" a="1"/>
  <c r="B546" i="3"/>
  <c r="C546" i="3"/>
  <c r="D546" i="3" a="1"/>
  <c r="E546" i="3" a="1"/>
  <c r="F546" i="3" a="1"/>
  <c r="G546" i="3" a="1"/>
  <c r="B547" i="3"/>
  <c r="C547" i="3" s="1"/>
  <c r="D547" i="3" a="1"/>
  <c r="E547" i="3" a="1"/>
  <c r="F547" i="3" a="1"/>
  <c r="G547" i="3" a="1"/>
  <c r="B548" i="3"/>
  <c r="C548" i="3"/>
  <c r="D548" i="3" a="1"/>
  <c r="E548" i="3" a="1"/>
  <c r="F548" i="3" a="1"/>
  <c r="G548" i="3" a="1"/>
  <c r="B549" i="3"/>
  <c r="C549" i="3" s="1"/>
  <c r="D549" i="3" a="1"/>
  <c r="E549" i="3" a="1"/>
  <c r="F549" i="3" a="1"/>
  <c r="G549" i="3" a="1"/>
  <c r="B550" i="3"/>
  <c r="C550" i="3" s="1"/>
  <c r="D550" i="3" a="1"/>
  <c r="E550" i="3" a="1"/>
  <c r="F550" i="3" a="1"/>
  <c r="G550" i="3" a="1"/>
  <c r="B551" i="3"/>
  <c r="C551" i="3"/>
  <c r="D551" i="3" a="1"/>
  <c r="E551" i="3" a="1"/>
  <c r="F551" i="3" a="1"/>
  <c r="G551" i="3" a="1"/>
  <c r="B552" i="3"/>
  <c r="C552" i="3" s="1"/>
  <c r="D552" i="3" a="1"/>
  <c r="E552" i="3" a="1"/>
  <c r="F552" i="3" a="1"/>
  <c r="G552" i="3" a="1"/>
  <c r="B553" i="3"/>
  <c r="C553" i="3"/>
  <c r="D553" i="3" a="1"/>
  <c r="E553" i="3" a="1"/>
  <c r="F553" i="3" a="1"/>
  <c r="G553" i="3" a="1"/>
  <c r="B554" i="3"/>
  <c r="C554" i="3" s="1"/>
  <c r="D554" i="3" a="1"/>
  <c r="E554" i="3" a="1"/>
  <c r="F554" i="3" a="1"/>
  <c r="G554" i="3" a="1"/>
  <c r="B555" i="3"/>
  <c r="C555" i="3"/>
  <c r="D555" i="3" a="1"/>
  <c r="E555" i="3" a="1"/>
  <c r="F555" i="3" a="1"/>
  <c r="G555" i="3" a="1"/>
  <c r="B556" i="3"/>
  <c r="C556" i="3"/>
  <c r="D556" i="3" a="1"/>
  <c r="E556" i="3" a="1"/>
  <c r="F556" i="3" a="1"/>
  <c r="G556" i="3" a="1"/>
  <c r="B557" i="3"/>
  <c r="C557" i="3"/>
  <c r="D557" i="3" a="1"/>
  <c r="E557" i="3" a="1"/>
  <c r="F557" i="3" a="1"/>
  <c r="G557" i="3" a="1"/>
  <c r="B558" i="3"/>
  <c r="C558" i="3" s="1"/>
  <c r="D558" i="3" a="1"/>
  <c r="E558" i="3" a="1"/>
  <c r="F558" i="3" a="1"/>
  <c r="G558" i="3" a="1"/>
  <c r="B559" i="3"/>
  <c r="C559" i="3"/>
  <c r="D559" i="3" a="1"/>
  <c r="E559" i="3" a="1"/>
  <c r="F559" i="3" a="1"/>
  <c r="G559" i="3" a="1"/>
  <c r="B560" i="3"/>
  <c r="C560" i="3"/>
  <c r="D560" i="3" a="1"/>
  <c r="E560" i="3" a="1"/>
  <c r="F560" i="3" a="1"/>
  <c r="G560" i="3" a="1"/>
  <c r="B561" i="3"/>
  <c r="C561" i="3"/>
  <c r="D561" i="3" a="1"/>
  <c r="E561" i="3" a="1"/>
  <c r="F561" i="3" a="1"/>
  <c r="G561" i="3" a="1"/>
  <c r="B562" i="3"/>
  <c r="C562" i="3"/>
  <c r="D562" i="3" a="1"/>
  <c r="E562" i="3" a="1"/>
  <c r="F562" i="3" a="1"/>
  <c r="G562" i="3" a="1"/>
  <c r="B563" i="3"/>
  <c r="C563" i="3"/>
  <c r="D563" i="3" a="1"/>
  <c r="E563" i="3" a="1"/>
  <c r="F563" i="3" a="1"/>
  <c r="G563" i="3" a="1"/>
  <c r="B564" i="3"/>
  <c r="C564" i="3" s="1"/>
  <c r="D564" i="3" a="1"/>
  <c r="E564" i="3" a="1"/>
  <c r="F564" i="3" a="1"/>
  <c r="G564" i="3" a="1"/>
  <c r="B565" i="3"/>
  <c r="C565" i="3"/>
  <c r="D565" i="3" a="1"/>
  <c r="E565" i="3" a="1"/>
  <c r="F565" i="3" a="1"/>
  <c r="G565" i="3" a="1"/>
  <c r="B566" i="3"/>
  <c r="C566" i="3" s="1"/>
  <c r="D566" i="3" a="1"/>
  <c r="E566" i="3" a="1"/>
  <c r="F566" i="3" a="1"/>
  <c r="G566" i="3" a="1"/>
  <c r="B567" i="3"/>
  <c r="C567" i="3" s="1"/>
  <c r="D567" i="3" a="1"/>
  <c r="E567" i="3" a="1"/>
  <c r="F567" i="3" a="1"/>
  <c r="G567" i="3" a="1"/>
  <c r="B568" i="3"/>
  <c r="C568" i="3"/>
  <c r="D568" i="3" a="1"/>
  <c r="E568" i="3" a="1"/>
  <c r="F568" i="3" a="1"/>
  <c r="G568" i="3" a="1"/>
  <c r="B569" i="3"/>
  <c r="C569" i="3" s="1"/>
  <c r="D569" i="3" a="1"/>
  <c r="E569" i="3" a="1"/>
  <c r="F569" i="3" a="1"/>
  <c r="G569" i="3" a="1"/>
  <c r="B570" i="3"/>
  <c r="C570" i="3"/>
  <c r="D570" i="3" a="1"/>
  <c r="E570" i="3" a="1"/>
  <c r="F570" i="3" a="1"/>
  <c r="G570" i="3" a="1"/>
  <c r="B571" i="3"/>
  <c r="C571" i="3"/>
  <c r="D571" i="3" a="1"/>
  <c r="E571" i="3" a="1"/>
  <c r="F571" i="3" a="1"/>
  <c r="G571" i="3" a="1"/>
  <c r="B572" i="3"/>
  <c r="C572" i="3"/>
  <c r="D572" i="3" a="1"/>
  <c r="E572" i="3" a="1"/>
  <c r="F572" i="3" a="1"/>
  <c r="G572" i="3" a="1"/>
  <c r="B573" i="3"/>
  <c r="C573" i="3"/>
  <c r="D573" i="3" a="1"/>
  <c r="E573" i="3" a="1"/>
  <c r="F573" i="3" a="1"/>
  <c r="G573" i="3" a="1"/>
  <c r="B574" i="3"/>
  <c r="C574" i="3"/>
  <c r="D574" i="3" a="1"/>
  <c r="E574" i="3" a="1"/>
  <c r="F574" i="3" a="1"/>
  <c r="G574" i="3" a="1"/>
  <c r="B575" i="3"/>
  <c r="C575" i="3"/>
  <c r="D575" i="3" a="1"/>
  <c r="E575" i="3" a="1"/>
  <c r="F575" i="3" a="1"/>
  <c r="G575" i="3" a="1"/>
  <c r="B576" i="3"/>
  <c r="C576" i="3"/>
  <c r="D576" i="3" a="1"/>
  <c r="E576" i="3" a="1"/>
  <c r="F576" i="3" a="1"/>
  <c r="G576" i="3" a="1"/>
  <c r="B577" i="3"/>
  <c r="C577" i="3"/>
  <c r="D577" i="3" a="1"/>
  <c r="E577" i="3" a="1"/>
  <c r="F577" i="3" a="1"/>
  <c r="G577" i="3" a="1"/>
  <c r="B578" i="3"/>
  <c r="C578" i="3"/>
  <c r="D578" i="3" a="1"/>
  <c r="E578" i="3" a="1"/>
  <c r="F578" i="3" a="1"/>
  <c r="G578" i="3" a="1"/>
  <c r="B579" i="3"/>
  <c r="C579" i="3"/>
  <c r="D579" i="3" a="1"/>
  <c r="E579" i="3" a="1"/>
  <c r="F579" i="3" a="1"/>
  <c r="G579" i="3" a="1"/>
  <c r="B580" i="3"/>
  <c r="C580" i="3"/>
  <c r="D580" i="3" a="1"/>
  <c r="E580" i="3" a="1"/>
  <c r="F580" i="3" a="1"/>
  <c r="G580" i="3" a="1"/>
  <c r="B581" i="3"/>
  <c r="C581" i="3"/>
  <c r="D581" i="3" a="1"/>
  <c r="E581" i="3" a="1"/>
  <c r="F581" i="3" a="1"/>
  <c r="G581" i="3" a="1"/>
  <c r="B582" i="3"/>
  <c r="C582" i="3" s="1"/>
  <c r="D582" i="3" a="1"/>
  <c r="E582" i="3" a="1"/>
  <c r="F582" i="3" a="1"/>
  <c r="G582" i="3" a="1"/>
  <c r="B583" i="3"/>
  <c r="C583" i="3"/>
  <c r="D583" i="3" a="1"/>
  <c r="E583" i="3" a="1"/>
  <c r="F583" i="3" a="1"/>
  <c r="G583" i="3" a="1"/>
  <c r="B584" i="3"/>
  <c r="C584" i="3"/>
  <c r="D584" i="3" a="1"/>
  <c r="E584" i="3" a="1"/>
  <c r="F584" i="3" a="1"/>
  <c r="G584" i="3" a="1"/>
  <c r="B585" i="3"/>
  <c r="C585" i="3"/>
  <c r="D585" i="3" a="1"/>
  <c r="E585" i="3" a="1"/>
  <c r="F585" i="3" a="1"/>
  <c r="G585" i="3" a="1"/>
  <c r="B586" i="3"/>
  <c r="C586" i="3"/>
  <c r="D586" i="3" a="1"/>
  <c r="E586" i="3" a="1"/>
  <c r="F586" i="3" a="1"/>
  <c r="G586" i="3" a="1"/>
  <c r="B587" i="3"/>
  <c r="C587" i="3"/>
  <c r="D587" i="3" a="1"/>
  <c r="E587" i="3" a="1"/>
  <c r="F587" i="3" a="1"/>
  <c r="G587" i="3" a="1"/>
  <c r="B588" i="3"/>
  <c r="C588" i="3"/>
  <c r="D588" i="3" a="1"/>
  <c r="E588" i="3" a="1"/>
  <c r="F588" i="3" a="1"/>
  <c r="G588" i="3" a="1"/>
  <c r="B589" i="3"/>
  <c r="C589" i="3"/>
  <c r="D589" i="3" a="1"/>
  <c r="E589" i="3" a="1"/>
  <c r="F589" i="3" a="1"/>
  <c r="G589" i="3" a="1"/>
  <c r="B590" i="3"/>
  <c r="C590" i="3"/>
  <c r="D590" i="3" a="1"/>
  <c r="E590" i="3" a="1"/>
  <c r="F590" i="3" a="1"/>
  <c r="G590" i="3" a="1"/>
  <c r="B591" i="3"/>
  <c r="C591" i="3"/>
  <c r="D591" i="3" a="1"/>
  <c r="E591" i="3" a="1"/>
  <c r="F591" i="3" a="1"/>
  <c r="G591" i="3" a="1"/>
  <c r="B592" i="3"/>
  <c r="C592" i="3"/>
  <c r="D592" i="3" a="1"/>
  <c r="E592" i="3" a="1"/>
  <c r="F592" i="3" a="1"/>
  <c r="G592" i="3" a="1"/>
  <c r="B593" i="3"/>
  <c r="C593" i="3"/>
  <c r="D593" i="3" a="1"/>
  <c r="E593" i="3" a="1"/>
  <c r="F593" i="3" a="1"/>
  <c r="G593" i="3" a="1"/>
  <c r="B594" i="3"/>
  <c r="C594" i="3"/>
  <c r="D594" i="3" a="1"/>
  <c r="E594" i="3" a="1"/>
  <c r="F594" i="3" a="1"/>
  <c r="G594" i="3" a="1"/>
  <c r="B595" i="3"/>
  <c r="C595" i="3"/>
  <c r="D595" i="3" a="1"/>
  <c r="E595" i="3" a="1"/>
  <c r="F595" i="3" a="1"/>
  <c r="G595" i="3" a="1"/>
  <c r="B596" i="3"/>
  <c r="C596" i="3"/>
  <c r="D596" i="3" a="1"/>
  <c r="E596" i="3" a="1"/>
  <c r="F596" i="3" a="1"/>
  <c r="G596" i="3" a="1"/>
  <c r="B597" i="3"/>
  <c r="C597" i="3"/>
  <c r="D597" i="3" a="1"/>
  <c r="E597" i="3" a="1"/>
  <c r="F597" i="3" a="1"/>
  <c r="G597" i="3" a="1"/>
  <c r="B598" i="3"/>
  <c r="C598" i="3"/>
  <c r="D598" i="3" a="1"/>
  <c r="E598" i="3" a="1"/>
  <c r="F598" i="3" a="1"/>
  <c r="G598" i="3" a="1"/>
  <c r="B599" i="3"/>
  <c r="C599" i="3"/>
  <c r="D599" i="3" a="1"/>
  <c r="E599" i="3" a="1"/>
  <c r="F599" i="3" a="1"/>
  <c r="G599" i="3" a="1"/>
  <c r="B600" i="3"/>
  <c r="C600" i="3"/>
  <c r="D600" i="3" a="1"/>
  <c r="E600" i="3" a="1"/>
  <c r="F600" i="3" a="1"/>
  <c r="G600" i="3" a="1"/>
  <c r="B601" i="3"/>
  <c r="C601" i="3"/>
  <c r="D601" i="3" a="1"/>
  <c r="E601" i="3" a="1"/>
  <c r="F601" i="3" a="1"/>
  <c r="G601" i="3" a="1"/>
  <c r="B602" i="3"/>
  <c r="C602" i="3"/>
  <c r="D602" i="3" a="1"/>
  <c r="E602" i="3" a="1"/>
  <c r="F602" i="3" a="1"/>
  <c r="G602" i="3" a="1"/>
  <c r="B603" i="3"/>
  <c r="C603" i="3"/>
  <c r="D603" i="3" a="1"/>
  <c r="E603" i="3" a="1"/>
  <c r="F603" i="3" a="1"/>
  <c r="G603" i="3" a="1"/>
  <c r="B604" i="3"/>
  <c r="C604" i="3"/>
  <c r="D604" i="3" a="1"/>
  <c r="E604" i="3" a="1"/>
  <c r="F604" i="3" a="1"/>
  <c r="G604" i="3" a="1"/>
  <c r="B605" i="3"/>
  <c r="C605" i="3"/>
  <c r="D605" i="3" a="1"/>
  <c r="E605" i="3" a="1"/>
  <c r="F605" i="3" a="1"/>
  <c r="G605" i="3" a="1"/>
  <c r="B606" i="3"/>
  <c r="C606" i="3"/>
  <c r="D606" i="3" a="1"/>
  <c r="E606" i="3" a="1"/>
  <c r="F606" i="3" a="1"/>
  <c r="G606" i="3" a="1"/>
  <c r="B607" i="3"/>
  <c r="C607" i="3"/>
  <c r="D607" i="3" a="1"/>
  <c r="E607" i="3" a="1"/>
  <c r="F607" i="3" a="1"/>
  <c r="G607" i="3" a="1"/>
  <c r="B608" i="3"/>
  <c r="C608" i="3"/>
  <c r="D608" i="3" a="1"/>
  <c r="E608" i="3" a="1"/>
  <c r="F608" i="3" a="1"/>
  <c r="G608" i="3" a="1"/>
  <c r="B609" i="3"/>
  <c r="C609" i="3" s="1"/>
  <c r="D609" i="3" a="1"/>
  <c r="E609" i="3" a="1"/>
  <c r="F609" i="3" a="1"/>
  <c r="G609" i="3" a="1"/>
  <c r="B610" i="3"/>
  <c r="C610" i="3"/>
  <c r="D610" i="3" a="1"/>
  <c r="E610" i="3" a="1"/>
  <c r="F610" i="3" a="1"/>
  <c r="G610" i="3" a="1"/>
  <c r="B611" i="3"/>
  <c r="C611" i="3"/>
  <c r="D611" i="3" a="1"/>
  <c r="E611" i="3" a="1"/>
  <c r="F611" i="3" a="1"/>
  <c r="G611" i="3" a="1"/>
  <c r="B612" i="3"/>
  <c r="C612" i="3"/>
  <c r="D612" i="3" a="1"/>
  <c r="E612" i="3" a="1"/>
  <c r="F612" i="3" a="1"/>
  <c r="G612" i="3" a="1"/>
  <c r="B613" i="3"/>
  <c r="C613" i="3"/>
  <c r="D613" i="3" a="1"/>
  <c r="E613" i="3" a="1"/>
  <c r="F613" i="3" a="1"/>
  <c r="G613" i="3" a="1"/>
  <c r="B614" i="3"/>
  <c r="C614" i="3"/>
  <c r="D614" i="3" a="1"/>
  <c r="E614" i="3" a="1"/>
  <c r="F614" i="3" a="1"/>
  <c r="G614" i="3" a="1"/>
  <c r="B615" i="3"/>
  <c r="C615" i="3"/>
  <c r="D615" i="3" a="1"/>
  <c r="E615" i="3" a="1"/>
  <c r="F615" i="3" a="1"/>
  <c r="G615" i="3" a="1"/>
  <c r="B616" i="3"/>
  <c r="C616" i="3"/>
  <c r="D616" i="3" a="1"/>
  <c r="E616" i="3" a="1"/>
  <c r="F616" i="3" a="1"/>
  <c r="G616" i="3" a="1"/>
  <c r="B617" i="3"/>
  <c r="C617" i="3"/>
  <c r="D617" i="3" a="1"/>
  <c r="E617" i="3" a="1"/>
  <c r="F617" i="3" a="1"/>
  <c r="G617" i="3" a="1"/>
  <c r="B618" i="3"/>
  <c r="C618" i="3"/>
  <c r="D618" i="3" a="1"/>
  <c r="E618" i="3" a="1"/>
  <c r="F618" i="3" a="1"/>
  <c r="G618" i="3" a="1"/>
  <c r="B619" i="3"/>
  <c r="C619" i="3"/>
  <c r="D619" i="3" a="1"/>
  <c r="E619" i="3" a="1"/>
  <c r="F619" i="3" a="1"/>
  <c r="G619" i="3" a="1"/>
  <c r="B620" i="3"/>
  <c r="C620" i="3" s="1"/>
  <c r="D620" i="3" a="1"/>
  <c r="E620" i="3" a="1"/>
  <c r="F620" i="3" a="1"/>
  <c r="G620" i="3" a="1"/>
  <c r="B621" i="3"/>
  <c r="C621" i="3" s="1"/>
  <c r="D621" i="3" a="1"/>
  <c r="E621" i="3" a="1"/>
  <c r="F621" i="3" a="1"/>
  <c r="G621" i="3" a="1"/>
  <c r="B622" i="3"/>
  <c r="C622" i="3" s="1"/>
  <c r="D622" i="3" a="1"/>
  <c r="E622" i="3" a="1"/>
  <c r="F622" i="3" a="1"/>
  <c r="G622" i="3" a="1"/>
  <c r="B623" i="3"/>
  <c r="C623" i="3"/>
  <c r="D623" i="3" a="1"/>
  <c r="E623" i="3" a="1"/>
  <c r="F623" i="3" a="1"/>
  <c r="G623" i="3" a="1"/>
  <c r="B624" i="3"/>
  <c r="C624" i="3"/>
  <c r="D624" i="3" a="1"/>
  <c r="E624" i="3" a="1"/>
  <c r="F624" i="3" a="1"/>
  <c r="G624" i="3" a="1"/>
  <c r="B625" i="3"/>
  <c r="C625" i="3"/>
  <c r="D625" i="3" a="1"/>
  <c r="E625" i="3" a="1"/>
  <c r="F625" i="3" a="1"/>
  <c r="G625" i="3" a="1"/>
  <c r="B626" i="3"/>
  <c r="C626" i="3"/>
  <c r="D626" i="3" a="1"/>
  <c r="E626" i="3" a="1"/>
  <c r="F626" i="3" a="1"/>
  <c r="G626" i="3" a="1"/>
  <c r="B627" i="3"/>
  <c r="C627" i="3"/>
  <c r="D627" i="3" a="1"/>
  <c r="E627" i="3" a="1"/>
  <c r="F627" i="3" a="1"/>
  <c r="G627" i="3" a="1"/>
  <c r="B628" i="3"/>
  <c r="C628" i="3"/>
  <c r="D628" i="3" a="1"/>
  <c r="E628" i="3" a="1"/>
  <c r="F628" i="3" a="1"/>
  <c r="G628" i="3" a="1"/>
  <c r="B629" i="3"/>
  <c r="C629" i="3"/>
  <c r="D629" i="3" a="1"/>
  <c r="E629" i="3" a="1"/>
  <c r="F629" i="3" a="1"/>
  <c r="G629" i="3" a="1"/>
  <c r="B630" i="3"/>
  <c r="C630" i="3" s="1"/>
  <c r="D630" i="3" a="1"/>
  <c r="E630" i="3" a="1"/>
  <c r="F630" i="3" a="1"/>
  <c r="G630" i="3" a="1"/>
  <c r="B631" i="3"/>
  <c r="C631" i="3"/>
  <c r="D631" i="3" a="1"/>
  <c r="E631" i="3" a="1"/>
  <c r="F631" i="3" a="1"/>
  <c r="G631" i="3" a="1"/>
  <c r="B632" i="3"/>
  <c r="C632" i="3"/>
  <c r="D632" i="3" a="1"/>
  <c r="E632" i="3" a="1"/>
  <c r="F632" i="3" a="1"/>
  <c r="G632" i="3" a="1"/>
  <c r="B633" i="3"/>
  <c r="C633" i="3" s="1"/>
  <c r="D633" i="3" a="1"/>
  <c r="E633" i="3" a="1"/>
  <c r="F633" i="3" a="1"/>
  <c r="G633" i="3" a="1"/>
  <c r="B634" i="3"/>
  <c r="C634" i="3" s="1"/>
  <c r="D634" i="3" a="1"/>
  <c r="E634" i="3" a="1"/>
  <c r="F634" i="3" a="1"/>
  <c r="G634" i="3" a="1"/>
  <c r="B635" i="3"/>
  <c r="C635" i="3" s="1"/>
  <c r="D635" i="3" a="1"/>
  <c r="E635" i="3" a="1"/>
  <c r="F635" i="3" a="1"/>
  <c r="G635" i="3" a="1"/>
  <c r="B636" i="3"/>
  <c r="C636" i="3"/>
  <c r="D636" i="3" a="1"/>
  <c r="E636" i="3" a="1"/>
  <c r="F636" i="3" a="1"/>
  <c r="G636" i="3" a="1"/>
  <c r="B637" i="3"/>
  <c r="C637" i="3" s="1"/>
  <c r="D637" i="3" a="1"/>
  <c r="E637" i="3" a="1"/>
  <c r="F637" i="3" a="1"/>
  <c r="G637" i="3" a="1"/>
  <c r="B638" i="3"/>
  <c r="C638" i="3"/>
  <c r="D638" i="3" a="1"/>
  <c r="E638" i="3" a="1"/>
  <c r="F638" i="3" a="1"/>
  <c r="G638" i="3" a="1"/>
  <c r="B639" i="3"/>
  <c r="C639" i="3" s="1"/>
  <c r="D639" i="3" a="1"/>
  <c r="E639" i="3" a="1"/>
  <c r="F639" i="3" a="1"/>
  <c r="G639" i="3" a="1"/>
  <c r="B640" i="3"/>
  <c r="C640" i="3"/>
  <c r="D640" i="3" a="1"/>
  <c r="E640" i="3" a="1"/>
  <c r="F640" i="3" a="1"/>
  <c r="G640" i="3" a="1"/>
  <c r="B641" i="3"/>
  <c r="C641" i="3"/>
  <c r="D641" i="3" a="1"/>
  <c r="E641" i="3" a="1"/>
  <c r="F641" i="3" a="1"/>
  <c r="G641" i="3" a="1"/>
  <c r="B642" i="3"/>
  <c r="C642" i="3"/>
  <c r="D642" i="3" a="1"/>
  <c r="E642" i="3" a="1"/>
  <c r="F642" i="3" a="1"/>
  <c r="G642" i="3" a="1"/>
  <c r="B643" i="3"/>
  <c r="C643" i="3"/>
  <c r="D643" i="3" a="1"/>
  <c r="E643" i="3" a="1"/>
  <c r="F643" i="3" a="1"/>
  <c r="G643" i="3" a="1"/>
  <c r="B644" i="3"/>
  <c r="C644" i="3"/>
  <c r="D644" i="3" a="1"/>
  <c r="E644" i="3" a="1"/>
  <c r="F644" i="3" a="1"/>
  <c r="G644" i="3" a="1"/>
  <c r="B645" i="3"/>
  <c r="C645" i="3"/>
  <c r="D645" i="3" a="1"/>
  <c r="E645" i="3" a="1"/>
  <c r="F645" i="3" a="1"/>
  <c r="G645" i="3" a="1"/>
  <c r="B646" i="3"/>
  <c r="C646" i="3"/>
  <c r="D646" i="3" a="1"/>
  <c r="E646" i="3" a="1"/>
  <c r="F646" i="3" a="1"/>
  <c r="G646" i="3" a="1"/>
  <c r="B647" i="3"/>
  <c r="C647" i="3"/>
  <c r="D647" i="3" a="1"/>
  <c r="E647" i="3" a="1"/>
  <c r="F647" i="3" a="1"/>
  <c r="G647" i="3" a="1"/>
  <c r="B648" i="3"/>
  <c r="C648" i="3"/>
  <c r="D648" i="3" a="1"/>
  <c r="E648" i="3" a="1"/>
  <c r="F648" i="3" a="1"/>
  <c r="G648" i="3" a="1"/>
  <c r="B649" i="3"/>
  <c r="C649" i="3"/>
  <c r="D649" i="3" a="1"/>
  <c r="E649" i="3" a="1"/>
  <c r="F649" i="3" a="1"/>
  <c r="G649" i="3" a="1"/>
  <c r="B650" i="3"/>
  <c r="C650" i="3"/>
  <c r="D650" i="3" a="1"/>
  <c r="E650" i="3" a="1"/>
  <c r="F650" i="3" a="1"/>
  <c r="G650" i="3" a="1"/>
  <c r="B651" i="3"/>
  <c r="C651" i="3"/>
  <c r="D651" i="3" a="1"/>
  <c r="E651" i="3" a="1"/>
  <c r="F651" i="3" a="1"/>
  <c r="G651" i="3" a="1"/>
  <c r="B652" i="3"/>
  <c r="C652" i="3"/>
  <c r="D652" i="3" a="1"/>
  <c r="E652" i="3" a="1"/>
  <c r="F652" i="3" a="1"/>
  <c r="G652" i="3" a="1"/>
  <c r="B653" i="3"/>
  <c r="C653" i="3"/>
  <c r="D653" i="3" a="1"/>
  <c r="E653" i="3" a="1"/>
  <c r="F653" i="3" a="1"/>
  <c r="G653" i="3" a="1"/>
  <c r="B654" i="3"/>
  <c r="C654" i="3"/>
  <c r="D654" i="3" a="1"/>
  <c r="E654" i="3" a="1"/>
  <c r="F654" i="3" a="1"/>
  <c r="G654" i="3" a="1"/>
  <c r="B655" i="3"/>
  <c r="C655" i="3" s="1"/>
  <c r="D655" i="3" a="1"/>
  <c r="E655" i="3" a="1"/>
  <c r="F655" i="3" a="1"/>
  <c r="G655" i="3" a="1"/>
  <c r="B656" i="3"/>
  <c r="C656" i="3"/>
  <c r="D656" i="3" a="1"/>
  <c r="E656" i="3" a="1"/>
  <c r="F656" i="3" a="1"/>
  <c r="G656" i="3" a="1"/>
  <c r="B657" i="3"/>
  <c r="C657" i="3"/>
  <c r="D657" i="3" a="1"/>
  <c r="E657" i="3" a="1"/>
  <c r="F657" i="3" a="1"/>
  <c r="G657" i="3" a="1"/>
  <c r="B658" i="3"/>
  <c r="C658" i="3"/>
  <c r="D658" i="3" a="1"/>
  <c r="E658" i="3" a="1"/>
  <c r="F658" i="3" a="1"/>
  <c r="G658" i="3" a="1"/>
  <c r="B659" i="3"/>
  <c r="C659" i="3"/>
  <c r="D659" i="3" a="1"/>
  <c r="E659" i="3" a="1"/>
  <c r="F659" i="3" a="1"/>
  <c r="G659" i="3" a="1"/>
  <c r="B660" i="3"/>
  <c r="C660" i="3" s="1"/>
  <c r="D660" i="3" a="1"/>
  <c r="E660" i="3" a="1"/>
  <c r="F660" i="3" a="1"/>
  <c r="G660" i="3" a="1"/>
  <c r="B661" i="3"/>
  <c r="C661" i="3"/>
  <c r="D661" i="3" a="1"/>
  <c r="E661" i="3" a="1"/>
  <c r="F661" i="3" a="1"/>
  <c r="G661" i="3" a="1"/>
  <c r="B662" i="3"/>
  <c r="C662" i="3"/>
  <c r="D662" i="3" a="1"/>
  <c r="E662" i="3" a="1"/>
  <c r="F662" i="3" a="1"/>
  <c r="G662" i="3" a="1"/>
  <c r="B663" i="3"/>
  <c r="C663" i="3" s="1"/>
  <c r="D663" i="3" a="1"/>
  <c r="E663" i="3" a="1"/>
  <c r="F663" i="3" a="1"/>
  <c r="G663" i="3" a="1"/>
  <c r="B664" i="3"/>
  <c r="C664" i="3"/>
  <c r="D664" i="3" a="1"/>
  <c r="E664" i="3" a="1"/>
  <c r="F664" i="3" a="1"/>
  <c r="G664" i="3" a="1"/>
  <c r="B665" i="3"/>
  <c r="C665" i="3"/>
  <c r="D665" i="3" a="1"/>
  <c r="E665" i="3" a="1"/>
  <c r="F665" i="3" a="1"/>
  <c r="G665" i="3" a="1"/>
  <c r="B666" i="3"/>
  <c r="C666" i="3"/>
  <c r="D666" i="3" a="1"/>
  <c r="E666" i="3" a="1"/>
  <c r="F666" i="3" a="1"/>
  <c r="G666" i="3" a="1"/>
  <c r="B667" i="3"/>
  <c r="C667" i="3"/>
  <c r="D667" i="3" a="1"/>
  <c r="E667" i="3" a="1"/>
  <c r="F667" i="3" a="1"/>
  <c r="G667" i="3" a="1"/>
  <c r="B668" i="3"/>
  <c r="C668" i="3"/>
  <c r="D668" i="3" a="1"/>
  <c r="E668" i="3" a="1"/>
  <c r="F668" i="3" a="1"/>
  <c r="G668" i="3" a="1"/>
  <c r="B669" i="3"/>
  <c r="C669" i="3" s="1"/>
  <c r="D669" i="3" a="1"/>
  <c r="E669" i="3" a="1"/>
  <c r="F669" i="3" a="1"/>
  <c r="G669" i="3" a="1"/>
  <c r="B670" i="3"/>
  <c r="C670" i="3"/>
  <c r="D670" i="3" a="1"/>
  <c r="E670" i="3" a="1"/>
  <c r="F670" i="3" a="1"/>
  <c r="G670" i="3" a="1"/>
  <c r="B671" i="3"/>
  <c r="C671" i="3"/>
  <c r="D671" i="3" a="1"/>
  <c r="E671" i="3" a="1"/>
  <c r="F671" i="3" a="1"/>
  <c r="G671" i="3" a="1"/>
  <c r="B672" i="3"/>
  <c r="C672" i="3"/>
  <c r="D672" i="3" a="1"/>
  <c r="E672" i="3" a="1"/>
  <c r="F672" i="3" a="1"/>
  <c r="G672" i="3" a="1"/>
  <c r="B673" i="3"/>
  <c r="C673" i="3"/>
  <c r="D673" i="3" a="1"/>
  <c r="E673" i="3" a="1"/>
  <c r="F673" i="3" a="1"/>
  <c r="G673" i="3" a="1"/>
  <c r="B674" i="3"/>
  <c r="C674" i="3"/>
  <c r="D674" i="3" a="1"/>
  <c r="E674" i="3" a="1"/>
  <c r="F674" i="3" a="1"/>
  <c r="G674" i="3" a="1"/>
  <c r="B675" i="3"/>
  <c r="C675" i="3"/>
  <c r="D675" i="3" a="1"/>
  <c r="E675" i="3" a="1"/>
  <c r="F675" i="3" a="1"/>
  <c r="G675" i="3" a="1"/>
  <c r="B676" i="3"/>
  <c r="C676" i="3"/>
  <c r="D676" i="3" a="1"/>
  <c r="E676" i="3" a="1"/>
  <c r="F676" i="3" a="1"/>
  <c r="G676" i="3" a="1"/>
  <c r="B677" i="3"/>
  <c r="C677" i="3" s="1"/>
  <c r="D677" i="3" a="1"/>
  <c r="E677" i="3" a="1"/>
  <c r="F677" i="3" a="1"/>
  <c r="G677" i="3" a="1"/>
  <c r="B678" i="3"/>
  <c r="C678" i="3" s="1"/>
  <c r="D678" i="3" a="1"/>
  <c r="E678" i="3" a="1"/>
  <c r="F678" i="3" a="1"/>
  <c r="G678" i="3" a="1"/>
  <c r="B679" i="3"/>
  <c r="C679" i="3"/>
  <c r="D679" i="3" a="1"/>
  <c r="E679" i="3" a="1"/>
  <c r="F679" i="3" a="1"/>
  <c r="G679" i="3" a="1"/>
  <c r="B680" i="3"/>
  <c r="C680" i="3" s="1"/>
  <c r="D680" i="3" a="1"/>
  <c r="E680" i="3" a="1"/>
  <c r="F680" i="3" a="1"/>
  <c r="G680" i="3" a="1"/>
  <c r="B681" i="3"/>
  <c r="C681" i="3"/>
  <c r="D681" i="3" a="1"/>
  <c r="E681" i="3" a="1"/>
  <c r="F681" i="3" a="1"/>
  <c r="G681" i="3" a="1"/>
  <c r="B682" i="3"/>
  <c r="C682" i="3" s="1"/>
  <c r="D682" i="3" a="1"/>
  <c r="E682" i="3" a="1"/>
  <c r="F682" i="3" a="1"/>
  <c r="G682" i="3" a="1"/>
  <c r="B683" i="3"/>
  <c r="C683" i="3"/>
  <c r="D683" i="3" a="1"/>
  <c r="E683" i="3" a="1"/>
  <c r="F683" i="3" a="1"/>
  <c r="G683" i="3" a="1"/>
  <c r="B684" i="3"/>
  <c r="C684" i="3"/>
  <c r="D684" i="3" a="1"/>
  <c r="E684" i="3" a="1"/>
  <c r="F684" i="3" a="1"/>
  <c r="G684" i="3" a="1"/>
  <c r="B685" i="3"/>
  <c r="C685" i="3" s="1"/>
  <c r="D685" i="3" a="1"/>
  <c r="E685" i="3" a="1"/>
  <c r="F685" i="3" a="1"/>
  <c r="G685" i="3" a="1"/>
  <c r="B686" i="3"/>
  <c r="C686" i="3"/>
  <c r="D686" i="3" a="1"/>
  <c r="E686" i="3" a="1"/>
  <c r="F686" i="3" a="1"/>
  <c r="G686" i="3" a="1"/>
  <c r="B687" i="3"/>
  <c r="C687" i="3"/>
  <c r="D687" i="3" a="1"/>
  <c r="E687" i="3" a="1"/>
  <c r="F687" i="3" a="1"/>
  <c r="G687" i="3" a="1"/>
  <c r="B688" i="3"/>
  <c r="C688" i="3" s="1"/>
  <c r="D688" i="3" a="1"/>
  <c r="E688" i="3" a="1"/>
  <c r="F688" i="3" a="1"/>
  <c r="G688" i="3" a="1"/>
  <c r="B689" i="3"/>
  <c r="C689" i="3"/>
  <c r="D689" i="3" a="1"/>
  <c r="E689" i="3" a="1"/>
  <c r="F689" i="3" a="1"/>
  <c r="G689" i="3" a="1"/>
  <c r="B690" i="3"/>
  <c r="C690" i="3"/>
  <c r="D690" i="3" a="1"/>
  <c r="E690" i="3" a="1"/>
  <c r="F690" i="3" a="1"/>
  <c r="G690" i="3" a="1"/>
  <c r="B691" i="3"/>
  <c r="C691" i="3"/>
  <c r="D691" i="3" a="1"/>
  <c r="E691" i="3" a="1"/>
  <c r="F691" i="3" a="1"/>
  <c r="G691" i="3" a="1"/>
  <c r="B692" i="3"/>
  <c r="C692" i="3"/>
  <c r="D692" i="3" a="1"/>
  <c r="E692" i="3" a="1"/>
  <c r="F692" i="3" a="1"/>
  <c r="G692" i="3" a="1"/>
  <c r="B693" i="3"/>
  <c r="C693" i="3"/>
  <c r="D693" i="3" a="1"/>
  <c r="E693" i="3" a="1"/>
  <c r="F693" i="3" a="1"/>
  <c r="G693" i="3" a="1"/>
  <c r="B694" i="3"/>
  <c r="C694" i="3" s="1"/>
  <c r="D694" i="3" a="1"/>
  <c r="E694" i="3" a="1"/>
  <c r="F694" i="3" a="1"/>
  <c r="G694" i="3" a="1"/>
  <c r="B695" i="3"/>
  <c r="C695" i="3"/>
  <c r="D695" i="3" a="1"/>
  <c r="E695" i="3" a="1"/>
  <c r="F695" i="3" a="1"/>
  <c r="G695" i="3" a="1"/>
  <c r="B696" i="3"/>
  <c r="C696" i="3"/>
  <c r="D696" i="3" a="1"/>
  <c r="E696" i="3" a="1"/>
  <c r="F696" i="3" a="1"/>
  <c r="G696" i="3" a="1"/>
  <c r="B697" i="3"/>
  <c r="C697" i="3"/>
  <c r="D697" i="3" a="1"/>
  <c r="E697" i="3" a="1"/>
  <c r="F697" i="3" a="1"/>
  <c r="G697" i="3" a="1"/>
  <c r="B698" i="3"/>
  <c r="C698" i="3"/>
  <c r="D698" i="3" a="1"/>
  <c r="E698" i="3" a="1"/>
  <c r="F698" i="3" a="1"/>
  <c r="G698" i="3" a="1"/>
  <c r="B699" i="3"/>
  <c r="C699" i="3"/>
  <c r="D699" i="3" a="1"/>
  <c r="E699" i="3" a="1"/>
  <c r="F699" i="3" a="1"/>
  <c r="G699" i="3" a="1"/>
  <c r="B700" i="3"/>
  <c r="C700" i="3"/>
  <c r="D700" i="3" a="1"/>
  <c r="E700" i="3" a="1"/>
  <c r="F700" i="3" a="1"/>
  <c r="G700" i="3" a="1"/>
  <c r="B701" i="3"/>
  <c r="C701" i="3" s="1"/>
  <c r="D701" i="3" a="1"/>
  <c r="E701" i="3" a="1"/>
  <c r="F701" i="3" a="1"/>
  <c r="G701" i="3" a="1"/>
  <c r="B702" i="3"/>
  <c r="C702" i="3"/>
  <c r="D702" i="3" a="1"/>
  <c r="E702" i="3" a="1"/>
  <c r="F702" i="3" a="1"/>
  <c r="G702" i="3" a="1"/>
  <c r="B703" i="3"/>
  <c r="C703" i="3"/>
  <c r="D703" i="3" a="1"/>
  <c r="E703" i="3" a="1"/>
  <c r="F703" i="3" a="1"/>
  <c r="G703" i="3" a="1"/>
  <c r="B704" i="3"/>
  <c r="C704" i="3"/>
  <c r="D704" i="3" a="1"/>
  <c r="E704" i="3" a="1"/>
  <c r="F704" i="3" a="1"/>
  <c r="G704" i="3" a="1"/>
  <c r="B705" i="3"/>
  <c r="C705" i="3"/>
  <c r="D705" i="3" a="1"/>
  <c r="E705" i="3" a="1"/>
  <c r="F705" i="3" a="1"/>
  <c r="G705" i="3" a="1"/>
  <c r="B706" i="3"/>
  <c r="C706" i="3" s="1"/>
  <c r="D706" i="3" a="1"/>
  <c r="E706" i="3" a="1"/>
  <c r="F706" i="3" a="1"/>
  <c r="G706" i="3" a="1"/>
  <c r="B707" i="3"/>
  <c r="C707" i="3"/>
  <c r="D707" i="3" a="1"/>
  <c r="E707" i="3" a="1"/>
  <c r="F707" i="3" a="1"/>
  <c r="G707" i="3" a="1"/>
  <c r="B708" i="3"/>
  <c r="C708" i="3"/>
  <c r="D708" i="3" a="1"/>
  <c r="E708" i="3" a="1"/>
  <c r="F708" i="3" a="1"/>
  <c r="G708" i="3" a="1"/>
  <c r="B709" i="3"/>
  <c r="C709" i="3"/>
  <c r="D709" i="3" a="1"/>
  <c r="E709" i="3" a="1"/>
  <c r="F709" i="3" a="1"/>
  <c r="G709" i="3" a="1"/>
  <c r="B710" i="3"/>
  <c r="C710" i="3"/>
  <c r="D710" i="3" a="1"/>
  <c r="E710" i="3" a="1"/>
  <c r="F710" i="3" a="1"/>
  <c r="G710" i="3" a="1"/>
  <c r="B711" i="3"/>
  <c r="C711" i="3"/>
  <c r="D711" i="3" a="1"/>
  <c r="E711" i="3" a="1"/>
  <c r="F711" i="3" a="1"/>
  <c r="G711" i="3" a="1"/>
  <c r="B712" i="3"/>
  <c r="C712" i="3" s="1"/>
  <c r="D712" i="3" a="1"/>
  <c r="E712" i="3" a="1"/>
  <c r="F712" i="3" a="1"/>
  <c r="G712" i="3" a="1"/>
  <c r="B713" i="3"/>
  <c r="C713" i="3" s="1"/>
  <c r="D713" i="3" a="1"/>
  <c r="E713" i="3" a="1"/>
  <c r="F713" i="3" a="1"/>
  <c r="G713" i="3" a="1"/>
  <c r="B714" i="3"/>
  <c r="C714" i="3"/>
  <c r="D714" i="3" a="1"/>
  <c r="E714" i="3" a="1"/>
  <c r="F714" i="3" a="1"/>
  <c r="G714" i="3" a="1"/>
  <c r="B715" i="3"/>
  <c r="C715" i="3" s="1"/>
  <c r="D715" i="3" a="1"/>
  <c r="E715" i="3" a="1"/>
  <c r="F715" i="3" a="1"/>
  <c r="G715" i="3" a="1"/>
  <c r="B716" i="3"/>
  <c r="C716" i="3"/>
  <c r="D716" i="3" a="1"/>
  <c r="E716" i="3" a="1"/>
  <c r="F716" i="3" a="1"/>
  <c r="G716" i="3" a="1"/>
  <c r="B717" i="3"/>
  <c r="C717" i="3"/>
  <c r="D717" i="3" a="1"/>
  <c r="E717" i="3" a="1"/>
  <c r="F717" i="3" a="1"/>
  <c r="G717" i="3" a="1"/>
  <c r="B718" i="3"/>
  <c r="C718" i="3"/>
  <c r="D718" i="3" a="1"/>
  <c r="E718" i="3" a="1"/>
  <c r="F718" i="3" a="1"/>
  <c r="G718" i="3" a="1"/>
  <c r="B719" i="3"/>
  <c r="C719" i="3"/>
  <c r="D719" i="3" a="1"/>
  <c r="E719" i="3" a="1"/>
  <c r="F719" i="3" a="1"/>
  <c r="G719" i="3" a="1"/>
  <c r="B720" i="3"/>
  <c r="C720" i="3"/>
  <c r="D720" i="3" a="1"/>
  <c r="E720" i="3" a="1"/>
  <c r="F720" i="3" a="1"/>
  <c r="G720" i="3" a="1"/>
  <c r="B721" i="3"/>
  <c r="C721" i="3"/>
  <c r="D721" i="3" a="1"/>
  <c r="E721" i="3" a="1"/>
  <c r="F721" i="3" a="1"/>
  <c r="G721" i="3" a="1"/>
  <c r="B722" i="3"/>
  <c r="C722" i="3" s="1"/>
  <c r="D722" i="3" a="1"/>
  <c r="E722" i="3" a="1"/>
  <c r="F722" i="3" a="1"/>
  <c r="G722" i="3" a="1"/>
  <c r="B723" i="3"/>
  <c r="C723" i="3"/>
  <c r="D723" i="3" a="1"/>
  <c r="E723" i="3" a="1"/>
  <c r="F723" i="3" a="1"/>
  <c r="G723" i="3" a="1"/>
  <c r="B724" i="3"/>
  <c r="C724" i="3"/>
  <c r="D724" i="3" a="1"/>
  <c r="E724" i="3" a="1"/>
  <c r="F724" i="3" a="1"/>
  <c r="G724" i="3" a="1"/>
  <c r="B725" i="3"/>
  <c r="C725" i="3"/>
  <c r="D725" i="3" a="1"/>
  <c r="E725" i="3" a="1"/>
  <c r="F725" i="3" a="1"/>
  <c r="G725" i="3" a="1"/>
  <c r="B726" i="3"/>
  <c r="C726" i="3" s="1"/>
  <c r="D726" i="3" a="1"/>
  <c r="E726" i="3" a="1"/>
  <c r="F726" i="3" a="1"/>
  <c r="G726" i="3" a="1"/>
  <c r="B727" i="3"/>
  <c r="C727" i="3"/>
  <c r="D727" i="3" a="1"/>
  <c r="E727" i="3" a="1"/>
  <c r="F727" i="3" a="1"/>
  <c r="G727" i="3" a="1"/>
  <c r="B728" i="3"/>
  <c r="C728" i="3"/>
  <c r="D728" i="3" a="1"/>
  <c r="E728" i="3" a="1"/>
  <c r="F728" i="3" a="1"/>
  <c r="G728" i="3" a="1"/>
  <c r="B729" i="3"/>
  <c r="C729" i="3"/>
  <c r="D729" i="3" a="1"/>
  <c r="E729" i="3" a="1"/>
  <c r="F729" i="3" a="1"/>
  <c r="G729" i="3" a="1"/>
  <c r="B730" i="3"/>
  <c r="C730" i="3"/>
  <c r="D730" i="3" a="1"/>
  <c r="E730" i="3" a="1"/>
  <c r="F730" i="3" a="1"/>
  <c r="G730" i="3" a="1"/>
  <c r="B731" i="3"/>
  <c r="C731" i="3" s="1"/>
  <c r="D731" i="3" a="1"/>
  <c r="E731" i="3" a="1"/>
  <c r="F731" i="3" a="1"/>
  <c r="G731" i="3" a="1"/>
  <c r="B732" i="3"/>
  <c r="C732" i="3"/>
  <c r="D732" i="3" a="1"/>
  <c r="E732" i="3" a="1"/>
  <c r="F732" i="3" a="1"/>
  <c r="G732" i="3" a="1"/>
  <c r="B733" i="3"/>
  <c r="C733" i="3"/>
  <c r="D733" i="3" a="1"/>
  <c r="E733" i="3" a="1"/>
  <c r="F733" i="3" a="1"/>
  <c r="G733" i="3" a="1"/>
  <c r="B734" i="3"/>
  <c r="C734" i="3"/>
  <c r="D734" i="3" a="1"/>
  <c r="E734" i="3" a="1"/>
  <c r="F734" i="3" a="1"/>
  <c r="G734" i="3" a="1"/>
  <c r="B735" i="3"/>
  <c r="C735" i="3"/>
  <c r="D735" i="3" a="1"/>
  <c r="E735" i="3" a="1"/>
  <c r="F735" i="3" a="1"/>
  <c r="G735" i="3" a="1"/>
  <c r="B736" i="3"/>
  <c r="C736" i="3"/>
  <c r="D736" i="3" a="1"/>
  <c r="E736" i="3" a="1"/>
  <c r="F736" i="3" a="1"/>
  <c r="G736" i="3" a="1"/>
  <c r="B737" i="3"/>
  <c r="C737" i="3"/>
  <c r="D737" i="3" a="1"/>
  <c r="E737" i="3" a="1"/>
  <c r="F737" i="3" a="1"/>
  <c r="G737" i="3" a="1"/>
  <c r="B738" i="3"/>
  <c r="C738" i="3"/>
  <c r="D738" i="3" a="1"/>
  <c r="E738" i="3" a="1"/>
  <c r="F738" i="3" a="1"/>
  <c r="G738" i="3" a="1"/>
  <c r="B739" i="3"/>
  <c r="C739" i="3"/>
  <c r="D739" i="3" a="1"/>
  <c r="E739" i="3" a="1"/>
  <c r="F739" i="3" a="1"/>
  <c r="G739" i="3" a="1"/>
  <c r="B740" i="3"/>
  <c r="C740" i="3"/>
  <c r="D740" i="3" a="1"/>
  <c r="E740" i="3" a="1"/>
  <c r="F740" i="3" a="1"/>
  <c r="G740" i="3" a="1"/>
  <c r="B741" i="3"/>
  <c r="C741" i="3"/>
  <c r="D741" i="3" a="1"/>
  <c r="E741" i="3" a="1"/>
  <c r="F741" i="3" a="1"/>
  <c r="G741" i="3" a="1"/>
  <c r="B742" i="3"/>
  <c r="C742" i="3"/>
  <c r="D742" i="3" a="1"/>
  <c r="E742" i="3" a="1"/>
  <c r="F742" i="3" a="1"/>
  <c r="G742" i="3" a="1"/>
  <c r="B743" i="3"/>
  <c r="C743" i="3"/>
  <c r="D743" i="3" a="1"/>
  <c r="E743" i="3" a="1"/>
  <c r="F743" i="3" a="1"/>
  <c r="G743" i="3" a="1"/>
  <c r="B744" i="3"/>
  <c r="C744" i="3"/>
  <c r="D744" i="3" a="1"/>
  <c r="E744" i="3" a="1"/>
  <c r="F744" i="3" a="1"/>
  <c r="G744" i="3" a="1"/>
  <c r="B745" i="3"/>
  <c r="C745" i="3" s="1"/>
  <c r="D745" i="3" a="1"/>
  <c r="E745" i="3" a="1"/>
  <c r="F745" i="3" a="1"/>
  <c r="G745" i="3" a="1"/>
  <c r="B746" i="3"/>
  <c r="C746" i="3" s="1"/>
  <c r="D746" i="3" a="1"/>
  <c r="E746" i="3" a="1"/>
  <c r="F746" i="3" a="1"/>
  <c r="G746" i="3" a="1"/>
  <c r="B747" i="3"/>
  <c r="C747" i="3" s="1"/>
  <c r="D747" i="3" a="1"/>
  <c r="E747" i="3" a="1"/>
  <c r="F747" i="3" a="1"/>
  <c r="G747" i="3" a="1"/>
  <c r="B748" i="3"/>
  <c r="C748" i="3"/>
  <c r="D748" i="3" a="1"/>
  <c r="E748" i="3" a="1"/>
  <c r="F748" i="3" a="1"/>
  <c r="G748" i="3" a="1"/>
  <c r="B749" i="3"/>
  <c r="C749" i="3" s="1"/>
  <c r="D749" i="3" a="1"/>
  <c r="E749" i="3" a="1"/>
  <c r="F749" i="3" a="1"/>
  <c r="G749" i="3" a="1"/>
  <c r="B750" i="3"/>
  <c r="C750" i="3" s="1"/>
  <c r="D750" i="3" a="1"/>
  <c r="E750" i="3" a="1"/>
  <c r="F750" i="3" a="1"/>
  <c r="G750" i="3" a="1"/>
  <c r="B751" i="3"/>
  <c r="C751" i="3"/>
  <c r="D751" i="3" a="1"/>
  <c r="E751" i="3" a="1"/>
  <c r="F751" i="3" a="1"/>
  <c r="G751" i="3" a="1"/>
  <c r="B752" i="3"/>
  <c r="C752" i="3"/>
  <c r="D752" i="3" a="1"/>
  <c r="E752" i="3" a="1"/>
  <c r="F752" i="3" a="1"/>
  <c r="G752" i="3" a="1"/>
  <c r="B753" i="3"/>
  <c r="C753" i="3"/>
  <c r="D753" i="3" a="1"/>
  <c r="E753" i="3" a="1"/>
  <c r="F753" i="3" a="1"/>
  <c r="G753" i="3" a="1"/>
  <c r="B754" i="3"/>
  <c r="C754" i="3" s="1"/>
  <c r="D754" i="3" a="1"/>
  <c r="E754" i="3" a="1"/>
  <c r="F754" i="3" a="1"/>
  <c r="G754" i="3" a="1"/>
  <c r="B755" i="3"/>
  <c r="C755" i="3" s="1"/>
  <c r="D755" i="3" a="1"/>
  <c r="E755" i="3" a="1"/>
  <c r="F755" i="3" a="1"/>
  <c r="G755" i="3" a="1"/>
  <c r="B756" i="3"/>
  <c r="C756" i="3"/>
  <c r="D756" i="3" a="1"/>
  <c r="E756" i="3" a="1"/>
  <c r="F756" i="3" a="1"/>
  <c r="G756" i="3" a="1"/>
  <c r="B757" i="3"/>
  <c r="C757" i="3" s="1"/>
  <c r="D757" i="3" a="1"/>
  <c r="E757" i="3" a="1"/>
  <c r="F757" i="3" a="1"/>
  <c r="G757" i="3" a="1"/>
  <c r="B758" i="3"/>
  <c r="C758" i="3"/>
  <c r="D758" i="3" a="1"/>
  <c r="E758" i="3" a="1"/>
  <c r="F758" i="3" a="1"/>
  <c r="G758" i="3" a="1"/>
  <c r="B759" i="3"/>
  <c r="C759" i="3" s="1"/>
  <c r="D759" i="3" a="1"/>
  <c r="E759" i="3" a="1"/>
  <c r="F759" i="3" a="1"/>
  <c r="G759" i="3" a="1"/>
  <c r="B760" i="3"/>
  <c r="C760" i="3" s="1"/>
  <c r="D760" i="3" a="1"/>
  <c r="E760" i="3" a="1"/>
  <c r="F760" i="3" a="1"/>
  <c r="G760" i="3" a="1"/>
  <c r="B761" i="3"/>
  <c r="C761" i="3"/>
  <c r="D761" i="3" a="1"/>
  <c r="E761" i="3" a="1"/>
  <c r="F761" i="3" a="1"/>
  <c r="G761" i="3" a="1"/>
  <c r="B762" i="3"/>
  <c r="C762" i="3" s="1"/>
  <c r="D762" i="3" a="1"/>
  <c r="E762" i="3" a="1"/>
  <c r="F762" i="3" a="1"/>
  <c r="G762" i="3" a="1"/>
  <c r="B263" i="3"/>
  <c r="C263" i="3" s="1"/>
  <c r="D263" i="3" a="1"/>
  <c r="E263" i="3" a="1"/>
  <c r="F263" i="3" a="1"/>
  <c r="G263" i="3" a="1"/>
  <c r="B264" i="3"/>
  <c r="C264" i="3" s="1"/>
  <c r="D264" i="3" a="1"/>
  <c r="E264" i="3" a="1"/>
  <c r="F264" i="3" a="1"/>
  <c r="G264" i="3" a="1"/>
  <c r="B265" i="3"/>
  <c r="C265" i="3" s="1"/>
  <c r="D265" i="3" a="1"/>
  <c r="E265" i="3" a="1"/>
  <c r="F265" i="3" a="1"/>
  <c r="G265" i="3" a="1"/>
  <c r="B266" i="3"/>
  <c r="C266" i="3" s="1"/>
  <c r="D266" i="3" a="1"/>
  <c r="E266" i="3" a="1"/>
  <c r="F266" i="3" a="1"/>
  <c r="G266" i="3" a="1"/>
  <c r="B267" i="3"/>
  <c r="C267" i="3" s="1"/>
  <c r="D267" i="3" a="1"/>
  <c r="E267" i="3" a="1"/>
  <c r="F267" i="3" a="1"/>
  <c r="G267" i="3" a="1"/>
  <c r="B268" i="3"/>
  <c r="C268" i="3" s="1"/>
  <c r="D268" i="3" a="1"/>
  <c r="E268" i="3" a="1"/>
  <c r="F268" i="3" a="1"/>
  <c r="G268" i="3" a="1"/>
  <c r="B269" i="3"/>
  <c r="C269" i="3" s="1"/>
  <c r="D269" i="3" a="1"/>
  <c r="E269" i="3" a="1"/>
  <c r="F269" i="3" a="1"/>
  <c r="G269" i="3" a="1"/>
  <c r="B270" i="3"/>
  <c r="C270" i="3" s="1"/>
  <c r="D270" i="3" a="1"/>
  <c r="E270" i="3" a="1"/>
  <c r="F270" i="3" a="1"/>
  <c r="G270" i="3" a="1"/>
  <c r="B271" i="3"/>
  <c r="C271" i="3"/>
  <c r="D271" i="3" a="1"/>
  <c r="E271" i="3" a="1"/>
  <c r="F271" i="3" a="1"/>
  <c r="G271" i="3" a="1"/>
  <c r="B272" i="3"/>
  <c r="C272" i="3"/>
  <c r="D272" i="3" a="1"/>
  <c r="E272" i="3" a="1"/>
  <c r="F272" i="3" a="1"/>
  <c r="G272" i="3" a="1"/>
  <c r="B273" i="3"/>
  <c r="C273" i="3"/>
  <c r="D273" i="3" a="1"/>
  <c r="E273" i="3" a="1"/>
  <c r="F273" i="3" a="1"/>
  <c r="G273" i="3" a="1"/>
  <c r="B274" i="3"/>
  <c r="C274" i="3" s="1"/>
  <c r="D274" i="3" a="1"/>
  <c r="E274" i="3" a="1"/>
  <c r="F274" i="3" a="1"/>
  <c r="G274" i="3" a="1"/>
  <c r="B275" i="3"/>
  <c r="C275" i="3" s="1"/>
  <c r="D275" i="3" a="1"/>
  <c r="E275" i="3" a="1"/>
  <c r="F275" i="3" a="1"/>
  <c r="G275" i="3" a="1"/>
  <c r="B276" i="3"/>
  <c r="C276" i="3" s="1"/>
  <c r="D276" i="3" a="1"/>
  <c r="E276" i="3" a="1"/>
  <c r="F276" i="3" a="1"/>
  <c r="G276" i="3" a="1"/>
  <c r="B277" i="3"/>
  <c r="C277" i="3" s="1"/>
  <c r="D277" i="3" a="1"/>
  <c r="E277" i="3" a="1"/>
  <c r="F277" i="3" a="1"/>
  <c r="G277" i="3" a="1"/>
  <c r="B278" i="3"/>
  <c r="C278" i="3"/>
  <c r="D278" i="3" a="1"/>
  <c r="E278" i="3" a="1"/>
  <c r="F278" i="3" a="1"/>
  <c r="G278" i="3" a="1"/>
  <c r="B279" i="3"/>
  <c r="C279" i="3"/>
  <c r="D279" i="3" a="1"/>
  <c r="E279" i="3" a="1"/>
  <c r="F279" i="3" a="1"/>
  <c r="G279" i="3" a="1"/>
  <c r="B280" i="3"/>
  <c r="C280" i="3" s="1"/>
  <c r="D280" i="3" a="1"/>
  <c r="E280" i="3" a="1"/>
  <c r="F280" i="3" a="1"/>
  <c r="G280" i="3" a="1"/>
  <c r="B281" i="3"/>
  <c r="C281" i="3" s="1"/>
  <c r="D281" i="3" a="1"/>
  <c r="E281" i="3" a="1"/>
  <c r="F281" i="3" a="1"/>
  <c r="G281" i="3" a="1"/>
  <c r="B282" i="3"/>
  <c r="C282" i="3" s="1"/>
  <c r="D282" i="3" a="1"/>
  <c r="E282" i="3" a="1"/>
  <c r="F282" i="3" a="1"/>
  <c r="G282" i="3" a="1"/>
  <c r="B283" i="3"/>
  <c r="C283" i="3" s="1"/>
  <c r="D283" i="3" a="1"/>
  <c r="E283" i="3" a="1"/>
  <c r="F283" i="3" a="1"/>
  <c r="G283" i="3" a="1"/>
  <c r="B284" i="3"/>
  <c r="C284" i="3" s="1"/>
  <c r="D284" i="3" a="1"/>
  <c r="E284" i="3" a="1"/>
  <c r="F284" i="3" a="1"/>
  <c r="G284" i="3" a="1"/>
  <c r="B285" i="3"/>
  <c r="C285" i="3" s="1"/>
  <c r="D285" i="3" a="1"/>
  <c r="E285" i="3" a="1"/>
  <c r="F285" i="3" a="1"/>
  <c r="G285" i="3" a="1"/>
  <c r="B286" i="3"/>
  <c r="C286" i="3"/>
  <c r="D286" i="3" a="1"/>
  <c r="E286" i="3" a="1"/>
  <c r="F286" i="3" a="1"/>
  <c r="G286" i="3" a="1"/>
  <c r="B287" i="3"/>
  <c r="C287" i="3" s="1"/>
  <c r="D287" i="3" a="1"/>
  <c r="E287" i="3" a="1"/>
  <c r="F287" i="3" a="1"/>
  <c r="G287" i="3" a="1"/>
  <c r="B288" i="3"/>
  <c r="C288" i="3" s="1"/>
  <c r="D288" i="3" a="1"/>
  <c r="E288" i="3" a="1"/>
  <c r="F288" i="3" a="1"/>
  <c r="G288" i="3" a="1"/>
  <c r="B289" i="3"/>
  <c r="C289" i="3"/>
  <c r="D289" i="3" a="1"/>
  <c r="E289" i="3" a="1"/>
  <c r="F289" i="3" a="1"/>
  <c r="G289" i="3" a="1"/>
  <c r="B290" i="3"/>
  <c r="C290" i="3"/>
  <c r="D290" i="3" a="1"/>
  <c r="E290" i="3" a="1"/>
  <c r="F290" i="3" a="1"/>
  <c r="G290" i="3" a="1"/>
  <c r="B291" i="3"/>
  <c r="C291" i="3"/>
  <c r="D291" i="3" a="1"/>
  <c r="E291" i="3" a="1"/>
  <c r="F291" i="3" a="1"/>
  <c r="G291" i="3" a="1"/>
  <c r="B292" i="3"/>
  <c r="C292" i="3" s="1"/>
  <c r="D292" i="3" a="1"/>
  <c r="E292" i="3" a="1"/>
  <c r="F292" i="3" a="1"/>
  <c r="G292" i="3" a="1"/>
  <c r="B293" i="3"/>
  <c r="C293" i="3" s="1"/>
  <c r="D293" i="3" a="1"/>
  <c r="E293" i="3" a="1"/>
  <c r="F293" i="3" a="1"/>
  <c r="G293" i="3" a="1"/>
  <c r="B294" i="3"/>
  <c r="C294" i="3"/>
  <c r="D294" i="3" a="1"/>
  <c r="E294" i="3" a="1"/>
  <c r="F294" i="3" a="1"/>
  <c r="G294" i="3" a="1"/>
  <c r="B295" i="3"/>
  <c r="C295" i="3"/>
  <c r="D295" i="3" a="1"/>
  <c r="E295" i="3" a="1"/>
  <c r="F295" i="3" a="1"/>
  <c r="G295" i="3" a="1"/>
  <c r="B296" i="3"/>
  <c r="C296" i="3"/>
  <c r="D296" i="3" a="1"/>
  <c r="E296" i="3" a="1"/>
  <c r="F296" i="3" a="1"/>
  <c r="G296" i="3" a="1"/>
  <c r="B297" i="3"/>
  <c r="C297" i="3"/>
  <c r="D297" i="3" a="1"/>
  <c r="E297" i="3" a="1"/>
  <c r="F297" i="3" a="1"/>
  <c r="G297" i="3" a="1"/>
  <c r="B298" i="3"/>
  <c r="C298" i="3" s="1"/>
  <c r="D298" i="3" a="1"/>
  <c r="E298" i="3" a="1"/>
  <c r="F298" i="3" a="1"/>
  <c r="G298" i="3" a="1"/>
  <c r="B299" i="3"/>
  <c r="C299" i="3"/>
  <c r="D299" i="3" a="1"/>
  <c r="E299" i="3" a="1"/>
  <c r="F299" i="3" a="1"/>
  <c r="G299" i="3" a="1"/>
  <c r="B300" i="3"/>
  <c r="C300" i="3"/>
  <c r="D300" i="3" a="1"/>
  <c r="E300" i="3" a="1"/>
  <c r="F300" i="3" a="1"/>
  <c r="G300" i="3" a="1"/>
  <c r="B301" i="3"/>
  <c r="C301" i="3"/>
  <c r="D301" i="3" a="1"/>
  <c r="E301" i="3" a="1"/>
  <c r="F301" i="3" a="1"/>
  <c r="G301" i="3" a="1"/>
  <c r="B302" i="3"/>
  <c r="C302" i="3"/>
  <c r="D302" i="3" a="1"/>
  <c r="E302" i="3" a="1"/>
  <c r="F302" i="3" a="1"/>
  <c r="G302" i="3" a="1"/>
  <c r="B303" i="3"/>
  <c r="C303" i="3"/>
  <c r="D303" i="3" a="1"/>
  <c r="E303" i="3" a="1"/>
  <c r="F303" i="3" a="1"/>
  <c r="G303" i="3" a="1"/>
  <c r="B304" i="3"/>
  <c r="C304" i="3"/>
  <c r="D304" i="3" a="1"/>
  <c r="E304" i="3" a="1"/>
  <c r="F304" i="3" a="1"/>
  <c r="G304" i="3" a="1"/>
  <c r="B305" i="3"/>
  <c r="C305" i="3"/>
  <c r="D305" i="3" a="1"/>
  <c r="E305" i="3" a="1"/>
  <c r="F305" i="3" a="1"/>
  <c r="G305" i="3" a="1"/>
  <c r="B306" i="3"/>
  <c r="C306" i="3"/>
  <c r="D306" i="3" a="1"/>
  <c r="E306" i="3" a="1"/>
  <c r="F306" i="3" a="1"/>
  <c r="G306" i="3" a="1"/>
  <c r="B307" i="3"/>
  <c r="C307" i="3"/>
  <c r="D307" i="3" a="1"/>
  <c r="E307" i="3" a="1"/>
  <c r="F307" i="3" a="1"/>
  <c r="G307" i="3" a="1"/>
  <c r="B308" i="3"/>
  <c r="C308" i="3" s="1"/>
  <c r="D308" i="3" a="1"/>
  <c r="E308" i="3" a="1"/>
  <c r="F308" i="3" a="1"/>
  <c r="G308" i="3" a="1"/>
  <c r="B309" i="3"/>
  <c r="C309" i="3"/>
  <c r="D309" i="3" a="1"/>
  <c r="E309" i="3" a="1"/>
  <c r="F309" i="3" a="1"/>
  <c r="G309" i="3" a="1"/>
  <c r="B310" i="3"/>
  <c r="C310" i="3"/>
  <c r="D310" i="3" a="1"/>
  <c r="E310" i="3" a="1"/>
  <c r="F310" i="3" a="1"/>
  <c r="G310" i="3" a="1"/>
  <c r="B311" i="3"/>
  <c r="C311" i="3"/>
  <c r="D311" i="3" a="1"/>
  <c r="E311" i="3" a="1"/>
  <c r="F311" i="3" a="1"/>
  <c r="G311" i="3" a="1"/>
  <c r="B312" i="3"/>
  <c r="C312" i="3"/>
  <c r="D312" i="3" a="1"/>
  <c r="E312" i="3" a="1"/>
  <c r="F312" i="3" a="1"/>
  <c r="G312" i="3" a="1"/>
  <c r="B313" i="3"/>
  <c r="C313" i="3" s="1"/>
  <c r="D313" i="3" a="1"/>
  <c r="E313" i="3" a="1"/>
  <c r="F313" i="3" a="1"/>
  <c r="G313" i="3" a="1"/>
  <c r="B314" i="3"/>
  <c r="C314" i="3"/>
  <c r="D314" i="3" a="1"/>
  <c r="E314" i="3" a="1"/>
  <c r="F314" i="3" a="1"/>
  <c r="G314" i="3" a="1"/>
  <c r="B315" i="3"/>
  <c r="C315" i="3"/>
  <c r="D315" i="3" a="1"/>
  <c r="E315" i="3" a="1"/>
  <c r="F315" i="3" a="1"/>
  <c r="G315" i="3" a="1"/>
  <c r="B316" i="3"/>
  <c r="C316" i="3"/>
  <c r="D316" i="3" a="1"/>
  <c r="E316" i="3" a="1"/>
  <c r="F316" i="3" a="1"/>
  <c r="G316" i="3" a="1"/>
  <c r="B317" i="3"/>
  <c r="C317" i="3" s="1"/>
  <c r="D317" i="3" a="1"/>
  <c r="E317" i="3" a="1"/>
  <c r="F317" i="3" a="1"/>
  <c r="G317" i="3" a="1"/>
  <c r="B318" i="3"/>
  <c r="C318" i="3"/>
  <c r="D318" i="3" a="1"/>
  <c r="E318" i="3" a="1"/>
  <c r="F318" i="3" a="1"/>
  <c r="G318" i="3" a="1"/>
  <c r="B319" i="3"/>
  <c r="C319" i="3"/>
  <c r="D319" i="3" a="1"/>
  <c r="E319" i="3" a="1"/>
  <c r="F319" i="3" a="1"/>
  <c r="G319" i="3" a="1"/>
  <c r="B320" i="3"/>
  <c r="C320" i="3"/>
  <c r="D320" i="3" a="1"/>
  <c r="E320" i="3" a="1"/>
  <c r="F320" i="3" a="1"/>
  <c r="G320" i="3" a="1"/>
  <c r="B321" i="3"/>
  <c r="C321" i="3"/>
  <c r="D321" i="3" a="1"/>
  <c r="E321" i="3" a="1"/>
  <c r="F321" i="3" a="1"/>
  <c r="G321" i="3" a="1"/>
  <c r="B322" i="3"/>
  <c r="C322" i="3" s="1"/>
  <c r="D322" i="3" a="1"/>
  <c r="E322" i="3" a="1"/>
  <c r="F322" i="3" a="1"/>
  <c r="G322" i="3" a="1"/>
  <c r="B323" i="3"/>
  <c r="C323" i="3" s="1"/>
  <c r="D323" i="3" a="1"/>
  <c r="E323" i="3" a="1"/>
  <c r="F323" i="3" a="1"/>
  <c r="G323" i="3" a="1"/>
  <c r="B324" i="3"/>
  <c r="C324" i="3"/>
  <c r="D324" i="3" a="1"/>
  <c r="E324" i="3" a="1"/>
  <c r="F324" i="3" a="1"/>
  <c r="G324" i="3" a="1"/>
  <c r="B325" i="3"/>
  <c r="C325" i="3"/>
  <c r="D325" i="3" a="1"/>
  <c r="E325" i="3" a="1"/>
  <c r="F325" i="3" a="1"/>
  <c r="G325" i="3" a="1"/>
  <c r="B326" i="3"/>
  <c r="C326" i="3"/>
  <c r="D326" i="3" a="1"/>
  <c r="E326" i="3" a="1"/>
  <c r="F326" i="3" a="1"/>
  <c r="G326" i="3" a="1"/>
  <c r="B327" i="3"/>
  <c r="C327" i="3"/>
  <c r="D327" i="3" a="1"/>
  <c r="E327" i="3" a="1"/>
  <c r="F327" i="3" a="1"/>
  <c r="G327" i="3" a="1"/>
  <c r="B328" i="3"/>
  <c r="C328" i="3" s="1"/>
  <c r="D328" i="3" a="1"/>
  <c r="E328" i="3" a="1"/>
  <c r="F328" i="3" a="1"/>
  <c r="G328" i="3" a="1"/>
  <c r="B329" i="3"/>
  <c r="C329" i="3" s="1"/>
  <c r="D329" i="3" a="1"/>
  <c r="E329" i="3" a="1"/>
  <c r="F329" i="3" a="1"/>
  <c r="G329" i="3" a="1"/>
  <c r="B330" i="3"/>
  <c r="C330" i="3"/>
  <c r="D330" i="3" a="1"/>
  <c r="E330" i="3" a="1"/>
  <c r="F330" i="3" a="1"/>
  <c r="G330" i="3" a="1"/>
  <c r="B331" i="3"/>
  <c r="C331" i="3"/>
  <c r="D331" i="3" a="1"/>
  <c r="E331" i="3" a="1"/>
  <c r="F331" i="3" a="1"/>
  <c r="G331" i="3" a="1"/>
  <c r="B332" i="3"/>
  <c r="C332" i="3"/>
  <c r="D332" i="3" a="1"/>
  <c r="E332" i="3" a="1"/>
  <c r="F332" i="3" a="1"/>
  <c r="G332" i="3" a="1"/>
  <c r="B333" i="3"/>
  <c r="C333" i="3"/>
  <c r="D333" i="3" a="1"/>
  <c r="E333" i="3" a="1"/>
  <c r="F333" i="3" a="1"/>
  <c r="G333" i="3" a="1"/>
  <c r="B334" i="3"/>
  <c r="C334" i="3"/>
  <c r="D334" i="3" a="1"/>
  <c r="E334" i="3" a="1"/>
  <c r="F334" i="3" a="1"/>
  <c r="G334" i="3" a="1"/>
  <c r="B335" i="3"/>
  <c r="C335" i="3"/>
  <c r="D335" i="3" a="1"/>
  <c r="E335" i="3" a="1"/>
  <c r="F335" i="3" a="1"/>
  <c r="G335" i="3" a="1"/>
  <c r="B336" i="3"/>
  <c r="C336" i="3"/>
  <c r="D336" i="3" a="1"/>
  <c r="E336" i="3" a="1"/>
  <c r="F336" i="3" a="1"/>
  <c r="G336" i="3" a="1"/>
  <c r="B337" i="3"/>
  <c r="C337" i="3"/>
  <c r="D337" i="3" a="1"/>
  <c r="E337" i="3" a="1"/>
  <c r="F337" i="3" a="1"/>
  <c r="G337" i="3" a="1"/>
  <c r="B338" i="3"/>
  <c r="C338" i="3"/>
  <c r="D338" i="3" a="1"/>
  <c r="E338" i="3" a="1"/>
  <c r="F338" i="3" a="1"/>
  <c r="G338" i="3" a="1"/>
  <c r="B339" i="3"/>
  <c r="C339" i="3"/>
  <c r="D339" i="3" a="1"/>
  <c r="E339" i="3" a="1"/>
  <c r="F339" i="3" a="1"/>
  <c r="G339" i="3" a="1"/>
  <c r="B340" i="3"/>
  <c r="C340" i="3" s="1"/>
  <c r="D340" i="3" a="1"/>
  <c r="E340" i="3" a="1"/>
  <c r="F340" i="3" a="1"/>
  <c r="G340" i="3" a="1"/>
  <c r="B341" i="3"/>
  <c r="C341" i="3"/>
  <c r="D341" i="3" a="1"/>
  <c r="E341" i="3" a="1"/>
  <c r="F341" i="3" a="1"/>
  <c r="G341" i="3" a="1"/>
  <c r="B342" i="3"/>
  <c r="C342" i="3"/>
  <c r="D342" i="3" a="1"/>
  <c r="E342" i="3" a="1"/>
  <c r="F342" i="3" a="1"/>
  <c r="G342" i="3" a="1"/>
  <c r="B343" i="3"/>
  <c r="C343" i="3"/>
  <c r="D343" i="3" a="1"/>
  <c r="E343" i="3" a="1"/>
  <c r="F343" i="3" a="1"/>
  <c r="G343" i="3" a="1"/>
  <c r="B344" i="3"/>
  <c r="C344" i="3"/>
  <c r="D344" i="3" a="1"/>
  <c r="E344" i="3" a="1"/>
  <c r="F344" i="3" a="1"/>
  <c r="G344" i="3" a="1"/>
  <c r="B345" i="3"/>
  <c r="C345" i="3"/>
  <c r="D345" i="3" a="1"/>
  <c r="E345" i="3" a="1"/>
  <c r="F345" i="3" a="1"/>
  <c r="G345" i="3" a="1"/>
  <c r="B346" i="3"/>
  <c r="C346" i="3"/>
  <c r="D346" i="3" a="1"/>
  <c r="E346" i="3" a="1"/>
  <c r="F346" i="3" a="1"/>
  <c r="G346" i="3" a="1"/>
  <c r="B347" i="3"/>
  <c r="C347" i="3"/>
  <c r="D347" i="3" a="1"/>
  <c r="E347" i="3" a="1"/>
  <c r="F347" i="3" a="1"/>
  <c r="G347" i="3" a="1"/>
  <c r="B348" i="3"/>
  <c r="C348" i="3"/>
  <c r="D348" i="3" a="1"/>
  <c r="E348" i="3" a="1"/>
  <c r="F348" i="3" a="1"/>
  <c r="G348" i="3" a="1"/>
  <c r="B349" i="3"/>
  <c r="C349" i="3"/>
  <c r="D349" i="3" a="1"/>
  <c r="E349" i="3" a="1"/>
  <c r="F349" i="3" a="1"/>
  <c r="G349" i="3" a="1"/>
  <c r="B350" i="3"/>
  <c r="C350" i="3"/>
  <c r="D350" i="3" a="1"/>
  <c r="E350" i="3" a="1"/>
  <c r="F350" i="3" a="1"/>
  <c r="G350" i="3" a="1"/>
  <c r="B351" i="3"/>
  <c r="C351" i="3"/>
  <c r="D351" i="3" a="1"/>
  <c r="E351" i="3" a="1"/>
  <c r="F351" i="3" a="1"/>
  <c r="G351" i="3" a="1"/>
  <c r="B352" i="3"/>
  <c r="C352" i="3"/>
  <c r="D352" i="3" a="1"/>
  <c r="E352" i="3" a="1"/>
  <c r="F352" i="3" a="1"/>
  <c r="G352" i="3" a="1"/>
  <c r="B353" i="3"/>
  <c r="C353" i="3"/>
  <c r="D353" i="3" a="1"/>
  <c r="E353" i="3" a="1"/>
  <c r="F353" i="3" a="1"/>
  <c r="G353" i="3" a="1"/>
  <c r="B354" i="3"/>
  <c r="C354" i="3"/>
  <c r="D354" i="3" a="1"/>
  <c r="E354" i="3" a="1"/>
  <c r="F354" i="3" a="1"/>
  <c r="G354" i="3" a="1"/>
  <c r="B355" i="3"/>
  <c r="C355" i="3" s="1"/>
  <c r="D355" i="3" a="1"/>
  <c r="E355" i="3" a="1"/>
  <c r="F355" i="3" a="1"/>
  <c r="G355" i="3" a="1"/>
  <c r="B356" i="3"/>
  <c r="C356" i="3" s="1"/>
  <c r="D356" i="3" a="1"/>
  <c r="E356" i="3" a="1"/>
  <c r="F356" i="3" a="1"/>
  <c r="G356" i="3" a="1"/>
  <c r="B357" i="3"/>
  <c r="C357" i="3"/>
  <c r="D357" i="3" a="1"/>
  <c r="E357" i="3" a="1"/>
  <c r="F357" i="3" a="1"/>
  <c r="G357" i="3" a="1"/>
  <c r="B358" i="3"/>
  <c r="C358" i="3" s="1"/>
  <c r="D358" i="3" a="1"/>
  <c r="E358" i="3" a="1"/>
  <c r="F358" i="3" a="1"/>
  <c r="G358" i="3" a="1"/>
  <c r="B359" i="3"/>
  <c r="C359" i="3"/>
  <c r="D359" i="3" a="1"/>
  <c r="E359" i="3" a="1"/>
  <c r="F359" i="3" a="1"/>
  <c r="G359" i="3" a="1"/>
  <c r="B360" i="3"/>
  <c r="C360" i="3"/>
  <c r="D360" i="3" a="1"/>
  <c r="E360" i="3" a="1"/>
  <c r="F360" i="3" a="1"/>
  <c r="G360" i="3" a="1"/>
  <c r="B361" i="3"/>
  <c r="C361" i="3" s="1"/>
  <c r="D361" i="3" a="1"/>
  <c r="E361" i="3" a="1"/>
  <c r="F361" i="3" a="1"/>
  <c r="G361" i="3" a="1"/>
  <c r="B362" i="3"/>
  <c r="C362" i="3"/>
  <c r="D362" i="3" a="1"/>
  <c r="E362" i="3" a="1"/>
  <c r="F362" i="3" a="1"/>
  <c r="G362" i="3" a="1"/>
  <c r="B363" i="3"/>
  <c r="C363" i="3" s="1"/>
  <c r="D363" i="3" a="1"/>
  <c r="E363" i="3" a="1"/>
  <c r="F363" i="3" a="1"/>
  <c r="G363" i="3" a="1"/>
  <c r="B364" i="3"/>
  <c r="C364" i="3" s="1"/>
  <c r="D364" i="3" a="1"/>
  <c r="E364" i="3" a="1"/>
  <c r="F364" i="3" a="1"/>
  <c r="G364" i="3" a="1"/>
  <c r="B365" i="3"/>
  <c r="C365" i="3"/>
  <c r="D365" i="3" a="1"/>
  <c r="E365" i="3" a="1"/>
  <c r="F365" i="3" a="1"/>
  <c r="G365" i="3" a="1"/>
  <c r="B366" i="3"/>
  <c r="C366" i="3"/>
  <c r="D366" i="3" a="1"/>
  <c r="E366" i="3" a="1"/>
  <c r="F366" i="3" a="1"/>
  <c r="G366" i="3" a="1"/>
  <c r="B367" i="3"/>
  <c r="C367" i="3"/>
  <c r="D367" i="3" a="1"/>
  <c r="E367" i="3" a="1"/>
  <c r="F367" i="3" a="1"/>
  <c r="G367" i="3" a="1"/>
  <c r="B368" i="3"/>
  <c r="C368" i="3"/>
  <c r="D368" i="3" a="1"/>
  <c r="E368" i="3" a="1"/>
  <c r="F368" i="3" a="1"/>
  <c r="G368" i="3" a="1"/>
  <c r="B369" i="3"/>
  <c r="C369" i="3"/>
  <c r="D369" i="3" a="1"/>
  <c r="E369" i="3" a="1"/>
  <c r="F369" i="3" a="1"/>
  <c r="G369" i="3" a="1"/>
  <c r="B370" i="3"/>
  <c r="C370" i="3"/>
  <c r="D370" i="3" a="1"/>
  <c r="E370" i="3" a="1"/>
  <c r="F370" i="3" a="1"/>
  <c r="G370" i="3" a="1"/>
  <c r="B371" i="3"/>
  <c r="C371" i="3"/>
  <c r="D371" i="3" a="1"/>
  <c r="E371" i="3" a="1"/>
  <c r="F371" i="3" a="1"/>
  <c r="G371" i="3" a="1"/>
  <c r="B372" i="3"/>
  <c r="C372" i="3"/>
  <c r="D372" i="3" a="1"/>
  <c r="E372" i="3" a="1"/>
  <c r="F372" i="3" a="1"/>
  <c r="G372" i="3" a="1"/>
  <c r="B373" i="3"/>
  <c r="C373" i="3"/>
  <c r="D373" i="3" a="1"/>
  <c r="E373" i="3" a="1"/>
  <c r="F373" i="3" a="1"/>
  <c r="G373" i="3" a="1"/>
  <c r="B374" i="3"/>
  <c r="C374" i="3"/>
  <c r="D374" i="3" a="1"/>
  <c r="E374" i="3" a="1"/>
  <c r="F374" i="3" a="1"/>
  <c r="G374" i="3" a="1"/>
  <c r="B375" i="3"/>
  <c r="C375" i="3"/>
  <c r="D375" i="3" a="1"/>
  <c r="E375" i="3" a="1"/>
  <c r="F375" i="3" a="1"/>
  <c r="G375" i="3" a="1"/>
  <c r="B376" i="3"/>
  <c r="C376" i="3"/>
  <c r="D376" i="3" a="1"/>
  <c r="E376" i="3" a="1"/>
  <c r="F376" i="3" a="1"/>
  <c r="G376" i="3" a="1"/>
  <c r="B377" i="3"/>
  <c r="C377" i="3"/>
  <c r="D377" i="3" a="1"/>
  <c r="E377" i="3" a="1"/>
  <c r="F377" i="3" a="1"/>
  <c r="G377" i="3" a="1"/>
  <c r="B378" i="3"/>
  <c r="C378" i="3"/>
  <c r="D378" i="3" a="1"/>
  <c r="E378" i="3" a="1"/>
  <c r="F378" i="3" a="1"/>
  <c r="G378" i="3" a="1"/>
  <c r="B379" i="3"/>
  <c r="C379" i="3"/>
  <c r="D379" i="3" a="1"/>
  <c r="E379" i="3" a="1"/>
  <c r="F379" i="3" a="1"/>
  <c r="G379" i="3" a="1"/>
  <c r="B380" i="3"/>
  <c r="C380" i="3"/>
  <c r="D380" i="3" a="1"/>
  <c r="E380" i="3" a="1"/>
  <c r="F380" i="3" a="1"/>
  <c r="G380" i="3" a="1"/>
  <c r="B381" i="3"/>
  <c r="C381" i="3"/>
  <c r="D381" i="3" a="1"/>
  <c r="E381" i="3" a="1"/>
  <c r="F381" i="3" a="1"/>
  <c r="G381" i="3" a="1"/>
  <c r="B382" i="3"/>
  <c r="C382" i="3"/>
  <c r="D382" i="3" a="1"/>
  <c r="E382" i="3" a="1"/>
  <c r="F382" i="3" a="1"/>
  <c r="G382" i="3" a="1"/>
  <c r="B383" i="3"/>
  <c r="C383" i="3"/>
  <c r="D383" i="3" a="1"/>
  <c r="E383" i="3" a="1"/>
  <c r="F383" i="3" a="1"/>
  <c r="G383" i="3" a="1"/>
  <c r="B384" i="3"/>
  <c r="C384" i="3"/>
  <c r="D384" i="3" a="1"/>
  <c r="E384" i="3" a="1"/>
  <c r="F384" i="3" a="1"/>
  <c r="G384" i="3" a="1"/>
  <c r="B385" i="3"/>
  <c r="C385" i="3"/>
  <c r="D385" i="3" a="1"/>
  <c r="E385" i="3" a="1"/>
  <c r="F385" i="3" a="1"/>
  <c r="G385" i="3" a="1"/>
  <c r="B386" i="3"/>
  <c r="C386" i="3"/>
  <c r="D386" i="3" a="1"/>
  <c r="E386" i="3" a="1"/>
  <c r="F386" i="3" a="1"/>
  <c r="G386" i="3" a="1"/>
  <c r="B387" i="3"/>
  <c r="C387" i="3"/>
  <c r="D387" i="3" a="1"/>
  <c r="E387" i="3" a="1"/>
  <c r="F387" i="3" a="1"/>
  <c r="G387" i="3" a="1"/>
  <c r="B388" i="3"/>
  <c r="C388" i="3"/>
  <c r="D388" i="3" a="1"/>
  <c r="E388" i="3" a="1"/>
  <c r="F388" i="3" a="1"/>
  <c r="G388" i="3" a="1"/>
  <c r="B389" i="3"/>
  <c r="C389" i="3"/>
  <c r="D389" i="3" a="1"/>
  <c r="E389" i="3" a="1"/>
  <c r="F389" i="3" a="1"/>
  <c r="G389" i="3" a="1"/>
  <c r="B390" i="3"/>
  <c r="C390" i="3"/>
  <c r="D390" i="3" a="1"/>
  <c r="E390" i="3" a="1"/>
  <c r="F390" i="3" a="1"/>
  <c r="G390" i="3" a="1"/>
  <c r="B391" i="3"/>
  <c r="C391" i="3"/>
  <c r="D391" i="3" a="1"/>
  <c r="E391" i="3" a="1"/>
  <c r="F391" i="3" a="1"/>
  <c r="G391" i="3" a="1"/>
  <c r="B392" i="3"/>
  <c r="C392" i="3"/>
  <c r="D392" i="3" a="1"/>
  <c r="E392" i="3" a="1"/>
  <c r="F392" i="3" a="1"/>
  <c r="G392" i="3" a="1"/>
  <c r="B393" i="3"/>
  <c r="C393" i="3"/>
  <c r="D393" i="3" a="1"/>
  <c r="E393" i="3" a="1"/>
  <c r="F393" i="3" a="1"/>
  <c r="G393" i="3" a="1"/>
  <c r="B394" i="3"/>
  <c r="C394" i="3"/>
  <c r="D394" i="3" a="1"/>
  <c r="E394" i="3" a="1"/>
  <c r="F394" i="3" a="1"/>
  <c r="G394" i="3" a="1"/>
  <c r="B395" i="3"/>
  <c r="C395" i="3"/>
  <c r="D395" i="3" a="1"/>
  <c r="E395" i="3" a="1"/>
  <c r="F395" i="3" a="1"/>
  <c r="G395" i="3" a="1"/>
  <c r="B396" i="3"/>
  <c r="C396" i="3"/>
  <c r="D396" i="3" a="1"/>
  <c r="E396" i="3" a="1"/>
  <c r="F396" i="3" a="1"/>
  <c r="G396" i="3" a="1"/>
  <c r="B397" i="3"/>
  <c r="C397" i="3"/>
  <c r="D397" i="3" a="1"/>
  <c r="E397" i="3" a="1"/>
  <c r="F397" i="3" a="1"/>
  <c r="G397" i="3" a="1"/>
  <c r="B398" i="3"/>
  <c r="C398" i="3"/>
  <c r="D398" i="3" a="1"/>
  <c r="E398" i="3" a="1"/>
  <c r="F398" i="3" a="1"/>
  <c r="G398" i="3" a="1"/>
  <c r="B399" i="3"/>
  <c r="C399" i="3"/>
  <c r="D399" i="3" a="1"/>
  <c r="E399" i="3" a="1"/>
  <c r="F399" i="3" a="1"/>
  <c r="G399" i="3" a="1"/>
  <c r="B400" i="3"/>
  <c r="C400" i="3"/>
  <c r="D400" i="3" a="1"/>
  <c r="E400" i="3" a="1"/>
  <c r="F400" i="3" a="1"/>
  <c r="G400" i="3" a="1"/>
  <c r="B401" i="3"/>
  <c r="C401" i="3"/>
  <c r="D401" i="3" a="1"/>
  <c r="E401" i="3" a="1"/>
  <c r="F401" i="3" a="1"/>
  <c r="G401" i="3" a="1"/>
  <c r="B402" i="3"/>
  <c r="C402" i="3"/>
  <c r="D402" i="3" a="1"/>
  <c r="E402" i="3" a="1"/>
  <c r="F402" i="3" a="1"/>
  <c r="G402" i="3" a="1"/>
  <c r="B403" i="3"/>
  <c r="C403" i="3" s="1"/>
  <c r="D403" i="3" a="1"/>
  <c r="E403" i="3" a="1"/>
  <c r="F403" i="3" a="1"/>
  <c r="G403" i="3" a="1"/>
  <c r="B404" i="3"/>
  <c r="C404" i="3"/>
  <c r="D404" i="3" a="1"/>
  <c r="E404" i="3" a="1"/>
  <c r="F404" i="3" a="1"/>
  <c r="G404" i="3" a="1"/>
  <c r="B405" i="3"/>
  <c r="C405" i="3"/>
  <c r="D405" i="3" a="1"/>
  <c r="E405" i="3" a="1"/>
  <c r="F405" i="3" a="1"/>
  <c r="G405" i="3" a="1"/>
  <c r="B406" i="3"/>
  <c r="C406" i="3"/>
  <c r="D406" i="3" a="1"/>
  <c r="E406" i="3" a="1"/>
  <c r="F406" i="3" a="1"/>
  <c r="G406" i="3" a="1"/>
  <c r="B407" i="3"/>
  <c r="C407" i="3"/>
  <c r="D407" i="3" a="1"/>
  <c r="E407" i="3" a="1"/>
  <c r="F407" i="3" a="1"/>
  <c r="G407" i="3" a="1"/>
  <c r="B408" i="3"/>
  <c r="C408" i="3"/>
  <c r="D408" i="3" a="1"/>
  <c r="E408" i="3" a="1"/>
  <c r="F408" i="3" a="1"/>
  <c r="G408" i="3" a="1"/>
  <c r="B409" i="3"/>
  <c r="C409" i="3"/>
  <c r="D409" i="3" a="1"/>
  <c r="E409" i="3" a="1"/>
  <c r="F409" i="3" a="1"/>
  <c r="G409" i="3" a="1"/>
  <c r="B410" i="3"/>
  <c r="C410" i="3"/>
  <c r="D410" i="3" a="1"/>
  <c r="E410" i="3" a="1"/>
  <c r="F410" i="3" a="1"/>
  <c r="G410" i="3" a="1"/>
  <c r="B411" i="3"/>
  <c r="C411" i="3"/>
  <c r="D411" i="3" a="1"/>
  <c r="E411" i="3" a="1"/>
  <c r="F411" i="3" a="1"/>
  <c r="G411" i="3" a="1"/>
  <c r="B412" i="3"/>
  <c r="C412" i="3"/>
  <c r="D412" i="3" a="1"/>
  <c r="E412" i="3" a="1"/>
  <c r="F412" i="3" a="1"/>
  <c r="G412" i="3" a="1"/>
  <c r="B413" i="3"/>
  <c r="C413" i="3"/>
  <c r="D413" i="3" a="1"/>
  <c r="E413" i="3" a="1"/>
  <c r="F413" i="3" a="1"/>
  <c r="G413" i="3" a="1"/>
  <c r="B414" i="3"/>
  <c r="C414" i="3"/>
  <c r="D414" i="3" a="1"/>
  <c r="E414" i="3" a="1"/>
  <c r="F414" i="3" a="1"/>
  <c r="G414" i="3" a="1"/>
  <c r="B415" i="3"/>
  <c r="C415" i="3"/>
  <c r="D415" i="3" a="1"/>
  <c r="E415" i="3" a="1"/>
  <c r="F415" i="3" a="1"/>
  <c r="G415" i="3" a="1"/>
  <c r="B416" i="3"/>
  <c r="C416" i="3"/>
  <c r="D416" i="3" a="1"/>
  <c r="E416" i="3" a="1"/>
  <c r="F416" i="3" a="1"/>
  <c r="G416" i="3" a="1"/>
  <c r="B417" i="3"/>
  <c r="C417" i="3"/>
  <c r="D417" i="3" a="1"/>
  <c r="E417" i="3" a="1"/>
  <c r="F417" i="3" a="1"/>
  <c r="G417" i="3" a="1"/>
  <c r="B418" i="3"/>
  <c r="C418" i="3"/>
  <c r="D418" i="3" a="1"/>
  <c r="E418" i="3" a="1"/>
  <c r="F418" i="3" a="1"/>
  <c r="G418" i="3" a="1"/>
  <c r="B419" i="3"/>
  <c r="C419" i="3"/>
  <c r="D419" i="3" a="1"/>
  <c r="E419" i="3" a="1"/>
  <c r="F419" i="3" a="1"/>
  <c r="G419" i="3" a="1"/>
  <c r="B420" i="3"/>
  <c r="C420" i="3"/>
  <c r="D420" i="3" a="1"/>
  <c r="E420" i="3" a="1"/>
  <c r="F420" i="3" a="1"/>
  <c r="G420" i="3" a="1"/>
  <c r="B421" i="3"/>
  <c r="C421" i="3"/>
  <c r="D421" i="3" a="1"/>
  <c r="E421" i="3" a="1"/>
  <c r="F421" i="3" a="1"/>
  <c r="G421" i="3" a="1"/>
  <c r="B422" i="3"/>
  <c r="C422" i="3"/>
  <c r="D422" i="3" a="1"/>
  <c r="E422" i="3" a="1"/>
  <c r="F422" i="3" a="1"/>
  <c r="G422" i="3" a="1"/>
  <c r="B423" i="3"/>
  <c r="C423" i="3" s="1"/>
  <c r="D423" i="3" a="1"/>
  <c r="E423" i="3" a="1"/>
  <c r="F423" i="3" a="1"/>
  <c r="G423" i="3" a="1"/>
  <c r="B424" i="3"/>
  <c r="C424" i="3"/>
  <c r="D424" i="3" a="1"/>
  <c r="E424" i="3" a="1"/>
  <c r="F424" i="3" a="1"/>
  <c r="G424" i="3" a="1"/>
  <c r="B425" i="3"/>
  <c r="C425" i="3" s="1"/>
  <c r="D425" i="3" a="1"/>
  <c r="E425" i="3" a="1"/>
  <c r="F425" i="3" a="1"/>
  <c r="G425" i="3" a="1"/>
  <c r="B426" i="3"/>
  <c r="C426" i="3"/>
  <c r="D426" i="3" a="1"/>
  <c r="E426" i="3" a="1"/>
  <c r="F426" i="3" a="1"/>
  <c r="G426" i="3" a="1"/>
  <c r="B427" i="3"/>
  <c r="C427" i="3"/>
  <c r="D427" i="3" a="1"/>
  <c r="E427" i="3" a="1"/>
  <c r="F427" i="3" a="1"/>
  <c r="G427" i="3" a="1"/>
  <c r="B428" i="3"/>
  <c r="C428" i="3"/>
  <c r="D428" i="3" a="1"/>
  <c r="E428" i="3" a="1"/>
  <c r="F428" i="3" a="1"/>
  <c r="G428" i="3" a="1"/>
  <c r="B429" i="3"/>
  <c r="C429" i="3"/>
  <c r="D429" i="3" a="1"/>
  <c r="E429" i="3" a="1"/>
  <c r="F429" i="3" a="1"/>
  <c r="G429" i="3" a="1"/>
  <c r="B430" i="3"/>
  <c r="C430" i="3" s="1"/>
  <c r="D430" i="3" a="1"/>
  <c r="E430" i="3" a="1"/>
  <c r="F430" i="3" a="1"/>
  <c r="G430" i="3" a="1"/>
  <c r="B431" i="3"/>
  <c r="C431" i="3"/>
  <c r="D431" i="3" a="1"/>
  <c r="E431" i="3" a="1"/>
  <c r="F431" i="3" a="1"/>
  <c r="G431" i="3" a="1"/>
  <c r="B432" i="3"/>
  <c r="C432" i="3" s="1"/>
  <c r="D432" i="3" a="1"/>
  <c r="E432" i="3" a="1"/>
  <c r="F432" i="3" a="1"/>
  <c r="G432" i="3" a="1"/>
  <c r="B433" i="3"/>
  <c r="C433" i="3" s="1"/>
  <c r="D433" i="3" a="1"/>
  <c r="E433" i="3" a="1"/>
  <c r="F433" i="3" a="1"/>
  <c r="G433" i="3" a="1"/>
  <c r="B434" i="3"/>
  <c r="C434" i="3"/>
  <c r="D434" i="3" a="1"/>
  <c r="E434" i="3" a="1"/>
  <c r="F434" i="3" a="1"/>
  <c r="G434" i="3" a="1"/>
  <c r="B435" i="3"/>
  <c r="C435" i="3"/>
  <c r="D435" i="3" a="1"/>
  <c r="E435" i="3" a="1"/>
  <c r="F435" i="3" a="1"/>
  <c r="G435" i="3" a="1"/>
  <c r="B436" i="3"/>
  <c r="C436" i="3"/>
  <c r="D436" i="3" a="1"/>
  <c r="E436" i="3" a="1"/>
  <c r="F436" i="3" a="1"/>
  <c r="G436" i="3" a="1"/>
  <c r="B437" i="3"/>
  <c r="C437" i="3"/>
  <c r="D437" i="3" a="1"/>
  <c r="E437" i="3" a="1"/>
  <c r="F437" i="3" a="1"/>
  <c r="G437" i="3" a="1"/>
  <c r="B438" i="3"/>
  <c r="C438" i="3"/>
  <c r="D438" i="3" a="1"/>
  <c r="E438" i="3" a="1"/>
  <c r="F438" i="3" a="1"/>
  <c r="G438" i="3" a="1"/>
  <c r="B439" i="3"/>
  <c r="C439" i="3"/>
  <c r="D439" i="3" a="1"/>
  <c r="E439" i="3" a="1"/>
  <c r="F439" i="3" a="1"/>
  <c r="G439" i="3" a="1"/>
  <c r="B440" i="3"/>
  <c r="C440" i="3"/>
  <c r="D440" i="3" a="1"/>
  <c r="E440" i="3" a="1"/>
  <c r="F440" i="3" a="1"/>
  <c r="G440" i="3" a="1"/>
  <c r="B441" i="3"/>
  <c r="C441" i="3"/>
  <c r="D441" i="3" a="1"/>
  <c r="E441" i="3" a="1"/>
  <c r="F441" i="3" a="1"/>
  <c r="G441" i="3" a="1"/>
  <c r="B442" i="3"/>
  <c r="C442" i="3"/>
  <c r="D442" i="3" a="1"/>
  <c r="E442" i="3" a="1"/>
  <c r="F442" i="3" a="1"/>
  <c r="G442" i="3" a="1"/>
  <c r="B443" i="3"/>
  <c r="C443" i="3"/>
  <c r="D443" i="3" a="1"/>
  <c r="E443" i="3" a="1"/>
  <c r="F443" i="3" a="1"/>
  <c r="G443" i="3" a="1"/>
  <c r="B444" i="3"/>
  <c r="C444" i="3"/>
  <c r="D444" i="3" a="1"/>
  <c r="E444" i="3" a="1"/>
  <c r="F444" i="3" a="1"/>
  <c r="G444" i="3" a="1"/>
  <c r="B445" i="3"/>
  <c r="C445" i="3"/>
  <c r="D445" i="3" a="1"/>
  <c r="E445" i="3" a="1"/>
  <c r="F445" i="3" a="1"/>
  <c r="G445" i="3" a="1"/>
  <c r="B446" i="3"/>
  <c r="C446" i="3"/>
  <c r="D446" i="3" a="1"/>
  <c r="E446" i="3" a="1"/>
  <c r="F446" i="3" a="1"/>
  <c r="G446" i="3" a="1"/>
  <c r="B447" i="3"/>
  <c r="C447" i="3"/>
  <c r="D447" i="3" a="1"/>
  <c r="E447" i="3" a="1"/>
  <c r="F447" i="3" a="1"/>
  <c r="G447" i="3" a="1"/>
  <c r="B448" i="3"/>
  <c r="C448" i="3"/>
  <c r="D448" i="3" a="1"/>
  <c r="E448" i="3" a="1"/>
  <c r="F448" i="3" a="1"/>
  <c r="G448" i="3" a="1"/>
  <c r="B449" i="3"/>
  <c r="C449" i="3" s="1"/>
  <c r="D449" i="3" a="1"/>
  <c r="E449" i="3" a="1"/>
  <c r="F449" i="3" a="1"/>
  <c r="G449" i="3" a="1"/>
  <c r="B450" i="3"/>
  <c r="C450" i="3"/>
  <c r="D450" i="3" a="1"/>
  <c r="E450" i="3" a="1"/>
  <c r="F450" i="3" a="1"/>
  <c r="G450" i="3" a="1"/>
  <c r="B451" i="3"/>
  <c r="C451" i="3" s="1"/>
  <c r="D451" i="3" a="1"/>
  <c r="E451" i="3" a="1"/>
  <c r="F451" i="3" a="1"/>
  <c r="G451" i="3" a="1"/>
  <c r="B452" i="3"/>
  <c r="C452" i="3"/>
  <c r="D452" i="3" a="1"/>
  <c r="E452" i="3" a="1"/>
  <c r="F452" i="3" a="1"/>
  <c r="G452" i="3" a="1"/>
  <c r="B453" i="3"/>
  <c r="C453" i="3"/>
  <c r="D453" i="3" a="1"/>
  <c r="E453" i="3" a="1"/>
  <c r="F453" i="3" a="1"/>
  <c r="G453" i="3" a="1"/>
  <c r="B454" i="3"/>
  <c r="C454" i="3"/>
  <c r="D454" i="3" a="1"/>
  <c r="E454" i="3" a="1"/>
  <c r="F454" i="3" a="1"/>
  <c r="G454" i="3" a="1"/>
  <c r="B455" i="3"/>
  <c r="C455" i="3"/>
  <c r="D455" i="3" a="1"/>
  <c r="E455" i="3" a="1"/>
  <c r="F455" i="3" a="1"/>
  <c r="G455" i="3" a="1"/>
  <c r="B456" i="3"/>
  <c r="C456" i="3"/>
  <c r="D456" i="3" a="1"/>
  <c r="E456" i="3" a="1"/>
  <c r="F456" i="3" a="1"/>
  <c r="G456" i="3" a="1"/>
  <c r="B457" i="3"/>
  <c r="C457" i="3"/>
  <c r="D457" i="3" a="1"/>
  <c r="E457" i="3" a="1"/>
  <c r="F457" i="3" a="1"/>
  <c r="G457" i="3" a="1"/>
  <c r="B458" i="3"/>
  <c r="C458" i="3"/>
  <c r="D458" i="3" a="1"/>
  <c r="E458" i="3" a="1"/>
  <c r="F458" i="3" a="1"/>
  <c r="G458" i="3" a="1"/>
  <c r="B459" i="3"/>
  <c r="C459" i="3"/>
  <c r="D459" i="3" a="1"/>
  <c r="E459" i="3" a="1"/>
  <c r="F459" i="3" a="1"/>
  <c r="G459" i="3" a="1"/>
  <c r="B460" i="3"/>
  <c r="C460" i="3"/>
  <c r="D460" i="3" a="1"/>
  <c r="E460" i="3" a="1"/>
  <c r="F460" i="3" a="1"/>
  <c r="G460" i="3" a="1"/>
  <c r="B461" i="3"/>
  <c r="C461" i="3"/>
  <c r="D461" i="3" a="1"/>
  <c r="E461" i="3" a="1"/>
  <c r="F461" i="3" a="1"/>
  <c r="G461" i="3" a="1"/>
  <c r="B462" i="3"/>
  <c r="C462" i="3"/>
  <c r="D462" i="3" a="1"/>
  <c r="E462" i="3" a="1"/>
  <c r="F462" i="3" a="1"/>
  <c r="G462" i="3" a="1"/>
  <c r="B463" i="3"/>
  <c r="C463" i="3"/>
  <c r="D463" i="3" a="1"/>
  <c r="E463" i="3" a="1"/>
  <c r="F463" i="3" a="1"/>
  <c r="G463" i="3" a="1"/>
  <c r="B464" i="3"/>
  <c r="C464" i="3"/>
  <c r="D464" i="3" a="1"/>
  <c r="E464" i="3" a="1"/>
  <c r="F464" i="3" a="1"/>
  <c r="G464" i="3" a="1"/>
  <c r="B465" i="3"/>
  <c r="C465" i="3"/>
  <c r="D465" i="3" a="1"/>
  <c r="E465" i="3" a="1"/>
  <c r="F465" i="3" a="1"/>
  <c r="G465" i="3" a="1"/>
  <c r="B466" i="3"/>
  <c r="C466" i="3"/>
  <c r="D466" i="3" a="1"/>
  <c r="E466" i="3" a="1"/>
  <c r="F466" i="3" a="1"/>
  <c r="G466" i="3" a="1"/>
  <c r="B467" i="3"/>
  <c r="C467" i="3"/>
  <c r="D467" i="3" a="1"/>
  <c r="E467" i="3" a="1"/>
  <c r="F467" i="3" a="1"/>
  <c r="G467" i="3" a="1"/>
  <c r="B468" i="3"/>
  <c r="C468" i="3"/>
  <c r="D468" i="3" a="1"/>
  <c r="E468" i="3" a="1"/>
  <c r="F468" i="3" a="1"/>
  <c r="G468" i="3" a="1"/>
  <c r="B469" i="3"/>
  <c r="C469" i="3"/>
  <c r="D469" i="3" a="1"/>
  <c r="E469" i="3" a="1"/>
  <c r="F469" i="3" a="1"/>
  <c r="G469" i="3" a="1"/>
  <c r="B470" i="3"/>
  <c r="C470" i="3" s="1"/>
  <c r="D470" i="3" a="1"/>
  <c r="E470" i="3" a="1"/>
  <c r="F470" i="3" a="1"/>
  <c r="G470" i="3" a="1"/>
  <c r="B471" i="3"/>
  <c r="C471" i="3"/>
  <c r="D471" i="3" a="1"/>
  <c r="E471" i="3" a="1"/>
  <c r="F471" i="3" a="1"/>
  <c r="G471" i="3" a="1"/>
  <c r="B472" i="3"/>
  <c r="C472" i="3"/>
  <c r="D472" i="3" a="1"/>
  <c r="E472" i="3" a="1"/>
  <c r="F472" i="3" a="1"/>
  <c r="G472" i="3" a="1"/>
  <c r="B473" i="3"/>
  <c r="C473" i="3"/>
  <c r="D473" i="3" a="1"/>
  <c r="E473" i="3" a="1"/>
  <c r="F473" i="3" a="1"/>
  <c r="G473" i="3" a="1"/>
  <c r="B474" i="3"/>
  <c r="C474" i="3"/>
  <c r="D474" i="3" a="1"/>
  <c r="E474" i="3" a="1"/>
  <c r="F474" i="3" a="1"/>
  <c r="G474" i="3" a="1"/>
  <c r="B475" i="3"/>
  <c r="C475" i="3"/>
  <c r="D475" i="3" a="1"/>
  <c r="E475" i="3" a="1"/>
  <c r="F475" i="3" a="1"/>
  <c r="G475" i="3" a="1"/>
  <c r="B476" i="3"/>
  <c r="C476" i="3"/>
  <c r="D476" i="3" a="1"/>
  <c r="E476" i="3" a="1"/>
  <c r="F476" i="3" a="1"/>
  <c r="G476" i="3" a="1"/>
  <c r="B477" i="3"/>
  <c r="C477" i="3" s="1"/>
  <c r="D477" i="3" a="1"/>
  <c r="E477" i="3" a="1"/>
  <c r="F477" i="3" a="1"/>
  <c r="G477" i="3" a="1"/>
  <c r="B478" i="3"/>
  <c r="C478" i="3"/>
  <c r="D478" i="3" a="1"/>
  <c r="E478" i="3" a="1"/>
  <c r="F478" i="3" a="1"/>
  <c r="G478" i="3" a="1"/>
  <c r="B479" i="3"/>
  <c r="C479" i="3" s="1"/>
  <c r="D479" i="3" a="1"/>
  <c r="E479" i="3" a="1"/>
  <c r="F479" i="3" a="1"/>
  <c r="G479" i="3" a="1"/>
  <c r="B480" i="3"/>
  <c r="C480" i="3"/>
  <c r="D480" i="3" a="1"/>
  <c r="E480" i="3" a="1"/>
  <c r="F480" i="3" a="1"/>
  <c r="G480" i="3" a="1"/>
  <c r="B481" i="3"/>
  <c r="C481" i="3" s="1"/>
  <c r="D481" i="3" a="1"/>
  <c r="E481" i="3" a="1"/>
  <c r="F481" i="3" a="1"/>
  <c r="G481" i="3" a="1"/>
  <c r="B482" i="3"/>
  <c r="C482" i="3" s="1"/>
  <c r="D482" i="3" a="1"/>
  <c r="E482" i="3" a="1"/>
  <c r="F482" i="3" a="1"/>
  <c r="G482" i="3" a="1"/>
  <c r="B483" i="3"/>
  <c r="C483" i="3"/>
  <c r="D483" i="3" a="1"/>
  <c r="E483" i="3" a="1"/>
  <c r="F483" i="3" a="1"/>
  <c r="G483" i="3" a="1"/>
  <c r="B484" i="3"/>
  <c r="C484" i="3"/>
  <c r="D484" i="3" a="1"/>
  <c r="E484" i="3" a="1"/>
  <c r="F484" i="3" a="1"/>
  <c r="G484" i="3" a="1"/>
  <c r="B485" i="3"/>
  <c r="C485" i="3"/>
  <c r="D485" i="3" a="1"/>
  <c r="E485" i="3" a="1"/>
  <c r="F485" i="3" a="1"/>
  <c r="G485" i="3" a="1"/>
  <c r="B486" i="3"/>
  <c r="C486" i="3" s="1"/>
  <c r="D486" i="3" a="1"/>
  <c r="E486" i="3" a="1"/>
  <c r="F486" i="3" a="1"/>
  <c r="G486" i="3" a="1"/>
  <c r="B487" i="3"/>
  <c r="C487" i="3" s="1"/>
  <c r="D487" i="3" a="1"/>
  <c r="E487" i="3" a="1"/>
  <c r="F487" i="3" a="1"/>
  <c r="G487" i="3" a="1"/>
  <c r="B488" i="3"/>
  <c r="C488" i="3"/>
  <c r="D488" i="3" a="1"/>
  <c r="E488" i="3" a="1"/>
  <c r="F488" i="3" a="1"/>
  <c r="G488" i="3" a="1"/>
  <c r="B489" i="3"/>
  <c r="C489" i="3"/>
  <c r="D489" i="3" a="1"/>
  <c r="E489" i="3" a="1"/>
  <c r="F489" i="3" a="1"/>
  <c r="G489" i="3" a="1"/>
  <c r="B490" i="3"/>
  <c r="C490" i="3"/>
  <c r="D490" i="3" a="1"/>
  <c r="E490" i="3" a="1"/>
  <c r="F490" i="3" a="1"/>
  <c r="G490" i="3" a="1"/>
  <c r="B491" i="3"/>
  <c r="C491" i="3"/>
  <c r="D491" i="3" a="1"/>
  <c r="E491" i="3" a="1"/>
  <c r="F491" i="3" a="1"/>
  <c r="G491" i="3" a="1"/>
  <c r="B492" i="3"/>
  <c r="C492" i="3"/>
  <c r="D492" i="3" a="1"/>
  <c r="E492" i="3" a="1"/>
  <c r="F492" i="3" a="1"/>
  <c r="G492" i="3" a="1"/>
  <c r="B493" i="3"/>
  <c r="C493" i="3"/>
  <c r="D493" i="3" a="1"/>
  <c r="E493" i="3" a="1"/>
  <c r="F493" i="3" a="1"/>
  <c r="G493" i="3" a="1"/>
  <c r="B494" i="3"/>
  <c r="C494" i="3" s="1"/>
  <c r="D494" i="3" a="1"/>
  <c r="E494" i="3" a="1"/>
  <c r="F494" i="3" a="1"/>
  <c r="G494" i="3" a="1"/>
  <c r="B495" i="3"/>
  <c r="C495" i="3"/>
  <c r="D495" i="3" a="1"/>
  <c r="E495" i="3" a="1"/>
  <c r="F495" i="3" a="1"/>
  <c r="G495" i="3" a="1"/>
  <c r="B496" i="3"/>
  <c r="C496" i="3" s="1"/>
  <c r="D496" i="3" a="1"/>
  <c r="E496" i="3" a="1"/>
  <c r="F496" i="3" a="1"/>
  <c r="G496" i="3" a="1"/>
  <c r="B497" i="3"/>
  <c r="C497" i="3"/>
  <c r="D497" i="3" a="1"/>
  <c r="E497" i="3" a="1"/>
  <c r="F497" i="3" a="1"/>
  <c r="G497" i="3" a="1"/>
  <c r="B498" i="3"/>
  <c r="C498" i="3"/>
  <c r="D498" i="3" a="1"/>
  <c r="E498" i="3" a="1"/>
  <c r="F498" i="3" a="1"/>
  <c r="G498" i="3" a="1"/>
  <c r="B499" i="3"/>
  <c r="C499" i="3"/>
  <c r="D499" i="3" a="1"/>
  <c r="E499" i="3" a="1"/>
  <c r="F499" i="3" a="1"/>
  <c r="G499" i="3" a="1"/>
  <c r="B500" i="3"/>
  <c r="C500" i="3" s="1"/>
  <c r="D500" i="3" a="1"/>
  <c r="E500" i="3" a="1"/>
  <c r="F500" i="3" a="1"/>
  <c r="G500" i="3" a="1"/>
  <c r="B501" i="3"/>
  <c r="C501" i="3"/>
  <c r="D501" i="3" a="1"/>
  <c r="E501" i="3" a="1"/>
  <c r="F501" i="3" a="1"/>
  <c r="G501" i="3" a="1"/>
  <c r="B502" i="3"/>
  <c r="C502" i="3" s="1"/>
  <c r="D502" i="3" a="1"/>
  <c r="E502" i="3" a="1"/>
  <c r="F502" i="3" a="1"/>
  <c r="G502" i="3" a="1"/>
  <c r="B503" i="3"/>
  <c r="C503" i="3" s="1"/>
  <c r="D503" i="3" a="1"/>
  <c r="E503" i="3" a="1"/>
  <c r="F503" i="3" a="1"/>
  <c r="G503" i="3" a="1"/>
  <c r="B504" i="3"/>
  <c r="C504" i="3" s="1"/>
  <c r="D504" i="3" a="1"/>
  <c r="E504" i="3" a="1"/>
  <c r="F504" i="3" a="1"/>
  <c r="G504" i="3" a="1"/>
  <c r="B505" i="3"/>
  <c r="C505" i="3" s="1"/>
  <c r="D505" i="3" a="1"/>
  <c r="E505" i="3" a="1"/>
  <c r="F505" i="3" a="1"/>
  <c r="G505" i="3" a="1"/>
  <c r="B506" i="3"/>
  <c r="C506" i="3"/>
  <c r="D506" i="3" a="1"/>
  <c r="E506" i="3" a="1"/>
  <c r="F506" i="3" a="1"/>
  <c r="G506" i="3" a="1"/>
  <c r="B507" i="3"/>
  <c r="C507" i="3" s="1"/>
  <c r="D507" i="3" a="1"/>
  <c r="E507" i="3" a="1"/>
  <c r="F507" i="3" a="1"/>
  <c r="G507" i="3" a="1"/>
  <c r="B508" i="3"/>
  <c r="C508" i="3"/>
  <c r="D508" i="3" a="1"/>
  <c r="E508" i="3" a="1"/>
  <c r="F508" i="3" a="1"/>
  <c r="G508" i="3" a="1"/>
  <c r="B509" i="3"/>
  <c r="C509" i="3"/>
  <c r="D509" i="3" a="1"/>
  <c r="E509" i="3" a="1"/>
  <c r="F509" i="3" a="1"/>
  <c r="G509" i="3" a="1"/>
  <c r="B510" i="3"/>
  <c r="C510" i="3"/>
  <c r="D510" i="3" a="1"/>
  <c r="E510" i="3" a="1"/>
  <c r="F510" i="3" a="1"/>
  <c r="G510" i="3" a="1"/>
  <c r="B511" i="3"/>
  <c r="C511" i="3"/>
  <c r="D511" i="3" a="1"/>
  <c r="E511" i="3" a="1"/>
  <c r="F511" i="3" a="1"/>
  <c r="G511" i="3" a="1"/>
  <c r="B512" i="3"/>
  <c r="C512" i="3"/>
  <c r="D512" i="3" a="1"/>
  <c r="E512" i="3" a="1"/>
  <c r="F512" i="3" a="1"/>
  <c r="G512" i="3" a="1"/>
  <c r="B13" i="3"/>
  <c r="C13" i="3" s="1"/>
  <c r="D13" i="3" a="1"/>
  <c r="E13" i="3" a="1"/>
  <c r="F13" i="3" a="1"/>
  <c r="G13" i="3" a="1"/>
  <c r="B14" i="3"/>
  <c r="C14" i="3" s="1"/>
  <c r="D14" i="3" a="1"/>
  <c r="E14" i="3" a="1"/>
  <c r="F14" i="3" a="1"/>
  <c r="G14" i="3" a="1"/>
  <c r="B15" i="3"/>
  <c r="C15" i="3" s="1"/>
  <c r="D15" i="3" a="1"/>
  <c r="E15" i="3" a="1"/>
  <c r="F15" i="3" a="1"/>
  <c r="G15" i="3" a="1"/>
  <c r="B16" i="3"/>
  <c r="C16" i="3" s="1"/>
  <c r="D16" i="3" a="1"/>
  <c r="E16" i="3" a="1"/>
  <c r="F16" i="3" a="1"/>
  <c r="G16" i="3" a="1"/>
  <c r="B17" i="3"/>
  <c r="C17" i="3" s="1"/>
  <c r="D17" i="3" a="1"/>
  <c r="E17" i="3" a="1"/>
  <c r="F17" i="3" a="1"/>
  <c r="G17" i="3" a="1"/>
  <c r="B18" i="3"/>
  <c r="C18" i="3" s="1"/>
  <c r="D18" i="3" a="1"/>
  <c r="E18" i="3" a="1"/>
  <c r="F18" i="3" a="1"/>
  <c r="G18" i="3" a="1"/>
  <c r="B19" i="3"/>
  <c r="C19" i="3" s="1"/>
  <c r="D19" i="3" a="1"/>
  <c r="E19" i="3" a="1"/>
  <c r="F19" i="3" a="1"/>
  <c r="G19" i="3" a="1"/>
  <c r="B20" i="3"/>
  <c r="C20" i="3" s="1"/>
  <c r="D20" i="3" a="1"/>
  <c r="E20" i="3" a="1"/>
  <c r="F20" i="3" a="1"/>
  <c r="G20" i="3" a="1"/>
  <c r="B21" i="3"/>
  <c r="C21" i="3"/>
  <c r="D21" i="3" a="1"/>
  <c r="E21" i="3" a="1"/>
  <c r="F21" i="3" a="1"/>
  <c r="G21" i="3" a="1"/>
  <c r="B22" i="3"/>
  <c r="C22" i="3"/>
  <c r="D22" i="3" a="1"/>
  <c r="E22" i="3" a="1"/>
  <c r="F22" i="3" a="1"/>
  <c r="G22" i="3" a="1"/>
  <c r="B23" i="3"/>
  <c r="C23" i="3" s="1"/>
  <c r="D23" i="3" a="1"/>
  <c r="E23" i="3" a="1"/>
  <c r="F23" i="3" a="1"/>
  <c r="G23" i="3" a="1"/>
  <c r="B24" i="3"/>
  <c r="C24" i="3" s="1"/>
  <c r="D24" i="3" a="1"/>
  <c r="E24" i="3" a="1"/>
  <c r="F24" i="3" a="1"/>
  <c r="G24" i="3" a="1"/>
  <c r="B25" i="3"/>
  <c r="C25" i="3" s="1"/>
  <c r="D25" i="3" a="1"/>
  <c r="E25" i="3" a="1"/>
  <c r="F25" i="3" a="1"/>
  <c r="G25" i="3" a="1"/>
  <c r="B26" i="3"/>
  <c r="C26" i="3" s="1"/>
  <c r="D26" i="3" a="1"/>
  <c r="E26" i="3" a="1"/>
  <c r="F26" i="3" a="1"/>
  <c r="G26" i="3" a="1"/>
  <c r="B27" i="3"/>
  <c r="C27" i="3" s="1"/>
  <c r="D27" i="3" a="1"/>
  <c r="E27" i="3" a="1"/>
  <c r="F27" i="3" a="1"/>
  <c r="G27" i="3" a="1"/>
  <c r="B28" i="3"/>
  <c r="C28" i="3"/>
  <c r="D28" i="3" a="1"/>
  <c r="E28" i="3" a="1"/>
  <c r="F28" i="3" a="1"/>
  <c r="G28" i="3" a="1"/>
  <c r="B29" i="3"/>
  <c r="C29" i="3"/>
  <c r="D29" i="3" a="1"/>
  <c r="E29" i="3" a="1"/>
  <c r="F29" i="3" a="1"/>
  <c r="G29" i="3" a="1"/>
  <c r="B30" i="3"/>
  <c r="C30" i="3" s="1"/>
  <c r="D30" i="3" a="1"/>
  <c r="E30" i="3" a="1"/>
  <c r="F30" i="3" a="1"/>
  <c r="G30" i="3" a="1"/>
  <c r="B31" i="3"/>
  <c r="C31" i="3"/>
  <c r="D31" i="3" a="1"/>
  <c r="E31" i="3" a="1"/>
  <c r="F31" i="3" a="1"/>
  <c r="G31" i="3" a="1"/>
  <c r="B32" i="3"/>
  <c r="C32" i="3" s="1"/>
  <c r="D32" i="3" a="1"/>
  <c r="E32" i="3" a="1"/>
  <c r="F32" i="3" a="1"/>
  <c r="G32" i="3" a="1"/>
  <c r="B33" i="3"/>
  <c r="C33" i="3"/>
  <c r="D33" i="3" a="1"/>
  <c r="E33" i="3" a="1"/>
  <c r="F33" i="3" a="1"/>
  <c r="G33" i="3" a="1"/>
  <c r="B34" i="3"/>
  <c r="C34" i="3" s="1"/>
  <c r="D34" i="3" a="1"/>
  <c r="E34" i="3" a="1"/>
  <c r="F34" i="3" a="1"/>
  <c r="G34" i="3" a="1"/>
  <c r="B35" i="3"/>
  <c r="C35" i="3" s="1"/>
  <c r="D35" i="3" a="1"/>
  <c r="E35" i="3" a="1"/>
  <c r="F35" i="3" a="1"/>
  <c r="G35" i="3" a="1"/>
  <c r="B36" i="3"/>
  <c r="C36" i="3" s="1"/>
  <c r="D36" i="3" a="1"/>
  <c r="E36" i="3" a="1"/>
  <c r="F36" i="3" a="1"/>
  <c r="G36" i="3" a="1"/>
  <c r="B37" i="3"/>
  <c r="C37" i="3" s="1"/>
  <c r="D37" i="3" a="1"/>
  <c r="E37" i="3" a="1"/>
  <c r="F37" i="3" a="1"/>
  <c r="G37" i="3" a="1"/>
  <c r="B38" i="3"/>
  <c r="C38" i="3"/>
  <c r="D38" i="3" a="1"/>
  <c r="E38" i="3" a="1"/>
  <c r="F38" i="3" a="1"/>
  <c r="G38" i="3" a="1"/>
  <c r="B39" i="3"/>
  <c r="C39" i="3"/>
  <c r="D39" i="3" a="1"/>
  <c r="E39" i="3" a="1"/>
  <c r="F39" i="3" a="1"/>
  <c r="G39" i="3" a="1"/>
  <c r="B40" i="3"/>
  <c r="C40" i="3"/>
  <c r="D40" i="3" a="1"/>
  <c r="E40" i="3" a="1"/>
  <c r="F40" i="3" a="1"/>
  <c r="G40" i="3" a="1"/>
  <c r="B41" i="3"/>
  <c r="C41" i="3"/>
  <c r="D41" i="3" a="1"/>
  <c r="E41" i="3" a="1"/>
  <c r="F41" i="3" a="1"/>
  <c r="G41" i="3" a="1"/>
  <c r="B42" i="3"/>
  <c r="C42" i="3"/>
  <c r="D42" i="3" a="1"/>
  <c r="E42" i="3" a="1"/>
  <c r="F42" i="3" a="1"/>
  <c r="G42" i="3" a="1"/>
  <c r="B43" i="3"/>
  <c r="C43" i="3"/>
  <c r="D43" i="3" a="1"/>
  <c r="E43" i="3" a="1"/>
  <c r="F43" i="3" a="1"/>
  <c r="G43" i="3" a="1"/>
  <c r="B44" i="3"/>
  <c r="C44" i="3" s="1"/>
  <c r="D44" i="3" a="1"/>
  <c r="E44" i="3" a="1"/>
  <c r="F44" i="3" a="1"/>
  <c r="G44" i="3" a="1"/>
  <c r="B45" i="3"/>
  <c r="C45" i="3"/>
  <c r="D45" i="3" a="1"/>
  <c r="E45" i="3" a="1"/>
  <c r="F45" i="3" a="1"/>
  <c r="G45" i="3" a="1"/>
  <c r="B46" i="3"/>
  <c r="C46" i="3"/>
  <c r="D46" i="3" a="1"/>
  <c r="E46" i="3" a="1"/>
  <c r="F46" i="3" a="1"/>
  <c r="G46" i="3" a="1"/>
  <c r="B47" i="3"/>
  <c r="C47" i="3"/>
  <c r="D47" i="3" a="1"/>
  <c r="E47" i="3" a="1"/>
  <c r="F47" i="3" a="1"/>
  <c r="G47" i="3" a="1"/>
  <c r="B48" i="3"/>
  <c r="C48" i="3"/>
  <c r="D48" i="3" a="1"/>
  <c r="E48" i="3" a="1"/>
  <c r="F48" i="3" a="1"/>
  <c r="G48" i="3" a="1"/>
  <c r="B49" i="3"/>
  <c r="C49" i="3"/>
  <c r="D49" i="3" a="1"/>
  <c r="E49" i="3" a="1"/>
  <c r="F49" i="3" a="1"/>
  <c r="G49" i="3" a="1"/>
  <c r="B50" i="3"/>
  <c r="C50" i="3"/>
  <c r="D50" i="3" a="1"/>
  <c r="E50" i="3" a="1"/>
  <c r="F50" i="3" a="1"/>
  <c r="G50" i="3" a="1"/>
  <c r="B51" i="3"/>
  <c r="C51" i="3"/>
  <c r="D51" i="3" a="1"/>
  <c r="E51" i="3" a="1"/>
  <c r="F51" i="3" a="1"/>
  <c r="G51" i="3" a="1"/>
  <c r="B52" i="3"/>
  <c r="C52" i="3"/>
  <c r="D52" i="3" a="1"/>
  <c r="E52" i="3" a="1"/>
  <c r="F52" i="3" a="1"/>
  <c r="G52" i="3" a="1"/>
  <c r="B53" i="3"/>
  <c r="C53" i="3"/>
  <c r="D53" i="3" a="1"/>
  <c r="E53" i="3" a="1"/>
  <c r="F53" i="3" a="1"/>
  <c r="G53" i="3" a="1"/>
  <c r="B54" i="3"/>
  <c r="C54" i="3"/>
  <c r="D54" i="3" a="1"/>
  <c r="E54" i="3" a="1"/>
  <c r="F54" i="3" a="1"/>
  <c r="G54" i="3" a="1"/>
  <c r="B55" i="3"/>
  <c r="C55" i="3"/>
  <c r="D55" i="3" a="1"/>
  <c r="E55" i="3" a="1"/>
  <c r="F55" i="3" a="1"/>
  <c r="G55" i="3" a="1"/>
  <c r="B56" i="3"/>
  <c r="C56" i="3"/>
  <c r="D56" i="3" a="1"/>
  <c r="E56" i="3" a="1"/>
  <c r="F56" i="3" a="1"/>
  <c r="G56" i="3" a="1"/>
  <c r="B57" i="3"/>
  <c r="C57" i="3"/>
  <c r="D57" i="3" a="1"/>
  <c r="E57" i="3" a="1"/>
  <c r="F57" i="3" a="1"/>
  <c r="G57" i="3" a="1"/>
  <c r="B58" i="3"/>
  <c r="C58" i="3" s="1"/>
  <c r="D58" i="3" a="1"/>
  <c r="E58" i="3" a="1"/>
  <c r="F58" i="3" a="1"/>
  <c r="G58" i="3" a="1"/>
  <c r="B59" i="3"/>
  <c r="C59" i="3"/>
  <c r="D59" i="3" a="1"/>
  <c r="E59" i="3" a="1"/>
  <c r="F59" i="3" a="1"/>
  <c r="G59" i="3" a="1"/>
  <c r="B60" i="3"/>
  <c r="C60" i="3"/>
  <c r="D60" i="3" a="1"/>
  <c r="E60" i="3" a="1"/>
  <c r="F60" i="3" a="1"/>
  <c r="G60" i="3" a="1"/>
  <c r="B61" i="3"/>
  <c r="C61" i="3"/>
  <c r="D61" i="3" a="1"/>
  <c r="E61" i="3" a="1"/>
  <c r="F61" i="3" a="1"/>
  <c r="G61" i="3" a="1"/>
  <c r="B62" i="3"/>
  <c r="C62" i="3"/>
  <c r="D62" i="3" a="1"/>
  <c r="E62" i="3" a="1"/>
  <c r="F62" i="3" a="1"/>
  <c r="G62" i="3" a="1"/>
  <c r="B63" i="3"/>
  <c r="C63" i="3"/>
  <c r="D63" i="3" a="1"/>
  <c r="E63" i="3" a="1"/>
  <c r="F63" i="3" a="1"/>
  <c r="G63" i="3" a="1"/>
  <c r="B64" i="3"/>
  <c r="C64" i="3"/>
  <c r="D64" i="3" a="1"/>
  <c r="E64" i="3" a="1"/>
  <c r="F64" i="3" a="1"/>
  <c r="G64" i="3" a="1"/>
  <c r="B65" i="3"/>
  <c r="C65" i="3"/>
  <c r="D65" i="3" a="1"/>
  <c r="E65" i="3" a="1"/>
  <c r="F65" i="3" a="1"/>
  <c r="G65" i="3" a="1"/>
  <c r="B66" i="3"/>
  <c r="C66" i="3"/>
  <c r="D66" i="3" a="1"/>
  <c r="E66" i="3" a="1"/>
  <c r="F66" i="3" a="1"/>
  <c r="G66" i="3" a="1"/>
  <c r="B67" i="3"/>
  <c r="C67" i="3" s="1"/>
  <c r="D67" i="3" a="1"/>
  <c r="E67" i="3" a="1"/>
  <c r="F67" i="3" a="1"/>
  <c r="G67" i="3" a="1"/>
  <c r="B68" i="3"/>
  <c r="C68" i="3"/>
  <c r="D68" i="3" a="1"/>
  <c r="E68" i="3" a="1"/>
  <c r="F68" i="3" a="1"/>
  <c r="G68" i="3" a="1"/>
  <c r="B69" i="3"/>
  <c r="C69" i="3"/>
  <c r="D69" i="3" a="1"/>
  <c r="E69" i="3" a="1"/>
  <c r="F69" i="3" a="1"/>
  <c r="G69" i="3" a="1"/>
  <c r="B70" i="3"/>
  <c r="C70" i="3"/>
  <c r="D70" i="3" a="1"/>
  <c r="E70" i="3" a="1"/>
  <c r="F70" i="3" a="1"/>
  <c r="G70" i="3" a="1"/>
  <c r="B71" i="3"/>
  <c r="C71" i="3"/>
  <c r="D71" i="3" a="1"/>
  <c r="E71" i="3" a="1"/>
  <c r="F71" i="3" a="1"/>
  <c r="G71" i="3" a="1"/>
  <c r="B72" i="3"/>
  <c r="C72" i="3"/>
  <c r="D72" i="3" a="1"/>
  <c r="E72" i="3" a="1"/>
  <c r="F72" i="3" a="1"/>
  <c r="G72" i="3" a="1"/>
  <c r="B73" i="3"/>
  <c r="C73" i="3" s="1"/>
  <c r="D73" i="3" a="1"/>
  <c r="E73" i="3" a="1"/>
  <c r="F73" i="3" a="1"/>
  <c r="G73" i="3" a="1"/>
  <c r="B74" i="3"/>
  <c r="C74" i="3"/>
  <c r="D74" i="3" a="1"/>
  <c r="E74" i="3" a="1"/>
  <c r="F74" i="3" a="1"/>
  <c r="G74" i="3" a="1"/>
  <c r="B75" i="3"/>
  <c r="C75" i="3"/>
  <c r="D75" i="3" a="1"/>
  <c r="E75" i="3" a="1"/>
  <c r="F75" i="3" a="1"/>
  <c r="G75" i="3" a="1"/>
  <c r="B76" i="3"/>
  <c r="C76" i="3"/>
  <c r="D76" i="3" a="1"/>
  <c r="E76" i="3" a="1"/>
  <c r="F76" i="3" a="1"/>
  <c r="G76" i="3" a="1"/>
  <c r="B77" i="3"/>
  <c r="C77" i="3"/>
  <c r="D77" i="3" a="1"/>
  <c r="E77" i="3" a="1"/>
  <c r="F77" i="3" a="1"/>
  <c r="G77" i="3" a="1"/>
  <c r="B78" i="3"/>
  <c r="C78" i="3"/>
  <c r="D78" i="3" a="1"/>
  <c r="E78" i="3" a="1"/>
  <c r="F78" i="3" a="1"/>
  <c r="G78" i="3" a="1"/>
  <c r="B79" i="3"/>
  <c r="C79" i="3"/>
  <c r="D79" i="3" a="1"/>
  <c r="E79" i="3" a="1"/>
  <c r="F79" i="3" a="1"/>
  <c r="G79" i="3" a="1"/>
  <c r="B80" i="3"/>
  <c r="C80" i="3" s="1"/>
  <c r="D80" i="3" a="1"/>
  <c r="E80" i="3" a="1"/>
  <c r="F80" i="3" a="1"/>
  <c r="G80" i="3" a="1"/>
  <c r="B81" i="3"/>
  <c r="C81" i="3"/>
  <c r="D81" i="3" a="1"/>
  <c r="E81" i="3" a="1"/>
  <c r="F81" i="3" a="1"/>
  <c r="G81" i="3" a="1"/>
  <c r="B82" i="3"/>
  <c r="C82" i="3"/>
  <c r="D82" i="3" a="1"/>
  <c r="E82" i="3" a="1"/>
  <c r="F82" i="3" a="1"/>
  <c r="G82" i="3" a="1"/>
  <c r="B83" i="3"/>
  <c r="C83" i="3"/>
  <c r="D83" i="3" a="1"/>
  <c r="E83" i="3" a="1"/>
  <c r="F83" i="3" a="1"/>
  <c r="G83" i="3" a="1"/>
  <c r="B84" i="3"/>
  <c r="C84" i="3"/>
  <c r="D84" i="3" a="1"/>
  <c r="E84" i="3" a="1"/>
  <c r="F84" i="3" a="1"/>
  <c r="G84" i="3" a="1"/>
  <c r="B85" i="3"/>
  <c r="C85" i="3"/>
  <c r="D85" i="3" a="1"/>
  <c r="E85" i="3" a="1"/>
  <c r="F85" i="3" a="1"/>
  <c r="G85" i="3" a="1"/>
  <c r="B86" i="3"/>
  <c r="C86" i="3"/>
  <c r="D86" i="3" a="1"/>
  <c r="E86" i="3" a="1"/>
  <c r="F86" i="3" a="1"/>
  <c r="G86" i="3" a="1"/>
  <c r="B87" i="3"/>
  <c r="C87" i="3"/>
  <c r="D87" i="3" a="1"/>
  <c r="E87" i="3" a="1"/>
  <c r="F87" i="3" a="1"/>
  <c r="G87" i="3" a="1"/>
  <c r="B88" i="3"/>
  <c r="C88" i="3"/>
  <c r="D88" i="3" a="1"/>
  <c r="E88" i="3" a="1"/>
  <c r="F88" i="3" a="1"/>
  <c r="G88" i="3" a="1"/>
  <c r="B89" i="3"/>
  <c r="C89" i="3"/>
  <c r="D89" i="3" a="1"/>
  <c r="E89" i="3" a="1"/>
  <c r="F89" i="3" a="1"/>
  <c r="G89" i="3" a="1"/>
  <c r="B90" i="3"/>
  <c r="C90" i="3"/>
  <c r="D90" i="3" a="1"/>
  <c r="E90" i="3" a="1"/>
  <c r="F90" i="3" a="1"/>
  <c r="G90" i="3" a="1"/>
  <c r="B91" i="3"/>
  <c r="C91" i="3" s="1"/>
  <c r="D91" i="3" a="1"/>
  <c r="E91" i="3" a="1"/>
  <c r="F91" i="3" a="1"/>
  <c r="G91" i="3" a="1"/>
  <c r="B92" i="3"/>
  <c r="C92" i="3"/>
  <c r="D92" i="3" a="1"/>
  <c r="E92" i="3" a="1"/>
  <c r="F92" i="3" a="1"/>
  <c r="G92" i="3" a="1"/>
  <c r="B93" i="3"/>
  <c r="C93" i="3"/>
  <c r="D93" i="3" a="1"/>
  <c r="E93" i="3" a="1"/>
  <c r="F93" i="3" a="1"/>
  <c r="G93" i="3" a="1"/>
  <c r="B94" i="3"/>
  <c r="C94" i="3"/>
  <c r="D94" i="3" a="1"/>
  <c r="E94" i="3" a="1"/>
  <c r="F94" i="3" a="1"/>
  <c r="G94" i="3" a="1"/>
  <c r="B95" i="3"/>
  <c r="C95" i="3"/>
  <c r="D95" i="3" a="1"/>
  <c r="E95" i="3" a="1"/>
  <c r="F95" i="3" a="1"/>
  <c r="G95" i="3" a="1"/>
  <c r="B96" i="3"/>
  <c r="C96" i="3"/>
  <c r="D96" i="3" a="1"/>
  <c r="E96" i="3" a="1"/>
  <c r="F96" i="3" a="1"/>
  <c r="G96" i="3" a="1"/>
  <c r="B97" i="3"/>
  <c r="C97" i="3" s="1"/>
  <c r="D97" i="3" a="1"/>
  <c r="E97" i="3" a="1"/>
  <c r="F97" i="3" a="1"/>
  <c r="G97" i="3" a="1"/>
  <c r="B98" i="3"/>
  <c r="C98" i="3"/>
  <c r="D98" i="3" a="1"/>
  <c r="E98" i="3" a="1"/>
  <c r="F98" i="3" a="1"/>
  <c r="G98" i="3" a="1"/>
  <c r="B99" i="3"/>
  <c r="C99" i="3"/>
  <c r="D99" i="3" a="1"/>
  <c r="E99" i="3" a="1"/>
  <c r="F99" i="3" a="1"/>
  <c r="G99" i="3" a="1"/>
  <c r="B100" i="3"/>
  <c r="C100" i="3" s="1"/>
  <c r="D100" i="3" a="1"/>
  <c r="E100" i="3" a="1"/>
  <c r="F100" i="3" a="1"/>
  <c r="G100" i="3" a="1"/>
  <c r="B101" i="3"/>
  <c r="C101" i="3"/>
  <c r="D101" i="3" a="1"/>
  <c r="E101" i="3" a="1"/>
  <c r="F101" i="3" a="1"/>
  <c r="G101" i="3" a="1"/>
  <c r="B102" i="3"/>
  <c r="C102" i="3" s="1"/>
  <c r="D102" i="3" a="1"/>
  <c r="E102" i="3" a="1"/>
  <c r="F102" i="3" a="1"/>
  <c r="G102" i="3" a="1"/>
  <c r="B103" i="3"/>
  <c r="C103" i="3" s="1"/>
  <c r="D103" i="3" a="1"/>
  <c r="E103" i="3" a="1"/>
  <c r="F103" i="3" a="1"/>
  <c r="G103" i="3" a="1"/>
  <c r="B104" i="3"/>
  <c r="C104" i="3"/>
  <c r="D104" i="3" a="1"/>
  <c r="E104" i="3" a="1"/>
  <c r="F104" i="3" a="1"/>
  <c r="G104" i="3" a="1"/>
  <c r="B105" i="3"/>
  <c r="C105" i="3"/>
  <c r="D105" i="3" a="1"/>
  <c r="E105" i="3" a="1"/>
  <c r="F105" i="3" a="1"/>
  <c r="G105" i="3" a="1"/>
  <c r="B106" i="3"/>
  <c r="C106" i="3"/>
  <c r="D106" i="3" a="1"/>
  <c r="E106" i="3" a="1"/>
  <c r="F106" i="3" a="1"/>
  <c r="G106" i="3" a="1"/>
  <c r="B107" i="3"/>
  <c r="C107" i="3"/>
  <c r="D107" i="3" a="1"/>
  <c r="E107" i="3" a="1"/>
  <c r="F107" i="3" a="1"/>
  <c r="G107" i="3" a="1"/>
  <c r="B108" i="3"/>
  <c r="C108" i="3"/>
  <c r="D108" i="3" a="1"/>
  <c r="E108" i="3" a="1"/>
  <c r="F108" i="3" a="1"/>
  <c r="G108" i="3" a="1"/>
  <c r="B109" i="3"/>
  <c r="C109" i="3"/>
  <c r="D109" i="3" a="1"/>
  <c r="E109" i="3" a="1"/>
  <c r="F109" i="3" a="1"/>
  <c r="G109" i="3" a="1"/>
  <c r="B110" i="3"/>
  <c r="C110" i="3"/>
  <c r="D110" i="3" a="1"/>
  <c r="E110" i="3" a="1"/>
  <c r="F110" i="3" a="1"/>
  <c r="G110" i="3" a="1"/>
  <c r="B111" i="3"/>
  <c r="C111" i="3"/>
  <c r="D111" i="3" a="1"/>
  <c r="E111" i="3" a="1"/>
  <c r="F111" i="3" a="1"/>
  <c r="G111" i="3" a="1"/>
  <c r="B112" i="3"/>
  <c r="C112" i="3"/>
  <c r="D112" i="3" a="1"/>
  <c r="E112" i="3" a="1"/>
  <c r="F112" i="3" a="1"/>
  <c r="G112" i="3" a="1"/>
  <c r="B113" i="3"/>
  <c r="C113" i="3"/>
  <c r="D113" i="3" a="1"/>
  <c r="E113" i="3" a="1"/>
  <c r="F113" i="3" a="1"/>
  <c r="G113" i="3" a="1"/>
  <c r="B114" i="3"/>
  <c r="C114" i="3"/>
  <c r="D114" i="3" a="1"/>
  <c r="E114" i="3" a="1"/>
  <c r="F114" i="3" a="1"/>
  <c r="G114" i="3" a="1"/>
  <c r="B115" i="3"/>
  <c r="C115" i="3"/>
  <c r="D115" i="3" a="1"/>
  <c r="E115" i="3" a="1"/>
  <c r="F115" i="3" a="1"/>
  <c r="G115" i="3" a="1"/>
  <c r="B116" i="3"/>
  <c r="C116" i="3"/>
  <c r="D116" i="3" a="1"/>
  <c r="E116" i="3" a="1"/>
  <c r="F116" i="3" a="1"/>
  <c r="G116" i="3" a="1"/>
  <c r="B117" i="3"/>
  <c r="C117" i="3"/>
  <c r="D117" i="3" a="1"/>
  <c r="E117" i="3" a="1"/>
  <c r="F117" i="3" a="1"/>
  <c r="G117" i="3" a="1"/>
  <c r="B118" i="3"/>
  <c r="C118" i="3"/>
  <c r="D118" i="3" a="1"/>
  <c r="E118" i="3" a="1"/>
  <c r="F118" i="3" a="1"/>
  <c r="G118" i="3" a="1"/>
  <c r="B119" i="3"/>
  <c r="C119" i="3"/>
  <c r="D119" i="3" a="1"/>
  <c r="E119" i="3" a="1"/>
  <c r="F119" i="3" a="1"/>
  <c r="G119" i="3" a="1"/>
  <c r="B120" i="3"/>
  <c r="C120" i="3"/>
  <c r="D120" i="3" a="1"/>
  <c r="E120" i="3" a="1"/>
  <c r="F120" i="3" a="1"/>
  <c r="G120" i="3" a="1"/>
  <c r="B121" i="3"/>
  <c r="C121" i="3" s="1"/>
  <c r="D121" i="3" a="1"/>
  <c r="E121" i="3" a="1"/>
  <c r="F121" i="3" a="1"/>
  <c r="G121" i="3" a="1"/>
  <c r="B122" i="3"/>
  <c r="C122" i="3" s="1"/>
  <c r="D122" i="3" a="1"/>
  <c r="E122" i="3" a="1"/>
  <c r="F122" i="3" a="1"/>
  <c r="G122" i="3" a="1"/>
  <c r="B123" i="3"/>
  <c r="C123" i="3" s="1"/>
  <c r="D123" i="3" a="1"/>
  <c r="E123" i="3" a="1"/>
  <c r="F123" i="3" a="1"/>
  <c r="G123" i="3" a="1"/>
  <c r="B124" i="3"/>
  <c r="C124" i="3"/>
  <c r="D124" i="3" a="1"/>
  <c r="E124" i="3" a="1"/>
  <c r="F124" i="3" a="1"/>
  <c r="G124" i="3" a="1"/>
  <c r="B125" i="3"/>
  <c r="C125" i="3"/>
  <c r="D125" i="3" a="1"/>
  <c r="E125" i="3" a="1"/>
  <c r="F125" i="3" a="1"/>
  <c r="G125" i="3" a="1"/>
  <c r="B126" i="3"/>
  <c r="C126" i="3"/>
  <c r="D126" i="3" a="1"/>
  <c r="E126" i="3" a="1"/>
  <c r="F126" i="3" a="1"/>
  <c r="G126" i="3" a="1"/>
  <c r="B127" i="3"/>
  <c r="C127" i="3"/>
  <c r="D127" i="3" a="1"/>
  <c r="E127" i="3" a="1"/>
  <c r="F127" i="3" a="1"/>
  <c r="G127" i="3" a="1"/>
  <c r="B128" i="3"/>
  <c r="C128" i="3"/>
  <c r="D128" i="3" a="1"/>
  <c r="E128" i="3" a="1"/>
  <c r="F128" i="3" a="1"/>
  <c r="G128" i="3" a="1"/>
  <c r="B129" i="3"/>
  <c r="C129" i="3"/>
  <c r="D129" i="3" a="1"/>
  <c r="E129" i="3" a="1"/>
  <c r="F129" i="3" a="1"/>
  <c r="G129" i="3" a="1"/>
  <c r="B130" i="3"/>
  <c r="C130" i="3"/>
  <c r="D130" i="3" a="1"/>
  <c r="E130" i="3" a="1"/>
  <c r="F130" i="3" a="1"/>
  <c r="G130" i="3" a="1"/>
  <c r="B131" i="3"/>
  <c r="C131" i="3"/>
  <c r="D131" i="3" a="1"/>
  <c r="E131" i="3" a="1"/>
  <c r="F131" i="3" a="1"/>
  <c r="G131" i="3" a="1"/>
  <c r="B132" i="3"/>
  <c r="C132" i="3"/>
  <c r="D132" i="3" a="1"/>
  <c r="E132" i="3" a="1"/>
  <c r="F132" i="3" a="1"/>
  <c r="G132" i="3" a="1"/>
  <c r="B133" i="3"/>
  <c r="C133" i="3"/>
  <c r="D133" i="3" a="1"/>
  <c r="E133" i="3" a="1"/>
  <c r="F133" i="3" a="1"/>
  <c r="G133" i="3" a="1"/>
  <c r="B134" i="3"/>
  <c r="C134" i="3"/>
  <c r="D134" i="3" a="1"/>
  <c r="E134" i="3" a="1"/>
  <c r="F134" i="3" a="1"/>
  <c r="G134" i="3" a="1"/>
  <c r="B135" i="3"/>
  <c r="C135" i="3"/>
  <c r="D135" i="3" a="1"/>
  <c r="E135" i="3" a="1"/>
  <c r="F135" i="3" a="1"/>
  <c r="G135" i="3" a="1"/>
  <c r="B136" i="3"/>
  <c r="C136" i="3"/>
  <c r="D136" i="3" a="1"/>
  <c r="E136" i="3" a="1"/>
  <c r="F136" i="3" a="1"/>
  <c r="G136" i="3" a="1"/>
  <c r="B137" i="3"/>
  <c r="C137" i="3"/>
  <c r="D137" i="3" a="1"/>
  <c r="E137" i="3" a="1"/>
  <c r="F137" i="3" a="1"/>
  <c r="G137" i="3" a="1"/>
  <c r="B138" i="3"/>
  <c r="C138" i="3"/>
  <c r="D138" i="3" a="1"/>
  <c r="E138" i="3" a="1"/>
  <c r="F138" i="3" a="1"/>
  <c r="G138" i="3" a="1"/>
  <c r="B139" i="3"/>
  <c r="C139" i="3"/>
  <c r="D139" i="3" a="1"/>
  <c r="E139" i="3" a="1"/>
  <c r="F139" i="3" a="1"/>
  <c r="G139" i="3" a="1"/>
  <c r="B140" i="3"/>
  <c r="C140" i="3"/>
  <c r="D140" i="3" a="1"/>
  <c r="E140" i="3" a="1"/>
  <c r="F140" i="3" a="1"/>
  <c r="G140" i="3" a="1"/>
  <c r="B141" i="3"/>
  <c r="C141" i="3"/>
  <c r="D141" i="3" a="1"/>
  <c r="E141" i="3" a="1"/>
  <c r="F141" i="3" a="1"/>
  <c r="G141" i="3" a="1"/>
  <c r="B142" i="3"/>
  <c r="C142" i="3"/>
  <c r="D142" i="3" a="1"/>
  <c r="E142" i="3" a="1"/>
  <c r="F142" i="3" a="1"/>
  <c r="G142" i="3" a="1"/>
  <c r="B143" i="3"/>
  <c r="C143" i="3"/>
  <c r="D143" i="3" a="1"/>
  <c r="E143" i="3" a="1"/>
  <c r="F143" i="3" a="1"/>
  <c r="G143" i="3" a="1"/>
  <c r="B144" i="3"/>
  <c r="C144" i="3" s="1"/>
  <c r="D144" i="3" a="1"/>
  <c r="E144" i="3" a="1"/>
  <c r="F144" i="3" a="1"/>
  <c r="G144" i="3" a="1"/>
  <c r="B145" i="3"/>
  <c r="C145" i="3"/>
  <c r="D145" i="3" a="1"/>
  <c r="E145" i="3" a="1"/>
  <c r="F145" i="3" a="1"/>
  <c r="G145" i="3" a="1"/>
  <c r="B146" i="3"/>
  <c r="C146" i="3" s="1"/>
  <c r="D146" i="3" a="1"/>
  <c r="E146" i="3" a="1"/>
  <c r="F146" i="3" a="1"/>
  <c r="G146" i="3" a="1"/>
  <c r="B147" i="3"/>
  <c r="C147" i="3"/>
  <c r="D147" i="3" a="1"/>
  <c r="E147" i="3" a="1"/>
  <c r="F147" i="3" a="1"/>
  <c r="G147" i="3" a="1"/>
  <c r="B148" i="3"/>
  <c r="C148" i="3"/>
  <c r="D148" i="3" a="1"/>
  <c r="E148" i="3" a="1"/>
  <c r="F148" i="3" a="1"/>
  <c r="G148" i="3" a="1"/>
  <c r="B149" i="3"/>
  <c r="C149" i="3"/>
  <c r="D149" i="3" a="1"/>
  <c r="E149" i="3" a="1"/>
  <c r="F149" i="3" a="1"/>
  <c r="G149" i="3" a="1"/>
  <c r="B150" i="3"/>
  <c r="C150" i="3" s="1"/>
  <c r="D150" i="3" a="1"/>
  <c r="E150" i="3" a="1"/>
  <c r="F150" i="3" a="1"/>
  <c r="G150" i="3" a="1"/>
  <c r="B151" i="3"/>
  <c r="C151" i="3"/>
  <c r="D151" i="3" a="1"/>
  <c r="E151" i="3" a="1"/>
  <c r="F151" i="3" a="1"/>
  <c r="G151" i="3" a="1"/>
  <c r="B152" i="3"/>
  <c r="C152" i="3"/>
  <c r="D152" i="3" a="1"/>
  <c r="E152" i="3" a="1"/>
  <c r="F152" i="3" a="1"/>
  <c r="G152" i="3" a="1"/>
  <c r="B153" i="3"/>
  <c r="C153" i="3" s="1"/>
  <c r="D153" i="3" a="1"/>
  <c r="E153" i="3" a="1"/>
  <c r="F153" i="3" a="1"/>
  <c r="G153" i="3" a="1"/>
  <c r="B154" i="3"/>
  <c r="C154" i="3"/>
  <c r="D154" i="3" a="1"/>
  <c r="E154" i="3" a="1"/>
  <c r="F154" i="3" a="1"/>
  <c r="G154" i="3" a="1"/>
  <c r="B155" i="3"/>
  <c r="C155" i="3"/>
  <c r="D155" i="3" a="1"/>
  <c r="E155" i="3" a="1"/>
  <c r="F155" i="3" a="1"/>
  <c r="G155" i="3" a="1"/>
  <c r="B156" i="3"/>
  <c r="C156" i="3" s="1"/>
  <c r="D156" i="3" a="1"/>
  <c r="E156" i="3" a="1"/>
  <c r="F156" i="3" a="1"/>
  <c r="G156" i="3" a="1"/>
  <c r="B157" i="3"/>
  <c r="C157" i="3" s="1"/>
  <c r="D157" i="3" a="1"/>
  <c r="E157" i="3" a="1"/>
  <c r="F157" i="3" a="1"/>
  <c r="G157" i="3" a="1"/>
  <c r="B158" i="3"/>
  <c r="C158" i="3" s="1"/>
  <c r="D158" i="3" a="1"/>
  <c r="E158" i="3" a="1"/>
  <c r="F158" i="3" a="1"/>
  <c r="G158" i="3" a="1"/>
  <c r="B159" i="3"/>
  <c r="C159" i="3"/>
  <c r="D159" i="3" a="1"/>
  <c r="E159" i="3" a="1"/>
  <c r="F159" i="3" a="1"/>
  <c r="G159" i="3" a="1"/>
  <c r="B160" i="3"/>
  <c r="C160" i="3"/>
  <c r="D160" i="3" a="1"/>
  <c r="E160" i="3" a="1"/>
  <c r="F160" i="3" a="1"/>
  <c r="G160" i="3" a="1"/>
  <c r="B161" i="3"/>
  <c r="C161" i="3"/>
  <c r="D161" i="3" a="1"/>
  <c r="E161" i="3" a="1"/>
  <c r="F161" i="3" a="1"/>
  <c r="G161" i="3" a="1"/>
  <c r="B162" i="3"/>
  <c r="C162" i="3"/>
  <c r="D162" i="3" a="1"/>
  <c r="E162" i="3" a="1"/>
  <c r="F162" i="3" a="1"/>
  <c r="G162" i="3" a="1"/>
  <c r="B163" i="3"/>
  <c r="C163" i="3"/>
  <c r="D163" i="3" a="1"/>
  <c r="E163" i="3" a="1"/>
  <c r="F163" i="3" a="1"/>
  <c r="G163" i="3" a="1"/>
  <c r="B164" i="3"/>
  <c r="C164" i="3"/>
  <c r="D164" i="3" a="1"/>
  <c r="E164" i="3" a="1"/>
  <c r="F164" i="3" a="1"/>
  <c r="G164" i="3" a="1"/>
  <c r="B165" i="3"/>
  <c r="C165" i="3"/>
  <c r="D165" i="3" a="1"/>
  <c r="E165" i="3" a="1"/>
  <c r="F165" i="3" a="1"/>
  <c r="G165" i="3" a="1"/>
  <c r="B166" i="3"/>
  <c r="C166" i="3"/>
  <c r="D166" i="3" a="1"/>
  <c r="E166" i="3" a="1"/>
  <c r="F166" i="3" a="1"/>
  <c r="G166" i="3" a="1"/>
  <c r="B167" i="3"/>
  <c r="C167" i="3" s="1"/>
  <c r="D167" i="3" a="1"/>
  <c r="E167" i="3" a="1"/>
  <c r="F167" i="3" a="1"/>
  <c r="G167" i="3" a="1"/>
  <c r="B168" i="3"/>
  <c r="C168" i="3"/>
  <c r="D168" i="3" a="1"/>
  <c r="E168" i="3" a="1"/>
  <c r="F168" i="3" a="1"/>
  <c r="G168" i="3" a="1"/>
  <c r="B169" i="3"/>
  <c r="C169" i="3"/>
  <c r="D169" i="3" a="1"/>
  <c r="E169" i="3" a="1"/>
  <c r="F169" i="3" a="1"/>
  <c r="G169" i="3" a="1"/>
  <c r="B170" i="3"/>
  <c r="C170" i="3"/>
  <c r="D170" i="3" a="1"/>
  <c r="E170" i="3" a="1"/>
  <c r="F170" i="3" a="1"/>
  <c r="G170" i="3" a="1"/>
  <c r="B171" i="3"/>
  <c r="C171" i="3"/>
  <c r="D171" i="3" a="1"/>
  <c r="E171" i="3" a="1"/>
  <c r="F171" i="3" a="1"/>
  <c r="G171" i="3" a="1"/>
  <c r="B172" i="3"/>
  <c r="C172" i="3" s="1"/>
  <c r="D172" i="3" a="1"/>
  <c r="E172" i="3" a="1"/>
  <c r="F172" i="3" a="1"/>
  <c r="G172" i="3" a="1"/>
  <c r="B173" i="3"/>
  <c r="C173" i="3"/>
  <c r="D173" i="3" a="1"/>
  <c r="E173" i="3" a="1"/>
  <c r="F173" i="3" a="1"/>
  <c r="G173" i="3" a="1"/>
  <c r="B174" i="3"/>
  <c r="C174" i="3"/>
  <c r="D174" i="3" a="1"/>
  <c r="E174" i="3" a="1"/>
  <c r="F174" i="3" a="1"/>
  <c r="G174" i="3" a="1"/>
  <c r="B175" i="3"/>
  <c r="C175" i="3"/>
  <c r="D175" i="3" a="1"/>
  <c r="E175" i="3" a="1"/>
  <c r="F175" i="3" a="1"/>
  <c r="G175" i="3" a="1"/>
  <c r="B176" i="3"/>
  <c r="C176" i="3" s="1"/>
  <c r="D176" i="3" a="1"/>
  <c r="E176" i="3" a="1"/>
  <c r="F176" i="3" a="1"/>
  <c r="G176" i="3" a="1"/>
  <c r="B177" i="3"/>
  <c r="C177" i="3"/>
  <c r="D177" i="3" a="1"/>
  <c r="E177" i="3" a="1"/>
  <c r="F177" i="3" a="1"/>
  <c r="G177" i="3" a="1"/>
  <c r="B178" i="3"/>
  <c r="C178" i="3"/>
  <c r="D178" i="3" a="1"/>
  <c r="E178" i="3" a="1"/>
  <c r="F178" i="3" a="1"/>
  <c r="G178" i="3" a="1"/>
  <c r="B179" i="3"/>
  <c r="C179" i="3"/>
  <c r="D179" i="3" a="1"/>
  <c r="E179" i="3" a="1"/>
  <c r="F179" i="3" a="1"/>
  <c r="G179" i="3" a="1"/>
  <c r="B180" i="3"/>
  <c r="C180" i="3"/>
  <c r="D180" i="3" a="1"/>
  <c r="E180" i="3" a="1"/>
  <c r="F180" i="3" a="1"/>
  <c r="G180" i="3" a="1"/>
  <c r="B181" i="3"/>
  <c r="C181" i="3"/>
  <c r="D181" i="3" a="1"/>
  <c r="E181" i="3" a="1"/>
  <c r="F181" i="3" a="1"/>
  <c r="G181" i="3" a="1"/>
  <c r="B182" i="3"/>
  <c r="C182" i="3"/>
  <c r="D182" i="3" a="1"/>
  <c r="E182" i="3" a="1"/>
  <c r="F182" i="3" a="1"/>
  <c r="G182" i="3" a="1"/>
  <c r="B183" i="3"/>
  <c r="C183" i="3"/>
  <c r="D183" i="3" a="1"/>
  <c r="E183" i="3" a="1"/>
  <c r="F183" i="3" a="1"/>
  <c r="G183" i="3" a="1"/>
  <c r="B184" i="3"/>
  <c r="C184" i="3"/>
  <c r="D184" i="3" a="1"/>
  <c r="E184" i="3" a="1"/>
  <c r="F184" i="3" a="1"/>
  <c r="G184" i="3" a="1"/>
  <c r="B185" i="3"/>
  <c r="C185" i="3"/>
  <c r="D185" i="3" a="1"/>
  <c r="E185" i="3" a="1"/>
  <c r="F185" i="3" a="1"/>
  <c r="G185" i="3" a="1"/>
  <c r="B186" i="3"/>
  <c r="C186" i="3"/>
  <c r="D186" i="3" a="1"/>
  <c r="E186" i="3" a="1"/>
  <c r="F186" i="3" a="1"/>
  <c r="G186" i="3" a="1"/>
  <c r="B187" i="3"/>
  <c r="C187" i="3"/>
  <c r="D187" i="3" a="1"/>
  <c r="E187" i="3" a="1"/>
  <c r="F187" i="3" a="1"/>
  <c r="G187" i="3" a="1"/>
  <c r="B188" i="3"/>
  <c r="C188" i="3"/>
  <c r="D188" i="3" a="1"/>
  <c r="E188" i="3" a="1"/>
  <c r="F188" i="3" a="1"/>
  <c r="G188" i="3" a="1"/>
  <c r="B189" i="3"/>
  <c r="C189" i="3"/>
  <c r="D189" i="3" a="1"/>
  <c r="E189" i="3" a="1"/>
  <c r="F189" i="3" a="1"/>
  <c r="G189" i="3" a="1"/>
  <c r="B190" i="3"/>
  <c r="C190" i="3"/>
  <c r="D190" i="3" a="1"/>
  <c r="E190" i="3" a="1"/>
  <c r="F190" i="3" a="1"/>
  <c r="G190" i="3" a="1"/>
  <c r="B191" i="3"/>
  <c r="C191" i="3"/>
  <c r="D191" i="3" a="1"/>
  <c r="E191" i="3" a="1"/>
  <c r="F191" i="3" a="1"/>
  <c r="G191" i="3" a="1"/>
  <c r="B192" i="3"/>
  <c r="C192" i="3"/>
  <c r="D192" i="3" a="1"/>
  <c r="E192" i="3" a="1"/>
  <c r="F192" i="3" a="1"/>
  <c r="G192" i="3" a="1"/>
  <c r="B193" i="3"/>
  <c r="C193" i="3"/>
  <c r="D193" i="3" a="1"/>
  <c r="E193" i="3" a="1"/>
  <c r="F193" i="3" a="1"/>
  <c r="G193" i="3" a="1"/>
  <c r="B194" i="3"/>
  <c r="C194" i="3"/>
  <c r="D194" i="3" a="1"/>
  <c r="E194" i="3" a="1"/>
  <c r="F194" i="3" a="1"/>
  <c r="G194" i="3" a="1"/>
  <c r="B195" i="3"/>
  <c r="C195" i="3"/>
  <c r="D195" i="3" a="1"/>
  <c r="E195" i="3" a="1"/>
  <c r="F195" i="3" a="1"/>
  <c r="G195" i="3" a="1"/>
  <c r="B196" i="3"/>
  <c r="C196" i="3"/>
  <c r="D196" i="3" a="1"/>
  <c r="E196" i="3" a="1"/>
  <c r="F196" i="3" a="1"/>
  <c r="G196" i="3" a="1"/>
  <c r="B197" i="3"/>
  <c r="C197" i="3" s="1"/>
  <c r="D197" i="3" a="1"/>
  <c r="E197" i="3" a="1"/>
  <c r="F197" i="3" a="1"/>
  <c r="G197" i="3" a="1"/>
  <c r="B198" i="3"/>
  <c r="C198" i="3"/>
  <c r="D198" i="3" a="1"/>
  <c r="E198" i="3" a="1"/>
  <c r="F198" i="3" a="1"/>
  <c r="G198" i="3" a="1"/>
  <c r="B199" i="3"/>
  <c r="C199" i="3" s="1"/>
  <c r="D199" i="3" a="1"/>
  <c r="E199" i="3" a="1"/>
  <c r="F199" i="3" a="1"/>
  <c r="G199" i="3" a="1"/>
  <c r="B200" i="3"/>
  <c r="C200" i="3"/>
  <c r="D200" i="3" a="1"/>
  <c r="E200" i="3" a="1"/>
  <c r="F200" i="3" a="1"/>
  <c r="G200" i="3" a="1"/>
  <c r="B201" i="3"/>
  <c r="C201" i="3"/>
  <c r="D201" i="3" a="1"/>
  <c r="E201" i="3" a="1"/>
  <c r="F201" i="3" a="1"/>
  <c r="G201" i="3" a="1"/>
  <c r="B202" i="3"/>
  <c r="C202" i="3"/>
  <c r="D202" i="3" a="1"/>
  <c r="E202" i="3" a="1"/>
  <c r="F202" i="3" a="1"/>
  <c r="G202" i="3" a="1"/>
  <c r="B203" i="3"/>
  <c r="C203" i="3" s="1"/>
  <c r="D203" i="3" a="1"/>
  <c r="E203" i="3" a="1"/>
  <c r="F203" i="3" a="1"/>
  <c r="G203" i="3" a="1"/>
  <c r="B204" i="3"/>
  <c r="C204" i="3" s="1"/>
  <c r="D204" i="3" a="1"/>
  <c r="E204" i="3" a="1"/>
  <c r="F204" i="3" a="1"/>
  <c r="G204" i="3" a="1"/>
  <c r="B205" i="3"/>
  <c r="C205" i="3"/>
  <c r="D205" i="3" a="1"/>
  <c r="E205" i="3" a="1"/>
  <c r="F205" i="3" a="1"/>
  <c r="G205" i="3" a="1"/>
  <c r="B206" i="3"/>
  <c r="C206" i="3"/>
  <c r="D206" i="3" a="1"/>
  <c r="E206" i="3" a="1"/>
  <c r="F206" i="3" a="1"/>
  <c r="G206" i="3" a="1"/>
  <c r="B207" i="3"/>
  <c r="C207" i="3"/>
  <c r="D207" i="3" a="1"/>
  <c r="E207" i="3" a="1"/>
  <c r="F207" i="3" a="1"/>
  <c r="G207" i="3" a="1"/>
  <c r="B208" i="3"/>
  <c r="C208" i="3"/>
  <c r="D208" i="3" a="1"/>
  <c r="E208" i="3" a="1"/>
  <c r="F208" i="3" a="1"/>
  <c r="G208" i="3" a="1"/>
  <c r="B209" i="3"/>
  <c r="C209" i="3"/>
  <c r="D209" i="3" a="1"/>
  <c r="E209" i="3" a="1"/>
  <c r="F209" i="3" a="1"/>
  <c r="G209" i="3" a="1"/>
  <c r="B210" i="3"/>
  <c r="C210" i="3"/>
  <c r="D210" i="3" a="1"/>
  <c r="E210" i="3" a="1"/>
  <c r="F210" i="3" a="1"/>
  <c r="G210" i="3" a="1"/>
  <c r="B211" i="3"/>
  <c r="C211" i="3" s="1"/>
  <c r="D211" i="3" a="1"/>
  <c r="E211" i="3" a="1"/>
  <c r="F211" i="3" a="1"/>
  <c r="G211" i="3" a="1"/>
  <c r="B212" i="3"/>
  <c r="C212" i="3" s="1"/>
  <c r="D212" i="3" a="1"/>
  <c r="E212" i="3" a="1"/>
  <c r="F212" i="3" a="1"/>
  <c r="G212" i="3" a="1"/>
  <c r="B213" i="3"/>
  <c r="C213" i="3" s="1"/>
  <c r="D213" i="3" a="1"/>
  <c r="E213" i="3" a="1"/>
  <c r="F213" i="3" a="1"/>
  <c r="G213" i="3" a="1"/>
  <c r="B214" i="3"/>
  <c r="C214" i="3" s="1"/>
  <c r="D214" i="3" a="1"/>
  <c r="E214" i="3" a="1"/>
  <c r="F214" i="3" a="1"/>
  <c r="G214" i="3" a="1"/>
  <c r="B215" i="3"/>
  <c r="C215" i="3"/>
  <c r="D215" i="3" a="1"/>
  <c r="E215" i="3" a="1"/>
  <c r="F215" i="3" a="1"/>
  <c r="G215" i="3" a="1"/>
  <c r="B216" i="3"/>
  <c r="C216" i="3"/>
  <c r="D216" i="3" a="1"/>
  <c r="E216" i="3" a="1"/>
  <c r="F216" i="3" a="1"/>
  <c r="G216" i="3" a="1"/>
  <c r="B217" i="3"/>
  <c r="C217" i="3"/>
  <c r="D217" i="3" a="1"/>
  <c r="E217" i="3" a="1"/>
  <c r="F217" i="3" a="1"/>
  <c r="G217" i="3" a="1"/>
  <c r="B218" i="3"/>
  <c r="C218" i="3"/>
  <c r="D218" i="3" a="1"/>
  <c r="E218" i="3" a="1"/>
  <c r="F218" i="3" a="1"/>
  <c r="G218" i="3" a="1"/>
  <c r="B219" i="3"/>
  <c r="C219" i="3"/>
  <c r="D219" i="3" a="1"/>
  <c r="E219" i="3" a="1"/>
  <c r="F219" i="3" a="1"/>
  <c r="G219" i="3" a="1"/>
  <c r="B220" i="3"/>
  <c r="C220" i="3"/>
  <c r="D220" i="3" a="1"/>
  <c r="E220" i="3" a="1"/>
  <c r="F220" i="3" a="1"/>
  <c r="G220" i="3" a="1"/>
  <c r="B221" i="3"/>
  <c r="C221" i="3"/>
  <c r="D221" i="3" a="1"/>
  <c r="E221" i="3" a="1"/>
  <c r="F221" i="3" a="1"/>
  <c r="G221" i="3" a="1"/>
  <c r="B222" i="3"/>
  <c r="C222" i="3"/>
  <c r="D222" i="3" a="1"/>
  <c r="E222" i="3" a="1"/>
  <c r="F222" i="3" a="1"/>
  <c r="G222" i="3" a="1"/>
  <c r="B223" i="3"/>
  <c r="C223" i="3" s="1"/>
  <c r="D223" i="3" a="1"/>
  <c r="E223" i="3" a="1"/>
  <c r="F223" i="3" a="1"/>
  <c r="G223" i="3" a="1"/>
  <c r="B224" i="3"/>
  <c r="C224" i="3"/>
  <c r="D224" i="3" a="1"/>
  <c r="E224" i="3" a="1"/>
  <c r="F224" i="3" a="1"/>
  <c r="G224" i="3" a="1"/>
  <c r="B225" i="3"/>
  <c r="C225" i="3"/>
  <c r="D225" i="3" a="1"/>
  <c r="E225" i="3" a="1"/>
  <c r="F225" i="3" a="1"/>
  <c r="G225" i="3" a="1"/>
  <c r="B226" i="3"/>
  <c r="C226" i="3" s="1"/>
  <c r="D226" i="3" a="1"/>
  <c r="E226" i="3" a="1"/>
  <c r="F226" i="3" a="1"/>
  <c r="G226" i="3" a="1"/>
  <c r="B227" i="3"/>
  <c r="C227" i="3"/>
  <c r="D227" i="3" a="1"/>
  <c r="E227" i="3" a="1"/>
  <c r="F227" i="3" a="1"/>
  <c r="G227" i="3" a="1"/>
  <c r="B228" i="3"/>
  <c r="C228" i="3"/>
  <c r="D228" i="3" a="1"/>
  <c r="E228" i="3" a="1"/>
  <c r="F228" i="3" a="1"/>
  <c r="G228" i="3" a="1"/>
  <c r="B229" i="3"/>
  <c r="C229" i="3" s="1"/>
  <c r="D229" i="3" a="1"/>
  <c r="E229" i="3" a="1"/>
  <c r="F229" i="3" a="1"/>
  <c r="G229" i="3" a="1"/>
  <c r="B230" i="3"/>
  <c r="C230" i="3"/>
  <c r="D230" i="3" a="1"/>
  <c r="E230" i="3" a="1"/>
  <c r="F230" i="3" a="1"/>
  <c r="G230" i="3" a="1"/>
  <c r="B231" i="3"/>
  <c r="C231" i="3"/>
  <c r="D231" i="3" a="1"/>
  <c r="E231" i="3" a="1"/>
  <c r="F231" i="3" a="1"/>
  <c r="G231" i="3" a="1"/>
  <c r="B232" i="3"/>
  <c r="C232" i="3"/>
  <c r="D232" i="3" a="1"/>
  <c r="E232" i="3" a="1"/>
  <c r="F232" i="3" a="1"/>
  <c r="G232" i="3" a="1"/>
  <c r="B233" i="3"/>
  <c r="C233" i="3" s="1"/>
  <c r="D233" i="3" a="1"/>
  <c r="E233" i="3" a="1"/>
  <c r="F233" i="3" a="1"/>
  <c r="G233" i="3" a="1"/>
  <c r="B234" i="3"/>
  <c r="C234" i="3"/>
  <c r="D234" i="3" a="1"/>
  <c r="E234" i="3" a="1"/>
  <c r="F234" i="3" a="1"/>
  <c r="G234" i="3" a="1"/>
  <c r="B235" i="3"/>
  <c r="C235" i="3"/>
  <c r="D235" i="3" a="1"/>
  <c r="E235" i="3" a="1"/>
  <c r="F235" i="3" a="1"/>
  <c r="G235" i="3" a="1"/>
  <c r="B236" i="3"/>
  <c r="C236" i="3"/>
  <c r="D236" i="3" a="1"/>
  <c r="E236" i="3" a="1"/>
  <c r="F236" i="3" a="1"/>
  <c r="G236" i="3" a="1"/>
  <c r="B237" i="3"/>
  <c r="C237" i="3" s="1"/>
  <c r="D237" i="3" a="1"/>
  <c r="E237" i="3" a="1"/>
  <c r="F237" i="3" a="1"/>
  <c r="G237" i="3" a="1"/>
  <c r="B238" i="3"/>
  <c r="C238" i="3"/>
  <c r="D238" i="3" a="1"/>
  <c r="E238" i="3" a="1"/>
  <c r="F238" i="3" a="1"/>
  <c r="G238" i="3" a="1"/>
  <c r="B239" i="3"/>
  <c r="C239" i="3"/>
  <c r="D239" i="3" a="1"/>
  <c r="E239" i="3" a="1"/>
  <c r="F239" i="3" a="1"/>
  <c r="G239" i="3" a="1"/>
  <c r="B240" i="3"/>
  <c r="C240" i="3"/>
  <c r="D240" i="3" a="1"/>
  <c r="E240" i="3" a="1"/>
  <c r="F240" i="3" a="1"/>
  <c r="G240" i="3" a="1"/>
  <c r="B241" i="3"/>
  <c r="C241" i="3"/>
  <c r="D241" i="3" a="1"/>
  <c r="E241" i="3" a="1"/>
  <c r="F241" i="3" a="1"/>
  <c r="G241" i="3" a="1"/>
  <c r="B242" i="3"/>
  <c r="C242" i="3"/>
  <c r="D242" i="3" a="1"/>
  <c r="E242" i="3" a="1"/>
  <c r="F242" i="3" a="1"/>
  <c r="G242" i="3" a="1"/>
  <c r="B243" i="3"/>
  <c r="C243" i="3"/>
  <c r="D243" i="3" a="1"/>
  <c r="E243" i="3" a="1"/>
  <c r="F243" i="3" a="1"/>
  <c r="G243" i="3" a="1"/>
  <c r="B244" i="3"/>
  <c r="C244" i="3"/>
  <c r="D244" i="3" a="1"/>
  <c r="E244" i="3" a="1"/>
  <c r="F244" i="3" a="1"/>
  <c r="G244" i="3" a="1"/>
  <c r="B245" i="3"/>
  <c r="C245" i="3" s="1"/>
  <c r="D245" i="3" a="1"/>
  <c r="E245" i="3" a="1"/>
  <c r="F245" i="3" a="1"/>
  <c r="G245" i="3" a="1"/>
  <c r="B246" i="3"/>
  <c r="C246" i="3" s="1"/>
  <c r="D246" i="3" a="1"/>
  <c r="E246" i="3" a="1"/>
  <c r="F246" i="3" a="1"/>
  <c r="G246" i="3" a="1"/>
  <c r="B247" i="3"/>
  <c r="C247" i="3"/>
  <c r="D247" i="3" a="1"/>
  <c r="E247" i="3" a="1"/>
  <c r="F247" i="3" a="1"/>
  <c r="G247" i="3" a="1"/>
  <c r="B248" i="3"/>
  <c r="C248" i="3"/>
  <c r="D248" i="3" a="1"/>
  <c r="E248" i="3" a="1"/>
  <c r="F248" i="3" a="1"/>
  <c r="G248" i="3" a="1"/>
  <c r="B249" i="3"/>
  <c r="C249" i="3"/>
  <c r="D249" i="3" a="1"/>
  <c r="E249" i="3" a="1"/>
  <c r="F249" i="3" a="1"/>
  <c r="G249" i="3" a="1"/>
  <c r="B250" i="3"/>
  <c r="C250" i="3" s="1"/>
  <c r="D250" i="3" a="1"/>
  <c r="E250" i="3" a="1"/>
  <c r="F250" i="3" a="1"/>
  <c r="G250" i="3" a="1"/>
  <c r="B251" i="3"/>
  <c r="C251" i="3" s="1"/>
  <c r="D251" i="3" a="1"/>
  <c r="E251" i="3" a="1"/>
  <c r="F251" i="3" a="1"/>
  <c r="G251" i="3" a="1"/>
  <c r="B252" i="3"/>
  <c r="C252" i="3" s="1"/>
  <c r="D252" i="3" a="1"/>
  <c r="E252" i="3" a="1"/>
  <c r="F252" i="3" a="1"/>
  <c r="G252" i="3" a="1"/>
  <c r="B253" i="3"/>
  <c r="C253" i="3" s="1"/>
  <c r="D253" i="3" a="1"/>
  <c r="E253" i="3" a="1"/>
  <c r="F253" i="3" a="1"/>
  <c r="G253" i="3" a="1"/>
  <c r="B254" i="3"/>
  <c r="C254" i="3"/>
  <c r="D254" i="3" a="1"/>
  <c r="E254" i="3" a="1"/>
  <c r="F254" i="3" a="1"/>
  <c r="G254" i="3" a="1"/>
  <c r="B255" i="3"/>
  <c r="C255" i="3"/>
  <c r="D255" i="3" a="1"/>
  <c r="E255" i="3" a="1"/>
  <c r="F255" i="3" a="1"/>
  <c r="G255" i="3" a="1"/>
  <c r="B256" i="3"/>
  <c r="C256" i="3" s="1"/>
  <c r="D256" i="3" a="1"/>
  <c r="E256" i="3" a="1"/>
  <c r="F256" i="3" a="1"/>
  <c r="G256" i="3" a="1"/>
  <c r="B257" i="3"/>
  <c r="C257" i="3"/>
  <c r="D257" i="3" a="1"/>
  <c r="E257" i="3" a="1"/>
  <c r="F257" i="3" a="1"/>
  <c r="G257" i="3" a="1"/>
  <c r="B258" i="3"/>
  <c r="C258" i="3"/>
  <c r="D258" i="3" a="1"/>
  <c r="E258" i="3" a="1"/>
  <c r="F258" i="3" a="1"/>
  <c r="G258" i="3" a="1"/>
  <c r="B259" i="3"/>
  <c r="C259" i="3" s="1"/>
  <c r="D259" i="3" a="1"/>
  <c r="E259" i="3" a="1"/>
  <c r="F259" i="3" a="1"/>
  <c r="G259" i="3" a="1"/>
  <c r="B260" i="3"/>
  <c r="C260" i="3" s="1"/>
  <c r="D260" i="3" a="1"/>
  <c r="E260" i="3" a="1"/>
  <c r="F260" i="3" a="1"/>
  <c r="G260" i="3" a="1"/>
  <c r="B261" i="3"/>
  <c r="C261" i="3" s="1"/>
  <c r="D261" i="3" a="1"/>
  <c r="E261" i="3" a="1"/>
  <c r="F261" i="3" a="1"/>
  <c r="G261" i="3" a="1"/>
  <c r="B262" i="3"/>
  <c r="C262" i="3" s="1"/>
  <c r="D262" i="3" a="1"/>
  <c r="E262" i="3" a="1"/>
  <c r="F262" i="3" a="1"/>
  <c r="G262" i="3" a="1"/>
  <c r="E5" i="3" a="1"/>
  <c r="J5" i="2"/>
  <c r="K5" i="2" s="1"/>
  <c r="L5" i="2" s="1"/>
  <c r="U5" i="2" s="1"/>
  <c r="J6" i="2"/>
  <c r="K6" i="2" s="1"/>
  <c r="L6" i="2" s="1"/>
  <c r="U6" i="2" s="1"/>
  <c r="J7" i="2"/>
  <c r="K7" i="2" s="1"/>
  <c r="L7" i="2" s="1"/>
  <c r="U7" i="2" s="1"/>
  <c r="J8" i="2"/>
  <c r="K8" i="2" s="1"/>
  <c r="L8" i="2" s="1"/>
  <c r="U8" i="2" s="1"/>
  <c r="J9" i="2"/>
  <c r="K9" i="2" s="1"/>
  <c r="L9" i="2" s="1"/>
  <c r="U9" i="2" s="1"/>
  <c r="J10" i="2"/>
  <c r="K10" i="2" s="1"/>
  <c r="L10" i="2" s="1"/>
  <c r="U10" i="2" s="1"/>
  <c r="J11" i="2"/>
  <c r="K11" i="2" s="1"/>
  <c r="L11" i="2" s="1"/>
  <c r="U11" i="2" s="1"/>
  <c r="J12" i="2"/>
  <c r="K12" i="2" s="1"/>
  <c r="L12" i="2" s="1"/>
  <c r="U12" i="2" s="1"/>
  <c r="J13" i="2"/>
  <c r="K13" i="2" s="1"/>
  <c r="L13" i="2" s="1"/>
  <c r="U13" i="2" s="1"/>
  <c r="J14" i="2"/>
  <c r="K14" i="2" s="1"/>
  <c r="L14" i="2" s="1"/>
  <c r="U14" i="2" s="1"/>
  <c r="J15" i="2"/>
  <c r="K15" i="2" s="1"/>
  <c r="L15" i="2" s="1"/>
  <c r="U15" i="2" s="1"/>
  <c r="J16" i="2"/>
  <c r="K16" i="2" s="1"/>
  <c r="L16" i="2" s="1"/>
  <c r="U16" i="2" s="1"/>
  <c r="J17" i="2"/>
  <c r="K17" i="2" s="1"/>
  <c r="L17" i="2" s="1"/>
  <c r="U17" i="2" s="1"/>
  <c r="J18" i="2"/>
  <c r="K18" i="2" s="1"/>
  <c r="L18" i="2" s="1"/>
  <c r="U18" i="2" s="1"/>
  <c r="J19" i="2"/>
  <c r="K19" i="2" s="1"/>
  <c r="L19" i="2" s="1"/>
  <c r="U19" i="2" s="1"/>
  <c r="J20" i="2"/>
  <c r="K20" i="2" s="1"/>
  <c r="L20" i="2" s="1"/>
  <c r="U20" i="2" s="1"/>
  <c r="J21" i="2"/>
  <c r="K21" i="2" s="1"/>
  <c r="L21" i="2" s="1"/>
  <c r="U21" i="2" s="1"/>
  <c r="J22" i="2"/>
  <c r="K22" i="2" s="1"/>
  <c r="L22" i="2" s="1"/>
  <c r="U22" i="2" s="1"/>
  <c r="J23" i="2"/>
  <c r="K23" i="2" s="1"/>
  <c r="L23" i="2" s="1"/>
  <c r="U23" i="2" s="1"/>
  <c r="J24" i="2"/>
  <c r="K24" i="2" s="1"/>
  <c r="L24" i="2" s="1"/>
  <c r="U24" i="2" s="1"/>
  <c r="J25" i="2"/>
  <c r="K25" i="2" s="1"/>
  <c r="L25" i="2" s="1"/>
  <c r="U25" i="2" s="1"/>
  <c r="J26" i="2"/>
  <c r="K26" i="2" s="1"/>
  <c r="L26" i="2" s="1"/>
  <c r="U26" i="2" s="1"/>
  <c r="J27" i="2"/>
  <c r="K27" i="2" s="1"/>
  <c r="L27" i="2" s="1"/>
  <c r="U27" i="2" s="1"/>
  <c r="J28" i="2"/>
  <c r="K28" i="2" s="1"/>
  <c r="L28" i="2" s="1"/>
  <c r="U28" i="2" s="1"/>
  <c r="J29" i="2"/>
  <c r="K29" i="2" s="1"/>
  <c r="L29" i="2" s="1"/>
  <c r="U29" i="2" s="1"/>
  <c r="J30" i="2"/>
  <c r="K30" i="2" s="1"/>
  <c r="L30" i="2" s="1"/>
  <c r="U30" i="2" s="1"/>
  <c r="J31" i="2"/>
  <c r="K31" i="2" s="1"/>
  <c r="L31" i="2" s="1"/>
  <c r="U31" i="2" s="1"/>
  <c r="J32" i="2"/>
  <c r="K32" i="2" s="1"/>
  <c r="L32" i="2" s="1"/>
  <c r="U32" i="2" s="1"/>
  <c r="J33" i="2"/>
  <c r="K33" i="2" s="1"/>
  <c r="L33" i="2" s="1"/>
  <c r="U33" i="2" s="1"/>
  <c r="J34" i="2"/>
  <c r="K34" i="2" s="1"/>
  <c r="L34" i="2" s="1"/>
  <c r="U34" i="2" s="1"/>
  <c r="J35" i="2"/>
  <c r="K35" i="2" s="1"/>
  <c r="L35" i="2" s="1"/>
  <c r="U35" i="2" s="1"/>
  <c r="J36" i="2"/>
  <c r="K36" i="2" s="1"/>
  <c r="L36" i="2" s="1"/>
  <c r="U36" i="2" s="1"/>
  <c r="J37" i="2"/>
  <c r="K37" i="2" s="1"/>
  <c r="L37" i="2" s="1"/>
  <c r="U37" i="2" s="1"/>
  <c r="J38" i="2"/>
  <c r="K38" i="2" s="1"/>
  <c r="L38" i="2" s="1"/>
  <c r="U38" i="2" s="1"/>
  <c r="J39" i="2"/>
  <c r="K39" i="2" s="1"/>
  <c r="L39" i="2" s="1"/>
  <c r="U39" i="2" s="1"/>
  <c r="J40" i="2"/>
  <c r="K40" i="2" s="1"/>
  <c r="L40" i="2" s="1"/>
  <c r="U40" i="2" s="1"/>
  <c r="J41" i="2"/>
  <c r="K41" i="2" s="1"/>
  <c r="L41" i="2" s="1"/>
  <c r="U41" i="2" s="1"/>
  <c r="J42" i="2"/>
  <c r="K42" i="2" s="1"/>
  <c r="L42" i="2" s="1"/>
  <c r="U42" i="2" s="1"/>
  <c r="J43" i="2"/>
  <c r="K43" i="2" s="1"/>
  <c r="L43" i="2" s="1"/>
  <c r="U43" i="2" s="1"/>
  <c r="J44" i="2"/>
  <c r="K44" i="2" s="1"/>
  <c r="L44" i="2" s="1"/>
  <c r="U44" i="2" s="1"/>
  <c r="J45" i="2"/>
  <c r="K45" i="2" s="1"/>
  <c r="L45" i="2" s="1"/>
  <c r="U45" i="2" s="1"/>
  <c r="J46" i="2"/>
  <c r="K46" i="2" s="1"/>
  <c r="L46" i="2" s="1"/>
  <c r="U46" i="2" s="1"/>
  <c r="J47" i="2"/>
  <c r="K47" i="2" s="1"/>
  <c r="L47" i="2" s="1"/>
  <c r="U47" i="2" s="1"/>
  <c r="J48" i="2"/>
  <c r="K48" i="2" s="1"/>
  <c r="L48" i="2" s="1"/>
  <c r="U48" i="2" s="1"/>
  <c r="J49" i="2"/>
  <c r="K49" i="2" s="1"/>
  <c r="L49" i="2" s="1"/>
  <c r="U49" i="2" s="1"/>
  <c r="J50" i="2"/>
  <c r="K50" i="2" s="1"/>
  <c r="L50" i="2" s="1"/>
  <c r="U50" i="2" s="1"/>
  <c r="J51" i="2"/>
  <c r="K51" i="2" s="1"/>
  <c r="L51" i="2" s="1"/>
  <c r="U51" i="2" s="1"/>
  <c r="J52" i="2"/>
  <c r="K52" i="2" s="1"/>
  <c r="L52" i="2" s="1"/>
  <c r="U52" i="2" s="1"/>
  <c r="J53" i="2"/>
  <c r="K53" i="2" s="1"/>
  <c r="L53" i="2" s="1"/>
  <c r="U53" i="2" s="1"/>
  <c r="J54" i="2"/>
  <c r="K54" i="2" s="1"/>
  <c r="L54" i="2" s="1"/>
  <c r="U54" i="2" s="1"/>
  <c r="J55" i="2"/>
  <c r="K55" i="2" s="1"/>
  <c r="L55" i="2" s="1"/>
  <c r="U55" i="2" s="1"/>
  <c r="J56" i="2"/>
  <c r="K56" i="2" s="1"/>
  <c r="L56" i="2" s="1"/>
  <c r="U56" i="2" s="1"/>
  <c r="J57" i="2"/>
  <c r="K57" i="2" s="1"/>
  <c r="L57" i="2" s="1"/>
  <c r="U57" i="2" s="1"/>
  <c r="J58" i="2"/>
  <c r="K58" i="2" s="1"/>
  <c r="L58" i="2" s="1"/>
  <c r="U58" i="2" s="1"/>
  <c r="J59" i="2"/>
  <c r="K59" i="2" s="1"/>
  <c r="L59" i="2" s="1"/>
  <c r="U59" i="2" s="1"/>
  <c r="J60" i="2"/>
  <c r="K60" i="2" s="1"/>
  <c r="L60" i="2" s="1"/>
  <c r="U60" i="2" s="1"/>
  <c r="J61" i="2"/>
  <c r="K61" i="2" s="1"/>
  <c r="L61" i="2" s="1"/>
  <c r="U61" i="2" s="1"/>
  <c r="J62" i="2"/>
  <c r="K62" i="2" s="1"/>
  <c r="L62" i="2" s="1"/>
  <c r="U62" i="2" s="1"/>
  <c r="J63" i="2"/>
  <c r="K63" i="2" s="1"/>
  <c r="L63" i="2" s="1"/>
  <c r="U63" i="2" s="1"/>
  <c r="J64" i="2"/>
  <c r="K64" i="2" s="1"/>
  <c r="L64" i="2" s="1"/>
  <c r="U64" i="2" s="1"/>
  <c r="J65" i="2"/>
  <c r="K65" i="2" s="1"/>
  <c r="L65" i="2" s="1"/>
  <c r="U65" i="2" s="1"/>
  <c r="J66" i="2"/>
  <c r="K66" i="2" s="1"/>
  <c r="L66" i="2" s="1"/>
  <c r="U66" i="2" s="1"/>
  <c r="J67" i="2"/>
  <c r="K67" i="2" s="1"/>
  <c r="L67" i="2" s="1"/>
  <c r="U67" i="2" s="1"/>
  <c r="J68" i="2"/>
  <c r="K68" i="2" s="1"/>
  <c r="L68" i="2" s="1"/>
  <c r="U68" i="2" s="1"/>
  <c r="J69" i="2"/>
  <c r="K69" i="2" s="1"/>
  <c r="L69" i="2" s="1"/>
  <c r="U69" i="2" s="1"/>
  <c r="J70" i="2"/>
  <c r="K70" i="2" s="1"/>
  <c r="L70" i="2" s="1"/>
  <c r="U70" i="2" s="1"/>
  <c r="J71" i="2"/>
  <c r="K71" i="2" s="1"/>
  <c r="L71" i="2" s="1"/>
  <c r="U71" i="2" s="1"/>
  <c r="J72" i="2"/>
  <c r="K72" i="2" s="1"/>
  <c r="L72" i="2" s="1"/>
  <c r="U72" i="2" s="1"/>
  <c r="J73" i="2"/>
  <c r="K73" i="2" s="1"/>
  <c r="L73" i="2" s="1"/>
  <c r="U73" i="2" s="1"/>
  <c r="J74" i="2"/>
  <c r="K74" i="2" s="1"/>
  <c r="L74" i="2" s="1"/>
  <c r="U74" i="2" s="1"/>
  <c r="J75" i="2"/>
  <c r="K75" i="2" s="1"/>
  <c r="L75" i="2" s="1"/>
  <c r="U75" i="2" s="1"/>
  <c r="J76" i="2"/>
  <c r="K76" i="2" s="1"/>
  <c r="L76" i="2" s="1"/>
  <c r="U76" i="2" s="1"/>
  <c r="J77" i="2"/>
  <c r="K77" i="2" s="1"/>
  <c r="L77" i="2" s="1"/>
  <c r="U77" i="2" s="1"/>
  <c r="J78" i="2"/>
  <c r="K78" i="2" s="1"/>
  <c r="L78" i="2" s="1"/>
  <c r="U78" i="2" s="1"/>
  <c r="J79" i="2"/>
  <c r="K79" i="2" s="1"/>
  <c r="L79" i="2" s="1"/>
  <c r="U79" i="2" s="1"/>
  <c r="J80" i="2"/>
  <c r="K80" i="2" s="1"/>
  <c r="L80" i="2" s="1"/>
  <c r="U80" i="2" s="1"/>
  <c r="J81" i="2"/>
  <c r="K81" i="2" s="1"/>
  <c r="L81" i="2" s="1"/>
  <c r="U81" i="2" s="1"/>
  <c r="J82" i="2"/>
  <c r="K82" i="2" s="1"/>
  <c r="L82" i="2" s="1"/>
  <c r="U82" i="2" s="1"/>
  <c r="J83" i="2"/>
  <c r="K83" i="2" s="1"/>
  <c r="L83" i="2" s="1"/>
  <c r="U83" i="2" s="1"/>
  <c r="J84" i="2"/>
  <c r="K84" i="2" s="1"/>
  <c r="L84" i="2" s="1"/>
  <c r="U84" i="2" s="1"/>
  <c r="J85" i="2"/>
  <c r="K85" i="2" s="1"/>
  <c r="L85" i="2" s="1"/>
  <c r="U85" i="2" s="1"/>
  <c r="J86" i="2"/>
  <c r="K86" i="2" s="1"/>
  <c r="L86" i="2" s="1"/>
  <c r="U86" i="2" s="1"/>
  <c r="J87" i="2"/>
  <c r="K87" i="2" s="1"/>
  <c r="L87" i="2" s="1"/>
  <c r="U87" i="2" s="1"/>
  <c r="J88" i="2"/>
  <c r="K88" i="2" s="1"/>
  <c r="L88" i="2" s="1"/>
  <c r="U88" i="2" s="1"/>
  <c r="J89" i="2"/>
  <c r="K89" i="2" s="1"/>
  <c r="L89" i="2" s="1"/>
  <c r="U89" i="2" s="1"/>
  <c r="J90" i="2"/>
  <c r="K90" i="2" s="1"/>
  <c r="L90" i="2" s="1"/>
  <c r="U90" i="2" s="1"/>
  <c r="J91" i="2"/>
  <c r="K91" i="2" s="1"/>
  <c r="L91" i="2" s="1"/>
  <c r="U91" i="2" s="1"/>
  <c r="J92" i="2"/>
  <c r="K92" i="2" s="1"/>
  <c r="L92" i="2" s="1"/>
  <c r="U92" i="2" s="1"/>
  <c r="J93" i="2"/>
  <c r="K93" i="2" s="1"/>
  <c r="L93" i="2" s="1"/>
  <c r="U93" i="2" s="1"/>
  <c r="J94" i="2"/>
  <c r="K94" i="2" s="1"/>
  <c r="L94" i="2" s="1"/>
  <c r="U94" i="2" s="1"/>
  <c r="J95" i="2"/>
  <c r="K95" i="2" s="1"/>
  <c r="L95" i="2" s="1"/>
  <c r="U95" i="2" s="1"/>
  <c r="J96" i="2"/>
  <c r="K96" i="2" s="1"/>
  <c r="L96" i="2" s="1"/>
  <c r="U96" i="2" s="1"/>
  <c r="J97" i="2"/>
  <c r="K97" i="2" s="1"/>
  <c r="L97" i="2" s="1"/>
  <c r="U97" i="2" s="1"/>
  <c r="J98" i="2"/>
  <c r="K98" i="2" s="1"/>
  <c r="L98" i="2" s="1"/>
  <c r="U98" i="2" s="1"/>
  <c r="J99" i="2"/>
  <c r="K99" i="2" s="1"/>
  <c r="L99" i="2" s="1"/>
  <c r="U99" i="2" s="1"/>
  <c r="J100" i="2"/>
  <c r="K100" i="2" s="1"/>
  <c r="L100" i="2" s="1"/>
  <c r="U100" i="2" s="1"/>
  <c r="J101" i="2"/>
  <c r="K101" i="2" s="1"/>
  <c r="L101" i="2" s="1"/>
  <c r="U101" i="2" s="1"/>
  <c r="J102" i="2"/>
  <c r="K102" i="2" s="1"/>
  <c r="L102" i="2" s="1"/>
  <c r="U102" i="2" s="1"/>
  <c r="J103" i="2"/>
  <c r="K103" i="2" s="1"/>
  <c r="L103" i="2" s="1"/>
  <c r="U103" i="2" s="1"/>
  <c r="J104" i="2"/>
  <c r="K104" i="2" s="1"/>
  <c r="L104" i="2" s="1"/>
  <c r="U104" i="2" s="1"/>
  <c r="J105" i="2"/>
  <c r="K105" i="2" s="1"/>
  <c r="L105" i="2" s="1"/>
  <c r="U105" i="2" s="1"/>
  <c r="J106" i="2"/>
  <c r="K106" i="2" s="1"/>
  <c r="L106" i="2" s="1"/>
  <c r="U106" i="2" s="1"/>
  <c r="J107" i="2"/>
  <c r="K107" i="2" s="1"/>
  <c r="L107" i="2" s="1"/>
  <c r="U107" i="2" s="1"/>
  <c r="J108" i="2"/>
  <c r="K108" i="2" s="1"/>
  <c r="L108" i="2" s="1"/>
  <c r="U108" i="2" s="1"/>
  <c r="J109" i="2"/>
  <c r="K109" i="2" s="1"/>
  <c r="L109" i="2" s="1"/>
  <c r="U109" i="2" s="1"/>
  <c r="J110" i="2"/>
  <c r="K110" i="2" s="1"/>
  <c r="L110" i="2" s="1"/>
  <c r="U110" i="2" s="1"/>
  <c r="J111" i="2"/>
  <c r="K111" i="2" s="1"/>
  <c r="L111" i="2" s="1"/>
  <c r="U111" i="2" s="1"/>
  <c r="J112" i="2"/>
  <c r="K112" i="2" s="1"/>
  <c r="L112" i="2" s="1"/>
  <c r="U112" i="2" s="1"/>
  <c r="J113" i="2"/>
  <c r="K113" i="2" s="1"/>
  <c r="L113" i="2" s="1"/>
  <c r="U113" i="2" s="1"/>
  <c r="J114" i="2"/>
  <c r="K114" i="2" s="1"/>
  <c r="L114" i="2" s="1"/>
  <c r="U114" i="2" s="1"/>
  <c r="J115" i="2"/>
  <c r="K115" i="2" s="1"/>
  <c r="L115" i="2" s="1"/>
  <c r="U115" i="2" s="1"/>
  <c r="J116" i="2"/>
  <c r="K116" i="2" s="1"/>
  <c r="L116" i="2" s="1"/>
  <c r="U116" i="2" s="1"/>
  <c r="J117" i="2"/>
  <c r="K117" i="2" s="1"/>
  <c r="L117" i="2" s="1"/>
  <c r="U117" i="2" s="1"/>
  <c r="J118" i="2"/>
  <c r="K118" i="2" s="1"/>
  <c r="L118" i="2" s="1"/>
  <c r="U118" i="2" s="1"/>
  <c r="J119" i="2"/>
  <c r="K119" i="2" s="1"/>
  <c r="L119" i="2" s="1"/>
  <c r="U119" i="2" s="1"/>
  <c r="J120" i="2"/>
  <c r="K120" i="2" s="1"/>
  <c r="L120" i="2" s="1"/>
  <c r="U120" i="2" s="1"/>
  <c r="J121" i="2"/>
  <c r="K121" i="2" s="1"/>
  <c r="L121" i="2" s="1"/>
  <c r="U121" i="2" s="1"/>
  <c r="J122" i="2"/>
  <c r="K122" i="2" s="1"/>
  <c r="L122" i="2" s="1"/>
  <c r="U122" i="2" s="1"/>
  <c r="J123" i="2"/>
  <c r="K123" i="2" s="1"/>
  <c r="L123" i="2" s="1"/>
  <c r="U123" i="2" s="1"/>
  <c r="J124" i="2"/>
  <c r="K124" i="2" s="1"/>
  <c r="L124" i="2" s="1"/>
  <c r="U124" i="2" s="1"/>
  <c r="J125" i="2"/>
  <c r="K125" i="2" s="1"/>
  <c r="L125" i="2" s="1"/>
  <c r="U125" i="2" s="1"/>
  <c r="J126" i="2"/>
  <c r="K126" i="2" s="1"/>
  <c r="L126" i="2" s="1"/>
  <c r="U126" i="2" s="1"/>
  <c r="J127" i="2"/>
  <c r="K127" i="2" s="1"/>
  <c r="L127" i="2" s="1"/>
  <c r="U127" i="2" s="1"/>
  <c r="J128" i="2"/>
  <c r="K128" i="2" s="1"/>
  <c r="L128" i="2" s="1"/>
  <c r="U128" i="2" s="1"/>
  <c r="J129" i="2"/>
  <c r="K129" i="2" s="1"/>
  <c r="L129" i="2" s="1"/>
  <c r="U129" i="2" s="1"/>
  <c r="J130" i="2"/>
  <c r="K130" i="2" s="1"/>
  <c r="L130" i="2" s="1"/>
  <c r="U130" i="2" s="1"/>
  <c r="J131" i="2"/>
  <c r="K131" i="2" s="1"/>
  <c r="L131" i="2" s="1"/>
  <c r="U131" i="2" s="1"/>
  <c r="J132" i="2"/>
  <c r="K132" i="2" s="1"/>
  <c r="L132" i="2" s="1"/>
  <c r="U132" i="2" s="1"/>
  <c r="J133" i="2"/>
  <c r="K133" i="2" s="1"/>
  <c r="L133" i="2" s="1"/>
  <c r="U133" i="2" s="1"/>
  <c r="J134" i="2"/>
  <c r="K134" i="2" s="1"/>
  <c r="L134" i="2" s="1"/>
  <c r="U134" i="2" s="1"/>
  <c r="J135" i="2"/>
  <c r="K135" i="2" s="1"/>
  <c r="L135" i="2" s="1"/>
  <c r="U135" i="2" s="1"/>
  <c r="J136" i="2"/>
  <c r="K136" i="2" s="1"/>
  <c r="L136" i="2" s="1"/>
  <c r="U136" i="2" s="1"/>
  <c r="J137" i="2"/>
  <c r="K137" i="2" s="1"/>
  <c r="L137" i="2" s="1"/>
  <c r="U137" i="2" s="1"/>
  <c r="J138" i="2"/>
  <c r="K138" i="2" s="1"/>
  <c r="L138" i="2" s="1"/>
  <c r="U138" i="2" s="1"/>
  <c r="J139" i="2"/>
  <c r="K139" i="2" s="1"/>
  <c r="L139" i="2" s="1"/>
  <c r="U139" i="2" s="1"/>
  <c r="J140" i="2"/>
  <c r="K140" i="2" s="1"/>
  <c r="L140" i="2" s="1"/>
  <c r="U140" i="2" s="1"/>
  <c r="J141" i="2"/>
  <c r="K141" i="2" s="1"/>
  <c r="L141" i="2" s="1"/>
  <c r="U141" i="2" s="1"/>
  <c r="J142" i="2"/>
  <c r="K142" i="2" s="1"/>
  <c r="L142" i="2" s="1"/>
  <c r="U142" i="2" s="1"/>
  <c r="J143" i="2"/>
  <c r="K143" i="2" s="1"/>
  <c r="L143" i="2" s="1"/>
  <c r="U143" i="2" s="1"/>
  <c r="J144" i="2"/>
  <c r="K144" i="2" s="1"/>
  <c r="L144" i="2" s="1"/>
  <c r="U144" i="2" s="1"/>
  <c r="J145" i="2"/>
  <c r="K145" i="2" s="1"/>
  <c r="L145" i="2" s="1"/>
  <c r="U145" i="2" s="1"/>
  <c r="J146" i="2"/>
  <c r="K146" i="2" s="1"/>
  <c r="L146" i="2" s="1"/>
  <c r="U146" i="2" s="1"/>
  <c r="J147" i="2"/>
  <c r="K147" i="2" s="1"/>
  <c r="L147" i="2" s="1"/>
  <c r="U147" i="2" s="1"/>
  <c r="J148" i="2"/>
  <c r="K148" i="2" s="1"/>
  <c r="L148" i="2" s="1"/>
  <c r="U148" i="2" s="1"/>
  <c r="J149" i="2"/>
  <c r="K149" i="2" s="1"/>
  <c r="L149" i="2" s="1"/>
  <c r="U149" i="2" s="1"/>
  <c r="J150" i="2"/>
  <c r="K150" i="2" s="1"/>
  <c r="L150" i="2" s="1"/>
  <c r="U150" i="2" s="1"/>
  <c r="J151" i="2"/>
  <c r="K151" i="2" s="1"/>
  <c r="L151" i="2" s="1"/>
  <c r="U151" i="2" s="1"/>
  <c r="J152" i="2"/>
  <c r="K152" i="2" s="1"/>
  <c r="L152" i="2" s="1"/>
  <c r="U152" i="2" s="1"/>
  <c r="J153" i="2"/>
  <c r="K153" i="2" s="1"/>
  <c r="L153" i="2" s="1"/>
  <c r="U153" i="2" s="1"/>
  <c r="J154" i="2"/>
  <c r="K154" i="2" s="1"/>
  <c r="L154" i="2" s="1"/>
  <c r="U154" i="2" s="1"/>
  <c r="J155" i="2"/>
  <c r="K155" i="2" s="1"/>
  <c r="L155" i="2" s="1"/>
  <c r="U155" i="2" s="1"/>
  <c r="J156" i="2"/>
  <c r="K156" i="2" s="1"/>
  <c r="L156" i="2" s="1"/>
  <c r="U156" i="2" s="1"/>
  <c r="J157" i="2"/>
  <c r="K157" i="2" s="1"/>
  <c r="L157" i="2" s="1"/>
  <c r="U157" i="2" s="1"/>
  <c r="J158" i="2"/>
  <c r="K158" i="2" s="1"/>
  <c r="L158" i="2" s="1"/>
  <c r="U158" i="2" s="1"/>
  <c r="J159" i="2"/>
  <c r="K159" i="2" s="1"/>
  <c r="L159" i="2" s="1"/>
  <c r="U159" i="2" s="1"/>
  <c r="J160" i="2"/>
  <c r="K160" i="2" s="1"/>
  <c r="L160" i="2" s="1"/>
  <c r="U160" i="2" s="1"/>
  <c r="J161" i="2"/>
  <c r="K161" i="2" s="1"/>
  <c r="L161" i="2" s="1"/>
  <c r="U161" i="2" s="1"/>
  <c r="J162" i="2"/>
  <c r="K162" i="2" s="1"/>
  <c r="L162" i="2" s="1"/>
  <c r="U162" i="2" s="1"/>
  <c r="J163" i="2"/>
  <c r="K163" i="2" s="1"/>
  <c r="L163" i="2" s="1"/>
  <c r="U163" i="2" s="1"/>
  <c r="J164" i="2"/>
  <c r="K164" i="2" s="1"/>
  <c r="L164" i="2" s="1"/>
  <c r="U164" i="2" s="1"/>
  <c r="J165" i="2"/>
  <c r="K165" i="2" s="1"/>
  <c r="L165" i="2" s="1"/>
  <c r="U165" i="2" s="1"/>
  <c r="J166" i="2"/>
  <c r="K166" i="2" s="1"/>
  <c r="L166" i="2" s="1"/>
  <c r="U166" i="2" s="1"/>
  <c r="J167" i="2"/>
  <c r="K167" i="2" s="1"/>
  <c r="L167" i="2" s="1"/>
  <c r="U167" i="2" s="1"/>
  <c r="J168" i="2"/>
  <c r="K168" i="2" s="1"/>
  <c r="L168" i="2" s="1"/>
  <c r="U168" i="2" s="1"/>
  <c r="J169" i="2"/>
  <c r="K169" i="2" s="1"/>
  <c r="L169" i="2" s="1"/>
  <c r="U169" i="2" s="1"/>
  <c r="J170" i="2"/>
  <c r="K170" i="2" s="1"/>
  <c r="L170" i="2" s="1"/>
  <c r="U170" i="2" s="1"/>
  <c r="J171" i="2"/>
  <c r="K171" i="2" s="1"/>
  <c r="L171" i="2" s="1"/>
  <c r="U171" i="2" s="1"/>
  <c r="J172" i="2"/>
  <c r="K172" i="2" s="1"/>
  <c r="L172" i="2" s="1"/>
  <c r="U172" i="2" s="1"/>
  <c r="J173" i="2"/>
  <c r="K173" i="2" s="1"/>
  <c r="L173" i="2" s="1"/>
  <c r="U173" i="2" s="1"/>
  <c r="J174" i="2"/>
  <c r="K174" i="2" s="1"/>
  <c r="L174" i="2" s="1"/>
  <c r="U174" i="2" s="1"/>
  <c r="J175" i="2"/>
  <c r="K175" i="2" s="1"/>
  <c r="L175" i="2" s="1"/>
  <c r="U175" i="2" s="1"/>
  <c r="J176" i="2"/>
  <c r="K176" i="2" s="1"/>
  <c r="L176" i="2" s="1"/>
  <c r="U176" i="2" s="1"/>
  <c r="J177" i="2"/>
  <c r="K177" i="2" s="1"/>
  <c r="L177" i="2" s="1"/>
  <c r="U177" i="2" s="1"/>
  <c r="J178" i="2"/>
  <c r="K178" i="2" s="1"/>
  <c r="L178" i="2" s="1"/>
  <c r="U178" i="2" s="1"/>
  <c r="J179" i="2"/>
  <c r="K179" i="2" s="1"/>
  <c r="L179" i="2" s="1"/>
  <c r="U179" i="2" s="1"/>
  <c r="J180" i="2"/>
  <c r="K180" i="2" s="1"/>
  <c r="L180" i="2" s="1"/>
  <c r="U180" i="2" s="1"/>
  <c r="J181" i="2"/>
  <c r="K181" i="2" s="1"/>
  <c r="L181" i="2" s="1"/>
  <c r="U181" i="2" s="1"/>
  <c r="J182" i="2"/>
  <c r="K182" i="2" s="1"/>
  <c r="L182" i="2" s="1"/>
  <c r="U182" i="2" s="1"/>
  <c r="J183" i="2"/>
  <c r="K183" i="2" s="1"/>
  <c r="L183" i="2" s="1"/>
  <c r="U183" i="2" s="1"/>
  <c r="J184" i="2"/>
  <c r="K184" i="2" s="1"/>
  <c r="L184" i="2" s="1"/>
  <c r="U184" i="2" s="1"/>
  <c r="J185" i="2"/>
  <c r="K185" i="2" s="1"/>
  <c r="L185" i="2" s="1"/>
  <c r="U185" i="2" s="1"/>
  <c r="J186" i="2"/>
  <c r="K186" i="2" s="1"/>
  <c r="L186" i="2" s="1"/>
  <c r="U186" i="2" s="1"/>
  <c r="J187" i="2"/>
  <c r="K187" i="2" s="1"/>
  <c r="L187" i="2" s="1"/>
  <c r="U187" i="2" s="1"/>
  <c r="J188" i="2"/>
  <c r="K188" i="2" s="1"/>
  <c r="L188" i="2" s="1"/>
  <c r="U188" i="2" s="1"/>
  <c r="J189" i="2"/>
  <c r="K189" i="2" s="1"/>
  <c r="L189" i="2" s="1"/>
  <c r="U189" i="2" s="1"/>
  <c r="J190" i="2"/>
  <c r="K190" i="2" s="1"/>
  <c r="L190" i="2" s="1"/>
  <c r="U190" i="2" s="1"/>
  <c r="J191" i="2"/>
  <c r="K191" i="2" s="1"/>
  <c r="L191" i="2" s="1"/>
  <c r="U191" i="2" s="1"/>
  <c r="J192" i="2"/>
  <c r="K192" i="2" s="1"/>
  <c r="L192" i="2" s="1"/>
  <c r="U192" i="2" s="1"/>
  <c r="J193" i="2"/>
  <c r="K193" i="2" s="1"/>
  <c r="L193" i="2" s="1"/>
  <c r="U193" i="2" s="1"/>
  <c r="J194" i="2"/>
  <c r="K194" i="2" s="1"/>
  <c r="L194" i="2" s="1"/>
  <c r="U194" i="2" s="1"/>
  <c r="J195" i="2"/>
  <c r="K195" i="2" s="1"/>
  <c r="L195" i="2" s="1"/>
  <c r="U195" i="2" s="1"/>
  <c r="J196" i="2"/>
  <c r="K196" i="2" s="1"/>
  <c r="L196" i="2" s="1"/>
  <c r="U196" i="2" s="1"/>
  <c r="J197" i="2"/>
  <c r="K197" i="2" s="1"/>
  <c r="L197" i="2" s="1"/>
  <c r="U197" i="2" s="1"/>
  <c r="J198" i="2"/>
  <c r="K198" i="2" s="1"/>
  <c r="L198" i="2" s="1"/>
  <c r="U198" i="2" s="1"/>
  <c r="J199" i="2"/>
  <c r="K199" i="2" s="1"/>
  <c r="L199" i="2" s="1"/>
  <c r="U199" i="2" s="1"/>
  <c r="J200" i="2"/>
  <c r="K200" i="2" s="1"/>
  <c r="L200" i="2" s="1"/>
  <c r="U200" i="2" s="1"/>
  <c r="J201" i="2"/>
  <c r="K201" i="2" s="1"/>
  <c r="L201" i="2" s="1"/>
  <c r="U201" i="2" s="1"/>
  <c r="J202" i="2"/>
  <c r="K202" i="2" s="1"/>
  <c r="L202" i="2" s="1"/>
  <c r="U202" i="2" s="1"/>
  <c r="J203" i="2"/>
  <c r="K203" i="2" s="1"/>
  <c r="L203" i="2" s="1"/>
  <c r="U203" i="2" s="1"/>
  <c r="J204" i="2"/>
  <c r="K204" i="2" s="1"/>
  <c r="L204" i="2" s="1"/>
  <c r="U204" i="2" s="1"/>
  <c r="J205" i="2"/>
  <c r="K205" i="2" s="1"/>
  <c r="L205" i="2" s="1"/>
  <c r="U205" i="2" s="1"/>
  <c r="J206" i="2"/>
  <c r="K206" i="2" s="1"/>
  <c r="L206" i="2" s="1"/>
  <c r="U206" i="2" s="1"/>
  <c r="J207" i="2"/>
  <c r="K207" i="2" s="1"/>
  <c r="L207" i="2" s="1"/>
  <c r="U207" i="2" s="1"/>
  <c r="J208" i="2"/>
  <c r="K208" i="2" s="1"/>
  <c r="L208" i="2" s="1"/>
  <c r="U208" i="2" s="1"/>
  <c r="J209" i="2"/>
  <c r="K209" i="2" s="1"/>
  <c r="L209" i="2" s="1"/>
  <c r="U209" i="2" s="1"/>
  <c r="J210" i="2"/>
  <c r="K210" i="2" s="1"/>
  <c r="L210" i="2" s="1"/>
  <c r="U210" i="2" s="1"/>
  <c r="J211" i="2"/>
  <c r="K211" i="2" s="1"/>
  <c r="L211" i="2" s="1"/>
  <c r="U211" i="2" s="1"/>
  <c r="J212" i="2"/>
  <c r="K212" i="2" s="1"/>
  <c r="L212" i="2" s="1"/>
  <c r="U212" i="2" s="1"/>
  <c r="J213" i="2"/>
  <c r="K213" i="2" s="1"/>
  <c r="L213" i="2" s="1"/>
  <c r="U213" i="2" s="1"/>
  <c r="J214" i="2"/>
  <c r="K214" i="2" s="1"/>
  <c r="L214" i="2" s="1"/>
  <c r="U214" i="2" s="1"/>
  <c r="J215" i="2"/>
  <c r="K215" i="2" s="1"/>
  <c r="L215" i="2" s="1"/>
  <c r="U215" i="2" s="1"/>
  <c r="J216" i="2"/>
  <c r="K216" i="2" s="1"/>
  <c r="L216" i="2" s="1"/>
  <c r="U216" i="2" s="1"/>
  <c r="J217" i="2"/>
  <c r="K217" i="2" s="1"/>
  <c r="L217" i="2" s="1"/>
  <c r="U217" i="2" s="1"/>
  <c r="J218" i="2"/>
  <c r="K218" i="2" s="1"/>
  <c r="L218" i="2" s="1"/>
  <c r="U218" i="2" s="1"/>
  <c r="J219" i="2"/>
  <c r="K219" i="2" s="1"/>
  <c r="L219" i="2" s="1"/>
  <c r="U219" i="2" s="1"/>
  <c r="J220" i="2"/>
  <c r="K220" i="2" s="1"/>
  <c r="L220" i="2" s="1"/>
  <c r="U220" i="2" s="1"/>
  <c r="J221" i="2"/>
  <c r="K221" i="2" s="1"/>
  <c r="L221" i="2" s="1"/>
  <c r="U221" i="2" s="1"/>
  <c r="J222" i="2"/>
  <c r="K222" i="2" s="1"/>
  <c r="L222" i="2" s="1"/>
  <c r="U222" i="2" s="1"/>
  <c r="J223" i="2"/>
  <c r="K223" i="2" s="1"/>
  <c r="L223" i="2" s="1"/>
  <c r="U223" i="2" s="1"/>
  <c r="J224" i="2"/>
  <c r="K224" i="2" s="1"/>
  <c r="L224" i="2" s="1"/>
  <c r="U224" i="2" s="1"/>
  <c r="J225" i="2"/>
  <c r="K225" i="2" s="1"/>
  <c r="L225" i="2" s="1"/>
  <c r="U225" i="2" s="1"/>
  <c r="J226" i="2"/>
  <c r="K226" i="2" s="1"/>
  <c r="L226" i="2" s="1"/>
  <c r="U226" i="2" s="1"/>
  <c r="J227" i="2"/>
  <c r="K227" i="2" s="1"/>
  <c r="L227" i="2" s="1"/>
  <c r="U227" i="2" s="1"/>
  <c r="J228" i="2"/>
  <c r="K228" i="2" s="1"/>
  <c r="L228" i="2" s="1"/>
  <c r="U228" i="2" s="1"/>
  <c r="J229" i="2"/>
  <c r="K229" i="2" s="1"/>
  <c r="L229" i="2" s="1"/>
  <c r="U229" i="2" s="1"/>
  <c r="J230" i="2"/>
  <c r="K230" i="2" s="1"/>
  <c r="L230" i="2" s="1"/>
  <c r="U230" i="2" s="1"/>
  <c r="J231" i="2"/>
  <c r="K231" i="2" s="1"/>
  <c r="L231" i="2" s="1"/>
  <c r="U231" i="2" s="1"/>
  <c r="J232" i="2"/>
  <c r="K232" i="2" s="1"/>
  <c r="L232" i="2" s="1"/>
  <c r="U232" i="2" s="1"/>
  <c r="J233" i="2"/>
  <c r="K233" i="2" s="1"/>
  <c r="L233" i="2" s="1"/>
  <c r="U233" i="2" s="1"/>
  <c r="J234" i="2"/>
  <c r="K234" i="2" s="1"/>
  <c r="L234" i="2" s="1"/>
  <c r="U234" i="2" s="1"/>
  <c r="J235" i="2"/>
  <c r="K235" i="2" s="1"/>
  <c r="L235" i="2" s="1"/>
  <c r="U235" i="2" s="1"/>
  <c r="J236" i="2"/>
  <c r="K236" i="2" s="1"/>
  <c r="L236" i="2" s="1"/>
  <c r="U236" i="2" s="1"/>
  <c r="J237" i="2"/>
  <c r="K237" i="2" s="1"/>
  <c r="L237" i="2" s="1"/>
  <c r="U237" i="2" s="1"/>
  <c r="J238" i="2"/>
  <c r="K238" i="2" s="1"/>
  <c r="L238" i="2" s="1"/>
  <c r="U238" i="2" s="1"/>
  <c r="J239" i="2"/>
  <c r="K239" i="2" s="1"/>
  <c r="L239" i="2" s="1"/>
  <c r="U239" i="2" s="1"/>
  <c r="J240" i="2"/>
  <c r="K240" i="2" s="1"/>
  <c r="L240" i="2" s="1"/>
  <c r="U240" i="2" s="1"/>
  <c r="J241" i="2"/>
  <c r="K241" i="2" s="1"/>
  <c r="L241" i="2" s="1"/>
  <c r="U241" i="2" s="1"/>
  <c r="J242" i="2"/>
  <c r="K242" i="2" s="1"/>
  <c r="L242" i="2" s="1"/>
  <c r="U242" i="2" s="1"/>
  <c r="J243" i="2"/>
  <c r="K243" i="2" s="1"/>
  <c r="L243" i="2" s="1"/>
  <c r="U243" i="2" s="1"/>
  <c r="J244" i="2"/>
  <c r="K244" i="2" s="1"/>
  <c r="L244" i="2" s="1"/>
  <c r="U244" i="2" s="1"/>
  <c r="J245" i="2"/>
  <c r="K245" i="2" s="1"/>
  <c r="L245" i="2" s="1"/>
  <c r="U245" i="2" s="1"/>
  <c r="J246" i="2"/>
  <c r="K246" i="2" s="1"/>
  <c r="L246" i="2" s="1"/>
  <c r="U246" i="2" s="1"/>
  <c r="J247" i="2"/>
  <c r="K247" i="2" s="1"/>
  <c r="L247" i="2" s="1"/>
  <c r="U247" i="2" s="1"/>
  <c r="J248" i="2"/>
  <c r="K248" i="2" s="1"/>
  <c r="L248" i="2" s="1"/>
  <c r="U248" i="2" s="1"/>
  <c r="J249" i="2"/>
  <c r="K249" i="2" s="1"/>
  <c r="L249" i="2" s="1"/>
  <c r="U249" i="2" s="1"/>
  <c r="J250" i="2"/>
  <c r="K250" i="2" s="1"/>
  <c r="L250" i="2" s="1"/>
  <c r="U250" i="2" s="1"/>
  <c r="J251" i="2"/>
  <c r="K251" i="2" s="1"/>
  <c r="L251" i="2" s="1"/>
  <c r="U251" i="2" s="1"/>
  <c r="J252" i="2"/>
  <c r="K252" i="2" s="1"/>
  <c r="L252" i="2" s="1"/>
  <c r="U252" i="2" s="1"/>
  <c r="J253" i="2"/>
  <c r="K253" i="2" s="1"/>
  <c r="L253" i="2" s="1"/>
  <c r="U253" i="2" s="1"/>
  <c r="J254" i="2"/>
  <c r="K254" i="2" s="1"/>
  <c r="L254" i="2" s="1"/>
  <c r="U254" i="2" s="1"/>
  <c r="J255" i="2"/>
  <c r="K255" i="2" s="1"/>
  <c r="L255" i="2" s="1"/>
  <c r="U255" i="2" s="1"/>
  <c r="J256" i="2"/>
  <c r="K256" i="2" s="1"/>
  <c r="L256" i="2" s="1"/>
  <c r="U256" i="2" s="1"/>
  <c r="J257" i="2"/>
  <c r="K257" i="2" s="1"/>
  <c r="L257" i="2" s="1"/>
  <c r="U257" i="2" s="1"/>
  <c r="J258" i="2"/>
  <c r="K258" i="2" s="1"/>
  <c r="L258" i="2" s="1"/>
  <c r="U258" i="2" s="1"/>
  <c r="J259" i="2"/>
  <c r="K259" i="2" s="1"/>
  <c r="L259" i="2" s="1"/>
  <c r="U259" i="2" s="1"/>
  <c r="J260" i="2"/>
  <c r="K260" i="2" s="1"/>
  <c r="L260" i="2" s="1"/>
  <c r="U260" i="2" s="1"/>
  <c r="J261" i="2"/>
  <c r="K261" i="2" s="1"/>
  <c r="L261" i="2" s="1"/>
  <c r="U261" i="2" s="1"/>
  <c r="J262" i="2"/>
  <c r="K262" i="2" s="1"/>
  <c r="L262" i="2" s="1"/>
  <c r="U262" i="2" s="1"/>
  <c r="J263" i="2"/>
  <c r="K263" i="2" s="1"/>
  <c r="L263" i="2" s="1"/>
  <c r="U263" i="2" s="1"/>
  <c r="J264" i="2"/>
  <c r="K264" i="2" s="1"/>
  <c r="L264" i="2" s="1"/>
  <c r="U264" i="2" s="1"/>
  <c r="J265" i="2"/>
  <c r="K265" i="2" s="1"/>
  <c r="L265" i="2" s="1"/>
  <c r="U265" i="2" s="1"/>
  <c r="J266" i="2"/>
  <c r="K266" i="2" s="1"/>
  <c r="L266" i="2" s="1"/>
  <c r="U266" i="2" s="1"/>
  <c r="J267" i="2"/>
  <c r="K267" i="2" s="1"/>
  <c r="L267" i="2" s="1"/>
  <c r="U267" i="2" s="1"/>
  <c r="J268" i="2"/>
  <c r="K268" i="2" s="1"/>
  <c r="L268" i="2" s="1"/>
  <c r="U268" i="2" s="1"/>
  <c r="J269" i="2"/>
  <c r="K269" i="2" s="1"/>
  <c r="L269" i="2" s="1"/>
  <c r="U269" i="2" s="1"/>
  <c r="J270" i="2"/>
  <c r="K270" i="2" s="1"/>
  <c r="L270" i="2" s="1"/>
  <c r="U270" i="2" s="1"/>
  <c r="J271" i="2"/>
  <c r="K271" i="2" s="1"/>
  <c r="L271" i="2" s="1"/>
  <c r="U271" i="2" s="1"/>
  <c r="J272" i="2"/>
  <c r="K272" i="2" s="1"/>
  <c r="L272" i="2" s="1"/>
  <c r="U272" i="2" s="1"/>
  <c r="J273" i="2"/>
  <c r="K273" i="2" s="1"/>
  <c r="L273" i="2" s="1"/>
  <c r="U273" i="2" s="1"/>
  <c r="J274" i="2"/>
  <c r="K274" i="2" s="1"/>
  <c r="L274" i="2" s="1"/>
  <c r="U274" i="2" s="1"/>
  <c r="J275" i="2"/>
  <c r="K275" i="2" s="1"/>
  <c r="L275" i="2" s="1"/>
  <c r="U275" i="2" s="1"/>
  <c r="J276" i="2"/>
  <c r="K276" i="2" s="1"/>
  <c r="L276" i="2" s="1"/>
  <c r="U276" i="2" s="1"/>
  <c r="J277" i="2"/>
  <c r="K277" i="2" s="1"/>
  <c r="L277" i="2" s="1"/>
  <c r="U277" i="2" s="1"/>
  <c r="J278" i="2"/>
  <c r="K278" i="2" s="1"/>
  <c r="L278" i="2" s="1"/>
  <c r="U278" i="2" s="1"/>
  <c r="J279" i="2"/>
  <c r="K279" i="2" s="1"/>
  <c r="L279" i="2" s="1"/>
  <c r="U279" i="2" s="1"/>
  <c r="J280" i="2"/>
  <c r="K280" i="2" s="1"/>
  <c r="L280" i="2" s="1"/>
  <c r="U280" i="2" s="1"/>
  <c r="J281" i="2"/>
  <c r="K281" i="2" s="1"/>
  <c r="L281" i="2" s="1"/>
  <c r="U281" i="2" s="1"/>
  <c r="J282" i="2"/>
  <c r="K282" i="2" s="1"/>
  <c r="L282" i="2" s="1"/>
  <c r="U282" i="2" s="1"/>
  <c r="J283" i="2"/>
  <c r="K283" i="2" s="1"/>
  <c r="L283" i="2" s="1"/>
  <c r="U283" i="2" s="1"/>
  <c r="J284" i="2"/>
  <c r="K284" i="2" s="1"/>
  <c r="L284" i="2" s="1"/>
  <c r="U284" i="2" s="1"/>
  <c r="J285" i="2"/>
  <c r="K285" i="2" s="1"/>
  <c r="L285" i="2" s="1"/>
  <c r="U285" i="2" s="1"/>
  <c r="J286" i="2"/>
  <c r="K286" i="2" s="1"/>
  <c r="L286" i="2" s="1"/>
  <c r="U286" i="2" s="1"/>
  <c r="J287" i="2"/>
  <c r="K287" i="2" s="1"/>
  <c r="L287" i="2" s="1"/>
  <c r="U287" i="2" s="1"/>
  <c r="J288" i="2"/>
  <c r="K288" i="2" s="1"/>
  <c r="L288" i="2" s="1"/>
  <c r="U288" i="2" s="1"/>
  <c r="J289" i="2"/>
  <c r="K289" i="2" s="1"/>
  <c r="L289" i="2" s="1"/>
  <c r="U289" i="2" s="1"/>
  <c r="J290" i="2"/>
  <c r="K290" i="2" s="1"/>
  <c r="L290" i="2" s="1"/>
  <c r="U290" i="2" s="1"/>
  <c r="J291" i="2"/>
  <c r="K291" i="2" s="1"/>
  <c r="L291" i="2" s="1"/>
  <c r="U291" i="2" s="1"/>
  <c r="J292" i="2"/>
  <c r="K292" i="2" s="1"/>
  <c r="L292" i="2" s="1"/>
  <c r="U292" i="2" s="1"/>
  <c r="J293" i="2"/>
  <c r="K293" i="2" s="1"/>
  <c r="L293" i="2" s="1"/>
  <c r="U293" i="2" s="1"/>
  <c r="J294" i="2"/>
  <c r="K294" i="2" s="1"/>
  <c r="L294" i="2" s="1"/>
  <c r="U294" i="2" s="1"/>
  <c r="J295" i="2"/>
  <c r="K295" i="2" s="1"/>
  <c r="L295" i="2" s="1"/>
  <c r="U295" i="2" s="1"/>
  <c r="J296" i="2"/>
  <c r="K296" i="2" s="1"/>
  <c r="L296" i="2" s="1"/>
  <c r="U296" i="2" s="1"/>
  <c r="J297" i="2"/>
  <c r="K297" i="2" s="1"/>
  <c r="L297" i="2" s="1"/>
  <c r="U297" i="2" s="1"/>
  <c r="J298" i="2"/>
  <c r="K298" i="2" s="1"/>
  <c r="L298" i="2" s="1"/>
  <c r="U298" i="2" s="1"/>
  <c r="J299" i="2"/>
  <c r="K299" i="2" s="1"/>
  <c r="L299" i="2" s="1"/>
  <c r="U299" i="2" s="1"/>
  <c r="J300" i="2"/>
  <c r="K300" i="2" s="1"/>
  <c r="L300" i="2" s="1"/>
  <c r="U300" i="2" s="1"/>
  <c r="J301" i="2"/>
  <c r="K301" i="2" s="1"/>
  <c r="L301" i="2" s="1"/>
  <c r="U301" i="2" s="1"/>
  <c r="J302" i="2"/>
  <c r="K302" i="2" s="1"/>
  <c r="L302" i="2" s="1"/>
  <c r="U302" i="2" s="1"/>
  <c r="J303" i="2"/>
  <c r="K303" i="2" s="1"/>
  <c r="L303" i="2" s="1"/>
  <c r="U303" i="2" s="1"/>
  <c r="J304" i="2"/>
  <c r="K304" i="2" s="1"/>
  <c r="L304" i="2" s="1"/>
  <c r="U304" i="2" s="1"/>
  <c r="J305" i="2"/>
  <c r="K305" i="2" s="1"/>
  <c r="L305" i="2" s="1"/>
  <c r="U305" i="2" s="1"/>
  <c r="J306" i="2"/>
  <c r="K306" i="2" s="1"/>
  <c r="L306" i="2" s="1"/>
  <c r="U306" i="2" s="1"/>
  <c r="J307" i="2"/>
  <c r="K307" i="2" s="1"/>
  <c r="L307" i="2" s="1"/>
  <c r="U307" i="2" s="1"/>
  <c r="J308" i="2"/>
  <c r="K308" i="2" s="1"/>
  <c r="L308" i="2" s="1"/>
  <c r="U308" i="2" s="1"/>
  <c r="J309" i="2"/>
  <c r="K309" i="2" s="1"/>
  <c r="L309" i="2" s="1"/>
  <c r="U309" i="2" s="1"/>
  <c r="J310" i="2"/>
  <c r="K310" i="2" s="1"/>
  <c r="L310" i="2" s="1"/>
  <c r="U310" i="2" s="1"/>
  <c r="J311" i="2"/>
  <c r="K311" i="2" s="1"/>
  <c r="L311" i="2" s="1"/>
  <c r="U311" i="2" s="1"/>
  <c r="J312" i="2"/>
  <c r="K312" i="2" s="1"/>
  <c r="L312" i="2" s="1"/>
  <c r="U312" i="2" s="1"/>
  <c r="J313" i="2"/>
  <c r="K313" i="2" s="1"/>
  <c r="L313" i="2" s="1"/>
  <c r="U313" i="2" s="1"/>
  <c r="J314" i="2"/>
  <c r="K314" i="2" s="1"/>
  <c r="L314" i="2" s="1"/>
  <c r="U314" i="2" s="1"/>
  <c r="J315" i="2"/>
  <c r="K315" i="2" s="1"/>
  <c r="L315" i="2" s="1"/>
  <c r="U315" i="2" s="1"/>
  <c r="J316" i="2"/>
  <c r="K316" i="2" s="1"/>
  <c r="L316" i="2" s="1"/>
  <c r="U316" i="2" s="1"/>
  <c r="J317" i="2"/>
  <c r="K317" i="2" s="1"/>
  <c r="L317" i="2" s="1"/>
  <c r="U317" i="2" s="1"/>
  <c r="J318" i="2"/>
  <c r="K318" i="2" s="1"/>
  <c r="L318" i="2" s="1"/>
  <c r="U318" i="2" s="1"/>
  <c r="J319" i="2"/>
  <c r="K319" i="2" s="1"/>
  <c r="L319" i="2" s="1"/>
  <c r="U319" i="2" s="1"/>
  <c r="J320" i="2"/>
  <c r="K320" i="2" s="1"/>
  <c r="L320" i="2" s="1"/>
  <c r="U320" i="2" s="1"/>
  <c r="J321" i="2"/>
  <c r="K321" i="2" s="1"/>
  <c r="L321" i="2" s="1"/>
  <c r="U321" i="2" s="1"/>
  <c r="J322" i="2"/>
  <c r="K322" i="2" s="1"/>
  <c r="L322" i="2" s="1"/>
  <c r="U322" i="2" s="1"/>
  <c r="J323" i="2"/>
  <c r="K323" i="2" s="1"/>
  <c r="L323" i="2" s="1"/>
  <c r="U323" i="2" s="1"/>
  <c r="J324" i="2"/>
  <c r="K324" i="2" s="1"/>
  <c r="L324" i="2" s="1"/>
  <c r="U324" i="2" s="1"/>
  <c r="J325" i="2"/>
  <c r="K325" i="2" s="1"/>
  <c r="L325" i="2" s="1"/>
  <c r="U325" i="2" s="1"/>
  <c r="J326" i="2"/>
  <c r="K326" i="2" s="1"/>
  <c r="L326" i="2" s="1"/>
  <c r="U326" i="2" s="1"/>
  <c r="J327" i="2"/>
  <c r="K327" i="2" s="1"/>
  <c r="L327" i="2" s="1"/>
  <c r="U327" i="2" s="1"/>
  <c r="J328" i="2"/>
  <c r="K328" i="2" s="1"/>
  <c r="L328" i="2" s="1"/>
  <c r="U328" i="2" s="1"/>
  <c r="J329" i="2"/>
  <c r="K329" i="2" s="1"/>
  <c r="L329" i="2" s="1"/>
  <c r="U329" i="2" s="1"/>
  <c r="J330" i="2"/>
  <c r="K330" i="2" s="1"/>
  <c r="L330" i="2" s="1"/>
  <c r="U330" i="2" s="1"/>
  <c r="J331" i="2"/>
  <c r="K331" i="2" s="1"/>
  <c r="L331" i="2" s="1"/>
  <c r="U331" i="2" s="1"/>
  <c r="J332" i="2"/>
  <c r="K332" i="2" s="1"/>
  <c r="L332" i="2" s="1"/>
  <c r="U332" i="2" s="1"/>
  <c r="J333" i="2"/>
  <c r="K333" i="2" s="1"/>
  <c r="L333" i="2" s="1"/>
  <c r="U333" i="2" s="1"/>
  <c r="J334" i="2"/>
  <c r="K334" i="2" s="1"/>
  <c r="L334" i="2" s="1"/>
  <c r="U334" i="2" s="1"/>
  <c r="J335" i="2"/>
  <c r="K335" i="2" s="1"/>
  <c r="L335" i="2" s="1"/>
  <c r="U335" i="2" s="1"/>
  <c r="J336" i="2"/>
  <c r="K336" i="2" s="1"/>
  <c r="L336" i="2" s="1"/>
  <c r="U336" i="2" s="1"/>
  <c r="J337" i="2"/>
  <c r="K337" i="2" s="1"/>
  <c r="L337" i="2" s="1"/>
  <c r="U337" i="2" s="1"/>
  <c r="J338" i="2"/>
  <c r="K338" i="2" s="1"/>
  <c r="L338" i="2" s="1"/>
  <c r="U338" i="2" s="1"/>
  <c r="J339" i="2"/>
  <c r="K339" i="2" s="1"/>
  <c r="L339" i="2" s="1"/>
  <c r="U339" i="2" s="1"/>
  <c r="J340" i="2"/>
  <c r="K340" i="2" s="1"/>
  <c r="L340" i="2" s="1"/>
  <c r="U340" i="2" s="1"/>
  <c r="J341" i="2"/>
  <c r="K341" i="2" s="1"/>
  <c r="L341" i="2" s="1"/>
  <c r="U341" i="2" s="1"/>
  <c r="J342" i="2"/>
  <c r="K342" i="2" s="1"/>
  <c r="L342" i="2" s="1"/>
  <c r="U342" i="2" s="1"/>
  <c r="J343" i="2"/>
  <c r="K343" i="2" s="1"/>
  <c r="L343" i="2" s="1"/>
  <c r="U343" i="2" s="1"/>
  <c r="J344" i="2"/>
  <c r="K344" i="2" s="1"/>
  <c r="L344" i="2" s="1"/>
  <c r="U344" i="2" s="1"/>
  <c r="J345" i="2"/>
  <c r="K345" i="2" s="1"/>
  <c r="L345" i="2" s="1"/>
  <c r="U345" i="2" s="1"/>
  <c r="J346" i="2"/>
  <c r="K346" i="2" s="1"/>
  <c r="L346" i="2" s="1"/>
  <c r="U346" i="2" s="1"/>
  <c r="J347" i="2"/>
  <c r="K347" i="2" s="1"/>
  <c r="L347" i="2" s="1"/>
  <c r="U347" i="2" s="1"/>
  <c r="J348" i="2"/>
  <c r="K348" i="2" s="1"/>
  <c r="L348" i="2" s="1"/>
  <c r="U348" i="2" s="1"/>
  <c r="J349" i="2"/>
  <c r="K349" i="2" s="1"/>
  <c r="L349" i="2" s="1"/>
  <c r="U349" i="2" s="1"/>
  <c r="J350" i="2"/>
  <c r="K350" i="2" s="1"/>
  <c r="L350" i="2" s="1"/>
  <c r="U350" i="2" s="1"/>
  <c r="J351" i="2"/>
  <c r="K351" i="2" s="1"/>
  <c r="L351" i="2" s="1"/>
  <c r="U351" i="2" s="1"/>
  <c r="J352" i="2"/>
  <c r="K352" i="2" s="1"/>
  <c r="L352" i="2" s="1"/>
  <c r="U352" i="2" s="1"/>
  <c r="J353" i="2"/>
  <c r="K353" i="2" s="1"/>
  <c r="L353" i="2" s="1"/>
  <c r="U353" i="2" s="1"/>
  <c r="J354" i="2"/>
  <c r="K354" i="2" s="1"/>
  <c r="L354" i="2" s="1"/>
  <c r="U354" i="2" s="1"/>
  <c r="J355" i="2"/>
  <c r="K355" i="2" s="1"/>
  <c r="L355" i="2" s="1"/>
  <c r="U355" i="2" s="1"/>
  <c r="J356" i="2"/>
  <c r="K356" i="2" s="1"/>
  <c r="L356" i="2" s="1"/>
  <c r="U356" i="2" s="1"/>
  <c r="J357" i="2"/>
  <c r="K357" i="2" s="1"/>
  <c r="L357" i="2" s="1"/>
  <c r="U357" i="2" s="1"/>
  <c r="J358" i="2"/>
  <c r="K358" i="2" s="1"/>
  <c r="L358" i="2" s="1"/>
  <c r="U358" i="2" s="1"/>
  <c r="J359" i="2"/>
  <c r="K359" i="2" s="1"/>
  <c r="L359" i="2" s="1"/>
  <c r="U359" i="2" s="1"/>
  <c r="J360" i="2"/>
  <c r="K360" i="2" s="1"/>
  <c r="L360" i="2" s="1"/>
  <c r="U360" i="2" s="1"/>
  <c r="J361" i="2"/>
  <c r="K361" i="2" s="1"/>
  <c r="L361" i="2" s="1"/>
  <c r="U361" i="2" s="1"/>
  <c r="J362" i="2"/>
  <c r="K362" i="2" s="1"/>
  <c r="L362" i="2" s="1"/>
  <c r="U362" i="2" s="1"/>
  <c r="J363" i="2"/>
  <c r="K363" i="2" s="1"/>
  <c r="L363" i="2" s="1"/>
  <c r="U363" i="2" s="1"/>
  <c r="J364" i="2"/>
  <c r="K364" i="2" s="1"/>
  <c r="L364" i="2" s="1"/>
  <c r="U364" i="2" s="1"/>
  <c r="J365" i="2"/>
  <c r="K365" i="2" s="1"/>
  <c r="L365" i="2" s="1"/>
  <c r="U365" i="2" s="1"/>
  <c r="J366" i="2"/>
  <c r="K366" i="2" s="1"/>
  <c r="L366" i="2" s="1"/>
  <c r="U366" i="2" s="1"/>
  <c r="J367" i="2"/>
  <c r="K367" i="2" s="1"/>
  <c r="L367" i="2" s="1"/>
  <c r="U367" i="2" s="1"/>
  <c r="J368" i="2"/>
  <c r="K368" i="2" s="1"/>
  <c r="L368" i="2" s="1"/>
  <c r="U368" i="2" s="1"/>
  <c r="J369" i="2"/>
  <c r="K369" i="2" s="1"/>
  <c r="L369" i="2" s="1"/>
  <c r="U369" i="2" s="1"/>
  <c r="J370" i="2"/>
  <c r="K370" i="2" s="1"/>
  <c r="L370" i="2" s="1"/>
  <c r="U370" i="2" s="1"/>
  <c r="J371" i="2"/>
  <c r="K371" i="2" s="1"/>
  <c r="L371" i="2" s="1"/>
  <c r="U371" i="2" s="1"/>
  <c r="J372" i="2"/>
  <c r="K372" i="2" s="1"/>
  <c r="L372" i="2" s="1"/>
  <c r="U372" i="2" s="1"/>
  <c r="J373" i="2"/>
  <c r="K373" i="2" s="1"/>
  <c r="L373" i="2" s="1"/>
  <c r="U373" i="2" s="1"/>
  <c r="J374" i="2"/>
  <c r="K374" i="2" s="1"/>
  <c r="L374" i="2" s="1"/>
  <c r="U374" i="2" s="1"/>
  <c r="J375" i="2"/>
  <c r="K375" i="2" s="1"/>
  <c r="L375" i="2" s="1"/>
  <c r="U375" i="2" s="1"/>
  <c r="J376" i="2"/>
  <c r="K376" i="2" s="1"/>
  <c r="L376" i="2" s="1"/>
  <c r="U376" i="2" s="1"/>
  <c r="J377" i="2"/>
  <c r="K377" i="2" s="1"/>
  <c r="L377" i="2" s="1"/>
  <c r="U377" i="2" s="1"/>
  <c r="J378" i="2"/>
  <c r="K378" i="2" s="1"/>
  <c r="L378" i="2" s="1"/>
  <c r="U378" i="2" s="1"/>
  <c r="J379" i="2"/>
  <c r="K379" i="2" s="1"/>
  <c r="L379" i="2" s="1"/>
  <c r="U379" i="2" s="1"/>
  <c r="J380" i="2"/>
  <c r="K380" i="2" s="1"/>
  <c r="L380" i="2" s="1"/>
  <c r="U380" i="2" s="1"/>
  <c r="J381" i="2"/>
  <c r="K381" i="2" s="1"/>
  <c r="L381" i="2" s="1"/>
  <c r="U381" i="2" s="1"/>
  <c r="J382" i="2"/>
  <c r="K382" i="2" s="1"/>
  <c r="L382" i="2" s="1"/>
  <c r="U382" i="2" s="1"/>
  <c r="J383" i="2"/>
  <c r="K383" i="2" s="1"/>
  <c r="L383" i="2" s="1"/>
  <c r="U383" i="2" s="1"/>
  <c r="J384" i="2"/>
  <c r="K384" i="2" s="1"/>
  <c r="L384" i="2" s="1"/>
  <c r="U384" i="2" s="1"/>
  <c r="J385" i="2"/>
  <c r="K385" i="2" s="1"/>
  <c r="L385" i="2" s="1"/>
  <c r="U385" i="2" s="1"/>
  <c r="J386" i="2"/>
  <c r="K386" i="2" s="1"/>
  <c r="L386" i="2" s="1"/>
  <c r="U386" i="2" s="1"/>
  <c r="J387" i="2"/>
  <c r="K387" i="2" s="1"/>
  <c r="L387" i="2" s="1"/>
  <c r="U387" i="2" s="1"/>
  <c r="J388" i="2"/>
  <c r="K388" i="2" s="1"/>
  <c r="L388" i="2" s="1"/>
  <c r="U388" i="2" s="1"/>
  <c r="J389" i="2"/>
  <c r="K389" i="2" s="1"/>
  <c r="L389" i="2" s="1"/>
  <c r="U389" i="2" s="1"/>
  <c r="J390" i="2"/>
  <c r="K390" i="2" s="1"/>
  <c r="L390" i="2" s="1"/>
  <c r="U390" i="2" s="1"/>
  <c r="J391" i="2"/>
  <c r="K391" i="2" s="1"/>
  <c r="L391" i="2" s="1"/>
  <c r="U391" i="2" s="1"/>
  <c r="J392" i="2"/>
  <c r="K392" i="2" s="1"/>
  <c r="L392" i="2" s="1"/>
  <c r="U392" i="2" s="1"/>
  <c r="J393" i="2"/>
  <c r="K393" i="2" s="1"/>
  <c r="L393" i="2" s="1"/>
  <c r="U393" i="2" s="1"/>
  <c r="J394" i="2"/>
  <c r="K394" i="2" s="1"/>
  <c r="L394" i="2" s="1"/>
  <c r="U394" i="2" s="1"/>
  <c r="J395" i="2"/>
  <c r="K395" i="2" s="1"/>
  <c r="L395" i="2" s="1"/>
  <c r="U395" i="2" s="1"/>
  <c r="J396" i="2"/>
  <c r="K396" i="2" s="1"/>
  <c r="L396" i="2" s="1"/>
  <c r="U396" i="2" s="1"/>
  <c r="J397" i="2"/>
  <c r="K397" i="2" s="1"/>
  <c r="L397" i="2" s="1"/>
  <c r="U397" i="2" s="1"/>
  <c r="J398" i="2"/>
  <c r="K398" i="2" s="1"/>
  <c r="L398" i="2" s="1"/>
  <c r="U398" i="2" s="1"/>
  <c r="J399" i="2"/>
  <c r="K399" i="2" s="1"/>
  <c r="L399" i="2" s="1"/>
  <c r="U399" i="2" s="1"/>
  <c r="J400" i="2"/>
  <c r="K400" i="2" s="1"/>
  <c r="L400" i="2" s="1"/>
  <c r="U400" i="2" s="1"/>
  <c r="J401" i="2"/>
  <c r="K401" i="2" s="1"/>
  <c r="L401" i="2" s="1"/>
  <c r="U401" i="2" s="1"/>
  <c r="J402" i="2"/>
  <c r="K402" i="2" s="1"/>
  <c r="L402" i="2" s="1"/>
  <c r="U402" i="2" s="1"/>
  <c r="J403" i="2"/>
  <c r="K403" i="2" s="1"/>
  <c r="L403" i="2" s="1"/>
  <c r="U403" i="2" s="1"/>
  <c r="J404" i="2"/>
  <c r="K404" i="2" s="1"/>
  <c r="L404" i="2" s="1"/>
  <c r="U404" i="2" s="1"/>
  <c r="J405" i="2"/>
  <c r="K405" i="2" s="1"/>
  <c r="L405" i="2" s="1"/>
  <c r="U405" i="2" s="1"/>
  <c r="J406" i="2"/>
  <c r="K406" i="2" s="1"/>
  <c r="L406" i="2" s="1"/>
  <c r="U406" i="2" s="1"/>
  <c r="J407" i="2"/>
  <c r="K407" i="2" s="1"/>
  <c r="L407" i="2" s="1"/>
  <c r="U407" i="2" s="1"/>
  <c r="J408" i="2"/>
  <c r="K408" i="2" s="1"/>
  <c r="L408" i="2" s="1"/>
  <c r="U408" i="2" s="1"/>
  <c r="J409" i="2"/>
  <c r="K409" i="2" s="1"/>
  <c r="L409" i="2" s="1"/>
  <c r="U409" i="2" s="1"/>
  <c r="J410" i="2"/>
  <c r="K410" i="2" s="1"/>
  <c r="L410" i="2" s="1"/>
  <c r="U410" i="2" s="1"/>
  <c r="J411" i="2"/>
  <c r="K411" i="2" s="1"/>
  <c r="L411" i="2" s="1"/>
  <c r="U411" i="2" s="1"/>
  <c r="J412" i="2"/>
  <c r="K412" i="2" s="1"/>
  <c r="L412" i="2" s="1"/>
  <c r="U412" i="2" s="1"/>
  <c r="J413" i="2"/>
  <c r="K413" i="2" s="1"/>
  <c r="L413" i="2" s="1"/>
  <c r="U413" i="2" s="1"/>
  <c r="J414" i="2"/>
  <c r="K414" i="2" s="1"/>
  <c r="L414" i="2" s="1"/>
  <c r="U414" i="2" s="1"/>
  <c r="J415" i="2"/>
  <c r="K415" i="2" s="1"/>
  <c r="L415" i="2" s="1"/>
  <c r="U415" i="2" s="1"/>
  <c r="J416" i="2"/>
  <c r="K416" i="2" s="1"/>
  <c r="L416" i="2" s="1"/>
  <c r="U416" i="2" s="1"/>
  <c r="J417" i="2"/>
  <c r="K417" i="2" s="1"/>
  <c r="L417" i="2" s="1"/>
  <c r="U417" i="2" s="1"/>
  <c r="J418" i="2"/>
  <c r="K418" i="2" s="1"/>
  <c r="L418" i="2" s="1"/>
  <c r="U418" i="2" s="1"/>
  <c r="J419" i="2"/>
  <c r="K419" i="2" s="1"/>
  <c r="L419" i="2" s="1"/>
  <c r="U419" i="2" s="1"/>
  <c r="J420" i="2"/>
  <c r="K420" i="2" s="1"/>
  <c r="L420" i="2" s="1"/>
  <c r="U420" i="2" s="1"/>
  <c r="J421" i="2"/>
  <c r="K421" i="2" s="1"/>
  <c r="L421" i="2" s="1"/>
  <c r="U421" i="2" s="1"/>
  <c r="J422" i="2"/>
  <c r="K422" i="2" s="1"/>
  <c r="L422" i="2" s="1"/>
  <c r="U422" i="2" s="1"/>
  <c r="J423" i="2"/>
  <c r="K423" i="2" s="1"/>
  <c r="L423" i="2" s="1"/>
  <c r="U423" i="2" s="1"/>
  <c r="J424" i="2"/>
  <c r="K424" i="2" s="1"/>
  <c r="L424" i="2" s="1"/>
  <c r="U424" i="2" s="1"/>
  <c r="J425" i="2"/>
  <c r="K425" i="2" s="1"/>
  <c r="L425" i="2" s="1"/>
  <c r="U425" i="2" s="1"/>
  <c r="J426" i="2"/>
  <c r="K426" i="2" s="1"/>
  <c r="L426" i="2" s="1"/>
  <c r="U426" i="2" s="1"/>
  <c r="J427" i="2"/>
  <c r="K427" i="2" s="1"/>
  <c r="L427" i="2" s="1"/>
  <c r="U427" i="2" s="1"/>
  <c r="J428" i="2"/>
  <c r="K428" i="2" s="1"/>
  <c r="L428" i="2" s="1"/>
  <c r="U428" i="2" s="1"/>
  <c r="J429" i="2"/>
  <c r="K429" i="2" s="1"/>
  <c r="L429" i="2" s="1"/>
  <c r="U429" i="2" s="1"/>
  <c r="J430" i="2"/>
  <c r="K430" i="2" s="1"/>
  <c r="L430" i="2" s="1"/>
  <c r="U430" i="2" s="1"/>
  <c r="J431" i="2"/>
  <c r="K431" i="2" s="1"/>
  <c r="L431" i="2" s="1"/>
  <c r="U431" i="2" s="1"/>
  <c r="J432" i="2"/>
  <c r="K432" i="2" s="1"/>
  <c r="L432" i="2" s="1"/>
  <c r="U432" i="2" s="1"/>
  <c r="J433" i="2"/>
  <c r="K433" i="2" s="1"/>
  <c r="L433" i="2" s="1"/>
  <c r="U433" i="2" s="1"/>
  <c r="J434" i="2"/>
  <c r="K434" i="2" s="1"/>
  <c r="L434" i="2" s="1"/>
  <c r="U434" i="2" s="1"/>
  <c r="J435" i="2"/>
  <c r="K435" i="2" s="1"/>
  <c r="L435" i="2" s="1"/>
  <c r="U435" i="2" s="1"/>
  <c r="J436" i="2"/>
  <c r="K436" i="2" s="1"/>
  <c r="L436" i="2" s="1"/>
  <c r="U436" i="2" s="1"/>
  <c r="J437" i="2"/>
  <c r="K437" i="2" s="1"/>
  <c r="L437" i="2" s="1"/>
  <c r="U437" i="2" s="1"/>
  <c r="J438" i="2"/>
  <c r="K438" i="2" s="1"/>
  <c r="L438" i="2" s="1"/>
  <c r="U438" i="2" s="1"/>
  <c r="J439" i="2"/>
  <c r="K439" i="2" s="1"/>
  <c r="L439" i="2" s="1"/>
  <c r="U439" i="2" s="1"/>
  <c r="J440" i="2"/>
  <c r="K440" i="2" s="1"/>
  <c r="L440" i="2" s="1"/>
  <c r="U440" i="2" s="1"/>
  <c r="J441" i="2"/>
  <c r="K441" i="2" s="1"/>
  <c r="L441" i="2" s="1"/>
  <c r="U441" i="2" s="1"/>
  <c r="J442" i="2"/>
  <c r="K442" i="2" s="1"/>
  <c r="L442" i="2" s="1"/>
  <c r="U442" i="2" s="1"/>
  <c r="J443" i="2"/>
  <c r="K443" i="2" s="1"/>
  <c r="L443" i="2" s="1"/>
  <c r="U443" i="2" s="1"/>
  <c r="J444" i="2"/>
  <c r="K444" i="2" s="1"/>
  <c r="L444" i="2" s="1"/>
  <c r="U444" i="2" s="1"/>
  <c r="J445" i="2"/>
  <c r="K445" i="2" s="1"/>
  <c r="L445" i="2" s="1"/>
  <c r="U445" i="2" s="1"/>
  <c r="J446" i="2"/>
  <c r="K446" i="2" s="1"/>
  <c r="L446" i="2" s="1"/>
  <c r="U446" i="2" s="1"/>
  <c r="J447" i="2"/>
  <c r="K447" i="2" s="1"/>
  <c r="L447" i="2" s="1"/>
  <c r="U447" i="2" s="1"/>
  <c r="J448" i="2"/>
  <c r="K448" i="2" s="1"/>
  <c r="L448" i="2" s="1"/>
  <c r="U448" i="2" s="1"/>
  <c r="J449" i="2"/>
  <c r="K449" i="2" s="1"/>
  <c r="L449" i="2" s="1"/>
  <c r="U449" i="2" s="1"/>
  <c r="J450" i="2"/>
  <c r="K450" i="2" s="1"/>
  <c r="L450" i="2" s="1"/>
  <c r="U450" i="2" s="1"/>
  <c r="J451" i="2"/>
  <c r="K451" i="2" s="1"/>
  <c r="L451" i="2" s="1"/>
  <c r="U451" i="2" s="1"/>
  <c r="J452" i="2"/>
  <c r="K452" i="2" s="1"/>
  <c r="L452" i="2" s="1"/>
  <c r="U452" i="2" s="1"/>
  <c r="J453" i="2"/>
  <c r="K453" i="2" s="1"/>
  <c r="L453" i="2" s="1"/>
  <c r="U453" i="2" s="1"/>
  <c r="J454" i="2"/>
  <c r="K454" i="2" s="1"/>
  <c r="L454" i="2" s="1"/>
  <c r="U454" i="2" s="1"/>
  <c r="J455" i="2"/>
  <c r="K455" i="2" s="1"/>
  <c r="L455" i="2" s="1"/>
  <c r="U455" i="2" s="1"/>
  <c r="J456" i="2"/>
  <c r="K456" i="2" s="1"/>
  <c r="L456" i="2" s="1"/>
  <c r="U456" i="2" s="1"/>
  <c r="J457" i="2"/>
  <c r="K457" i="2" s="1"/>
  <c r="L457" i="2" s="1"/>
  <c r="U457" i="2" s="1"/>
  <c r="J458" i="2"/>
  <c r="K458" i="2" s="1"/>
  <c r="L458" i="2" s="1"/>
  <c r="U458" i="2" s="1"/>
  <c r="J459" i="2"/>
  <c r="K459" i="2" s="1"/>
  <c r="L459" i="2" s="1"/>
  <c r="U459" i="2" s="1"/>
  <c r="J460" i="2"/>
  <c r="K460" i="2" s="1"/>
  <c r="L460" i="2" s="1"/>
  <c r="U460" i="2" s="1"/>
  <c r="J461" i="2"/>
  <c r="K461" i="2" s="1"/>
  <c r="L461" i="2" s="1"/>
  <c r="U461" i="2" s="1"/>
  <c r="J462" i="2"/>
  <c r="K462" i="2" s="1"/>
  <c r="L462" i="2" s="1"/>
  <c r="U462" i="2" s="1"/>
  <c r="J463" i="2"/>
  <c r="K463" i="2" s="1"/>
  <c r="L463" i="2" s="1"/>
  <c r="U463" i="2" s="1"/>
  <c r="J464" i="2"/>
  <c r="K464" i="2" s="1"/>
  <c r="L464" i="2" s="1"/>
  <c r="U464" i="2" s="1"/>
  <c r="J465" i="2"/>
  <c r="K465" i="2" s="1"/>
  <c r="L465" i="2" s="1"/>
  <c r="U465" i="2" s="1"/>
  <c r="J466" i="2"/>
  <c r="K466" i="2" s="1"/>
  <c r="L466" i="2" s="1"/>
  <c r="U466" i="2" s="1"/>
  <c r="J467" i="2"/>
  <c r="K467" i="2" s="1"/>
  <c r="L467" i="2" s="1"/>
  <c r="U467" i="2" s="1"/>
  <c r="J468" i="2"/>
  <c r="K468" i="2" s="1"/>
  <c r="L468" i="2" s="1"/>
  <c r="U468" i="2" s="1"/>
  <c r="J469" i="2"/>
  <c r="K469" i="2" s="1"/>
  <c r="L469" i="2" s="1"/>
  <c r="U469" i="2" s="1"/>
  <c r="J470" i="2"/>
  <c r="K470" i="2" s="1"/>
  <c r="L470" i="2" s="1"/>
  <c r="U470" i="2" s="1"/>
  <c r="J471" i="2"/>
  <c r="K471" i="2" s="1"/>
  <c r="L471" i="2" s="1"/>
  <c r="U471" i="2" s="1"/>
  <c r="J472" i="2"/>
  <c r="K472" i="2" s="1"/>
  <c r="L472" i="2" s="1"/>
  <c r="U472" i="2" s="1"/>
  <c r="J473" i="2"/>
  <c r="K473" i="2" s="1"/>
  <c r="L473" i="2" s="1"/>
  <c r="U473" i="2" s="1"/>
  <c r="J474" i="2"/>
  <c r="K474" i="2" s="1"/>
  <c r="L474" i="2" s="1"/>
  <c r="U474" i="2" s="1"/>
  <c r="J475" i="2"/>
  <c r="K475" i="2" s="1"/>
  <c r="L475" i="2" s="1"/>
  <c r="U475" i="2" s="1"/>
  <c r="J476" i="2"/>
  <c r="K476" i="2" s="1"/>
  <c r="L476" i="2" s="1"/>
  <c r="U476" i="2" s="1"/>
  <c r="J477" i="2"/>
  <c r="K477" i="2" s="1"/>
  <c r="L477" i="2" s="1"/>
  <c r="U477" i="2" s="1"/>
  <c r="J478" i="2"/>
  <c r="K478" i="2" s="1"/>
  <c r="L478" i="2" s="1"/>
  <c r="U478" i="2" s="1"/>
  <c r="J479" i="2"/>
  <c r="K479" i="2" s="1"/>
  <c r="L479" i="2" s="1"/>
  <c r="U479" i="2" s="1"/>
  <c r="J480" i="2"/>
  <c r="K480" i="2" s="1"/>
  <c r="L480" i="2" s="1"/>
  <c r="U480" i="2" s="1"/>
  <c r="J481" i="2"/>
  <c r="K481" i="2" s="1"/>
  <c r="L481" i="2" s="1"/>
  <c r="U481" i="2" s="1"/>
  <c r="J482" i="2"/>
  <c r="K482" i="2" s="1"/>
  <c r="L482" i="2" s="1"/>
  <c r="U482" i="2" s="1"/>
  <c r="J483" i="2"/>
  <c r="K483" i="2" s="1"/>
  <c r="L483" i="2" s="1"/>
  <c r="U483" i="2" s="1"/>
  <c r="J484" i="2"/>
  <c r="K484" i="2" s="1"/>
  <c r="L484" i="2" s="1"/>
  <c r="U484" i="2" s="1"/>
  <c r="J485" i="2"/>
  <c r="K485" i="2" s="1"/>
  <c r="L485" i="2" s="1"/>
  <c r="U485" i="2" s="1"/>
  <c r="J486" i="2"/>
  <c r="K486" i="2" s="1"/>
  <c r="L486" i="2" s="1"/>
  <c r="U486" i="2" s="1"/>
  <c r="J487" i="2"/>
  <c r="K487" i="2" s="1"/>
  <c r="L487" i="2" s="1"/>
  <c r="U487" i="2" s="1"/>
  <c r="J488" i="2"/>
  <c r="K488" i="2" s="1"/>
  <c r="L488" i="2" s="1"/>
  <c r="U488" i="2" s="1"/>
  <c r="J489" i="2"/>
  <c r="K489" i="2" s="1"/>
  <c r="L489" i="2" s="1"/>
  <c r="U489" i="2" s="1"/>
  <c r="J490" i="2"/>
  <c r="K490" i="2" s="1"/>
  <c r="L490" i="2" s="1"/>
  <c r="U490" i="2" s="1"/>
  <c r="J491" i="2"/>
  <c r="K491" i="2" s="1"/>
  <c r="L491" i="2" s="1"/>
  <c r="U491" i="2" s="1"/>
  <c r="J492" i="2"/>
  <c r="K492" i="2" s="1"/>
  <c r="L492" i="2" s="1"/>
  <c r="U492" i="2" s="1"/>
  <c r="J493" i="2"/>
  <c r="K493" i="2" s="1"/>
  <c r="L493" i="2" s="1"/>
  <c r="U493" i="2" s="1"/>
  <c r="J494" i="2"/>
  <c r="K494" i="2" s="1"/>
  <c r="L494" i="2" s="1"/>
  <c r="U494" i="2" s="1"/>
  <c r="J495" i="2"/>
  <c r="K495" i="2" s="1"/>
  <c r="L495" i="2" s="1"/>
  <c r="U495" i="2" s="1"/>
  <c r="J496" i="2"/>
  <c r="K496" i="2" s="1"/>
  <c r="L496" i="2" s="1"/>
  <c r="U496" i="2" s="1"/>
  <c r="J497" i="2"/>
  <c r="K497" i="2" s="1"/>
  <c r="L497" i="2" s="1"/>
  <c r="U497" i="2" s="1"/>
  <c r="J498" i="2"/>
  <c r="K498" i="2" s="1"/>
  <c r="L498" i="2" s="1"/>
  <c r="U498" i="2" s="1"/>
  <c r="J499" i="2"/>
  <c r="K499" i="2" s="1"/>
  <c r="L499" i="2" s="1"/>
  <c r="U499" i="2" s="1"/>
  <c r="J500" i="2"/>
  <c r="K500" i="2" s="1"/>
  <c r="L500" i="2" s="1"/>
  <c r="U500" i="2" s="1"/>
  <c r="J501" i="2"/>
  <c r="K501" i="2" s="1"/>
  <c r="L501" i="2" s="1"/>
  <c r="U501" i="2" s="1"/>
  <c r="J502" i="2"/>
  <c r="K502" i="2" s="1"/>
  <c r="L502" i="2" s="1"/>
  <c r="U502" i="2" s="1"/>
  <c r="J503" i="2"/>
  <c r="K503" i="2" s="1"/>
  <c r="L503" i="2" s="1"/>
  <c r="U503" i="2" s="1"/>
  <c r="J504" i="2"/>
  <c r="K504" i="2" s="1"/>
  <c r="L504" i="2" s="1"/>
  <c r="U504" i="2" s="1"/>
  <c r="J505" i="2"/>
  <c r="K505" i="2" s="1"/>
  <c r="L505" i="2" s="1"/>
  <c r="U505" i="2" s="1"/>
  <c r="J506" i="2"/>
  <c r="K506" i="2" s="1"/>
  <c r="L506" i="2" s="1"/>
  <c r="U506" i="2" s="1"/>
  <c r="J507" i="2"/>
  <c r="K507" i="2" s="1"/>
  <c r="L507" i="2" s="1"/>
  <c r="U507" i="2" s="1"/>
  <c r="J508" i="2"/>
  <c r="K508" i="2" s="1"/>
  <c r="L508" i="2" s="1"/>
  <c r="U508" i="2" s="1"/>
  <c r="J509" i="2"/>
  <c r="K509" i="2" s="1"/>
  <c r="L509" i="2" s="1"/>
  <c r="U509" i="2" s="1"/>
  <c r="J510" i="2"/>
  <c r="K510" i="2" s="1"/>
  <c r="L510" i="2" s="1"/>
  <c r="U510" i="2" s="1"/>
  <c r="J511" i="2"/>
  <c r="K511" i="2" s="1"/>
  <c r="L511" i="2" s="1"/>
  <c r="U511" i="2" s="1"/>
  <c r="J512" i="2"/>
  <c r="K512" i="2" s="1"/>
  <c r="L512" i="2" s="1"/>
  <c r="U512" i="2" s="1"/>
  <c r="J513" i="2"/>
  <c r="K513" i="2" s="1"/>
  <c r="L513" i="2" s="1"/>
  <c r="U513" i="2" s="1"/>
  <c r="J514" i="2"/>
  <c r="K514" i="2" s="1"/>
  <c r="L514" i="2" s="1"/>
  <c r="U514" i="2" s="1"/>
  <c r="J515" i="2"/>
  <c r="K515" i="2" s="1"/>
  <c r="L515" i="2" s="1"/>
  <c r="U515" i="2" s="1"/>
  <c r="J516" i="2"/>
  <c r="K516" i="2" s="1"/>
  <c r="L516" i="2" s="1"/>
  <c r="U516" i="2" s="1"/>
  <c r="J517" i="2"/>
  <c r="K517" i="2" s="1"/>
  <c r="L517" i="2" s="1"/>
  <c r="U517" i="2" s="1"/>
  <c r="J518" i="2"/>
  <c r="K518" i="2" s="1"/>
  <c r="L518" i="2" s="1"/>
  <c r="U518" i="2" s="1"/>
  <c r="J519" i="2"/>
  <c r="K519" i="2" s="1"/>
  <c r="L519" i="2" s="1"/>
  <c r="U519" i="2" s="1"/>
  <c r="J520" i="2"/>
  <c r="K520" i="2" s="1"/>
  <c r="L520" i="2" s="1"/>
  <c r="U520" i="2" s="1"/>
  <c r="J521" i="2"/>
  <c r="K521" i="2" s="1"/>
  <c r="L521" i="2" s="1"/>
  <c r="U521" i="2" s="1"/>
  <c r="J522" i="2"/>
  <c r="K522" i="2" s="1"/>
  <c r="L522" i="2" s="1"/>
  <c r="U522" i="2" s="1"/>
  <c r="J523" i="2"/>
  <c r="K523" i="2" s="1"/>
  <c r="L523" i="2" s="1"/>
  <c r="U523" i="2" s="1"/>
  <c r="J524" i="2"/>
  <c r="K524" i="2" s="1"/>
  <c r="L524" i="2" s="1"/>
  <c r="U524" i="2" s="1"/>
  <c r="J525" i="2"/>
  <c r="K525" i="2" s="1"/>
  <c r="L525" i="2" s="1"/>
  <c r="U525" i="2" s="1"/>
  <c r="J526" i="2"/>
  <c r="K526" i="2" s="1"/>
  <c r="L526" i="2" s="1"/>
  <c r="U526" i="2" s="1"/>
  <c r="J527" i="2"/>
  <c r="K527" i="2" s="1"/>
  <c r="L527" i="2" s="1"/>
  <c r="U527" i="2" s="1"/>
  <c r="J528" i="2"/>
  <c r="K528" i="2" s="1"/>
  <c r="L528" i="2" s="1"/>
  <c r="U528" i="2" s="1"/>
  <c r="J529" i="2"/>
  <c r="K529" i="2" s="1"/>
  <c r="L529" i="2" s="1"/>
  <c r="U529" i="2" s="1"/>
  <c r="J530" i="2"/>
  <c r="K530" i="2" s="1"/>
  <c r="L530" i="2" s="1"/>
  <c r="U530" i="2" s="1"/>
  <c r="J531" i="2"/>
  <c r="K531" i="2" s="1"/>
  <c r="L531" i="2" s="1"/>
  <c r="U531" i="2" s="1"/>
  <c r="J532" i="2"/>
  <c r="K532" i="2" s="1"/>
  <c r="L532" i="2" s="1"/>
  <c r="U532" i="2" s="1"/>
  <c r="J533" i="2"/>
  <c r="K533" i="2" s="1"/>
  <c r="L533" i="2" s="1"/>
  <c r="U533" i="2" s="1"/>
  <c r="J534" i="2"/>
  <c r="K534" i="2" s="1"/>
  <c r="L534" i="2" s="1"/>
  <c r="U534" i="2" s="1"/>
  <c r="J535" i="2"/>
  <c r="K535" i="2" s="1"/>
  <c r="L535" i="2" s="1"/>
  <c r="U535" i="2" s="1"/>
  <c r="J536" i="2"/>
  <c r="K536" i="2" s="1"/>
  <c r="L536" i="2" s="1"/>
  <c r="U536" i="2" s="1"/>
  <c r="J537" i="2"/>
  <c r="K537" i="2" s="1"/>
  <c r="L537" i="2" s="1"/>
  <c r="U537" i="2" s="1"/>
  <c r="J538" i="2"/>
  <c r="K538" i="2" s="1"/>
  <c r="L538" i="2" s="1"/>
  <c r="U538" i="2" s="1"/>
  <c r="J539" i="2"/>
  <c r="K539" i="2" s="1"/>
  <c r="L539" i="2" s="1"/>
  <c r="U539" i="2" s="1"/>
  <c r="J540" i="2"/>
  <c r="K540" i="2" s="1"/>
  <c r="L540" i="2" s="1"/>
  <c r="U540" i="2" s="1"/>
  <c r="J541" i="2"/>
  <c r="K541" i="2" s="1"/>
  <c r="L541" i="2" s="1"/>
  <c r="U541" i="2" s="1"/>
  <c r="J542" i="2"/>
  <c r="K542" i="2" s="1"/>
  <c r="L542" i="2" s="1"/>
  <c r="U542" i="2" s="1"/>
  <c r="J543" i="2"/>
  <c r="K543" i="2" s="1"/>
  <c r="L543" i="2" s="1"/>
  <c r="U543" i="2" s="1"/>
  <c r="J544" i="2"/>
  <c r="K544" i="2" s="1"/>
  <c r="L544" i="2" s="1"/>
  <c r="U544" i="2" s="1"/>
  <c r="J545" i="2"/>
  <c r="K545" i="2" s="1"/>
  <c r="L545" i="2" s="1"/>
  <c r="U545" i="2" s="1"/>
  <c r="J546" i="2"/>
  <c r="K546" i="2" s="1"/>
  <c r="L546" i="2" s="1"/>
  <c r="U546" i="2" s="1"/>
  <c r="J547" i="2"/>
  <c r="K547" i="2" s="1"/>
  <c r="L547" i="2" s="1"/>
  <c r="U547" i="2" s="1"/>
  <c r="J548" i="2"/>
  <c r="K548" i="2" s="1"/>
  <c r="L548" i="2" s="1"/>
  <c r="U548" i="2" s="1"/>
  <c r="J549" i="2"/>
  <c r="K549" i="2" s="1"/>
  <c r="L549" i="2" s="1"/>
  <c r="U549" i="2" s="1"/>
  <c r="J550" i="2"/>
  <c r="K550" i="2" s="1"/>
  <c r="L550" i="2" s="1"/>
  <c r="U550" i="2" s="1"/>
  <c r="J551" i="2"/>
  <c r="K551" i="2" s="1"/>
  <c r="L551" i="2" s="1"/>
  <c r="U551" i="2" s="1"/>
  <c r="J552" i="2"/>
  <c r="K552" i="2" s="1"/>
  <c r="L552" i="2" s="1"/>
  <c r="U552" i="2" s="1"/>
  <c r="J553" i="2"/>
  <c r="K553" i="2" s="1"/>
  <c r="L553" i="2" s="1"/>
  <c r="U553" i="2" s="1"/>
  <c r="J554" i="2"/>
  <c r="K554" i="2" s="1"/>
  <c r="L554" i="2" s="1"/>
  <c r="U554" i="2" s="1"/>
  <c r="J555" i="2"/>
  <c r="K555" i="2" s="1"/>
  <c r="L555" i="2" s="1"/>
  <c r="U555" i="2" s="1"/>
  <c r="J556" i="2"/>
  <c r="K556" i="2" s="1"/>
  <c r="L556" i="2" s="1"/>
  <c r="U556" i="2" s="1"/>
  <c r="J557" i="2"/>
  <c r="K557" i="2" s="1"/>
  <c r="L557" i="2" s="1"/>
  <c r="U557" i="2" s="1"/>
  <c r="J558" i="2"/>
  <c r="K558" i="2" s="1"/>
  <c r="L558" i="2" s="1"/>
  <c r="U558" i="2" s="1"/>
  <c r="J559" i="2"/>
  <c r="K559" i="2" s="1"/>
  <c r="L559" i="2" s="1"/>
  <c r="U559" i="2" s="1"/>
  <c r="J560" i="2"/>
  <c r="K560" i="2" s="1"/>
  <c r="L560" i="2" s="1"/>
  <c r="U560" i="2" s="1"/>
  <c r="J561" i="2"/>
  <c r="K561" i="2" s="1"/>
  <c r="L561" i="2" s="1"/>
  <c r="U561" i="2" s="1"/>
  <c r="J562" i="2"/>
  <c r="K562" i="2" s="1"/>
  <c r="L562" i="2" s="1"/>
  <c r="U562" i="2" s="1"/>
  <c r="J563" i="2"/>
  <c r="K563" i="2" s="1"/>
  <c r="L563" i="2" s="1"/>
  <c r="U563" i="2" s="1"/>
  <c r="J564" i="2"/>
  <c r="K564" i="2" s="1"/>
  <c r="L564" i="2" s="1"/>
  <c r="U564" i="2" s="1"/>
  <c r="J565" i="2"/>
  <c r="K565" i="2" s="1"/>
  <c r="L565" i="2" s="1"/>
  <c r="U565" i="2" s="1"/>
  <c r="J566" i="2"/>
  <c r="K566" i="2" s="1"/>
  <c r="L566" i="2" s="1"/>
  <c r="U566" i="2" s="1"/>
  <c r="J567" i="2"/>
  <c r="K567" i="2" s="1"/>
  <c r="L567" i="2" s="1"/>
  <c r="U567" i="2" s="1"/>
  <c r="J568" i="2"/>
  <c r="K568" i="2" s="1"/>
  <c r="L568" i="2" s="1"/>
  <c r="U568" i="2" s="1"/>
  <c r="J569" i="2"/>
  <c r="K569" i="2" s="1"/>
  <c r="L569" i="2" s="1"/>
  <c r="U569" i="2" s="1"/>
  <c r="J570" i="2"/>
  <c r="K570" i="2" s="1"/>
  <c r="L570" i="2" s="1"/>
  <c r="U570" i="2" s="1"/>
  <c r="J571" i="2"/>
  <c r="K571" i="2" s="1"/>
  <c r="L571" i="2" s="1"/>
  <c r="U571" i="2" s="1"/>
  <c r="J572" i="2"/>
  <c r="K572" i="2" s="1"/>
  <c r="L572" i="2" s="1"/>
  <c r="U572" i="2" s="1"/>
  <c r="J573" i="2"/>
  <c r="K573" i="2" s="1"/>
  <c r="L573" i="2" s="1"/>
  <c r="U573" i="2" s="1"/>
  <c r="J574" i="2"/>
  <c r="K574" i="2" s="1"/>
  <c r="L574" i="2" s="1"/>
  <c r="U574" i="2" s="1"/>
  <c r="J575" i="2"/>
  <c r="K575" i="2" s="1"/>
  <c r="L575" i="2" s="1"/>
  <c r="U575" i="2" s="1"/>
  <c r="J576" i="2"/>
  <c r="K576" i="2" s="1"/>
  <c r="L576" i="2" s="1"/>
  <c r="U576" i="2" s="1"/>
  <c r="J577" i="2"/>
  <c r="K577" i="2" s="1"/>
  <c r="L577" i="2" s="1"/>
  <c r="U577" i="2" s="1"/>
  <c r="J578" i="2"/>
  <c r="K578" i="2" s="1"/>
  <c r="L578" i="2" s="1"/>
  <c r="U578" i="2" s="1"/>
  <c r="J579" i="2"/>
  <c r="K579" i="2" s="1"/>
  <c r="L579" i="2" s="1"/>
  <c r="U579" i="2" s="1"/>
  <c r="J580" i="2"/>
  <c r="K580" i="2" s="1"/>
  <c r="L580" i="2" s="1"/>
  <c r="U580" i="2" s="1"/>
  <c r="J581" i="2"/>
  <c r="K581" i="2" s="1"/>
  <c r="L581" i="2" s="1"/>
  <c r="U581" i="2" s="1"/>
  <c r="J582" i="2"/>
  <c r="K582" i="2" s="1"/>
  <c r="L582" i="2" s="1"/>
  <c r="U582" i="2" s="1"/>
  <c r="J583" i="2"/>
  <c r="K583" i="2" s="1"/>
  <c r="L583" i="2" s="1"/>
  <c r="U583" i="2" s="1"/>
  <c r="J584" i="2"/>
  <c r="K584" i="2" s="1"/>
  <c r="L584" i="2" s="1"/>
  <c r="U584" i="2" s="1"/>
  <c r="J585" i="2"/>
  <c r="K585" i="2" s="1"/>
  <c r="L585" i="2" s="1"/>
  <c r="U585" i="2" s="1"/>
  <c r="J586" i="2"/>
  <c r="K586" i="2" s="1"/>
  <c r="L586" i="2" s="1"/>
  <c r="U586" i="2" s="1"/>
  <c r="J587" i="2"/>
  <c r="K587" i="2" s="1"/>
  <c r="L587" i="2" s="1"/>
  <c r="U587" i="2" s="1"/>
  <c r="J588" i="2"/>
  <c r="K588" i="2" s="1"/>
  <c r="L588" i="2" s="1"/>
  <c r="U588" i="2" s="1"/>
  <c r="J589" i="2"/>
  <c r="K589" i="2" s="1"/>
  <c r="L589" i="2" s="1"/>
  <c r="U589" i="2" s="1"/>
  <c r="J590" i="2"/>
  <c r="K590" i="2" s="1"/>
  <c r="L590" i="2" s="1"/>
  <c r="U590" i="2" s="1"/>
  <c r="J591" i="2"/>
  <c r="K591" i="2" s="1"/>
  <c r="L591" i="2" s="1"/>
  <c r="U591" i="2" s="1"/>
  <c r="J592" i="2"/>
  <c r="K592" i="2" s="1"/>
  <c r="L592" i="2" s="1"/>
  <c r="U592" i="2" s="1"/>
  <c r="J593" i="2"/>
  <c r="K593" i="2" s="1"/>
  <c r="L593" i="2" s="1"/>
  <c r="U593" i="2" s="1"/>
  <c r="J594" i="2"/>
  <c r="K594" i="2" s="1"/>
  <c r="L594" i="2" s="1"/>
  <c r="U594" i="2" s="1"/>
  <c r="J595" i="2"/>
  <c r="K595" i="2" s="1"/>
  <c r="L595" i="2" s="1"/>
  <c r="U595" i="2" s="1"/>
  <c r="J596" i="2"/>
  <c r="K596" i="2" s="1"/>
  <c r="L596" i="2" s="1"/>
  <c r="U596" i="2" s="1"/>
  <c r="J597" i="2"/>
  <c r="K597" i="2" s="1"/>
  <c r="L597" i="2" s="1"/>
  <c r="U597" i="2" s="1"/>
  <c r="J598" i="2"/>
  <c r="K598" i="2" s="1"/>
  <c r="L598" i="2" s="1"/>
  <c r="U598" i="2" s="1"/>
  <c r="J599" i="2"/>
  <c r="K599" i="2" s="1"/>
  <c r="L599" i="2" s="1"/>
  <c r="U599" i="2" s="1"/>
  <c r="J600" i="2"/>
  <c r="K600" i="2" s="1"/>
  <c r="L600" i="2" s="1"/>
  <c r="U600" i="2" s="1"/>
  <c r="J601" i="2"/>
  <c r="K601" i="2" s="1"/>
  <c r="L601" i="2" s="1"/>
  <c r="U601" i="2" s="1"/>
  <c r="J602" i="2"/>
  <c r="K602" i="2" s="1"/>
  <c r="L602" i="2" s="1"/>
  <c r="U602" i="2" s="1"/>
  <c r="J603" i="2"/>
  <c r="K603" i="2" s="1"/>
  <c r="L603" i="2" s="1"/>
  <c r="U603" i="2" s="1"/>
  <c r="J604" i="2"/>
  <c r="K604" i="2" s="1"/>
  <c r="L604" i="2" s="1"/>
  <c r="U604" i="2" s="1"/>
  <c r="J605" i="2"/>
  <c r="K605" i="2" s="1"/>
  <c r="L605" i="2" s="1"/>
  <c r="U605" i="2" s="1"/>
  <c r="J606" i="2"/>
  <c r="K606" i="2" s="1"/>
  <c r="L606" i="2" s="1"/>
  <c r="U606" i="2" s="1"/>
  <c r="J607" i="2"/>
  <c r="K607" i="2" s="1"/>
  <c r="L607" i="2" s="1"/>
  <c r="U607" i="2" s="1"/>
  <c r="J608" i="2"/>
  <c r="K608" i="2" s="1"/>
  <c r="L608" i="2" s="1"/>
  <c r="U608" i="2" s="1"/>
  <c r="J609" i="2"/>
  <c r="K609" i="2" s="1"/>
  <c r="L609" i="2" s="1"/>
  <c r="U609" i="2" s="1"/>
  <c r="J610" i="2"/>
  <c r="K610" i="2" s="1"/>
  <c r="L610" i="2" s="1"/>
  <c r="U610" i="2" s="1"/>
  <c r="J611" i="2"/>
  <c r="K611" i="2" s="1"/>
  <c r="L611" i="2" s="1"/>
  <c r="U611" i="2" s="1"/>
  <c r="J612" i="2"/>
  <c r="K612" i="2" s="1"/>
  <c r="L612" i="2" s="1"/>
  <c r="U612" i="2" s="1"/>
  <c r="J613" i="2"/>
  <c r="K613" i="2" s="1"/>
  <c r="L613" i="2" s="1"/>
  <c r="U613" i="2" s="1"/>
  <c r="J614" i="2"/>
  <c r="K614" i="2" s="1"/>
  <c r="L614" i="2" s="1"/>
  <c r="U614" i="2" s="1"/>
  <c r="J615" i="2"/>
  <c r="K615" i="2" s="1"/>
  <c r="L615" i="2" s="1"/>
  <c r="U615" i="2" s="1"/>
  <c r="J616" i="2"/>
  <c r="K616" i="2" s="1"/>
  <c r="L616" i="2" s="1"/>
  <c r="U616" i="2" s="1"/>
  <c r="J617" i="2"/>
  <c r="K617" i="2" s="1"/>
  <c r="L617" i="2" s="1"/>
  <c r="U617" i="2" s="1"/>
  <c r="J618" i="2"/>
  <c r="K618" i="2" s="1"/>
  <c r="L618" i="2" s="1"/>
  <c r="U618" i="2" s="1"/>
  <c r="J619" i="2"/>
  <c r="K619" i="2" s="1"/>
  <c r="L619" i="2" s="1"/>
  <c r="U619" i="2" s="1"/>
  <c r="J620" i="2"/>
  <c r="K620" i="2" s="1"/>
  <c r="L620" i="2" s="1"/>
  <c r="U620" i="2" s="1"/>
  <c r="J621" i="2"/>
  <c r="K621" i="2" s="1"/>
  <c r="L621" i="2" s="1"/>
  <c r="U621" i="2" s="1"/>
  <c r="J622" i="2"/>
  <c r="K622" i="2" s="1"/>
  <c r="L622" i="2" s="1"/>
  <c r="U622" i="2" s="1"/>
  <c r="J623" i="2"/>
  <c r="K623" i="2" s="1"/>
  <c r="L623" i="2" s="1"/>
  <c r="U623" i="2" s="1"/>
  <c r="J624" i="2"/>
  <c r="K624" i="2" s="1"/>
  <c r="L624" i="2" s="1"/>
  <c r="U624" i="2" s="1"/>
  <c r="J625" i="2"/>
  <c r="K625" i="2" s="1"/>
  <c r="L625" i="2" s="1"/>
  <c r="U625" i="2" s="1"/>
  <c r="J626" i="2"/>
  <c r="K626" i="2" s="1"/>
  <c r="L626" i="2" s="1"/>
  <c r="U626" i="2" s="1"/>
  <c r="J627" i="2"/>
  <c r="K627" i="2" s="1"/>
  <c r="L627" i="2" s="1"/>
  <c r="U627" i="2" s="1"/>
  <c r="J628" i="2"/>
  <c r="K628" i="2" s="1"/>
  <c r="L628" i="2" s="1"/>
  <c r="U628" i="2" s="1"/>
  <c r="J629" i="2"/>
  <c r="K629" i="2" s="1"/>
  <c r="L629" i="2" s="1"/>
  <c r="U629" i="2" s="1"/>
  <c r="J630" i="2"/>
  <c r="K630" i="2" s="1"/>
  <c r="L630" i="2" s="1"/>
  <c r="U630" i="2" s="1"/>
  <c r="J631" i="2"/>
  <c r="K631" i="2" s="1"/>
  <c r="L631" i="2" s="1"/>
  <c r="U631" i="2" s="1"/>
  <c r="J632" i="2"/>
  <c r="K632" i="2" s="1"/>
  <c r="L632" i="2" s="1"/>
  <c r="U632" i="2" s="1"/>
  <c r="J633" i="2"/>
  <c r="K633" i="2" s="1"/>
  <c r="L633" i="2" s="1"/>
  <c r="U633" i="2" s="1"/>
  <c r="J634" i="2"/>
  <c r="K634" i="2" s="1"/>
  <c r="L634" i="2" s="1"/>
  <c r="U634" i="2" s="1"/>
  <c r="J635" i="2"/>
  <c r="K635" i="2" s="1"/>
  <c r="L635" i="2" s="1"/>
  <c r="U635" i="2" s="1"/>
  <c r="J636" i="2"/>
  <c r="K636" i="2" s="1"/>
  <c r="L636" i="2" s="1"/>
  <c r="U636" i="2" s="1"/>
  <c r="J637" i="2"/>
  <c r="K637" i="2" s="1"/>
  <c r="L637" i="2" s="1"/>
  <c r="U637" i="2" s="1"/>
  <c r="J638" i="2"/>
  <c r="K638" i="2" s="1"/>
  <c r="L638" i="2" s="1"/>
  <c r="U638" i="2" s="1"/>
  <c r="J639" i="2"/>
  <c r="K639" i="2" s="1"/>
  <c r="L639" i="2" s="1"/>
  <c r="U639" i="2" s="1"/>
  <c r="J640" i="2"/>
  <c r="K640" i="2" s="1"/>
  <c r="L640" i="2" s="1"/>
  <c r="U640" i="2" s="1"/>
  <c r="J641" i="2"/>
  <c r="K641" i="2" s="1"/>
  <c r="L641" i="2" s="1"/>
  <c r="U641" i="2" s="1"/>
  <c r="J642" i="2"/>
  <c r="K642" i="2" s="1"/>
  <c r="L642" i="2" s="1"/>
  <c r="U642" i="2" s="1"/>
  <c r="J643" i="2"/>
  <c r="K643" i="2" s="1"/>
  <c r="L643" i="2" s="1"/>
  <c r="U643" i="2" s="1"/>
  <c r="J644" i="2"/>
  <c r="K644" i="2" s="1"/>
  <c r="L644" i="2" s="1"/>
  <c r="U644" i="2" s="1"/>
  <c r="J645" i="2"/>
  <c r="K645" i="2" s="1"/>
  <c r="L645" i="2" s="1"/>
  <c r="U645" i="2" s="1"/>
  <c r="J646" i="2"/>
  <c r="K646" i="2" s="1"/>
  <c r="L646" i="2" s="1"/>
  <c r="U646" i="2" s="1"/>
  <c r="J647" i="2"/>
  <c r="K647" i="2" s="1"/>
  <c r="L647" i="2" s="1"/>
  <c r="U647" i="2" s="1"/>
  <c r="J648" i="2"/>
  <c r="K648" i="2" s="1"/>
  <c r="L648" i="2" s="1"/>
  <c r="U648" i="2" s="1"/>
  <c r="J649" i="2"/>
  <c r="K649" i="2" s="1"/>
  <c r="L649" i="2" s="1"/>
  <c r="U649" i="2" s="1"/>
  <c r="J650" i="2"/>
  <c r="K650" i="2" s="1"/>
  <c r="L650" i="2" s="1"/>
  <c r="U650" i="2" s="1"/>
  <c r="J651" i="2"/>
  <c r="K651" i="2" s="1"/>
  <c r="L651" i="2" s="1"/>
  <c r="U651" i="2" s="1"/>
  <c r="J652" i="2"/>
  <c r="K652" i="2" s="1"/>
  <c r="L652" i="2" s="1"/>
  <c r="U652" i="2" s="1"/>
  <c r="J653" i="2"/>
  <c r="K653" i="2" s="1"/>
  <c r="L653" i="2" s="1"/>
  <c r="U653" i="2" s="1"/>
  <c r="J654" i="2"/>
  <c r="K654" i="2" s="1"/>
  <c r="L654" i="2" s="1"/>
  <c r="U654" i="2" s="1"/>
  <c r="J655" i="2"/>
  <c r="K655" i="2" s="1"/>
  <c r="L655" i="2" s="1"/>
  <c r="U655" i="2" s="1"/>
  <c r="J656" i="2"/>
  <c r="K656" i="2" s="1"/>
  <c r="L656" i="2" s="1"/>
  <c r="U656" i="2" s="1"/>
  <c r="J657" i="2"/>
  <c r="K657" i="2" s="1"/>
  <c r="L657" i="2" s="1"/>
  <c r="U657" i="2" s="1"/>
  <c r="J658" i="2"/>
  <c r="K658" i="2" s="1"/>
  <c r="L658" i="2" s="1"/>
  <c r="U658" i="2" s="1"/>
  <c r="J659" i="2"/>
  <c r="K659" i="2" s="1"/>
  <c r="L659" i="2" s="1"/>
  <c r="U659" i="2" s="1"/>
  <c r="J660" i="2"/>
  <c r="K660" i="2" s="1"/>
  <c r="L660" i="2" s="1"/>
  <c r="U660" i="2" s="1"/>
  <c r="J661" i="2"/>
  <c r="K661" i="2" s="1"/>
  <c r="L661" i="2" s="1"/>
  <c r="U661" i="2" s="1"/>
  <c r="J662" i="2"/>
  <c r="K662" i="2" s="1"/>
  <c r="L662" i="2" s="1"/>
  <c r="U662" i="2" s="1"/>
  <c r="J663" i="2"/>
  <c r="K663" i="2" s="1"/>
  <c r="L663" i="2" s="1"/>
  <c r="U663" i="2" s="1"/>
  <c r="J664" i="2"/>
  <c r="K664" i="2" s="1"/>
  <c r="L664" i="2" s="1"/>
  <c r="U664" i="2" s="1"/>
  <c r="J665" i="2"/>
  <c r="K665" i="2" s="1"/>
  <c r="L665" i="2" s="1"/>
  <c r="U665" i="2" s="1"/>
  <c r="J666" i="2"/>
  <c r="K666" i="2" s="1"/>
  <c r="L666" i="2" s="1"/>
  <c r="U666" i="2" s="1"/>
  <c r="J667" i="2"/>
  <c r="K667" i="2" s="1"/>
  <c r="L667" i="2" s="1"/>
  <c r="U667" i="2" s="1"/>
  <c r="J668" i="2"/>
  <c r="K668" i="2" s="1"/>
  <c r="L668" i="2" s="1"/>
  <c r="U668" i="2" s="1"/>
  <c r="J669" i="2"/>
  <c r="K669" i="2" s="1"/>
  <c r="L669" i="2" s="1"/>
  <c r="U669" i="2" s="1"/>
  <c r="J670" i="2"/>
  <c r="K670" i="2" s="1"/>
  <c r="L670" i="2" s="1"/>
  <c r="U670" i="2" s="1"/>
  <c r="J671" i="2"/>
  <c r="K671" i="2" s="1"/>
  <c r="L671" i="2" s="1"/>
  <c r="U671" i="2" s="1"/>
  <c r="J672" i="2"/>
  <c r="K672" i="2" s="1"/>
  <c r="L672" i="2" s="1"/>
  <c r="U672" i="2" s="1"/>
  <c r="J673" i="2"/>
  <c r="K673" i="2" s="1"/>
  <c r="L673" i="2" s="1"/>
  <c r="U673" i="2" s="1"/>
  <c r="J674" i="2"/>
  <c r="K674" i="2" s="1"/>
  <c r="L674" i="2" s="1"/>
  <c r="U674" i="2" s="1"/>
  <c r="J675" i="2"/>
  <c r="K675" i="2" s="1"/>
  <c r="L675" i="2" s="1"/>
  <c r="U675" i="2" s="1"/>
  <c r="J676" i="2"/>
  <c r="K676" i="2" s="1"/>
  <c r="L676" i="2" s="1"/>
  <c r="U676" i="2" s="1"/>
  <c r="J677" i="2"/>
  <c r="K677" i="2" s="1"/>
  <c r="L677" i="2" s="1"/>
  <c r="U677" i="2" s="1"/>
  <c r="J678" i="2"/>
  <c r="K678" i="2" s="1"/>
  <c r="L678" i="2" s="1"/>
  <c r="U678" i="2" s="1"/>
  <c r="J679" i="2"/>
  <c r="K679" i="2" s="1"/>
  <c r="L679" i="2" s="1"/>
  <c r="U679" i="2" s="1"/>
  <c r="J680" i="2"/>
  <c r="K680" i="2" s="1"/>
  <c r="L680" i="2" s="1"/>
  <c r="U680" i="2" s="1"/>
  <c r="J681" i="2"/>
  <c r="K681" i="2" s="1"/>
  <c r="L681" i="2" s="1"/>
  <c r="U681" i="2" s="1"/>
  <c r="J682" i="2"/>
  <c r="K682" i="2" s="1"/>
  <c r="L682" i="2" s="1"/>
  <c r="U682" i="2" s="1"/>
  <c r="J683" i="2"/>
  <c r="K683" i="2" s="1"/>
  <c r="L683" i="2" s="1"/>
  <c r="U683" i="2" s="1"/>
  <c r="J684" i="2"/>
  <c r="K684" i="2" s="1"/>
  <c r="L684" i="2" s="1"/>
  <c r="U684" i="2" s="1"/>
  <c r="J685" i="2"/>
  <c r="K685" i="2" s="1"/>
  <c r="L685" i="2" s="1"/>
  <c r="U685" i="2" s="1"/>
  <c r="J686" i="2"/>
  <c r="K686" i="2" s="1"/>
  <c r="L686" i="2" s="1"/>
  <c r="U686" i="2" s="1"/>
  <c r="J687" i="2"/>
  <c r="K687" i="2" s="1"/>
  <c r="L687" i="2" s="1"/>
  <c r="U687" i="2" s="1"/>
  <c r="J688" i="2"/>
  <c r="K688" i="2" s="1"/>
  <c r="L688" i="2" s="1"/>
  <c r="U688" i="2" s="1"/>
  <c r="J689" i="2"/>
  <c r="K689" i="2" s="1"/>
  <c r="L689" i="2" s="1"/>
  <c r="U689" i="2" s="1"/>
  <c r="J690" i="2"/>
  <c r="K690" i="2" s="1"/>
  <c r="L690" i="2" s="1"/>
  <c r="U690" i="2" s="1"/>
  <c r="J691" i="2"/>
  <c r="K691" i="2" s="1"/>
  <c r="L691" i="2" s="1"/>
  <c r="U691" i="2" s="1"/>
  <c r="J692" i="2"/>
  <c r="K692" i="2" s="1"/>
  <c r="L692" i="2" s="1"/>
  <c r="U692" i="2" s="1"/>
  <c r="J693" i="2"/>
  <c r="K693" i="2" s="1"/>
  <c r="L693" i="2" s="1"/>
  <c r="U693" i="2" s="1"/>
  <c r="J694" i="2"/>
  <c r="K694" i="2" s="1"/>
  <c r="L694" i="2" s="1"/>
  <c r="U694" i="2" s="1"/>
  <c r="J695" i="2"/>
  <c r="K695" i="2" s="1"/>
  <c r="L695" i="2" s="1"/>
  <c r="U695" i="2" s="1"/>
  <c r="J696" i="2"/>
  <c r="K696" i="2" s="1"/>
  <c r="L696" i="2" s="1"/>
  <c r="U696" i="2" s="1"/>
  <c r="J697" i="2"/>
  <c r="K697" i="2" s="1"/>
  <c r="L697" i="2" s="1"/>
  <c r="U697" i="2" s="1"/>
  <c r="J698" i="2"/>
  <c r="K698" i="2" s="1"/>
  <c r="L698" i="2" s="1"/>
  <c r="U698" i="2" s="1"/>
  <c r="J699" i="2"/>
  <c r="K699" i="2" s="1"/>
  <c r="L699" i="2" s="1"/>
  <c r="U699" i="2" s="1"/>
  <c r="J700" i="2"/>
  <c r="K700" i="2" s="1"/>
  <c r="L700" i="2" s="1"/>
  <c r="U700" i="2" s="1"/>
  <c r="J701" i="2"/>
  <c r="K701" i="2" s="1"/>
  <c r="L701" i="2" s="1"/>
  <c r="U701" i="2" s="1"/>
  <c r="J702" i="2"/>
  <c r="K702" i="2" s="1"/>
  <c r="L702" i="2" s="1"/>
  <c r="U702" i="2" s="1"/>
  <c r="J703" i="2"/>
  <c r="K703" i="2" s="1"/>
  <c r="L703" i="2" s="1"/>
  <c r="U703" i="2" s="1"/>
  <c r="J704" i="2"/>
  <c r="K704" i="2" s="1"/>
  <c r="L704" i="2" s="1"/>
  <c r="U704" i="2" s="1"/>
  <c r="J705" i="2"/>
  <c r="K705" i="2" s="1"/>
  <c r="L705" i="2" s="1"/>
  <c r="U705" i="2" s="1"/>
  <c r="J706" i="2"/>
  <c r="K706" i="2" s="1"/>
  <c r="L706" i="2" s="1"/>
  <c r="U706" i="2" s="1"/>
  <c r="J707" i="2"/>
  <c r="K707" i="2" s="1"/>
  <c r="L707" i="2" s="1"/>
  <c r="U707" i="2" s="1"/>
  <c r="J708" i="2"/>
  <c r="K708" i="2" s="1"/>
  <c r="L708" i="2" s="1"/>
  <c r="U708" i="2" s="1"/>
  <c r="J709" i="2"/>
  <c r="K709" i="2" s="1"/>
  <c r="L709" i="2" s="1"/>
  <c r="U709" i="2" s="1"/>
  <c r="J710" i="2"/>
  <c r="K710" i="2" s="1"/>
  <c r="L710" i="2" s="1"/>
  <c r="U710" i="2" s="1"/>
  <c r="J711" i="2"/>
  <c r="K711" i="2" s="1"/>
  <c r="L711" i="2" s="1"/>
  <c r="U711" i="2" s="1"/>
  <c r="J712" i="2"/>
  <c r="K712" i="2" s="1"/>
  <c r="L712" i="2" s="1"/>
  <c r="U712" i="2" s="1"/>
  <c r="J713" i="2"/>
  <c r="K713" i="2" s="1"/>
  <c r="L713" i="2" s="1"/>
  <c r="U713" i="2" s="1"/>
  <c r="J714" i="2"/>
  <c r="K714" i="2" s="1"/>
  <c r="L714" i="2" s="1"/>
  <c r="U714" i="2" s="1"/>
  <c r="J715" i="2"/>
  <c r="K715" i="2" s="1"/>
  <c r="L715" i="2" s="1"/>
  <c r="U715" i="2" s="1"/>
  <c r="J716" i="2"/>
  <c r="K716" i="2" s="1"/>
  <c r="L716" i="2" s="1"/>
  <c r="U716" i="2" s="1"/>
  <c r="J717" i="2"/>
  <c r="K717" i="2" s="1"/>
  <c r="L717" i="2" s="1"/>
  <c r="U717" i="2" s="1"/>
  <c r="J718" i="2"/>
  <c r="K718" i="2" s="1"/>
  <c r="L718" i="2" s="1"/>
  <c r="U718" i="2" s="1"/>
  <c r="J719" i="2"/>
  <c r="K719" i="2" s="1"/>
  <c r="L719" i="2" s="1"/>
  <c r="U719" i="2" s="1"/>
  <c r="J720" i="2"/>
  <c r="K720" i="2" s="1"/>
  <c r="L720" i="2" s="1"/>
  <c r="U720" i="2" s="1"/>
  <c r="J721" i="2"/>
  <c r="K721" i="2" s="1"/>
  <c r="L721" i="2" s="1"/>
  <c r="U721" i="2" s="1"/>
  <c r="J722" i="2"/>
  <c r="K722" i="2" s="1"/>
  <c r="L722" i="2" s="1"/>
  <c r="U722" i="2" s="1"/>
  <c r="J723" i="2"/>
  <c r="K723" i="2" s="1"/>
  <c r="L723" i="2" s="1"/>
  <c r="U723" i="2" s="1"/>
  <c r="J724" i="2"/>
  <c r="K724" i="2" s="1"/>
  <c r="L724" i="2" s="1"/>
  <c r="U724" i="2" s="1"/>
  <c r="J725" i="2"/>
  <c r="K725" i="2" s="1"/>
  <c r="L725" i="2" s="1"/>
  <c r="U725" i="2" s="1"/>
  <c r="J726" i="2"/>
  <c r="K726" i="2" s="1"/>
  <c r="L726" i="2" s="1"/>
  <c r="U726" i="2" s="1"/>
  <c r="J727" i="2"/>
  <c r="K727" i="2" s="1"/>
  <c r="L727" i="2" s="1"/>
  <c r="U727" i="2" s="1"/>
  <c r="J728" i="2"/>
  <c r="K728" i="2" s="1"/>
  <c r="L728" i="2" s="1"/>
  <c r="U728" i="2" s="1"/>
  <c r="J729" i="2"/>
  <c r="K729" i="2" s="1"/>
  <c r="L729" i="2" s="1"/>
  <c r="U729" i="2" s="1"/>
  <c r="J730" i="2"/>
  <c r="K730" i="2" s="1"/>
  <c r="L730" i="2" s="1"/>
  <c r="U730" i="2" s="1"/>
  <c r="J731" i="2"/>
  <c r="K731" i="2" s="1"/>
  <c r="L731" i="2" s="1"/>
  <c r="U731" i="2" s="1"/>
  <c r="J732" i="2"/>
  <c r="K732" i="2" s="1"/>
  <c r="L732" i="2" s="1"/>
  <c r="U732" i="2" s="1"/>
  <c r="J733" i="2"/>
  <c r="K733" i="2" s="1"/>
  <c r="L733" i="2" s="1"/>
  <c r="U733" i="2" s="1"/>
  <c r="J734" i="2"/>
  <c r="K734" i="2" s="1"/>
  <c r="L734" i="2" s="1"/>
  <c r="U734" i="2" s="1"/>
  <c r="J735" i="2"/>
  <c r="K735" i="2" s="1"/>
  <c r="L735" i="2" s="1"/>
  <c r="U735" i="2" s="1"/>
  <c r="J736" i="2"/>
  <c r="K736" i="2" s="1"/>
  <c r="L736" i="2" s="1"/>
  <c r="U736" i="2" s="1"/>
  <c r="J737" i="2"/>
  <c r="K737" i="2" s="1"/>
  <c r="L737" i="2" s="1"/>
  <c r="U737" i="2" s="1"/>
  <c r="J738" i="2"/>
  <c r="K738" i="2" s="1"/>
  <c r="L738" i="2" s="1"/>
  <c r="U738" i="2" s="1"/>
  <c r="J739" i="2"/>
  <c r="K739" i="2" s="1"/>
  <c r="L739" i="2" s="1"/>
  <c r="U739" i="2" s="1"/>
  <c r="J740" i="2"/>
  <c r="K740" i="2" s="1"/>
  <c r="L740" i="2" s="1"/>
  <c r="U740" i="2" s="1"/>
  <c r="J741" i="2"/>
  <c r="K741" i="2" s="1"/>
  <c r="L741" i="2" s="1"/>
  <c r="U741" i="2" s="1"/>
  <c r="J742" i="2"/>
  <c r="K742" i="2" s="1"/>
  <c r="L742" i="2" s="1"/>
  <c r="U742" i="2" s="1"/>
  <c r="J743" i="2"/>
  <c r="K743" i="2" s="1"/>
  <c r="L743" i="2" s="1"/>
  <c r="U743" i="2" s="1"/>
  <c r="J744" i="2"/>
  <c r="K744" i="2" s="1"/>
  <c r="L744" i="2" s="1"/>
  <c r="U744" i="2" s="1"/>
  <c r="J745" i="2"/>
  <c r="K745" i="2" s="1"/>
  <c r="L745" i="2" s="1"/>
  <c r="U745" i="2" s="1"/>
  <c r="J746" i="2"/>
  <c r="K746" i="2" s="1"/>
  <c r="L746" i="2" s="1"/>
  <c r="U746" i="2" s="1"/>
  <c r="J747" i="2"/>
  <c r="K747" i="2" s="1"/>
  <c r="L747" i="2" s="1"/>
  <c r="U747" i="2" s="1"/>
  <c r="J748" i="2"/>
  <c r="K748" i="2" s="1"/>
  <c r="L748" i="2" s="1"/>
  <c r="U748" i="2" s="1"/>
  <c r="J749" i="2"/>
  <c r="K749" i="2" s="1"/>
  <c r="L749" i="2" s="1"/>
  <c r="U749" i="2" s="1"/>
  <c r="J750" i="2"/>
  <c r="K750" i="2" s="1"/>
  <c r="L750" i="2" s="1"/>
  <c r="U750" i="2" s="1"/>
  <c r="J751" i="2"/>
  <c r="K751" i="2" s="1"/>
  <c r="L751" i="2" s="1"/>
  <c r="U751" i="2" s="1"/>
  <c r="J752" i="2"/>
  <c r="K752" i="2" s="1"/>
  <c r="L752" i="2" s="1"/>
  <c r="U752" i="2" s="1"/>
  <c r="J753" i="2"/>
  <c r="K753" i="2" s="1"/>
  <c r="L753" i="2" s="1"/>
  <c r="U753" i="2" s="1"/>
  <c r="J754" i="2"/>
  <c r="K754" i="2" s="1"/>
  <c r="L754" i="2" s="1"/>
  <c r="U754" i="2" s="1"/>
  <c r="J755" i="2"/>
  <c r="K755" i="2" s="1"/>
  <c r="L755" i="2" s="1"/>
  <c r="U755" i="2" s="1"/>
  <c r="J756" i="2"/>
  <c r="K756" i="2" s="1"/>
  <c r="L756" i="2" s="1"/>
  <c r="U756" i="2" s="1"/>
  <c r="J757" i="2"/>
  <c r="K757" i="2" s="1"/>
  <c r="L757" i="2" s="1"/>
  <c r="U757" i="2" s="1"/>
  <c r="J758" i="2"/>
  <c r="K758" i="2" s="1"/>
  <c r="L758" i="2" s="1"/>
  <c r="U758" i="2" s="1"/>
  <c r="J759" i="2"/>
  <c r="K759" i="2" s="1"/>
  <c r="L759" i="2" s="1"/>
  <c r="U759" i="2" s="1"/>
  <c r="J760" i="2"/>
  <c r="K760" i="2" s="1"/>
  <c r="L760" i="2" s="1"/>
  <c r="U760" i="2" s="1"/>
  <c r="J761" i="2"/>
  <c r="K761" i="2" s="1"/>
  <c r="L761" i="2" s="1"/>
  <c r="U761" i="2" s="1"/>
  <c r="J762" i="2"/>
  <c r="K762" i="2" s="1"/>
  <c r="L762" i="2" s="1"/>
  <c r="U762" i="2" s="1"/>
  <c r="J763" i="2"/>
  <c r="K763" i="2" s="1"/>
  <c r="L763" i="2" s="1"/>
  <c r="U763" i="2" s="1"/>
  <c r="J764" i="2"/>
  <c r="K764" i="2" s="1"/>
  <c r="L764" i="2" s="1"/>
  <c r="U764" i="2" s="1"/>
  <c r="J765" i="2"/>
  <c r="K765" i="2" s="1"/>
  <c r="L765" i="2" s="1"/>
  <c r="U765" i="2" s="1"/>
  <c r="J766" i="2"/>
  <c r="K766" i="2" s="1"/>
  <c r="L766" i="2" s="1"/>
  <c r="U766" i="2" s="1"/>
  <c r="J767" i="2"/>
  <c r="K767" i="2" s="1"/>
  <c r="L767" i="2" s="1"/>
  <c r="U767" i="2" s="1"/>
  <c r="J768" i="2"/>
  <c r="K768" i="2" s="1"/>
  <c r="L768" i="2" s="1"/>
  <c r="U768" i="2" s="1"/>
  <c r="J769" i="2"/>
  <c r="K769" i="2" s="1"/>
  <c r="L769" i="2" s="1"/>
  <c r="U769" i="2" s="1"/>
  <c r="J770" i="2"/>
  <c r="K770" i="2" s="1"/>
  <c r="L770" i="2" s="1"/>
  <c r="U770" i="2" s="1"/>
  <c r="J771" i="2"/>
  <c r="K771" i="2" s="1"/>
  <c r="L771" i="2" s="1"/>
  <c r="U771" i="2" s="1"/>
  <c r="J772" i="2"/>
  <c r="K772" i="2" s="1"/>
  <c r="L772" i="2" s="1"/>
  <c r="U772" i="2" s="1"/>
  <c r="J773" i="2"/>
  <c r="K773" i="2" s="1"/>
  <c r="L773" i="2" s="1"/>
  <c r="U773" i="2" s="1"/>
  <c r="J774" i="2"/>
  <c r="K774" i="2" s="1"/>
  <c r="L774" i="2" s="1"/>
  <c r="U774" i="2" s="1"/>
  <c r="J775" i="2"/>
  <c r="K775" i="2" s="1"/>
  <c r="L775" i="2" s="1"/>
  <c r="U775" i="2" s="1"/>
  <c r="J776" i="2"/>
  <c r="K776" i="2" s="1"/>
  <c r="L776" i="2" s="1"/>
  <c r="U776" i="2" s="1"/>
  <c r="J777" i="2"/>
  <c r="K777" i="2" s="1"/>
  <c r="L777" i="2" s="1"/>
  <c r="U777" i="2" s="1"/>
  <c r="J778" i="2"/>
  <c r="K778" i="2" s="1"/>
  <c r="L778" i="2" s="1"/>
  <c r="U778" i="2" s="1"/>
  <c r="J779" i="2"/>
  <c r="K779" i="2" s="1"/>
  <c r="L779" i="2" s="1"/>
  <c r="U779" i="2" s="1"/>
  <c r="J780" i="2"/>
  <c r="K780" i="2" s="1"/>
  <c r="L780" i="2" s="1"/>
  <c r="U780" i="2" s="1"/>
  <c r="J781" i="2"/>
  <c r="K781" i="2" s="1"/>
  <c r="L781" i="2" s="1"/>
  <c r="U781" i="2" s="1"/>
  <c r="J782" i="2"/>
  <c r="K782" i="2" s="1"/>
  <c r="L782" i="2" s="1"/>
  <c r="U782" i="2" s="1"/>
  <c r="J783" i="2"/>
  <c r="K783" i="2" s="1"/>
  <c r="L783" i="2" s="1"/>
  <c r="U783" i="2" s="1"/>
  <c r="J784" i="2"/>
  <c r="K784" i="2" s="1"/>
  <c r="L784" i="2" s="1"/>
  <c r="U784" i="2" s="1"/>
  <c r="J785" i="2"/>
  <c r="K785" i="2" s="1"/>
  <c r="L785" i="2" s="1"/>
  <c r="U785" i="2" s="1"/>
  <c r="J786" i="2"/>
  <c r="K786" i="2" s="1"/>
  <c r="L786" i="2" s="1"/>
  <c r="U786" i="2" s="1"/>
  <c r="J787" i="2"/>
  <c r="K787" i="2" s="1"/>
  <c r="L787" i="2" s="1"/>
  <c r="U787" i="2" s="1"/>
  <c r="J788" i="2"/>
  <c r="K788" i="2" s="1"/>
  <c r="L788" i="2" s="1"/>
  <c r="U788" i="2" s="1"/>
  <c r="J789" i="2"/>
  <c r="K789" i="2" s="1"/>
  <c r="L789" i="2" s="1"/>
  <c r="U789" i="2" s="1"/>
  <c r="J790" i="2"/>
  <c r="K790" i="2" s="1"/>
  <c r="L790" i="2" s="1"/>
  <c r="U790" i="2" s="1"/>
  <c r="J791" i="2"/>
  <c r="K791" i="2" s="1"/>
  <c r="L791" i="2" s="1"/>
  <c r="U791" i="2" s="1"/>
  <c r="J792" i="2"/>
  <c r="K792" i="2" s="1"/>
  <c r="L792" i="2" s="1"/>
  <c r="U792" i="2" s="1"/>
  <c r="J793" i="2"/>
  <c r="K793" i="2" s="1"/>
  <c r="L793" i="2" s="1"/>
  <c r="U793" i="2" s="1"/>
  <c r="J794" i="2"/>
  <c r="K794" i="2" s="1"/>
  <c r="L794" i="2" s="1"/>
  <c r="U794" i="2" s="1"/>
  <c r="J795" i="2"/>
  <c r="K795" i="2" s="1"/>
  <c r="L795" i="2" s="1"/>
  <c r="U795" i="2" s="1"/>
  <c r="J796" i="2"/>
  <c r="K796" i="2" s="1"/>
  <c r="L796" i="2" s="1"/>
  <c r="U796" i="2" s="1"/>
  <c r="J797" i="2"/>
  <c r="K797" i="2" s="1"/>
  <c r="L797" i="2" s="1"/>
  <c r="U797" i="2" s="1"/>
  <c r="J798" i="2"/>
  <c r="K798" i="2" s="1"/>
  <c r="L798" i="2" s="1"/>
  <c r="U798" i="2" s="1"/>
  <c r="J799" i="2"/>
  <c r="K799" i="2" s="1"/>
  <c r="L799" i="2" s="1"/>
  <c r="U799" i="2" s="1"/>
  <c r="J800" i="2"/>
  <c r="K800" i="2" s="1"/>
  <c r="L800" i="2" s="1"/>
  <c r="U800" i="2" s="1"/>
  <c r="J801" i="2"/>
  <c r="K801" i="2" s="1"/>
  <c r="L801" i="2" s="1"/>
  <c r="U801" i="2" s="1"/>
  <c r="J802" i="2"/>
  <c r="K802" i="2" s="1"/>
  <c r="L802" i="2" s="1"/>
  <c r="U802" i="2" s="1"/>
  <c r="J803" i="2"/>
  <c r="K803" i="2" s="1"/>
  <c r="L803" i="2" s="1"/>
  <c r="U803" i="2" s="1"/>
  <c r="J804" i="2"/>
  <c r="K804" i="2" s="1"/>
  <c r="L804" i="2" s="1"/>
  <c r="U804" i="2" s="1"/>
  <c r="J805" i="2"/>
  <c r="K805" i="2" s="1"/>
  <c r="L805" i="2" s="1"/>
  <c r="U805" i="2" s="1"/>
  <c r="J806" i="2"/>
  <c r="K806" i="2" s="1"/>
  <c r="L806" i="2" s="1"/>
  <c r="U806" i="2" s="1"/>
  <c r="J807" i="2"/>
  <c r="K807" i="2" s="1"/>
  <c r="L807" i="2" s="1"/>
  <c r="U807" i="2" s="1"/>
  <c r="J808" i="2"/>
  <c r="K808" i="2" s="1"/>
  <c r="L808" i="2" s="1"/>
  <c r="U808" i="2" s="1"/>
  <c r="J809" i="2"/>
  <c r="K809" i="2" s="1"/>
  <c r="L809" i="2" s="1"/>
  <c r="U809" i="2" s="1"/>
  <c r="J810" i="2"/>
  <c r="K810" i="2" s="1"/>
  <c r="L810" i="2" s="1"/>
  <c r="U810" i="2" s="1"/>
  <c r="J811" i="2"/>
  <c r="K811" i="2" s="1"/>
  <c r="L811" i="2" s="1"/>
  <c r="U811" i="2" s="1"/>
  <c r="J812" i="2"/>
  <c r="K812" i="2" s="1"/>
  <c r="L812" i="2" s="1"/>
  <c r="U812" i="2" s="1"/>
  <c r="J813" i="2"/>
  <c r="K813" i="2" s="1"/>
  <c r="L813" i="2" s="1"/>
  <c r="U813" i="2" s="1"/>
  <c r="J814" i="2"/>
  <c r="K814" i="2" s="1"/>
  <c r="L814" i="2" s="1"/>
  <c r="U814" i="2" s="1"/>
  <c r="J815" i="2"/>
  <c r="K815" i="2" s="1"/>
  <c r="L815" i="2" s="1"/>
  <c r="U815" i="2" s="1"/>
  <c r="J816" i="2"/>
  <c r="K816" i="2" s="1"/>
  <c r="L816" i="2" s="1"/>
  <c r="U816" i="2" s="1"/>
  <c r="J817" i="2"/>
  <c r="K817" i="2" s="1"/>
  <c r="L817" i="2" s="1"/>
  <c r="U817" i="2" s="1"/>
  <c r="J818" i="2"/>
  <c r="K818" i="2" s="1"/>
  <c r="L818" i="2" s="1"/>
  <c r="U818" i="2" s="1"/>
  <c r="J819" i="2"/>
  <c r="K819" i="2" s="1"/>
  <c r="L819" i="2" s="1"/>
  <c r="U819" i="2" s="1"/>
  <c r="J820" i="2"/>
  <c r="K820" i="2" s="1"/>
  <c r="L820" i="2" s="1"/>
  <c r="U820" i="2" s="1"/>
  <c r="J821" i="2"/>
  <c r="K821" i="2" s="1"/>
  <c r="L821" i="2" s="1"/>
  <c r="U821" i="2" s="1"/>
  <c r="J822" i="2"/>
  <c r="K822" i="2" s="1"/>
  <c r="L822" i="2" s="1"/>
  <c r="U822" i="2" s="1"/>
  <c r="J823" i="2"/>
  <c r="K823" i="2" s="1"/>
  <c r="L823" i="2" s="1"/>
  <c r="U823" i="2" s="1"/>
  <c r="J824" i="2"/>
  <c r="K824" i="2" s="1"/>
  <c r="L824" i="2" s="1"/>
  <c r="U824" i="2" s="1"/>
  <c r="J825" i="2"/>
  <c r="K825" i="2" s="1"/>
  <c r="L825" i="2" s="1"/>
  <c r="U825" i="2" s="1"/>
  <c r="J826" i="2"/>
  <c r="K826" i="2" s="1"/>
  <c r="L826" i="2" s="1"/>
  <c r="U826" i="2" s="1"/>
  <c r="J827" i="2"/>
  <c r="K827" i="2" s="1"/>
  <c r="L827" i="2" s="1"/>
  <c r="U827" i="2" s="1"/>
  <c r="J828" i="2"/>
  <c r="K828" i="2" s="1"/>
  <c r="L828" i="2" s="1"/>
  <c r="U828" i="2" s="1"/>
  <c r="J829" i="2"/>
  <c r="K829" i="2" s="1"/>
  <c r="L829" i="2" s="1"/>
  <c r="U829" i="2" s="1"/>
  <c r="J830" i="2"/>
  <c r="K830" i="2" s="1"/>
  <c r="L830" i="2" s="1"/>
  <c r="U830" i="2" s="1"/>
  <c r="J831" i="2"/>
  <c r="K831" i="2" s="1"/>
  <c r="L831" i="2" s="1"/>
  <c r="U831" i="2" s="1"/>
  <c r="J832" i="2"/>
  <c r="K832" i="2" s="1"/>
  <c r="L832" i="2" s="1"/>
  <c r="U832" i="2" s="1"/>
  <c r="J833" i="2"/>
  <c r="K833" i="2" s="1"/>
  <c r="L833" i="2" s="1"/>
  <c r="U833" i="2" s="1"/>
  <c r="J834" i="2"/>
  <c r="K834" i="2" s="1"/>
  <c r="L834" i="2" s="1"/>
  <c r="U834" i="2" s="1"/>
  <c r="J835" i="2"/>
  <c r="K835" i="2" s="1"/>
  <c r="L835" i="2" s="1"/>
  <c r="U835" i="2" s="1"/>
  <c r="J836" i="2"/>
  <c r="K836" i="2" s="1"/>
  <c r="L836" i="2" s="1"/>
  <c r="U836" i="2" s="1"/>
  <c r="J837" i="2"/>
  <c r="K837" i="2" s="1"/>
  <c r="L837" i="2" s="1"/>
  <c r="U837" i="2" s="1"/>
  <c r="J838" i="2"/>
  <c r="K838" i="2" s="1"/>
  <c r="L838" i="2" s="1"/>
  <c r="U838" i="2" s="1"/>
  <c r="J839" i="2"/>
  <c r="K839" i="2" s="1"/>
  <c r="L839" i="2" s="1"/>
  <c r="U839" i="2" s="1"/>
  <c r="J840" i="2"/>
  <c r="K840" i="2" s="1"/>
  <c r="L840" i="2" s="1"/>
  <c r="U840" i="2" s="1"/>
  <c r="J841" i="2"/>
  <c r="K841" i="2" s="1"/>
  <c r="L841" i="2" s="1"/>
  <c r="U841" i="2" s="1"/>
  <c r="J842" i="2"/>
  <c r="K842" i="2" s="1"/>
  <c r="L842" i="2" s="1"/>
  <c r="U842" i="2" s="1"/>
  <c r="J843" i="2"/>
  <c r="K843" i="2" s="1"/>
  <c r="L843" i="2" s="1"/>
  <c r="U843" i="2" s="1"/>
  <c r="J844" i="2"/>
  <c r="K844" i="2" s="1"/>
  <c r="L844" i="2" s="1"/>
  <c r="U844" i="2" s="1"/>
  <c r="J845" i="2"/>
  <c r="K845" i="2" s="1"/>
  <c r="L845" i="2" s="1"/>
  <c r="U845" i="2" s="1"/>
  <c r="J846" i="2"/>
  <c r="K846" i="2" s="1"/>
  <c r="L846" i="2" s="1"/>
  <c r="U846" i="2" s="1"/>
  <c r="J847" i="2"/>
  <c r="K847" i="2" s="1"/>
  <c r="L847" i="2" s="1"/>
  <c r="U847" i="2" s="1"/>
  <c r="J848" i="2"/>
  <c r="K848" i="2" s="1"/>
  <c r="L848" i="2" s="1"/>
  <c r="U848" i="2" s="1"/>
  <c r="J849" i="2"/>
  <c r="K849" i="2" s="1"/>
  <c r="L849" i="2" s="1"/>
  <c r="U849" i="2" s="1"/>
  <c r="J850" i="2"/>
  <c r="K850" i="2" s="1"/>
  <c r="L850" i="2" s="1"/>
  <c r="U850" i="2" s="1"/>
  <c r="J851" i="2"/>
  <c r="K851" i="2" s="1"/>
  <c r="L851" i="2" s="1"/>
  <c r="U851" i="2" s="1"/>
  <c r="J852" i="2"/>
  <c r="K852" i="2" s="1"/>
  <c r="L852" i="2" s="1"/>
  <c r="U852" i="2" s="1"/>
  <c r="J853" i="2"/>
  <c r="K853" i="2" s="1"/>
  <c r="L853" i="2" s="1"/>
  <c r="U853" i="2" s="1"/>
  <c r="J854" i="2"/>
  <c r="K854" i="2" s="1"/>
  <c r="L854" i="2" s="1"/>
  <c r="U854" i="2" s="1"/>
  <c r="J855" i="2"/>
  <c r="K855" i="2" s="1"/>
  <c r="L855" i="2" s="1"/>
  <c r="U855" i="2" s="1"/>
  <c r="J856" i="2"/>
  <c r="K856" i="2" s="1"/>
  <c r="L856" i="2" s="1"/>
  <c r="U856" i="2" s="1"/>
  <c r="J857" i="2"/>
  <c r="K857" i="2" s="1"/>
  <c r="L857" i="2" s="1"/>
  <c r="U857" i="2" s="1"/>
  <c r="J858" i="2"/>
  <c r="K858" i="2" s="1"/>
  <c r="L858" i="2" s="1"/>
  <c r="U858" i="2" s="1"/>
  <c r="J859" i="2"/>
  <c r="K859" i="2" s="1"/>
  <c r="L859" i="2" s="1"/>
  <c r="U859" i="2" s="1"/>
  <c r="J860" i="2"/>
  <c r="K860" i="2" s="1"/>
  <c r="L860" i="2" s="1"/>
  <c r="U860" i="2" s="1"/>
  <c r="J861" i="2"/>
  <c r="K861" i="2" s="1"/>
  <c r="L861" i="2" s="1"/>
  <c r="U861" i="2" s="1"/>
  <c r="J862" i="2"/>
  <c r="K862" i="2" s="1"/>
  <c r="L862" i="2" s="1"/>
  <c r="U862" i="2" s="1"/>
  <c r="J863" i="2"/>
  <c r="K863" i="2" s="1"/>
  <c r="L863" i="2" s="1"/>
  <c r="U863" i="2" s="1"/>
  <c r="J864" i="2"/>
  <c r="K864" i="2" s="1"/>
  <c r="L864" i="2" s="1"/>
  <c r="U864" i="2" s="1"/>
  <c r="J865" i="2"/>
  <c r="K865" i="2" s="1"/>
  <c r="L865" i="2" s="1"/>
  <c r="U865" i="2" s="1"/>
  <c r="J866" i="2"/>
  <c r="K866" i="2" s="1"/>
  <c r="L866" i="2" s="1"/>
  <c r="U866" i="2" s="1"/>
  <c r="J867" i="2"/>
  <c r="K867" i="2" s="1"/>
  <c r="L867" i="2" s="1"/>
  <c r="U867" i="2" s="1"/>
  <c r="J868" i="2"/>
  <c r="K868" i="2" s="1"/>
  <c r="L868" i="2" s="1"/>
  <c r="U868" i="2" s="1"/>
  <c r="J869" i="2"/>
  <c r="K869" i="2" s="1"/>
  <c r="L869" i="2" s="1"/>
  <c r="U869" i="2" s="1"/>
  <c r="J870" i="2"/>
  <c r="K870" i="2" s="1"/>
  <c r="L870" i="2" s="1"/>
  <c r="U870" i="2" s="1"/>
  <c r="J871" i="2"/>
  <c r="K871" i="2" s="1"/>
  <c r="L871" i="2" s="1"/>
  <c r="U871" i="2" s="1"/>
  <c r="J872" i="2"/>
  <c r="K872" i="2" s="1"/>
  <c r="L872" i="2" s="1"/>
  <c r="U872" i="2" s="1"/>
  <c r="J873" i="2"/>
  <c r="K873" i="2" s="1"/>
  <c r="L873" i="2" s="1"/>
  <c r="U873" i="2" s="1"/>
  <c r="J874" i="2"/>
  <c r="K874" i="2" s="1"/>
  <c r="L874" i="2" s="1"/>
  <c r="U874" i="2" s="1"/>
  <c r="J875" i="2"/>
  <c r="K875" i="2" s="1"/>
  <c r="L875" i="2" s="1"/>
  <c r="U875" i="2" s="1"/>
  <c r="J876" i="2"/>
  <c r="K876" i="2" s="1"/>
  <c r="L876" i="2" s="1"/>
  <c r="U876" i="2" s="1"/>
  <c r="J877" i="2"/>
  <c r="K877" i="2" s="1"/>
  <c r="L877" i="2" s="1"/>
  <c r="U877" i="2" s="1"/>
  <c r="J878" i="2"/>
  <c r="K878" i="2" s="1"/>
  <c r="L878" i="2" s="1"/>
  <c r="U878" i="2" s="1"/>
  <c r="J879" i="2"/>
  <c r="K879" i="2" s="1"/>
  <c r="L879" i="2" s="1"/>
  <c r="U879" i="2" s="1"/>
  <c r="J880" i="2"/>
  <c r="K880" i="2" s="1"/>
  <c r="L880" i="2" s="1"/>
  <c r="U880" i="2" s="1"/>
  <c r="J881" i="2"/>
  <c r="K881" i="2" s="1"/>
  <c r="L881" i="2" s="1"/>
  <c r="U881" i="2" s="1"/>
  <c r="J882" i="2"/>
  <c r="K882" i="2" s="1"/>
  <c r="L882" i="2" s="1"/>
  <c r="U882" i="2" s="1"/>
  <c r="J883" i="2"/>
  <c r="K883" i="2" s="1"/>
  <c r="L883" i="2" s="1"/>
  <c r="U883" i="2" s="1"/>
  <c r="J884" i="2"/>
  <c r="K884" i="2" s="1"/>
  <c r="L884" i="2" s="1"/>
  <c r="U884" i="2" s="1"/>
  <c r="J885" i="2"/>
  <c r="K885" i="2" s="1"/>
  <c r="L885" i="2" s="1"/>
  <c r="U885" i="2" s="1"/>
  <c r="J886" i="2"/>
  <c r="K886" i="2" s="1"/>
  <c r="L886" i="2" s="1"/>
  <c r="U886" i="2" s="1"/>
  <c r="J887" i="2"/>
  <c r="K887" i="2" s="1"/>
  <c r="L887" i="2" s="1"/>
  <c r="U887" i="2" s="1"/>
  <c r="J888" i="2"/>
  <c r="K888" i="2" s="1"/>
  <c r="L888" i="2" s="1"/>
  <c r="U888" i="2" s="1"/>
  <c r="J889" i="2"/>
  <c r="K889" i="2" s="1"/>
  <c r="L889" i="2" s="1"/>
  <c r="U889" i="2" s="1"/>
  <c r="J890" i="2"/>
  <c r="K890" i="2" s="1"/>
  <c r="L890" i="2" s="1"/>
  <c r="U890" i="2" s="1"/>
  <c r="J891" i="2"/>
  <c r="K891" i="2" s="1"/>
  <c r="L891" i="2" s="1"/>
  <c r="U891" i="2" s="1"/>
  <c r="J892" i="2"/>
  <c r="K892" i="2" s="1"/>
  <c r="L892" i="2" s="1"/>
  <c r="U892" i="2" s="1"/>
  <c r="J893" i="2"/>
  <c r="K893" i="2" s="1"/>
  <c r="L893" i="2" s="1"/>
  <c r="U893" i="2" s="1"/>
  <c r="J894" i="2"/>
  <c r="K894" i="2" s="1"/>
  <c r="L894" i="2" s="1"/>
  <c r="U894" i="2" s="1"/>
  <c r="J895" i="2"/>
  <c r="K895" i="2" s="1"/>
  <c r="L895" i="2" s="1"/>
  <c r="U895" i="2" s="1"/>
  <c r="J896" i="2"/>
  <c r="K896" i="2" s="1"/>
  <c r="L896" i="2" s="1"/>
  <c r="U896" i="2" s="1"/>
  <c r="J897" i="2"/>
  <c r="K897" i="2" s="1"/>
  <c r="L897" i="2" s="1"/>
  <c r="U897" i="2" s="1"/>
  <c r="J898" i="2"/>
  <c r="K898" i="2" s="1"/>
  <c r="L898" i="2" s="1"/>
  <c r="U898" i="2" s="1"/>
  <c r="J899" i="2"/>
  <c r="K899" i="2" s="1"/>
  <c r="L899" i="2" s="1"/>
  <c r="U899" i="2" s="1"/>
  <c r="J900" i="2"/>
  <c r="K900" i="2" s="1"/>
  <c r="L900" i="2" s="1"/>
  <c r="U900" i="2" s="1"/>
  <c r="J901" i="2"/>
  <c r="K901" i="2" s="1"/>
  <c r="L901" i="2" s="1"/>
  <c r="U901" i="2" s="1"/>
  <c r="J902" i="2"/>
  <c r="K902" i="2" s="1"/>
  <c r="L902" i="2" s="1"/>
  <c r="U902" i="2" s="1"/>
  <c r="J903" i="2"/>
  <c r="K903" i="2" s="1"/>
  <c r="L903" i="2" s="1"/>
  <c r="U903" i="2" s="1"/>
  <c r="J904" i="2"/>
  <c r="K904" i="2" s="1"/>
  <c r="L904" i="2" s="1"/>
  <c r="U904" i="2" s="1"/>
  <c r="J905" i="2"/>
  <c r="K905" i="2" s="1"/>
  <c r="L905" i="2" s="1"/>
  <c r="U905" i="2" s="1"/>
  <c r="J906" i="2"/>
  <c r="K906" i="2" s="1"/>
  <c r="L906" i="2" s="1"/>
  <c r="U906" i="2" s="1"/>
  <c r="J907" i="2"/>
  <c r="K907" i="2" s="1"/>
  <c r="L907" i="2" s="1"/>
  <c r="U907" i="2" s="1"/>
  <c r="J908" i="2"/>
  <c r="K908" i="2" s="1"/>
  <c r="L908" i="2" s="1"/>
  <c r="U908" i="2" s="1"/>
  <c r="J909" i="2"/>
  <c r="K909" i="2" s="1"/>
  <c r="L909" i="2" s="1"/>
  <c r="U909" i="2" s="1"/>
  <c r="J910" i="2"/>
  <c r="K910" i="2" s="1"/>
  <c r="L910" i="2" s="1"/>
  <c r="U910" i="2" s="1"/>
  <c r="J911" i="2"/>
  <c r="K911" i="2" s="1"/>
  <c r="L911" i="2" s="1"/>
  <c r="U911" i="2" s="1"/>
  <c r="J912" i="2"/>
  <c r="K912" i="2" s="1"/>
  <c r="L912" i="2" s="1"/>
  <c r="U912" i="2" s="1"/>
  <c r="J913" i="2"/>
  <c r="K913" i="2" s="1"/>
  <c r="L913" i="2" s="1"/>
  <c r="U913" i="2" s="1"/>
  <c r="J914" i="2"/>
  <c r="K914" i="2" s="1"/>
  <c r="L914" i="2" s="1"/>
  <c r="U914" i="2" s="1"/>
  <c r="J915" i="2"/>
  <c r="K915" i="2" s="1"/>
  <c r="L915" i="2" s="1"/>
  <c r="U915" i="2" s="1"/>
  <c r="J916" i="2"/>
  <c r="K916" i="2" s="1"/>
  <c r="L916" i="2" s="1"/>
  <c r="U916" i="2" s="1"/>
  <c r="J917" i="2"/>
  <c r="K917" i="2" s="1"/>
  <c r="L917" i="2" s="1"/>
  <c r="U917" i="2" s="1"/>
  <c r="J918" i="2"/>
  <c r="K918" i="2" s="1"/>
  <c r="L918" i="2" s="1"/>
  <c r="U918" i="2" s="1"/>
  <c r="J919" i="2"/>
  <c r="K919" i="2" s="1"/>
  <c r="L919" i="2" s="1"/>
  <c r="U919" i="2" s="1"/>
  <c r="J920" i="2"/>
  <c r="K920" i="2" s="1"/>
  <c r="L920" i="2" s="1"/>
  <c r="U920" i="2" s="1"/>
  <c r="J921" i="2"/>
  <c r="K921" i="2" s="1"/>
  <c r="L921" i="2" s="1"/>
  <c r="U921" i="2" s="1"/>
  <c r="J922" i="2"/>
  <c r="K922" i="2" s="1"/>
  <c r="L922" i="2" s="1"/>
  <c r="U922" i="2" s="1"/>
  <c r="J923" i="2"/>
  <c r="K923" i="2" s="1"/>
  <c r="L923" i="2" s="1"/>
  <c r="U923" i="2" s="1"/>
  <c r="J924" i="2"/>
  <c r="K924" i="2" s="1"/>
  <c r="L924" i="2" s="1"/>
  <c r="U924" i="2" s="1"/>
  <c r="J925" i="2"/>
  <c r="K925" i="2" s="1"/>
  <c r="L925" i="2" s="1"/>
  <c r="U925" i="2" s="1"/>
  <c r="J926" i="2"/>
  <c r="K926" i="2" s="1"/>
  <c r="L926" i="2" s="1"/>
  <c r="U926" i="2" s="1"/>
  <c r="J927" i="2"/>
  <c r="K927" i="2" s="1"/>
  <c r="L927" i="2" s="1"/>
  <c r="U927" i="2" s="1"/>
  <c r="J928" i="2"/>
  <c r="K928" i="2" s="1"/>
  <c r="L928" i="2" s="1"/>
  <c r="U928" i="2" s="1"/>
  <c r="J929" i="2"/>
  <c r="K929" i="2" s="1"/>
  <c r="L929" i="2" s="1"/>
  <c r="U929" i="2" s="1"/>
  <c r="J930" i="2"/>
  <c r="K930" i="2" s="1"/>
  <c r="L930" i="2" s="1"/>
  <c r="U930" i="2" s="1"/>
  <c r="J931" i="2"/>
  <c r="K931" i="2" s="1"/>
  <c r="L931" i="2" s="1"/>
  <c r="U931" i="2" s="1"/>
  <c r="J932" i="2"/>
  <c r="K932" i="2" s="1"/>
  <c r="L932" i="2" s="1"/>
  <c r="U932" i="2" s="1"/>
  <c r="J933" i="2"/>
  <c r="K933" i="2" s="1"/>
  <c r="L933" i="2" s="1"/>
  <c r="U933" i="2" s="1"/>
  <c r="J934" i="2"/>
  <c r="K934" i="2" s="1"/>
  <c r="L934" i="2" s="1"/>
  <c r="U934" i="2" s="1"/>
  <c r="J935" i="2"/>
  <c r="K935" i="2" s="1"/>
  <c r="L935" i="2" s="1"/>
  <c r="U935" i="2" s="1"/>
  <c r="J936" i="2"/>
  <c r="K936" i="2" s="1"/>
  <c r="L936" i="2" s="1"/>
  <c r="U936" i="2" s="1"/>
  <c r="J937" i="2"/>
  <c r="K937" i="2" s="1"/>
  <c r="L937" i="2" s="1"/>
  <c r="U937" i="2" s="1"/>
  <c r="J938" i="2"/>
  <c r="K938" i="2" s="1"/>
  <c r="L938" i="2" s="1"/>
  <c r="U938" i="2" s="1"/>
  <c r="J939" i="2"/>
  <c r="K939" i="2" s="1"/>
  <c r="L939" i="2" s="1"/>
  <c r="U939" i="2" s="1"/>
  <c r="J940" i="2"/>
  <c r="K940" i="2" s="1"/>
  <c r="L940" i="2" s="1"/>
  <c r="U940" i="2" s="1"/>
  <c r="J941" i="2"/>
  <c r="K941" i="2" s="1"/>
  <c r="L941" i="2" s="1"/>
  <c r="U941" i="2" s="1"/>
  <c r="J942" i="2"/>
  <c r="K942" i="2" s="1"/>
  <c r="L942" i="2" s="1"/>
  <c r="U942" i="2" s="1"/>
  <c r="J943" i="2"/>
  <c r="K943" i="2" s="1"/>
  <c r="L943" i="2" s="1"/>
  <c r="U943" i="2" s="1"/>
  <c r="J944" i="2"/>
  <c r="K944" i="2" s="1"/>
  <c r="L944" i="2" s="1"/>
  <c r="U944" i="2" s="1"/>
  <c r="J945" i="2"/>
  <c r="K945" i="2" s="1"/>
  <c r="L945" i="2" s="1"/>
  <c r="U945" i="2" s="1"/>
  <c r="J946" i="2"/>
  <c r="K946" i="2" s="1"/>
  <c r="L946" i="2" s="1"/>
  <c r="U946" i="2" s="1"/>
  <c r="J947" i="2"/>
  <c r="K947" i="2" s="1"/>
  <c r="L947" i="2" s="1"/>
  <c r="U947" i="2" s="1"/>
  <c r="J948" i="2"/>
  <c r="K948" i="2" s="1"/>
  <c r="L948" i="2" s="1"/>
  <c r="U948" i="2" s="1"/>
  <c r="J949" i="2"/>
  <c r="K949" i="2" s="1"/>
  <c r="L949" i="2" s="1"/>
  <c r="U949" i="2" s="1"/>
  <c r="J950" i="2"/>
  <c r="K950" i="2" s="1"/>
  <c r="L950" i="2" s="1"/>
  <c r="U950" i="2" s="1"/>
  <c r="J951" i="2"/>
  <c r="K951" i="2" s="1"/>
  <c r="L951" i="2" s="1"/>
  <c r="U951" i="2" s="1"/>
  <c r="J952" i="2"/>
  <c r="K952" i="2" s="1"/>
  <c r="L952" i="2" s="1"/>
  <c r="U952" i="2" s="1"/>
  <c r="J953" i="2"/>
  <c r="K953" i="2" s="1"/>
  <c r="L953" i="2" s="1"/>
  <c r="U953" i="2" s="1"/>
  <c r="J954" i="2"/>
  <c r="K954" i="2" s="1"/>
  <c r="L954" i="2" s="1"/>
  <c r="U954" i="2" s="1"/>
  <c r="J955" i="2"/>
  <c r="K955" i="2" s="1"/>
  <c r="L955" i="2" s="1"/>
  <c r="U955" i="2" s="1"/>
  <c r="J956" i="2"/>
  <c r="K956" i="2" s="1"/>
  <c r="L956" i="2" s="1"/>
  <c r="U956" i="2" s="1"/>
  <c r="J957" i="2"/>
  <c r="K957" i="2" s="1"/>
  <c r="L957" i="2" s="1"/>
  <c r="U957" i="2" s="1"/>
  <c r="J958" i="2"/>
  <c r="K958" i="2" s="1"/>
  <c r="L958" i="2" s="1"/>
  <c r="U958" i="2" s="1"/>
  <c r="J959" i="2"/>
  <c r="K959" i="2" s="1"/>
  <c r="L959" i="2" s="1"/>
  <c r="U959" i="2" s="1"/>
  <c r="J960" i="2"/>
  <c r="K960" i="2" s="1"/>
  <c r="L960" i="2" s="1"/>
  <c r="U960" i="2" s="1"/>
  <c r="J961" i="2"/>
  <c r="K961" i="2" s="1"/>
  <c r="L961" i="2" s="1"/>
  <c r="U961" i="2" s="1"/>
  <c r="J962" i="2"/>
  <c r="K962" i="2" s="1"/>
  <c r="L962" i="2" s="1"/>
  <c r="U962" i="2" s="1"/>
  <c r="J963" i="2"/>
  <c r="K963" i="2" s="1"/>
  <c r="L963" i="2" s="1"/>
  <c r="U963" i="2" s="1"/>
  <c r="J964" i="2"/>
  <c r="K964" i="2" s="1"/>
  <c r="L964" i="2" s="1"/>
  <c r="U964" i="2" s="1"/>
  <c r="J965" i="2"/>
  <c r="K965" i="2" s="1"/>
  <c r="L965" i="2" s="1"/>
  <c r="U965" i="2" s="1"/>
  <c r="J966" i="2"/>
  <c r="K966" i="2" s="1"/>
  <c r="L966" i="2" s="1"/>
  <c r="U966" i="2" s="1"/>
  <c r="J967" i="2"/>
  <c r="K967" i="2" s="1"/>
  <c r="L967" i="2" s="1"/>
  <c r="U967" i="2" s="1"/>
  <c r="J968" i="2"/>
  <c r="K968" i="2" s="1"/>
  <c r="L968" i="2" s="1"/>
  <c r="U968" i="2" s="1"/>
  <c r="J969" i="2"/>
  <c r="K969" i="2" s="1"/>
  <c r="L969" i="2" s="1"/>
  <c r="U969" i="2" s="1"/>
  <c r="J970" i="2"/>
  <c r="K970" i="2" s="1"/>
  <c r="L970" i="2" s="1"/>
  <c r="U970" i="2" s="1"/>
  <c r="J971" i="2"/>
  <c r="K971" i="2" s="1"/>
  <c r="L971" i="2" s="1"/>
  <c r="U971" i="2" s="1"/>
  <c r="J972" i="2"/>
  <c r="K972" i="2" s="1"/>
  <c r="L972" i="2" s="1"/>
  <c r="U972" i="2" s="1"/>
  <c r="J973" i="2"/>
  <c r="K973" i="2" s="1"/>
  <c r="L973" i="2" s="1"/>
  <c r="U973" i="2" s="1"/>
  <c r="J974" i="2"/>
  <c r="K974" i="2" s="1"/>
  <c r="L974" i="2" s="1"/>
  <c r="U974" i="2" s="1"/>
  <c r="J975" i="2"/>
  <c r="K975" i="2" s="1"/>
  <c r="L975" i="2" s="1"/>
  <c r="U975" i="2" s="1"/>
  <c r="J976" i="2"/>
  <c r="K976" i="2" s="1"/>
  <c r="L976" i="2" s="1"/>
  <c r="U976" i="2" s="1"/>
  <c r="J977" i="2"/>
  <c r="K977" i="2" s="1"/>
  <c r="L977" i="2" s="1"/>
  <c r="U977" i="2" s="1"/>
  <c r="J978" i="2"/>
  <c r="K978" i="2" s="1"/>
  <c r="L978" i="2" s="1"/>
  <c r="U978" i="2" s="1"/>
  <c r="J979" i="2"/>
  <c r="K979" i="2" s="1"/>
  <c r="L979" i="2" s="1"/>
  <c r="U979" i="2" s="1"/>
  <c r="J980" i="2"/>
  <c r="K980" i="2" s="1"/>
  <c r="L980" i="2" s="1"/>
  <c r="U980" i="2" s="1"/>
  <c r="J981" i="2"/>
  <c r="K981" i="2" s="1"/>
  <c r="L981" i="2" s="1"/>
  <c r="U981" i="2" s="1"/>
  <c r="J982" i="2"/>
  <c r="K982" i="2" s="1"/>
  <c r="L982" i="2" s="1"/>
  <c r="U982" i="2" s="1"/>
  <c r="J983" i="2"/>
  <c r="K983" i="2" s="1"/>
  <c r="L983" i="2" s="1"/>
  <c r="U983" i="2" s="1"/>
  <c r="J984" i="2"/>
  <c r="K984" i="2" s="1"/>
  <c r="L984" i="2" s="1"/>
  <c r="U984" i="2" s="1"/>
  <c r="J985" i="2"/>
  <c r="K985" i="2" s="1"/>
  <c r="L985" i="2" s="1"/>
  <c r="U985" i="2" s="1"/>
  <c r="J986" i="2"/>
  <c r="K986" i="2" s="1"/>
  <c r="L986" i="2" s="1"/>
  <c r="U986" i="2" s="1"/>
  <c r="J987" i="2"/>
  <c r="K987" i="2" s="1"/>
  <c r="L987" i="2" s="1"/>
  <c r="U987" i="2" s="1"/>
  <c r="J988" i="2"/>
  <c r="K988" i="2" s="1"/>
  <c r="L988" i="2" s="1"/>
  <c r="U988" i="2" s="1"/>
  <c r="J989" i="2"/>
  <c r="K989" i="2" s="1"/>
  <c r="L989" i="2" s="1"/>
  <c r="U989" i="2" s="1"/>
  <c r="J990" i="2"/>
  <c r="K990" i="2" s="1"/>
  <c r="L990" i="2" s="1"/>
  <c r="U990" i="2" s="1"/>
  <c r="J991" i="2"/>
  <c r="K991" i="2" s="1"/>
  <c r="L991" i="2" s="1"/>
  <c r="U991" i="2" s="1"/>
  <c r="J992" i="2"/>
  <c r="K992" i="2" s="1"/>
  <c r="L992" i="2" s="1"/>
  <c r="U992" i="2" s="1"/>
  <c r="J993" i="2"/>
  <c r="K993" i="2" s="1"/>
  <c r="L993" i="2" s="1"/>
  <c r="U993" i="2" s="1"/>
  <c r="J994" i="2"/>
  <c r="K994" i="2" s="1"/>
  <c r="L994" i="2" s="1"/>
  <c r="U994" i="2" s="1"/>
  <c r="J995" i="2"/>
  <c r="K995" i="2" s="1"/>
  <c r="L995" i="2" s="1"/>
  <c r="U995" i="2" s="1"/>
  <c r="J996" i="2"/>
  <c r="K996" i="2" s="1"/>
  <c r="L996" i="2" s="1"/>
  <c r="U996" i="2" s="1"/>
  <c r="J997" i="2"/>
  <c r="K997" i="2" s="1"/>
  <c r="L997" i="2" s="1"/>
  <c r="U997" i="2" s="1"/>
  <c r="J998" i="2"/>
  <c r="K998" i="2" s="1"/>
  <c r="L998" i="2" s="1"/>
  <c r="U998" i="2" s="1"/>
  <c r="J999" i="2"/>
  <c r="K999" i="2" s="1"/>
  <c r="L999" i="2" s="1"/>
  <c r="U999" i="2" s="1"/>
  <c r="J1000" i="2"/>
  <c r="K1000" i="2" s="1"/>
  <c r="L1000" i="2" s="1"/>
  <c r="U1000" i="2" s="1"/>
  <c r="J1001" i="2"/>
  <c r="K1001" i="2" s="1"/>
  <c r="L1001" i="2" s="1"/>
  <c r="U1001" i="2" s="1"/>
  <c r="J1002" i="2"/>
  <c r="K1002" i="2" s="1"/>
  <c r="L1002" i="2" s="1"/>
  <c r="U1002" i="2" s="1"/>
  <c r="J1003" i="2"/>
  <c r="K1003" i="2" s="1"/>
  <c r="L1003" i="2" s="1"/>
  <c r="U1003" i="2" s="1"/>
  <c r="J1004" i="2"/>
  <c r="K1004" i="2" s="1"/>
  <c r="L1004" i="2" s="1"/>
  <c r="U1004" i="2" s="1"/>
  <c r="J1005" i="2"/>
  <c r="K1005" i="2" s="1"/>
  <c r="L1005" i="2" s="1"/>
  <c r="U1005" i="2" s="1"/>
  <c r="J1006" i="2"/>
  <c r="K1006" i="2" s="1"/>
  <c r="L1006" i="2" s="1"/>
  <c r="U1006" i="2" s="1"/>
  <c r="J1007" i="2"/>
  <c r="K1007" i="2" s="1"/>
  <c r="L1007" i="2" s="1"/>
  <c r="U1007" i="2" s="1"/>
  <c r="J1008" i="2"/>
  <c r="K1008" i="2" s="1"/>
  <c r="L1008" i="2" s="1"/>
  <c r="U1008" i="2" s="1"/>
  <c r="J1009" i="2"/>
  <c r="K1009" i="2" s="1"/>
  <c r="L1009" i="2" s="1"/>
  <c r="U1009" i="2" s="1"/>
  <c r="J1010" i="2"/>
  <c r="K1010" i="2" s="1"/>
  <c r="L1010" i="2" s="1"/>
  <c r="U1010" i="2" s="1"/>
  <c r="J1011" i="2"/>
  <c r="K1011" i="2" s="1"/>
  <c r="L1011" i="2" s="1"/>
  <c r="U1011" i="2" s="1"/>
  <c r="J1012" i="2"/>
  <c r="K1012" i="2" s="1"/>
  <c r="L1012" i="2" s="1"/>
  <c r="U1012" i="2" s="1"/>
  <c r="J1013" i="2"/>
  <c r="K1013" i="2" s="1"/>
  <c r="L1013" i="2" s="1"/>
  <c r="U1013" i="2" s="1"/>
  <c r="J1014" i="2"/>
  <c r="K1014" i="2" s="1"/>
  <c r="L1014" i="2" s="1"/>
  <c r="U1014" i="2" s="1"/>
  <c r="J1015" i="2"/>
  <c r="K1015" i="2" s="1"/>
  <c r="L1015" i="2" s="1"/>
  <c r="U1015" i="2" s="1"/>
  <c r="J1016" i="2"/>
  <c r="K1016" i="2" s="1"/>
  <c r="L1016" i="2" s="1"/>
  <c r="U1016" i="2" s="1"/>
  <c r="J1017" i="2"/>
  <c r="K1017" i="2" s="1"/>
  <c r="L1017" i="2" s="1"/>
  <c r="U1017" i="2" s="1"/>
  <c r="J1018" i="2"/>
  <c r="K1018" i="2" s="1"/>
  <c r="L1018" i="2" s="1"/>
  <c r="U1018" i="2" s="1"/>
  <c r="J1019" i="2"/>
  <c r="K1019" i="2" s="1"/>
  <c r="L1019" i="2" s="1"/>
  <c r="U1019" i="2" s="1"/>
  <c r="J1020" i="2"/>
  <c r="K1020" i="2" s="1"/>
  <c r="L1020" i="2" s="1"/>
  <c r="U1020" i="2" s="1"/>
  <c r="J1021" i="2"/>
  <c r="K1021" i="2" s="1"/>
  <c r="L1021" i="2" s="1"/>
  <c r="U1021" i="2" s="1"/>
  <c r="J1022" i="2"/>
  <c r="K1022" i="2" s="1"/>
  <c r="L1022" i="2" s="1"/>
  <c r="U1022" i="2" s="1"/>
  <c r="J1023" i="2"/>
  <c r="K1023" i="2" s="1"/>
  <c r="L1023" i="2" s="1"/>
  <c r="U1023" i="2" s="1"/>
  <c r="J1024" i="2"/>
  <c r="K1024" i="2" s="1"/>
  <c r="L1024" i="2" s="1"/>
  <c r="U1024" i="2" s="1"/>
  <c r="J1025" i="2"/>
  <c r="K1025" i="2" s="1"/>
  <c r="L1025" i="2" s="1"/>
  <c r="U1025" i="2" s="1"/>
  <c r="J1026" i="2"/>
  <c r="K1026" i="2" s="1"/>
  <c r="L1026" i="2" s="1"/>
  <c r="U1026" i="2" s="1"/>
  <c r="J1027" i="2"/>
  <c r="K1027" i="2" s="1"/>
  <c r="L1027" i="2" s="1"/>
  <c r="U1027" i="2" s="1"/>
  <c r="J1028" i="2"/>
  <c r="K1028" i="2" s="1"/>
  <c r="L1028" i="2" s="1"/>
  <c r="U1028" i="2" s="1"/>
  <c r="J1029" i="2"/>
  <c r="K1029" i="2" s="1"/>
  <c r="L1029" i="2" s="1"/>
  <c r="U1029" i="2" s="1"/>
  <c r="J1030" i="2"/>
  <c r="K1030" i="2" s="1"/>
  <c r="L1030" i="2" s="1"/>
  <c r="U1030" i="2" s="1"/>
  <c r="J1031" i="2"/>
  <c r="K1031" i="2" s="1"/>
  <c r="L1031" i="2" s="1"/>
  <c r="U1031" i="2" s="1"/>
  <c r="J1032" i="2"/>
  <c r="K1032" i="2" s="1"/>
  <c r="L1032" i="2" s="1"/>
  <c r="U1032" i="2" s="1"/>
  <c r="J1033" i="2"/>
  <c r="K1033" i="2" s="1"/>
  <c r="L1033" i="2" s="1"/>
  <c r="U1033" i="2" s="1"/>
  <c r="J1034" i="2"/>
  <c r="K1034" i="2" s="1"/>
  <c r="L1034" i="2" s="1"/>
  <c r="U1034" i="2" s="1"/>
  <c r="J1035" i="2"/>
  <c r="K1035" i="2" s="1"/>
  <c r="L1035" i="2" s="1"/>
  <c r="U1035" i="2" s="1"/>
  <c r="J1036" i="2"/>
  <c r="K1036" i="2" s="1"/>
  <c r="L1036" i="2" s="1"/>
  <c r="U1036" i="2" s="1"/>
  <c r="J1037" i="2"/>
  <c r="K1037" i="2" s="1"/>
  <c r="L1037" i="2" s="1"/>
  <c r="U1037" i="2" s="1"/>
  <c r="J1038" i="2"/>
  <c r="K1038" i="2" s="1"/>
  <c r="L1038" i="2" s="1"/>
  <c r="U1038" i="2" s="1"/>
  <c r="J1039" i="2"/>
  <c r="K1039" i="2" s="1"/>
  <c r="L1039" i="2" s="1"/>
  <c r="U1039" i="2" s="1"/>
  <c r="J1040" i="2"/>
  <c r="K1040" i="2" s="1"/>
  <c r="L1040" i="2" s="1"/>
  <c r="U1040" i="2" s="1"/>
  <c r="J1041" i="2"/>
  <c r="K1041" i="2" s="1"/>
  <c r="L1041" i="2" s="1"/>
  <c r="U1041" i="2" s="1"/>
  <c r="J1042" i="2"/>
  <c r="K1042" i="2" s="1"/>
  <c r="L1042" i="2" s="1"/>
  <c r="U1042" i="2" s="1"/>
  <c r="J1043" i="2"/>
  <c r="K1043" i="2" s="1"/>
  <c r="L1043" i="2" s="1"/>
  <c r="U1043" i="2" s="1"/>
  <c r="J1044" i="2"/>
  <c r="K1044" i="2" s="1"/>
  <c r="L1044" i="2" s="1"/>
  <c r="U1044" i="2" s="1"/>
  <c r="J1045" i="2"/>
  <c r="K1045" i="2" s="1"/>
  <c r="L1045" i="2" s="1"/>
  <c r="U1045" i="2" s="1"/>
  <c r="J1046" i="2"/>
  <c r="K1046" i="2" s="1"/>
  <c r="L1046" i="2" s="1"/>
  <c r="U1046" i="2" s="1"/>
  <c r="J1047" i="2"/>
  <c r="K1047" i="2" s="1"/>
  <c r="L1047" i="2" s="1"/>
  <c r="U1047" i="2" s="1"/>
  <c r="J1048" i="2"/>
  <c r="K1048" i="2" s="1"/>
  <c r="L1048" i="2" s="1"/>
  <c r="U1048" i="2" s="1"/>
  <c r="J1049" i="2"/>
  <c r="K1049" i="2" s="1"/>
  <c r="L1049" i="2" s="1"/>
  <c r="U1049" i="2" s="1"/>
  <c r="J1050" i="2"/>
  <c r="K1050" i="2" s="1"/>
  <c r="L1050" i="2" s="1"/>
  <c r="U1050" i="2" s="1"/>
  <c r="J1051" i="2"/>
  <c r="K1051" i="2" s="1"/>
  <c r="L1051" i="2" s="1"/>
  <c r="U1051" i="2" s="1"/>
  <c r="J1052" i="2"/>
  <c r="K1052" i="2" s="1"/>
  <c r="L1052" i="2" s="1"/>
  <c r="U1052" i="2" s="1"/>
  <c r="J1053" i="2"/>
  <c r="K1053" i="2" s="1"/>
  <c r="L1053" i="2" s="1"/>
  <c r="U1053" i="2" s="1"/>
  <c r="J1054" i="2"/>
  <c r="K1054" i="2" s="1"/>
  <c r="L1054" i="2" s="1"/>
  <c r="U1054" i="2" s="1"/>
  <c r="J1055" i="2"/>
  <c r="K1055" i="2" s="1"/>
  <c r="L1055" i="2" s="1"/>
  <c r="U1055" i="2" s="1"/>
  <c r="J1056" i="2"/>
  <c r="K1056" i="2" s="1"/>
  <c r="L1056" i="2" s="1"/>
  <c r="U1056" i="2" s="1"/>
  <c r="J1057" i="2"/>
  <c r="K1057" i="2" s="1"/>
  <c r="L1057" i="2" s="1"/>
  <c r="U1057" i="2" s="1"/>
  <c r="J1058" i="2"/>
  <c r="K1058" i="2" s="1"/>
  <c r="L1058" i="2" s="1"/>
  <c r="U1058" i="2" s="1"/>
  <c r="J1059" i="2"/>
  <c r="K1059" i="2" s="1"/>
  <c r="L1059" i="2" s="1"/>
  <c r="U1059" i="2" s="1"/>
  <c r="J1060" i="2"/>
  <c r="K1060" i="2" s="1"/>
  <c r="L1060" i="2" s="1"/>
  <c r="U1060" i="2" s="1"/>
  <c r="J1061" i="2"/>
  <c r="K1061" i="2" s="1"/>
  <c r="L1061" i="2" s="1"/>
  <c r="U1061" i="2" s="1"/>
  <c r="J1062" i="2"/>
  <c r="K1062" i="2" s="1"/>
  <c r="L1062" i="2" s="1"/>
  <c r="U1062" i="2" s="1"/>
  <c r="J1063" i="2"/>
  <c r="K1063" i="2" s="1"/>
  <c r="L1063" i="2" s="1"/>
  <c r="U1063" i="2" s="1"/>
  <c r="J1064" i="2"/>
  <c r="K1064" i="2" s="1"/>
  <c r="L1064" i="2" s="1"/>
  <c r="U1064" i="2" s="1"/>
  <c r="J1065" i="2"/>
  <c r="K1065" i="2" s="1"/>
  <c r="L1065" i="2" s="1"/>
  <c r="U1065" i="2" s="1"/>
  <c r="J1066" i="2"/>
  <c r="K1066" i="2" s="1"/>
  <c r="L1066" i="2" s="1"/>
  <c r="U1066" i="2" s="1"/>
  <c r="J1067" i="2"/>
  <c r="K1067" i="2" s="1"/>
  <c r="L1067" i="2" s="1"/>
  <c r="U1067" i="2" s="1"/>
  <c r="J1068" i="2"/>
  <c r="K1068" i="2" s="1"/>
  <c r="L1068" i="2" s="1"/>
  <c r="U1068" i="2" s="1"/>
  <c r="J1069" i="2"/>
  <c r="K1069" i="2" s="1"/>
  <c r="L1069" i="2" s="1"/>
  <c r="U1069" i="2" s="1"/>
  <c r="J1070" i="2"/>
  <c r="K1070" i="2" s="1"/>
  <c r="L1070" i="2" s="1"/>
  <c r="U1070" i="2" s="1"/>
  <c r="J1071" i="2"/>
  <c r="K1071" i="2" s="1"/>
  <c r="L1071" i="2" s="1"/>
  <c r="U1071" i="2" s="1"/>
  <c r="J1072" i="2"/>
  <c r="K1072" i="2" s="1"/>
  <c r="L1072" i="2" s="1"/>
  <c r="U1072" i="2" s="1"/>
  <c r="J1073" i="2"/>
  <c r="K1073" i="2" s="1"/>
  <c r="L1073" i="2" s="1"/>
  <c r="U1073" i="2" s="1"/>
  <c r="J1074" i="2"/>
  <c r="K1074" i="2" s="1"/>
  <c r="L1074" i="2" s="1"/>
  <c r="U1074" i="2" s="1"/>
  <c r="J1075" i="2"/>
  <c r="K1075" i="2" s="1"/>
  <c r="L1075" i="2" s="1"/>
  <c r="U1075" i="2" s="1"/>
  <c r="J1076" i="2"/>
  <c r="K1076" i="2" s="1"/>
  <c r="L1076" i="2" s="1"/>
  <c r="U1076" i="2" s="1"/>
  <c r="J1077" i="2"/>
  <c r="K1077" i="2" s="1"/>
  <c r="L1077" i="2" s="1"/>
  <c r="U1077" i="2" s="1"/>
  <c r="J1078" i="2"/>
  <c r="K1078" i="2" s="1"/>
  <c r="L1078" i="2" s="1"/>
  <c r="U1078" i="2" s="1"/>
  <c r="J1079" i="2"/>
  <c r="K1079" i="2" s="1"/>
  <c r="L1079" i="2" s="1"/>
  <c r="U1079" i="2" s="1"/>
  <c r="J1080" i="2"/>
  <c r="K1080" i="2" s="1"/>
  <c r="L1080" i="2" s="1"/>
  <c r="U1080" i="2" s="1"/>
  <c r="J1081" i="2"/>
  <c r="K1081" i="2" s="1"/>
  <c r="L1081" i="2" s="1"/>
  <c r="U1081" i="2" s="1"/>
  <c r="J1082" i="2"/>
  <c r="K1082" i="2" s="1"/>
  <c r="L1082" i="2" s="1"/>
  <c r="U1082" i="2" s="1"/>
  <c r="J1083" i="2"/>
  <c r="K1083" i="2" s="1"/>
  <c r="L1083" i="2" s="1"/>
  <c r="U1083" i="2" s="1"/>
  <c r="J1084" i="2"/>
  <c r="K1084" i="2" s="1"/>
  <c r="L1084" i="2" s="1"/>
  <c r="U1084" i="2" s="1"/>
  <c r="J1085" i="2"/>
  <c r="K1085" i="2" s="1"/>
  <c r="L1085" i="2" s="1"/>
  <c r="U1085" i="2" s="1"/>
  <c r="J1086" i="2"/>
  <c r="K1086" i="2" s="1"/>
  <c r="L1086" i="2" s="1"/>
  <c r="U1086" i="2" s="1"/>
  <c r="J1087" i="2"/>
  <c r="K1087" i="2" s="1"/>
  <c r="L1087" i="2" s="1"/>
  <c r="U1087" i="2" s="1"/>
  <c r="J1088" i="2"/>
  <c r="K1088" i="2" s="1"/>
  <c r="L1088" i="2" s="1"/>
  <c r="U1088" i="2" s="1"/>
  <c r="J1089" i="2"/>
  <c r="K1089" i="2" s="1"/>
  <c r="L1089" i="2" s="1"/>
  <c r="U1089" i="2" s="1"/>
  <c r="J1090" i="2"/>
  <c r="K1090" i="2" s="1"/>
  <c r="L1090" i="2" s="1"/>
  <c r="U1090" i="2" s="1"/>
  <c r="J1091" i="2"/>
  <c r="K1091" i="2" s="1"/>
  <c r="L1091" i="2" s="1"/>
  <c r="U1091" i="2" s="1"/>
  <c r="J1092" i="2"/>
  <c r="K1092" i="2" s="1"/>
  <c r="L1092" i="2" s="1"/>
  <c r="U1092" i="2" s="1"/>
  <c r="J1093" i="2"/>
  <c r="K1093" i="2" s="1"/>
  <c r="L1093" i="2" s="1"/>
  <c r="U1093" i="2" s="1"/>
  <c r="J1094" i="2"/>
  <c r="K1094" i="2" s="1"/>
  <c r="L1094" i="2" s="1"/>
  <c r="U1094" i="2" s="1"/>
  <c r="J1095" i="2"/>
  <c r="K1095" i="2" s="1"/>
  <c r="L1095" i="2" s="1"/>
  <c r="U1095" i="2" s="1"/>
  <c r="J1096" i="2"/>
  <c r="K1096" i="2" s="1"/>
  <c r="L1096" i="2" s="1"/>
  <c r="U1096" i="2" s="1"/>
  <c r="J1097" i="2"/>
  <c r="K1097" i="2" s="1"/>
  <c r="L1097" i="2" s="1"/>
  <c r="U1097" i="2" s="1"/>
  <c r="J1098" i="2"/>
  <c r="K1098" i="2" s="1"/>
  <c r="L1098" i="2" s="1"/>
  <c r="U1098" i="2" s="1"/>
  <c r="J1099" i="2"/>
  <c r="K1099" i="2" s="1"/>
  <c r="L1099" i="2" s="1"/>
  <c r="U1099" i="2" s="1"/>
  <c r="J1100" i="2"/>
  <c r="K1100" i="2" s="1"/>
  <c r="L1100" i="2" s="1"/>
  <c r="U1100" i="2" s="1"/>
  <c r="J1101" i="2"/>
  <c r="K1101" i="2" s="1"/>
  <c r="L1101" i="2" s="1"/>
  <c r="U1101" i="2" s="1"/>
  <c r="J1102" i="2"/>
  <c r="K1102" i="2" s="1"/>
  <c r="L1102" i="2" s="1"/>
  <c r="U1102" i="2" s="1"/>
  <c r="J1103" i="2"/>
  <c r="K1103" i="2" s="1"/>
  <c r="L1103" i="2" s="1"/>
  <c r="U1103" i="2" s="1"/>
  <c r="J1104" i="2"/>
  <c r="K1104" i="2" s="1"/>
  <c r="L1104" i="2" s="1"/>
  <c r="U1104" i="2" s="1"/>
  <c r="J1105" i="2"/>
  <c r="K1105" i="2" s="1"/>
  <c r="L1105" i="2" s="1"/>
  <c r="U1105" i="2" s="1"/>
  <c r="J1106" i="2"/>
  <c r="K1106" i="2" s="1"/>
  <c r="L1106" i="2" s="1"/>
  <c r="U1106" i="2" s="1"/>
  <c r="J1107" i="2"/>
  <c r="K1107" i="2" s="1"/>
  <c r="L1107" i="2" s="1"/>
  <c r="U1107" i="2" s="1"/>
  <c r="J1108" i="2"/>
  <c r="K1108" i="2" s="1"/>
  <c r="L1108" i="2" s="1"/>
  <c r="U1108" i="2" s="1"/>
  <c r="J1109" i="2"/>
  <c r="K1109" i="2" s="1"/>
  <c r="L1109" i="2" s="1"/>
  <c r="U1109" i="2" s="1"/>
  <c r="J1110" i="2"/>
  <c r="K1110" i="2" s="1"/>
  <c r="L1110" i="2" s="1"/>
  <c r="U1110" i="2" s="1"/>
  <c r="J1111" i="2"/>
  <c r="K1111" i="2" s="1"/>
  <c r="L1111" i="2" s="1"/>
  <c r="U1111" i="2" s="1"/>
  <c r="J1112" i="2"/>
  <c r="K1112" i="2" s="1"/>
  <c r="L1112" i="2" s="1"/>
  <c r="U1112" i="2" s="1"/>
  <c r="J1113" i="2"/>
  <c r="K1113" i="2" s="1"/>
  <c r="L1113" i="2" s="1"/>
  <c r="U1113" i="2" s="1"/>
  <c r="J1114" i="2"/>
  <c r="K1114" i="2" s="1"/>
  <c r="L1114" i="2" s="1"/>
  <c r="U1114" i="2" s="1"/>
  <c r="J1115" i="2"/>
  <c r="K1115" i="2" s="1"/>
  <c r="L1115" i="2" s="1"/>
  <c r="U1115" i="2" s="1"/>
  <c r="J1116" i="2"/>
  <c r="K1116" i="2" s="1"/>
  <c r="L1116" i="2" s="1"/>
  <c r="U1116" i="2" s="1"/>
  <c r="J1117" i="2"/>
  <c r="K1117" i="2" s="1"/>
  <c r="L1117" i="2" s="1"/>
  <c r="U1117" i="2" s="1"/>
  <c r="J1118" i="2"/>
  <c r="K1118" i="2" s="1"/>
  <c r="L1118" i="2" s="1"/>
  <c r="U1118" i="2" s="1"/>
  <c r="J1119" i="2"/>
  <c r="K1119" i="2" s="1"/>
  <c r="L1119" i="2" s="1"/>
  <c r="U1119" i="2" s="1"/>
  <c r="J1120" i="2"/>
  <c r="K1120" i="2" s="1"/>
  <c r="L1120" i="2" s="1"/>
  <c r="U1120" i="2" s="1"/>
  <c r="J1121" i="2"/>
  <c r="K1121" i="2" s="1"/>
  <c r="L1121" i="2" s="1"/>
  <c r="U1121" i="2" s="1"/>
  <c r="J1122" i="2"/>
  <c r="K1122" i="2" s="1"/>
  <c r="L1122" i="2" s="1"/>
  <c r="U1122" i="2" s="1"/>
  <c r="J1123" i="2"/>
  <c r="K1123" i="2" s="1"/>
  <c r="L1123" i="2" s="1"/>
  <c r="U1123" i="2" s="1"/>
  <c r="J1124" i="2"/>
  <c r="K1124" i="2" s="1"/>
  <c r="L1124" i="2" s="1"/>
  <c r="U1124" i="2" s="1"/>
  <c r="J1125" i="2"/>
  <c r="K1125" i="2" s="1"/>
  <c r="L1125" i="2" s="1"/>
  <c r="U1125" i="2" s="1"/>
  <c r="J1126" i="2"/>
  <c r="K1126" i="2" s="1"/>
  <c r="L1126" i="2" s="1"/>
  <c r="U1126" i="2" s="1"/>
  <c r="J1127" i="2"/>
  <c r="K1127" i="2" s="1"/>
  <c r="L1127" i="2" s="1"/>
  <c r="U1127" i="2" s="1"/>
  <c r="J1128" i="2"/>
  <c r="K1128" i="2" s="1"/>
  <c r="L1128" i="2" s="1"/>
  <c r="U1128" i="2" s="1"/>
  <c r="J1129" i="2"/>
  <c r="K1129" i="2" s="1"/>
  <c r="L1129" i="2" s="1"/>
  <c r="U1129" i="2" s="1"/>
  <c r="J1130" i="2"/>
  <c r="K1130" i="2" s="1"/>
  <c r="L1130" i="2" s="1"/>
  <c r="U1130" i="2" s="1"/>
  <c r="J1131" i="2"/>
  <c r="K1131" i="2" s="1"/>
  <c r="L1131" i="2" s="1"/>
  <c r="U1131" i="2" s="1"/>
  <c r="J1132" i="2"/>
  <c r="K1132" i="2" s="1"/>
  <c r="L1132" i="2" s="1"/>
  <c r="U1132" i="2" s="1"/>
  <c r="J1133" i="2"/>
  <c r="K1133" i="2" s="1"/>
  <c r="L1133" i="2" s="1"/>
  <c r="U1133" i="2" s="1"/>
  <c r="J1134" i="2"/>
  <c r="K1134" i="2" s="1"/>
  <c r="L1134" i="2" s="1"/>
  <c r="U1134" i="2" s="1"/>
  <c r="J1135" i="2"/>
  <c r="K1135" i="2" s="1"/>
  <c r="L1135" i="2" s="1"/>
  <c r="U1135" i="2" s="1"/>
  <c r="J1136" i="2"/>
  <c r="K1136" i="2" s="1"/>
  <c r="L1136" i="2" s="1"/>
  <c r="U1136" i="2" s="1"/>
  <c r="J1137" i="2"/>
  <c r="K1137" i="2" s="1"/>
  <c r="L1137" i="2" s="1"/>
  <c r="U1137" i="2" s="1"/>
  <c r="J1138" i="2"/>
  <c r="K1138" i="2" s="1"/>
  <c r="L1138" i="2" s="1"/>
  <c r="U1138" i="2" s="1"/>
  <c r="J1139" i="2"/>
  <c r="K1139" i="2" s="1"/>
  <c r="L1139" i="2" s="1"/>
  <c r="U1139" i="2" s="1"/>
  <c r="J1140" i="2"/>
  <c r="K1140" i="2" s="1"/>
  <c r="L1140" i="2" s="1"/>
  <c r="U1140" i="2" s="1"/>
  <c r="J1141" i="2"/>
  <c r="K1141" i="2" s="1"/>
  <c r="L1141" i="2" s="1"/>
  <c r="U1141" i="2" s="1"/>
  <c r="J1142" i="2"/>
  <c r="K1142" i="2" s="1"/>
  <c r="L1142" i="2" s="1"/>
  <c r="U1142" i="2" s="1"/>
  <c r="J1143" i="2"/>
  <c r="K1143" i="2" s="1"/>
  <c r="L1143" i="2" s="1"/>
  <c r="U1143" i="2" s="1"/>
  <c r="J1144" i="2"/>
  <c r="K1144" i="2" s="1"/>
  <c r="L1144" i="2" s="1"/>
  <c r="U1144" i="2" s="1"/>
  <c r="J1145" i="2"/>
  <c r="K1145" i="2" s="1"/>
  <c r="L1145" i="2" s="1"/>
  <c r="U1145" i="2" s="1"/>
  <c r="J1146" i="2"/>
  <c r="K1146" i="2" s="1"/>
  <c r="L1146" i="2" s="1"/>
  <c r="U1146" i="2" s="1"/>
  <c r="J1147" i="2"/>
  <c r="K1147" i="2" s="1"/>
  <c r="L1147" i="2" s="1"/>
  <c r="U1147" i="2" s="1"/>
  <c r="J1148" i="2"/>
  <c r="K1148" i="2" s="1"/>
  <c r="L1148" i="2" s="1"/>
  <c r="U1148" i="2" s="1"/>
  <c r="J1149" i="2"/>
  <c r="K1149" i="2" s="1"/>
  <c r="L1149" i="2" s="1"/>
  <c r="U1149" i="2" s="1"/>
  <c r="J1150" i="2"/>
  <c r="K1150" i="2" s="1"/>
  <c r="L1150" i="2" s="1"/>
  <c r="U1150" i="2" s="1"/>
  <c r="J1151" i="2"/>
  <c r="K1151" i="2" s="1"/>
  <c r="L1151" i="2" s="1"/>
  <c r="U1151" i="2" s="1"/>
  <c r="J1152" i="2"/>
  <c r="K1152" i="2" s="1"/>
  <c r="L1152" i="2" s="1"/>
  <c r="U1152" i="2" s="1"/>
  <c r="J1153" i="2"/>
  <c r="K1153" i="2" s="1"/>
  <c r="L1153" i="2" s="1"/>
  <c r="U1153" i="2" s="1"/>
  <c r="J1154" i="2"/>
  <c r="K1154" i="2" s="1"/>
  <c r="L1154" i="2" s="1"/>
  <c r="U1154" i="2" s="1"/>
  <c r="J1155" i="2"/>
  <c r="K1155" i="2" s="1"/>
  <c r="L1155" i="2" s="1"/>
  <c r="U1155" i="2" s="1"/>
  <c r="J1156" i="2"/>
  <c r="K1156" i="2" s="1"/>
  <c r="L1156" i="2" s="1"/>
  <c r="U1156" i="2" s="1"/>
  <c r="J1157" i="2"/>
  <c r="K1157" i="2" s="1"/>
  <c r="L1157" i="2" s="1"/>
  <c r="U1157" i="2" s="1"/>
  <c r="J1158" i="2"/>
  <c r="K1158" i="2" s="1"/>
  <c r="L1158" i="2" s="1"/>
  <c r="U1158" i="2" s="1"/>
  <c r="J1159" i="2"/>
  <c r="K1159" i="2" s="1"/>
  <c r="L1159" i="2" s="1"/>
  <c r="U1159" i="2" s="1"/>
  <c r="J1160" i="2"/>
  <c r="K1160" i="2" s="1"/>
  <c r="L1160" i="2" s="1"/>
  <c r="U1160" i="2" s="1"/>
  <c r="J1161" i="2"/>
  <c r="K1161" i="2" s="1"/>
  <c r="L1161" i="2" s="1"/>
  <c r="U1161" i="2" s="1"/>
  <c r="J1162" i="2"/>
  <c r="K1162" i="2" s="1"/>
  <c r="L1162" i="2" s="1"/>
  <c r="U1162" i="2" s="1"/>
  <c r="J1163" i="2"/>
  <c r="K1163" i="2" s="1"/>
  <c r="L1163" i="2" s="1"/>
  <c r="U1163" i="2" s="1"/>
  <c r="J1164" i="2"/>
  <c r="K1164" i="2" s="1"/>
  <c r="L1164" i="2" s="1"/>
  <c r="U1164" i="2" s="1"/>
  <c r="J1165" i="2"/>
  <c r="K1165" i="2" s="1"/>
  <c r="L1165" i="2" s="1"/>
  <c r="U1165" i="2" s="1"/>
  <c r="J1166" i="2"/>
  <c r="K1166" i="2" s="1"/>
  <c r="L1166" i="2" s="1"/>
  <c r="U1166" i="2" s="1"/>
  <c r="J1167" i="2"/>
  <c r="K1167" i="2" s="1"/>
  <c r="L1167" i="2" s="1"/>
  <c r="U1167" i="2" s="1"/>
  <c r="J1168" i="2"/>
  <c r="K1168" i="2" s="1"/>
  <c r="L1168" i="2" s="1"/>
  <c r="U1168" i="2" s="1"/>
  <c r="J1169" i="2"/>
  <c r="K1169" i="2" s="1"/>
  <c r="L1169" i="2" s="1"/>
  <c r="U1169" i="2" s="1"/>
  <c r="J1170" i="2"/>
  <c r="K1170" i="2" s="1"/>
  <c r="L1170" i="2" s="1"/>
  <c r="U1170" i="2" s="1"/>
  <c r="J1171" i="2"/>
  <c r="K1171" i="2" s="1"/>
  <c r="L1171" i="2" s="1"/>
  <c r="U1171" i="2" s="1"/>
  <c r="J1172" i="2"/>
  <c r="K1172" i="2" s="1"/>
  <c r="L1172" i="2" s="1"/>
  <c r="U1172" i="2" s="1"/>
  <c r="J1173" i="2"/>
  <c r="K1173" i="2" s="1"/>
  <c r="L1173" i="2" s="1"/>
  <c r="U1173" i="2" s="1"/>
  <c r="J1174" i="2"/>
  <c r="K1174" i="2" s="1"/>
  <c r="L1174" i="2" s="1"/>
  <c r="U1174" i="2" s="1"/>
  <c r="J1175" i="2"/>
  <c r="K1175" i="2" s="1"/>
  <c r="L1175" i="2" s="1"/>
  <c r="U1175" i="2" s="1"/>
  <c r="J1176" i="2"/>
  <c r="K1176" i="2" s="1"/>
  <c r="L1176" i="2" s="1"/>
  <c r="U1176" i="2" s="1"/>
  <c r="J1177" i="2"/>
  <c r="K1177" i="2" s="1"/>
  <c r="L1177" i="2" s="1"/>
  <c r="U1177" i="2" s="1"/>
  <c r="J1178" i="2"/>
  <c r="K1178" i="2" s="1"/>
  <c r="L1178" i="2" s="1"/>
  <c r="U1178" i="2" s="1"/>
  <c r="J1179" i="2"/>
  <c r="K1179" i="2" s="1"/>
  <c r="L1179" i="2" s="1"/>
  <c r="U1179" i="2" s="1"/>
  <c r="J1180" i="2"/>
  <c r="K1180" i="2" s="1"/>
  <c r="L1180" i="2" s="1"/>
  <c r="U1180" i="2" s="1"/>
  <c r="J1181" i="2"/>
  <c r="K1181" i="2" s="1"/>
  <c r="L1181" i="2" s="1"/>
  <c r="U1181" i="2" s="1"/>
  <c r="J1182" i="2"/>
  <c r="K1182" i="2" s="1"/>
  <c r="L1182" i="2" s="1"/>
  <c r="U1182" i="2" s="1"/>
  <c r="J1183" i="2"/>
  <c r="K1183" i="2" s="1"/>
  <c r="L1183" i="2" s="1"/>
  <c r="U1183" i="2" s="1"/>
  <c r="J1184" i="2"/>
  <c r="K1184" i="2" s="1"/>
  <c r="L1184" i="2" s="1"/>
  <c r="U1184" i="2" s="1"/>
  <c r="J1185" i="2"/>
  <c r="K1185" i="2" s="1"/>
  <c r="L1185" i="2" s="1"/>
  <c r="U1185" i="2" s="1"/>
  <c r="J1186" i="2"/>
  <c r="K1186" i="2" s="1"/>
  <c r="L1186" i="2" s="1"/>
  <c r="U1186" i="2" s="1"/>
  <c r="J1187" i="2"/>
  <c r="K1187" i="2" s="1"/>
  <c r="L1187" i="2" s="1"/>
  <c r="U1187" i="2" s="1"/>
  <c r="J1188" i="2"/>
  <c r="K1188" i="2" s="1"/>
  <c r="L1188" i="2" s="1"/>
  <c r="U1188" i="2" s="1"/>
  <c r="J1189" i="2"/>
  <c r="K1189" i="2" s="1"/>
  <c r="L1189" i="2" s="1"/>
  <c r="U1189" i="2" s="1"/>
  <c r="J1190" i="2"/>
  <c r="K1190" i="2" s="1"/>
  <c r="L1190" i="2" s="1"/>
  <c r="U1190" i="2" s="1"/>
  <c r="J1191" i="2"/>
  <c r="K1191" i="2" s="1"/>
  <c r="L1191" i="2" s="1"/>
  <c r="U1191" i="2" s="1"/>
  <c r="J1192" i="2"/>
  <c r="K1192" i="2" s="1"/>
  <c r="L1192" i="2" s="1"/>
  <c r="U1192" i="2" s="1"/>
  <c r="J1193" i="2"/>
  <c r="K1193" i="2" s="1"/>
  <c r="L1193" i="2" s="1"/>
  <c r="U1193" i="2" s="1"/>
  <c r="J1194" i="2"/>
  <c r="K1194" i="2" s="1"/>
  <c r="L1194" i="2" s="1"/>
  <c r="U1194" i="2" s="1"/>
  <c r="J1195" i="2"/>
  <c r="K1195" i="2" s="1"/>
  <c r="L1195" i="2" s="1"/>
  <c r="U1195" i="2" s="1"/>
  <c r="J1196" i="2"/>
  <c r="K1196" i="2" s="1"/>
  <c r="L1196" i="2" s="1"/>
  <c r="U1196" i="2" s="1"/>
  <c r="J1197" i="2"/>
  <c r="K1197" i="2" s="1"/>
  <c r="L1197" i="2" s="1"/>
  <c r="U1197" i="2" s="1"/>
  <c r="J1198" i="2"/>
  <c r="K1198" i="2" s="1"/>
  <c r="L1198" i="2" s="1"/>
  <c r="U1198" i="2" s="1"/>
  <c r="J1199" i="2"/>
  <c r="K1199" i="2" s="1"/>
  <c r="L1199" i="2" s="1"/>
  <c r="U1199" i="2" s="1"/>
  <c r="J1200" i="2"/>
  <c r="K1200" i="2" s="1"/>
  <c r="L1200" i="2" s="1"/>
  <c r="U1200" i="2" s="1"/>
  <c r="J1201" i="2"/>
  <c r="K1201" i="2" s="1"/>
  <c r="L1201" i="2" s="1"/>
  <c r="U1201" i="2" s="1"/>
  <c r="J1202" i="2"/>
  <c r="K1202" i="2" s="1"/>
  <c r="L1202" i="2" s="1"/>
  <c r="U1202" i="2" s="1"/>
  <c r="J1203" i="2"/>
  <c r="K1203" i="2" s="1"/>
  <c r="L1203" i="2" s="1"/>
  <c r="U1203" i="2" s="1"/>
  <c r="J1204" i="2"/>
  <c r="K1204" i="2" s="1"/>
  <c r="L1204" i="2" s="1"/>
  <c r="U1204" i="2" s="1"/>
  <c r="J1205" i="2"/>
  <c r="K1205" i="2" s="1"/>
  <c r="L1205" i="2" s="1"/>
  <c r="U1205" i="2" s="1"/>
  <c r="J1206" i="2"/>
  <c r="K1206" i="2" s="1"/>
  <c r="L1206" i="2" s="1"/>
  <c r="U1206" i="2" s="1"/>
  <c r="J1207" i="2"/>
  <c r="K1207" i="2" s="1"/>
  <c r="L1207" i="2" s="1"/>
  <c r="U1207" i="2" s="1"/>
  <c r="J1208" i="2"/>
  <c r="K1208" i="2" s="1"/>
  <c r="L1208" i="2" s="1"/>
  <c r="U1208" i="2" s="1"/>
  <c r="J1209" i="2"/>
  <c r="K1209" i="2" s="1"/>
  <c r="L1209" i="2" s="1"/>
  <c r="U1209" i="2" s="1"/>
  <c r="J1210" i="2"/>
  <c r="K1210" i="2" s="1"/>
  <c r="L1210" i="2" s="1"/>
  <c r="U1210" i="2" s="1"/>
  <c r="J1211" i="2"/>
  <c r="K1211" i="2" s="1"/>
  <c r="L1211" i="2" s="1"/>
  <c r="U1211" i="2" s="1"/>
  <c r="J1212" i="2"/>
  <c r="K1212" i="2" s="1"/>
  <c r="L1212" i="2" s="1"/>
  <c r="U1212" i="2" s="1"/>
  <c r="J1213" i="2"/>
  <c r="K1213" i="2" s="1"/>
  <c r="L1213" i="2" s="1"/>
  <c r="U1213" i="2" s="1"/>
  <c r="J1214" i="2"/>
  <c r="K1214" i="2" s="1"/>
  <c r="L1214" i="2" s="1"/>
  <c r="U1214" i="2" s="1"/>
  <c r="J1215" i="2"/>
  <c r="K1215" i="2" s="1"/>
  <c r="L1215" i="2" s="1"/>
  <c r="U1215" i="2" s="1"/>
  <c r="J1216" i="2"/>
  <c r="K1216" i="2" s="1"/>
  <c r="L1216" i="2" s="1"/>
  <c r="U1216" i="2" s="1"/>
  <c r="J1217" i="2"/>
  <c r="K1217" i="2" s="1"/>
  <c r="L1217" i="2" s="1"/>
  <c r="U1217" i="2" s="1"/>
  <c r="J1218" i="2"/>
  <c r="K1218" i="2" s="1"/>
  <c r="L1218" i="2" s="1"/>
  <c r="U1218" i="2" s="1"/>
  <c r="J1219" i="2"/>
  <c r="K1219" i="2" s="1"/>
  <c r="L1219" i="2" s="1"/>
  <c r="U1219" i="2" s="1"/>
  <c r="J1220" i="2"/>
  <c r="K1220" i="2" s="1"/>
  <c r="L1220" i="2" s="1"/>
  <c r="U1220" i="2" s="1"/>
  <c r="J1221" i="2"/>
  <c r="K1221" i="2" s="1"/>
  <c r="L1221" i="2" s="1"/>
  <c r="U1221" i="2" s="1"/>
  <c r="J1222" i="2"/>
  <c r="K1222" i="2" s="1"/>
  <c r="L1222" i="2" s="1"/>
  <c r="U1222" i="2" s="1"/>
  <c r="J1223" i="2"/>
  <c r="K1223" i="2" s="1"/>
  <c r="L1223" i="2" s="1"/>
  <c r="U1223" i="2" s="1"/>
  <c r="J1224" i="2"/>
  <c r="K1224" i="2" s="1"/>
  <c r="L1224" i="2" s="1"/>
  <c r="U1224" i="2" s="1"/>
  <c r="J1225" i="2"/>
  <c r="K1225" i="2" s="1"/>
  <c r="L1225" i="2" s="1"/>
  <c r="U1225" i="2" s="1"/>
  <c r="J1226" i="2"/>
  <c r="K1226" i="2" s="1"/>
  <c r="L1226" i="2" s="1"/>
  <c r="U1226" i="2" s="1"/>
  <c r="J1227" i="2"/>
  <c r="K1227" i="2" s="1"/>
  <c r="L1227" i="2" s="1"/>
  <c r="U1227" i="2" s="1"/>
  <c r="J1228" i="2"/>
  <c r="K1228" i="2" s="1"/>
  <c r="L1228" i="2" s="1"/>
  <c r="U1228" i="2" s="1"/>
  <c r="J1229" i="2"/>
  <c r="K1229" i="2" s="1"/>
  <c r="L1229" i="2" s="1"/>
  <c r="U1229" i="2" s="1"/>
  <c r="J1230" i="2"/>
  <c r="K1230" i="2" s="1"/>
  <c r="L1230" i="2" s="1"/>
  <c r="U1230" i="2" s="1"/>
  <c r="J1231" i="2"/>
  <c r="K1231" i="2" s="1"/>
  <c r="L1231" i="2" s="1"/>
  <c r="U1231" i="2" s="1"/>
  <c r="J1232" i="2"/>
  <c r="K1232" i="2" s="1"/>
  <c r="L1232" i="2" s="1"/>
  <c r="U1232" i="2" s="1"/>
  <c r="J1233" i="2"/>
  <c r="K1233" i="2" s="1"/>
  <c r="L1233" i="2" s="1"/>
  <c r="U1233" i="2" s="1"/>
  <c r="J1234" i="2"/>
  <c r="K1234" i="2" s="1"/>
  <c r="L1234" i="2" s="1"/>
  <c r="U1234" i="2" s="1"/>
  <c r="J1235" i="2"/>
  <c r="K1235" i="2" s="1"/>
  <c r="L1235" i="2" s="1"/>
  <c r="U1235" i="2" s="1"/>
  <c r="J1236" i="2"/>
  <c r="K1236" i="2" s="1"/>
  <c r="L1236" i="2" s="1"/>
  <c r="U1236" i="2" s="1"/>
  <c r="J1237" i="2"/>
  <c r="K1237" i="2" s="1"/>
  <c r="L1237" i="2" s="1"/>
  <c r="U1237" i="2" s="1"/>
  <c r="J1238" i="2"/>
  <c r="K1238" i="2" s="1"/>
  <c r="L1238" i="2" s="1"/>
  <c r="U1238" i="2" s="1"/>
  <c r="J1239" i="2"/>
  <c r="K1239" i="2" s="1"/>
  <c r="L1239" i="2" s="1"/>
  <c r="U1239" i="2" s="1"/>
  <c r="J1240" i="2"/>
  <c r="K1240" i="2" s="1"/>
  <c r="L1240" i="2" s="1"/>
  <c r="U1240" i="2" s="1"/>
  <c r="J1241" i="2"/>
  <c r="K1241" i="2" s="1"/>
  <c r="L1241" i="2" s="1"/>
  <c r="U1241" i="2" s="1"/>
  <c r="J1242" i="2"/>
  <c r="K1242" i="2" s="1"/>
  <c r="L1242" i="2" s="1"/>
  <c r="U1242" i="2" s="1"/>
  <c r="J1243" i="2"/>
  <c r="K1243" i="2" s="1"/>
  <c r="L1243" i="2" s="1"/>
  <c r="U1243" i="2" s="1"/>
  <c r="J1244" i="2"/>
  <c r="K1244" i="2" s="1"/>
  <c r="L1244" i="2" s="1"/>
  <c r="U1244" i="2" s="1"/>
  <c r="J1245" i="2"/>
  <c r="K1245" i="2" s="1"/>
  <c r="L1245" i="2" s="1"/>
  <c r="U1245" i="2" s="1"/>
  <c r="J1246" i="2"/>
  <c r="K1246" i="2" s="1"/>
  <c r="L1246" i="2" s="1"/>
  <c r="U1246" i="2" s="1"/>
  <c r="J1247" i="2"/>
  <c r="K1247" i="2" s="1"/>
  <c r="L1247" i="2" s="1"/>
  <c r="U1247" i="2" s="1"/>
  <c r="J1248" i="2"/>
  <c r="K1248" i="2" s="1"/>
  <c r="L1248" i="2" s="1"/>
  <c r="U1248" i="2" s="1"/>
  <c r="J1249" i="2"/>
  <c r="K1249" i="2" s="1"/>
  <c r="L1249" i="2" s="1"/>
  <c r="U1249" i="2" s="1"/>
  <c r="J1250" i="2"/>
  <c r="K1250" i="2" s="1"/>
  <c r="L1250" i="2" s="1"/>
  <c r="U1250" i="2" s="1"/>
  <c r="J1251" i="2"/>
  <c r="K1251" i="2" s="1"/>
  <c r="L1251" i="2" s="1"/>
  <c r="U1251" i="2" s="1"/>
  <c r="J1252" i="2"/>
  <c r="K1252" i="2" s="1"/>
  <c r="L1252" i="2" s="1"/>
  <c r="U1252" i="2" s="1"/>
  <c r="J1253" i="2"/>
  <c r="K1253" i="2" s="1"/>
  <c r="L1253" i="2" s="1"/>
  <c r="U1253" i="2" s="1"/>
  <c r="J1254" i="2"/>
  <c r="K1254" i="2" s="1"/>
  <c r="L1254" i="2" s="1"/>
  <c r="U1254" i="2" s="1"/>
  <c r="J1255" i="2"/>
  <c r="K1255" i="2" s="1"/>
  <c r="L1255" i="2" s="1"/>
  <c r="U1255" i="2" s="1"/>
  <c r="J1256" i="2"/>
  <c r="K1256" i="2" s="1"/>
  <c r="L1256" i="2" s="1"/>
  <c r="U1256" i="2" s="1"/>
  <c r="J1257" i="2"/>
  <c r="K1257" i="2" s="1"/>
  <c r="L1257" i="2" s="1"/>
  <c r="U1257" i="2" s="1"/>
  <c r="J1258" i="2"/>
  <c r="K1258" i="2" s="1"/>
  <c r="L1258" i="2" s="1"/>
  <c r="U1258" i="2" s="1"/>
  <c r="J1259" i="2"/>
  <c r="K1259" i="2" s="1"/>
  <c r="L1259" i="2" s="1"/>
  <c r="U1259" i="2" s="1"/>
  <c r="J1260" i="2"/>
  <c r="K1260" i="2" s="1"/>
  <c r="L1260" i="2" s="1"/>
  <c r="U1260" i="2" s="1"/>
  <c r="J1261" i="2"/>
  <c r="K1261" i="2" s="1"/>
  <c r="L1261" i="2" s="1"/>
  <c r="U1261" i="2" s="1"/>
  <c r="J1262" i="2"/>
  <c r="K1262" i="2" s="1"/>
  <c r="L1262" i="2" s="1"/>
  <c r="U1262" i="2" s="1"/>
  <c r="J1263" i="2"/>
  <c r="K1263" i="2" s="1"/>
  <c r="L1263" i="2" s="1"/>
  <c r="U1263" i="2" s="1"/>
  <c r="J1264" i="2"/>
  <c r="K1264" i="2" s="1"/>
  <c r="L1264" i="2" s="1"/>
  <c r="U1264" i="2" s="1"/>
  <c r="J1265" i="2"/>
  <c r="K1265" i="2" s="1"/>
  <c r="L1265" i="2" s="1"/>
  <c r="U1265" i="2" s="1"/>
  <c r="J1266" i="2"/>
  <c r="K1266" i="2" s="1"/>
  <c r="L1266" i="2" s="1"/>
  <c r="U1266" i="2" s="1"/>
  <c r="J1267" i="2"/>
  <c r="K1267" i="2" s="1"/>
  <c r="L1267" i="2" s="1"/>
  <c r="U1267" i="2" s="1"/>
  <c r="J1268" i="2"/>
  <c r="K1268" i="2" s="1"/>
  <c r="L1268" i="2" s="1"/>
  <c r="U1268" i="2" s="1"/>
  <c r="J1269" i="2"/>
  <c r="K1269" i="2" s="1"/>
  <c r="L1269" i="2" s="1"/>
  <c r="U1269" i="2" s="1"/>
  <c r="J1270" i="2"/>
  <c r="K1270" i="2" s="1"/>
  <c r="L1270" i="2" s="1"/>
  <c r="U1270" i="2" s="1"/>
  <c r="J1271" i="2"/>
  <c r="K1271" i="2" s="1"/>
  <c r="L1271" i="2" s="1"/>
  <c r="U1271" i="2" s="1"/>
  <c r="J1272" i="2"/>
  <c r="K1272" i="2" s="1"/>
  <c r="L1272" i="2" s="1"/>
  <c r="U1272" i="2" s="1"/>
  <c r="J1273" i="2"/>
  <c r="K1273" i="2" s="1"/>
  <c r="L1273" i="2" s="1"/>
  <c r="U1273" i="2" s="1"/>
  <c r="J1274" i="2"/>
  <c r="K1274" i="2" s="1"/>
  <c r="L1274" i="2" s="1"/>
  <c r="U1274" i="2" s="1"/>
  <c r="J1275" i="2"/>
  <c r="K1275" i="2" s="1"/>
  <c r="L1275" i="2" s="1"/>
  <c r="U1275" i="2" s="1"/>
  <c r="J1276" i="2"/>
  <c r="K1276" i="2" s="1"/>
  <c r="L1276" i="2" s="1"/>
  <c r="U1276" i="2" s="1"/>
  <c r="J1277" i="2"/>
  <c r="K1277" i="2" s="1"/>
  <c r="L1277" i="2" s="1"/>
  <c r="U1277" i="2" s="1"/>
  <c r="J1278" i="2"/>
  <c r="K1278" i="2" s="1"/>
  <c r="L1278" i="2" s="1"/>
  <c r="U1278" i="2" s="1"/>
  <c r="J1279" i="2"/>
  <c r="K1279" i="2" s="1"/>
  <c r="L1279" i="2" s="1"/>
  <c r="U1279" i="2" s="1"/>
  <c r="J1280" i="2"/>
  <c r="K1280" i="2" s="1"/>
  <c r="L1280" i="2" s="1"/>
  <c r="U1280" i="2" s="1"/>
  <c r="J1281" i="2"/>
  <c r="K1281" i="2" s="1"/>
  <c r="L1281" i="2" s="1"/>
  <c r="U1281" i="2" s="1"/>
  <c r="J1282" i="2"/>
  <c r="K1282" i="2" s="1"/>
  <c r="L1282" i="2" s="1"/>
  <c r="U1282" i="2" s="1"/>
  <c r="J1283" i="2"/>
  <c r="K1283" i="2" s="1"/>
  <c r="L1283" i="2" s="1"/>
  <c r="U1283" i="2" s="1"/>
  <c r="J1284" i="2"/>
  <c r="K1284" i="2" s="1"/>
  <c r="L1284" i="2" s="1"/>
  <c r="U1284" i="2" s="1"/>
  <c r="J1285" i="2"/>
  <c r="K1285" i="2" s="1"/>
  <c r="L1285" i="2" s="1"/>
  <c r="U1285" i="2" s="1"/>
  <c r="J1286" i="2"/>
  <c r="K1286" i="2" s="1"/>
  <c r="L1286" i="2" s="1"/>
  <c r="U1286" i="2" s="1"/>
  <c r="J1287" i="2"/>
  <c r="K1287" i="2" s="1"/>
  <c r="L1287" i="2" s="1"/>
  <c r="U1287" i="2" s="1"/>
  <c r="J1288" i="2"/>
  <c r="K1288" i="2" s="1"/>
  <c r="L1288" i="2" s="1"/>
  <c r="U1288" i="2" s="1"/>
  <c r="J1289" i="2"/>
  <c r="K1289" i="2" s="1"/>
  <c r="L1289" i="2" s="1"/>
  <c r="U1289" i="2" s="1"/>
  <c r="J1290" i="2"/>
  <c r="K1290" i="2" s="1"/>
  <c r="L1290" i="2" s="1"/>
  <c r="U1290" i="2" s="1"/>
  <c r="J1291" i="2"/>
  <c r="K1291" i="2" s="1"/>
  <c r="L1291" i="2" s="1"/>
  <c r="U1291" i="2" s="1"/>
  <c r="J1292" i="2"/>
  <c r="K1292" i="2" s="1"/>
  <c r="L1292" i="2" s="1"/>
  <c r="U1292" i="2" s="1"/>
  <c r="J1293" i="2"/>
  <c r="K1293" i="2" s="1"/>
  <c r="L1293" i="2" s="1"/>
  <c r="U1293" i="2" s="1"/>
  <c r="J1294" i="2"/>
  <c r="K1294" i="2" s="1"/>
  <c r="L1294" i="2" s="1"/>
  <c r="U1294" i="2" s="1"/>
  <c r="J1295" i="2"/>
  <c r="K1295" i="2" s="1"/>
  <c r="L1295" i="2" s="1"/>
  <c r="U1295" i="2" s="1"/>
  <c r="J1296" i="2"/>
  <c r="K1296" i="2" s="1"/>
  <c r="L1296" i="2" s="1"/>
  <c r="U1296" i="2" s="1"/>
  <c r="J1297" i="2"/>
  <c r="K1297" i="2" s="1"/>
  <c r="L1297" i="2" s="1"/>
  <c r="U1297" i="2" s="1"/>
  <c r="J1298" i="2"/>
  <c r="K1298" i="2" s="1"/>
  <c r="L1298" i="2" s="1"/>
  <c r="U1298" i="2" s="1"/>
  <c r="J1299" i="2"/>
  <c r="K1299" i="2" s="1"/>
  <c r="L1299" i="2" s="1"/>
  <c r="U1299" i="2" s="1"/>
  <c r="J1300" i="2"/>
  <c r="K1300" i="2" s="1"/>
  <c r="L1300" i="2" s="1"/>
  <c r="U1300" i="2" s="1"/>
  <c r="J1301" i="2"/>
  <c r="K1301" i="2" s="1"/>
  <c r="L1301" i="2" s="1"/>
  <c r="U1301" i="2" s="1"/>
  <c r="J1302" i="2"/>
  <c r="K1302" i="2" s="1"/>
  <c r="L1302" i="2" s="1"/>
  <c r="U1302" i="2" s="1"/>
  <c r="J1303" i="2"/>
  <c r="K1303" i="2" s="1"/>
  <c r="L1303" i="2" s="1"/>
  <c r="U1303" i="2" s="1"/>
  <c r="J1304" i="2"/>
  <c r="K1304" i="2" s="1"/>
  <c r="L1304" i="2" s="1"/>
  <c r="U1304" i="2" s="1"/>
  <c r="J1305" i="2"/>
  <c r="K1305" i="2" s="1"/>
  <c r="L1305" i="2" s="1"/>
  <c r="U1305" i="2" s="1"/>
  <c r="J1306" i="2"/>
  <c r="K1306" i="2" s="1"/>
  <c r="L1306" i="2" s="1"/>
  <c r="U1306" i="2" s="1"/>
  <c r="J1307" i="2"/>
  <c r="K1307" i="2" s="1"/>
  <c r="L1307" i="2" s="1"/>
  <c r="U1307" i="2" s="1"/>
  <c r="J1308" i="2"/>
  <c r="K1308" i="2" s="1"/>
  <c r="L1308" i="2" s="1"/>
  <c r="U1308" i="2" s="1"/>
  <c r="J1309" i="2"/>
  <c r="K1309" i="2" s="1"/>
  <c r="L1309" i="2" s="1"/>
  <c r="U1309" i="2" s="1"/>
  <c r="J1310" i="2"/>
  <c r="K1310" i="2" s="1"/>
  <c r="L1310" i="2" s="1"/>
  <c r="U1310" i="2" s="1"/>
  <c r="J1311" i="2"/>
  <c r="K1311" i="2" s="1"/>
  <c r="L1311" i="2" s="1"/>
  <c r="U1311" i="2" s="1"/>
  <c r="J1312" i="2"/>
  <c r="K1312" i="2" s="1"/>
  <c r="L1312" i="2" s="1"/>
  <c r="U1312" i="2" s="1"/>
  <c r="J1313" i="2"/>
  <c r="K1313" i="2" s="1"/>
  <c r="L1313" i="2" s="1"/>
  <c r="U1313" i="2" s="1"/>
  <c r="J1314" i="2"/>
  <c r="K1314" i="2" s="1"/>
  <c r="L1314" i="2" s="1"/>
  <c r="U1314" i="2" s="1"/>
  <c r="J1315" i="2"/>
  <c r="K1315" i="2" s="1"/>
  <c r="L1315" i="2" s="1"/>
  <c r="U1315" i="2" s="1"/>
  <c r="J1316" i="2"/>
  <c r="K1316" i="2" s="1"/>
  <c r="L1316" i="2" s="1"/>
  <c r="U1316" i="2" s="1"/>
  <c r="J1317" i="2"/>
  <c r="K1317" i="2" s="1"/>
  <c r="L1317" i="2" s="1"/>
  <c r="U1317" i="2" s="1"/>
  <c r="J1318" i="2"/>
  <c r="K1318" i="2" s="1"/>
  <c r="L1318" i="2" s="1"/>
  <c r="U1318" i="2" s="1"/>
  <c r="J1319" i="2"/>
  <c r="K1319" i="2" s="1"/>
  <c r="L1319" i="2" s="1"/>
  <c r="U1319" i="2" s="1"/>
  <c r="J1320" i="2"/>
  <c r="K1320" i="2" s="1"/>
  <c r="L1320" i="2" s="1"/>
  <c r="U1320" i="2" s="1"/>
  <c r="J1321" i="2"/>
  <c r="K1321" i="2" s="1"/>
  <c r="L1321" i="2" s="1"/>
  <c r="U1321" i="2" s="1"/>
  <c r="J1322" i="2"/>
  <c r="K1322" i="2" s="1"/>
  <c r="L1322" i="2" s="1"/>
  <c r="U1322" i="2" s="1"/>
  <c r="J1323" i="2"/>
  <c r="K1323" i="2" s="1"/>
  <c r="L1323" i="2" s="1"/>
  <c r="U1323" i="2" s="1"/>
  <c r="J1324" i="2"/>
  <c r="K1324" i="2" s="1"/>
  <c r="L1324" i="2" s="1"/>
  <c r="U1324" i="2" s="1"/>
  <c r="J1325" i="2"/>
  <c r="K1325" i="2" s="1"/>
  <c r="L1325" i="2" s="1"/>
  <c r="U1325" i="2" s="1"/>
  <c r="J1326" i="2"/>
  <c r="K1326" i="2" s="1"/>
  <c r="L1326" i="2" s="1"/>
  <c r="U1326" i="2" s="1"/>
  <c r="J1327" i="2"/>
  <c r="K1327" i="2" s="1"/>
  <c r="L1327" i="2" s="1"/>
  <c r="U1327" i="2" s="1"/>
  <c r="J1328" i="2"/>
  <c r="K1328" i="2" s="1"/>
  <c r="L1328" i="2" s="1"/>
  <c r="U1328" i="2" s="1"/>
  <c r="J1329" i="2"/>
  <c r="K1329" i="2" s="1"/>
  <c r="L1329" i="2" s="1"/>
  <c r="U1329" i="2" s="1"/>
  <c r="J1330" i="2"/>
  <c r="K1330" i="2" s="1"/>
  <c r="L1330" i="2" s="1"/>
  <c r="U1330" i="2" s="1"/>
  <c r="J1331" i="2"/>
  <c r="K1331" i="2" s="1"/>
  <c r="L1331" i="2" s="1"/>
  <c r="U1331" i="2" s="1"/>
  <c r="J1332" i="2"/>
  <c r="K1332" i="2" s="1"/>
  <c r="L1332" i="2" s="1"/>
  <c r="U1332" i="2" s="1"/>
  <c r="J1333" i="2"/>
  <c r="K1333" i="2" s="1"/>
  <c r="L1333" i="2" s="1"/>
  <c r="U1333" i="2" s="1"/>
  <c r="J1334" i="2"/>
  <c r="K1334" i="2" s="1"/>
  <c r="L1334" i="2" s="1"/>
  <c r="U1334" i="2" s="1"/>
  <c r="J1335" i="2"/>
  <c r="K1335" i="2" s="1"/>
  <c r="L1335" i="2" s="1"/>
  <c r="U1335" i="2" s="1"/>
  <c r="J1336" i="2"/>
  <c r="K1336" i="2" s="1"/>
  <c r="L1336" i="2" s="1"/>
  <c r="U1336" i="2" s="1"/>
  <c r="J1337" i="2"/>
  <c r="K1337" i="2" s="1"/>
  <c r="L1337" i="2" s="1"/>
  <c r="U1337" i="2" s="1"/>
  <c r="J1338" i="2"/>
  <c r="K1338" i="2" s="1"/>
  <c r="L1338" i="2" s="1"/>
  <c r="U1338" i="2" s="1"/>
  <c r="J1339" i="2"/>
  <c r="K1339" i="2" s="1"/>
  <c r="L1339" i="2" s="1"/>
  <c r="U1339" i="2" s="1"/>
  <c r="J1340" i="2"/>
  <c r="K1340" i="2" s="1"/>
  <c r="L1340" i="2" s="1"/>
  <c r="U1340" i="2" s="1"/>
  <c r="J1341" i="2"/>
  <c r="K1341" i="2" s="1"/>
  <c r="L1341" i="2" s="1"/>
  <c r="U1341" i="2" s="1"/>
  <c r="J1342" i="2"/>
  <c r="K1342" i="2" s="1"/>
  <c r="L1342" i="2" s="1"/>
  <c r="U1342" i="2" s="1"/>
  <c r="J1343" i="2"/>
  <c r="K1343" i="2" s="1"/>
  <c r="L1343" i="2" s="1"/>
  <c r="U1343" i="2" s="1"/>
  <c r="J1344" i="2"/>
  <c r="K1344" i="2" s="1"/>
  <c r="L1344" i="2" s="1"/>
  <c r="U1344" i="2" s="1"/>
  <c r="J1345" i="2"/>
  <c r="K1345" i="2" s="1"/>
  <c r="L1345" i="2" s="1"/>
  <c r="U1345" i="2" s="1"/>
  <c r="J1346" i="2"/>
  <c r="K1346" i="2" s="1"/>
  <c r="L1346" i="2" s="1"/>
  <c r="U1346" i="2" s="1"/>
  <c r="J1347" i="2"/>
  <c r="K1347" i="2" s="1"/>
  <c r="L1347" i="2" s="1"/>
  <c r="U1347" i="2" s="1"/>
  <c r="J1348" i="2"/>
  <c r="K1348" i="2" s="1"/>
  <c r="L1348" i="2" s="1"/>
  <c r="U1348" i="2" s="1"/>
  <c r="J1349" i="2"/>
  <c r="K1349" i="2" s="1"/>
  <c r="L1349" i="2" s="1"/>
  <c r="U1349" i="2" s="1"/>
  <c r="J1350" i="2"/>
  <c r="K1350" i="2" s="1"/>
  <c r="L1350" i="2" s="1"/>
  <c r="U1350" i="2" s="1"/>
  <c r="J1351" i="2"/>
  <c r="K1351" i="2" s="1"/>
  <c r="L1351" i="2" s="1"/>
  <c r="U1351" i="2" s="1"/>
  <c r="J1352" i="2"/>
  <c r="K1352" i="2" s="1"/>
  <c r="L1352" i="2" s="1"/>
  <c r="U1352" i="2" s="1"/>
  <c r="J1353" i="2"/>
  <c r="K1353" i="2" s="1"/>
  <c r="L1353" i="2" s="1"/>
  <c r="U1353" i="2" s="1"/>
  <c r="J1354" i="2"/>
  <c r="K1354" i="2" s="1"/>
  <c r="L1354" i="2" s="1"/>
  <c r="U1354" i="2" s="1"/>
  <c r="J1355" i="2"/>
  <c r="K1355" i="2" s="1"/>
  <c r="L1355" i="2" s="1"/>
  <c r="U1355" i="2" s="1"/>
  <c r="J1356" i="2"/>
  <c r="K1356" i="2" s="1"/>
  <c r="L1356" i="2" s="1"/>
  <c r="U1356" i="2" s="1"/>
  <c r="J1357" i="2"/>
  <c r="K1357" i="2" s="1"/>
  <c r="L1357" i="2" s="1"/>
  <c r="U1357" i="2" s="1"/>
  <c r="J1358" i="2"/>
  <c r="K1358" i="2" s="1"/>
  <c r="L1358" i="2" s="1"/>
  <c r="U1358" i="2" s="1"/>
  <c r="J1359" i="2"/>
  <c r="K1359" i="2" s="1"/>
  <c r="L1359" i="2" s="1"/>
  <c r="U1359" i="2" s="1"/>
  <c r="J1360" i="2"/>
  <c r="K1360" i="2" s="1"/>
  <c r="L1360" i="2" s="1"/>
  <c r="U1360" i="2" s="1"/>
  <c r="J1361" i="2"/>
  <c r="K1361" i="2" s="1"/>
  <c r="L1361" i="2" s="1"/>
  <c r="U1361" i="2" s="1"/>
  <c r="J1362" i="2"/>
  <c r="K1362" i="2" s="1"/>
  <c r="L1362" i="2" s="1"/>
  <c r="U1362" i="2" s="1"/>
  <c r="J1363" i="2"/>
  <c r="K1363" i="2" s="1"/>
  <c r="L1363" i="2" s="1"/>
  <c r="U1363" i="2" s="1"/>
  <c r="J1364" i="2"/>
  <c r="K1364" i="2" s="1"/>
  <c r="L1364" i="2" s="1"/>
  <c r="U1364" i="2" s="1"/>
  <c r="J1365" i="2"/>
  <c r="K1365" i="2" s="1"/>
  <c r="L1365" i="2" s="1"/>
  <c r="U1365" i="2" s="1"/>
  <c r="J1366" i="2"/>
  <c r="K1366" i="2" s="1"/>
  <c r="L1366" i="2" s="1"/>
  <c r="U1366" i="2" s="1"/>
  <c r="J1367" i="2"/>
  <c r="K1367" i="2" s="1"/>
  <c r="L1367" i="2" s="1"/>
  <c r="U1367" i="2" s="1"/>
  <c r="J1368" i="2"/>
  <c r="K1368" i="2" s="1"/>
  <c r="L1368" i="2" s="1"/>
  <c r="U1368" i="2" s="1"/>
  <c r="J1369" i="2"/>
  <c r="K1369" i="2" s="1"/>
  <c r="L1369" i="2" s="1"/>
  <c r="U1369" i="2" s="1"/>
  <c r="J1370" i="2"/>
  <c r="K1370" i="2" s="1"/>
  <c r="L1370" i="2" s="1"/>
  <c r="U1370" i="2" s="1"/>
  <c r="J1371" i="2"/>
  <c r="K1371" i="2" s="1"/>
  <c r="L1371" i="2" s="1"/>
  <c r="U1371" i="2" s="1"/>
  <c r="J1372" i="2"/>
  <c r="K1372" i="2" s="1"/>
  <c r="L1372" i="2" s="1"/>
  <c r="U1372" i="2" s="1"/>
  <c r="J1373" i="2"/>
  <c r="K1373" i="2" s="1"/>
  <c r="L1373" i="2" s="1"/>
  <c r="U1373" i="2" s="1"/>
  <c r="J1374" i="2"/>
  <c r="K1374" i="2" s="1"/>
  <c r="L1374" i="2" s="1"/>
  <c r="U1374" i="2" s="1"/>
  <c r="J1375" i="2"/>
  <c r="K1375" i="2" s="1"/>
  <c r="L1375" i="2" s="1"/>
  <c r="U1375" i="2" s="1"/>
  <c r="J1376" i="2"/>
  <c r="K1376" i="2" s="1"/>
  <c r="L1376" i="2" s="1"/>
  <c r="U1376" i="2" s="1"/>
  <c r="J1377" i="2"/>
  <c r="K1377" i="2" s="1"/>
  <c r="L1377" i="2" s="1"/>
  <c r="U1377" i="2" s="1"/>
  <c r="J1378" i="2"/>
  <c r="K1378" i="2" s="1"/>
  <c r="L1378" i="2" s="1"/>
  <c r="U1378" i="2" s="1"/>
  <c r="J1379" i="2"/>
  <c r="K1379" i="2" s="1"/>
  <c r="L1379" i="2" s="1"/>
  <c r="U1379" i="2" s="1"/>
  <c r="J1380" i="2"/>
  <c r="K1380" i="2" s="1"/>
  <c r="L1380" i="2" s="1"/>
  <c r="U1380" i="2" s="1"/>
  <c r="J1381" i="2"/>
  <c r="K1381" i="2" s="1"/>
  <c r="L1381" i="2" s="1"/>
  <c r="U1381" i="2" s="1"/>
  <c r="J1382" i="2"/>
  <c r="K1382" i="2" s="1"/>
  <c r="L1382" i="2" s="1"/>
  <c r="U1382" i="2" s="1"/>
  <c r="J1383" i="2"/>
  <c r="K1383" i="2" s="1"/>
  <c r="L1383" i="2" s="1"/>
  <c r="U1383" i="2" s="1"/>
  <c r="J1384" i="2"/>
  <c r="K1384" i="2" s="1"/>
  <c r="L1384" i="2" s="1"/>
  <c r="U1384" i="2" s="1"/>
  <c r="J1385" i="2"/>
  <c r="K1385" i="2" s="1"/>
  <c r="L1385" i="2" s="1"/>
  <c r="U1385" i="2" s="1"/>
  <c r="J1386" i="2"/>
  <c r="K1386" i="2" s="1"/>
  <c r="L1386" i="2" s="1"/>
  <c r="U1386" i="2" s="1"/>
  <c r="J1387" i="2"/>
  <c r="K1387" i="2" s="1"/>
  <c r="L1387" i="2" s="1"/>
  <c r="U1387" i="2" s="1"/>
  <c r="J1388" i="2"/>
  <c r="K1388" i="2" s="1"/>
  <c r="L1388" i="2" s="1"/>
  <c r="U1388" i="2" s="1"/>
  <c r="J1389" i="2"/>
  <c r="K1389" i="2" s="1"/>
  <c r="L1389" i="2" s="1"/>
  <c r="U1389" i="2" s="1"/>
  <c r="J1390" i="2"/>
  <c r="K1390" i="2" s="1"/>
  <c r="L1390" i="2" s="1"/>
  <c r="U1390" i="2" s="1"/>
  <c r="J1391" i="2"/>
  <c r="K1391" i="2" s="1"/>
  <c r="L1391" i="2" s="1"/>
  <c r="U1391" i="2" s="1"/>
  <c r="J1392" i="2"/>
  <c r="K1392" i="2" s="1"/>
  <c r="L1392" i="2" s="1"/>
  <c r="U1392" i="2" s="1"/>
  <c r="J1393" i="2"/>
  <c r="K1393" i="2" s="1"/>
  <c r="L1393" i="2" s="1"/>
  <c r="U1393" i="2" s="1"/>
  <c r="J1394" i="2"/>
  <c r="K1394" i="2" s="1"/>
  <c r="L1394" i="2" s="1"/>
  <c r="U1394" i="2" s="1"/>
  <c r="J1395" i="2"/>
  <c r="K1395" i="2" s="1"/>
  <c r="L1395" i="2" s="1"/>
  <c r="U1395" i="2" s="1"/>
  <c r="J1396" i="2"/>
  <c r="K1396" i="2" s="1"/>
  <c r="L1396" i="2" s="1"/>
  <c r="U1396" i="2" s="1"/>
  <c r="J1397" i="2"/>
  <c r="K1397" i="2" s="1"/>
  <c r="L1397" i="2" s="1"/>
  <c r="U1397" i="2" s="1"/>
  <c r="J1398" i="2"/>
  <c r="K1398" i="2" s="1"/>
  <c r="L1398" i="2" s="1"/>
  <c r="U1398" i="2" s="1"/>
  <c r="J1399" i="2"/>
  <c r="K1399" i="2" s="1"/>
  <c r="L1399" i="2" s="1"/>
  <c r="U1399" i="2" s="1"/>
  <c r="J1400" i="2"/>
  <c r="K1400" i="2" s="1"/>
  <c r="L1400" i="2" s="1"/>
  <c r="U1400" i="2" s="1"/>
  <c r="J1401" i="2"/>
  <c r="K1401" i="2" s="1"/>
  <c r="L1401" i="2" s="1"/>
  <c r="U1401" i="2" s="1"/>
  <c r="J1402" i="2"/>
  <c r="K1402" i="2" s="1"/>
  <c r="L1402" i="2" s="1"/>
  <c r="U1402" i="2" s="1"/>
  <c r="J1403" i="2"/>
  <c r="K1403" i="2" s="1"/>
  <c r="L1403" i="2" s="1"/>
  <c r="U1403" i="2" s="1"/>
  <c r="J1404" i="2"/>
  <c r="K1404" i="2" s="1"/>
  <c r="L1404" i="2" s="1"/>
  <c r="U1404" i="2" s="1"/>
  <c r="J1405" i="2"/>
  <c r="K1405" i="2" s="1"/>
  <c r="L1405" i="2" s="1"/>
  <c r="U1405" i="2" s="1"/>
  <c r="J1406" i="2"/>
  <c r="K1406" i="2" s="1"/>
  <c r="L1406" i="2" s="1"/>
  <c r="U1406" i="2" s="1"/>
  <c r="J1407" i="2"/>
  <c r="K1407" i="2" s="1"/>
  <c r="L1407" i="2" s="1"/>
  <c r="U1407" i="2" s="1"/>
  <c r="J1408" i="2"/>
  <c r="K1408" i="2" s="1"/>
  <c r="L1408" i="2" s="1"/>
  <c r="U1408" i="2" s="1"/>
  <c r="J1409" i="2"/>
  <c r="K1409" i="2" s="1"/>
  <c r="L1409" i="2" s="1"/>
  <c r="U1409" i="2" s="1"/>
  <c r="J1410" i="2"/>
  <c r="K1410" i="2" s="1"/>
  <c r="L1410" i="2" s="1"/>
  <c r="U1410" i="2" s="1"/>
  <c r="J1411" i="2"/>
  <c r="K1411" i="2" s="1"/>
  <c r="L1411" i="2" s="1"/>
  <c r="U1411" i="2" s="1"/>
  <c r="J1412" i="2"/>
  <c r="K1412" i="2" s="1"/>
  <c r="L1412" i="2" s="1"/>
  <c r="U1412" i="2" s="1"/>
  <c r="J1413" i="2"/>
  <c r="K1413" i="2" s="1"/>
  <c r="L1413" i="2" s="1"/>
  <c r="U1413" i="2" s="1"/>
  <c r="J1414" i="2"/>
  <c r="K1414" i="2" s="1"/>
  <c r="L1414" i="2" s="1"/>
  <c r="U1414" i="2" s="1"/>
  <c r="J1415" i="2"/>
  <c r="K1415" i="2" s="1"/>
  <c r="L1415" i="2" s="1"/>
  <c r="U1415" i="2" s="1"/>
  <c r="J1416" i="2"/>
  <c r="K1416" i="2" s="1"/>
  <c r="L1416" i="2" s="1"/>
  <c r="U1416" i="2" s="1"/>
  <c r="J1417" i="2"/>
  <c r="K1417" i="2" s="1"/>
  <c r="L1417" i="2" s="1"/>
  <c r="U1417" i="2" s="1"/>
  <c r="J1418" i="2"/>
  <c r="K1418" i="2" s="1"/>
  <c r="L1418" i="2" s="1"/>
  <c r="U1418" i="2" s="1"/>
  <c r="J1419" i="2"/>
  <c r="K1419" i="2" s="1"/>
  <c r="L1419" i="2" s="1"/>
  <c r="U1419" i="2" s="1"/>
  <c r="J1420" i="2"/>
  <c r="K1420" i="2" s="1"/>
  <c r="L1420" i="2" s="1"/>
  <c r="U1420" i="2" s="1"/>
  <c r="J1421" i="2"/>
  <c r="K1421" i="2" s="1"/>
  <c r="L1421" i="2" s="1"/>
  <c r="U1421" i="2" s="1"/>
  <c r="J1422" i="2"/>
  <c r="K1422" i="2" s="1"/>
  <c r="L1422" i="2" s="1"/>
  <c r="U1422" i="2" s="1"/>
  <c r="J1423" i="2"/>
  <c r="K1423" i="2" s="1"/>
  <c r="L1423" i="2" s="1"/>
  <c r="U1423" i="2" s="1"/>
  <c r="J1424" i="2"/>
  <c r="K1424" i="2" s="1"/>
  <c r="L1424" i="2" s="1"/>
  <c r="U1424" i="2" s="1"/>
  <c r="J1425" i="2"/>
  <c r="K1425" i="2" s="1"/>
  <c r="L1425" i="2" s="1"/>
  <c r="U1425" i="2" s="1"/>
  <c r="J1426" i="2"/>
  <c r="K1426" i="2" s="1"/>
  <c r="L1426" i="2" s="1"/>
  <c r="U1426" i="2" s="1"/>
  <c r="J1427" i="2"/>
  <c r="K1427" i="2" s="1"/>
  <c r="L1427" i="2" s="1"/>
  <c r="U1427" i="2" s="1"/>
  <c r="J1428" i="2"/>
  <c r="K1428" i="2" s="1"/>
  <c r="L1428" i="2" s="1"/>
  <c r="U1428" i="2" s="1"/>
  <c r="J1429" i="2"/>
  <c r="K1429" i="2" s="1"/>
  <c r="L1429" i="2" s="1"/>
  <c r="U1429" i="2" s="1"/>
  <c r="J1430" i="2"/>
  <c r="K1430" i="2" s="1"/>
  <c r="L1430" i="2" s="1"/>
  <c r="U1430" i="2" s="1"/>
  <c r="J1431" i="2"/>
  <c r="K1431" i="2" s="1"/>
  <c r="L1431" i="2" s="1"/>
  <c r="U1431" i="2" s="1"/>
  <c r="J1432" i="2"/>
  <c r="K1432" i="2" s="1"/>
  <c r="L1432" i="2" s="1"/>
  <c r="U1432" i="2" s="1"/>
  <c r="J1433" i="2"/>
  <c r="K1433" i="2" s="1"/>
  <c r="L1433" i="2" s="1"/>
  <c r="U1433" i="2" s="1"/>
  <c r="J1434" i="2"/>
  <c r="K1434" i="2" s="1"/>
  <c r="L1434" i="2" s="1"/>
  <c r="U1434" i="2" s="1"/>
  <c r="J1435" i="2"/>
  <c r="K1435" i="2" s="1"/>
  <c r="L1435" i="2" s="1"/>
  <c r="U1435" i="2" s="1"/>
  <c r="J1436" i="2"/>
  <c r="K1436" i="2" s="1"/>
  <c r="L1436" i="2" s="1"/>
  <c r="U1436" i="2" s="1"/>
  <c r="J1437" i="2"/>
  <c r="K1437" i="2" s="1"/>
  <c r="L1437" i="2" s="1"/>
  <c r="U1437" i="2" s="1"/>
  <c r="J1438" i="2"/>
  <c r="K1438" i="2" s="1"/>
  <c r="L1438" i="2" s="1"/>
  <c r="U1438" i="2" s="1"/>
  <c r="J1439" i="2"/>
  <c r="K1439" i="2" s="1"/>
  <c r="L1439" i="2" s="1"/>
  <c r="U1439" i="2" s="1"/>
  <c r="J1440" i="2"/>
  <c r="K1440" i="2" s="1"/>
  <c r="L1440" i="2" s="1"/>
  <c r="U1440" i="2" s="1"/>
  <c r="J1441" i="2"/>
  <c r="K1441" i="2" s="1"/>
  <c r="L1441" i="2" s="1"/>
  <c r="U1441" i="2" s="1"/>
  <c r="J1442" i="2"/>
  <c r="K1442" i="2" s="1"/>
  <c r="L1442" i="2" s="1"/>
  <c r="U1442" i="2" s="1"/>
  <c r="J1443" i="2"/>
  <c r="K1443" i="2" s="1"/>
  <c r="L1443" i="2" s="1"/>
  <c r="U1443" i="2" s="1"/>
  <c r="J1444" i="2"/>
  <c r="K1444" i="2" s="1"/>
  <c r="L1444" i="2" s="1"/>
  <c r="U1444" i="2" s="1"/>
  <c r="J1445" i="2"/>
  <c r="K1445" i="2" s="1"/>
  <c r="L1445" i="2" s="1"/>
  <c r="U1445" i="2" s="1"/>
  <c r="J1446" i="2"/>
  <c r="K1446" i="2" s="1"/>
  <c r="L1446" i="2" s="1"/>
  <c r="U1446" i="2" s="1"/>
  <c r="J1447" i="2"/>
  <c r="K1447" i="2" s="1"/>
  <c r="L1447" i="2" s="1"/>
  <c r="U1447" i="2" s="1"/>
  <c r="J1448" i="2"/>
  <c r="K1448" i="2" s="1"/>
  <c r="L1448" i="2" s="1"/>
  <c r="U1448" i="2" s="1"/>
  <c r="J1449" i="2"/>
  <c r="K1449" i="2" s="1"/>
  <c r="L1449" i="2" s="1"/>
  <c r="U1449" i="2" s="1"/>
  <c r="J1450" i="2"/>
  <c r="K1450" i="2" s="1"/>
  <c r="L1450" i="2" s="1"/>
  <c r="U1450" i="2" s="1"/>
  <c r="J1451" i="2"/>
  <c r="K1451" i="2" s="1"/>
  <c r="L1451" i="2" s="1"/>
  <c r="U1451" i="2" s="1"/>
  <c r="J1452" i="2"/>
  <c r="K1452" i="2" s="1"/>
  <c r="L1452" i="2" s="1"/>
  <c r="U1452" i="2" s="1"/>
  <c r="J1453" i="2"/>
  <c r="K1453" i="2" s="1"/>
  <c r="L1453" i="2" s="1"/>
  <c r="U1453" i="2" s="1"/>
  <c r="J1454" i="2"/>
  <c r="K1454" i="2" s="1"/>
  <c r="L1454" i="2" s="1"/>
  <c r="U1454" i="2" s="1"/>
  <c r="J1455" i="2"/>
  <c r="K1455" i="2" s="1"/>
  <c r="L1455" i="2" s="1"/>
  <c r="U1455" i="2" s="1"/>
  <c r="J1456" i="2"/>
  <c r="K1456" i="2" s="1"/>
  <c r="L1456" i="2" s="1"/>
  <c r="U1456" i="2" s="1"/>
  <c r="J1457" i="2"/>
  <c r="K1457" i="2" s="1"/>
  <c r="L1457" i="2" s="1"/>
  <c r="U1457" i="2" s="1"/>
  <c r="J1458" i="2"/>
  <c r="K1458" i="2" s="1"/>
  <c r="L1458" i="2" s="1"/>
  <c r="U1458" i="2" s="1"/>
  <c r="J1459" i="2"/>
  <c r="K1459" i="2" s="1"/>
  <c r="L1459" i="2" s="1"/>
  <c r="U1459" i="2" s="1"/>
  <c r="J1460" i="2"/>
  <c r="K1460" i="2" s="1"/>
  <c r="L1460" i="2" s="1"/>
  <c r="U1460" i="2" s="1"/>
  <c r="J1461" i="2"/>
  <c r="K1461" i="2" s="1"/>
  <c r="L1461" i="2" s="1"/>
  <c r="U1461" i="2" s="1"/>
  <c r="J1462" i="2"/>
  <c r="K1462" i="2" s="1"/>
  <c r="L1462" i="2" s="1"/>
  <c r="U1462" i="2" s="1"/>
  <c r="J1463" i="2"/>
  <c r="K1463" i="2" s="1"/>
  <c r="L1463" i="2" s="1"/>
  <c r="U1463" i="2" s="1"/>
  <c r="J1464" i="2"/>
  <c r="K1464" i="2" s="1"/>
  <c r="L1464" i="2" s="1"/>
  <c r="U1464" i="2" s="1"/>
  <c r="J1465" i="2"/>
  <c r="K1465" i="2" s="1"/>
  <c r="L1465" i="2" s="1"/>
  <c r="U1465" i="2" s="1"/>
  <c r="J1466" i="2"/>
  <c r="K1466" i="2" s="1"/>
  <c r="L1466" i="2" s="1"/>
  <c r="U1466" i="2" s="1"/>
  <c r="J1467" i="2"/>
  <c r="K1467" i="2" s="1"/>
  <c r="L1467" i="2" s="1"/>
  <c r="U1467" i="2" s="1"/>
  <c r="J1468" i="2"/>
  <c r="K1468" i="2" s="1"/>
  <c r="L1468" i="2" s="1"/>
  <c r="U1468" i="2" s="1"/>
  <c r="J1469" i="2"/>
  <c r="K1469" i="2" s="1"/>
  <c r="L1469" i="2" s="1"/>
  <c r="U1469" i="2" s="1"/>
  <c r="J1470" i="2"/>
  <c r="K1470" i="2" s="1"/>
  <c r="L1470" i="2" s="1"/>
  <c r="U1470" i="2" s="1"/>
  <c r="J1471" i="2"/>
  <c r="K1471" i="2" s="1"/>
  <c r="L1471" i="2" s="1"/>
  <c r="U1471" i="2" s="1"/>
  <c r="J1472" i="2"/>
  <c r="K1472" i="2" s="1"/>
  <c r="L1472" i="2" s="1"/>
  <c r="U1472" i="2" s="1"/>
  <c r="J1473" i="2"/>
  <c r="K1473" i="2" s="1"/>
  <c r="L1473" i="2" s="1"/>
  <c r="U1473" i="2" s="1"/>
  <c r="J1474" i="2"/>
  <c r="K1474" i="2" s="1"/>
  <c r="L1474" i="2" s="1"/>
  <c r="U1474" i="2" s="1"/>
  <c r="J1475" i="2"/>
  <c r="K1475" i="2" s="1"/>
  <c r="L1475" i="2" s="1"/>
  <c r="U1475" i="2" s="1"/>
  <c r="J1476" i="2"/>
  <c r="K1476" i="2" s="1"/>
  <c r="L1476" i="2" s="1"/>
  <c r="U1476" i="2" s="1"/>
  <c r="J1477" i="2"/>
  <c r="K1477" i="2" s="1"/>
  <c r="L1477" i="2" s="1"/>
  <c r="U1477" i="2" s="1"/>
  <c r="J1478" i="2"/>
  <c r="K1478" i="2" s="1"/>
  <c r="L1478" i="2" s="1"/>
  <c r="U1478" i="2" s="1"/>
  <c r="J1479" i="2"/>
  <c r="K1479" i="2" s="1"/>
  <c r="L1479" i="2" s="1"/>
  <c r="U1479" i="2" s="1"/>
  <c r="J1480" i="2"/>
  <c r="K1480" i="2" s="1"/>
  <c r="L1480" i="2" s="1"/>
  <c r="U1480" i="2" s="1"/>
  <c r="J1481" i="2"/>
  <c r="K1481" i="2" s="1"/>
  <c r="L1481" i="2" s="1"/>
  <c r="U1481" i="2" s="1"/>
  <c r="J1482" i="2"/>
  <c r="K1482" i="2" s="1"/>
  <c r="L1482" i="2" s="1"/>
  <c r="U1482" i="2" s="1"/>
  <c r="J1483" i="2"/>
  <c r="K1483" i="2" s="1"/>
  <c r="L1483" i="2" s="1"/>
  <c r="U1483" i="2" s="1"/>
  <c r="J1484" i="2"/>
  <c r="K1484" i="2" s="1"/>
  <c r="L1484" i="2" s="1"/>
  <c r="U1484" i="2" s="1"/>
  <c r="J1485" i="2"/>
  <c r="K1485" i="2" s="1"/>
  <c r="L1485" i="2" s="1"/>
  <c r="U1485" i="2" s="1"/>
  <c r="J1486" i="2"/>
  <c r="K1486" i="2" s="1"/>
  <c r="L1486" i="2" s="1"/>
  <c r="U1486" i="2" s="1"/>
  <c r="J1487" i="2"/>
  <c r="K1487" i="2" s="1"/>
  <c r="L1487" i="2" s="1"/>
  <c r="U1487" i="2" s="1"/>
  <c r="J1488" i="2"/>
  <c r="K1488" i="2" s="1"/>
  <c r="L1488" i="2" s="1"/>
  <c r="U1488" i="2" s="1"/>
  <c r="J1489" i="2"/>
  <c r="K1489" i="2" s="1"/>
  <c r="L1489" i="2" s="1"/>
  <c r="U1489" i="2" s="1"/>
  <c r="J1490" i="2"/>
  <c r="K1490" i="2" s="1"/>
  <c r="L1490" i="2" s="1"/>
  <c r="U1490" i="2" s="1"/>
  <c r="J1491" i="2"/>
  <c r="K1491" i="2" s="1"/>
  <c r="L1491" i="2" s="1"/>
  <c r="U1491" i="2" s="1"/>
  <c r="J1492" i="2"/>
  <c r="K1492" i="2" s="1"/>
  <c r="L1492" i="2" s="1"/>
  <c r="U1492" i="2" s="1"/>
  <c r="J1493" i="2"/>
  <c r="K1493" i="2" s="1"/>
  <c r="L1493" i="2" s="1"/>
  <c r="U1493" i="2" s="1"/>
  <c r="J1494" i="2"/>
  <c r="K1494" i="2" s="1"/>
  <c r="L1494" i="2" s="1"/>
  <c r="U1494" i="2" s="1"/>
  <c r="J1495" i="2"/>
  <c r="K1495" i="2" s="1"/>
  <c r="L1495" i="2" s="1"/>
  <c r="U1495" i="2" s="1"/>
  <c r="J1496" i="2"/>
  <c r="K1496" i="2" s="1"/>
  <c r="L1496" i="2" s="1"/>
  <c r="U1496" i="2" s="1"/>
  <c r="J1497" i="2"/>
  <c r="K1497" i="2" s="1"/>
  <c r="L1497" i="2" s="1"/>
  <c r="U1497" i="2" s="1"/>
  <c r="J1498" i="2"/>
  <c r="K1498" i="2" s="1"/>
  <c r="L1498" i="2" s="1"/>
  <c r="U1498" i="2" s="1"/>
  <c r="J1499" i="2"/>
  <c r="K1499" i="2" s="1"/>
  <c r="L1499" i="2" s="1"/>
  <c r="U1499" i="2" s="1"/>
  <c r="J1500" i="2"/>
  <c r="K1500" i="2" s="1"/>
  <c r="L1500" i="2" s="1"/>
  <c r="U1500" i="2" s="1"/>
  <c r="J1501" i="2"/>
  <c r="K1501" i="2" s="1"/>
  <c r="L1501" i="2" s="1"/>
  <c r="U1501" i="2" s="1"/>
  <c r="J1502" i="2"/>
  <c r="K1502" i="2" s="1"/>
  <c r="L1502" i="2" s="1"/>
  <c r="U1502" i="2" s="1"/>
  <c r="J1503" i="2"/>
  <c r="K1503" i="2" s="1"/>
  <c r="L1503" i="2" s="1"/>
  <c r="U1503" i="2" s="1"/>
  <c r="J1504" i="2"/>
  <c r="K1504" i="2" s="1"/>
  <c r="L1504" i="2" s="1"/>
  <c r="U1504" i="2" s="1"/>
  <c r="J1505" i="2"/>
  <c r="K1505" i="2" s="1"/>
  <c r="L1505" i="2" s="1"/>
  <c r="U1505" i="2" s="1"/>
  <c r="J1506" i="2"/>
  <c r="K1506" i="2" s="1"/>
  <c r="L1506" i="2" s="1"/>
  <c r="U1506" i="2" s="1"/>
  <c r="J1507" i="2"/>
  <c r="K1507" i="2" s="1"/>
  <c r="L1507" i="2" s="1"/>
  <c r="U1507" i="2" s="1"/>
  <c r="J1508" i="2"/>
  <c r="K1508" i="2" s="1"/>
  <c r="L1508" i="2" s="1"/>
  <c r="U1508" i="2" s="1"/>
  <c r="J1509" i="2"/>
  <c r="K1509" i="2" s="1"/>
  <c r="L1509" i="2" s="1"/>
  <c r="U1509" i="2" s="1"/>
  <c r="J1510" i="2"/>
  <c r="K1510" i="2" s="1"/>
  <c r="L1510" i="2" s="1"/>
  <c r="U1510" i="2" s="1"/>
  <c r="J1511" i="2"/>
  <c r="K1511" i="2" s="1"/>
  <c r="L1511" i="2" s="1"/>
  <c r="U1511" i="2" s="1"/>
  <c r="J1512" i="2"/>
  <c r="K1512" i="2" s="1"/>
  <c r="L1512" i="2" s="1"/>
  <c r="U1512" i="2" s="1"/>
  <c r="J1513" i="2"/>
  <c r="K1513" i="2" s="1"/>
  <c r="L1513" i="2" s="1"/>
  <c r="U1513" i="2" s="1"/>
  <c r="J1514" i="2"/>
  <c r="K1514" i="2" s="1"/>
  <c r="L1514" i="2" s="1"/>
  <c r="U1514" i="2" s="1"/>
  <c r="J1515" i="2"/>
  <c r="K1515" i="2" s="1"/>
  <c r="L1515" i="2" s="1"/>
  <c r="U1515" i="2" s="1"/>
  <c r="J1516" i="2"/>
  <c r="K1516" i="2" s="1"/>
  <c r="L1516" i="2" s="1"/>
  <c r="U1516" i="2" s="1"/>
  <c r="J1517" i="2"/>
  <c r="K1517" i="2" s="1"/>
  <c r="L1517" i="2" s="1"/>
  <c r="U1517" i="2" s="1"/>
  <c r="J1518" i="2"/>
  <c r="K1518" i="2" s="1"/>
  <c r="L1518" i="2" s="1"/>
  <c r="U1518" i="2" s="1"/>
  <c r="J1519" i="2"/>
  <c r="K1519" i="2" s="1"/>
  <c r="L1519" i="2" s="1"/>
  <c r="U1519" i="2" s="1"/>
  <c r="J1520" i="2"/>
  <c r="K1520" i="2" s="1"/>
  <c r="L1520" i="2" s="1"/>
  <c r="U1520" i="2" s="1"/>
  <c r="J1521" i="2"/>
  <c r="K1521" i="2" s="1"/>
  <c r="L1521" i="2" s="1"/>
  <c r="U1521" i="2" s="1"/>
  <c r="J1522" i="2"/>
  <c r="K1522" i="2" s="1"/>
  <c r="L1522" i="2" s="1"/>
  <c r="U1522" i="2" s="1"/>
  <c r="J1523" i="2"/>
  <c r="K1523" i="2" s="1"/>
  <c r="L1523" i="2" s="1"/>
  <c r="U1523" i="2" s="1"/>
  <c r="J1524" i="2"/>
  <c r="K1524" i="2" s="1"/>
  <c r="L1524" i="2" s="1"/>
  <c r="U1524" i="2" s="1"/>
  <c r="J1525" i="2"/>
  <c r="K1525" i="2" s="1"/>
  <c r="L1525" i="2" s="1"/>
  <c r="U1525" i="2" s="1"/>
  <c r="J1526" i="2"/>
  <c r="K1526" i="2" s="1"/>
  <c r="L1526" i="2" s="1"/>
  <c r="U1526" i="2" s="1"/>
  <c r="J1527" i="2"/>
  <c r="K1527" i="2" s="1"/>
  <c r="L1527" i="2" s="1"/>
  <c r="U1527" i="2" s="1"/>
  <c r="J1528" i="2"/>
  <c r="K1528" i="2" s="1"/>
  <c r="L1528" i="2" s="1"/>
  <c r="U1528" i="2" s="1"/>
  <c r="J1529" i="2"/>
  <c r="K1529" i="2" s="1"/>
  <c r="L1529" i="2" s="1"/>
  <c r="U1529" i="2" s="1"/>
  <c r="J1530" i="2"/>
  <c r="K1530" i="2" s="1"/>
  <c r="L1530" i="2" s="1"/>
  <c r="U1530" i="2" s="1"/>
  <c r="J1531" i="2"/>
  <c r="K1531" i="2" s="1"/>
  <c r="L1531" i="2" s="1"/>
  <c r="U1531" i="2" s="1"/>
  <c r="J1532" i="2"/>
  <c r="K1532" i="2" s="1"/>
  <c r="L1532" i="2" s="1"/>
  <c r="U1532" i="2" s="1"/>
  <c r="J1533" i="2"/>
  <c r="K1533" i="2" s="1"/>
  <c r="L1533" i="2" s="1"/>
  <c r="U1533" i="2" s="1"/>
  <c r="J1534" i="2"/>
  <c r="K1534" i="2" s="1"/>
  <c r="L1534" i="2" s="1"/>
  <c r="U1534" i="2" s="1"/>
  <c r="J1535" i="2"/>
  <c r="K1535" i="2" s="1"/>
  <c r="L1535" i="2" s="1"/>
  <c r="U1535" i="2" s="1"/>
  <c r="J1536" i="2"/>
  <c r="K1536" i="2" s="1"/>
  <c r="L1536" i="2" s="1"/>
  <c r="U1536" i="2" s="1"/>
  <c r="J1537" i="2"/>
  <c r="K1537" i="2" s="1"/>
  <c r="L1537" i="2" s="1"/>
  <c r="U1537" i="2" s="1"/>
  <c r="J1538" i="2"/>
  <c r="K1538" i="2" s="1"/>
  <c r="L1538" i="2" s="1"/>
  <c r="U1538" i="2" s="1"/>
  <c r="J1539" i="2"/>
  <c r="K1539" i="2" s="1"/>
  <c r="L1539" i="2" s="1"/>
  <c r="U1539" i="2" s="1"/>
  <c r="J1540" i="2"/>
  <c r="K1540" i="2" s="1"/>
  <c r="L1540" i="2" s="1"/>
  <c r="U1540" i="2" s="1"/>
  <c r="J1541" i="2"/>
  <c r="K1541" i="2" s="1"/>
  <c r="L1541" i="2" s="1"/>
  <c r="U1541" i="2" s="1"/>
  <c r="J1542" i="2"/>
  <c r="K1542" i="2" s="1"/>
  <c r="L1542" i="2" s="1"/>
  <c r="U1542" i="2" s="1"/>
  <c r="J1543" i="2"/>
  <c r="K1543" i="2" s="1"/>
  <c r="L1543" i="2" s="1"/>
  <c r="U1543" i="2" s="1"/>
  <c r="J1544" i="2"/>
  <c r="K1544" i="2" s="1"/>
  <c r="L1544" i="2" s="1"/>
  <c r="U1544" i="2" s="1"/>
  <c r="J1545" i="2"/>
  <c r="K1545" i="2" s="1"/>
  <c r="L1545" i="2" s="1"/>
  <c r="U1545" i="2" s="1"/>
  <c r="J1546" i="2"/>
  <c r="K1546" i="2" s="1"/>
  <c r="L1546" i="2" s="1"/>
  <c r="U1546" i="2" s="1"/>
  <c r="J1547" i="2"/>
  <c r="K1547" i="2" s="1"/>
  <c r="L1547" i="2" s="1"/>
  <c r="U1547" i="2" s="1"/>
  <c r="J1548" i="2"/>
  <c r="K1548" i="2" s="1"/>
  <c r="L1548" i="2" s="1"/>
  <c r="U1548" i="2" s="1"/>
  <c r="J1549" i="2"/>
  <c r="K1549" i="2" s="1"/>
  <c r="L1549" i="2" s="1"/>
  <c r="U1549" i="2" s="1"/>
  <c r="J1550" i="2"/>
  <c r="K1550" i="2" s="1"/>
  <c r="L1550" i="2" s="1"/>
  <c r="U1550" i="2" s="1"/>
  <c r="J1551" i="2"/>
  <c r="K1551" i="2" s="1"/>
  <c r="L1551" i="2" s="1"/>
  <c r="U1551" i="2" s="1"/>
  <c r="J1552" i="2"/>
  <c r="K1552" i="2" s="1"/>
  <c r="L1552" i="2" s="1"/>
  <c r="U1552" i="2" s="1"/>
  <c r="J1553" i="2"/>
  <c r="K1553" i="2" s="1"/>
  <c r="L1553" i="2" s="1"/>
  <c r="U1553" i="2" s="1"/>
  <c r="J1554" i="2"/>
  <c r="K1554" i="2" s="1"/>
  <c r="L1554" i="2" s="1"/>
  <c r="U1554" i="2" s="1"/>
  <c r="J1555" i="2"/>
  <c r="K1555" i="2" s="1"/>
  <c r="L1555" i="2" s="1"/>
  <c r="U1555" i="2" s="1"/>
  <c r="J1556" i="2"/>
  <c r="K1556" i="2" s="1"/>
  <c r="L1556" i="2" s="1"/>
  <c r="U1556" i="2" s="1"/>
  <c r="J1557" i="2"/>
  <c r="K1557" i="2" s="1"/>
  <c r="L1557" i="2" s="1"/>
  <c r="U1557" i="2" s="1"/>
  <c r="J1558" i="2"/>
  <c r="K1558" i="2" s="1"/>
  <c r="L1558" i="2" s="1"/>
  <c r="U1558" i="2" s="1"/>
  <c r="J1559" i="2"/>
  <c r="K1559" i="2" s="1"/>
  <c r="L1559" i="2" s="1"/>
  <c r="U1559" i="2" s="1"/>
  <c r="J1560" i="2"/>
  <c r="K1560" i="2" s="1"/>
  <c r="L1560" i="2" s="1"/>
  <c r="U1560" i="2" s="1"/>
  <c r="J1561" i="2"/>
  <c r="K1561" i="2" s="1"/>
  <c r="L1561" i="2" s="1"/>
  <c r="U1561" i="2" s="1"/>
  <c r="J1562" i="2"/>
  <c r="K1562" i="2" s="1"/>
  <c r="L1562" i="2" s="1"/>
  <c r="U1562" i="2" s="1"/>
  <c r="J1563" i="2"/>
  <c r="K1563" i="2" s="1"/>
  <c r="L1563" i="2" s="1"/>
  <c r="U1563" i="2" s="1"/>
  <c r="J1564" i="2"/>
  <c r="K1564" i="2" s="1"/>
  <c r="L1564" i="2" s="1"/>
  <c r="U1564" i="2" s="1"/>
  <c r="J1565" i="2"/>
  <c r="K1565" i="2" s="1"/>
  <c r="L1565" i="2" s="1"/>
  <c r="U1565" i="2" s="1"/>
  <c r="J1566" i="2"/>
  <c r="K1566" i="2" s="1"/>
  <c r="L1566" i="2" s="1"/>
  <c r="U1566" i="2" s="1"/>
  <c r="J1567" i="2"/>
  <c r="K1567" i="2" s="1"/>
  <c r="L1567" i="2" s="1"/>
  <c r="U1567" i="2" s="1"/>
  <c r="J1568" i="2"/>
  <c r="K1568" i="2" s="1"/>
  <c r="L1568" i="2" s="1"/>
  <c r="U1568" i="2" s="1"/>
  <c r="J1569" i="2"/>
  <c r="K1569" i="2" s="1"/>
  <c r="L1569" i="2" s="1"/>
  <c r="U1569" i="2" s="1"/>
  <c r="J1570" i="2"/>
  <c r="K1570" i="2" s="1"/>
  <c r="L1570" i="2" s="1"/>
  <c r="U1570" i="2" s="1"/>
  <c r="J1571" i="2"/>
  <c r="K1571" i="2" s="1"/>
  <c r="L1571" i="2" s="1"/>
  <c r="U1571" i="2" s="1"/>
  <c r="J1572" i="2"/>
  <c r="K1572" i="2" s="1"/>
  <c r="L1572" i="2" s="1"/>
  <c r="U1572" i="2" s="1"/>
  <c r="J1573" i="2"/>
  <c r="K1573" i="2" s="1"/>
  <c r="L1573" i="2" s="1"/>
  <c r="U1573" i="2" s="1"/>
  <c r="J1574" i="2"/>
  <c r="K1574" i="2" s="1"/>
  <c r="L1574" i="2" s="1"/>
  <c r="U1574" i="2" s="1"/>
  <c r="J1575" i="2"/>
  <c r="K1575" i="2" s="1"/>
  <c r="L1575" i="2" s="1"/>
  <c r="U1575" i="2" s="1"/>
  <c r="J1576" i="2"/>
  <c r="K1576" i="2" s="1"/>
  <c r="L1576" i="2" s="1"/>
  <c r="U1576" i="2" s="1"/>
  <c r="J1577" i="2"/>
  <c r="K1577" i="2" s="1"/>
  <c r="L1577" i="2" s="1"/>
  <c r="U1577" i="2" s="1"/>
  <c r="J1578" i="2"/>
  <c r="K1578" i="2" s="1"/>
  <c r="L1578" i="2" s="1"/>
  <c r="U1578" i="2" s="1"/>
  <c r="J1579" i="2"/>
  <c r="K1579" i="2" s="1"/>
  <c r="L1579" i="2" s="1"/>
  <c r="U1579" i="2" s="1"/>
  <c r="J1580" i="2"/>
  <c r="K1580" i="2" s="1"/>
  <c r="L1580" i="2" s="1"/>
  <c r="U1580" i="2" s="1"/>
  <c r="J1581" i="2"/>
  <c r="K1581" i="2" s="1"/>
  <c r="L1581" i="2" s="1"/>
  <c r="U1581" i="2" s="1"/>
  <c r="J1582" i="2"/>
  <c r="K1582" i="2" s="1"/>
  <c r="L1582" i="2" s="1"/>
  <c r="U1582" i="2" s="1"/>
  <c r="J1583" i="2"/>
  <c r="K1583" i="2" s="1"/>
  <c r="L1583" i="2" s="1"/>
  <c r="U1583" i="2" s="1"/>
  <c r="J1584" i="2"/>
  <c r="K1584" i="2" s="1"/>
  <c r="L1584" i="2" s="1"/>
  <c r="U1584" i="2" s="1"/>
  <c r="J1585" i="2"/>
  <c r="K1585" i="2" s="1"/>
  <c r="L1585" i="2" s="1"/>
  <c r="U1585" i="2" s="1"/>
  <c r="J1586" i="2"/>
  <c r="K1586" i="2" s="1"/>
  <c r="L1586" i="2" s="1"/>
  <c r="U1586" i="2" s="1"/>
  <c r="J1587" i="2"/>
  <c r="K1587" i="2" s="1"/>
  <c r="L1587" i="2" s="1"/>
  <c r="U1587" i="2" s="1"/>
  <c r="J1588" i="2"/>
  <c r="K1588" i="2" s="1"/>
  <c r="L1588" i="2" s="1"/>
  <c r="U1588" i="2" s="1"/>
  <c r="J1589" i="2"/>
  <c r="K1589" i="2" s="1"/>
  <c r="L1589" i="2" s="1"/>
  <c r="U1589" i="2" s="1"/>
  <c r="J1590" i="2"/>
  <c r="K1590" i="2" s="1"/>
  <c r="L1590" i="2" s="1"/>
  <c r="U1590" i="2" s="1"/>
  <c r="J1591" i="2"/>
  <c r="K1591" i="2" s="1"/>
  <c r="L1591" i="2" s="1"/>
  <c r="U1591" i="2" s="1"/>
  <c r="J1592" i="2"/>
  <c r="K1592" i="2" s="1"/>
  <c r="L1592" i="2" s="1"/>
  <c r="U1592" i="2" s="1"/>
  <c r="J1593" i="2"/>
  <c r="K1593" i="2" s="1"/>
  <c r="L1593" i="2" s="1"/>
  <c r="U1593" i="2" s="1"/>
  <c r="J1594" i="2"/>
  <c r="K1594" i="2" s="1"/>
  <c r="L1594" i="2" s="1"/>
  <c r="U1594" i="2" s="1"/>
  <c r="J1595" i="2"/>
  <c r="K1595" i="2" s="1"/>
  <c r="L1595" i="2" s="1"/>
  <c r="U1595" i="2" s="1"/>
  <c r="J1596" i="2"/>
  <c r="K1596" i="2" s="1"/>
  <c r="L1596" i="2" s="1"/>
  <c r="U1596" i="2" s="1"/>
  <c r="J1597" i="2"/>
  <c r="K1597" i="2" s="1"/>
  <c r="L1597" i="2" s="1"/>
  <c r="U1597" i="2" s="1"/>
  <c r="J1598" i="2"/>
  <c r="K1598" i="2" s="1"/>
  <c r="L1598" i="2" s="1"/>
  <c r="U1598" i="2" s="1"/>
  <c r="J1599" i="2"/>
  <c r="K1599" i="2" s="1"/>
  <c r="L1599" i="2" s="1"/>
  <c r="U1599" i="2" s="1"/>
  <c r="J1600" i="2"/>
  <c r="K1600" i="2" s="1"/>
  <c r="L1600" i="2" s="1"/>
  <c r="U1600" i="2" s="1"/>
  <c r="J1601" i="2"/>
  <c r="K1601" i="2" s="1"/>
  <c r="L1601" i="2" s="1"/>
  <c r="U1601" i="2" s="1"/>
  <c r="J1602" i="2"/>
  <c r="K1602" i="2" s="1"/>
  <c r="L1602" i="2" s="1"/>
  <c r="U1602" i="2" s="1"/>
  <c r="J1603" i="2"/>
  <c r="K1603" i="2" s="1"/>
  <c r="L1603" i="2" s="1"/>
  <c r="U1603" i="2" s="1"/>
  <c r="J1604" i="2"/>
  <c r="K1604" i="2" s="1"/>
  <c r="L1604" i="2" s="1"/>
  <c r="U1604" i="2" s="1"/>
  <c r="J1605" i="2"/>
  <c r="K1605" i="2" s="1"/>
  <c r="L1605" i="2" s="1"/>
  <c r="U1605" i="2" s="1"/>
  <c r="J1606" i="2"/>
  <c r="K1606" i="2" s="1"/>
  <c r="L1606" i="2" s="1"/>
  <c r="U1606" i="2" s="1"/>
  <c r="J1607" i="2"/>
  <c r="K1607" i="2" s="1"/>
  <c r="L1607" i="2" s="1"/>
  <c r="U1607" i="2" s="1"/>
  <c r="J1608" i="2"/>
  <c r="K1608" i="2" s="1"/>
  <c r="L1608" i="2" s="1"/>
  <c r="U1608" i="2" s="1"/>
  <c r="J1609" i="2"/>
  <c r="K1609" i="2" s="1"/>
  <c r="L1609" i="2" s="1"/>
  <c r="U1609" i="2" s="1"/>
  <c r="J1610" i="2"/>
  <c r="K1610" i="2" s="1"/>
  <c r="L1610" i="2" s="1"/>
  <c r="U1610" i="2" s="1"/>
  <c r="J1611" i="2"/>
  <c r="K1611" i="2" s="1"/>
  <c r="L1611" i="2" s="1"/>
  <c r="U1611" i="2" s="1"/>
  <c r="J1612" i="2"/>
  <c r="K1612" i="2" s="1"/>
  <c r="L1612" i="2" s="1"/>
  <c r="U1612" i="2" s="1"/>
  <c r="J1613" i="2"/>
  <c r="K1613" i="2" s="1"/>
  <c r="L1613" i="2" s="1"/>
  <c r="U1613" i="2" s="1"/>
  <c r="J1614" i="2"/>
  <c r="K1614" i="2" s="1"/>
  <c r="L1614" i="2" s="1"/>
  <c r="U1614" i="2" s="1"/>
  <c r="J1615" i="2"/>
  <c r="K1615" i="2" s="1"/>
  <c r="L1615" i="2" s="1"/>
  <c r="U1615" i="2" s="1"/>
  <c r="J1616" i="2"/>
  <c r="K1616" i="2" s="1"/>
  <c r="L1616" i="2" s="1"/>
  <c r="U1616" i="2" s="1"/>
  <c r="J1617" i="2"/>
  <c r="K1617" i="2" s="1"/>
  <c r="L1617" i="2" s="1"/>
  <c r="U1617" i="2" s="1"/>
  <c r="J1618" i="2"/>
  <c r="K1618" i="2" s="1"/>
  <c r="L1618" i="2" s="1"/>
  <c r="U1618" i="2" s="1"/>
  <c r="J1619" i="2"/>
  <c r="K1619" i="2" s="1"/>
  <c r="L1619" i="2" s="1"/>
  <c r="U1619" i="2" s="1"/>
  <c r="J1620" i="2"/>
  <c r="K1620" i="2" s="1"/>
  <c r="L1620" i="2" s="1"/>
  <c r="U1620" i="2" s="1"/>
  <c r="J1621" i="2"/>
  <c r="K1621" i="2" s="1"/>
  <c r="L1621" i="2" s="1"/>
  <c r="U1621" i="2" s="1"/>
  <c r="J1622" i="2"/>
  <c r="K1622" i="2" s="1"/>
  <c r="L1622" i="2" s="1"/>
  <c r="U1622" i="2" s="1"/>
  <c r="J1623" i="2"/>
  <c r="K1623" i="2" s="1"/>
  <c r="L1623" i="2" s="1"/>
  <c r="U1623" i="2" s="1"/>
  <c r="J1624" i="2"/>
  <c r="K1624" i="2" s="1"/>
  <c r="L1624" i="2" s="1"/>
  <c r="U1624" i="2" s="1"/>
  <c r="J1625" i="2"/>
  <c r="K1625" i="2" s="1"/>
  <c r="L1625" i="2" s="1"/>
  <c r="U1625" i="2" s="1"/>
  <c r="J1626" i="2"/>
  <c r="K1626" i="2" s="1"/>
  <c r="L1626" i="2" s="1"/>
  <c r="U1626" i="2" s="1"/>
  <c r="J1627" i="2"/>
  <c r="K1627" i="2" s="1"/>
  <c r="L1627" i="2" s="1"/>
  <c r="U1627" i="2" s="1"/>
  <c r="J1628" i="2"/>
  <c r="K1628" i="2" s="1"/>
  <c r="L1628" i="2" s="1"/>
  <c r="U1628" i="2" s="1"/>
  <c r="J1629" i="2"/>
  <c r="K1629" i="2" s="1"/>
  <c r="L1629" i="2" s="1"/>
  <c r="U1629" i="2" s="1"/>
  <c r="J1630" i="2"/>
  <c r="K1630" i="2" s="1"/>
  <c r="L1630" i="2" s="1"/>
  <c r="U1630" i="2" s="1"/>
  <c r="J1631" i="2"/>
  <c r="K1631" i="2" s="1"/>
  <c r="L1631" i="2" s="1"/>
  <c r="U1631" i="2" s="1"/>
  <c r="J1632" i="2"/>
  <c r="K1632" i="2" s="1"/>
  <c r="L1632" i="2" s="1"/>
  <c r="U1632" i="2" s="1"/>
  <c r="J1633" i="2"/>
  <c r="K1633" i="2" s="1"/>
  <c r="L1633" i="2" s="1"/>
  <c r="U1633" i="2" s="1"/>
  <c r="J1634" i="2"/>
  <c r="K1634" i="2" s="1"/>
  <c r="L1634" i="2" s="1"/>
  <c r="U1634" i="2" s="1"/>
  <c r="J1635" i="2"/>
  <c r="K1635" i="2" s="1"/>
  <c r="L1635" i="2" s="1"/>
  <c r="U1635" i="2" s="1"/>
  <c r="J1636" i="2"/>
  <c r="K1636" i="2" s="1"/>
  <c r="L1636" i="2" s="1"/>
  <c r="U1636" i="2" s="1"/>
  <c r="J1637" i="2"/>
  <c r="K1637" i="2" s="1"/>
  <c r="L1637" i="2" s="1"/>
  <c r="U1637" i="2" s="1"/>
  <c r="J1638" i="2"/>
  <c r="K1638" i="2" s="1"/>
  <c r="L1638" i="2" s="1"/>
  <c r="U1638" i="2" s="1"/>
  <c r="J1639" i="2"/>
  <c r="K1639" i="2" s="1"/>
  <c r="L1639" i="2" s="1"/>
  <c r="U1639" i="2" s="1"/>
  <c r="J1640" i="2"/>
  <c r="K1640" i="2" s="1"/>
  <c r="L1640" i="2" s="1"/>
  <c r="U1640" i="2" s="1"/>
  <c r="J1641" i="2"/>
  <c r="K1641" i="2" s="1"/>
  <c r="L1641" i="2" s="1"/>
  <c r="U1641" i="2" s="1"/>
  <c r="J1642" i="2"/>
  <c r="K1642" i="2" s="1"/>
  <c r="L1642" i="2" s="1"/>
  <c r="U1642" i="2" s="1"/>
  <c r="J1643" i="2"/>
  <c r="K1643" i="2" s="1"/>
  <c r="L1643" i="2" s="1"/>
  <c r="U1643" i="2" s="1"/>
  <c r="J1644" i="2"/>
  <c r="K1644" i="2" s="1"/>
  <c r="L1644" i="2" s="1"/>
  <c r="U1644" i="2" s="1"/>
  <c r="J1645" i="2"/>
  <c r="K1645" i="2" s="1"/>
  <c r="L1645" i="2" s="1"/>
  <c r="U1645" i="2" s="1"/>
  <c r="J1646" i="2"/>
  <c r="K1646" i="2" s="1"/>
  <c r="L1646" i="2" s="1"/>
  <c r="U1646" i="2" s="1"/>
  <c r="J1647" i="2"/>
  <c r="K1647" i="2" s="1"/>
  <c r="L1647" i="2" s="1"/>
  <c r="U1647" i="2" s="1"/>
  <c r="J1648" i="2"/>
  <c r="K1648" i="2" s="1"/>
  <c r="L1648" i="2" s="1"/>
  <c r="U1648" i="2" s="1"/>
  <c r="J1649" i="2"/>
  <c r="K1649" i="2" s="1"/>
  <c r="L1649" i="2" s="1"/>
  <c r="U1649" i="2" s="1"/>
  <c r="J1650" i="2"/>
  <c r="K1650" i="2" s="1"/>
  <c r="L1650" i="2" s="1"/>
  <c r="U1650" i="2" s="1"/>
  <c r="J1651" i="2"/>
  <c r="K1651" i="2" s="1"/>
  <c r="L1651" i="2" s="1"/>
  <c r="U1651" i="2" s="1"/>
  <c r="J1652" i="2"/>
  <c r="K1652" i="2" s="1"/>
  <c r="L1652" i="2" s="1"/>
  <c r="U1652" i="2" s="1"/>
  <c r="J1653" i="2"/>
  <c r="K1653" i="2" s="1"/>
  <c r="L1653" i="2" s="1"/>
  <c r="U1653" i="2" s="1"/>
  <c r="J1654" i="2"/>
  <c r="K1654" i="2" s="1"/>
  <c r="L1654" i="2" s="1"/>
  <c r="U1654" i="2" s="1"/>
  <c r="J1655" i="2"/>
  <c r="K1655" i="2" s="1"/>
  <c r="L1655" i="2" s="1"/>
  <c r="U1655" i="2" s="1"/>
  <c r="J1656" i="2"/>
  <c r="K1656" i="2" s="1"/>
  <c r="L1656" i="2" s="1"/>
  <c r="U1656" i="2" s="1"/>
  <c r="J1657" i="2"/>
  <c r="K1657" i="2" s="1"/>
  <c r="L1657" i="2" s="1"/>
  <c r="U1657" i="2" s="1"/>
  <c r="J1658" i="2"/>
  <c r="K1658" i="2" s="1"/>
  <c r="L1658" i="2" s="1"/>
  <c r="U1658" i="2" s="1"/>
  <c r="J1659" i="2"/>
  <c r="K1659" i="2" s="1"/>
  <c r="L1659" i="2" s="1"/>
  <c r="U1659" i="2" s="1"/>
  <c r="J1660" i="2"/>
  <c r="K1660" i="2" s="1"/>
  <c r="L1660" i="2" s="1"/>
  <c r="U1660" i="2" s="1"/>
  <c r="J1661" i="2"/>
  <c r="K1661" i="2" s="1"/>
  <c r="L1661" i="2" s="1"/>
  <c r="U1661" i="2" s="1"/>
  <c r="J1662" i="2"/>
  <c r="K1662" i="2" s="1"/>
  <c r="L1662" i="2" s="1"/>
  <c r="U1662" i="2" s="1"/>
  <c r="J1663" i="2"/>
  <c r="K1663" i="2" s="1"/>
  <c r="L1663" i="2" s="1"/>
  <c r="U1663" i="2" s="1"/>
  <c r="J1664" i="2"/>
  <c r="K1664" i="2" s="1"/>
  <c r="L1664" i="2" s="1"/>
  <c r="U1664" i="2" s="1"/>
  <c r="J1665" i="2"/>
  <c r="K1665" i="2" s="1"/>
  <c r="L1665" i="2" s="1"/>
  <c r="U1665" i="2" s="1"/>
  <c r="J1666" i="2"/>
  <c r="K1666" i="2" s="1"/>
  <c r="L1666" i="2" s="1"/>
  <c r="U1666" i="2" s="1"/>
  <c r="J1667" i="2"/>
  <c r="K1667" i="2" s="1"/>
  <c r="L1667" i="2" s="1"/>
  <c r="U1667" i="2" s="1"/>
  <c r="J1668" i="2"/>
  <c r="K1668" i="2" s="1"/>
  <c r="L1668" i="2" s="1"/>
  <c r="U1668" i="2" s="1"/>
  <c r="J1669" i="2"/>
  <c r="K1669" i="2" s="1"/>
  <c r="L1669" i="2" s="1"/>
  <c r="U1669" i="2" s="1"/>
  <c r="J1670" i="2"/>
  <c r="K1670" i="2" s="1"/>
  <c r="L1670" i="2" s="1"/>
  <c r="U1670" i="2" s="1"/>
  <c r="J1671" i="2"/>
  <c r="K1671" i="2" s="1"/>
  <c r="L1671" i="2" s="1"/>
  <c r="U1671" i="2" s="1"/>
  <c r="J1672" i="2"/>
  <c r="K1672" i="2" s="1"/>
  <c r="L1672" i="2" s="1"/>
  <c r="U1672" i="2" s="1"/>
  <c r="J1673" i="2"/>
  <c r="K1673" i="2" s="1"/>
  <c r="L1673" i="2" s="1"/>
  <c r="U1673" i="2" s="1"/>
  <c r="J1674" i="2"/>
  <c r="K1674" i="2" s="1"/>
  <c r="L1674" i="2" s="1"/>
  <c r="U1674" i="2" s="1"/>
  <c r="J1675" i="2"/>
  <c r="K1675" i="2" s="1"/>
  <c r="L1675" i="2" s="1"/>
  <c r="U1675" i="2" s="1"/>
  <c r="J1676" i="2"/>
  <c r="K1676" i="2" s="1"/>
  <c r="L1676" i="2" s="1"/>
  <c r="U1676" i="2" s="1"/>
  <c r="J1677" i="2"/>
  <c r="K1677" i="2" s="1"/>
  <c r="L1677" i="2" s="1"/>
  <c r="U1677" i="2" s="1"/>
  <c r="J1678" i="2"/>
  <c r="K1678" i="2" s="1"/>
  <c r="L1678" i="2" s="1"/>
  <c r="U1678" i="2" s="1"/>
  <c r="J1679" i="2"/>
  <c r="K1679" i="2" s="1"/>
  <c r="L1679" i="2" s="1"/>
  <c r="U1679" i="2" s="1"/>
  <c r="J1680" i="2"/>
  <c r="K1680" i="2" s="1"/>
  <c r="L1680" i="2" s="1"/>
  <c r="U1680" i="2" s="1"/>
  <c r="J1681" i="2"/>
  <c r="K1681" i="2" s="1"/>
  <c r="L1681" i="2" s="1"/>
  <c r="U1681" i="2" s="1"/>
  <c r="J1682" i="2"/>
  <c r="K1682" i="2" s="1"/>
  <c r="L1682" i="2" s="1"/>
  <c r="U1682" i="2" s="1"/>
  <c r="J1683" i="2"/>
  <c r="K1683" i="2" s="1"/>
  <c r="L1683" i="2" s="1"/>
  <c r="U1683" i="2" s="1"/>
  <c r="J1684" i="2"/>
  <c r="K1684" i="2" s="1"/>
  <c r="L1684" i="2" s="1"/>
  <c r="U1684" i="2" s="1"/>
  <c r="J1685" i="2"/>
  <c r="K1685" i="2" s="1"/>
  <c r="L1685" i="2" s="1"/>
  <c r="U1685" i="2" s="1"/>
  <c r="J1686" i="2"/>
  <c r="K1686" i="2" s="1"/>
  <c r="L1686" i="2" s="1"/>
  <c r="U1686" i="2" s="1"/>
  <c r="J1687" i="2"/>
  <c r="K1687" i="2" s="1"/>
  <c r="L1687" i="2" s="1"/>
  <c r="U1687" i="2" s="1"/>
  <c r="J1688" i="2"/>
  <c r="K1688" i="2" s="1"/>
  <c r="L1688" i="2" s="1"/>
  <c r="U1688" i="2" s="1"/>
  <c r="J1689" i="2"/>
  <c r="K1689" i="2" s="1"/>
  <c r="L1689" i="2" s="1"/>
  <c r="U1689" i="2" s="1"/>
  <c r="J1690" i="2"/>
  <c r="K1690" i="2" s="1"/>
  <c r="L1690" i="2" s="1"/>
  <c r="U1690" i="2" s="1"/>
  <c r="J1691" i="2"/>
  <c r="K1691" i="2" s="1"/>
  <c r="L1691" i="2" s="1"/>
  <c r="U1691" i="2" s="1"/>
  <c r="J1692" i="2"/>
  <c r="K1692" i="2" s="1"/>
  <c r="L1692" i="2" s="1"/>
  <c r="U1692" i="2" s="1"/>
  <c r="J1693" i="2"/>
  <c r="K1693" i="2" s="1"/>
  <c r="L1693" i="2" s="1"/>
  <c r="U1693" i="2" s="1"/>
  <c r="J1694" i="2"/>
  <c r="K1694" i="2" s="1"/>
  <c r="L1694" i="2" s="1"/>
  <c r="U1694" i="2" s="1"/>
  <c r="J1695" i="2"/>
  <c r="K1695" i="2" s="1"/>
  <c r="L1695" i="2" s="1"/>
  <c r="U1695" i="2" s="1"/>
  <c r="J1696" i="2"/>
  <c r="K1696" i="2" s="1"/>
  <c r="L1696" i="2" s="1"/>
  <c r="U1696" i="2" s="1"/>
  <c r="J1697" i="2"/>
  <c r="K1697" i="2" s="1"/>
  <c r="L1697" i="2" s="1"/>
  <c r="U1697" i="2" s="1"/>
  <c r="J1698" i="2"/>
  <c r="K1698" i="2" s="1"/>
  <c r="L1698" i="2" s="1"/>
  <c r="U1698" i="2" s="1"/>
  <c r="J1699" i="2"/>
  <c r="K1699" i="2" s="1"/>
  <c r="L1699" i="2" s="1"/>
  <c r="U1699" i="2" s="1"/>
  <c r="J1700" i="2"/>
  <c r="K1700" i="2" s="1"/>
  <c r="L1700" i="2" s="1"/>
  <c r="U1700" i="2" s="1"/>
  <c r="J1701" i="2"/>
  <c r="K1701" i="2" s="1"/>
  <c r="L1701" i="2" s="1"/>
  <c r="U1701" i="2" s="1"/>
  <c r="J1702" i="2"/>
  <c r="K1702" i="2" s="1"/>
  <c r="L1702" i="2" s="1"/>
  <c r="U1702" i="2" s="1"/>
  <c r="J1703" i="2"/>
  <c r="K1703" i="2" s="1"/>
  <c r="L1703" i="2" s="1"/>
  <c r="U1703" i="2" s="1"/>
  <c r="J1704" i="2"/>
  <c r="K1704" i="2" s="1"/>
  <c r="L1704" i="2" s="1"/>
  <c r="U1704" i="2" s="1"/>
  <c r="J1705" i="2"/>
  <c r="K1705" i="2" s="1"/>
  <c r="L1705" i="2" s="1"/>
  <c r="U1705" i="2" s="1"/>
  <c r="J1706" i="2"/>
  <c r="K1706" i="2" s="1"/>
  <c r="L1706" i="2" s="1"/>
  <c r="U1706" i="2" s="1"/>
  <c r="J1707" i="2"/>
  <c r="K1707" i="2" s="1"/>
  <c r="L1707" i="2" s="1"/>
  <c r="U1707" i="2" s="1"/>
  <c r="J1708" i="2"/>
  <c r="K1708" i="2" s="1"/>
  <c r="L1708" i="2" s="1"/>
  <c r="U1708" i="2" s="1"/>
  <c r="J1709" i="2"/>
  <c r="K1709" i="2" s="1"/>
  <c r="L1709" i="2" s="1"/>
  <c r="U1709" i="2" s="1"/>
  <c r="J1710" i="2"/>
  <c r="K1710" i="2" s="1"/>
  <c r="L1710" i="2" s="1"/>
  <c r="U1710" i="2" s="1"/>
  <c r="J1711" i="2"/>
  <c r="K1711" i="2" s="1"/>
  <c r="L1711" i="2" s="1"/>
  <c r="U1711" i="2" s="1"/>
  <c r="J1712" i="2"/>
  <c r="K1712" i="2" s="1"/>
  <c r="L1712" i="2" s="1"/>
  <c r="U1712" i="2" s="1"/>
  <c r="J1713" i="2"/>
  <c r="K1713" i="2" s="1"/>
  <c r="L1713" i="2" s="1"/>
  <c r="U1713" i="2" s="1"/>
  <c r="J1714" i="2"/>
  <c r="K1714" i="2" s="1"/>
  <c r="L1714" i="2" s="1"/>
  <c r="U1714" i="2" s="1"/>
  <c r="J1715" i="2"/>
  <c r="K1715" i="2" s="1"/>
  <c r="L1715" i="2" s="1"/>
  <c r="U1715" i="2" s="1"/>
  <c r="J1716" i="2"/>
  <c r="K1716" i="2" s="1"/>
  <c r="L1716" i="2" s="1"/>
  <c r="U1716" i="2" s="1"/>
  <c r="J1717" i="2"/>
  <c r="K1717" i="2" s="1"/>
  <c r="L1717" i="2" s="1"/>
  <c r="U1717" i="2" s="1"/>
  <c r="J1718" i="2"/>
  <c r="K1718" i="2" s="1"/>
  <c r="L1718" i="2" s="1"/>
  <c r="U1718" i="2" s="1"/>
  <c r="J1719" i="2"/>
  <c r="K1719" i="2" s="1"/>
  <c r="L1719" i="2" s="1"/>
  <c r="U1719" i="2" s="1"/>
  <c r="J1720" i="2"/>
  <c r="K1720" i="2" s="1"/>
  <c r="L1720" i="2" s="1"/>
  <c r="U1720" i="2" s="1"/>
  <c r="J1721" i="2"/>
  <c r="K1721" i="2" s="1"/>
  <c r="L1721" i="2" s="1"/>
  <c r="U1721" i="2" s="1"/>
  <c r="J1722" i="2"/>
  <c r="K1722" i="2" s="1"/>
  <c r="L1722" i="2" s="1"/>
  <c r="U1722" i="2" s="1"/>
  <c r="J1723" i="2"/>
  <c r="K1723" i="2" s="1"/>
  <c r="L1723" i="2" s="1"/>
  <c r="U1723" i="2" s="1"/>
  <c r="J1724" i="2"/>
  <c r="K1724" i="2" s="1"/>
  <c r="L1724" i="2" s="1"/>
  <c r="U1724" i="2" s="1"/>
  <c r="J1725" i="2"/>
  <c r="K1725" i="2" s="1"/>
  <c r="L1725" i="2" s="1"/>
  <c r="U1725" i="2" s="1"/>
  <c r="J1726" i="2"/>
  <c r="K1726" i="2" s="1"/>
  <c r="L1726" i="2" s="1"/>
  <c r="U1726" i="2" s="1"/>
  <c r="J1727" i="2"/>
  <c r="K1727" i="2" s="1"/>
  <c r="L1727" i="2" s="1"/>
  <c r="U1727" i="2" s="1"/>
  <c r="J1728" i="2"/>
  <c r="K1728" i="2" s="1"/>
  <c r="L1728" i="2" s="1"/>
  <c r="U1728" i="2" s="1"/>
  <c r="J1729" i="2"/>
  <c r="K1729" i="2" s="1"/>
  <c r="L1729" i="2" s="1"/>
  <c r="U1729" i="2" s="1"/>
  <c r="J1730" i="2"/>
  <c r="K1730" i="2" s="1"/>
  <c r="L1730" i="2" s="1"/>
  <c r="U1730" i="2" s="1"/>
  <c r="J1731" i="2"/>
  <c r="K1731" i="2" s="1"/>
  <c r="L1731" i="2" s="1"/>
  <c r="U1731" i="2" s="1"/>
  <c r="J1732" i="2"/>
  <c r="K1732" i="2" s="1"/>
  <c r="L1732" i="2" s="1"/>
  <c r="U1732" i="2" s="1"/>
  <c r="J1733" i="2"/>
  <c r="K1733" i="2" s="1"/>
  <c r="L1733" i="2" s="1"/>
  <c r="U1733" i="2" s="1"/>
  <c r="J1734" i="2"/>
  <c r="K1734" i="2" s="1"/>
  <c r="L1734" i="2" s="1"/>
  <c r="U1734" i="2" s="1"/>
  <c r="J1735" i="2"/>
  <c r="K1735" i="2" s="1"/>
  <c r="L1735" i="2" s="1"/>
  <c r="U1735" i="2" s="1"/>
  <c r="J1736" i="2"/>
  <c r="K1736" i="2" s="1"/>
  <c r="L1736" i="2" s="1"/>
  <c r="U1736" i="2" s="1"/>
  <c r="J1737" i="2"/>
  <c r="K1737" i="2" s="1"/>
  <c r="L1737" i="2" s="1"/>
  <c r="U1737" i="2" s="1"/>
  <c r="J1738" i="2"/>
  <c r="K1738" i="2" s="1"/>
  <c r="L1738" i="2" s="1"/>
  <c r="U1738" i="2" s="1"/>
  <c r="J1739" i="2"/>
  <c r="K1739" i="2" s="1"/>
  <c r="L1739" i="2" s="1"/>
  <c r="U1739" i="2" s="1"/>
  <c r="J1740" i="2"/>
  <c r="K1740" i="2" s="1"/>
  <c r="L1740" i="2" s="1"/>
  <c r="U1740" i="2" s="1"/>
  <c r="J1741" i="2"/>
  <c r="K1741" i="2" s="1"/>
  <c r="L1741" i="2" s="1"/>
  <c r="U1741" i="2" s="1"/>
  <c r="J1742" i="2"/>
  <c r="K1742" i="2" s="1"/>
  <c r="L1742" i="2" s="1"/>
  <c r="U1742" i="2" s="1"/>
  <c r="J1743" i="2"/>
  <c r="K1743" i="2" s="1"/>
  <c r="L1743" i="2" s="1"/>
  <c r="U1743" i="2" s="1"/>
  <c r="J1744" i="2"/>
  <c r="K1744" i="2" s="1"/>
  <c r="L1744" i="2" s="1"/>
  <c r="U1744" i="2" s="1"/>
  <c r="J1745" i="2"/>
  <c r="K1745" i="2" s="1"/>
  <c r="L1745" i="2" s="1"/>
  <c r="U1745" i="2" s="1"/>
  <c r="J1746" i="2"/>
  <c r="K1746" i="2" s="1"/>
  <c r="L1746" i="2" s="1"/>
  <c r="U1746" i="2" s="1"/>
  <c r="J1747" i="2"/>
  <c r="K1747" i="2" s="1"/>
  <c r="L1747" i="2" s="1"/>
  <c r="U1747" i="2" s="1"/>
  <c r="J1748" i="2"/>
  <c r="K1748" i="2" s="1"/>
  <c r="L1748" i="2" s="1"/>
  <c r="U1748" i="2" s="1"/>
  <c r="J1749" i="2"/>
  <c r="K1749" i="2" s="1"/>
  <c r="L1749" i="2" s="1"/>
  <c r="U1749" i="2" s="1"/>
  <c r="J1750" i="2"/>
  <c r="K1750" i="2" s="1"/>
  <c r="L1750" i="2" s="1"/>
  <c r="U1750" i="2" s="1"/>
  <c r="J1751" i="2"/>
  <c r="K1751" i="2" s="1"/>
  <c r="L1751" i="2" s="1"/>
  <c r="U1751" i="2" s="1"/>
  <c r="J1752" i="2"/>
  <c r="K1752" i="2" s="1"/>
  <c r="L1752" i="2" s="1"/>
  <c r="U1752" i="2" s="1"/>
  <c r="J1753" i="2"/>
  <c r="K1753" i="2" s="1"/>
  <c r="L1753" i="2" s="1"/>
  <c r="U1753" i="2" s="1"/>
  <c r="J1754" i="2"/>
  <c r="K1754" i="2" s="1"/>
  <c r="L1754" i="2" s="1"/>
  <c r="U1754" i="2" s="1"/>
  <c r="J1755" i="2"/>
  <c r="K1755" i="2" s="1"/>
  <c r="L1755" i="2" s="1"/>
  <c r="U1755" i="2" s="1"/>
  <c r="J1756" i="2"/>
  <c r="K1756" i="2" s="1"/>
  <c r="L1756" i="2" s="1"/>
  <c r="U1756" i="2" s="1"/>
  <c r="J1757" i="2"/>
  <c r="K1757" i="2" s="1"/>
  <c r="L1757" i="2" s="1"/>
  <c r="U1757" i="2" s="1"/>
  <c r="J1758" i="2"/>
  <c r="K1758" i="2" s="1"/>
  <c r="L1758" i="2" s="1"/>
  <c r="U1758" i="2" s="1"/>
  <c r="J1759" i="2"/>
  <c r="K1759" i="2" s="1"/>
  <c r="L1759" i="2" s="1"/>
  <c r="U1759" i="2" s="1"/>
  <c r="J1760" i="2"/>
  <c r="K1760" i="2" s="1"/>
  <c r="L1760" i="2" s="1"/>
  <c r="U1760" i="2" s="1"/>
  <c r="J1761" i="2"/>
  <c r="K1761" i="2" s="1"/>
  <c r="L1761" i="2" s="1"/>
  <c r="U1761" i="2" s="1"/>
  <c r="J1762" i="2"/>
  <c r="K1762" i="2" s="1"/>
  <c r="L1762" i="2" s="1"/>
  <c r="U1762" i="2" s="1"/>
  <c r="J1763" i="2"/>
  <c r="K1763" i="2" s="1"/>
  <c r="L1763" i="2" s="1"/>
  <c r="U1763" i="2" s="1"/>
  <c r="J1764" i="2"/>
  <c r="K1764" i="2" s="1"/>
  <c r="L1764" i="2" s="1"/>
  <c r="U1764" i="2" s="1"/>
  <c r="J1765" i="2"/>
  <c r="K1765" i="2" s="1"/>
  <c r="L1765" i="2" s="1"/>
  <c r="U1765" i="2" s="1"/>
  <c r="J1766" i="2"/>
  <c r="K1766" i="2" s="1"/>
  <c r="L1766" i="2" s="1"/>
  <c r="U1766" i="2" s="1"/>
  <c r="J1767" i="2"/>
  <c r="K1767" i="2" s="1"/>
  <c r="L1767" i="2" s="1"/>
  <c r="U1767" i="2" s="1"/>
  <c r="J1768" i="2"/>
  <c r="K1768" i="2" s="1"/>
  <c r="L1768" i="2" s="1"/>
  <c r="U1768" i="2" s="1"/>
  <c r="J1769" i="2"/>
  <c r="K1769" i="2" s="1"/>
  <c r="L1769" i="2" s="1"/>
  <c r="U1769" i="2" s="1"/>
  <c r="J1770" i="2"/>
  <c r="K1770" i="2" s="1"/>
  <c r="L1770" i="2" s="1"/>
  <c r="U1770" i="2" s="1"/>
  <c r="J1771" i="2"/>
  <c r="K1771" i="2" s="1"/>
  <c r="L1771" i="2" s="1"/>
  <c r="U1771" i="2" s="1"/>
  <c r="J1772" i="2"/>
  <c r="K1772" i="2" s="1"/>
  <c r="L1772" i="2" s="1"/>
  <c r="U1772" i="2" s="1"/>
  <c r="J1773" i="2"/>
  <c r="K1773" i="2" s="1"/>
  <c r="L1773" i="2" s="1"/>
  <c r="U1773" i="2" s="1"/>
  <c r="J1774" i="2"/>
  <c r="K1774" i="2" s="1"/>
  <c r="L1774" i="2" s="1"/>
  <c r="U1774" i="2" s="1"/>
  <c r="J1775" i="2"/>
  <c r="K1775" i="2" s="1"/>
  <c r="L1775" i="2" s="1"/>
  <c r="U1775" i="2" s="1"/>
  <c r="J1776" i="2"/>
  <c r="K1776" i="2" s="1"/>
  <c r="L1776" i="2" s="1"/>
  <c r="U1776" i="2" s="1"/>
  <c r="J1777" i="2"/>
  <c r="K1777" i="2" s="1"/>
  <c r="L1777" i="2" s="1"/>
  <c r="U1777" i="2" s="1"/>
  <c r="J1778" i="2"/>
  <c r="K1778" i="2" s="1"/>
  <c r="L1778" i="2" s="1"/>
  <c r="U1778" i="2" s="1"/>
  <c r="J1779" i="2"/>
  <c r="K1779" i="2" s="1"/>
  <c r="L1779" i="2" s="1"/>
  <c r="U1779" i="2" s="1"/>
  <c r="J1780" i="2"/>
  <c r="K1780" i="2" s="1"/>
  <c r="L1780" i="2" s="1"/>
  <c r="U1780" i="2" s="1"/>
  <c r="J1781" i="2"/>
  <c r="K1781" i="2" s="1"/>
  <c r="L1781" i="2" s="1"/>
  <c r="U1781" i="2" s="1"/>
  <c r="J1782" i="2"/>
  <c r="K1782" i="2" s="1"/>
  <c r="L1782" i="2" s="1"/>
  <c r="U1782" i="2" s="1"/>
  <c r="J1783" i="2"/>
  <c r="K1783" i="2" s="1"/>
  <c r="L1783" i="2" s="1"/>
  <c r="U1783" i="2" s="1"/>
  <c r="J1784" i="2"/>
  <c r="K1784" i="2" s="1"/>
  <c r="L1784" i="2" s="1"/>
  <c r="U1784" i="2" s="1"/>
  <c r="J1785" i="2"/>
  <c r="K1785" i="2" s="1"/>
  <c r="L1785" i="2" s="1"/>
  <c r="U1785" i="2" s="1"/>
  <c r="J1786" i="2"/>
  <c r="K1786" i="2" s="1"/>
  <c r="L1786" i="2" s="1"/>
  <c r="U1786" i="2" s="1"/>
  <c r="J1787" i="2"/>
  <c r="K1787" i="2" s="1"/>
  <c r="L1787" i="2" s="1"/>
  <c r="U1787" i="2" s="1"/>
  <c r="J1788" i="2"/>
  <c r="K1788" i="2" s="1"/>
  <c r="L1788" i="2" s="1"/>
  <c r="U1788" i="2" s="1"/>
  <c r="J1789" i="2"/>
  <c r="K1789" i="2" s="1"/>
  <c r="L1789" i="2" s="1"/>
  <c r="U1789" i="2" s="1"/>
  <c r="J1790" i="2"/>
  <c r="K1790" i="2" s="1"/>
  <c r="L1790" i="2" s="1"/>
  <c r="U1790" i="2" s="1"/>
  <c r="J1791" i="2"/>
  <c r="K1791" i="2" s="1"/>
  <c r="L1791" i="2" s="1"/>
  <c r="U1791" i="2" s="1"/>
  <c r="J1792" i="2"/>
  <c r="K1792" i="2" s="1"/>
  <c r="L1792" i="2" s="1"/>
  <c r="U1792" i="2" s="1"/>
  <c r="J1793" i="2"/>
  <c r="K1793" i="2" s="1"/>
  <c r="L1793" i="2" s="1"/>
  <c r="U1793" i="2" s="1"/>
  <c r="J1794" i="2"/>
  <c r="K1794" i="2" s="1"/>
  <c r="L1794" i="2" s="1"/>
  <c r="U1794" i="2" s="1"/>
  <c r="J1795" i="2"/>
  <c r="K1795" i="2" s="1"/>
  <c r="L1795" i="2" s="1"/>
  <c r="U1795" i="2" s="1"/>
  <c r="J1796" i="2"/>
  <c r="K1796" i="2" s="1"/>
  <c r="L1796" i="2" s="1"/>
  <c r="U1796" i="2" s="1"/>
  <c r="J1797" i="2"/>
  <c r="K1797" i="2" s="1"/>
  <c r="L1797" i="2" s="1"/>
  <c r="U1797" i="2" s="1"/>
  <c r="J1798" i="2"/>
  <c r="K1798" i="2" s="1"/>
  <c r="L1798" i="2" s="1"/>
  <c r="U1798" i="2" s="1"/>
  <c r="J1799" i="2"/>
  <c r="K1799" i="2" s="1"/>
  <c r="L1799" i="2" s="1"/>
  <c r="U1799" i="2" s="1"/>
  <c r="J1800" i="2"/>
  <c r="K1800" i="2" s="1"/>
  <c r="L1800" i="2" s="1"/>
  <c r="U1800" i="2" s="1"/>
  <c r="J1801" i="2"/>
  <c r="K1801" i="2" s="1"/>
  <c r="L1801" i="2" s="1"/>
  <c r="U1801" i="2" s="1"/>
  <c r="J1802" i="2"/>
  <c r="K1802" i="2" s="1"/>
  <c r="L1802" i="2" s="1"/>
  <c r="U1802" i="2" s="1"/>
  <c r="J1803" i="2"/>
  <c r="K1803" i="2" s="1"/>
  <c r="L1803" i="2" s="1"/>
  <c r="U1803" i="2" s="1"/>
  <c r="J1804" i="2"/>
  <c r="K1804" i="2" s="1"/>
  <c r="L1804" i="2" s="1"/>
  <c r="U1804" i="2" s="1"/>
  <c r="J1805" i="2"/>
  <c r="K1805" i="2" s="1"/>
  <c r="L1805" i="2" s="1"/>
  <c r="U1805" i="2" s="1"/>
  <c r="J1806" i="2"/>
  <c r="K1806" i="2" s="1"/>
  <c r="L1806" i="2" s="1"/>
  <c r="U1806" i="2" s="1"/>
  <c r="J1807" i="2"/>
  <c r="K1807" i="2" s="1"/>
  <c r="L1807" i="2" s="1"/>
  <c r="U1807" i="2" s="1"/>
  <c r="J1808" i="2"/>
  <c r="K1808" i="2" s="1"/>
  <c r="L1808" i="2" s="1"/>
  <c r="U1808" i="2" s="1"/>
  <c r="J1809" i="2"/>
  <c r="K1809" i="2" s="1"/>
  <c r="L1809" i="2" s="1"/>
  <c r="U1809" i="2" s="1"/>
  <c r="J1810" i="2"/>
  <c r="K1810" i="2" s="1"/>
  <c r="L1810" i="2" s="1"/>
  <c r="U1810" i="2" s="1"/>
  <c r="J1811" i="2"/>
  <c r="K1811" i="2" s="1"/>
  <c r="L1811" i="2" s="1"/>
  <c r="U1811" i="2" s="1"/>
  <c r="J1812" i="2"/>
  <c r="K1812" i="2" s="1"/>
  <c r="L1812" i="2" s="1"/>
  <c r="U1812" i="2" s="1"/>
  <c r="J1813" i="2"/>
  <c r="K1813" i="2" s="1"/>
  <c r="L1813" i="2" s="1"/>
  <c r="U1813" i="2" s="1"/>
  <c r="J1814" i="2"/>
  <c r="K1814" i="2" s="1"/>
  <c r="L1814" i="2" s="1"/>
  <c r="U1814" i="2" s="1"/>
  <c r="J1815" i="2"/>
  <c r="K1815" i="2" s="1"/>
  <c r="L1815" i="2" s="1"/>
  <c r="U1815" i="2" s="1"/>
  <c r="J1816" i="2"/>
  <c r="K1816" i="2" s="1"/>
  <c r="L1816" i="2" s="1"/>
  <c r="U1816" i="2" s="1"/>
  <c r="J1817" i="2"/>
  <c r="K1817" i="2" s="1"/>
  <c r="L1817" i="2" s="1"/>
  <c r="U1817" i="2" s="1"/>
  <c r="J1818" i="2"/>
  <c r="K1818" i="2" s="1"/>
  <c r="L1818" i="2" s="1"/>
  <c r="U1818" i="2" s="1"/>
  <c r="J1819" i="2"/>
  <c r="K1819" i="2" s="1"/>
  <c r="L1819" i="2" s="1"/>
  <c r="U1819" i="2" s="1"/>
  <c r="J1820" i="2"/>
  <c r="K1820" i="2" s="1"/>
  <c r="L1820" i="2" s="1"/>
  <c r="U1820" i="2" s="1"/>
  <c r="J1821" i="2"/>
  <c r="K1821" i="2" s="1"/>
  <c r="L1821" i="2" s="1"/>
  <c r="U1821" i="2" s="1"/>
  <c r="J1822" i="2"/>
  <c r="K1822" i="2" s="1"/>
  <c r="L1822" i="2" s="1"/>
  <c r="U1822" i="2" s="1"/>
  <c r="J1823" i="2"/>
  <c r="K1823" i="2" s="1"/>
  <c r="L1823" i="2" s="1"/>
  <c r="U1823" i="2" s="1"/>
  <c r="J1824" i="2"/>
  <c r="K1824" i="2" s="1"/>
  <c r="L1824" i="2" s="1"/>
  <c r="U1824" i="2" s="1"/>
  <c r="J1825" i="2"/>
  <c r="K1825" i="2" s="1"/>
  <c r="L1825" i="2" s="1"/>
  <c r="U1825" i="2" s="1"/>
  <c r="J1826" i="2"/>
  <c r="K1826" i="2" s="1"/>
  <c r="L1826" i="2" s="1"/>
  <c r="U1826" i="2" s="1"/>
  <c r="J1827" i="2"/>
  <c r="K1827" i="2" s="1"/>
  <c r="L1827" i="2" s="1"/>
  <c r="U1827" i="2" s="1"/>
  <c r="J1828" i="2"/>
  <c r="K1828" i="2" s="1"/>
  <c r="L1828" i="2" s="1"/>
  <c r="U1828" i="2" s="1"/>
  <c r="J1829" i="2"/>
  <c r="K1829" i="2" s="1"/>
  <c r="L1829" i="2" s="1"/>
  <c r="U1829" i="2" s="1"/>
  <c r="J1830" i="2"/>
  <c r="K1830" i="2" s="1"/>
  <c r="L1830" i="2" s="1"/>
  <c r="U1830" i="2" s="1"/>
  <c r="J1831" i="2"/>
  <c r="K1831" i="2" s="1"/>
  <c r="L1831" i="2" s="1"/>
  <c r="U1831" i="2" s="1"/>
  <c r="J1832" i="2"/>
  <c r="K1832" i="2" s="1"/>
  <c r="L1832" i="2" s="1"/>
  <c r="U1832" i="2" s="1"/>
  <c r="J1833" i="2"/>
  <c r="K1833" i="2" s="1"/>
  <c r="L1833" i="2" s="1"/>
  <c r="U1833" i="2" s="1"/>
  <c r="J1834" i="2"/>
  <c r="K1834" i="2" s="1"/>
  <c r="L1834" i="2" s="1"/>
  <c r="U1834" i="2" s="1"/>
  <c r="J1835" i="2"/>
  <c r="K1835" i="2" s="1"/>
  <c r="L1835" i="2" s="1"/>
  <c r="U1835" i="2" s="1"/>
  <c r="J1836" i="2"/>
  <c r="K1836" i="2" s="1"/>
  <c r="L1836" i="2" s="1"/>
  <c r="U1836" i="2" s="1"/>
  <c r="J1837" i="2"/>
  <c r="K1837" i="2" s="1"/>
  <c r="L1837" i="2" s="1"/>
  <c r="U1837" i="2" s="1"/>
  <c r="J1838" i="2"/>
  <c r="K1838" i="2" s="1"/>
  <c r="L1838" i="2" s="1"/>
  <c r="U1838" i="2" s="1"/>
  <c r="J1839" i="2"/>
  <c r="K1839" i="2" s="1"/>
  <c r="L1839" i="2" s="1"/>
  <c r="U1839" i="2" s="1"/>
  <c r="J1840" i="2"/>
  <c r="K1840" i="2" s="1"/>
  <c r="L1840" i="2" s="1"/>
  <c r="U1840" i="2" s="1"/>
  <c r="J1841" i="2"/>
  <c r="K1841" i="2" s="1"/>
  <c r="L1841" i="2" s="1"/>
  <c r="U1841" i="2" s="1"/>
  <c r="J1842" i="2"/>
  <c r="K1842" i="2" s="1"/>
  <c r="L1842" i="2" s="1"/>
  <c r="U1842" i="2" s="1"/>
  <c r="J1843" i="2"/>
  <c r="K1843" i="2" s="1"/>
  <c r="L1843" i="2" s="1"/>
  <c r="U1843" i="2" s="1"/>
  <c r="J1844" i="2"/>
  <c r="K1844" i="2" s="1"/>
  <c r="L1844" i="2" s="1"/>
  <c r="U1844" i="2" s="1"/>
  <c r="J1845" i="2"/>
  <c r="K1845" i="2" s="1"/>
  <c r="L1845" i="2" s="1"/>
  <c r="U1845" i="2" s="1"/>
  <c r="J1846" i="2"/>
  <c r="K1846" i="2" s="1"/>
  <c r="L1846" i="2" s="1"/>
  <c r="U1846" i="2" s="1"/>
  <c r="J1847" i="2"/>
  <c r="K1847" i="2" s="1"/>
  <c r="L1847" i="2" s="1"/>
  <c r="U1847" i="2" s="1"/>
  <c r="J1848" i="2"/>
  <c r="K1848" i="2" s="1"/>
  <c r="L1848" i="2" s="1"/>
  <c r="U1848" i="2" s="1"/>
  <c r="J1849" i="2"/>
  <c r="K1849" i="2" s="1"/>
  <c r="L1849" i="2" s="1"/>
  <c r="U1849" i="2" s="1"/>
  <c r="J1850" i="2"/>
  <c r="K1850" i="2" s="1"/>
  <c r="L1850" i="2" s="1"/>
  <c r="U1850" i="2" s="1"/>
  <c r="J1851" i="2"/>
  <c r="K1851" i="2" s="1"/>
  <c r="L1851" i="2" s="1"/>
  <c r="U1851" i="2" s="1"/>
  <c r="J1852" i="2"/>
  <c r="K1852" i="2" s="1"/>
  <c r="L1852" i="2" s="1"/>
  <c r="U1852" i="2" s="1"/>
  <c r="J1853" i="2"/>
  <c r="K1853" i="2" s="1"/>
  <c r="L1853" i="2" s="1"/>
  <c r="U1853" i="2" s="1"/>
  <c r="J1854" i="2"/>
  <c r="K1854" i="2" s="1"/>
  <c r="L1854" i="2" s="1"/>
  <c r="U1854" i="2" s="1"/>
  <c r="J1855" i="2"/>
  <c r="K1855" i="2" s="1"/>
  <c r="L1855" i="2" s="1"/>
  <c r="U1855" i="2" s="1"/>
  <c r="J1856" i="2"/>
  <c r="K1856" i="2" s="1"/>
  <c r="L1856" i="2" s="1"/>
  <c r="U1856" i="2" s="1"/>
  <c r="J1857" i="2"/>
  <c r="K1857" i="2" s="1"/>
  <c r="L1857" i="2" s="1"/>
  <c r="U1857" i="2" s="1"/>
  <c r="J1858" i="2"/>
  <c r="K1858" i="2" s="1"/>
  <c r="L1858" i="2" s="1"/>
  <c r="U1858" i="2" s="1"/>
  <c r="J1859" i="2"/>
  <c r="K1859" i="2" s="1"/>
  <c r="L1859" i="2" s="1"/>
  <c r="U1859" i="2" s="1"/>
  <c r="J1860" i="2"/>
  <c r="K1860" i="2" s="1"/>
  <c r="L1860" i="2" s="1"/>
  <c r="U1860" i="2" s="1"/>
  <c r="J1861" i="2"/>
  <c r="K1861" i="2" s="1"/>
  <c r="L1861" i="2" s="1"/>
  <c r="U1861" i="2" s="1"/>
  <c r="J1862" i="2"/>
  <c r="K1862" i="2" s="1"/>
  <c r="L1862" i="2" s="1"/>
  <c r="U1862" i="2" s="1"/>
  <c r="J1863" i="2"/>
  <c r="K1863" i="2" s="1"/>
  <c r="L1863" i="2" s="1"/>
  <c r="U1863" i="2" s="1"/>
  <c r="J1864" i="2"/>
  <c r="K1864" i="2" s="1"/>
  <c r="L1864" i="2" s="1"/>
  <c r="U1864" i="2" s="1"/>
  <c r="J1865" i="2"/>
  <c r="K1865" i="2" s="1"/>
  <c r="L1865" i="2" s="1"/>
  <c r="U1865" i="2" s="1"/>
  <c r="J1866" i="2"/>
  <c r="K1866" i="2" s="1"/>
  <c r="L1866" i="2" s="1"/>
  <c r="U1866" i="2" s="1"/>
  <c r="J1867" i="2"/>
  <c r="K1867" i="2" s="1"/>
  <c r="L1867" i="2" s="1"/>
  <c r="U1867" i="2" s="1"/>
  <c r="J1868" i="2"/>
  <c r="K1868" i="2" s="1"/>
  <c r="L1868" i="2" s="1"/>
  <c r="U1868" i="2" s="1"/>
  <c r="J1869" i="2"/>
  <c r="K1869" i="2" s="1"/>
  <c r="L1869" i="2" s="1"/>
  <c r="U1869" i="2" s="1"/>
  <c r="J1870" i="2"/>
  <c r="K1870" i="2" s="1"/>
  <c r="L1870" i="2" s="1"/>
  <c r="U1870" i="2" s="1"/>
  <c r="J1871" i="2"/>
  <c r="K1871" i="2" s="1"/>
  <c r="L1871" i="2" s="1"/>
  <c r="U1871" i="2" s="1"/>
  <c r="J1872" i="2"/>
  <c r="K1872" i="2" s="1"/>
  <c r="L1872" i="2" s="1"/>
  <c r="U1872" i="2" s="1"/>
  <c r="J1873" i="2"/>
  <c r="K1873" i="2" s="1"/>
  <c r="L1873" i="2" s="1"/>
  <c r="U1873" i="2" s="1"/>
  <c r="J1874" i="2"/>
  <c r="K1874" i="2" s="1"/>
  <c r="L1874" i="2" s="1"/>
  <c r="U1874" i="2" s="1"/>
  <c r="J1875" i="2"/>
  <c r="K1875" i="2" s="1"/>
  <c r="L1875" i="2" s="1"/>
  <c r="U1875" i="2" s="1"/>
  <c r="J1876" i="2"/>
  <c r="K1876" i="2" s="1"/>
  <c r="L1876" i="2" s="1"/>
  <c r="U1876" i="2" s="1"/>
  <c r="J1877" i="2"/>
  <c r="K1877" i="2" s="1"/>
  <c r="L1877" i="2" s="1"/>
  <c r="U1877" i="2" s="1"/>
  <c r="J1878" i="2"/>
  <c r="K1878" i="2" s="1"/>
  <c r="L1878" i="2" s="1"/>
  <c r="U1878" i="2" s="1"/>
  <c r="J1879" i="2"/>
  <c r="K1879" i="2" s="1"/>
  <c r="L1879" i="2" s="1"/>
  <c r="U1879" i="2" s="1"/>
  <c r="J1880" i="2"/>
  <c r="K1880" i="2" s="1"/>
  <c r="L1880" i="2" s="1"/>
  <c r="U1880" i="2" s="1"/>
  <c r="J1881" i="2"/>
  <c r="K1881" i="2" s="1"/>
  <c r="L1881" i="2" s="1"/>
  <c r="U1881" i="2" s="1"/>
  <c r="J1882" i="2"/>
  <c r="K1882" i="2" s="1"/>
  <c r="L1882" i="2" s="1"/>
  <c r="U1882" i="2" s="1"/>
  <c r="J1883" i="2"/>
  <c r="K1883" i="2" s="1"/>
  <c r="L1883" i="2" s="1"/>
  <c r="U1883" i="2" s="1"/>
  <c r="J1884" i="2"/>
  <c r="K1884" i="2" s="1"/>
  <c r="L1884" i="2" s="1"/>
  <c r="U1884" i="2" s="1"/>
  <c r="J1885" i="2"/>
  <c r="K1885" i="2" s="1"/>
  <c r="L1885" i="2" s="1"/>
  <c r="U1885" i="2" s="1"/>
  <c r="J1886" i="2"/>
  <c r="K1886" i="2" s="1"/>
  <c r="L1886" i="2" s="1"/>
  <c r="U1886" i="2" s="1"/>
  <c r="J1887" i="2"/>
  <c r="K1887" i="2" s="1"/>
  <c r="L1887" i="2" s="1"/>
  <c r="U1887" i="2" s="1"/>
  <c r="J1888" i="2"/>
  <c r="K1888" i="2" s="1"/>
  <c r="L1888" i="2" s="1"/>
  <c r="U1888" i="2" s="1"/>
  <c r="J1889" i="2"/>
  <c r="K1889" i="2" s="1"/>
  <c r="L1889" i="2" s="1"/>
  <c r="U1889" i="2" s="1"/>
  <c r="J1890" i="2"/>
  <c r="K1890" i="2" s="1"/>
  <c r="L1890" i="2" s="1"/>
  <c r="U1890" i="2" s="1"/>
  <c r="J1891" i="2"/>
  <c r="K1891" i="2" s="1"/>
  <c r="L1891" i="2" s="1"/>
  <c r="U1891" i="2" s="1"/>
  <c r="J1892" i="2"/>
  <c r="K1892" i="2" s="1"/>
  <c r="L1892" i="2" s="1"/>
  <c r="U1892" i="2" s="1"/>
  <c r="J1893" i="2"/>
  <c r="K1893" i="2" s="1"/>
  <c r="L1893" i="2" s="1"/>
  <c r="U1893" i="2" s="1"/>
  <c r="J1894" i="2"/>
  <c r="K1894" i="2" s="1"/>
  <c r="L1894" i="2" s="1"/>
  <c r="U1894" i="2" s="1"/>
  <c r="J1895" i="2"/>
  <c r="K1895" i="2" s="1"/>
  <c r="L1895" i="2" s="1"/>
  <c r="U1895" i="2" s="1"/>
  <c r="J1896" i="2"/>
  <c r="K1896" i="2" s="1"/>
  <c r="L1896" i="2" s="1"/>
  <c r="U1896" i="2" s="1"/>
  <c r="J1897" i="2"/>
  <c r="K1897" i="2" s="1"/>
  <c r="L1897" i="2" s="1"/>
  <c r="U1897" i="2" s="1"/>
  <c r="J1898" i="2"/>
  <c r="K1898" i="2" s="1"/>
  <c r="L1898" i="2" s="1"/>
  <c r="U1898" i="2" s="1"/>
  <c r="J1899" i="2"/>
  <c r="K1899" i="2" s="1"/>
  <c r="L1899" i="2" s="1"/>
  <c r="U1899" i="2" s="1"/>
  <c r="J1900" i="2"/>
  <c r="K1900" i="2" s="1"/>
  <c r="L1900" i="2" s="1"/>
  <c r="U1900" i="2" s="1"/>
  <c r="J1901" i="2"/>
  <c r="K1901" i="2" s="1"/>
  <c r="L1901" i="2" s="1"/>
  <c r="U1901" i="2" s="1"/>
  <c r="J1902" i="2"/>
  <c r="K1902" i="2" s="1"/>
  <c r="L1902" i="2" s="1"/>
  <c r="U1902" i="2" s="1"/>
  <c r="J1903" i="2"/>
  <c r="K1903" i="2" s="1"/>
  <c r="L1903" i="2" s="1"/>
  <c r="U1903" i="2" s="1"/>
  <c r="J1904" i="2"/>
  <c r="K1904" i="2" s="1"/>
  <c r="L1904" i="2" s="1"/>
  <c r="U1904" i="2" s="1"/>
  <c r="J1905" i="2"/>
  <c r="K1905" i="2" s="1"/>
  <c r="L1905" i="2" s="1"/>
  <c r="U1905" i="2" s="1"/>
  <c r="J1906" i="2"/>
  <c r="K1906" i="2" s="1"/>
  <c r="L1906" i="2" s="1"/>
  <c r="U1906" i="2" s="1"/>
  <c r="J1907" i="2"/>
  <c r="K1907" i="2" s="1"/>
  <c r="L1907" i="2" s="1"/>
  <c r="U1907" i="2" s="1"/>
  <c r="J1908" i="2"/>
  <c r="K1908" i="2" s="1"/>
  <c r="L1908" i="2" s="1"/>
  <c r="U1908" i="2" s="1"/>
  <c r="J1909" i="2"/>
  <c r="K1909" i="2" s="1"/>
  <c r="L1909" i="2" s="1"/>
  <c r="U1909" i="2" s="1"/>
  <c r="J1910" i="2"/>
  <c r="K1910" i="2" s="1"/>
  <c r="L1910" i="2" s="1"/>
  <c r="U1910" i="2" s="1"/>
  <c r="J1911" i="2"/>
  <c r="K1911" i="2" s="1"/>
  <c r="L1911" i="2" s="1"/>
  <c r="U1911" i="2" s="1"/>
  <c r="J1912" i="2"/>
  <c r="K1912" i="2" s="1"/>
  <c r="L1912" i="2" s="1"/>
  <c r="U1912" i="2" s="1"/>
  <c r="J1913" i="2"/>
  <c r="K1913" i="2" s="1"/>
  <c r="L1913" i="2" s="1"/>
  <c r="U1913" i="2" s="1"/>
  <c r="J1914" i="2"/>
  <c r="K1914" i="2" s="1"/>
  <c r="L1914" i="2" s="1"/>
  <c r="U1914" i="2" s="1"/>
  <c r="J1915" i="2"/>
  <c r="K1915" i="2" s="1"/>
  <c r="L1915" i="2" s="1"/>
  <c r="U1915" i="2" s="1"/>
  <c r="J1916" i="2"/>
  <c r="K1916" i="2" s="1"/>
  <c r="L1916" i="2" s="1"/>
  <c r="U1916" i="2" s="1"/>
  <c r="J1917" i="2"/>
  <c r="K1917" i="2" s="1"/>
  <c r="L1917" i="2" s="1"/>
  <c r="U1917" i="2" s="1"/>
  <c r="J1918" i="2"/>
  <c r="K1918" i="2" s="1"/>
  <c r="L1918" i="2" s="1"/>
  <c r="U1918" i="2" s="1"/>
  <c r="J1919" i="2"/>
  <c r="K1919" i="2" s="1"/>
  <c r="L1919" i="2" s="1"/>
  <c r="U1919" i="2" s="1"/>
  <c r="J1920" i="2"/>
  <c r="K1920" i="2" s="1"/>
  <c r="L1920" i="2" s="1"/>
  <c r="U1920" i="2" s="1"/>
  <c r="J1921" i="2"/>
  <c r="K1921" i="2" s="1"/>
  <c r="L1921" i="2" s="1"/>
  <c r="U1921" i="2" s="1"/>
  <c r="J1922" i="2"/>
  <c r="K1922" i="2" s="1"/>
  <c r="L1922" i="2" s="1"/>
  <c r="U1922" i="2" s="1"/>
  <c r="J1923" i="2"/>
  <c r="K1923" i="2" s="1"/>
  <c r="L1923" i="2" s="1"/>
  <c r="U1923" i="2" s="1"/>
  <c r="J1924" i="2"/>
  <c r="K1924" i="2" s="1"/>
  <c r="L1924" i="2" s="1"/>
  <c r="U1924" i="2" s="1"/>
  <c r="J1925" i="2"/>
  <c r="K1925" i="2" s="1"/>
  <c r="L1925" i="2" s="1"/>
  <c r="U1925" i="2" s="1"/>
  <c r="J1926" i="2"/>
  <c r="K1926" i="2" s="1"/>
  <c r="L1926" i="2" s="1"/>
  <c r="U1926" i="2" s="1"/>
  <c r="J1927" i="2"/>
  <c r="K1927" i="2" s="1"/>
  <c r="L1927" i="2" s="1"/>
  <c r="U1927" i="2" s="1"/>
  <c r="J1928" i="2"/>
  <c r="K1928" i="2" s="1"/>
  <c r="L1928" i="2" s="1"/>
  <c r="U1928" i="2" s="1"/>
  <c r="J1929" i="2"/>
  <c r="K1929" i="2" s="1"/>
  <c r="L1929" i="2" s="1"/>
  <c r="U1929" i="2" s="1"/>
  <c r="J1930" i="2"/>
  <c r="K1930" i="2" s="1"/>
  <c r="L1930" i="2" s="1"/>
  <c r="U1930" i="2" s="1"/>
  <c r="J1931" i="2"/>
  <c r="K1931" i="2" s="1"/>
  <c r="L1931" i="2" s="1"/>
  <c r="U1931" i="2" s="1"/>
  <c r="J1932" i="2"/>
  <c r="K1932" i="2" s="1"/>
  <c r="L1932" i="2" s="1"/>
  <c r="U1932" i="2" s="1"/>
  <c r="J1933" i="2"/>
  <c r="K1933" i="2" s="1"/>
  <c r="L1933" i="2" s="1"/>
  <c r="U1933" i="2" s="1"/>
  <c r="J1934" i="2"/>
  <c r="K1934" i="2" s="1"/>
  <c r="L1934" i="2" s="1"/>
  <c r="U1934" i="2" s="1"/>
  <c r="J1935" i="2"/>
  <c r="K1935" i="2" s="1"/>
  <c r="L1935" i="2" s="1"/>
  <c r="U1935" i="2" s="1"/>
  <c r="J1936" i="2"/>
  <c r="K1936" i="2" s="1"/>
  <c r="L1936" i="2" s="1"/>
  <c r="U1936" i="2" s="1"/>
  <c r="J1937" i="2"/>
  <c r="K1937" i="2" s="1"/>
  <c r="L1937" i="2" s="1"/>
  <c r="U1937" i="2" s="1"/>
  <c r="J1938" i="2"/>
  <c r="K1938" i="2" s="1"/>
  <c r="L1938" i="2" s="1"/>
  <c r="U1938" i="2" s="1"/>
  <c r="J1939" i="2"/>
  <c r="K1939" i="2" s="1"/>
  <c r="L1939" i="2" s="1"/>
  <c r="U1939" i="2" s="1"/>
  <c r="J1940" i="2"/>
  <c r="K1940" i="2" s="1"/>
  <c r="L1940" i="2" s="1"/>
  <c r="U1940" i="2" s="1"/>
  <c r="J1941" i="2"/>
  <c r="K1941" i="2" s="1"/>
  <c r="L1941" i="2" s="1"/>
  <c r="U1941" i="2" s="1"/>
  <c r="J1942" i="2"/>
  <c r="K1942" i="2" s="1"/>
  <c r="L1942" i="2" s="1"/>
  <c r="U1942" i="2" s="1"/>
  <c r="J1943" i="2"/>
  <c r="K1943" i="2" s="1"/>
  <c r="L1943" i="2" s="1"/>
  <c r="U1943" i="2" s="1"/>
  <c r="J1944" i="2"/>
  <c r="K1944" i="2" s="1"/>
  <c r="L1944" i="2" s="1"/>
  <c r="U1944" i="2" s="1"/>
  <c r="J1945" i="2"/>
  <c r="K1945" i="2" s="1"/>
  <c r="L1945" i="2" s="1"/>
  <c r="U1945" i="2" s="1"/>
  <c r="J1946" i="2"/>
  <c r="K1946" i="2" s="1"/>
  <c r="L1946" i="2" s="1"/>
  <c r="U1946" i="2" s="1"/>
  <c r="J1947" i="2"/>
  <c r="K1947" i="2" s="1"/>
  <c r="L1947" i="2" s="1"/>
  <c r="U1947" i="2" s="1"/>
  <c r="J1948" i="2"/>
  <c r="K1948" i="2" s="1"/>
  <c r="L1948" i="2" s="1"/>
  <c r="U1948" i="2" s="1"/>
  <c r="J1949" i="2"/>
  <c r="K1949" i="2" s="1"/>
  <c r="L1949" i="2" s="1"/>
  <c r="U1949" i="2" s="1"/>
  <c r="J1950" i="2"/>
  <c r="K1950" i="2" s="1"/>
  <c r="L1950" i="2" s="1"/>
  <c r="U1950" i="2" s="1"/>
  <c r="J1951" i="2"/>
  <c r="K1951" i="2" s="1"/>
  <c r="L1951" i="2" s="1"/>
  <c r="U1951" i="2" s="1"/>
  <c r="J1952" i="2"/>
  <c r="K1952" i="2" s="1"/>
  <c r="L1952" i="2" s="1"/>
  <c r="U1952" i="2" s="1"/>
  <c r="J1953" i="2"/>
  <c r="K1953" i="2" s="1"/>
  <c r="L1953" i="2" s="1"/>
  <c r="U1953" i="2" s="1"/>
  <c r="J1954" i="2"/>
  <c r="K1954" i="2" s="1"/>
  <c r="L1954" i="2" s="1"/>
  <c r="U1954" i="2" s="1"/>
  <c r="J1955" i="2"/>
  <c r="K1955" i="2" s="1"/>
  <c r="L1955" i="2" s="1"/>
  <c r="U1955" i="2" s="1"/>
  <c r="J1956" i="2"/>
  <c r="K1956" i="2" s="1"/>
  <c r="L1956" i="2" s="1"/>
  <c r="U1956" i="2" s="1"/>
  <c r="J1957" i="2"/>
  <c r="K1957" i="2" s="1"/>
  <c r="L1957" i="2" s="1"/>
  <c r="U1957" i="2" s="1"/>
  <c r="J1958" i="2"/>
  <c r="K1958" i="2" s="1"/>
  <c r="L1958" i="2" s="1"/>
  <c r="U1958" i="2" s="1"/>
  <c r="J1959" i="2"/>
  <c r="K1959" i="2" s="1"/>
  <c r="L1959" i="2" s="1"/>
  <c r="U1959" i="2" s="1"/>
  <c r="J1960" i="2"/>
  <c r="K1960" i="2" s="1"/>
  <c r="L1960" i="2" s="1"/>
  <c r="U1960" i="2" s="1"/>
  <c r="J1961" i="2"/>
  <c r="K1961" i="2" s="1"/>
  <c r="L1961" i="2" s="1"/>
  <c r="U1961" i="2" s="1"/>
  <c r="J1962" i="2"/>
  <c r="K1962" i="2" s="1"/>
  <c r="L1962" i="2" s="1"/>
  <c r="U1962" i="2" s="1"/>
  <c r="J1963" i="2"/>
  <c r="K1963" i="2" s="1"/>
  <c r="L1963" i="2" s="1"/>
  <c r="U1963" i="2" s="1"/>
  <c r="J1964" i="2"/>
  <c r="K1964" i="2" s="1"/>
  <c r="L1964" i="2" s="1"/>
  <c r="U1964" i="2" s="1"/>
  <c r="J1965" i="2"/>
  <c r="K1965" i="2" s="1"/>
  <c r="L1965" i="2" s="1"/>
  <c r="U1965" i="2" s="1"/>
  <c r="J1966" i="2"/>
  <c r="K1966" i="2" s="1"/>
  <c r="L1966" i="2" s="1"/>
  <c r="U1966" i="2" s="1"/>
  <c r="J1967" i="2"/>
  <c r="K1967" i="2" s="1"/>
  <c r="L1967" i="2" s="1"/>
  <c r="U1967" i="2" s="1"/>
  <c r="J1968" i="2"/>
  <c r="K1968" i="2" s="1"/>
  <c r="L1968" i="2" s="1"/>
  <c r="U1968" i="2" s="1"/>
  <c r="J1969" i="2"/>
  <c r="K1969" i="2" s="1"/>
  <c r="L1969" i="2" s="1"/>
  <c r="U1969" i="2" s="1"/>
  <c r="J1970" i="2"/>
  <c r="K1970" i="2" s="1"/>
  <c r="L1970" i="2" s="1"/>
  <c r="U1970" i="2" s="1"/>
  <c r="J1971" i="2"/>
  <c r="K1971" i="2" s="1"/>
  <c r="L1971" i="2" s="1"/>
  <c r="U1971" i="2" s="1"/>
  <c r="J1972" i="2"/>
  <c r="K1972" i="2" s="1"/>
  <c r="L1972" i="2" s="1"/>
  <c r="U1972" i="2" s="1"/>
  <c r="J1973" i="2"/>
  <c r="K1973" i="2" s="1"/>
  <c r="L1973" i="2" s="1"/>
  <c r="U1973" i="2" s="1"/>
  <c r="J1974" i="2"/>
  <c r="K1974" i="2" s="1"/>
  <c r="L1974" i="2" s="1"/>
  <c r="U1974" i="2" s="1"/>
  <c r="J1975" i="2"/>
  <c r="K1975" i="2" s="1"/>
  <c r="L1975" i="2" s="1"/>
  <c r="U1975" i="2" s="1"/>
  <c r="J1976" i="2"/>
  <c r="K1976" i="2" s="1"/>
  <c r="L1976" i="2" s="1"/>
  <c r="U1976" i="2" s="1"/>
  <c r="J1977" i="2"/>
  <c r="K1977" i="2" s="1"/>
  <c r="L1977" i="2" s="1"/>
  <c r="U1977" i="2" s="1"/>
  <c r="J1978" i="2"/>
  <c r="K1978" i="2" s="1"/>
  <c r="L1978" i="2" s="1"/>
  <c r="U1978" i="2" s="1"/>
  <c r="J1979" i="2"/>
  <c r="K1979" i="2" s="1"/>
  <c r="L1979" i="2" s="1"/>
  <c r="U1979" i="2" s="1"/>
  <c r="J1980" i="2"/>
  <c r="K1980" i="2" s="1"/>
  <c r="L1980" i="2" s="1"/>
  <c r="U1980" i="2" s="1"/>
  <c r="J1981" i="2"/>
  <c r="K1981" i="2" s="1"/>
  <c r="L1981" i="2" s="1"/>
  <c r="U1981" i="2" s="1"/>
  <c r="J1982" i="2"/>
  <c r="K1982" i="2" s="1"/>
  <c r="L1982" i="2" s="1"/>
  <c r="U1982" i="2" s="1"/>
  <c r="J1983" i="2"/>
  <c r="K1983" i="2" s="1"/>
  <c r="L1983" i="2" s="1"/>
  <c r="U1983" i="2" s="1"/>
  <c r="J1984" i="2"/>
  <c r="K1984" i="2" s="1"/>
  <c r="L1984" i="2" s="1"/>
  <c r="U1984" i="2" s="1"/>
  <c r="J1985" i="2"/>
  <c r="K1985" i="2" s="1"/>
  <c r="L1985" i="2" s="1"/>
  <c r="U1985" i="2" s="1"/>
  <c r="J1986" i="2"/>
  <c r="K1986" i="2" s="1"/>
  <c r="L1986" i="2" s="1"/>
  <c r="U1986" i="2" s="1"/>
  <c r="J1987" i="2"/>
  <c r="K1987" i="2" s="1"/>
  <c r="L1987" i="2" s="1"/>
  <c r="U1987" i="2" s="1"/>
  <c r="J1988" i="2"/>
  <c r="K1988" i="2" s="1"/>
  <c r="L1988" i="2" s="1"/>
  <c r="U1988" i="2" s="1"/>
  <c r="J1989" i="2"/>
  <c r="K1989" i="2" s="1"/>
  <c r="L1989" i="2" s="1"/>
  <c r="U1989" i="2" s="1"/>
  <c r="J1990" i="2"/>
  <c r="K1990" i="2" s="1"/>
  <c r="L1990" i="2" s="1"/>
  <c r="U1990" i="2" s="1"/>
  <c r="J1991" i="2"/>
  <c r="K1991" i="2" s="1"/>
  <c r="L1991" i="2" s="1"/>
  <c r="U1991" i="2" s="1"/>
  <c r="J1992" i="2"/>
  <c r="K1992" i="2" s="1"/>
  <c r="L1992" i="2" s="1"/>
  <c r="U1992" i="2" s="1"/>
  <c r="J1993" i="2"/>
  <c r="K1993" i="2" s="1"/>
  <c r="L1993" i="2" s="1"/>
  <c r="U1993" i="2" s="1"/>
  <c r="J1994" i="2"/>
  <c r="K1994" i="2" s="1"/>
  <c r="L1994" i="2" s="1"/>
  <c r="U1994" i="2" s="1"/>
  <c r="J1995" i="2"/>
  <c r="K1995" i="2" s="1"/>
  <c r="L1995" i="2" s="1"/>
  <c r="U1995" i="2" s="1"/>
  <c r="J1996" i="2"/>
  <c r="K1996" i="2" s="1"/>
  <c r="L1996" i="2" s="1"/>
  <c r="U1996" i="2" s="1"/>
  <c r="J1997" i="2"/>
  <c r="K1997" i="2" s="1"/>
  <c r="L1997" i="2" s="1"/>
  <c r="U1997" i="2" s="1"/>
  <c r="J1998" i="2"/>
  <c r="K1998" i="2" s="1"/>
  <c r="L1998" i="2" s="1"/>
  <c r="U1998" i="2" s="1"/>
  <c r="J1999" i="2"/>
  <c r="K1999" i="2" s="1"/>
  <c r="L1999" i="2" s="1"/>
  <c r="U1999" i="2" s="1"/>
  <c r="J2000" i="2"/>
  <c r="K2000" i="2" s="1"/>
  <c r="L2000" i="2" s="1"/>
  <c r="U2000" i="2" s="1"/>
  <c r="J2001" i="2"/>
  <c r="K2001" i="2" s="1"/>
  <c r="L2001" i="2" s="1"/>
  <c r="U2001" i="2" s="1"/>
  <c r="J2002" i="2"/>
  <c r="K2002" i="2" s="1"/>
  <c r="L2002" i="2" s="1"/>
  <c r="U2002" i="2" s="1"/>
  <c r="J2003" i="2"/>
  <c r="K2003" i="2" s="1"/>
  <c r="L2003" i="2" s="1"/>
  <c r="U2003" i="2" s="1"/>
  <c r="J2004" i="2"/>
  <c r="K2004" i="2" s="1"/>
  <c r="L2004" i="2" s="1"/>
  <c r="U2004" i="2" s="1"/>
  <c r="J2005" i="2"/>
  <c r="K2005" i="2" s="1"/>
  <c r="L2005" i="2" s="1"/>
  <c r="U2005" i="2" s="1"/>
  <c r="J2006" i="2"/>
  <c r="K2006" i="2" s="1"/>
  <c r="L2006" i="2" s="1"/>
  <c r="U2006" i="2" s="1"/>
  <c r="J2007" i="2"/>
  <c r="K2007" i="2" s="1"/>
  <c r="L2007" i="2" s="1"/>
  <c r="U2007" i="2" s="1"/>
  <c r="J2008" i="2"/>
  <c r="K2008" i="2" s="1"/>
  <c r="L2008" i="2" s="1"/>
  <c r="U2008" i="2" s="1"/>
  <c r="J2009" i="2"/>
  <c r="K2009" i="2" s="1"/>
  <c r="L2009" i="2" s="1"/>
  <c r="U2009" i="2" s="1"/>
  <c r="J2010" i="2"/>
  <c r="K2010" i="2" s="1"/>
  <c r="L2010" i="2" s="1"/>
  <c r="U2010" i="2" s="1"/>
  <c r="J2011" i="2"/>
  <c r="K2011" i="2" s="1"/>
  <c r="L2011" i="2" s="1"/>
  <c r="U2011" i="2" s="1"/>
  <c r="J2012" i="2"/>
  <c r="K2012" i="2" s="1"/>
  <c r="L2012" i="2" s="1"/>
  <c r="U2012" i="2" s="1"/>
  <c r="J2013" i="2"/>
  <c r="K2013" i="2" s="1"/>
  <c r="L2013" i="2" s="1"/>
  <c r="U2013" i="2" s="1"/>
  <c r="J2014" i="2"/>
  <c r="K2014" i="2" s="1"/>
  <c r="L2014" i="2" s="1"/>
  <c r="U2014" i="2" s="1"/>
  <c r="J2015" i="2"/>
  <c r="K2015" i="2" s="1"/>
  <c r="L2015" i="2" s="1"/>
  <c r="U2015" i="2" s="1"/>
  <c r="J2016" i="2"/>
  <c r="K2016" i="2" s="1"/>
  <c r="L2016" i="2" s="1"/>
  <c r="U2016" i="2" s="1"/>
  <c r="J2017" i="2"/>
  <c r="K2017" i="2" s="1"/>
  <c r="L2017" i="2" s="1"/>
  <c r="U2017" i="2" s="1"/>
  <c r="J2018" i="2"/>
  <c r="K2018" i="2" s="1"/>
  <c r="L2018" i="2" s="1"/>
  <c r="U2018" i="2" s="1"/>
  <c r="J2019" i="2"/>
  <c r="K2019" i="2" s="1"/>
  <c r="L2019" i="2" s="1"/>
  <c r="U2019" i="2" s="1"/>
  <c r="J2020" i="2"/>
  <c r="K2020" i="2" s="1"/>
  <c r="L2020" i="2" s="1"/>
  <c r="U2020" i="2" s="1"/>
  <c r="J2021" i="2"/>
  <c r="K2021" i="2" s="1"/>
  <c r="L2021" i="2" s="1"/>
  <c r="U2021" i="2" s="1"/>
  <c r="J2022" i="2"/>
  <c r="K2022" i="2" s="1"/>
  <c r="L2022" i="2" s="1"/>
  <c r="U2022" i="2" s="1"/>
  <c r="J2023" i="2"/>
  <c r="K2023" i="2" s="1"/>
  <c r="L2023" i="2" s="1"/>
  <c r="U2023" i="2" s="1"/>
  <c r="J2024" i="2"/>
  <c r="K2024" i="2" s="1"/>
  <c r="L2024" i="2" s="1"/>
  <c r="U2024" i="2" s="1"/>
  <c r="J2025" i="2"/>
  <c r="K2025" i="2" s="1"/>
  <c r="L2025" i="2" s="1"/>
  <c r="U2025" i="2" s="1"/>
  <c r="J2026" i="2"/>
  <c r="K2026" i="2" s="1"/>
  <c r="L2026" i="2" s="1"/>
  <c r="U2026" i="2" s="1"/>
  <c r="J2027" i="2"/>
  <c r="K2027" i="2" s="1"/>
  <c r="L2027" i="2" s="1"/>
  <c r="U2027" i="2" s="1"/>
  <c r="J2028" i="2"/>
  <c r="K2028" i="2" s="1"/>
  <c r="L2028" i="2" s="1"/>
  <c r="U2028" i="2" s="1"/>
  <c r="J2029" i="2"/>
  <c r="K2029" i="2" s="1"/>
  <c r="L2029" i="2" s="1"/>
  <c r="U2029" i="2" s="1"/>
  <c r="J2030" i="2"/>
  <c r="K2030" i="2" s="1"/>
  <c r="L2030" i="2" s="1"/>
  <c r="U2030" i="2" s="1"/>
  <c r="J2031" i="2"/>
  <c r="K2031" i="2" s="1"/>
  <c r="L2031" i="2" s="1"/>
  <c r="U2031" i="2" s="1"/>
  <c r="J2032" i="2"/>
  <c r="K2032" i="2" s="1"/>
  <c r="L2032" i="2" s="1"/>
  <c r="U2032" i="2" s="1"/>
  <c r="J2033" i="2"/>
  <c r="K2033" i="2" s="1"/>
  <c r="L2033" i="2" s="1"/>
  <c r="U2033" i="2" s="1"/>
  <c r="J2034" i="2"/>
  <c r="K2034" i="2" s="1"/>
  <c r="L2034" i="2" s="1"/>
  <c r="U2034" i="2" s="1"/>
  <c r="J2035" i="2"/>
  <c r="K2035" i="2" s="1"/>
  <c r="L2035" i="2" s="1"/>
  <c r="U2035" i="2" s="1"/>
  <c r="J2036" i="2"/>
  <c r="K2036" i="2" s="1"/>
  <c r="L2036" i="2" s="1"/>
  <c r="U2036" i="2" s="1"/>
  <c r="J2037" i="2"/>
  <c r="K2037" i="2" s="1"/>
  <c r="L2037" i="2" s="1"/>
  <c r="U2037" i="2" s="1"/>
  <c r="J2038" i="2"/>
  <c r="K2038" i="2" s="1"/>
  <c r="L2038" i="2" s="1"/>
  <c r="U2038" i="2" s="1"/>
  <c r="J2039" i="2"/>
  <c r="K2039" i="2" s="1"/>
  <c r="L2039" i="2" s="1"/>
  <c r="U2039" i="2" s="1"/>
  <c r="J2040" i="2"/>
  <c r="K2040" i="2" s="1"/>
  <c r="L2040" i="2" s="1"/>
  <c r="U2040" i="2" s="1"/>
  <c r="J2041" i="2"/>
  <c r="K2041" i="2" s="1"/>
  <c r="L2041" i="2" s="1"/>
  <c r="U2041" i="2" s="1"/>
  <c r="J2042" i="2"/>
  <c r="K2042" i="2" s="1"/>
  <c r="L2042" i="2" s="1"/>
  <c r="U2042" i="2" s="1"/>
  <c r="J2043" i="2"/>
  <c r="K2043" i="2" s="1"/>
  <c r="L2043" i="2" s="1"/>
  <c r="U2043" i="2" s="1"/>
  <c r="J2044" i="2"/>
  <c r="K2044" i="2" s="1"/>
  <c r="L2044" i="2" s="1"/>
  <c r="U2044" i="2" s="1"/>
  <c r="J2045" i="2"/>
  <c r="K2045" i="2" s="1"/>
  <c r="L2045" i="2" s="1"/>
  <c r="U2045" i="2" s="1"/>
  <c r="J2046" i="2"/>
  <c r="K2046" i="2" s="1"/>
  <c r="L2046" i="2" s="1"/>
  <c r="U2046" i="2" s="1"/>
  <c r="J2047" i="2"/>
  <c r="K2047" i="2" s="1"/>
  <c r="L2047" i="2" s="1"/>
  <c r="U2047" i="2" s="1"/>
  <c r="J2048" i="2"/>
  <c r="K2048" i="2" s="1"/>
  <c r="L2048" i="2" s="1"/>
  <c r="U2048" i="2" s="1"/>
  <c r="J2049" i="2"/>
  <c r="K2049" i="2" s="1"/>
  <c r="L2049" i="2" s="1"/>
  <c r="U2049" i="2" s="1"/>
  <c r="J2050" i="2"/>
  <c r="K2050" i="2" s="1"/>
  <c r="L2050" i="2" s="1"/>
  <c r="U2050" i="2" s="1"/>
  <c r="J2051" i="2"/>
  <c r="K2051" i="2" s="1"/>
  <c r="L2051" i="2" s="1"/>
  <c r="U2051" i="2" s="1"/>
  <c r="J2052" i="2"/>
  <c r="K2052" i="2" s="1"/>
  <c r="L2052" i="2" s="1"/>
  <c r="U2052" i="2" s="1"/>
  <c r="J2053" i="2"/>
  <c r="K2053" i="2" s="1"/>
  <c r="L2053" i="2" s="1"/>
  <c r="U2053" i="2" s="1"/>
  <c r="J2054" i="2"/>
  <c r="K2054" i="2" s="1"/>
  <c r="L2054" i="2" s="1"/>
  <c r="U2054" i="2" s="1"/>
  <c r="J2055" i="2"/>
  <c r="K2055" i="2" s="1"/>
  <c r="L2055" i="2" s="1"/>
  <c r="U2055" i="2" s="1"/>
  <c r="J2056" i="2"/>
  <c r="K2056" i="2" s="1"/>
  <c r="L2056" i="2" s="1"/>
  <c r="U2056" i="2" s="1"/>
  <c r="J2057" i="2"/>
  <c r="K2057" i="2" s="1"/>
  <c r="L2057" i="2" s="1"/>
  <c r="U2057" i="2" s="1"/>
  <c r="J2058" i="2"/>
  <c r="K2058" i="2" s="1"/>
  <c r="L2058" i="2" s="1"/>
  <c r="U2058" i="2" s="1"/>
  <c r="J2059" i="2"/>
  <c r="K2059" i="2" s="1"/>
  <c r="L2059" i="2" s="1"/>
  <c r="U2059" i="2" s="1"/>
  <c r="J2060" i="2"/>
  <c r="K2060" i="2" s="1"/>
  <c r="L2060" i="2" s="1"/>
  <c r="U2060" i="2" s="1"/>
  <c r="J2061" i="2"/>
  <c r="K2061" i="2" s="1"/>
  <c r="L2061" i="2" s="1"/>
  <c r="U2061" i="2" s="1"/>
  <c r="J2062" i="2"/>
  <c r="K2062" i="2" s="1"/>
  <c r="L2062" i="2" s="1"/>
  <c r="U2062" i="2" s="1"/>
  <c r="J2063" i="2"/>
  <c r="K2063" i="2" s="1"/>
  <c r="L2063" i="2" s="1"/>
  <c r="U2063" i="2" s="1"/>
  <c r="J2064" i="2"/>
  <c r="K2064" i="2" s="1"/>
  <c r="L2064" i="2" s="1"/>
  <c r="U2064" i="2" s="1"/>
  <c r="J2065" i="2"/>
  <c r="K2065" i="2" s="1"/>
  <c r="L2065" i="2" s="1"/>
  <c r="U2065" i="2" s="1"/>
  <c r="J2066" i="2"/>
  <c r="K2066" i="2" s="1"/>
  <c r="L2066" i="2" s="1"/>
  <c r="U2066" i="2" s="1"/>
  <c r="J2067" i="2"/>
  <c r="K2067" i="2" s="1"/>
  <c r="L2067" i="2" s="1"/>
  <c r="U2067" i="2" s="1"/>
  <c r="J2068" i="2"/>
  <c r="K2068" i="2" s="1"/>
  <c r="L2068" i="2" s="1"/>
  <c r="U2068" i="2" s="1"/>
  <c r="J2069" i="2"/>
  <c r="K2069" i="2" s="1"/>
  <c r="L2069" i="2" s="1"/>
  <c r="U2069" i="2" s="1"/>
  <c r="J2070" i="2"/>
  <c r="K2070" i="2" s="1"/>
  <c r="L2070" i="2" s="1"/>
  <c r="U2070" i="2" s="1"/>
  <c r="J2071" i="2"/>
  <c r="K2071" i="2" s="1"/>
  <c r="L2071" i="2" s="1"/>
  <c r="U2071" i="2" s="1"/>
  <c r="J2072" i="2"/>
  <c r="K2072" i="2" s="1"/>
  <c r="L2072" i="2" s="1"/>
  <c r="U2072" i="2" s="1"/>
  <c r="J2073" i="2"/>
  <c r="K2073" i="2" s="1"/>
  <c r="L2073" i="2" s="1"/>
  <c r="U2073" i="2" s="1"/>
  <c r="J2074" i="2"/>
  <c r="K2074" i="2" s="1"/>
  <c r="L2074" i="2" s="1"/>
  <c r="U2074" i="2" s="1"/>
  <c r="J2075" i="2"/>
  <c r="K2075" i="2" s="1"/>
  <c r="L2075" i="2" s="1"/>
  <c r="U2075" i="2" s="1"/>
  <c r="J2076" i="2"/>
  <c r="K2076" i="2" s="1"/>
  <c r="L2076" i="2" s="1"/>
  <c r="U2076" i="2" s="1"/>
  <c r="J2077" i="2"/>
  <c r="K2077" i="2" s="1"/>
  <c r="L2077" i="2" s="1"/>
  <c r="U2077" i="2" s="1"/>
  <c r="J2078" i="2"/>
  <c r="K2078" i="2" s="1"/>
  <c r="L2078" i="2" s="1"/>
  <c r="U2078" i="2" s="1"/>
  <c r="J2079" i="2"/>
  <c r="K2079" i="2" s="1"/>
  <c r="L2079" i="2" s="1"/>
  <c r="U2079" i="2" s="1"/>
  <c r="J2080" i="2"/>
  <c r="K2080" i="2" s="1"/>
  <c r="L2080" i="2" s="1"/>
  <c r="U2080" i="2" s="1"/>
  <c r="J2081" i="2"/>
  <c r="K2081" i="2" s="1"/>
  <c r="L2081" i="2" s="1"/>
  <c r="U2081" i="2" s="1"/>
  <c r="J2082" i="2"/>
  <c r="K2082" i="2" s="1"/>
  <c r="L2082" i="2" s="1"/>
  <c r="U2082" i="2" s="1"/>
  <c r="J2083" i="2"/>
  <c r="K2083" i="2" s="1"/>
  <c r="L2083" i="2" s="1"/>
  <c r="U2083" i="2" s="1"/>
  <c r="J2084" i="2"/>
  <c r="K2084" i="2" s="1"/>
  <c r="L2084" i="2" s="1"/>
  <c r="U2084" i="2" s="1"/>
  <c r="J2085" i="2"/>
  <c r="K2085" i="2" s="1"/>
  <c r="L2085" i="2" s="1"/>
  <c r="U2085" i="2" s="1"/>
  <c r="J2086" i="2"/>
  <c r="K2086" i="2" s="1"/>
  <c r="L2086" i="2" s="1"/>
  <c r="U2086" i="2" s="1"/>
  <c r="J2087" i="2"/>
  <c r="K2087" i="2" s="1"/>
  <c r="L2087" i="2" s="1"/>
  <c r="U2087" i="2" s="1"/>
  <c r="J2088" i="2"/>
  <c r="K2088" i="2" s="1"/>
  <c r="L2088" i="2" s="1"/>
  <c r="U2088" i="2" s="1"/>
  <c r="J2089" i="2"/>
  <c r="K2089" i="2" s="1"/>
  <c r="L2089" i="2" s="1"/>
  <c r="U2089" i="2" s="1"/>
  <c r="J2090" i="2"/>
  <c r="K2090" i="2" s="1"/>
  <c r="L2090" i="2" s="1"/>
  <c r="U2090" i="2" s="1"/>
  <c r="J2091" i="2"/>
  <c r="K2091" i="2" s="1"/>
  <c r="L2091" i="2" s="1"/>
  <c r="U2091" i="2" s="1"/>
  <c r="J2092" i="2"/>
  <c r="K2092" i="2" s="1"/>
  <c r="L2092" i="2" s="1"/>
  <c r="U2092" i="2" s="1"/>
  <c r="J2093" i="2"/>
  <c r="K2093" i="2" s="1"/>
  <c r="L2093" i="2" s="1"/>
  <c r="U2093" i="2" s="1"/>
  <c r="J2094" i="2"/>
  <c r="K2094" i="2" s="1"/>
  <c r="L2094" i="2" s="1"/>
  <c r="U2094" i="2" s="1"/>
  <c r="J2095" i="2"/>
  <c r="K2095" i="2" s="1"/>
  <c r="L2095" i="2" s="1"/>
  <c r="U2095" i="2" s="1"/>
  <c r="J2096" i="2"/>
  <c r="K2096" i="2" s="1"/>
  <c r="L2096" i="2" s="1"/>
  <c r="U2096" i="2" s="1"/>
  <c r="J2097" i="2"/>
  <c r="K2097" i="2" s="1"/>
  <c r="L2097" i="2" s="1"/>
  <c r="U2097" i="2" s="1"/>
  <c r="J2098" i="2"/>
  <c r="K2098" i="2" s="1"/>
  <c r="L2098" i="2" s="1"/>
  <c r="U2098" i="2" s="1"/>
  <c r="J2099" i="2"/>
  <c r="K2099" i="2" s="1"/>
  <c r="L2099" i="2" s="1"/>
  <c r="U2099" i="2" s="1"/>
  <c r="J2100" i="2"/>
  <c r="K2100" i="2" s="1"/>
  <c r="L2100" i="2" s="1"/>
  <c r="U2100" i="2" s="1"/>
  <c r="J2101" i="2"/>
  <c r="K2101" i="2" s="1"/>
  <c r="L2101" i="2" s="1"/>
  <c r="U2101" i="2" s="1"/>
  <c r="J2102" i="2"/>
  <c r="K2102" i="2" s="1"/>
  <c r="L2102" i="2" s="1"/>
  <c r="U2102" i="2" s="1"/>
  <c r="J2103" i="2"/>
  <c r="K2103" i="2" s="1"/>
  <c r="L2103" i="2" s="1"/>
  <c r="U2103" i="2" s="1"/>
  <c r="J2104" i="2"/>
  <c r="K2104" i="2" s="1"/>
  <c r="L2104" i="2" s="1"/>
  <c r="U2104" i="2" s="1"/>
  <c r="J2105" i="2"/>
  <c r="K2105" i="2" s="1"/>
  <c r="L2105" i="2" s="1"/>
  <c r="U2105" i="2" s="1"/>
  <c r="J2106" i="2"/>
  <c r="K2106" i="2" s="1"/>
  <c r="L2106" i="2" s="1"/>
  <c r="U2106" i="2" s="1"/>
  <c r="J2107" i="2"/>
  <c r="K2107" i="2" s="1"/>
  <c r="L2107" i="2" s="1"/>
  <c r="U2107" i="2" s="1"/>
  <c r="J2108" i="2"/>
  <c r="K2108" i="2" s="1"/>
  <c r="L2108" i="2" s="1"/>
  <c r="U2108" i="2" s="1"/>
  <c r="J2109" i="2"/>
  <c r="K2109" i="2" s="1"/>
  <c r="L2109" i="2" s="1"/>
  <c r="U2109" i="2" s="1"/>
  <c r="J2110" i="2"/>
  <c r="K2110" i="2" s="1"/>
  <c r="L2110" i="2" s="1"/>
  <c r="U2110" i="2" s="1"/>
  <c r="J2111" i="2"/>
  <c r="K2111" i="2" s="1"/>
  <c r="L2111" i="2" s="1"/>
  <c r="U2111" i="2" s="1"/>
  <c r="J2112" i="2"/>
  <c r="K2112" i="2" s="1"/>
  <c r="L2112" i="2" s="1"/>
  <c r="U2112" i="2" s="1"/>
  <c r="J2113" i="2"/>
  <c r="K2113" i="2" s="1"/>
  <c r="L2113" i="2" s="1"/>
  <c r="U2113" i="2" s="1"/>
  <c r="J2114" i="2"/>
  <c r="K2114" i="2" s="1"/>
  <c r="L2114" i="2" s="1"/>
  <c r="U2114" i="2" s="1"/>
  <c r="J2115" i="2"/>
  <c r="K2115" i="2" s="1"/>
  <c r="L2115" i="2" s="1"/>
  <c r="U2115" i="2" s="1"/>
  <c r="J2116" i="2"/>
  <c r="K2116" i="2" s="1"/>
  <c r="L2116" i="2" s="1"/>
  <c r="U2116" i="2" s="1"/>
  <c r="J2117" i="2"/>
  <c r="K2117" i="2" s="1"/>
  <c r="L2117" i="2" s="1"/>
  <c r="U2117" i="2" s="1"/>
  <c r="J2118" i="2"/>
  <c r="K2118" i="2" s="1"/>
  <c r="L2118" i="2" s="1"/>
  <c r="U2118" i="2" s="1"/>
  <c r="J2119" i="2"/>
  <c r="K2119" i="2" s="1"/>
  <c r="L2119" i="2" s="1"/>
  <c r="U2119" i="2" s="1"/>
  <c r="J2120" i="2"/>
  <c r="K2120" i="2" s="1"/>
  <c r="L2120" i="2" s="1"/>
  <c r="U2120" i="2" s="1"/>
  <c r="J2121" i="2"/>
  <c r="K2121" i="2" s="1"/>
  <c r="L2121" i="2" s="1"/>
  <c r="U2121" i="2" s="1"/>
  <c r="J2122" i="2"/>
  <c r="K2122" i="2" s="1"/>
  <c r="L2122" i="2" s="1"/>
  <c r="U2122" i="2" s="1"/>
  <c r="J2123" i="2"/>
  <c r="K2123" i="2" s="1"/>
  <c r="L2123" i="2" s="1"/>
  <c r="U2123" i="2" s="1"/>
  <c r="J2124" i="2"/>
  <c r="K2124" i="2" s="1"/>
  <c r="L2124" i="2" s="1"/>
  <c r="U2124" i="2" s="1"/>
  <c r="J2125" i="2"/>
  <c r="K2125" i="2" s="1"/>
  <c r="L2125" i="2" s="1"/>
  <c r="U2125" i="2" s="1"/>
  <c r="J2126" i="2"/>
  <c r="K2126" i="2" s="1"/>
  <c r="L2126" i="2" s="1"/>
  <c r="U2126" i="2" s="1"/>
  <c r="J2127" i="2"/>
  <c r="K2127" i="2" s="1"/>
  <c r="L2127" i="2" s="1"/>
  <c r="U2127" i="2" s="1"/>
  <c r="J2128" i="2"/>
  <c r="K2128" i="2" s="1"/>
  <c r="L2128" i="2" s="1"/>
  <c r="U2128" i="2" s="1"/>
  <c r="J2129" i="2"/>
  <c r="K2129" i="2" s="1"/>
  <c r="L2129" i="2" s="1"/>
  <c r="U2129" i="2" s="1"/>
  <c r="J2130" i="2"/>
  <c r="K2130" i="2" s="1"/>
  <c r="L2130" i="2" s="1"/>
  <c r="U2130" i="2" s="1"/>
  <c r="J2131" i="2"/>
  <c r="K2131" i="2" s="1"/>
  <c r="L2131" i="2" s="1"/>
  <c r="U2131" i="2" s="1"/>
  <c r="J2132" i="2"/>
  <c r="K2132" i="2" s="1"/>
  <c r="L2132" i="2" s="1"/>
  <c r="U2132" i="2" s="1"/>
  <c r="J2133" i="2"/>
  <c r="K2133" i="2" s="1"/>
  <c r="L2133" i="2" s="1"/>
  <c r="U2133" i="2" s="1"/>
  <c r="J2134" i="2"/>
  <c r="K2134" i="2" s="1"/>
  <c r="L2134" i="2" s="1"/>
  <c r="U2134" i="2" s="1"/>
  <c r="J2135" i="2"/>
  <c r="K2135" i="2" s="1"/>
  <c r="L2135" i="2" s="1"/>
  <c r="U2135" i="2" s="1"/>
  <c r="J2136" i="2"/>
  <c r="K2136" i="2" s="1"/>
  <c r="L2136" i="2" s="1"/>
  <c r="U2136" i="2" s="1"/>
  <c r="J2137" i="2"/>
  <c r="K2137" i="2" s="1"/>
  <c r="L2137" i="2" s="1"/>
  <c r="U2137" i="2" s="1"/>
  <c r="J2138" i="2"/>
  <c r="K2138" i="2" s="1"/>
  <c r="L2138" i="2" s="1"/>
  <c r="U2138" i="2" s="1"/>
  <c r="J2139" i="2"/>
  <c r="K2139" i="2" s="1"/>
  <c r="L2139" i="2" s="1"/>
  <c r="U2139" i="2" s="1"/>
  <c r="J2140" i="2"/>
  <c r="K2140" i="2" s="1"/>
  <c r="L2140" i="2" s="1"/>
  <c r="U2140" i="2" s="1"/>
  <c r="J2141" i="2"/>
  <c r="K2141" i="2" s="1"/>
  <c r="L2141" i="2" s="1"/>
  <c r="U2141" i="2" s="1"/>
  <c r="J2142" i="2"/>
  <c r="K2142" i="2" s="1"/>
  <c r="L2142" i="2" s="1"/>
  <c r="U2142" i="2" s="1"/>
  <c r="J2143" i="2"/>
  <c r="K2143" i="2" s="1"/>
  <c r="L2143" i="2" s="1"/>
  <c r="U2143" i="2" s="1"/>
  <c r="J2144" i="2"/>
  <c r="K2144" i="2" s="1"/>
  <c r="L2144" i="2" s="1"/>
  <c r="U2144" i="2" s="1"/>
  <c r="J2145" i="2"/>
  <c r="K2145" i="2" s="1"/>
  <c r="L2145" i="2" s="1"/>
  <c r="U2145" i="2" s="1"/>
  <c r="J2146" i="2"/>
  <c r="K2146" i="2" s="1"/>
  <c r="L2146" i="2" s="1"/>
  <c r="U2146" i="2" s="1"/>
  <c r="J2147" i="2"/>
  <c r="K2147" i="2" s="1"/>
  <c r="L2147" i="2" s="1"/>
  <c r="U2147" i="2" s="1"/>
  <c r="J2148" i="2"/>
  <c r="K2148" i="2" s="1"/>
  <c r="L2148" i="2" s="1"/>
  <c r="U2148" i="2" s="1"/>
  <c r="J2149" i="2"/>
  <c r="K2149" i="2" s="1"/>
  <c r="L2149" i="2" s="1"/>
  <c r="U2149" i="2" s="1"/>
  <c r="J2150" i="2"/>
  <c r="K2150" i="2" s="1"/>
  <c r="L2150" i="2" s="1"/>
  <c r="U2150" i="2" s="1"/>
  <c r="J2151" i="2"/>
  <c r="K2151" i="2" s="1"/>
  <c r="L2151" i="2" s="1"/>
  <c r="U2151" i="2" s="1"/>
  <c r="J2152" i="2"/>
  <c r="K2152" i="2" s="1"/>
  <c r="L2152" i="2" s="1"/>
  <c r="U2152" i="2" s="1"/>
  <c r="J2153" i="2"/>
  <c r="K2153" i="2" s="1"/>
  <c r="L2153" i="2" s="1"/>
  <c r="U2153" i="2" s="1"/>
  <c r="J2154" i="2"/>
  <c r="K2154" i="2" s="1"/>
  <c r="L2154" i="2" s="1"/>
  <c r="U2154" i="2" s="1"/>
  <c r="J2155" i="2"/>
  <c r="K2155" i="2" s="1"/>
  <c r="L2155" i="2" s="1"/>
  <c r="U2155" i="2" s="1"/>
  <c r="J2156" i="2"/>
  <c r="K2156" i="2" s="1"/>
  <c r="L2156" i="2" s="1"/>
  <c r="U2156" i="2" s="1"/>
  <c r="J2157" i="2"/>
  <c r="K2157" i="2" s="1"/>
  <c r="L2157" i="2" s="1"/>
  <c r="U2157" i="2" s="1"/>
  <c r="J2158" i="2"/>
  <c r="K2158" i="2" s="1"/>
  <c r="L2158" i="2" s="1"/>
  <c r="U2158" i="2" s="1"/>
  <c r="J2159" i="2"/>
  <c r="K2159" i="2" s="1"/>
  <c r="L2159" i="2" s="1"/>
  <c r="U2159" i="2" s="1"/>
  <c r="J2160" i="2"/>
  <c r="K2160" i="2" s="1"/>
  <c r="L2160" i="2" s="1"/>
  <c r="U2160" i="2" s="1"/>
  <c r="J2161" i="2"/>
  <c r="K2161" i="2" s="1"/>
  <c r="L2161" i="2" s="1"/>
  <c r="U2161" i="2" s="1"/>
  <c r="J2162" i="2"/>
  <c r="K2162" i="2" s="1"/>
  <c r="L2162" i="2" s="1"/>
  <c r="U2162" i="2" s="1"/>
  <c r="J2163" i="2"/>
  <c r="K2163" i="2" s="1"/>
  <c r="L2163" i="2" s="1"/>
  <c r="U2163" i="2" s="1"/>
  <c r="J2164" i="2"/>
  <c r="K2164" i="2" s="1"/>
  <c r="L2164" i="2" s="1"/>
  <c r="U2164" i="2" s="1"/>
  <c r="J2165" i="2"/>
  <c r="K2165" i="2" s="1"/>
  <c r="L2165" i="2" s="1"/>
  <c r="U2165" i="2" s="1"/>
  <c r="J2166" i="2"/>
  <c r="K2166" i="2" s="1"/>
  <c r="L2166" i="2" s="1"/>
  <c r="U2166" i="2" s="1"/>
  <c r="J2167" i="2"/>
  <c r="K2167" i="2" s="1"/>
  <c r="L2167" i="2" s="1"/>
  <c r="U2167" i="2" s="1"/>
  <c r="J2168" i="2"/>
  <c r="K2168" i="2" s="1"/>
  <c r="L2168" i="2" s="1"/>
  <c r="U2168" i="2" s="1"/>
  <c r="J2169" i="2"/>
  <c r="K2169" i="2" s="1"/>
  <c r="L2169" i="2" s="1"/>
  <c r="U2169" i="2" s="1"/>
  <c r="J2170" i="2"/>
  <c r="K2170" i="2" s="1"/>
  <c r="L2170" i="2" s="1"/>
  <c r="U2170" i="2" s="1"/>
  <c r="J2171" i="2"/>
  <c r="K2171" i="2" s="1"/>
  <c r="L2171" i="2" s="1"/>
  <c r="U2171" i="2" s="1"/>
  <c r="J2172" i="2"/>
  <c r="K2172" i="2" s="1"/>
  <c r="L2172" i="2" s="1"/>
  <c r="U2172" i="2" s="1"/>
  <c r="J2173" i="2"/>
  <c r="K2173" i="2" s="1"/>
  <c r="L2173" i="2" s="1"/>
  <c r="U2173" i="2" s="1"/>
  <c r="J2174" i="2"/>
  <c r="K2174" i="2" s="1"/>
  <c r="L2174" i="2" s="1"/>
  <c r="U2174" i="2" s="1"/>
  <c r="J2175" i="2"/>
  <c r="K2175" i="2" s="1"/>
  <c r="L2175" i="2" s="1"/>
  <c r="U2175" i="2" s="1"/>
  <c r="J2176" i="2"/>
  <c r="K2176" i="2" s="1"/>
  <c r="L2176" i="2" s="1"/>
  <c r="U2176" i="2" s="1"/>
  <c r="J2177" i="2"/>
  <c r="K2177" i="2" s="1"/>
  <c r="L2177" i="2" s="1"/>
  <c r="U2177" i="2" s="1"/>
  <c r="J2178" i="2"/>
  <c r="K2178" i="2" s="1"/>
  <c r="L2178" i="2" s="1"/>
  <c r="U2178" i="2" s="1"/>
  <c r="J2179" i="2"/>
  <c r="K2179" i="2" s="1"/>
  <c r="L2179" i="2" s="1"/>
  <c r="U2179" i="2" s="1"/>
  <c r="J2180" i="2"/>
  <c r="K2180" i="2" s="1"/>
  <c r="L2180" i="2" s="1"/>
  <c r="U2180" i="2" s="1"/>
  <c r="J2181" i="2"/>
  <c r="K2181" i="2" s="1"/>
  <c r="L2181" i="2" s="1"/>
  <c r="U2181" i="2" s="1"/>
  <c r="J2182" i="2"/>
  <c r="K2182" i="2" s="1"/>
  <c r="L2182" i="2" s="1"/>
  <c r="U2182" i="2" s="1"/>
  <c r="J2183" i="2"/>
  <c r="K2183" i="2" s="1"/>
  <c r="L2183" i="2" s="1"/>
  <c r="U2183" i="2" s="1"/>
  <c r="J2184" i="2"/>
  <c r="K2184" i="2" s="1"/>
  <c r="L2184" i="2" s="1"/>
  <c r="U2184" i="2" s="1"/>
  <c r="J2185" i="2"/>
  <c r="K2185" i="2" s="1"/>
  <c r="L2185" i="2" s="1"/>
  <c r="U2185" i="2" s="1"/>
  <c r="J2186" i="2"/>
  <c r="K2186" i="2" s="1"/>
  <c r="L2186" i="2" s="1"/>
  <c r="U2186" i="2" s="1"/>
  <c r="J2187" i="2"/>
  <c r="K2187" i="2" s="1"/>
  <c r="L2187" i="2" s="1"/>
  <c r="U2187" i="2" s="1"/>
  <c r="J2188" i="2"/>
  <c r="K2188" i="2" s="1"/>
  <c r="L2188" i="2" s="1"/>
  <c r="U2188" i="2" s="1"/>
  <c r="J2189" i="2"/>
  <c r="K2189" i="2" s="1"/>
  <c r="L2189" i="2" s="1"/>
  <c r="U2189" i="2" s="1"/>
  <c r="J2190" i="2"/>
  <c r="K2190" i="2" s="1"/>
  <c r="L2190" i="2" s="1"/>
  <c r="U2190" i="2" s="1"/>
  <c r="J2191" i="2"/>
  <c r="K2191" i="2" s="1"/>
  <c r="L2191" i="2" s="1"/>
  <c r="U2191" i="2" s="1"/>
  <c r="J2192" i="2"/>
  <c r="K2192" i="2" s="1"/>
  <c r="L2192" i="2" s="1"/>
  <c r="U2192" i="2" s="1"/>
  <c r="J2193" i="2"/>
  <c r="K2193" i="2" s="1"/>
  <c r="L2193" i="2" s="1"/>
  <c r="U2193" i="2" s="1"/>
  <c r="J2194" i="2"/>
  <c r="K2194" i="2" s="1"/>
  <c r="L2194" i="2" s="1"/>
  <c r="U2194" i="2" s="1"/>
  <c r="J2195" i="2"/>
  <c r="K2195" i="2" s="1"/>
  <c r="L2195" i="2" s="1"/>
  <c r="U2195" i="2" s="1"/>
  <c r="J2196" i="2"/>
  <c r="K2196" i="2" s="1"/>
  <c r="L2196" i="2" s="1"/>
  <c r="U2196" i="2" s="1"/>
  <c r="J2197" i="2"/>
  <c r="K2197" i="2" s="1"/>
  <c r="L2197" i="2" s="1"/>
  <c r="U2197" i="2" s="1"/>
  <c r="J2198" i="2"/>
  <c r="K2198" i="2" s="1"/>
  <c r="L2198" i="2" s="1"/>
  <c r="U2198" i="2" s="1"/>
  <c r="J2199" i="2"/>
  <c r="K2199" i="2" s="1"/>
  <c r="L2199" i="2" s="1"/>
  <c r="U2199" i="2" s="1"/>
  <c r="J2200" i="2"/>
  <c r="K2200" i="2" s="1"/>
  <c r="L2200" i="2" s="1"/>
  <c r="U2200" i="2" s="1"/>
  <c r="J2201" i="2"/>
  <c r="K2201" i="2" s="1"/>
  <c r="L2201" i="2" s="1"/>
  <c r="U2201" i="2" s="1"/>
  <c r="J2202" i="2"/>
  <c r="K2202" i="2" s="1"/>
  <c r="L2202" i="2" s="1"/>
  <c r="U2202" i="2" s="1"/>
  <c r="J2203" i="2"/>
  <c r="K2203" i="2" s="1"/>
  <c r="L2203" i="2" s="1"/>
  <c r="U2203" i="2" s="1"/>
  <c r="J2204" i="2"/>
  <c r="K2204" i="2" s="1"/>
  <c r="L2204" i="2" s="1"/>
  <c r="U2204" i="2" s="1"/>
  <c r="J2205" i="2"/>
  <c r="K2205" i="2" s="1"/>
  <c r="L2205" i="2" s="1"/>
  <c r="U2205" i="2" s="1"/>
  <c r="J2206" i="2"/>
  <c r="K2206" i="2" s="1"/>
  <c r="L2206" i="2" s="1"/>
  <c r="U2206" i="2" s="1"/>
  <c r="J2207" i="2"/>
  <c r="K2207" i="2" s="1"/>
  <c r="L2207" i="2" s="1"/>
  <c r="U2207" i="2" s="1"/>
  <c r="J2208" i="2"/>
  <c r="K2208" i="2" s="1"/>
  <c r="L2208" i="2" s="1"/>
  <c r="U2208" i="2" s="1"/>
  <c r="J2209" i="2"/>
  <c r="K2209" i="2" s="1"/>
  <c r="L2209" i="2" s="1"/>
  <c r="U2209" i="2" s="1"/>
  <c r="J2210" i="2"/>
  <c r="K2210" i="2" s="1"/>
  <c r="L2210" i="2" s="1"/>
  <c r="U2210" i="2" s="1"/>
  <c r="J2211" i="2"/>
  <c r="K2211" i="2" s="1"/>
  <c r="L2211" i="2" s="1"/>
  <c r="U2211" i="2" s="1"/>
  <c r="J2212" i="2"/>
  <c r="K2212" i="2" s="1"/>
  <c r="L2212" i="2" s="1"/>
  <c r="U2212" i="2" s="1"/>
  <c r="J2213" i="2"/>
  <c r="K2213" i="2" s="1"/>
  <c r="L2213" i="2" s="1"/>
  <c r="U2213" i="2" s="1"/>
  <c r="J2214" i="2"/>
  <c r="K2214" i="2" s="1"/>
  <c r="L2214" i="2" s="1"/>
  <c r="U2214" i="2" s="1"/>
  <c r="J2215" i="2"/>
  <c r="K2215" i="2" s="1"/>
  <c r="L2215" i="2" s="1"/>
  <c r="U2215" i="2" s="1"/>
  <c r="J2216" i="2"/>
  <c r="K2216" i="2" s="1"/>
  <c r="L2216" i="2" s="1"/>
  <c r="U2216" i="2" s="1"/>
  <c r="J2217" i="2"/>
  <c r="K2217" i="2" s="1"/>
  <c r="L2217" i="2" s="1"/>
  <c r="U2217" i="2" s="1"/>
  <c r="J2218" i="2"/>
  <c r="K2218" i="2" s="1"/>
  <c r="L2218" i="2" s="1"/>
  <c r="U2218" i="2" s="1"/>
  <c r="J2219" i="2"/>
  <c r="K2219" i="2" s="1"/>
  <c r="L2219" i="2" s="1"/>
  <c r="U2219" i="2" s="1"/>
  <c r="J2220" i="2"/>
  <c r="K2220" i="2" s="1"/>
  <c r="L2220" i="2" s="1"/>
  <c r="U2220" i="2" s="1"/>
  <c r="J2221" i="2"/>
  <c r="K2221" i="2" s="1"/>
  <c r="L2221" i="2" s="1"/>
  <c r="U2221" i="2" s="1"/>
  <c r="J2222" i="2"/>
  <c r="K2222" i="2" s="1"/>
  <c r="L2222" i="2" s="1"/>
  <c r="U2222" i="2" s="1"/>
  <c r="J2223" i="2"/>
  <c r="K2223" i="2" s="1"/>
  <c r="L2223" i="2" s="1"/>
  <c r="U2223" i="2" s="1"/>
  <c r="J2224" i="2"/>
  <c r="K2224" i="2" s="1"/>
  <c r="L2224" i="2" s="1"/>
  <c r="U2224" i="2" s="1"/>
  <c r="J2225" i="2"/>
  <c r="K2225" i="2" s="1"/>
  <c r="L2225" i="2" s="1"/>
  <c r="U2225" i="2" s="1"/>
  <c r="J2226" i="2"/>
  <c r="K2226" i="2" s="1"/>
  <c r="L2226" i="2" s="1"/>
  <c r="U2226" i="2" s="1"/>
  <c r="J2227" i="2"/>
  <c r="K2227" i="2" s="1"/>
  <c r="L2227" i="2" s="1"/>
  <c r="U2227" i="2" s="1"/>
  <c r="J2228" i="2"/>
  <c r="K2228" i="2" s="1"/>
  <c r="L2228" i="2" s="1"/>
  <c r="U2228" i="2" s="1"/>
  <c r="J2229" i="2"/>
  <c r="K2229" i="2" s="1"/>
  <c r="L2229" i="2" s="1"/>
  <c r="U2229" i="2" s="1"/>
  <c r="J2230" i="2"/>
  <c r="K2230" i="2" s="1"/>
  <c r="L2230" i="2" s="1"/>
  <c r="U2230" i="2" s="1"/>
  <c r="J2231" i="2"/>
  <c r="K2231" i="2" s="1"/>
  <c r="L2231" i="2" s="1"/>
  <c r="U2231" i="2" s="1"/>
  <c r="J2232" i="2"/>
  <c r="K2232" i="2" s="1"/>
  <c r="L2232" i="2" s="1"/>
  <c r="U2232" i="2" s="1"/>
  <c r="J2233" i="2"/>
  <c r="K2233" i="2" s="1"/>
  <c r="L2233" i="2" s="1"/>
  <c r="U2233" i="2" s="1"/>
  <c r="J2234" i="2"/>
  <c r="K2234" i="2" s="1"/>
  <c r="L2234" i="2" s="1"/>
  <c r="U2234" i="2" s="1"/>
  <c r="J2235" i="2"/>
  <c r="K2235" i="2" s="1"/>
  <c r="L2235" i="2" s="1"/>
  <c r="U2235" i="2" s="1"/>
  <c r="J2236" i="2"/>
  <c r="K2236" i="2" s="1"/>
  <c r="L2236" i="2" s="1"/>
  <c r="U2236" i="2" s="1"/>
  <c r="J2237" i="2"/>
  <c r="K2237" i="2" s="1"/>
  <c r="L2237" i="2" s="1"/>
  <c r="U2237" i="2" s="1"/>
  <c r="J2238" i="2"/>
  <c r="K2238" i="2" s="1"/>
  <c r="L2238" i="2" s="1"/>
  <c r="U2238" i="2" s="1"/>
  <c r="J2239" i="2"/>
  <c r="K2239" i="2" s="1"/>
  <c r="L2239" i="2" s="1"/>
  <c r="U2239" i="2" s="1"/>
  <c r="J2240" i="2"/>
  <c r="K2240" i="2" s="1"/>
  <c r="L2240" i="2" s="1"/>
  <c r="U2240" i="2" s="1"/>
  <c r="J2241" i="2"/>
  <c r="K2241" i="2" s="1"/>
  <c r="L2241" i="2" s="1"/>
  <c r="U2241" i="2" s="1"/>
  <c r="J2242" i="2"/>
  <c r="K2242" i="2" s="1"/>
  <c r="L2242" i="2" s="1"/>
  <c r="U2242" i="2" s="1"/>
  <c r="J2243" i="2"/>
  <c r="K2243" i="2" s="1"/>
  <c r="L2243" i="2" s="1"/>
  <c r="U2243" i="2" s="1"/>
  <c r="J2244" i="2"/>
  <c r="K2244" i="2" s="1"/>
  <c r="L2244" i="2" s="1"/>
  <c r="U2244" i="2" s="1"/>
  <c r="J2245" i="2"/>
  <c r="K2245" i="2" s="1"/>
  <c r="L2245" i="2" s="1"/>
  <c r="U2245" i="2" s="1"/>
  <c r="J2246" i="2"/>
  <c r="K2246" i="2" s="1"/>
  <c r="L2246" i="2" s="1"/>
  <c r="U2246" i="2" s="1"/>
  <c r="J2247" i="2"/>
  <c r="K2247" i="2" s="1"/>
  <c r="L2247" i="2" s="1"/>
  <c r="U2247" i="2" s="1"/>
  <c r="J2248" i="2"/>
  <c r="K2248" i="2" s="1"/>
  <c r="L2248" i="2" s="1"/>
  <c r="U2248" i="2" s="1"/>
  <c r="J2249" i="2"/>
  <c r="K2249" i="2" s="1"/>
  <c r="L2249" i="2" s="1"/>
  <c r="U2249" i="2" s="1"/>
  <c r="J2250" i="2"/>
  <c r="K2250" i="2" s="1"/>
  <c r="L2250" i="2" s="1"/>
  <c r="U2250" i="2" s="1"/>
  <c r="J2251" i="2"/>
  <c r="K2251" i="2" s="1"/>
  <c r="L2251" i="2" s="1"/>
  <c r="U2251" i="2" s="1"/>
  <c r="J2252" i="2"/>
  <c r="K2252" i="2" s="1"/>
  <c r="L2252" i="2" s="1"/>
  <c r="U2252" i="2" s="1"/>
  <c r="J2253" i="2"/>
  <c r="K2253" i="2" s="1"/>
  <c r="L2253" i="2" s="1"/>
  <c r="U2253" i="2" s="1"/>
  <c r="J2254" i="2"/>
  <c r="K2254" i="2" s="1"/>
  <c r="L2254" i="2" s="1"/>
  <c r="U2254" i="2" s="1"/>
  <c r="J2255" i="2"/>
  <c r="K2255" i="2" s="1"/>
  <c r="L2255" i="2" s="1"/>
  <c r="U2255" i="2" s="1"/>
  <c r="J2256" i="2"/>
  <c r="K2256" i="2" s="1"/>
  <c r="L2256" i="2" s="1"/>
  <c r="U2256" i="2" s="1"/>
  <c r="J2257" i="2"/>
  <c r="K2257" i="2" s="1"/>
  <c r="L2257" i="2" s="1"/>
  <c r="U2257" i="2" s="1"/>
  <c r="J2258" i="2"/>
  <c r="K2258" i="2" s="1"/>
  <c r="L2258" i="2" s="1"/>
  <c r="U2258" i="2" s="1"/>
  <c r="J2259" i="2"/>
  <c r="K2259" i="2" s="1"/>
  <c r="L2259" i="2" s="1"/>
  <c r="U2259" i="2" s="1"/>
  <c r="J2260" i="2"/>
  <c r="K2260" i="2" s="1"/>
  <c r="L2260" i="2" s="1"/>
  <c r="U2260" i="2" s="1"/>
  <c r="J2261" i="2"/>
  <c r="K2261" i="2" s="1"/>
  <c r="L2261" i="2" s="1"/>
  <c r="U2261" i="2" s="1"/>
  <c r="J2262" i="2"/>
  <c r="K2262" i="2" s="1"/>
  <c r="L2262" i="2" s="1"/>
  <c r="U2262" i="2" s="1"/>
  <c r="J2263" i="2"/>
  <c r="K2263" i="2" s="1"/>
  <c r="L2263" i="2" s="1"/>
  <c r="U2263" i="2" s="1"/>
  <c r="J2264" i="2"/>
  <c r="K2264" i="2" s="1"/>
  <c r="L2264" i="2" s="1"/>
  <c r="U2264" i="2" s="1"/>
  <c r="J2265" i="2"/>
  <c r="K2265" i="2" s="1"/>
  <c r="L2265" i="2" s="1"/>
  <c r="U2265" i="2" s="1"/>
  <c r="J2266" i="2"/>
  <c r="K2266" i="2" s="1"/>
  <c r="L2266" i="2" s="1"/>
  <c r="U2266" i="2" s="1"/>
  <c r="J2267" i="2"/>
  <c r="K2267" i="2" s="1"/>
  <c r="L2267" i="2" s="1"/>
  <c r="U2267" i="2" s="1"/>
  <c r="J2268" i="2"/>
  <c r="K2268" i="2" s="1"/>
  <c r="L2268" i="2" s="1"/>
  <c r="U2268" i="2" s="1"/>
  <c r="J2269" i="2"/>
  <c r="K2269" i="2" s="1"/>
  <c r="L2269" i="2" s="1"/>
  <c r="U2269" i="2" s="1"/>
  <c r="J2270" i="2"/>
  <c r="K2270" i="2" s="1"/>
  <c r="L2270" i="2" s="1"/>
  <c r="U2270" i="2" s="1"/>
  <c r="J2271" i="2"/>
  <c r="K2271" i="2" s="1"/>
  <c r="L2271" i="2" s="1"/>
  <c r="U2271" i="2" s="1"/>
  <c r="J2272" i="2"/>
  <c r="K2272" i="2" s="1"/>
  <c r="L2272" i="2" s="1"/>
  <c r="U2272" i="2" s="1"/>
  <c r="J2273" i="2"/>
  <c r="K2273" i="2" s="1"/>
  <c r="L2273" i="2" s="1"/>
  <c r="U2273" i="2" s="1"/>
  <c r="J2274" i="2"/>
  <c r="K2274" i="2" s="1"/>
  <c r="L2274" i="2" s="1"/>
  <c r="U2274" i="2" s="1"/>
  <c r="J2275" i="2"/>
  <c r="K2275" i="2" s="1"/>
  <c r="L2275" i="2" s="1"/>
  <c r="U2275" i="2" s="1"/>
  <c r="J2276" i="2"/>
  <c r="K2276" i="2" s="1"/>
  <c r="L2276" i="2" s="1"/>
  <c r="U2276" i="2" s="1"/>
  <c r="J2277" i="2"/>
  <c r="K2277" i="2" s="1"/>
  <c r="L2277" i="2" s="1"/>
  <c r="U2277" i="2" s="1"/>
  <c r="J2278" i="2"/>
  <c r="K2278" i="2" s="1"/>
  <c r="L2278" i="2" s="1"/>
  <c r="U2278" i="2" s="1"/>
  <c r="J2279" i="2"/>
  <c r="K2279" i="2" s="1"/>
  <c r="L2279" i="2" s="1"/>
  <c r="U2279" i="2" s="1"/>
  <c r="J2280" i="2"/>
  <c r="K2280" i="2" s="1"/>
  <c r="L2280" i="2" s="1"/>
  <c r="U2280" i="2" s="1"/>
  <c r="J2281" i="2"/>
  <c r="K2281" i="2" s="1"/>
  <c r="L2281" i="2" s="1"/>
  <c r="U2281" i="2" s="1"/>
  <c r="J2282" i="2"/>
  <c r="K2282" i="2" s="1"/>
  <c r="L2282" i="2" s="1"/>
  <c r="U2282" i="2" s="1"/>
  <c r="J2283" i="2"/>
  <c r="K2283" i="2" s="1"/>
  <c r="L2283" i="2" s="1"/>
  <c r="U2283" i="2" s="1"/>
  <c r="J2284" i="2"/>
  <c r="K2284" i="2" s="1"/>
  <c r="L2284" i="2" s="1"/>
  <c r="U2284" i="2" s="1"/>
  <c r="J2285" i="2"/>
  <c r="K2285" i="2" s="1"/>
  <c r="L2285" i="2" s="1"/>
  <c r="U2285" i="2" s="1"/>
  <c r="J2286" i="2"/>
  <c r="K2286" i="2" s="1"/>
  <c r="L2286" i="2" s="1"/>
  <c r="U2286" i="2" s="1"/>
  <c r="J2287" i="2"/>
  <c r="K2287" i="2" s="1"/>
  <c r="L2287" i="2" s="1"/>
  <c r="U2287" i="2" s="1"/>
  <c r="J2288" i="2"/>
  <c r="K2288" i="2" s="1"/>
  <c r="L2288" i="2" s="1"/>
  <c r="U2288" i="2" s="1"/>
  <c r="J2289" i="2"/>
  <c r="K2289" i="2" s="1"/>
  <c r="L2289" i="2" s="1"/>
  <c r="U2289" i="2" s="1"/>
  <c r="J2290" i="2"/>
  <c r="K2290" i="2" s="1"/>
  <c r="L2290" i="2" s="1"/>
  <c r="U2290" i="2" s="1"/>
  <c r="J2291" i="2"/>
  <c r="K2291" i="2" s="1"/>
  <c r="L2291" i="2" s="1"/>
  <c r="U2291" i="2" s="1"/>
  <c r="J2292" i="2"/>
  <c r="K2292" i="2" s="1"/>
  <c r="L2292" i="2" s="1"/>
  <c r="U2292" i="2" s="1"/>
  <c r="J2293" i="2"/>
  <c r="K2293" i="2" s="1"/>
  <c r="L2293" i="2" s="1"/>
  <c r="U2293" i="2" s="1"/>
  <c r="J2294" i="2"/>
  <c r="K2294" i="2" s="1"/>
  <c r="L2294" i="2" s="1"/>
  <c r="U2294" i="2" s="1"/>
  <c r="J2295" i="2"/>
  <c r="K2295" i="2" s="1"/>
  <c r="L2295" i="2" s="1"/>
  <c r="U2295" i="2" s="1"/>
  <c r="J2296" i="2"/>
  <c r="K2296" i="2" s="1"/>
  <c r="L2296" i="2" s="1"/>
  <c r="U2296" i="2" s="1"/>
  <c r="J2297" i="2"/>
  <c r="K2297" i="2" s="1"/>
  <c r="L2297" i="2" s="1"/>
  <c r="U2297" i="2" s="1"/>
  <c r="J2298" i="2"/>
  <c r="K2298" i="2" s="1"/>
  <c r="L2298" i="2" s="1"/>
  <c r="U2298" i="2" s="1"/>
  <c r="J2299" i="2"/>
  <c r="K2299" i="2" s="1"/>
  <c r="L2299" i="2" s="1"/>
  <c r="U2299" i="2" s="1"/>
  <c r="J2300" i="2"/>
  <c r="K2300" i="2" s="1"/>
  <c r="L2300" i="2" s="1"/>
  <c r="U2300" i="2" s="1"/>
  <c r="J2301" i="2"/>
  <c r="K2301" i="2" s="1"/>
  <c r="L2301" i="2" s="1"/>
  <c r="U2301" i="2" s="1"/>
  <c r="J2302" i="2"/>
  <c r="K2302" i="2" s="1"/>
  <c r="L2302" i="2" s="1"/>
  <c r="U2302" i="2" s="1"/>
  <c r="J2303" i="2"/>
  <c r="K2303" i="2" s="1"/>
  <c r="L2303" i="2" s="1"/>
  <c r="U2303" i="2" s="1"/>
  <c r="J2304" i="2"/>
  <c r="K2304" i="2" s="1"/>
  <c r="L2304" i="2" s="1"/>
  <c r="U2304" i="2" s="1"/>
  <c r="J2305" i="2"/>
  <c r="K2305" i="2" s="1"/>
  <c r="L2305" i="2" s="1"/>
  <c r="U2305" i="2" s="1"/>
  <c r="J2306" i="2"/>
  <c r="K2306" i="2" s="1"/>
  <c r="L2306" i="2" s="1"/>
  <c r="U2306" i="2" s="1"/>
  <c r="J2307" i="2"/>
  <c r="K2307" i="2" s="1"/>
  <c r="L2307" i="2" s="1"/>
  <c r="U2307" i="2" s="1"/>
  <c r="J2308" i="2"/>
  <c r="K2308" i="2" s="1"/>
  <c r="L2308" i="2" s="1"/>
  <c r="U2308" i="2" s="1"/>
  <c r="J2309" i="2"/>
  <c r="K2309" i="2" s="1"/>
  <c r="L2309" i="2" s="1"/>
  <c r="U2309" i="2" s="1"/>
  <c r="J2310" i="2"/>
  <c r="K2310" i="2" s="1"/>
  <c r="L2310" i="2" s="1"/>
  <c r="U2310" i="2" s="1"/>
  <c r="J2311" i="2"/>
  <c r="K2311" i="2" s="1"/>
  <c r="L2311" i="2" s="1"/>
  <c r="U2311" i="2" s="1"/>
  <c r="J2312" i="2"/>
  <c r="K2312" i="2" s="1"/>
  <c r="L2312" i="2" s="1"/>
  <c r="U2312" i="2" s="1"/>
  <c r="J2313" i="2"/>
  <c r="K2313" i="2" s="1"/>
  <c r="L2313" i="2" s="1"/>
  <c r="U2313" i="2" s="1"/>
  <c r="J2314" i="2"/>
  <c r="K2314" i="2" s="1"/>
  <c r="L2314" i="2" s="1"/>
  <c r="U2314" i="2" s="1"/>
  <c r="J2315" i="2"/>
  <c r="K2315" i="2" s="1"/>
  <c r="L2315" i="2" s="1"/>
  <c r="U2315" i="2" s="1"/>
  <c r="J2316" i="2"/>
  <c r="K2316" i="2" s="1"/>
  <c r="L2316" i="2" s="1"/>
  <c r="U2316" i="2" s="1"/>
  <c r="J2317" i="2"/>
  <c r="K2317" i="2" s="1"/>
  <c r="L2317" i="2" s="1"/>
  <c r="U2317" i="2" s="1"/>
  <c r="J2318" i="2"/>
  <c r="K2318" i="2" s="1"/>
  <c r="L2318" i="2" s="1"/>
  <c r="U2318" i="2" s="1"/>
  <c r="J2319" i="2"/>
  <c r="K2319" i="2" s="1"/>
  <c r="L2319" i="2" s="1"/>
  <c r="U2319" i="2" s="1"/>
  <c r="J2320" i="2"/>
  <c r="K2320" i="2" s="1"/>
  <c r="L2320" i="2" s="1"/>
  <c r="U2320" i="2" s="1"/>
  <c r="J2321" i="2"/>
  <c r="K2321" i="2" s="1"/>
  <c r="L2321" i="2" s="1"/>
  <c r="U2321" i="2" s="1"/>
  <c r="J2322" i="2"/>
  <c r="K2322" i="2" s="1"/>
  <c r="L2322" i="2" s="1"/>
  <c r="U2322" i="2" s="1"/>
  <c r="J2323" i="2"/>
  <c r="K2323" i="2" s="1"/>
  <c r="L2323" i="2" s="1"/>
  <c r="U2323" i="2" s="1"/>
  <c r="J2324" i="2"/>
  <c r="K2324" i="2" s="1"/>
  <c r="L2324" i="2" s="1"/>
  <c r="U2324" i="2" s="1"/>
  <c r="J2325" i="2"/>
  <c r="K2325" i="2" s="1"/>
  <c r="L2325" i="2" s="1"/>
  <c r="U2325" i="2" s="1"/>
  <c r="J2326" i="2"/>
  <c r="K2326" i="2" s="1"/>
  <c r="L2326" i="2" s="1"/>
  <c r="U2326" i="2" s="1"/>
  <c r="J2327" i="2"/>
  <c r="K2327" i="2" s="1"/>
  <c r="L2327" i="2" s="1"/>
  <c r="U2327" i="2" s="1"/>
  <c r="J2328" i="2"/>
  <c r="K2328" i="2" s="1"/>
  <c r="L2328" i="2" s="1"/>
  <c r="U2328" i="2" s="1"/>
  <c r="J2329" i="2"/>
  <c r="K2329" i="2" s="1"/>
  <c r="L2329" i="2" s="1"/>
  <c r="U2329" i="2" s="1"/>
  <c r="J2330" i="2"/>
  <c r="K2330" i="2" s="1"/>
  <c r="L2330" i="2" s="1"/>
  <c r="U2330" i="2" s="1"/>
  <c r="J2331" i="2"/>
  <c r="K2331" i="2" s="1"/>
  <c r="L2331" i="2" s="1"/>
  <c r="U2331" i="2" s="1"/>
  <c r="J2332" i="2"/>
  <c r="K2332" i="2" s="1"/>
  <c r="L2332" i="2" s="1"/>
  <c r="U2332" i="2" s="1"/>
  <c r="J2333" i="2"/>
  <c r="K2333" i="2" s="1"/>
  <c r="L2333" i="2" s="1"/>
  <c r="U2333" i="2" s="1"/>
  <c r="J2334" i="2"/>
  <c r="K2334" i="2" s="1"/>
  <c r="L2334" i="2" s="1"/>
  <c r="U2334" i="2" s="1"/>
  <c r="J2335" i="2"/>
  <c r="K2335" i="2" s="1"/>
  <c r="L2335" i="2" s="1"/>
  <c r="U2335" i="2" s="1"/>
  <c r="J2336" i="2"/>
  <c r="K2336" i="2" s="1"/>
  <c r="L2336" i="2" s="1"/>
  <c r="U2336" i="2" s="1"/>
  <c r="J2337" i="2"/>
  <c r="K2337" i="2" s="1"/>
  <c r="L2337" i="2" s="1"/>
  <c r="U2337" i="2" s="1"/>
  <c r="J2338" i="2"/>
  <c r="K2338" i="2" s="1"/>
  <c r="L2338" i="2" s="1"/>
  <c r="U2338" i="2" s="1"/>
  <c r="J2339" i="2"/>
  <c r="K2339" i="2" s="1"/>
  <c r="L2339" i="2" s="1"/>
  <c r="U2339" i="2" s="1"/>
  <c r="J2340" i="2"/>
  <c r="K2340" i="2" s="1"/>
  <c r="L2340" i="2" s="1"/>
  <c r="U2340" i="2" s="1"/>
  <c r="J2341" i="2"/>
  <c r="K2341" i="2" s="1"/>
  <c r="L2341" i="2" s="1"/>
  <c r="U2341" i="2" s="1"/>
  <c r="J2342" i="2"/>
  <c r="K2342" i="2" s="1"/>
  <c r="L2342" i="2" s="1"/>
  <c r="U2342" i="2" s="1"/>
  <c r="J2343" i="2"/>
  <c r="K2343" i="2" s="1"/>
  <c r="L2343" i="2" s="1"/>
  <c r="U2343" i="2" s="1"/>
  <c r="J2344" i="2"/>
  <c r="K2344" i="2" s="1"/>
  <c r="L2344" i="2" s="1"/>
  <c r="U2344" i="2" s="1"/>
  <c r="J2345" i="2"/>
  <c r="K2345" i="2" s="1"/>
  <c r="L2345" i="2" s="1"/>
  <c r="U2345" i="2" s="1"/>
  <c r="J2346" i="2"/>
  <c r="K2346" i="2" s="1"/>
  <c r="L2346" i="2" s="1"/>
  <c r="U2346" i="2" s="1"/>
  <c r="J2347" i="2"/>
  <c r="K2347" i="2" s="1"/>
  <c r="L2347" i="2" s="1"/>
  <c r="U2347" i="2" s="1"/>
  <c r="J2348" i="2"/>
  <c r="K2348" i="2" s="1"/>
  <c r="L2348" i="2" s="1"/>
  <c r="U2348" i="2" s="1"/>
  <c r="J2349" i="2"/>
  <c r="K2349" i="2" s="1"/>
  <c r="L2349" i="2" s="1"/>
  <c r="U2349" i="2" s="1"/>
  <c r="J2350" i="2"/>
  <c r="K2350" i="2" s="1"/>
  <c r="L2350" i="2" s="1"/>
  <c r="U2350" i="2" s="1"/>
  <c r="J2351" i="2"/>
  <c r="K2351" i="2" s="1"/>
  <c r="L2351" i="2" s="1"/>
  <c r="U2351" i="2" s="1"/>
  <c r="J2352" i="2"/>
  <c r="K2352" i="2" s="1"/>
  <c r="L2352" i="2" s="1"/>
  <c r="U2352" i="2" s="1"/>
  <c r="J2353" i="2"/>
  <c r="K2353" i="2" s="1"/>
  <c r="L2353" i="2" s="1"/>
  <c r="U2353" i="2" s="1"/>
  <c r="J2354" i="2"/>
  <c r="K2354" i="2" s="1"/>
  <c r="L2354" i="2" s="1"/>
  <c r="U2354" i="2" s="1"/>
  <c r="J2355" i="2"/>
  <c r="K2355" i="2" s="1"/>
  <c r="L2355" i="2" s="1"/>
  <c r="U2355" i="2" s="1"/>
  <c r="J2356" i="2"/>
  <c r="K2356" i="2" s="1"/>
  <c r="L2356" i="2" s="1"/>
  <c r="U2356" i="2" s="1"/>
  <c r="J2357" i="2"/>
  <c r="K2357" i="2" s="1"/>
  <c r="L2357" i="2" s="1"/>
  <c r="U2357" i="2" s="1"/>
  <c r="J2358" i="2"/>
  <c r="K2358" i="2" s="1"/>
  <c r="L2358" i="2" s="1"/>
  <c r="U2358" i="2" s="1"/>
  <c r="J2359" i="2"/>
  <c r="K2359" i="2" s="1"/>
  <c r="L2359" i="2" s="1"/>
  <c r="U2359" i="2" s="1"/>
  <c r="J2360" i="2"/>
  <c r="K2360" i="2" s="1"/>
  <c r="L2360" i="2" s="1"/>
  <c r="U2360" i="2" s="1"/>
  <c r="J2361" i="2"/>
  <c r="K2361" i="2" s="1"/>
  <c r="L2361" i="2" s="1"/>
  <c r="U2361" i="2" s="1"/>
  <c r="J2362" i="2"/>
  <c r="K2362" i="2" s="1"/>
  <c r="L2362" i="2" s="1"/>
  <c r="U2362" i="2" s="1"/>
  <c r="J2363" i="2"/>
  <c r="K2363" i="2" s="1"/>
  <c r="L2363" i="2" s="1"/>
  <c r="U2363" i="2" s="1"/>
  <c r="J2364" i="2"/>
  <c r="K2364" i="2" s="1"/>
  <c r="L2364" i="2" s="1"/>
  <c r="U2364" i="2" s="1"/>
  <c r="J2365" i="2"/>
  <c r="K2365" i="2" s="1"/>
  <c r="L2365" i="2" s="1"/>
  <c r="U2365" i="2" s="1"/>
  <c r="J2366" i="2"/>
  <c r="K2366" i="2" s="1"/>
  <c r="L2366" i="2" s="1"/>
  <c r="U2366" i="2" s="1"/>
  <c r="J2367" i="2"/>
  <c r="K2367" i="2" s="1"/>
  <c r="L2367" i="2" s="1"/>
  <c r="U2367" i="2" s="1"/>
  <c r="J2368" i="2"/>
  <c r="K2368" i="2" s="1"/>
  <c r="L2368" i="2" s="1"/>
  <c r="U2368" i="2" s="1"/>
  <c r="J2369" i="2"/>
  <c r="K2369" i="2" s="1"/>
  <c r="L2369" i="2" s="1"/>
  <c r="U2369" i="2" s="1"/>
  <c r="J2370" i="2"/>
  <c r="K2370" i="2" s="1"/>
  <c r="L2370" i="2" s="1"/>
  <c r="U2370" i="2" s="1"/>
  <c r="J2371" i="2"/>
  <c r="K2371" i="2" s="1"/>
  <c r="L2371" i="2" s="1"/>
  <c r="U2371" i="2" s="1"/>
  <c r="J2372" i="2"/>
  <c r="K2372" i="2" s="1"/>
  <c r="L2372" i="2" s="1"/>
  <c r="U2372" i="2" s="1"/>
  <c r="J2373" i="2"/>
  <c r="K2373" i="2" s="1"/>
  <c r="L2373" i="2" s="1"/>
  <c r="U2373" i="2" s="1"/>
  <c r="J2374" i="2"/>
  <c r="K2374" i="2" s="1"/>
  <c r="L2374" i="2" s="1"/>
  <c r="U2374" i="2" s="1"/>
  <c r="J2375" i="2"/>
  <c r="K2375" i="2" s="1"/>
  <c r="L2375" i="2" s="1"/>
  <c r="U2375" i="2" s="1"/>
  <c r="J2376" i="2"/>
  <c r="K2376" i="2" s="1"/>
  <c r="L2376" i="2" s="1"/>
  <c r="U2376" i="2" s="1"/>
  <c r="J2377" i="2"/>
  <c r="K2377" i="2" s="1"/>
  <c r="L2377" i="2" s="1"/>
  <c r="U2377" i="2" s="1"/>
  <c r="J2378" i="2"/>
  <c r="K2378" i="2" s="1"/>
  <c r="L2378" i="2" s="1"/>
  <c r="U2378" i="2" s="1"/>
  <c r="J2379" i="2"/>
  <c r="K2379" i="2" s="1"/>
  <c r="L2379" i="2" s="1"/>
  <c r="U2379" i="2" s="1"/>
  <c r="J2380" i="2"/>
  <c r="K2380" i="2" s="1"/>
  <c r="L2380" i="2" s="1"/>
  <c r="U2380" i="2" s="1"/>
  <c r="J2381" i="2"/>
  <c r="K2381" i="2" s="1"/>
  <c r="L2381" i="2" s="1"/>
  <c r="U2381" i="2" s="1"/>
  <c r="J2382" i="2"/>
  <c r="K2382" i="2" s="1"/>
  <c r="L2382" i="2" s="1"/>
  <c r="U2382" i="2" s="1"/>
  <c r="J2383" i="2"/>
  <c r="K2383" i="2" s="1"/>
  <c r="L2383" i="2" s="1"/>
  <c r="U2383" i="2" s="1"/>
  <c r="J2384" i="2"/>
  <c r="K2384" i="2" s="1"/>
  <c r="L2384" i="2" s="1"/>
  <c r="U2384" i="2" s="1"/>
  <c r="J2385" i="2"/>
  <c r="K2385" i="2" s="1"/>
  <c r="L2385" i="2" s="1"/>
  <c r="U2385" i="2" s="1"/>
  <c r="J2386" i="2"/>
  <c r="K2386" i="2" s="1"/>
  <c r="L2386" i="2" s="1"/>
  <c r="U2386" i="2" s="1"/>
  <c r="J2387" i="2"/>
  <c r="K2387" i="2" s="1"/>
  <c r="L2387" i="2" s="1"/>
  <c r="U2387" i="2" s="1"/>
  <c r="J2388" i="2"/>
  <c r="K2388" i="2" s="1"/>
  <c r="L2388" i="2" s="1"/>
  <c r="U2388" i="2" s="1"/>
  <c r="J2389" i="2"/>
  <c r="K2389" i="2" s="1"/>
  <c r="L2389" i="2" s="1"/>
  <c r="U2389" i="2" s="1"/>
  <c r="J2390" i="2"/>
  <c r="K2390" i="2" s="1"/>
  <c r="L2390" i="2" s="1"/>
  <c r="U2390" i="2" s="1"/>
  <c r="J2391" i="2"/>
  <c r="K2391" i="2" s="1"/>
  <c r="L2391" i="2" s="1"/>
  <c r="U2391" i="2" s="1"/>
  <c r="J2392" i="2"/>
  <c r="K2392" i="2" s="1"/>
  <c r="L2392" i="2" s="1"/>
  <c r="U2392" i="2" s="1"/>
  <c r="J2393" i="2"/>
  <c r="K2393" i="2" s="1"/>
  <c r="L2393" i="2" s="1"/>
  <c r="U2393" i="2" s="1"/>
  <c r="J2394" i="2"/>
  <c r="K2394" i="2" s="1"/>
  <c r="L2394" i="2" s="1"/>
  <c r="U2394" i="2" s="1"/>
  <c r="J2395" i="2"/>
  <c r="K2395" i="2" s="1"/>
  <c r="L2395" i="2" s="1"/>
  <c r="U2395" i="2" s="1"/>
  <c r="J2396" i="2"/>
  <c r="K2396" i="2" s="1"/>
  <c r="L2396" i="2" s="1"/>
  <c r="U2396" i="2" s="1"/>
  <c r="J2397" i="2"/>
  <c r="K2397" i="2" s="1"/>
  <c r="L2397" i="2" s="1"/>
  <c r="U2397" i="2" s="1"/>
  <c r="J2398" i="2"/>
  <c r="K2398" i="2" s="1"/>
  <c r="L2398" i="2" s="1"/>
  <c r="U2398" i="2" s="1"/>
  <c r="J2399" i="2"/>
  <c r="K2399" i="2" s="1"/>
  <c r="L2399" i="2" s="1"/>
  <c r="U2399" i="2" s="1"/>
  <c r="J2400" i="2"/>
  <c r="K2400" i="2" s="1"/>
  <c r="L2400" i="2" s="1"/>
  <c r="U2400" i="2" s="1"/>
  <c r="J2401" i="2"/>
  <c r="K2401" i="2" s="1"/>
  <c r="L2401" i="2" s="1"/>
  <c r="U2401" i="2" s="1"/>
  <c r="J2402" i="2"/>
  <c r="K2402" i="2" s="1"/>
  <c r="L2402" i="2" s="1"/>
  <c r="U2402" i="2" s="1"/>
  <c r="J2403" i="2"/>
  <c r="K2403" i="2" s="1"/>
  <c r="L2403" i="2" s="1"/>
  <c r="U2403" i="2" s="1"/>
  <c r="J2404" i="2"/>
  <c r="K2404" i="2" s="1"/>
  <c r="L2404" i="2" s="1"/>
  <c r="U2404" i="2" s="1"/>
  <c r="J2405" i="2"/>
  <c r="K2405" i="2" s="1"/>
  <c r="L2405" i="2" s="1"/>
  <c r="U2405" i="2" s="1"/>
  <c r="J2406" i="2"/>
  <c r="K2406" i="2" s="1"/>
  <c r="L2406" i="2" s="1"/>
  <c r="U2406" i="2" s="1"/>
  <c r="J2407" i="2"/>
  <c r="K2407" i="2" s="1"/>
  <c r="L2407" i="2" s="1"/>
  <c r="U2407" i="2" s="1"/>
  <c r="J2408" i="2"/>
  <c r="K2408" i="2" s="1"/>
  <c r="L2408" i="2" s="1"/>
  <c r="U2408" i="2" s="1"/>
  <c r="J2409" i="2"/>
  <c r="K2409" i="2" s="1"/>
  <c r="L2409" i="2" s="1"/>
  <c r="U2409" i="2" s="1"/>
  <c r="J2410" i="2"/>
  <c r="K2410" i="2" s="1"/>
  <c r="L2410" i="2" s="1"/>
  <c r="U2410" i="2" s="1"/>
  <c r="J2411" i="2"/>
  <c r="K2411" i="2" s="1"/>
  <c r="L2411" i="2" s="1"/>
  <c r="U2411" i="2" s="1"/>
  <c r="J2412" i="2"/>
  <c r="K2412" i="2" s="1"/>
  <c r="L2412" i="2" s="1"/>
  <c r="U2412" i="2" s="1"/>
  <c r="J2413" i="2"/>
  <c r="K2413" i="2" s="1"/>
  <c r="L2413" i="2" s="1"/>
  <c r="U2413" i="2" s="1"/>
  <c r="J2414" i="2"/>
  <c r="K2414" i="2" s="1"/>
  <c r="L2414" i="2" s="1"/>
  <c r="U2414" i="2" s="1"/>
  <c r="J2415" i="2"/>
  <c r="K2415" i="2" s="1"/>
  <c r="L2415" i="2" s="1"/>
  <c r="U2415" i="2" s="1"/>
  <c r="J2416" i="2"/>
  <c r="K2416" i="2" s="1"/>
  <c r="L2416" i="2" s="1"/>
  <c r="U2416" i="2" s="1"/>
  <c r="J2417" i="2"/>
  <c r="K2417" i="2" s="1"/>
  <c r="L2417" i="2" s="1"/>
  <c r="U2417" i="2" s="1"/>
  <c r="J2418" i="2"/>
  <c r="K2418" i="2" s="1"/>
  <c r="L2418" i="2" s="1"/>
  <c r="U2418" i="2" s="1"/>
  <c r="J2419" i="2"/>
  <c r="K2419" i="2" s="1"/>
  <c r="L2419" i="2" s="1"/>
  <c r="U2419" i="2" s="1"/>
  <c r="J2420" i="2"/>
  <c r="K2420" i="2" s="1"/>
  <c r="L2420" i="2" s="1"/>
  <c r="U2420" i="2" s="1"/>
  <c r="J2421" i="2"/>
  <c r="K2421" i="2" s="1"/>
  <c r="L2421" i="2" s="1"/>
  <c r="U2421" i="2" s="1"/>
  <c r="J2422" i="2"/>
  <c r="K2422" i="2" s="1"/>
  <c r="L2422" i="2" s="1"/>
  <c r="U2422" i="2" s="1"/>
  <c r="J2423" i="2"/>
  <c r="K2423" i="2" s="1"/>
  <c r="L2423" i="2" s="1"/>
  <c r="U2423" i="2" s="1"/>
  <c r="J2424" i="2"/>
  <c r="K2424" i="2" s="1"/>
  <c r="L2424" i="2" s="1"/>
  <c r="U2424" i="2" s="1"/>
  <c r="J2425" i="2"/>
  <c r="K2425" i="2" s="1"/>
  <c r="L2425" i="2" s="1"/>
  <c r="U2425" i="2" s="1"/>
  <c r="J2426" i="2"/>
  <c r="K2426" i="2" s="1"/>
  <c r="L2426" i="2" s="1"/>
  <c r="U2426" i="2" s="1"/>
  <c r="J2427" i="2"/>
  <c r="K2427" i="2" s="1"/>
  <c r="L2427" i="2" s="1"/>
  <c r="U2427" i="2" s="1"/>
  <c r="J2428" i="2"/>
  <c r="K2428" i="2" s="1"/>
  <c r="L2428" i="2" s="1"/>
  <c r="U2428" i="2" s="1"/>
  <c r="J2429" i="2"/>
  <c r="K2429" i="2" s="1"/>
  <c r="L2429" i="2" s="1"/>
  <c r="U2429" i="2" s="1"/>
  <c r="J2430" i="2"/>
  <c r="K2430" i="2" s="1"/>
  <c r="L2430" i="2" s="1"/>
  <c r="U2430" i="2" s="1"/>
  <c r="J2431" i="2"/>
  <c r="K2431" i="2" s="1"/>
  <c r="L2431" i="2" s="1"/>
  <c r="U2431" i="2" s="1"/>
  <c r="J2432" i="2"/>
  <c r="K2432" i="2" s="1"/>
  <c r="L2432" i="2" s="1"/>
  <c r="U2432" i="2" s="1"/>
  <c r="J2433" i="2"/>
  <c r="K2433" i="2" s="1"/>
  <c r="L2433" i="2" s="1"/>
  <c r="U2433" i="2" s="1"/>
  <c r="J2434" i="2"/>
  <c r="K2434" i="2" s="1"/>
  <c r="L2434" i="2" s="1"/>
  <c r="U2434" i="2" s="1"/>
  <c r="J2435" i="2"/>
  <c r="K2435" i="2" s="1"/>
  <c r="L2435" i="2" s="1"/>
  <c r="U2435" i="2" s="1"/>
  <c r="J2436" i="2"/>
  <c r="K2436" i="2" s="1"/>
  <c r="L2436" i="2" s="1"/>
  <c r="U2436" i="2" s="1"/>
  <c r="J2437" i="2"/>
  <c r="K2437" i="2" s="1"/>
  <c r="L2437" i="2" s="1"/>
  <c r="U2437" i="2" s="1"/>
  <c r="J2438" i="2"/>
  <c r="K2438" i="2" s="1"/>
  <c r="L2438" i="2" s="1"/>
  <c r="U2438" i="2" s="1"/>
  <c r="J2439" i="2"/>
  <c r="K2439" i="2" s="1"/>
  <c r="L2439" i="2" s="1"/>
  <c r="U2439" i="2" s="1"/>
  <c r="J2440" i="2"/>
  <c r="K2440" i="2" s="1"/>
  <c r="L2440" i="2" s="1"/>
  <c r="U2440" i="2" s="1"/>
  <c r="J2441" i="2"/>
  <c r="K2441" i="2" s="1"/>
  <c r="L2441" i="2" s="1"/>
  <c r="U2441" i="2" s="1"/>
  <c r="J2442" i="2"/>
  <c r="K2442" i="2" s="1"/>
  <c r="L2442" i="2" s="1"/>
  <c r="U2442" i="2" s="1"/>
  <c r="J2443" i="2"/>
  <c r="K2443" i="2" s="1"/>
  <c r="L2443" i="2" s="1"/>
  <c r="U2443" i="2" s="1"/>
  <c r="J2444" i="2"/>
  <c r="K2444" i="2" s="1"/>
  <c r="L2444" i="2" s="1"/>
  <c r="U2444" i="2" s="1"/>
  <c r="J2445" i="2"/>
  <c r="K2445" i="2" s="1"/>
  <c r="L2445" i="2" s="1"/>
  <c r="U2445" i="2" s="1"/>
  <c r="J2446" i="2"/>
  <c r="K2446" i="2" s="1"/>
  <c r="L2446" i="2" s="1"/>
  <c r="U2446" i="2" s="1"/>
  <c r="J2447" i="2"/>
  <c r="K2447" i="2" s="1"/>
  <c r="L2447" i="2" s="1"/>
  <c r="U2447" i="2" s="1"/>
  <c r="J2448" i="2"/>
  <c r="K2448" i="2" s="1"/>
  <c r="L2448" i="2" s="1"/>
  <c r="U2448" i="2" s="1"/>
  <c r="J2449" i="2"/>
  <c r="K2449" i="2" s="1"/>
  <c r="L2449" i="2" s="1"/>
  <c r="U2449" i="2" s="1"/>
  <c r="J2450" i="2"/>
  <c r="K2450" i="2" s="1"/>
  <c r="L2450" i="2" s="1"/>
  <c r="U2450" i="2" s="1"/>
  <c r="J2451" i="2"/>
  <c r="K2451" i="2" s="1"/>
  <c r="L2451" i="2" s="1"/>
  <c r="U2451" i="2" s="1"/>
  <c r="J2452" i="2"/>
  <c r="K2452" i="2" s="1"/>
  <c r="L2452" i="2" s="1"/>
  <c r="U2452" i="2" s="1"/>
  <c r="J2453" i="2"/>
  <c r="K2453" i="2" s="1"/>
  <c r="L2453" i="2" s="1"/>
  <c r="U2453" i="2" s="1"/>
  <c r="J2454" i="2"/>
  <c r="K2454" i="2" s="1"/>
  <c r="L2454" i="2" s="1"/>
  <c r="U2454" i="2" s="1"/>
  <c r="J2455" i="2"/>
  <c r="K2455" i="2" s="1"/>
  <c r="L2455" i="2" s="1"/>
  <c r="U2455" i="2" s="1"/>
  <c r="J2456" i="2"/>
  <c r="K2456" i="2" s="1"/>
  <c r="L2456" i="2" s="1"/>
  <c r="U2456" i="2" s="1"/>
  <c r="J2457" i="2"/>
  <c r="K2457" i="2" s="1"/>
  <c r="L2457" i="2" s="1"/>
  <c r="U2457" i="2" s="1"/>
  <c r="J2458" i="2"/>
  <c r="K2458" i="2" s="1"/>
  <c r="L2458" i="2" s="1"/>
  <c r="U2458" i="2" s="1"/>
  <c r="J2459" i="2"/>
  <c r="K2459" i="2" s="1"/>
  <c r="L2459" i="2" s="1"/>
  <c r="U2459" i="2" s="1"/>
  <c r="J2460" i="2"/>
  <c r="K2460" i="2" s="1"/>
  <c r="L2460" i="2" s="1"/>
  <c r="U2460" i="2" s="1"/>
  <c r="J2461" i="2"/>
  <c r="K2461" i="2" s="1"/>
  <c r="L2461" i="2" s="1"/>
  <c r="U2461" i="2" s="1"/>
  <c r="J2462" i="2"/>
  <c r="K2462" i="2" s="1"/>
  <c r="L2462" i="2" s="1"/>
  <c r="U2462" i="2" s="1"/>
  <c r="J2463" i="2"/>
  <c r="K2463" i="2" s="1"/>
  <c r="L2463" i="2" s="1"/>
  <c r="U2463" i="2" s="1"/>
  <c r="J2464" i="2"/>
  <c r="K2464" i="2" s="1"/>
  <c r="L2464" i="2" s="1"/>
  <c r="U2464" i="2" s="1"/>
  <c r="J2465" i="2"/>
  <c r="K2465" i="2" s="1"/>
  <c r="L2465" i="2" s="1"/>
  <c r="U2465" i="2" s="1"/>
  <c r="J2466" i="2"/>
  <c r="K2466" i="2" s="1"/>
  <c r="L2466" i="2" s="1"/>
  <c r="U2466" i="2" s="1"/>
  <c r="J2467" i="2"/>
  <c r="K2467" i="2" s="1"/>
  <c r="L2467" i="2" s="1"/>
  <c r="U2467" i="2" s="1"/>
  <c r="J2468" i="2"/>
  <c r="K2468" i="2" s="1"/>
  <c r="L2468" i="2" s="1"/>
  <c r="U2468" i="2" s="1"/>
  <c r="J2469" i="2"/>
  <c r="K2469" i="2" s="1"/>
  <c r="L2469" i="2" s="1"/>
  <c r="U2469" i="2" s="1"/>
  <c r="J2470" i="2"/>
  <c r="K2470" i="2" s="1"/>
  <c r="L2470" i="2" s="1"/>
  <c r="U2470" i="2" s="1"/>
  <c r="J2471" i="2"/>
  <c r="K2471" i="2" s="1"/>
  <c r="L2471" i="2" s="1"/>
  <c r="U2471" i="2" s="1"/>
  <c r="J2472" i="2"/>
  <c r="K2472" i="2" s="1"/>
  <c r="L2472" i="2" s="1"/>
  <c r="U2472" i="2" s="1"/>
  <c r="J2473" i="2"/>
  <c r="K2473" i="2" s="1"/>
  <c r="L2473" i="2" s="1"/>
  <c r="U2473" i="2" s="1"/>
  <c r="J2474" i="2"/>
  <c r="K2474" i="2" s="1"/>
  <c r="L2474" i="2" s="1"/>
  <c r="U2474" i="2" s="1"/>
  <c r="J2475" i="2"/>
  <c r="K2475" i="2" s="1"/>
  <c r="L2475" i="2" s="1"/>
  <c r="U2475" i="2" s="1"/>
  <c r="J2476" i="2"/>
  <c r="K2476" i="2" s="1"/>
  <c r="L2476" i="2" s="1"/>
  <c r="U2476" i="2" s="1"/>
  <c r="J2477" i="2"/>
  <c r="K2477" i="2" s="1"/>
  <c r="L2477" i="2" s="1"/>
  <c r="U2477" i="2" s="1"/>
  <c r="J2478" i="2"/>
  <c r="K2478" i="2" s="1"/>
  <c r="L2478" i="2" s="1"/>
  <c r="U2478" i="2" s="1"/>
  <c r="J2479" i="2"/>
  <c r="K2479" i="2" s="1"/>
  <c r="L2479" i="2" s="1"/>
  <c r="U2479" i="2" s="1"/>
  <c r="J2480" i="2"/>
  <c r="K2480" i="2" s="1"/>
  <c r="L2480" i="2" s="1"/>
  <c r="U2480" i="2" s="1"/>
  <c r="J2481" i="2"/>
  <c r="K2481" i="2" s="1"/>
  <c r="L2481" i="2" s="1"/>
  <c r="U2481" i="2" s="1"/>
  <c r="J2482" i="2"/>
  <c r="K2482" i="2" s="1"/>
  <c r="L2482" i="2" s="1"/>
  <c r="U2482" i="2" s="1"/>
  <c r="J2483" i="2"/>
  <c r="K2483" i="2" s="1"/>
  <c r="L2483" i="2" s="1"/>
  <c r="U2483" i="2" s="1"/>
  <c r="J2484" i="2"/>
  <c r="K2484" i="2" s="1"/>
  <c r="L2484" i="2" s="1"/>
  <c r="U2484" i="2" s="1"/>
  <c r="J2485" i="2"/>
  <c r="K2485" i="2" s="1"/>
  <c r="L2485" i="2" s="1"/>
  <c r="U2485" i="2" s="1"/>
  <c r="J2486" i="2"/>
  <c r="K2486" i="2" s="1"/>
  <c r="L2486" i="2" s="1"/>
  <c r="U2486" i="2" s="1"/>
  <c r="J2487" i="2"/>
  <c r="K2487" i="2" s="1"/>
  <c r="L2487" i="2" s="1"/>
  <c r="U2487" i="2" s="1"/>
  <c r="J2488" i="2"/>
  <c r="K2488" i="2" s="1"/>
  <c r="L2488" i="2" s="1"/>
  <c r="U2488" i="2" s="1"/>
  <c r="J2489" i="2"/>
  <c r="K2489" i="2" s="1"/>
  <c r="L2489" i="2" s="1"/>
  <c r="U2489" i="2" s="1"/>
  <c r="J2490" i="2"/>
  <c r="K2490" i="2" s="1"/>
  <c r="L2490" i="2" s="1"/>
  <c r="U2490" i="2" s="1"/>
  <c r="J2491" i="2"/>
  <c r="K2491" i="2" s="1"/>
  <c r="L2491" i="2" s="1"/>
  <c r="U2491" i="2" s="1"/>
  <c r="J2492" i="2"/>
  <c r="K2492" i="2" s="1"/>
  <c r="L2492" i="2" s="1"/>
  <c r="U2492" i="2" s="1"/>
  <c r="J2493" i="2"/>
  <c r="K2493" i="2" s="1"/>
  <c r="L2493" i="2" s="1"/>
  <c r="U2493" i="2" s="1"/>
  <c r="J2494" i="2"/>
  <c r="K2494" i="2" s="1"/>
  <c r="L2494" i="2" s="1"/>
  <c r="U2494" i="2" s="1"/>
  <c r="J2495" i="2"/>
  <c r="K2495" i="2" s="1"/>
  <c r="L2495" i="2" s="1"/>
  <c r="U2495" i="2" s="1"/>
  <c r="J2496" i="2"/>
  <c r="K2496" i="2" s="1"/>
  <c r="L2496" i="2" s="1"/>
  <c r="U2496" i="2" s="1"/>
  <c r="J2497" i="2"/>
  <c r="K2497" i="2" s="1"/>
  <c r="L2497" i="2" s="1"/>
  <c r="U2497" i="2" s="1"/>
  <c r="J2498" i="2"/>
  <c r="K2498" i="2" s="1"/>
  <c r="L2498" i="2" s="1"/>
  <c r="U2498" i="2" s="1"/>
  <c r="J2499" i="2"/>
  <c r="K2499" i="2" s="1"/>
  <c r="L2499" i="2" s="1"/>
  <c r="U2499" i="2" s="1"/>
  <c r="J2500" i="2"/>
  <c r="K2500" i="2" s="1"/>
  <c r="L2500" i="2" s="1"/>
  <c r="U2500" i="2" s="1"/>
  <c r="J2501" i="2"/>
  <c r="K2501" i="2" s="1"/>
  <c r="L2501" i="2" s="1"/>
  <c r="U2501" i="2" s="1"/>
  <c r="J2502" i="2"/>
  <c r="K2502" i="2" s="1"/>
  <c r="L2502" i="2" s="1"/>
  <c r="U2502" i="2" s="1"/>
  <c r="J2503" i="2"/>
  <c r="K2503" i="2" s="1"/>
  <c r="L2503" i="2" s="1"/>
  <c r="U2503" i="2" s="1"/>
  <c r="J2504" i="2"/>
  <c r="K2504" i="2" s="1"/>
  <c r="L2504" i="2" s="1"/>
  <c r="U2504" i="2" s="1"/>
  <c r="J2505" i="2"/>
  <c r="K2505" i="2" s="1"/>
  <c r="L2505" i="2" s="1"/>
  <c r="U2505" i="2" s="1"/>
  <c r="J2506" i="2"/>
  <c r="K2506" i="2" s="1"/>
  <c r="L2506" i="2" s="1"/>
  <c r="U2506" i="2" s="1"/>
  <c r="J2507" i="2"/>
  <c r="K2507" i="2" s="1"/>
  <c r="L2507" i="2" s="1"/>
  <c r="U2507" i="2" s="1"/>
  <c r="J2508" i="2"/>
  <c r="K2508" i="2" s="1"/>
  <c r="L2508" i="2" s="1"/>
  <c r="U2508" i="2" s="1"/>
  <c r="J2509" i="2"/>
  <c r="K2509" i="2" s="1"/>
  <c r="L2509" i="2" s="1"/>
  <c r="U2509" i="2" s="1"/>
  <c r="J2510" i="2"/>
  <c r="K2510" i="2" s="1"/>
  <c r="L2510" i="2" s="1"/>
  <c r="U2510" i="2" s="1"/>
  <c r="J2511" i="2"/>
  <c r="K2511" i="2" s="1"/>
  <c r="L2511" i="2" s="1"/>
  <c r="U2511" i="2" s="1"/>
  <c r="J2512" i="2"/>
  <c r="K2512" i="2" s="1"/>
  <c r="L2512" i="2" s="1"/>
  <c r="U2512" i="2" s="1"/>
  <c r="J2513" i="2"/>
  <c r="K2513" i="2" s="1"/>
  <c r="L2513" i="2" s="1"/>
  <c r="U2513" i="2" s="1"/>
  <c r="J2514" i="2"/>
  <c r="K2514" i="2" s="1"/>
  <c r="L2514" i="2" s="1"/>
  <c r="U2514" i="2" s="1"/>
  <c r="J2515" i="2"/>
  <c r="K2515" i="2" s="1"/>
  <c r="L2515" i="2" s="1"/>
  <c r="U2515" i="2" s="1"/>
  <c r="J2516" i="2"/>
  <c r="K2516" i="2" s="1"/>
  <c r="L2516" i="2" s="1"/>
  <c r="U2516" i="2" s="1"/>
  <c r="J2517" i="2"/>
  <c r="K2517" i="2" s="1"/>
  <c r="L2517" i="2" s="1"/>
  <c r="U2517" i="2" s="1"/>
  <c r="J2518" i="2"/>
  <c r="K2518" i="2" s="1"/>
  <c r="L2518" i="2" s="1"/>
  <c r="U2518" i="2" s="1"/>
  <c r="J2519" i="2"/>
  <c r="K2519" i="2" s="1"/>
  <c r="L2519" i="2" s="1"/>
  <c r="U2519" i="2" s="1"/>
  <c r="J2520" i="2"/>
  <c r="K2520" i="2" s="1"/>
  <c r="L2520" i="2" s="1"/>
  <c r="U2520" i="2" s="1"/>
  <c r="J2521" i="2"/>
  <c r="K2521" i="2" s="1"/>
  <c r="L2521" i="2" s="1"/>
  <c r="U2521" i="2" s="1"/>
  <c r="J2522" i="2"/>
  <c r="K2522" i="2" s="1"/>
  <c r="L2522" i="2" s="1"/>
  <c r="U2522" i="2" s="1"/>
  <c r="J2523" i="2"/>
  <c r="K2523" i="2" s="1"/>
  <c r="L2523" i="2" s="1"/>
  <c r="U2523" i="2" s="1"/>
  <c r="J2524" i="2"/>
  <c r="K2524" i="2" s="1"/>
  <c r="L2524" i="2" s="1"/>
  <c r="U2524" i="2" s="1"/>
  <c r="J2525" i="2"/>
  <c r="K2525" i="2" s="1"/>
  <c r="L2525" i="2" s="1"/>
  <c r="U2525" i="2" s="1"/>
  <c r="J2526" i="2"/>
  <c r="K2526" i="2" s="1"/>
  <c r="L2526" i="2" s="1"/>
  <c r="U2526" i="2" s="1"/>
  <c r="J2527" i="2"/>
  <c r="K2527" i="2" s="1"/>
  <c r="L2527" i="2" s="1"/>
  <c r="U2527" i="2" s="1"/>
  <c r="J2528" i="2"/>
  <c r="K2528" i="2" s="1"/>
  <c r="L2528" i="2" s="1"/>
  <c r="U2528" i="2" s="1"/>
  <c r="J2529" i="2"/>
  <c r="K2529" i="2" s="1"/>
  <c r="L2529" i="2" s="1"/>
  <c r="U2529" i="2" s="1"/>
  <c r="J2530" i="2"/>
  <c r="K2530" i="2" s="1"/>
  <c r="L2530" i="2" s="1"/>
  <c r="U2530" i="2" s="1"/>
  <c r="J2531" i="2"/>
  <c r="K2531" i="2" s="1"/>
  <c r="L2531" i="2" s="1"/>
  <c r="U2531" i="2" s="1"/>
  <c r="J2532" i="2"/>
  <c r="K2532" i="2" s="1"/>
  <c r="L2532" i="2" s="1"/>
  <c r="U2532" i="2" s="1"/>
  <c r="J2533" i="2"/>
  <c r="K2533" i="2" s="1"/>
  <c r="L2533" i="2" s="1"/>
  <c r="U2533" i="2" s="1"/>
  <c r="J2534" i="2"/>
  <c r="K2534" i="2" s="1"/>
  <c r="L2534" i="2" s="1"/>
  <c r="U2534" i="2" s="1"/>
  <c r="J2535" i="2"/>
  <c r="K2535" i="2" s="1"/>
  <c r="L2535" i="2" s="1"/>
  <c r="U2535" i="2" s="1"/>
  <c r="J2536" i="2"/>
  <c r="K2536" i="2" s="1"/>
  <c r="L2536" i="2" s="1"/>
  <c r="U2536" i="2" s="1"/>
  <c r="J2537" i="2"/>
  <c r="K2537" i="2" s="1"/>
  <c r="L2537" i="2" s="1"/>
  <c r="U2537" i="2" s="1"/>
  <c r="J2538" i="2"/>
  <c r="K2538" i="2" s="1"/>
  <c r="L2538" i="2" s="1"/>
  <c r="U2538" i="2" s="1"/>
  <c r="J2539" i="2"/>
  <c r="K2539" i="2" s="1"/>
  <c r="L2539" i="2" s="1"/>
  <c r="U2539" i="2" s="1"/>
  <c r="J2540" i="2"/>
  <c r="K2540" i="2" s="1"/>
  <c r="L2540" i="2" s="1"/>
  <c r="U2540" i="2" s="1"/>
  <c r="J2541" i="2"/>
  <c r="K2541" i="2" s="1"/>
  <c r="L2541" i="2" s="1"/>
  <c r="U2541" i="2" s="1"/>
  <c r="J2542" i="2"/>
  <c r="K2542" i="2" s="1"/>
  <c r="L2542" i="2" s="1"/>
  <c r="U2542" i="2" s="1"/>
  <c r="J2543" i="2"/>
  <c r="K2543" i="2" s="1"/>
  <c r="L2543" i="2" s="1"/>
  <c r="U2543" i="2" s="1"/>
  <c r="J2544" i="2"/>
  <c r="K2544" i="2" s="1"/>
  <c r="L2544" i="2" s="1"/>
  <c r="U2544" i="2" s="1"/>
  <c r="J2545" i="2"/>
  <c r="K2545" i="2" s="1"/>
  <c r="L2545" i="2" s="1"/>
  <c r="U2545" i="2" s="1"/>
  <c r="J2546" i="2"/>
  <c r="K2546" i="2" s="1"/>
  <c r="L2546" i="2" s="1"/>
  <c r="U2546" i="2" s="1"/>
  <c r="J2547" i="2"/>
  <c r="K2547" i="2" s="1"/>
  <c r="L2547" i="2" s="1"/>
  <c r="U2547" i="2" s="1"/>
  <c r="J2548" i="2"/>
  <c r="K2548" i="2" s="1"/>
  <c r="L2548" i="2" s="1"/>
  <c r="U2548" i="2" s="1"/>
  <c r="J2549" i="2"/>
  <c r="K2549" i="2" s="1"/>
  <c r="L2549" i="2" s="1"/>
  <c r="U2549" i="2" s="1"/>
  <c r="J2550" i="2"/>
  <c r="K2550" i="2" s="1"/>
  <c r="L2550" i="2" s="1"/>
  <c r="U2550" i="2" s="1"/>
  <c r="J2551" i="2"/>
  <c r="K2551" i="2" s="1"/>
  <c r="L2551" i="2" s="1"/>
  <c r="U2551" i="2" s="1"/>
  <c r="J2552" i="2"/>
  <c r="K2552" i="2" s="1"/>
  <c r="L2552" i="2" s="1"/>
  <c r="U2552" i="2" s="1"/>
  <c r="J2553" i="2"/>
  <c r="K2553" i="2" s="1"/>
  <c r="L2553" i="2" s="1"/>
  <c r="U2553" i="2" s="1"/>
  <c r="J2554" i="2"/>
  <c r="K2554" i="2" s="1"/>
  <c r="L2554" i="2" s="1"/>
  <c r="U2554" i="2" s="1"/>
  <c r="J2555" i="2"/>
  <c r="K2555" i="2" s="1"/>
  <c r="L2555" i="2" s="1"/>
  <c r="U2555" i="2" s="1"/>
  <c r="J2556" i="2"/>
  <c r="K2556" i="2" s="1"/>
  <c r="L2556" i="2" s="1"/>
  <c r="U2556" i="2" s="1"/>
  <c r="J2557" i="2"/>
  <c r="K2557" i="2" s="1"/>
  <c r="L2557" i="2" s="1"/>
  <c r="U2557" i="2" s="1"/>
  <c r="J2558" i="2"/>
  <c r="K2558" i="2" s="1"/>
  <c r="L2558" i="2" s="1"/>
  <c r="U2558" i="2" s="1"/>
  <c r="J2559" i="2"/>
  <c r="K2559" i="2" s="1"/>
  <c r="L2559" i="2" s="1"/>
  <c r="U2559" i="2" s="1"/>
  <c r="J2560" i="2"/>
  <c r="K2560" i="2" s="1"/>
  <c r="L2560" i="2" s="1"/>
  <c r="U2560" i="2" s="1"/>
  <c r="J2561" i="2"/>
  <c r="K2561" i="2" s="1"/>
  <c r="L2561" i="2" s="1"/>
  <c r="U2561" i="2" s="1"/>
  <c r="J2562" i="2"/>
  <c r="K2562" i="2" s="1"/>
  <c r="L2562" i="2" s="1"/>
  <c r="U2562" i="2" s="1"/>
  <c r="J2563" i="2"/>
  <c r="K2563" i="2" s="1"/>
  <c r="L2563" i="2" s="1"/>
  <c r="U2563" i="2" s="1"/>
  <c r="J2564" i="2"/>
  <c r="K2564" i="2" s="1"/>
  <c r="L2564" i="2" s="1"/>
  <c r="U2564" i="2" s="1"/>
  <c r="J2565" i="2"/>
  <c r="K2565" i="2" s="1"/>
  <c r="L2565" i="2" s="1"/>
  <c r="U2565" i="2" s="1"/>
  <c r="J2566" i="2"/>
  <c r="K2566" i="2" s="1"/>
  <c r="L2566" i="2" s="1"/>
  <c r="U2566" i="2" s="1"/>
  <c r="J2567" i="2"/>
  <c r="K2567" i="2" s="1"/>
  <c r="L2567" i="2" s="1"/>
  <c r="U2567" i="2" s="1"/>
  <c r="J2568" i="2"/>
  <c r="K2568" i="2" s="1"/>
  <c r="L2568" i="2" s="1"/>
  <c r="U2568" i="2" s="1"/>
  <c r="J2569" i="2"/>
  <c r="K2569" i="2" s="1"/>
  <c r="L2569" i="2" s="1"/>
  <c r="U2569" i="2" s="1"/>
  <c r="J2570" i="2"/>
  <c r="K2570" i="2" s="1"/>
  <c r="L2570" i="2" s="1"/>
  <c r="U2570" i="2" s="1"/>
  <c r="J2571" i="2"/>
  <c r="K2571" i="2" s="1"/>
  <c r="L2571" i="2" s="1"/>
  <c r="U2571" i="2" s="1"/>
  <c r="J2572" i="2"/>
  <c r="K2572" i="2" s="1"/>
  <c r="L2572" i="2" s="1"/>
  <c r="U2572" i="2" s="1"/>
  <c r="J2573" i="2"/>
  <c r="K2573" i="2" s="1"/>
  <c r="L2573" i="2" s="1"/>
  <c r="U2573" i="2" s="1"/>
  <c r="J2574" i="2"/>
  <c r="K2574" i="2" s="1"/>
  <c r="L2574" i="2" s="1"/>
  <c r="U2574" i="2" s="1"/>
  <c r="J2575" i="2"/>
  <c r="K2575" i="2" s="1"/>
  <c r="L2575" i="2" s="1"/>
  <c r="U2575" i="2" s="1"/>
  <c r="J2576" i="2"/>
  <c r="K2576" i="2" s="1"/>
  <c r="L2576" i="2" s="1"/>
  <c r="U2576" i="2" s="1"/>
  <c r="J2577" i="2"/>
  <c r="K2577" i="2" s="1"/>
  <c r="L2577" i="2" s="1"/>
  <c r="U2577" i="2" s="1"/>
  <c r="J2578" i="2"/>
  <c r="K2578" i="2" s="1"/>
  <c r="L2578" i="2" s="1"/>
  <c r="U2578" i="2" s="1"/>
  <c r="J2579" i="2"/>
  <c r="K2579" i="2" s="1"/>
  <c r="L2579" i="2" s="1"/>
  <c r="U2579" i="2" s="1"/>
  <c r="J2580" i="2"/>
  <c r="K2580" i="2" s="1"/>
  <c r="L2580" i="2" s="1"/>
  <c r="U2580" i="2" s="1"/>
  <c r="J2581" i="2"/>
  <c r="K2581" i="2" s="1"/>
  <c r="L2581" i="2" s="1"/>
  <c r="U2581" i="2" s="1"/>
  <c r="J2582" i="2"/>
  <c r="K2582" i="2" s="1"/>
  <c r="L2582" i="2" s="1"/>
  <c r="U2582" i="2" s="1"/>
  <c r="J2583" i="2"/>
  <c r="K2583" i="2" s="1"/>
  <c r="L2583" i="2" s="1"/>
  <c r="U2583" i="2" s="1"/>
  <c r="J2584" i="2"/>
  <c r="K2584" i="2" s="1"/>
  <c r="L2584" i="2" s="1"/>
  <c r="U2584" i="2" s="1"/>
  <c r="J2585" i="2"/>
  <c r="K2585" i="2" s="1"/>
  <c r="L2585" i="2" s="1"/>
  <c r="U2585" i="2" s="1"/>
  <c r="J2586" i="2"/>
  <c r="K2586" i="2" s="1"/>
  <c r="L2586" i="2" s="1"/>
  <c r="U2586" i="2" s="1"/>
  <c r="J2587" i="2"/>
  <c r="K2587" i="2" s="1"/>
  <c r="L2587" i="2" s="1"/>
  <c r="U2587" i="2" s="1"/>
  <c r="J2588" i="2"/>
  <c r="K2588" i="2" s="1"/>
  <c r="L2588" i="2" s="1"/>
  <c r="U2588" i="2" s="1"/>
  <c r="J2589" i="2"/>
  <c r="K2589" i="2" s="1"/>
  <c r="L2589" i="2" s="1"/>
  <c r="U2589" i="2" s="1"/>
  <c r="J2590" i="2"/>
  <c r="K2590" i="2" s="1"/>
  <c r="L2590" i="2" s="1"/>
  <c r="U2590" i="2" s="1"/>
  <c r="J2591" i="2"/>
  <c r="K2591" i="2" s="1"/>
  <c r="L2591" i="2" s="1"/>
  <c r="U2591" i="2" s="1"/>
  <c r="J2592" i="2"/>
  <c r="K2592" i="2" s="1"/>
  <c r="L2592" i="2" s="1"/>
  <c r="U2592" i="2" s="1"/>
  <c r="J2593" i="2"/>
  <c r="K2593" i="2" s="1"/>
  <c r="L2593" i="2" s="1"/>
  <c r="U2593" i="2" s="1"/>
  <c r="J2594" i="2"/>
  <c r="K2594" i="2" s="1"/>
  <c r="L2594" i="2" s="1"/>
  <c r="U2594" i="2" s="1"/>
  <c r="J2595" i="2"/>
  <c r="K2595" i="2" s="1"/>
  <c r="L2595" i="2" s="1"/>
  <c r="U2595" i="2" s="1"/>
  <c r="J2596" i="2"/>
  <c r="K2596" i="2" s="1"/>
  <c r="L2596" i="2" s="1"/>
  <c r="U2596" i="2" s="1"/>
  <c r="J2597" i="2"/>
  <c r="K2597" i="2" s="1"/>
  <c r="L2597" i="2" s="1"/>
  <c r="U2597" i="2" s="1"/>
  <c r="J2598" i="2"/>
  <c r="K2598" i="2" s="1"/>
  <c r="L2598" i="2" s="1"/>
  <c r="U2598" i="2" s="1"/>
  <c r="J2599" i="2"/>
  <c r="K2599" i="2" s="1"/>
  <c r="L2599" i="2" s="1"/>
  <c r="U2599" i="2" s="1"/>
  <c r="J2600" i="2"/>
  <c r="K2600" i="2" s="1"/>
  <c r="L2600" i="2" s="1"/>
  <c r="U2600" i="2" s="1"/>
  <c r="J2601" i="2"/>
  <c r="K2601" i="2" s="1"/>
  <c r="L2601" i="2" s="1"/>
  <c r="U2601" i="2" s="1"/>
  <c r="J2602" i="2"/>
  <c r="K2602" i="2" s="1"/>
  <c r="L2602" i="2" s="1"/>
  <c r="U2602" i="2" s="1"/>
  <c r="J2603" i="2"/>
  <c r="K2603" i="2" s="1"/>
  <c r="L2603" i="2" s="1"/>
  <c r="U2603" i="2" s="1"/>
  <c r="J2604" i="2"/>
  <c r="K2604" i="2" s="1"/>
  <c r="L2604" i="2" s="1"/>
  <c r="U2604" i="2" s="1"/>
  <c r="J2605" i="2"/>
  <c r="K2605" i="2" s="1"/>
  <c r="L2605" i="2" s="1"/>
  <c r="U2605" i="2" s="1"/>
  <c r="J2606" i="2"/>
  <c r="K2606" i="2" s="1"/>
  <c r="L2606" i="2" s="1"/>
  <c r="U2606" i="2" s="1"/>
  <c r="J2607" i="2"/>
  <c r="K2607" i="2" s="1"/>
  <c r="L2607" i="2" s="1"/>
  <c r="U2607" i="2" s="1"/>
  <c r="J2608" i="2"/>
  <c r="K2608" i="2" s="1"/>
  <c r="L2608" i="2" s="1"/>
  <c r="U2608" i="2" s="1"/>
  <c r="J2609" i="2"/>
  <c r="K2609" i="2" s="1"/>
  <c r="L2609" i="2" s="1"/>
  <c r="U2609" i="2" s="1"/>
  <c r="J2610" i="2"/>
  <c r="K2610" i="2" s="1"/>
  <c r="L2610" i="2" s="1"/>
  <c r="U2610" i="2" s="1"/>
  <c r="J2611" i="2"/>
  <c r="K2611" i="2" s="1"/>
  <c r="L2611" i="2" s="1"/>
  <c r="U2611" i="2" s="1"/>
  <c r="J2612" i="2"/>
  <c r="K2612" i="2" s="1"/>
  <c r="L2612" i="2" s="1"/>
  <c r="U2612" i="2" s="1"/>
  <c r="J2613" i="2"/>
  <c r="K2613" i="2" s="1"/>
  <c r="L2613" i="2" s="1"/>
  <c r="U2613" i="2" s="1"/>
  <c r="J2614" i="2"/>
  <c r="K2614" i="2" s="1"/>
  <c r="L2614" i="2" s="1"/>
  <c r="U2614" i="2" s="1"/>
  <c r="J2615" i="2"/>
  <c r="K2615" i="2" s="1"/>
  <c r="L2615" i="2" s="1"/>
  <c r="U2615" i="2" s="1"/>
  <c r="J2616" i="2"/>
  <c r="K2616" i="2" s="1"/>
  <c r="L2616" i="2" s="1"/>
  <c r="U2616" i="2" s="1"/>
  <c r="J2617" i="2"/>
  <c r="K2617" i="2" s="1"/>
  <c r="L2617" i="2" s="1"/>
  <c r="U2617" i="2" s="1"/>
  <c r="J2618" i="2"/>
  <c r="K2618" i="2" s="1"/>
  <c r="L2618" i="2" s="1"/>
  <c r="U2618" i="2" s="1"/>
  <c r="J2619" i="2"/>
  <c r="K2619" i="2" s="1"/>
  <c r="L2619" i="2" s="1"/>
  <c r="U2619" i="2" s="1"/>
  <c r="J2620" i="2"/>
  <c r="K2620" i="2" s="1"/>
  <c r="L2620" i="2" s="1"/>
  <c r="U2620" i="2" s="1"/>
  <c r="J2621" i="2"/>
  <c r="K2621" i="2" s="1"/>
  <c r="L2621" i="2" s="1"/>
  <c r="U2621" i="2" s="1"/>
  <c r="J2622" i="2"/>
  <c r="K2622" i="2" s="1"/>
  <c r="L2622" i="2" s="1"/>
  <c r="U2622" i="2" s="1"/>
  <c r="J2623" i="2"/>
  <c r="K2623" i="2" s="1"/>
  <c r="L2623" i="2" s="1"/>
  <c r="U2623" i="2" s="1"/>
  <c r="J2624" i="2"/>
  <c r="K2624" i="2" s="1"/>
  <c r="L2624" i="2" s="1"/>
  <c r="U2624" i="2" s="1"/>
  <c r="J2625" i="2"/>
  <c r="K2625" i="2" s="1"/>
  <c r="L2625" i="2" s="1"/>
  <c r="U2625" i="2" s="1"/>
  <c r="J2626" i="2"/>
  <c r="K2626" i="2" s="1"/>
  <c r="L2626" i="2" s="1"/>
  <c r="U2626" i="2" s="1"/>
  <c r="J2627" i="2"/>
  <c r="K2627" i="2" s="1"/>
  <c r="L2627" i="2" s="1"/>
  <c r="U2627" i="2" s="1"/>
  <c r="J2628" i="2"/>
  <c r="K2628" i="2" s="1"/>
  <c r="L2628" i="2" s="1"/>
  <c r="U2628" i="2" s="1"/>
  <c r="J2629" i="2"/>
  <c r="K2629" i="2" s="1"/>
  <c r="L2629" i="2" s="1"/>
  <c r="U2629" i="2" s="1"/>
  <c r="J2630" i="2"/>
  <c r="K2630" i="2" s="1"/>
  <c r="L2630" i="2" s="1"/>
  <c r="U2630" i="2" s="1"/>
  <c r="J2631" i="2"/>
  <c r="K2631" i="2" s="1"/>
  <c r="L2631" i="2" s="1"/>
  <c r="U2631" i="2" s="1"/>
  <c r="J2632" i="2"/>
  <c r="K2632" i="2" s="1"/>
  <c r="L2632" i="2" s="1"/>
  <c r="U2632" i="2" s="1"/>
  <c r="J2633" i="2"/>
  <c r="K2633" i="2" s="1"/>
  <c r="L2633" i="2" s="1"/>
  <c r="U2633" i="2" s="1"/>
  <c r="J2634" i="2"/>
  <c r="K2634" i="2" s="1"/>
  <c r="L2634" i="2" s="1"/>
  <c r="U2634" i="2" s="1"/>
  <c r="J2635" i="2"/>
  <c r="K2635" i="2" s="1"/>
  <c r="L2635" i="2" s="1"/>
  <c r="U2635" i="2" s="1"/>
  <c r="J2636" i="2"/>
  <c r="K2636" i="2" s="1"/>
  <c r="L2636" i="2" s="1"/>
  <c r="U2636" i="2" s="1"/>
  <c r="J2637" i="2"/>
  <c r="K2637" i="2" s="1"/>
  <c r="L2637" i="2" s="1"/>
  <c r="U2637" i="2" s="1"/>
  <c r="J2638" i="2"/>
  <c r="K2638" i="2" s="1"/>
  <c r="L2638" i="2" s="1"/>
  <c r="U2638" i="2" s="1"/>
  <c r="J2639" i="2"/>
  <c r="K2639" i="2" s="1"/>
  <c r="L2639" i="2" s="1"/>
  <c r="U2639" i="2" s="1"/>
  <c r="J2640" i="2"/>
  <c r="K2640" i="2" s="1"/>
  <c r="L2640" i="2" s="1"/>
  <c r="U2640" i="2" s="1"/>
  <c r="J2641" i="2"/>
  <c r="K2641" i="2" s="1"/>
  <c r="L2641" i="2" s="1"/>
  <c r="U2641" i="2" s="1"/>
  <c r="J4" i="2"/>
  <c r="K4" i="2" s="1"/>
  <c r="L4" i="2" s="1"/>
  <c r="U4"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<sst xmlns="http://schemas.openxmlformats.org/spreadsheetml/2006/main" count="33483" uniqueCount="7375">
  <si>
    <t>PR Code</t>
  </si>
  <si>
    <t>Depth (mm)</t>
  </si>
  <si>
    <t>108683</t>
  </si>
  <si>
    <t>DS011-F-0120-0180-03.8/5</t>
  </si>
  <si>
    <t>Dust Seal</t>
  </si>
  <si>
    <t>011</t>
  </si>
  <si>
    <t>Standard (NBR/PU)</t>
  </si>
  <si>
    <t>3.8-5.0</t>
  </si>
  <si>
    <t>108686</t>
  </si>
  <si>
    <t>DS011-F-0180-0240-03.8/5</t>
  </si>
  <si>
    <t>110070</t>
  </si>
  <si>
    <t>DS011-F-0180-0260-0507</t>
  </si>
  <si>
    <t>5.0-7.0</t>
  </si>
  <si>
    <t>108687</t>
  </si>
  <si>
    <t>DS011-F-0200-0280-0507</t>
  </si>
  <si>
    <t>108688</t>
  </si>
  <si>
    <t>DS011-F-0220-0300-0507</t>
  </si>
  <si>
    <t>108689</t>
  </si>
  <si>
    <t>DS011-F-0250-0330-0507</t>
  </si>
  <si>
    <t>108690</t>
  </si>
  <si>
    <t>DS011-F-0280-0360-0507</t>
  </si>
  <si>
    <t>108691</t>
  </si>
  <si>
    <t>DS011-F-0300-0380-0507</t>
  </si>
  <si>
    <t>108692</t>
  </si>
  <si>
    <t>DS011-F-0320-0400-0507</t>
  </si>
  <si>
    <t>108693</t>
  </si>
  <si>
    <t>DS011-F-0350-0430-0507</t>
  </si>
  <si>
    <t>108694</t>
  </si>
  <si>
    <t>DS011-F-0360-0440-0507</t>
  </si>
  <si>
    <t>112557</t>
  </si>
  <si>
    <t>DS011-F-0380-0460-0507</t>
  </si>
  <si>
    <t>108695</t>
  </si>
  <si>
    <t>DS011-F-0400-0480-0507</t>
  </si>
  <si>
    <t>108696</t>
  </si>
  <si>
    <t>DS011-F-0420-0500-0507</t>
  </si>
  <si>
    <t>108698</t>
  </si>
  <si>
    <t>DS011-F-0450-0530-0507</t>
  </si>
  <si>
    <t>108697</t>
  </si>
  <si>
    <t>DS011-F-0450-0550-0507</t>
  </si>
  <si>
    <t>108699</t>
  </si>
  <si>
    <t>DS011-F-0500-0580-0507</t>
  </si>
  <si>
    <t>110068</t>
  </si>
  <si>
    <t>DS011-F-0500-0600-0308</t>
  </si>
  <si>
    <t>3.0-8.0</t>
  </si>
  <si>
    <t>108700</t>
  </si>
  <si>
    <t>DS011-F-0500-0600-0507</t>
  </si>
  <si>
    <t>108701</t>
  </si>
  <si>
    <t>DS011-F-0550-0650-0507</t>
  </si>
  <si>
    <t>108702</t>
  </si>
  <si>
    <t>DS011-F-0560-0660-0507</t>
  </si>
  <si>
    <t>108703</t>
  </si>
  <si>
    <t>DS011-F-0600-0700-0507</t>
  </si>
  <si>
    <t>108704</t>
  </si>
  <si>
    <t>DS011-F-0630-0730-0507</t>
  </si>
  <si>
    <t>108705</t>
  </si>
  <si>
    <t>DS011-F-0650-0750-0507</t>
  </si>
  <si>
    <t>108706</t>
  </si>
  <si>
    <t>DS011-F-0700-0800-0507</t>
  </si>
  <si>
    <t>137323</t>
  </si>
  <si>
    <t>5.5</t>
  </si>
  <si>
    <t>137330</t>
  </si>
  <si>
    <t>9.5</t>
  </si>
  <si>
    <t>108707</t>
  </si>
  <si>
    <t>DS011-F-0750-0870-0712</t>
  </si>
  <si>
    <t>7.0-12.0</t>
  </si>
  <si>
    <t>108708</t>
  </si>
  <si>
    <t>DS011-F-0800-0920-0712</t>
  </si>
  <si>
    <t>108709</t>
  </si>
  <si>
    <t>DS011-F-0850-0970-0712</t>
  </si>
  <si>
    <t>108710</t>
  </si>
  <si>
    <t>DS011-F-0900-1020-0712</t>
  </si>
  <si>
    <t>109128</t>
  </si>
  <si>
    <t>DS011-F-0950-1070-0712</t>
  </si>
  <si>
    <t>108711</t>
  </si>
  <si>
    <t>DS011-F-1000-1120-0712</t>
  </si>
  <si>
    <t>108713</t>
  </si>
  <si>
    <t>DS011-F-1100-1220-0712</t>
  </si>
  <si>
    <t>109127</t>
  </si>
  <si>
    <t>DS011-F-1200-1320-0712</t>
  </si>
  <si>
    <t>108716</t>
  </si>
  <si>
    <t>DS011-F-1250-1370-0712</t>
  </si>
  <si>
    <t>113216</t>
  </si>
  <si>
    <t>DS011-F-1250-1400-1016</t>
  </si>
  <si>
    <t>10.0-16.0</t>
  </si>
  <si>
    <t>108717</t>
  </si>
  <si>
    <t>DS011-F-1300-1420-0712</t>
  </si>
  <si>
    <t>108719</t>
  </si>
  <si>
    <t>DS011-F-1400-1520-0712</t>
  </si>
  <si>
    <t>108720</t>
  </si>
  <si>
    <t>DS011-F-1400-1550-1016</t>
  </si>
  <si>
    <t>108721</t>
  </si>
  <si>
    <t>DS011-F-1500-1620-0712</t>
  </si>
  <si>
    <t>108722</t>
  </si>
  <si>
    <t>DS011-F-1500-1650-1016</t>
  </si>
  <si>
    <t>108725</t>
  </si>
  <si>
    <t>DS011-F-1600-1750-1016</t>
  </si>
  <si>
    <t>NBR</t>
  </si>
  <si>
    <t>106771</t>
  </si>
  <si>
    <t>DS011-N-0120-0180-03.8/5</t>
  </si>
  <si>
    <t>113057</t>
  </si>
  <si>
    <t>DS011-N-0120-0200-0507</t>
  </si>
  <si>
    <t>179329</t>
  </si>
  <si>
    <t>DS011-N-0150-0216-03.8/5.3</t>
  </si>
  <si>
    <t>3.8-5.3</t>
  </si>
  <si>
    <t>115054</t>
  </si>
  <si>
    <t>DS011-N-0160-0240-03.5/5</t>
  </si>
  <si>
    <t>3.5-5.0</t>
  </si>
  <si>
    <t>110845</t>
  </si>
  <si>
    <t>DS011-N-0160-0240-0507</t>
  </si>
  <si>
    <t>121527</t>
  </si>
  <si>
    <t>DS011-N-0180-0246-038053</t>
  </si>
  <si>
    <t>38053.0</t>
  </si>
  <si>
    <t>106775</t>
  </si>
  <si>
    <t>DS011-N-0180-0260-0507</t>
  </si>
  <si>
    <t>197001</t>
  </si>
  <si>
    <t>DS011-N-0180-0280-05.3/8</t>
  </si>
  <si>
    <t>5.3-8.0</t>
  </si>
  <si>
    <t>106474</t>
  </si>
  <si>
    <t>DS011-N-0200-0280-0507</t>
  </si>
  <si>
    <t>106776</t>
  </si>
  <si>
    <t>DS011-N-0220-0300-0507</t>
  </si>
  <si>
    <t>136145</t>
  </si>
  <si>
    <t>DS011-N-0250-0330-0406</t>
  </si>
  <si>
    <t>4.0-6.0</t>
  </si>
  <si>
    <t>106697</t>
  </si>
  <si>
    <t>DS011-N-0250-0330-0507</t>
  </si>
  <si>
    <t>106777</t>
  </si>
  <si>
    <t>DS011-N-0280-0360-0507</t>
  </si>
  <si>
    <t>111445</t>
  </si>
  <si>
    <t>DS011-N-0280-0380-0507</t>
  </si>
  <si>
    <t>106475</t>
  </si>
  <si>
    <t>DS011-N-0300-0380-0507</t>
  </si>
  <si>
    <t>136919</t>
  </si>
  <si>
    <t>DS011-N-0300-0400-0507</t>
  </si>
  <si>
    <t>137294</t>
  </si>
  <si>
    <t>DS011-N-0300-0420-0609</t>
  </si>
  <si>
    <t>6.0-9.0</t>
  </si>
  <si>
    <t>106778</t>
  </si>
  <si>
    <t>DS011-N-0320-0400-0507</t>
  </si>
  <si>
    <t>106779</t>
  </si>
  <si>
    <t>DS011-N-0350-0430-0507</t>
  </si>
  <si>
    <t>126558</t>
  </si>
  <si>
    <t>DS011-N-0350-0450-0308</t>
  </si>
  <si>
    <t>106780</t>
  </si>
  <si>
    <t>DS011-N-0360-0440-0507</t>
  </si>
  <si>
    <t>126524</t>
  </si>
  <si>
    <t>DS011-N-0360-0460-0507</t>
  </si>
  <si>
    <t>109281</t>
  </si>
  <si>
    <t>DS011-N-0380-0460-0507</t>
  </si>
  <si>
    <t>106781</t>
  </si>
  <si>
    <t>DS011-N-0400-0480-0507</t>
  </si>
  <si>
    <t>106782</t>
  </si>
  <si>
    <t>DS011-N-0420-0500-0507</t>
  </si>
  <si>
    <t>116606</t>
  </si>
  <si>
    <t>DS011-N-0450-0530-0507</t>
  </si>
  <si>
    <t>106783</t>
  </si>
  <si>
    <t>DS011-N-0450-0550-0507</t>
  </si>
  <si>
    <t>185693</t>
  </si>
  <si>
    <t>8.0</t>
  </si>
  <si>
    <t>7.0-10.0</t>
  </si>
  <si>
    <t>106785</t>
  </si>
  <si>
    <t>DS011-N-0500-0580-0507</t>
  </si>
  <si>
    <t>106786</t>
  </si>
  <si>
    <t>DS011-N-0500-0600-0507</t>
  </si>
  <si>
    <t>109278</t>
  </si>
  <si>
    <t>DS011-N-0500-0600-0710</t>
  </si>
  <si>
    <t>182183</t>
  </si>
  <si>
    <t>DS011-N-0500-0620-0609</t>
  </si>
  <si>
    <t>181707</t>
  </si>
  <si>
    <t>6.0</t>
  </si>
  <si>
    <t>106787</t>
  </si>
  <si>
    <t>DS011-N-0550-0650-0507</t>
  </si>
  <si>
    <t>183266</t>
  </si>
  <si>
    <t>DS011-N-0550-0680-06.3/10</t>
  </si>
  <si>
    <t>6.3-10.0</t>
  </si>
  <si>
    <t>106788</t>
  </si>
  <si>
    <t>DS011-N-0560-0660-0507</t>
  </si>
  <si>
    <t>106789</t>
  </si>
  <si>
    <t>DS011-N-0600-0700-0507</t>
  </si>
  <si>
    <t>106351</t>
  </si>
  <si>
    <t>DS011-N-0630-0730-0507</t>
  </si>
  <si>
    <t>157819</t>
  </si>
  <si>
    <t>DS011-N-0630-0730-0609 (SPL)</t>
  </si>
  <si>
    <t>0609 (SPL)</t>
  </si>
  <si>
    <t>111441</t>
  </si>
  <si>
    <t>DS011-N-0630-0730-0710</t>
  </si>
  <si>
    <t>106790</t>
  </si>
  <si>
    <t>DS011-N-0650-0750-0507</t>
  </si>
  <si>
    <t>180837</t>
  </si>
  <si>
    <t>DS011-N-0650-0770-0609</t>
  </si>
  <si>
    <t>106607</t>
  </si>
  <si>
    <t>DS011-N-0700-0800-0507</t>
  </si>
  <si>
    <t>5.0-8.0</t>
  </si>
  <si>
    <t>168694</t>
  </si>
  <si>
    <t>DS011-N-0750-0830-0406</t>
  </si>
  <si>
    <t>106791</t>
  </si>
  <si>
    <t>DS011-N-0750-0870-0712</t>
  </si>
  <si>
    <t>109282</t>
  </si>
  <si>
    <t>DS011-N-0800-0900-0507</t>
  </si>
  <si>
    <t>104947</t>
  </si>
  <si>
    <t>DS011-N-0800-0920-0712</t>
  </si>
  <si>
    <t>106792</t>
  </si>
  <si>
    <t>DS011-N-0850-0970-0712</t>
  </si>
  <si>
    <t>106793</t>
  </si>
  <si>
    <t>DS011-N-0900-1020-0712</t>
  </si>
  <si>
    <t>106794</t>
  </si>
  <si>
    <t>DS011-N-1000-1120-0712</t>
  </si>
  <si>
    <t>106796</t>
  </si>
  <si>
    <t>DS011-N-1100-1220-0712</t>
  </si>
  <si>
    <t>106798</t>
  </si>
  <si>
    <t>DS011-N-1200-1320-0712</t>
  </si>
  <si>
    <t>106799</t>
  </si>
  <si>
    <t>DS011-N-1250-1370-0712</t>
  </si>
  <si>
    <t>166737</t>
  </si>
  <si>
    <t>DS011-N-1250-1400-1016</t>
  </si>
  <si>
    <t>106800</t>
  </si>
  <si>
    <t>DS011-N-1300-1420-0712</t>
  </si>
  <si>
    <t>106801</t>
  </si>
  <si>
    <t>DS011-N-1350-1470-0712</t>
  </si>
  <si>
    <t>106802</t>
  </si>
  <si>
    <t>DS011-N-1400-1520-0712</t>
  </si>
  <si>
    <t>106803</t>
  </si>
  <si>
    <t>DS011-N-1400-1550-1016</t>
  </si>
  <si>
    <t>181699</t>
  </si>
  <si>
    <t>7.25</t>
  </si>
  <si>
    <t>106804</t>
  </si>
  <si>
    <t>DS011-N-1500-1620-0712</t>
  </si>
  <si>
    <t>106805</t>
  </si>
  <si>
    <t>DS011-N-1500-1650-1016</t>
  </si>
  <si>
    <t>106808</t>
  </si>
  <si>
    <t>DS011-N-1600-1750-1016</t>
  </si>
  <si>
    <t>106809</t>
  </si>
  <si>
    <t>DS011-N-1700-1820-0712</t>
  </si>
  <si>
    <t>10.0-18.0</t>
  </si>
  <si>
    <t>106811</t>
  </si>
  <si>
    <t>DS011-N-1800-2000-1018</t>
  </si>
  <si>
    <t>106812</t>
  </si>
  <si>
    <t>DS011-N-1900-2100-1018</t>
  </si>
  <si>
    <t>106813</t>
  </si>
  <si>
    <t>DS011-N-2000-2200-1018</t>
  </si>
  <si>
    <t>106816</t>
  </si>
  <si>
    <t>DS011-N-2200-2400-1018</t>
  </si>
  <si>
    <t>106679</t>
  </si>
  <si>
    <t>DS011-N-2300-2500-1018</t>
  </si>
  <si>
    <t>106818</t>
  </si>
  <si>
    <t>DS011-N-2400-2600-1018</t>
  </si>
  <si>
    <t>106819</t>
  </si>
  <si>
    <t>DS011-N-2500-2700-1018</t>
  </si>
  <si>
    <t>106820</t>
  </si>
  <si>
    <t>DS011-N-2600-2800-1018</t>
  </si>
  <si>
    <t>106821</t>
  </si>
  <si>
    <t>DS011-N-2800-3000-1018</t>
  </si>
  <si>
    <t>106822</t>
  </si>
  <si>
    <t>DS011-N-2900-3100-1018</t>
  </si>
  <si>
    <t>106756</t>
  </si>
  <si>
    <t>DS011-N-3000-3200-1018</t>
  </si>
  <si>
    <t>Polyurethane</t>
  </si>
  <si>
    <t>112475</t>
  </si>
  <si>
    <t>DS011-U-0120-0180-03.8/5</t>
  </si>
  <si>
    <t>205304</t>
  </si>
  <si>
    <t>DS011-U-0120-0200-05/07</t>
  </si>
  <si>
    <t>188951</t>
  </si>
  <si>
    <t>nan</t>
  </si>
  <si>
    <t>115622</t>
  </si>
  <si>
    <t>DS011-U-0180-0240-03.8/5.3</t>
  </si>
  <si>
    <t>115623</t>
  </si>
  <si>
    <t>DS011-U-0180-0250-02.6/4.5</t>
  </si>
  <si>
    <t>2.6-4.5</t>
  </si>
  <si>
    <t>132127</t>
  </si>
  <si>
    <t>DS011-U-0180-0250-03004</t>
  </si>
  <si>
    <t>3004.0</t>
  </si>
  <si>
    <t>110261</t>
  </si>
  <si>
    <t>DS011-U-0180-0260-0507</t>
  </si>
  <si>
    <t>110313</t>
  </si>
  <si>
    <t>DS011-U-0200-0280-0507</t>
  </si>
  <si>
    <t>194853</t>
  </si>
  <si>
    <t>110314</t>
  </si>
  <si>
    <t>DS011-U-0220-0300-0507</t>
  </si>
  <si>
    <t>184432</t>
  </si>
  <si>
    <t>110315</t>
  </si>
  <si>
    <t>DS011-U-0250-0330-0507</t>
  </si>
  <si>
    <t>167300</t>
  </si>
  <si>
    <t>DS011-U-0250-0350-0507</t>
  </si>
  <si>
    <t>184444</t>
  </si>
  <si>
    <t>109358</t>
  </si>
  <si>
    <t>DS011-U-0280-0360-0507</t>
  </si>
  <si>
    <t>196576</t>
  </si>
  <si>
    <t>DS011-U-0300-0380-03/5.5 (RED)</t>
  </si>
  <si>
    <t>03/5.5 (RED)</t>
  </si>
  <si>
    <t>106376</t>
  </si>
  <si>
    <t>DS011-U-0300-0380-0507</t>
  </si>
  <si>
    <t>116324</t>
  </si>
  <si>
    <t>DS011-U-0300-0386-0507</t>
  </si>
  <si>
    <t>110745</t>
  </si>
  <si>
    <t>DS011-U-0320-0400-0508</t>
  </si>
  <si>
    <t>109493</t>
  </si>
  <si>
    <t>DS011-U-0350-0430-0507</t>
  </si>
  <si>
    <t>110014</t>
  </si>
  <si>
    <t>DS011-U-0350-0450-0507</t>
  </si>
  <si>
    <t>186641</t>
  </si>
  <si>
    <t>DS011-U-0350-0470-5.5/9</t>
  </si>
  <si>
    <t>5.5-9.0</t>
  </si>
  <si>
    <t>112181</t>
  </si>
  <si>
    <t>DS011-U-0350-0480-0510</t>
  </si>
  <si>
    <t>5.0-10.0</t>
  </si>
  <si>
    <t>196577</t>
  </si>
  <si>
    <t>DS011-U-0360-0440-03.5/6(RED)</t>
  </si>
  <si>
    <t>03.5/6(RED)</t>
  </si>
  <si>
    <t>110009</t>
  </si>
  <si>
    <t>DS011-U-0360-0440-0507</t>
  </si>
  <si>
    <t>193410</t>
  </si>
  <si>
    <t>DS011-U-0380-0480-0507</t>
  </si>
  <si>
    <t>108946</t>
  </si>
  <si>
    <t>DS011-U-0400-0480-0507</t>
  </si>
  <si>
    <t>124062</t>
  </si>
  <si>
    <t>DS011-U-0400-0500-0508</t>
  </si>
  <si>
    <t>103590</t>
  </si>
  <si>
    <t>DS011-U-0400-0500-0712</t>
  </si>
  <si>
    <t>188847</t>
  </si>
  <si>
    <t>110862</t>
  </si>
  <si>
    <t>DS011-U-0420-0500-0407</t>
  </si>
  <si>
    <t>4.0-7.0</t>
  </si>
  <si>
    <t>110094</t>
  </si>
  <si>
    <t>DS011-U-0450-0530-0507</t>
  </si>
  <si>
    <t>109355</t>
  </si>
  <si>
    <t>DS011-U-0450-0550-0507</t>
  </si>
  <si>
    <t>115620</t>
  </si>
  <si>
    <t>DS011-U-0450-0570-0608</t>
  </si>
  <si>
    <t>6.0-8.0</t>
  </si>
  <si>
    <t>109314</t>
  </si>
  <si>
    <t>DS011-U-0500-0580-0507</t>
  </si>
  <si>
    <t>121704</t>
  </si>
  <si>
    <t>DS011-U-0500-0580-0710</t>
  </si>
  <si>
    <t>109472</t>
  </si>
  <si>
    <t>DS011-U-0500-0600-0507</t>
  </si>
  <si>
    <t>103591</t>
  </si>
  <si>
    <t>DS011-U-0500-0600-0712</t>
  </si>
  <si>
    <t>117673</t>
  </si>
  <si>
    <t>DS011-U-0550-0660-0508</t>
  </si>
  <si>
    <t>110316</t>
  </si>
  <si>
    <t>DS011-U-0560-0660-0507</t>
  </si>
  <si>
    <t>117105</t>
  </si>
  <si>
    <t>DS011-U-0600-0680-0507</t>
  </si>
  <si>
    <t>111741</t>
  </si>
  <si>
    <t>DS011-U-0600-0700-0507</t>
  </si>
  <si>
    <t>108947</t>
  </si>
  <si>
    <t>DS011-U-0600-0700-0610</t>
  </si>
  <si>
    <t>6.0-10.0</t>
  </si>
  <si>
    <t>103592</t>
  </si>
  <si>
    <t>DS011-U-0600-0700-0712</t>
  </si>
  <si>
    <t>110441</t>
  </si>
  <si>
    <t>DS011-U-0630-0730-0507</t>
  </si>
  <si>
    <t>111633</t>
  </si>
  <si>
    <t>DS011-U-0630-0730-0610</t>
  </si>
  <si>
    <t>193415</t>
  </si>
  <si>
    <t>DS011-U-0650-0750-0507</t>
  </si>
  <si>
    <t>108948</t>
  </si>
  <si>
    <t>DS011-U-0650-0750-0610</t>
  </si>
  <si>
    <t>106345</t>
  </si>
  <si>
    <t>DS011-U-0650-0750-0712</t>
  </si>
  <si>
    <t>135200</t>
  </si>
  <si>
    <t>DS011-U-0680-0760-3.1/5</t>
  </si>
  <si>
    <t>3.1-5.0</t>
  </si>
  <si>
    <t>109525</t>
  </si>
  <si>
    <t>DS011-U-0700-0800-0507</t>
  </si>
  <si>
    <t>110317</t>
  </si>
  <si>
    <t>DS011-U-0750-0870-0712</t>
  </si>
  <si>
    <t>110174</t>
  </si>
  <si>
    <t>DS011-U-0800-0920-0712</t>
  </si>
  <si>
    <t>115629</t>
  </si>
  <si>
    <t>DS011-U-0840-0950-0508</t>
  </si>
  <si>
    <t>110347</t>
  </si>
  <si>
    <t>DS011-U-0850-0970-0712</t>
  </si>
  <si>
    <t>124925</t>
  </si>
  <si>
    <t>DS011-U-0900-1050-0712</t>
  </si>
  <si>
    <t>109994</t>
  </si>
  <si>
    <t>110348</t>
  </si>
  <si>
    <t>DS011-U-0950-1070-0712</t>
  </si>
  <si>
    <t>110349</t>
  </si>
  <si>
    <t>DS011-U-1000-1120-0712</t>
  </si>
  <si>
    <t>8.0-11.0</t>
  </si>
  <si>
    <t>110054</t>
  </si>
  <si>
    <t>DS011-U-1100-1220-0712</t>
  </si>
  <si>
    <t>115631</t>
  </si>
  <si>
    <t>DS011-U-1200-1320-0712</t>
  </si>
  <si>
    <t>112382</t>
  </si>
  <si>
    <t>DS011-U-1200-1350-1016</t>
  </si>
  <si>
    <t>112941</t>
  </si>
  <si>
    <t>DS011-U-1250-1370-0712</t>
  </si>
  <si>
    <t>116771</t>
  </si>
  <si>
    <t>DS011-U-1300-1420-0712</t>
  </si>
  <si>
    <t>129806</t>
  </si>
  <si>
    <t>DS011-U-1300-1430-0710</t>
  </si>
  <si>
    <t>110917</t>
  </si>
  <si>
    <t>DS011-U-1350-1470-0712</t>
  </si>
  <si>
    <t>113062</t>
  </si>
  <si>
    <t>DS011-U-1400-1520-0712</t>
  </si>
  <si>
    <t>136595</t>
  </si>
  <si>
    <t>DS011-U-1400-1530-0712</t>
  </si>
  <si>
    <t>129311</t>
  </si>
  <si>
    <t>DS011-U-1400-1550-1016</t>
  </si>
  <si>
    <t>113543</t>
  </si>
  <si>
    <t>DS011-U-1500-1620-0712</t>
  </si>
  <si>
    <t>178189</t>
  </si>
  <si>
    <t>DS011-U-1500-1650-1016</t>
  </si>
  <si>
    <t>112474</t>
  </si>
  <si>
    <t>DS011-U-1600-1750-1016</t>
  </si>
  <si>
    <t>115634</t>
  </si>
  <si>
    <t>DS011-U-1700-1820-0712</t>
  </si>
  <si>
    <t>112409</t>
  </si>
  <si>
    <t>DS011-U-1700-1850-1016</t>
  </si>
  <si>
    <t>118452</t>
  </si>
  <si>
    <t>DS011-U-2000-2200-7/14</t>
  </si>
  <si>
    <t>7.0-14.0</t>
  </si>
  <si>
    <t>5.0</t>
  </si>
  <si>
    <t>7.0</t>
  </si>
  <si>
    <t>6.15</t>
  </si>
  <si>
    <t>7.5</t>
  </si>
  <si>
    <t>35.0</t>
  </si>
  <si>
    <t>8.5</t>
  </si>
  <si>
    <t>6.5</t>
  </si>
  <si>
    <t>9.0</t>
  </si>
  <si>
    <t>106853</t>
  </si>
  <si>
    <t>DS033-N-0180-0280-0710</t>
  </si>
  <si>
    <t>033</t>
  </si>
  <si>
    <t>106878</t>
  </si>
  <si>
    <t>DS033-N-1100-1200-0710</t>
  </si>
  <si>
    <t>106882</t>
  </si>
  <si>
    <t>DS033-N-1400-1550-0912</t>
  </si>
  <si>
    <t>9.0-12.0</t>
  </si>
  <si>
    <t>106883</t>
  </si>
  <si>
    <t>DS033-N-1500-1650-0912</t>
  </si>
  <si>
    <t>106884</t>
  </si>
  <si>
    <t>DS033-N-1600-1750-0912</t>
  </si>
  <si>
    <t>106885</t>
  </si>
  <si>
    <t>DS033-N-1700-1850-1014</t>
  </si>
  <si>
    <t>10.0-14.0</t>
  </si>
  <si>
    <t>106886</t>
  </si>
  <si>
    <t>DS033-N-1800-1950-1014</t>
  </si>
  <si>
    <t>106887</t>
  </si>
  <si>
    <t>DS033-N-2000-2200-1216</t>
  </si>
  <si>
    <t>12.0-16.0</t>
  </si>
  <si>
    <t>106888</t>
  </si>
  <si>
    <t>DS033-N-2400-2600-1216</t>
  </si>
  <si>
    <t>115658</t>
  </si>
  <si>
    <t>DS033-U-0200-0280-0508</t>
  </si>
  <si>
    <t>118338</t>
  </si>
  <si>
    <t>DS033-U-0200-0300-0710</t>
  </si>
  <si>
    <t>106397</t>
  </si>
  <si>
    <t>DS033-U-0250-0350-0710</t>
  </si>
  <si>
    <t>133242</t>
  </si>
  <si>
    <t>DS033-U-0250-0370-0710</t>
  </si>
  <si>
    <t>187020</t>
  </si>
  <si>
    <t>112850</t>
  </si>
  <si>
    <t>DS033-U-0280-0380-0508</t>
  </si>
  <si>
    <t>117643</t>
  </si>
  <si>
    <t>DS033-U-0300-0400-0507</t>
  </si>
  <si>
    <t>184014</t>
  </si>
  <si>
    <t>DS033-U-0300-0400-0710</t>
  </si>
  <si>
    <t>166767</t>
  </si>
  <si>
    <t>DS033-U-0320-0420-0507</t>
  </si>
  <si>
    <t>120894</t>
  </si>
  <si>
    <t>DS033-U-0320-0420-0710</t>
  </si>
  <si>
    <t>114862</t>
  </si>
  <si>
    <t>DS033-U-0320-0450-0710</t>
  </si>
  <si>
    <t>202859</t>
  </si>
  <si>
    <t>DS033-U-0350-0450-0710</t>
  </si>
  <si>
    <t>115744</t>
  </si>
  <si>
    <t>DS033-U-0360-0450-0710</t>
  </si>
  <si>
    <t>113087</t>
  </si>
  <si>
    <t>DS033-U-0360-0460-0710</t>
  </si>
  <si>
    <t>115696</t>
  </si>
  <si>
    <t>DS033-U-0360-0480-0710</t>
  </si>
  <si>
    <t>106422</t>
  </si>
  <si>
    <t>DS033-U-0400-0500-0710</t>
  </si>
  <si>
    <t>200090</t>
  </si>
  <si>
    <t>DS033-U-0420-0520-0710</t>
  </si>
  <si>
    <t>103598</t>
  </si>
  <si>
    <t>DS033-U-0450-0550-0710</t>
  </si>
  <si>
    <t>106578</t>
  </si>
  <si>
    <t>DS033-U-0450-0580-0710</t>
  </si>
  <si>
    <t>106228</t>
  </si>
  <si>
    <t>DS033-U-0500-0600-0710</t>
  </si>
  <si>
    <t>109865</t>
  </si>
  <si>
    <t>DS033-U-0550-0650-0710</t>
  </si>
  <si>
    <t>112217</t>
  </si>
  <si>
    <t>DS033-U-0560-0660-0710</t>
  </si>
  <si>
    <t>110222</t>
  </si>
  <si>
    <t>DS033-U-0600-0700-0710</t>
  </si>
  <si>
    <t>106399</t>
  </si>
  <si>
    <t>DS033-U-0630-0730-0710</t>
  </si>
  <si>
    <t>188530</t>
  </si>
  <si>
    <t>DS033-U-0650-0750-0710</t>
  </si>
  <si>
    <t>110223</t>
  </si>
  <si>
    <t>DS033-U-0700-0800-0710</t>
  </si>
  <si>
    <t>129308</t>
  </si>
  <si>
    <t>DS033-U-0750-0850-0710</t>
  </si>
  <si>
    <t>110547</t>
  </si>
  <si>
    <t>DS033-U-0800-0900-0710</t>
  </si>
  <si>
    <t>109459</t>
  </si>
  <si>
    <t>DS033-U-0850-0950-0710</t>
  </si>
  <si>
    <t>106400</t>
  </si>
  <si>
    <t>DS033-U-0900-1000-0710</t>
  </si>
  <si>
    <t>113803</t>
  </si>
  <si>
    <t>DS033-U-0950-1050-0710</t>
  </si>
  <si>
    <t>112336</t>
  </si>
  <si>
    <t>DS033-U-1000-1100-0710</t>
  </si>
  <si>
    <t>109203</t>
  </si>
  <si>
    <t>DS033-U-1250-1400-0912</t>
  </si>
  <si>
    <t>178797</t>
  </si>
  <si>
    <t>DS033-U-1300-1450-0912</t>
  </si>
  <si>
    <t>188495</t>
  </si>
  <si>
    <t>DS033-U-1450-1600-0912</t>
  </si>
  <si>
    <t>193425</t>
  </si>
  <si>
    <t>DS044-U-0200-0300-0710</t>
  </si>
  <si>
    <t>044</t>
  </si>
  <si>
    <t>106891</t>
  </si>
  <si>
    <t>DS044-U-0250-0370-0609</t>
  </si>
  <si>
    <t>106892</t>
  </si>
  <si>
    <t>DS044-U-0280-0400-0609</t>
  </si>
  <si>
    <t>106893</t>
  </si>
  <si>
    <t>DS044-U-0300-0420-0609</t>
  </si>
  <si>
    <t>106894</t>
  </si>
  <si>
    <t>DS044-U-0320-0440-0710</t>
  </si>
  <si>
    <t>106895</t>
  </si>
  <si>
    <t>DS044-U-0350-0470-0710</t>
  </si>
  <si>
    <t>106896</t>
  </si>
  <si>
    <t>DS044-U-0360-0480-0710</t>
  </si>
  <si>
    <t>106659</t>
  </si>
  <si>
    <t>DS044-U-0400-0520-0710</t>
  </si>
  <si>
    <t>106898</t>
  </si>
  <si>
    <t>DS044-U-0450-0570-0710</t>
  </si>
  <si>
    <t>106383</t>
  </si>
  <si>
    <t>DS044-U-0500-0620-0710</t>
  </si>
  <si>
    <t>193427</t>
  </si>
  <si>
    <t>DS044-U-0500-0635-0811</t>
  </si>
  <si>
    <t>168463</t>
  </si>
  <si>
    <t>DS044-U-0500-0640-0811</t>
  </si>
  <si>
    <t>106899</t>
  </si>
  <si>
    <t>DS044-U-0550-0690-0811</t>
  </si>
  <si>
    <t>106900</t>
  </si>
  <si>
    <t>DS044-U-0560-0700-0811</t>
  </si>
  <si>
    <t>177744</t>
  </si>
  <si>
    <t>DS044-U-0600-0730-0610</t>
  </si>
  <si>
    <t>187115</t>
  </si>
  <si>
    <t>DS044-U-0700-0820-0710</t>
  </si>
  <si>
    <t>105965</t>
  </si>
  <si>
    <t>DS044-U-0700-0840-0811</t>
  </si>
  <si>
    <t>106382</t>
  </si>
  <si>
    <t>DS044-U-0750-0890-0811</t>
  </si>
  <si>
    <t>187098</t>
  </si>
  <si>
    <t>DS044-U-0800-0920-0710</t>
  </si>
  <si>
    <t>106384</t>
  </si>
  <si>
    <t>DS044-U-0800-0940-0811</t>
  </si>
  <si>
    <t>115893</t>
  </si>
  <si>
    <t>DS044-U-0900-1000-7/9.5</t>
  </si>
  <si>
    <t>7.0-9.5</t>
  </si>
  <si>
    <t>106421</t>
  </si>
  <si>
    <t>DS044-U-0900-1040-0811</t>
  </si>
  <si>
    <t>106904</t>
  </si>
  <si>
    <t>DS044-U-0950-1090-0811</t>
  </si>
  <si>
    <t>187586</t>
  </si>
  <si>
    <t>11.0</t>
  </si>
  <si>
    <t>106905</t>
  </si>
  <si>
    <t>DS044-U-1000-1140-0811</t>
  </si>
  <si>
    <t>106386</t>
  </si>
  <si>
    <t>DS044-U-1050-1210-0912</t>
  </si>
  <si>
    <t>106388</t>
  </si>
  <si>
    <t>DS044-U-1100-1260-0912</t>
  </si>
  <si>
    <t>106906</t>
  </si>
  <si>
    <t>DS044-U-1200-1360-0912</t>
  </si>
  <si>
    <t>106907</t>
  </si>
  <si>
    <t>DS044-U-1250-1410-0912</t>
  </si>
  <si>
    <t>106908</t>
  </si>
  <si>
    <t>DS044-U-1300-1460-0912</t>
  </si>
  <si>
    <t>106914</t>
  </si>
  <si>
    <t>DS044-U-1800-2000-1014</t>
  </si>
  <si>
    <t>12.0-17.0</t>
  </si>
  <si>
    <t>165613</t>
  </si>
  <si>
    <t>DS044-U-1900-2150-1217</t>
  </si>
  <si>
    <t>106916</t>
  </si>
  <si>
    <t>DS044-U-2000-2160-0912</t>
  </si>
  <si>
    <t>116725</t>
  </si>
  <si>
    <t>DS044-U-2000-2200-1014</t>
  </si>
  <si>
    <t>109129</t>
  </si>
  <si>
    <t>DS055-F-0120-0200-0608</t>
  </si>
  <si>
    <t>055</t>
  </si>
  <si>
    <t>109130</t>
  </si>
  <si>
    <t>DS055-F-0140-0220-0608</t>
  </si>
  <si>
    <t>108816</t>
  </si>
  <si>
    <t>DS055-F-0160-0240-0608</t>
  </si>
  <si>
    <t>108776</t>
  </si>
  <si>
    <t>DS055-F-0180-0260-0608</t>
  </si>
  <si>
    <t>109131</t>
  </si>
  <si>
    <t>DS055-F-0200-0280-0608</t>
  </si>
  <si>
    <t>108777</t>
  </si>
  <si>
    <t>DS055-F-0220-0300-0608</t>
  </si>
  <si>
    <t>109132</t>
  </si>
  <si>
    <t>DS055-F-0250-0330-0608</t>
  </si>
  <si>
    <t>108778</t>
  </si>
  <si>
    <t>DS055-F-0280-0360-0608</t>
  </si>
  <si>
    <t>109133</t>
  </si>
  <si>
    <t>DS055-F-0300-0380-0608</t>
  </si>
  <si>
    <t>109134</t>
  </si>
  <si>
    <t>DS055-F-0320-0400-0608</t>
  </si>
  <si>
    <t>109135</t>
  </si>
  <si>
    <t>DS055-F-0350-0430-0608</t>
  </si>
  <si>
    <t>108779</t>
  </si>
  <si>
    <t>DS055-F-0360-0440-0608</t>
  </si>
  <si>
    <t>109116</t>
  </si>
  <si>
    <t>DS055-F-0380-0460-0608</t>
  </si>
  <si>
    <t>109119</t>
  </si>
  <si>
    <t>DS055-F-0400-0480-0608</t>
  </si>
  <si>
    <t>108780</t>
  </si>
  <si>
    <t>DS055-F-0450-0530-0608</t>
  </si>
  <si>
    <t>109117</t>
  </si>
  <si>
    <t>DS055-F-0500-0580-0608</t>
  </si>
  <si>
    <t>109115</t>
  </si>
  <si>
    <t>DS055-F-0550-0630-0608</t>
  </si>
  <si>
    <t>108781</t>
  </si>
  <si>
    <t>DS055-F-0560-0640-0608</t>
  </si>
  <si>
    <t>111529</t>
  </si>
  <si>
    <t>DS055-F-0600-0680-0608</t>
  </si>
  <si>
    <t>108817</t>
  </si>
  <si>
    <t>DS055-F-0630-0710-0608</t>
  </si>
  <si>
    <t>106728</t>
  </si>
  <si>
    <t>DS055-F-0700-0780-0608</t>
  </si>
  <si>
    <t>109114</t>
  </si>
  <si>
    <t>DS055-F-0750-0830-0608</t>
  </si>
  <si>
    <t>109122</t>
  </si>
  <si>
    <t>DS055-F-0800-0880-0608</t>
  </si>
  <si>
    <t>109124</t>
  </si>
  <si>
    <t>DS055-F-0850-0930-0608</t>
  </si>
  <si>
    <t>178399</t>
  </si>
  <si>
    <t>DS055-F-0950-1030-0608</t>
  </si>
  <si>
    <t>109120</t>
  </si>
  <si>
    <t>DS055-F-1000-1080-0608</t>
  </si>
  <si>
    <t>109126</t>
  </si>
  <si>
    <t>DS055-F-1100-1220-0811</t>
  </si>
  <si>
    <t>109174</t>
  </si>
  <si>
    <t>DS055-F-1200-1320-0811</t>
  </si>
  <si>
    <t>109173</t>
  </si>
  <si>
    <t>DS055-F-1250-1370-0811</t>
  </si>
  <si>
    <t>109125</t>
  </si>
  <si>
    <t>DS055-F-1300-1420-0811</t>
  </si>
  <si>
    <t>109123</t>
  </si>
  <si>
    <t>DS055-F-1400-1520-0811</t>
  </si>
  <si>
    <t>112240</t>
  </si>
  <si>
    <t>DS055-F-1500-1620-0811</t>
  </si>
  <si>
    <t>108782</t>
  </si>
  <si>
    <t>DS055-F-1700-1820-0811</t>
  </si>
  <si>
    <t>109179</t>
  </si>
  <si>
    <t>DS055-F-2200-2350-09.5/12.5</t>
  </si>
  <si>
    <t>9.5-12.5</t>
  </si>
  <si>
    <t>191414</t>
  </si>
  <si>
    <t>DS055-F-2800-2950-9.5/13</t>
  </si>
  <si>
    <t>9.5-13.0</t>
  </si>
  <si>
    <t>109275</t>
  </si>
  <si>
    <t>DS055-N-0120-0180-0608</t>
  </si>
  <si>
    <t>106950</t>
  </si>
  <si>
    <t>DS055-N-0120-0200-0608</t>
  </si>
  <si>
    <t>106951</t>
  </si>
  <si>
    <t>DS055-N-0140-0220-0608</t>
  </si>
  <si>
    <t>106952</t>
  </si>
  <si>
    <t>DS055-N-0150-0230-0608</t>
  </si>
  <si>
    <t>106953</t>
  </si>
  <si>
    <t>DS055-N-0160-0240-0608</t>
  </si>
  <si>
    <t>106954</t>
  </si>
  <si>
    <t>DS055-N-0180-0260-0608</t>
  </si>
  <si>
    <t>106955</t>
  </si>
  <si>
    <t>DS055-N-0200-0280-0608</t>
  </si>
  <si>
    <t>106608</t>
  </si>
  <si>
    <t>DS055-N-0220-0300-0608</t>
  </si>
  <si>
    <t>106956</t>
  </si>
  <si>
    <t>DS055-N-0250-0330-0608</t>
  </si>
  <si>
    <t>106957</t>
  </si>
  <si>
    <t>DS055-N-0280-0360-0608</t>
  </si>
  <si>
    <t>106958</t>
  </si>
  <si>
    <t>DS055-N-0300-0380-0608</t>
  </si>
  <si>
    <t>106959</t>
  </si>
  <si>
    <t>DS055-N-0320-0400-0608</t>
  </si>
  <si>
    <t>106960</t>
  </si>
  <si>
    <t>DS055-N-0350-0430-0608</t>
  </si>
  <si>
    <t>106961</t>
  </si>
  <si>
    <t>DS055-N-0360-0440-0608</t>
  </si>
  <si>
    <t>106962</t>
  </si>
  <si>
    <t>DS055-N-0380-0460-0608</t>
  </si>
  <si>
    <t>106963</t>
  </si>
  <si>
    <t>DS055-N-0400-0480-0608</t>
  </si>
  <si>
    <t>106964</t>
  </si>
  <si>
    <t>DS055-N-0420-0500-0608</t>
  </si>
  <si>
    <t>106965</t>
  </si>
  <si>
    <t>DS055-N-0450-0530-0608</t>
  </si>
  <si>
    <t>106966</t>
  </si>
  <si>
    <t>DS055-N-0500-0580-0608</t>
  </si>
  <si>
    <t>106967</t>
  </si>
  <si>
    <t>DS055-N-0550-0630-0608</t>
  </si>
  <si>
    <t>106968</t>
  </si>
  <si>
    <t>DS055-N-0560-0640-0608</t>
  </si>
  <si>
    <t>106969</t>
  </si>
  <si>
    <t>DS055-N-0600-0680-0608</t>
  </si>
  <si>
    <t>106970</t>
  </si>
  <si>
    <t>DS055-N-0630-0710-0608</t>
  </si>
  <si>
    <t>109165</t>
  </si>
  <si>
    <t>DS055-N-0680-0760-0608</t>
  </si>
  <si>
    <t>106972</t>
  </si>
  <si>
    <t>DS055-N-0700-0780-0608</t>
  </si>
  <si>
    <t>106973</t>
  </si>
  <si>
    <t>DS055-N-0750-0830-0608</t>
  </si>
  <si>
    <t>106974</t>
  </si>
  <si>
    <t>DS055-N-0800-0880-0608</t>
  </si>
  <si>
    <t>106975</t>
  </si>
  <si>
    <t>DS055-N-0850-0930-0608</t>
  </si>
  <si>
    <t>112244</t>
  </si>
  <si>
    <t>DS055-N-0860-0940-0608</t>
  </si>
  <si>
    <t>106977</t>
  </si>
  <si>
    <t>DS055-N-0950-1030-0608</t>
  </si>
  <si>
    <t>106978</t>
  </si>
  <si>
    <t>DS055-N-1000-1080-0608</t>
  </si>
  <si>
    <t>106984</t>
  </si>
  <si>
    <t>DS055-N-1300-1420-0811</t>
  </si>
  <si>
    <t>106985</t>
  </si>
  <si>
    <t>DS055-N-1350-1470-0811</t>
  </si>
  <si>
    <t>106986</t>
  </si>
  <si>
    <t>DS055-N-1400-1520-0811</t>
  </si>
  <si>
    <t>106989</t>
  </si>
  <si>
    <t>DS055-N-1700-1820-0811</t>
  </si>
  <si>
    <t>106993</t>
  </si>
  <si>
    <t>DS055-N-2100-2250-9.5/13</t>
  </si>
  <si>
    <t>106994</t>
  </si>
  <si>
    <t>DS055-N-2200-2350-9.5/13</t>
  </si>
  <si>
    <t>110082</t>
  </si>
  <si>
    <t>DS055-N-2250-2400-9.5/13</t>
  </si>
  <si>
    <t>106995</t>
  </si>
  <si>
    <t>DS055-N-2300-2450-9.5/13</t>
  </si>
  <si>
    <t>106998</t>
  </si>
  <si>
    <t>DS055-N-2600-2750-9.5/13</t>
  </si>
  <si>
    <t>106999</t>
  </si>
  <si>
    <t>DS055-N-2700-2850-9.5/13</t>
  </si>
  <si>
    <t>107000</t>
  </si>
  <si>
    <t>DS055-N-2800-2950-9.5/13</t>
  </si>
  <si>
    <t>107001</t>
  </si>
  <si>
    <t>DS055-N-3000-3150-9.5/13</t>
  </si>
  <si>
    <t>106920</t>
  </si>
  <si>
    <t>DS055-U-0120-0200-0608</t>
  </si>
  <si>
    <t>106921</t>
  </si>
  <si>
    <t>DS055-U-0140-0220-0608</t>
  </si>
  <si>
    <t>106922</t>
  </si>
  <si>
    <t>DS055-U-0150-0230-0608</t>
  </si>
  <si>
    <t>106413</t>
  </si>
  <si>
    <t>DS055-U-0160-0240-0608</t>
  </si>
  <si>
    <t>106923</t>
  </si>
  <si>
    <t>DS055-U-0180-0260-0608</t>
  </si>
  <si>
    <t>106924</t>
  </si>
  <si>
    <t>DS055-U-0200-0280-0608</t>
  </si>
  <si>
    <t>106425</t>
  </si>
  <si>
    <t>DS055-U-0220-0300-0608</t>
  </si>
  <si>
    <t>106720</t>
  </si>
  <si>
    <t>DS055-U-0250-0330-0608</t>
  </si>
  <si>
    <t>106426</t>
  </si>
  <si>
    <t>DS055-U-0280-0360-0608</t>
  </si>
  <si>
    <t>106925</t>
  </si>
  <si>
    <t>DS055-U-0300-0380-0608</t>
  </si>
  <si>
    <t>106514</t>
  </si>
  <si>
    <t>DS055-U-0320-0400-0608</t>
  </si>
  <si>
    <t>106926</t>
  </si>
  <si>
    <t>DS055-U-0350-0430-0608</t>
  </si>
  <si>
    <t>106927</t>
  </si>
  <si>
    <t>DS055-U-0360-0440-0608</t>
  </si>
  <si>
    <t>106329</t>
  </si>
  <si>
    <t>DS055-U-0380-0460-0608</t>
  </si>
  <si>
    <t>106928</t>
  </si>
  <si>
    <t>DS055-U-0400-0480-0608</t>
  </si>
  <si>
    <t>106929</t>
  </si>
  <si>
    <t>DS055-U-0420-0500-0608</t>
  </si>
  <si>
    <t>106328</t>
  </si>
  <si>
    <t>DS055-U-0450-0530-0608</t>
  </si>
  <si>
    <t>106327</t>
  </si>
  <si>
    <t>DS055-U-0500-0580-0608</t>
  </si>
  <si>
    <t>106930</t>
  </si>
  <si>
    <t>DS055-U-0550-0630-0608</t>
  </si>
  <si>
    <t>106931</t>
  </si>
  <si>
    <t>DS055-U-0560-0640-0608</t>
  </si>
  <si>
    <t>106932</t>
  </si>
  <si>
    <t>DS055-U-0600-0680-0608</t>
  </si>
  <si>
    <t>106721</t>
  </si>
  <si>
    <t>DS055-U-0630-0710-0608</t>
  </si>
  <si>
    <t>106353</t>
  </si>
  <si>
    <t>DS055-U-0680-0760-0608</t>
  </si>
  <si>
    <t>106330</t>
  </si>
  <si>
    <t>DS055-U-0700-0780-0608</t>
  </si>
  <si>
    <t>106411</t>
  </si>
  <si>
    <t>DS055-U-0750-0830-0608</t>
  </si>
  <si>
    <t>106011</t>
  </si>
  <si>
    <t>DS055-U-0800-0880-0608</t>
  </si>
  <si>
    <t>106934</t>
  </si>
  <si>
    <t>DS055-U-0850-0930-0608</t>
  </si>
  <si>
    <t>106354</t>
  </si>
  <si>
    <t>DS055-U-0950-1030-0608</t>
  </si>
  <si>
    <t>106935</t>
  </si>
  <si>
    <t>DS055-U-1000-1080-0608</t>
  </si>
  <si>
    <t>106939</t>
  </si>
  <si>
    <t>DS055-U-1200-1320-0811</t>
  </si>
  <si>
    <t>106940</t>
  </si>
  <si>
    <t>DS055-U-1250-1370-0811</t>
  </si>
  <si>
    <t>106409</t>
  </si>
  <si>
    <t>DS055-U-1300-1420-0811</t>
  </si>
  <si>
    <t>106941</t>
  </si>
  <si>
    <t>DS055-U-1350-1470-0811</t>
  </si>
  <si>
    <t>106942</t>
  </si>
  <si>
    <t>DS055-U-1400-1520-0811</t>
  </si>
  <si>
    <t>106943</t>
  </si>
  <si>
    <t>DS055-U-1500-1620-0811</t>
  </si>
  <si>
    <t>106945</t>
  </si>
  <si>
    <t>DS055-U-1700-1820-0811</t>
  </si>
  <si>
    <t>108465</t>
  </si>
  <si>
    <t>DS055-U-2100-2250-95125</t>
  </si>
  <si>
    <t>95125.0</t>
  </si>
  <si>
    <t>108744</t>
  </si>
  <si>
    <t>DS066-F-0120-0188-050</t>
  </si>
  <si>
    <t>066</t>
  </si>
  <si>
    <t>108745</t>
  </si>
  <si>
    <t>DS066-F-0140-0208-050</t>
  </si>
  <si>
    <t>108746</t>
  </si>
  <si>
    <t>DS066-F-0150-0218-050</t>
  </si>
  <si>
    <t>108747</t>
  </si>
  <si>
    <t>DS066-F-0160-0228-050</t>
  </si>
  <si>
    <t>108748</t>
  </si>
  <si>
    <t>DS066-F-0180-0248-050</t>
  </si>
  <si>
    <t>108749</t>
  </si>
  <si>
    <t>DS066-F-0200-0268-050</t>
  </si>
  <si>
    <t>108750</t>
  </si>
  <si>
    <t>DS066-F-0220-0288-050</t>
  </si>
  <si>
    <t>108751</t>
  </si>
  <si>
    <t>DS066-F-0250-0318-050</t>
  </si>
  <si>
    <t>108752</t>
  </si>
  <si>
    <t>DS066-F-0280-0348-050</t>
  </si>
  <si>
    <t>108753</t>
  </si>
  <si>
    <t>DS066-F-0300-0368-050</t>
  </si>
  <si>
    <t>108754</t>
  </si>
  <si>
    <t>DS066-F-0320-0388-050</t>
  </si>
  <si>
    <t>108755</t>
  </si>
  <si>
    <t>DS066-F-0350-0418-050</t>
  </si>
  <si>
    <t>108756</t>
  </si>
  <si>
    <t>DS066-F-0360-0428-050</t>
  </si>
  <si>
    <t>108757</t>
  </si>
  <si>
    <t>DS066-F-0380-0448-050</t>
  </si>
  <si>
    <t>108758</t>
  </si>
  <si>
    <t>DS066-F-0400-0468-050</t>
  </si>
  <si>
    <t>115446</t>
  </si>
  <si>
    <t>DS066-F-0400-0488-063</t>
  </si>
  <si>
    <t>6.3</t>
  </si>
  <si>
    <t>108759</t>
  </si>
  <si>
    <t>DS066-F-0450-0518-050</t>
  </si>
  <si>
    <t>166387</t>
  </si>
  <si>
    <t>DS066-F-0450-0538-063</t>
  </si>
  <si>
    <t>108760</t>
  </si>
  <si>
    <t>DS066-F-0500-0568-050</t>
  </si>
  <si>
    <t>108763</t>
  </si>
  <si>
    <t>DS066-F-0560-0628-050</t>
  </si>
  <si>
    <t>166385</t>
  </si>
  <si>
    <t>DS066-F-0560-0648-063</t>
  </si>
  <si>
    <t>108764</t>
  </si>
  <si>
    <t>DS066-F-0600-0668-050</t>
  </si>
  <si>
    <t>211475</t>
  </si>
  <si>
    <t>DS066-F-0600-0688-060</t>
  </si>
  <si>
    <t>108765</t>
  </si>
  <si>
    <t>DS066-F-0630-0698-050</t>
  </si>
  <si>
    <t>113772</t>
  </si>
  <si>
    <t>DS066-F-0630-0718-060</t>
  </si>
  <si>
    <t>108766</t>
  </si>
  <si>
    <t>DS066-F-0650-0738-060</t>
  </si>
  <si>
    <t>108767</t>
  </si>
  <si>
    <t>DS066-F-0700-0788-060</t>
  </si>
  <si>
    <t>166386</t>
  </si>
  <si>
    <t>DS066-F-0700-0822-081</t>
  </si>
  <si>
    <t>8.1</t>
  </si>
  <si>
    <t>108768</t>
  </si>
  <si>
    <t>DS066-F-0750-0838-060</t>
  </si>
  <si>
    <t>108769</t>
  </si>
  <si>
    <t>DS066-F-0800-0888-060</t>
  </si>
  <si>
    <t>108770</t>
  </si>
  <si>
    <t>DS066-F-0850-0938-060</t>
  </si>
  <si>
    <t>108771</t>
  </si>
  <si>
    <t>DS066-F-0900-0988-060</t>
  </si>
  <si>
    <t>123934</t>
  </si>
  <si>
    <t>DS066-F-0900-1020-080</t>
  </si>
  <si>
    <t>108774</t>
  </si>
  <si>
    <t>DS066-F-0950-1038-060</t>
  </si>
  <si>
    <t>108775</t>
  </si>
  <si>
    <t>DS066-F-1000-1088-060</t>
  </si>
  <si>
    <t>123469</t>
  </si>
  <si>
    <t>DS066-F-1000-1120-080</t>
  </si>
  <si>
    <t>108785</t>
  </si>
  <si>
    <t>DS066-F-1050-1138-060</t>
  </si>
  <si>
    <t>108786</t>
  </si>
  <si>
    <t>DS066-F-1100-1188-060</t>
  </si>
  <si>
    <t>185799</t>
  </si>
  <si>
    <t>DS066-F-1100-1222-081</t>
  </si>
  <si>
    <t>127647</t>
  </si>
  <si>
    <t>DS066-F-1300-1422-080</t>
  </si>
  <si>
    <t>181242</t>
  </si>
  <si>
    <t>DS066-F-1400-1568-095</t>
  </si>
  <si>
    <t>179054</t>
  </si>
  <si>
    <t>DS066-F-1800-1960-095</t>
  </si>
  <si>
    <t>179053</t>
  </si>
  <si>
    <t>DS066-F-2300-2460-095</t>
  </si>
  <si>
    <t>107007</t>
  </si>
  <si>
    <t>DS066-N-0120-0188-050</t>
  </si>
  <si>
    <t>107008</t>
  </si>
  <si>
    <t>DS066-N-0140-0208-050</t>
  </si>
  <si>
    <t>107009</t>
  </si>
  <si>
    <t>DS066-N-0150-0218-050</t>
  </si>
  <si>
    <t>107010</t>
  </si>
  <si>
    <t>DS066-N-0160-0228-050</t>
  </si>
  <si>
    <t>107011</t>
  </si>
  <si>
    <t>DS066-N-0180-0248-050</t>
  </si>
  <si>
    <t>107012</t>
  </si>
  <si>
    <t>DS066-N-0200-0268-050</t>
  </si>
  <si>
    <t>107013</t>
  </si>
  <si>
    <t>DS066-N-0220-0288-050</t>
  </si>
  <si>
    <t>107014</t>
  </si>
  <si>
    <t>DS066-N-0250-0318-050</t>
  </si>
  <si>
    <t>107015</t>
  </si>
  <si>
    <t>DS066-N-0280-0348-050</t>
  </si>
  <si>
    <t>107016</t>
  </si>
  <si>
    <t>DS066-N-0300-0368-050</t>
  </si>
  <si>
    <t>107017</t>
  </si>
  <si>
    <t>DS066-N-0320-0388-050</t>
  </si>
  <si>
    <t>107018</t>
  </si>
  <si>
    <t>DS066-N-0350-0418-050</t>
  </si>
  <si>
    <t>107019</t>
  </si>
  <si>
    <t>DS066-N-0360-0428-050</t>
  </si>
  <si>
    <t>107020</t>
  </si>
  <si>
    <t>DS066-N-0380-0448-050</t>
  </si>
  <si>
    <t>107021</t>
  </si>
  <si>
    <t>DS066-N-0400-0468-050</t>
  </si>
  <si>
    <t>136453</t>
  </si>
  <si>
    <t>DS066-N-0400-0488-063</t>
  </si>
  <si>
    <t>107022</t>
  </si>
  <si>
    <t>DS066-N-0450-0518-050</t>
  </si>
  <si>
    <t>107023</t>
  </si>
  <si>
    <t>DS066-N-0500-0568-050</t>
  </si>
  <si>
    <t>189579</t>
  </si>
  <si>
    <t>DS066-N-0500-0588-063</t>
  </si>
  <si>
    <t>107025</t>
  </si>
  <si>
    <t>DS066-N-0560-0628-050</t>
  </si>
  <si>
    <t>194942</t>
  </si>
  <si>
    <t>DS066-N-0560-0648-063</t>
  </si>
  <si>
    <t>107026</t>
  </si>
  <si>
    <t>DS066-N-0600-0668-050</t>
  </si>
  <si>
    <t>113881</t>
  </si>
  <si>
    <t>DS066-N-0600-0688-060</t>
  </si>
  <si>
    <t>107027</t>
  </si>
  <si>
    <t>DS066-N-0630-0698-050</t>
  </si>
  <si>
    <t>110725</t>
  </si>
  <si>
    <t>DS066-N-0630-0718-060</t>
  </si>
  <si>
    <t>107028</t>
  </si>
  <si>
    <t>DS066-N-0650-0738-060</t>
  </si>
  <si>
    <t>107029</t>
  </si>
  <si>
    <t>DS066-N-0700-0788-060</t>
  </si>
  <si>
    <t>183282</t>
  </si>
  <si>
    <t>DS066-N-0700-0822-081</t>
  </si>
  <si>
    <t>107030</t>
  </si>
  <si>
    <t>DS066-N-0750-0838-060</t>
  </si>
  <si>
    <t>125366</t>
  </si>
  <si>
    <t>DS066-N-0750-0872-081</t>
  </si>
  <si>
    <t>107031</t>
  </si>
  <si>
    <t>DS066-N-0800-0888-060</t>
  </si>
  <si>
    <t>125367</t>
  </si>
  <si>
    <t>DS066-N-0800-0922-081</t>
  </si>
  <si>
    <t>107032</t>
  </si>
  <si>
    <t>DS066-N-0850-0938-060</t>
  </si>
  <si>
    <t>167044</t>
  </si>
  <si>
    <t>DS066-N-0850-0970-081</t>
  </si>
  <si>
    <t>107033</t>
  </si>
  <si>
    <t>DS066-N-0900-0988-060</t>
  </si>
  <si>
    <t>116751</t>
  </si>
  <si>
    <t>DS066-N-0900-1022-081</t>
  </si>
  <si>
    <t>107034</t>
  </si>
  <si>
    <t>DS066-N-0950-1038-060</t>
  </si>
  <si>
    <t>116752</t>
  </si>
  <si>
    <t>DS066-N-0950-1072-081</t>
  </si>
  <si>
    <t>107035</t>
  </si>
  <si>
    <t>DS066-N-1000-1088-060</t>
  </si>
  <si>
    <t>110600</t>
  </si>
  <si>
    <t>DS066-N-1000-1122-081</t>
  </si>
  <si>
    <t>107036</t>
  </si>
  <si>
    <t>DS066-N-1050-1138-060</t>
  </si>
  <si>
    <t>107037</t>
  </si>
  <si>
    <t>DS066-N-1100-1188-060</t>
  </si>
  <si>
    <t>124332</t>
  </si>
  <si>
    <t>DS066-N-1100-1222-081</t>
  </si>
  <si>
    <t>121576</t>
  </si>
  <si>
    <t>DS066-N-1400-1560-095</t>
  </si>
  <si>
    <t>126535</t>
  </si>
  <si>
    <t>DS066-N-2000-2160-095</t>
  </si>
  <si>
    <t>077</t>
  </si>
  <si>
    <t>107065</t>
  </si>
  <si>
    <t>DS077-U-0120-0200-0407</t>
  </si>
  <si>
    <t>107066</t>
  </si>
  <si>
    <t>DS077-U-0140-0220-0407</t>
  </si>
  <si>
    <t>107067</t>
  </si>
  <si>
    <t>DS077-U-0150-0230-0407</t>
  </si>
  <si>
    <t>107068</t>
  </si>
  <si>
    <t>DS077-U-0160-0240-0407</t>
  </si>
  <si>
    <t>107069</t>
  </si>
  <si>
    <t>DS077-U-0180-0260-0407</t>
  </si>
  <si>
    <t>107070</t>
  </si>
  <si>
    <t>DS077-U-0200-0280-0407</t>
  </si>
  <si>
    <t>106430</t>
  </si>
  <si>
    <t>DS077-U-0220-0300-0407</t>
  </si>
  <si>
    <t>107071</t>
  </si>
  <si>
    <t>DS077-U-0250-0330-0407</t>
  </si>
  <si>
    <t>107072</t>
  </si>
  <si>
    <t>DS077-U-0280-0360-0407</t>
  </si>
  <si>
    <t>106427</t>
  </si>
  <si>
    <t>DS077-U-0300-0380-0407</t>
  </si>
  <si>
    <t>107073</t>
  </si>
  <si>
    <t>DS077-U-0320-0400-0407</t>
  </si>
  <si>
    <t>107074</t>
  </si>
  <si>
    <t>DS077-U-0330-0410-0407</t>
  </si>
  <si>
    <t>106428</t>
  </si>
  <si>
    <t>DS077-U-0350-0430-0407</t>
  </si>
  <si>
    <t>107075</t>
  </si>
  <si>
    <t>DS077-U-0360-0440-0407</t>
  </si>
  <si>
    <t>107076</t>
  </si>
  <si>
    <t>DS077-U-0380-0460-0407</t>
  </si>
  <si>
    <t>107077</t>
  </si>
  <si>
    <t>DS077-U-0400-0480-0407</t>
  </si>
  <si>
    <t>106389</t>
  </si>
  <si>
    <t>DS077-U-0420-0500-0407</t>
  </si>
  <si>
    <t>107078</t>
  </si>
  <si>
    <t>DS077-U-0450-0530-0407</t>
  </si>
  <si>
    <t>107080</t>
  </si>
  <si>
    <t>DS077-U-0500-0580-0407</t>
  </si>
  <si>
    <t>107081</t>
  </si>
  <si>
    <t>DS077-U-0550-0630-0407</t>
  </si>
  <si>
    <t>106441</t>
  </si>
  <si>
    <t>DS077-U-0560-0640-0407</t>
  </si>
  <si>
    <t>106078</t>
  </si>
  <si>
    <t>DS077-U-0600-0680-0407</t>
  </si>
  <si>
    <t>107082</t>
  </si>
  <si>
    <t>DS077-U-0620-0700-0407</t>
  </si>
  <si>
    <t>106080</t>
  </si>
  <si>
    <t>DS077-U-0630-0710-0407</t>
  </si>
  <si>
    <t>107084</t>
  </si>
  <si>
    <t>DS077-U-0700-0780-0407</t>
  </si>
  <si>
    <t>107086</t>
  </si>
  <si>
    <t>DS077-U-0750-0830-0407</t>
  </si>
  <si>
    <t>107087</t>
  </si>
  <si>
    <t>DS077-U-0800-0880-0407</t>
  </si>
  <si>
    <t>106390</t>
  </si>
  <si>
    <t>DS077-U-0850-0930-0407</t>
  </si>
  <si>
    <t>118432</t>
  </si>
  <si>
    <t>DS077-U-0900-1022-5.5/7/10</t>
  </si>
  <si>
    <t>5.5/7/10</t>
  </si>
  <si>
    <t>107090</t>
  </si>
  <si>
    <t>DS077-U-0950-1030-0407</t>
  </si>
  <si>
    <t>106429</t>
  </si>
  <si>
    <t>DS077-U-1000-1080-0407</t>
  </si>
  <si>
    <t>5.5-10.0</t>
  </si>
  <si>
    <t>122571</t>
  </si>
  <si>
    <t>DS077-U-1100-1220-5.5/10</t>
  </si>
  <si>
    <t>122591</t>
  </si>
  <si>
    <t>DS077-U-1200-1320-5.5/10</t>
  </si>
  <si>
    <t>107095</t>
  </si>
  <si>
    <t>DS077-U-1250-1370-5.5/10</t>
  </si>
  <si>
    <t>107096</t>
  </si>
  <si>
    <t>DS077-U-1300-1420-5.5/10</t>
  </si>
  <si>
    <t>107097</t>
  </si>
  <si>
    <t>DS077-U-1350-1470-5.5/10</t>
  </si>
  <si>
    <t>107098</t>
  </si>
  <si>
    <t>DS077-U-1400-1520-5.5/10</t>
  </si>
  <si>
    <t>107099</t>
  </si>
  <si>
    <t>DS077-U-1500-1620-5.5/10</t>
  </si>
  <si>
    <t>107101</t>
  </si>
  <si>
    <t>DS077-U-1700-1820-5.5/10</t>
  </si>
  <si>
    <t>166372</t>
  </si>
  <si>
    <t>088</t>
  </si>
  <si>
    <t>190905</t>
  </si>
  <si>
    <t>130976</t>
  </si>
  <si>
    <t>177748</t>
  </si>
  <si>
    <t>180172</t>
  </si>
  <si>
    <t>166368</t>
  </si>
  <si>
    <t>197250</t>
  </si>
  <si>
    <t>177797</t>
  </si>
  <si>
    <t>157646</t>
  </si>
  <si>
    <t>114057</t>
  </si>
  <si>
    <t>177837</t>
  </si>
  <si>
    <t>166374</t>
  </si>
  <si>
    <t>177798</t>
  </si>
  <si>
    <t>136318</t>
  </si>
  <si>
    <t>166370</t>
  </si>
  <si>
    <t>136313</t>
  </si>
  <si>
    <t>116633</t>
  </si>
  <si>
    <t>123070</t>
  </si>
  <si>
    <t>130975</t>
  </si>
  <si>
    <t>10.0</t>
  </si>
  <si>
    <t>117828</t>
  </si>
  <si>
    <t>117134</t>
  </si>
  <si>
    <t>4.5</t>
  </si>
  <si>
    <t>167075</t>
  </si>
  <si>
    <t>117136</t>
  </si>
  <si>
    <t>3.2</t>
  </si>
  <si>
    <t>181985</t>
  </si>
  <si>
    <t>168551</t>
  </si>
  <si>
    <t>179855</t>
  </si>
  <si>
    <t>168552</t>
  </si>
  <si>
    <t>193080</t>
  </si>
  <si>
    <t>O-Ring (NBR)</t>
  </si>
  <si>
    <t>7N</t>
  </si>
  <si>
    <t>CS=1.9mm</t>
  </si>
  <si>
    <t>109076</t>
  </si>
  <si>
    <t>CS=1.78mm</t>
  </si>
  <si>
    <t>184823</t>
  </si>
  <si>
    <t>181840</t>
  </si>
  <si>
    <t>CS=1.0mm</t>
  </si>
  <si>
    <t>213492</t>
  </si>
  <si>
    <t>201976</t>
  </si>
  <si>
    <t>CS=1.5mm</t>
  </si>
  <si>
    <t>168229</t>
  </si>
  <si>
    <t>CS=2.0mm</t>
  </si>
  <si>
    <t>109077</t>
  </si>
  <si>
    <t>193113</t>
  </si>
  <si>
    <t>168228</t>
  </si>
  <si>
    <t>107780</t>
  </si>
  <si>
    <t>CS=2.62mm</t>
  </si>
  <si>
    <t>107778</t>
  </si>
  <si>
    <t>213491</t>
  </si>
  <si>
    <t>110407</t>
  </si>
  <si>
    <t>209233</t>
  </si>
  <si>
    <t>213493</t>
  </si>
  <si>
    <t>168230</t>
  </si>
  <si>
    <t>181838</t>
  </si>
  <si>
    <t>CS=2.5mm</t>
  </si>
  <si>
    <t>107781</t>
  </si>
  <si>
    <t>120529</t>
  </si>
  <si>
    <t>213494</t>
  </si>
  <si>
    <t>187595</t>
  </si>
  <si>
    <t>CS=2.4mm</t>
  </si>
  <si>
    <t>107782</t>
  </si>
  <si>
    <t>109079</t>
  </si>
  <si>
    <t>193082</t>
  </si>
  <si>
    <t>178927</t>
  </si>
  <si>
    <t>114026</t>
  </si>
  <si>
    <t>107884</t>
  </si>
  <si>
    <t>209234</t>
  </si>
  <si>
    <t>175241</t>
  </si>
  <si>
    <t>CS=3.0mm</t>
  </si>
  <si>
    <t>213496</t>
  </si>
  <si>
    <t>107784</t>
  </si>
  <si>
    <t>205439</t>
  </si>
  <si>
    <t>117497</t>
  </si>
  <si>
    <t>166705</t>
  </si>
  <si>
    <t>109081</t>
  </si>
  <si>
    <t>CS=3.53mm</t>
  </si>
  <si>
    <t>109082</t>
  </si>
  <si>
    <t>109083</t>
  </si>
  <si>
    <t>213497</t>
  </si>
  <si>
    <t>211552</t>
  </si>
  <si>
    <t>CS=2.21mm</t>
  </si>
  <si>
    <t>181841</t>
  </si>
  <si>
    <t>122766</t>
  </si>
  <si>
    <t>107788</t>
  </si>
  <si>
    <t>107785</t>
  </si>
  <si>
    <t>109084</t>
  </si>
  <si>
    <t>213498</t>
  </si>
  <si>
    <t>117534</t>
  </si>
  <si>
    <t>187064</t>
  </si>
  <si>
    <t>116214</t>
  </si>
  <si>
    <t>108651</t>
  </si>
  <si>
    <t>107867</t>
  </si>
  <si>
    <t>215264</t>
  </si>
  <si>
    <t>107824</t>
  </si>
  <si>
    <t>107787</t>
  </si>
  <si>
    <t>109085</t>
  </si>
  <si>
    <t>106660</t>
  </si>
  <si>
    <t>107789</t>
  </si>
  <si>
    <t>213499</t>
  </si>
  <si>
    <t>109087</t>
  </si>
  <si>
    <t>175505</t>
  </si>
  <si>
    <t>107827</t>
  </si>
  <si>
    <t>107790</t>
  </si>
  <si>
    <t>193969</t>
  </si>
  <si>
    <t>211940</t>
  </si>
  <si>
    <t>180593</t>
  </si>
  <si>
    <t>CS=3.5mm</t>
  </si>
  <si>
    <t>107792</t>
  </si>
  <si>
    <t>110448</t>
  </si>
  <si>
    <t>110446</t>
  </si>
  <si>
    <t>109092</t>
  </si>
  <si>
    <t>184097</t>
  </si>
  <si>
    <t>199409</t>
  </si>
  <si>
    <t>107793</t>
  </si>
  <si>
    <t>107829</t>
  </si>
  <si>
    <t>109927</t>
  </si>
  <si>
    <t>108450</t>
  </si>
  <si>
    <t>109096</t>
  </si>
  <si>
    <t>135399</t>
  </si>
  <si>
    <t>109098</t>
  </si>
  <si>
    <t>CS=5.33mm</t>
  </si>
  <si>
    <t>107935</t>
  </si>
  <si>
    <t>107873</t>
  </si>
  <si>
    <t>109099</t>
  </si>
  <si>
    <t>189316</t>
  </si>
  <si>
    <t>203760</t>
  </si>
  <si>
    <t>109100</t>
  </si>
  <si>
    <t>111882</t>
  </si>
  <si>
    <t>109101</t>
  </si>
  <si>
    <t>135388</t>
  </si>
  <si>
    <t>113978</t>
  </si>
  <si>
    <t>107937</t>
  </si>
  <si>
    <t>110742</t>
  </si>
  <si>
    <t>111490</t>
  </si>
  <si>
    <t>201005</t>
  </si>
  <si>
    <t>CS=4.0mm</t>
  </si>
  <si>
    <t>189206</t>
  </si>
  <si>
    <t>113110</t>
  </si>
  <si>
    <t>110880</t>
  </si>
  <si>
    <t>114070</t>
  </si>
  <si>
    <t>CS=3.1mm</t>
  </si>
  <si>
    <t>107108</t>
  </si>
  <si>
    <t>109102</t>
  </si>
  <si>
    <t>135404</t>
  </si>
  <si>
    <t>114054</t>
  </si>
  <si>
    <t>114465</t>
  </si>
  <si>
    <t>107938</t>
  </si>
  <si>
    <t>107936</t>
  </si>
  <si>
    <t>109103</t>
  </si>
  <si>
    <t>198787</t>
  </si>
  <si>
    <t>107107</t>
  </si>
  <si>
    <t>107872</t>
  </si>
  <si>
    <t>109104</t>
  </si>
  <si>
    <t>109105</t>
  </si>
  <si>
    <t>115568</t>
  </si>
  <si>
    <t>109106</t>
  </si>
  <si>
    <t>203406</t>
  </si>
  <si>
    <t>107112</t>
  </si>
  <si>
    <t>111439</t>
  </si>
  <si>
    <t>109108</t>
  </si>
  <si>
    <t>108773</t>
  </si>
  <si>
    <t>137202</t>
  </si>
  <si>
    <t>186786</t>
  </si>
  <si>
    <t>109109</t>
  </si>
  <si>
    <t>CS=5.0mm</t>
  </si>
  <si>
    <t>109205</t>
  </si>
  <si>
    <t>109206</t>
  </si>
  <si>
    <t>180591</t>
  </si>
  <si>
    <t>109207</t>
  </si>
  <si>
    <t>118500</t>
  </si>
  <si>
    <t>103601</t>
  </si>
  <si>
    <t>109210</t>
  </si>
  <si>
    <t>166508</t>
  </si>
  <si>
    <t>109320</t>
  </si>
  <si>
    <t>183346</t>
  </si>
  <si>
    <t>109215</t>
  </si>
  <si>
    <t>113684</t>
  </si>
  <si>
    <t>198691</t>
  </si>
  <si>
    <t>180913</t>
  </si>
  <si>
    <t>107110</t>
  </si>
  <si>
    <t>107943</t>
  </si>
  <si>
    <t>115800</t>
  </si>
  <si>
    <t>109218</t>
  </si>
  <si>
    <t>118510</t>
  </si>
  <si>
    <t>107336</t>
  </si>
  <si>
    <t>117249</t>
  </si>
  <si>
    <t>188374</t>
  </si>
  <si>
    <t>107335</t>
  </si>
  <si>
    <t>107109</t>
  </si>
  <si>
    <t>106753</t>
  </si>
  <si>
    <t>109219</t>
  </si>
  <si>
    <t>112180</t>
  </si>
  <si>
    <t>109220</t>
  </si>
  <si>
    <t>107816</t>
  </si>
  <si>
    <t>118921</t>
  </si>
  <si>
    <t>109221</t>
  </si>
  <si>
    <t>166822</t>
  </si>
  <si>
    <t>168476</t>
  </si>
  <si>
    <t>109222</t>
  </si>
  <si>
    <t>199034</t>
  </si>
  <si>
    <t>108652</t>
  </si>
  <si>
    <t>107944</t>
  </si>
  <si>
    <t>109224</t>
  </si>
  <si>
    <t>199334</t>
  </si>
  <si>
    <t>182994</t>
  </si>
  <si>
    <t>109226</t>
  </si>
  <si>
    <t>168481</t>
  </si>
  <si>
    <t>107866</t>
  </si>
  <si>
    <t>108653</t>
  </si>
  <si>
    <t>111715</t>
  </si>
  <si>
    <t>109229</t>
  </si>
  <si>
    <t>107819</t>
  </si>
  <si>
    <t>103603</t>
  </si>
  <si>
    <t>115359</t>
  </si>
  <si>
    <t>194214</t>
  </si>
  <si>
    <t>124541</t>
  </si>
  <si>
    <t>CS=5.7mm</t>
  </si>
  <si>
    <t>118371</t>
  </si>
  <si>
    <t>110628</t>
  </si>
  <si>
    <t>210682</t>
  </si>
  <si>
    <t>106602</t>
  </si>
  <si>
    <t>107334</t>
  </si>
  <si>
    <t>107871</t>
  </si>
  <si>
    <t>157597</t>
  </si>
  <si>
    <t>107945</t>
  </si>
  <si>
    <t>103604</t>
  </si>
  <si>
    <t>168486</t>
  </si>
  <si>
    <t>136579</t>
  </si>
  <si>
    <t>136578</t>
  </si>
  <si>
    <t>135889</t>
  </si>
  <si>
    <t>116953</t>
  </si>
  <si>
    <t>107947</t>
  </si>
  <si>
    <t>107817</t>
  </si>
  <si>
    <t>137087</t>
  </si>
  <si>
    <t>109362</t>
  </si>
  <si>
    <t>114069</t>
  </si>
  <si>
    <t>106458</t>
  </si>
  <si>
    <t>109230</t>
  </si>
  <si>
    <t>180596</t>
  </si>
  <si>
    <t>107949</t>
  </si>
  <si>
    <t>107946</t>
  </si>
  <si>
    <t>199683</t>
  </si>
  <si>
    <t>201016</t>
  </si>
  <si>
    <t>180586</t>
  </si>
  <si>
    <t>157896</t>
  </si>
  <si>
    <t>106457</t>
  </si>
  <si>
    <t>175422</t>
  </si>
  <si>
    <t>166055</t>
  </si>
  <si>
    <t>179145</t>
  </si>
  <si>
    <t>166823</t>
  </si>
  <si>
    <t>106493</t>
  </si>
  <si>
    <t>116680</t>
  </si>
  <si>
    <t>107815</t>
  </si>
  <si>
    <t>107950</t>
  </si>
  <si>
    <t>109236</t>
  </si>
  <si>
    <t>120528</t>
  </si>
  <si>
    <t>106706</t>
  </si>
  <si>
    <t>107111</t>
  </si>
  <si>
    <t>109974</t>
  </si>
  <si>
    <t>179149</t>
  </si>
  <si>
    <t>110402</t>
  </si>
  <si>
    <t>106579</t>
  </si>
  <si>
    <t>109238</t>
  </si>
  <si>
    <t>124725</t>
  </si>
  <si>
    <t>112664</t>
  </si>
  <si>
    <t>106600</t>
  </si>
  <si>
    <t>109350</t>
  </si>
  <si>
    <t>132829</t>
  </si>
  <si>
    <t>156601</t>
  </si>
  <si>
    <t>108654</t>
  </si>
  <si>
    <t>157901</t>
  </si>
  <si>
    <t>112205</t>
  </si>
  <si>
    <t>109240</t>
  </si>
  <si>
    <t>185885</t>
  </si>
  <si>
    <t>106707</t>
  </si>
  <si>
    <t>197197</t>
  </si>
  <si>
    <t>175603</t>
  </si>
  <si>
    <t>107878</t>
  </si>
  <si>
    <t>109243</t>
  </si>
  <si>
    <t>193517</t>
  </si>
  <si>
    <t>167726</t>
  </si>
  <si>
    <t>107955</t>
  </si>
  <si>
    <t>109245</t>
  </si>
  <si>
    <t>109247</t>
  </si>
  <si>
    <t>201014</t>
  </si>
  <si>
    <t>107956</t>
  </si>
  <si>
    <t>109349</t>
  </si>
  <si>
    <t>CS=6.99mm</t>
  </si>
  <si>
    <t>109248</t>
  </si>
  <si>
    <t>166521</t>
  </si>
  <si>
    <t>116391</t>
  </si>
  <si>
    <t>175610</t>
  </si>
  <si>
    <t>109570</t>
  </si>
  <si>
    <t>107877</t>
  </si>
  <si>
    <t>107882</t>
  </si>
  <si>
    <t>110377</t>
  </si>
  <si>
    <t>156622</t>
  </si>
  <si>
    <t>175614</t>
  </si>
  <si>
    <t>108656</t>
  </si>
  <si>
    <t>136639</t>
  </si>
  <si>
    <t>109249</t>
  </si>
  <si>
    <t>136309</t>
  </si>
  <si>
    <t>179146</t>
  </si>
  <si>
    <t>107958</t>
  </si>
  <si>
    <t>107960</t>
  </si>
  <si>
    <t>114810</t>
  </si>
  <si>
    <t>111773</t>
  </si>
  <si>
    <t>107959</t>
  </si>
  <si>
    <t>118919</t>
  </si>
  <si>
    <t>109250</t>
  </si>
  <si>
    <t>109251</t>
  </si>
  <si>
    <t>110381</t>
  </si>
  <si>
    <t>108658</t>
  </si>
  <si>
    <t>107963</t>
  </si>
  <si>
    <t>109252</t>
  </si>
  <si>
    <t>115464</t>
  </si>
  <si>
    <t>107961</t>
  </si>
  <si>
    <t>119589</t>
  </si>
  <si>
    <t>109253</t>
  </si>
  <si>
    <t>167496</t>
  </si>
  <si>
    <t>207346</t>
  </si>
  <si>
    <t>213500</t>
  </si>
  <si>
    <t>108659</t>
  </si>
  <si>
    <t>108660</t>
  </si>
  <si>
    <t>109254</t>
  </si>
  <si>
    <t>107964</t>
  </si>
  <si>
    <t>107969</t>
  </si>
  <si>
    <t>110378</t>
  </si>
  <si>
    <t>207347</t>
  </si>
  <si>
    <t>114619</t>
  </si>
  <si>
    <t>135890</t>
  </si>
  <si>
    <t>120531</t>
  </si>
  <si>
    <t>107968</t>
  </si>
  <si>
    <t>109255</t>
  </si>
  <si>
    <t>112072</t>
  </si>
  <si>
    <t>107966</t>
  </si>
  <si>
    <t>106534</t>
  </si>
  <si>
    <t>109256</t>
  </si>
  <si>
    <t>107879</t>
  </si>
  <si>
    <t>107974</t>
  </si>
  <si>
    <t>109258</t>
  </si>
  <si>
    <t>213487</t>
  </si>
  <si>
    <t>108662</t>
  </si>
  <si>
    <t>107972</t>
  </si>
  <si>
    <t>109259</t>
  </si>
  <si>
    <t>109569</t>
  </si>
  <si>
    <t>107971</t>
  </si>
  <si>
    <t>107973</t>
  </si>
  <si>
    <t>110379</t>
  </si>
  <si>
    <t>118379</t>
  </si>
  <si>
    <t>187594</t>
  </si>
  <si>
    <t>107814</t>
  </si>
  <si>
    <t>107881</t>
  </si>
  <si>
    <t>113313</t>
  </si>
  <si>
    <t>118354</t>
  </si>
  <si>
    <t>107975</t>
  </si>
  <si>
    <t>109326</t>
  </si>
  <si>
    <t>109261</t>
  </si>
  <si>
    <t>111774</t>
  </si>
  <si>
    <t>201002</t>
  </si>
  <si>
    <t>108615</t>
  </si>
  <si>
    <t>107880</t>
  </si>
  <si>
    <t>126220</t>
  </si>
  <si>
    <t>213488</t>
  </si>
  <si>
    <t>107869</t>
  </si>
  <si>
    <t>109892</t>
  </si>
  <si>
    <t>136296</t>
  </si>
  <si>
    <t>109571</t>
  </si>
  <si>
    <t>109113</t>
  </si>
  <si>
    <t>108240</t>
  </si>
  <si>
    <t>109263</t>
  </si>
  <si>
    <t>108665</t>
  </si>
  <si>
    <t>107977</t>
  </si>
  <si>
    <t>109264</t>
  </si>
  <si>
    <t>109142</t>
  </si>
  <si>
    <t>107978</t>
  </si>
  <si>
    <t>109266</t>
  </si>
  <si>
    <t>110380</t>
  </si>
  <si>
    <t>114050</t>
  </si>
  <si>
    <t>109146</t>
  </si>
  <si>
    <t>121707</t>
  </si>
  <si>
    <t>207860</t>
  </si>
  <si>
    <t>CS=8.4mm</t>
  </si>
  <si>
    <t>109155</t>
  </si>
  <si>
    <t>109268</t>
  </si>
  <si>
    <t>109141</t>
  </si>
  <si>
    <t>106599</t>
  </si>
  <si>
    <t>112923</t>
  </si>
  <si>
    <t>109158</t>
  </si>
  <si>
    <t>109269</t>
  </si>
  <si>
    <t>116604</t>
  </si>
  <si>
    <t>109159</t>
  </si>
  <si>
    <t>107982</t>
  </si>
  <si>
    <t>110741</t>
  </si>
  <si>
    <t>112936</t>
  </si>
  <si>
    <t>186855</t>
  </si>
  <si>
    <t>109136</t>
  </si>
  <si>
    <t>107984</t>
  </si>
  <si>
    <t>107883</t>
  </si>
  <si>
    <t>107876</t>
  </si>
  <si>
    <t>107985</t>
  </si>
  <si>
    <t>193518</t>
  </si>
  <si>
    <t>109156</t>
  </si>
  <si>
    <t>107986</t>
  </si>
  <si>
    <t>193259</t>
  </si>
  <si>
    <t>133137</t>
  </si>
  <si>
    <t>106598</t>
  </si>
  <si>
    <t>107987</t>
  </si>
  <si>
    <t>202384</t>
  </si>
  <si>
    <t>107988</t>
  </si>
  <si>
    <t>109140</t>
  </si>
  <si>
    <t>107989</t>
  </si>
  <si>
    <t>107990</t>
  </si>
  <si>
    <t>114689</t>
  </si>
  <si>
    <t>106556</t>
  </si>
  <si>
    <t>107991</t>
  </si>
  <si>
    <t>110309</t>
  </si>
  <si>
    <t>109145</t>
  </si>
  <si>
    <t>107993</t>
  </si>
  <si>
    <t>107994</t>
  </si>
  <si>
    <t>109149</t>
  </si>
  <si>
    <t>109151</t>
  </si>
  <si>
    <t>107996</t>
  </si>
  <si>
    <t>109164</t>
  </si>
  <si>
    <t>107997</t>
  </si>
  <si>
    <t>107998</t>
  </si>
  <si>
    <t>109143</t>
  </si>
  <si>
    <t>123702</t>
  </si>
  <si>
    <t>9N</t>
  </si>
  <si>
    <t>109804</t>
  </si>
  <si>
    <t>109805</t>
  </si>
  <si>
    <t>109617</t>
  </si>
  <si>
    <t>188137</t>
  </si>
  <si>
    <t>CS=1.6mm</t>
  </si>
  <si>
    <t>109292</t>
  </si>
  <si>
    <t>107203</t>
  </si>
  <si>
    <t>109774</t>
  </si>
  <si>
    <t>109763</t>
  </si>
  <si>
    <t>175232</t>
  </si>
  <si>
    <t>187602</t>
  </si>
  <si>
    <t>111994</t>
  </si>
  <si>
    <t>126753</t>
  </si>
  <si>
    <t>CS=2.3mm</t>
  </si>
  <si>
    <t>109618</t>
  </si>
  <si>
    <t>109769</t>
  </si>
  <si>
    <t>109777</t>
  </si>
  <si>
    <t>109666</t>
  </si>
  <si>
    <t>109836</t>
  </si>
  <si>
    <t>109373</t>
  </si>
  <si>
    <t>109619</t>
  </si>
  <si>
    <t>109669</t>
  </si>
  <si>
    <t>109807</t>
  </si>
  <si>
    <t>109620</t>
  </si>
  <si>
    <t>109764</t>
  </si>
  <si>
    <t>109689</t>
  </si>
  <si>
    <t>110449</t>
  </si>
  <si>
    <t>109667</t>
  </si>
  <si>
    <t>109613</t>
  </si>
  <si>
    <t>109665</t>
  </si>
  <si>
    <t>109366</t>
  </si>
  <si>
    <t>109781</t>
  </si>
  <si>
    <t>107339</t>
  </si>
  <si>
    <t>109621</t>
  </si>
  <si>
    <t>109625</t>
  </si>
  <si>
    <t>114484</t>
  </si>
  <si>
    <t>109690</t>
  </si>
  <si>
    <t>122302</t>
  </si>
  <si>
    <t>109372</t>
  </si>
  <si>
    <t>109294</t>
  </si>
  <si>
    <t>109626</t>
  </si>
  <si>
    <t>126757</t>
  </si>
  <si>
    <t>109688</t>
  </si>
  <si>
    <t>203404</t>
  </si>
  <si>
    <t>CS=2.2mm</t>
  </si>
  <si>
    <t>111287</t>
  </si>
  <si>
    <t>109624</t>
  </si>
  <si>
    <t>109629</t>
  </si>
  <si>
    <t>188624</t>
  </si>
  <si>
    <t>CS=1.3mm</t>
  </si>
  <si>
    <t>109776</t>
  </si>
  <si>
    <t>109670</t>
  </si>
  <si>
    <t>109612</t>
  </si>
  <si>
    <t>119844</t>
  </si>
  <si>
    <t>109299</t>
  </si>
  <si>
    <t>109630</t>
  </si>
  <si>
    <t>109975</t>
  </si>
  <si>
    <t>107340</t>
  </si>
  <si>
    <t>109687</t>
  </si>
  <si>
    <t>109611</t>
  </si>
  <si>
    <t>109664</t>
  </si>
  <si>
    <t>109631</t>
  </si>
  <si>
    <t>109837</t>
  </si>
  <si>
    <t>108898</t>
  </si>
  <si>
    <t>109686</t>
  </si>
  <si>
    <t>109614</t>
  </si>
  <si>
    <t>109622</t>
  </si>
  <si>
    <t>109633</t>
  </si>
  <si>
    <t>106285</t>
  </si>
  <si>
    <t>109469</t>
  </si>
  <si>
    <t>109317</t>
  </si>
  <si>
    <t>109616</t>
  </si>
  <si>
    <t>109663</t>
  </si>
  <si>
    <t>108899</t>
  </si>
  <si>
    <t>106150</t>
  </si>
  <si>
    <t>109293</t>
  </si>
  <si>
    <t>109193</t>
  </si>
  <si>
    <t>109680</t>
  </si>
  <si>
    <t>109603</t>
  </si>
  <si>
    <t>109662</t>
  </si>
  <si>
    <t>117283</t>
  </si>
  <si>
    <t>109463</t>
  </si>
  <si>
    <t>109679</t>
  </si>
  <si>
    <t>106289</t>
  </si>
  <si>
    <t>109661</t>
  </si>
  <si>
    <t>108900</t>
  </si>
  <si>
    <t>106232</t>
  </si>
  <si>
    <t>109809</t>
  </si>
  <si>
    <t>185609</t>
  </si>
  <si>
    <t>109634</t>
  </si>
  <si>
    <t>109529</t>
  </si>
  <si>
    <t>109599</t>
  </si>
  <si>
    <t>106731</t>
  </si>
  <si>
    <t>109838</t>
  </si>
  <si>
    <t>109810</t>
  </si>
  <si>
    <t>109678</t>
  </si>
  <si>
    <t>110706</t>
  </si>
  <si>
    <t>109660</t>
  </si>
  <si>
    <t>109966</t>
  </si>
  <si>
    <t>109610</t>
  </si>
  <si>
    <t>109658</t>
  </si>
  <si>
    <t>108901</t>
  </si>
  <si>
    <t>109839</t>
  </si>
  <si>
    <t>123173</t>
  </si>
  <si>
    <t>109636</t>
  </si>
  <si>
    <t>109530</t>
  </si>
  <si>
    <t>109359</t>
  </si>
  <si>
    <t>109691</t>
  </si>
  <si>
    <t>108902</t>
  </si>
  <si>
    <t>110932</t>
  </si>
  <si>
    <t>110563</t>
  </si>
  <si>
    <t>109811</t>
  </si>
  <si>
    <t>106560</t>
  </si>
  <si>
    <t>109657</t>
  </si>
  <si>
    <t>106454</t>
  </si>
  <si>
    <t>106710</t>
  </si>
  <si>
    <t>168282</t>
  </si>
  <si>
    <t>110592</t>
  </si>
  <si>
    <t>110147</t>
  </si>
  <si>
    <t>109979</t>
  </si>
  <si>
    <t>118926</t>
  </si>
  <si>
    <t>109534</t>
  </si>
  <si>
    <t>109601</t>
  </si>
  <si>
    <t>109654</t>
  </si>
  <si>
    <t>178281</t>
  </si>
  <si>
    <t>CS=6.0mm</t>
  </si>
  <si>
    <t>106586</t>
  </si>
  <si>
    <t>109693</t>
  </si>
  <si>
    <t>108903</t>
  </si>
  <si>
    <t>167841</t>
  </si>
  <si>
    <t>109677</t>
  </si>
  <si>
    <t>201140</t>
  </si>
  <si>
    <t>113129</t>
  </si>
  <si>
    <t>106605</t>
  </si>
  <si>
    <t>103605</t>
  </si>
  <si>
    <t>109361</t>
  </si>
  <si>
    <t>185608</t>
  </si>
  <si>
    <t>109676</t>
  </si>
  <si>
    <t>109615</t>
  </si>
  <si>
    <t>119854</t>
  </si>
  <si>
    <t>109762</t>
  </si>
  <si>
    <t>108904</t>
  </si>
  <si>
    <t>106603</t>
  </si>
  <si>
    <t>106379</t>
  </si>
  <si>
    <t>109651</t>
  </si>
  <si>
    <t>109239</t>
  </si>
  <si>
    <t>108941</t>
  </si>
  <si>
    <t>109645</t>
  </si>
  <si>
    <t>108905</t>
  </si>
  <si>
    <t>109840</t>
  </si>
  <si>
    <t>119856</t>
  </si>
  <si>
    <t>109695</t>
  </si>
  <si>
    <t>109607</t>
  </si>
  <si>
    <t>106151</t>
  </si>
  <si>
    <t>108906</t>
  </si>
  <si>
    <t>108870</t>
  </si>
  <si>
    <t>111825</t>
  </si>
  <si>
    <t>109841</t>
  </si>
  <si>
    <t>109813</t>
  </si>
  <si>
    <t>214787</t>
  </si>
  <si>
    <t>190196</t>
  </si>
  <si>
    <t>187600</t>
  </si>
  <si>
    <t>115699</t>
  </si>
  <si>
    <t>109608</t>
  </si>
  <si>
    <t>109649</t>
  </si>
  <si>
    <t>109596</t>
  </si>
  <si>
    <t>109761</t>
  </si>
  <si>
    <t>133254</t>
  </si>
  <si>
    <t>108907</t>
  </si>
  <si>
    <t>109842</t>
  </si>
  <si>
    <t>112570</t>
  </si>
  <si>
    <t>109696</t>
  </si>
  <si>
    <t>109647</t>
  </si>
  <si>
    <t>108908</t>
  </si>
  <si>
    <t>103606</t>
  </si>
  <si>
    <t>109843</t>
  </si>
  <si>
    <t>109606</t>
  </si>
  <si>
    <t>109462</t>
  </si>
  <si>
    <t>109594</t>
  </si>
  <si>
    <t>109814</t>
  </si>
  <si>
    <t>108925</t>
  </si>
  <si>
    <t>108909</t>
  </si>
  <si>
    <t>107184</t>
  </si>
  <si>
    <t>103607</t>
  </si>
  <si>
    <t>109300</t>
  </si>
  <si>
    <t>103608</t>
  </si>
  <si>
    <t>111829</t>
  </si>
  <si>
    <t>107186</t>
  </si>
  <si>
    <t>121474</t>
  </si>
  <si>
    <t>117282</t>
  </si>
  <si>
    <t>111900</t>
  </si>
  <si>
    <t>109600</t>
  </si>
  <si>
    <t>109806</t>
  </si>
  <si>
    <t>113522</t>
  </si>
  <si>
    <t>108934</t>
  </si>
  <si>
    <t>109844</t>
  </si>
  <si>
    <t>103609</t>
  </si>
  <si>
    <t>110724</t>
  </si>
  <si>
    <t>108911</t>
  </si>
  <si>
    <t>110032</t>
  </si>
  <si>
    <t>106587</t>
  </si>
  <si>
    <t>109972</t>
  </si>
  <si>
    <t>118930</t>
  </si>
  <si>
    <t>106648</t>
  </si>
  <si>
    <t>106233</t>
  </si>
  <si>
    <t>112291</t>
  </si>
  <si>
    <t>109970</t>
  </si>
  <si>
    <t>106663</t>
  </si>
  <si>
    <t>109528</t>
  </si>
  <si>
    <t>108912</t>
  </si>
  <si>
    <t>108913</t>
  </si>
  <si>
    <t>110033</t>
  </si>
  <si>
    <t>133255</t>
  </si>
  <si>
    <t>110305</t>
  </si>
  <si>
    <t>126850</t>
  </si>
  <si>
    <t>115671</t>
  </si>
  <si>
    <t>109751</t>
  </si>
  <si>
    <t>109643</t>
  </si>
  <si>
    <t>109700</t>
  </si>
  <si>
    <t>103610</t>
  </si>
  <si>
    <t>109880</t>
  </si>
  <si>
    <t>109604</t>
  </si>
  <si>
    <t>184324</t>
  </si>
  <si>
    <t>112480</t>
  </si>
  <si>
    <t>119904</t>
  </si>
  <si>
    <t>109704</t>
  </si>
  <si>
    <t>108914</t>
  </si>
  <si>
    <t>120292</t>
  </si>
  <si>
    <t>103611</t>
  </si>
  <si>
    <t>110034</t>
  </si>
  <si>
    <t>112569</t>
  </si>
  <si>
    <t>109091</t>
  </si>
  <si>
    <t>109707</t>
  </si>
  <si>
    <t>109360</t>
  </si>
  <si>
    <t>109999</t>
  </si>
  <si>
    <t>109527</t>
  </si>
  <si>
    <t>111903</t>
  </si>
  <si>
    <t>109609</t>
  </si>
  <si>
    <t>109642</t>
  </si>
  <si>
    <t>109474</t>
  </si>
  <si>
    <t>108915</t>
  </si>
  <si>
    <t>106455</t>
  </si>
  <si>
    <t>108916</t>
  </si>
  <si>
    <t>110035</t>
  </si>
  <si>
    <t>110343</t>
  </si>
  <si>
    <t>109480</t>
  </si>
  <si>
    <t>157104</t>
  </si>
  <si>
    <t>109709</t>
  </si>
  <si>
    <t>106604</t>
  </si>
  <si>
    <t>106456</t>
  </si>
  <si>
    <t>175262</t>
  </si>
  <si>
    <t>178867</t>
  </si>
  <si>
    <t>108917</t>
  </si>
  <si>
    <t>108918</t>
  </si>
  <si>
    <t>109531</t>
  </si>
  <si>
    <t>106377</t>
  </si>
  <si>
    <t>109822</t>
  </si>
  <si>
    <t>109368</t>
  </si>
  <si>
    <t>180629</t>
  </si>
  <si>
    <t>188626</t>
  </si>
  <si>
    <t>109605</t>
  </si>
  <si>
    <t>120363</t>
  </si>
  <si>
    <t>109367</t>
  </si>
  <si>
    <t>109752</t>
  </si>
  <si>
    <t>118527</t>
  </si>
  <si>
    <t>110036</t>
  </si>
  <si>
    <t>116246</t>
  </si>
  <si>
    <t>109595</t>
  </si>
  <si>
    <t>106380</t>
  </si>
  <si>
    <t>103612</t>
  </si>
  <si>
    <t>110037</t>
  </si>
  <si>
    <t>109815</t>
  </si>
  <si>
    <t>110366</t>
  </si>
  <si>
    <t>106559</t>
  </si>
  <si>
    <t>107113</t>
  </si>
  <si>
    <t>110038</t>
  </si>
  <si>
    <t>117895</t>
  </si>
  <si>
    <t>109593</t>
  </si>
  <si>
    <t>109754</t>
  </si>
  <si>
    <t>108949</t>
  </si>
  <si>
    <t>106732</t>
  </si>
  <si>
    <t>110039</t>
  </si>
  <si>
    <t>165714</t>
  </si>
  <si>
    <t>115897</t>
  </si>
  <si>
    <t>113128</t>
  </si>
  <si>
    <t>108942</t>
  </si>
  <si>
    <t>118449</t>
  </si>
  <si>
    <t>107807</t>
  </si>
  <si>
    <t>118931</t>
  </si>
  <si>
    <t>108950</t>
  </si>
  <si>
    <t>106636</t>
  </si>
  <si>
    <t>108951</t>
  </si>
  <si>
    <t>109318</t>
  </si>
  <si>
    <t>110040</t>
  </si>
  <si>
    <t>197706</t>
  </si>
  <si>
    <t>167507</t>
  </si>
  <si>
    <t>106664</t>
  </si>
  <si>
    <t>109757</t>
  </si>
  <si>
    <t>110041</t>
  </si>
  <si>
    <t>204483</t>
  </si>
  <si>
    <t>108956</t>
  </si>
  <si>
    <t>110096</t>
  </si>
  <si>
    <t>109932</t>
  </si>
  <si>
    <t>110042</t>
  </si>
  <si>
    <t>109816</t>
  </si>
  <si>
    <t>114870</t>
  </si>
  <si>
    <t>188136</t>
  </si>
  <si>
    <t>115022</t>
  </si>
  <si>
    <t>108957</t>
  </si>
  <si>
    <t>108922</t>
  </si>
  <si>
    <t>108958</t>
  </si>
  <si>
    <t>112346</t>
  </si>
  <si>
    <t>194063</t>
  </si>
  <si>
    <t>114126</t>
  </si>
  <si>
    <t>108959</t>
  </si>
  <si>
    <t>109823</t>
  </si>
  <si>
    <t>112450</t>
  </si>
  <si>
    <t>112848</t>
  </si>
  <si>
    <t>106287</t>
  </si>
  <si>
    <t>119913</t>
  </si>
  <si>
    <t>111184</t>
  </si>
  <si>
    <t>119914</t>
  </si>
  <si>
    <t>108960</t>
  </si>
  <si>
    <t>108939</t>
  </si>
  <si>
    <t>109824</t>
  </si>
  <si>
    <t>108961</t>
  </si>
  <si>
    <t>110043</t>
  </si>
  <si>
    <t>112860</t>
  </si>
  <si>
    <t>110044</t>
  </si>
  <si>
    <t>194064</t>
  </si>
  <si>
    <t>132368</t>
  </si>
  <si>
    <t>109110</t>
  </si>
  <si>
    <t>108962</t>
  </si>
  <si>
    <t>108963</t>
  </si>
  <si>
    <t>109188</t>
  </si>
  <si>
    <t>113789</t>
  </si>
  <si>
    <t>127134</t>
  </si>
  <si>
    <t>181430</t>
  </si>
  <si>
    <t>109276</t>
  </si>
  <si>
    <t>111907</t>
  </si>
  <si>
    <t>108966</t>
  </si>
  <si>
    <t>108923</t>
  </si>
  <si>
    <t>118448</t>
  </si>
  <si>
    <t>106733</t>
  </si>
  <si>
    <t>106647</t>
  </si>
  <si>
    <t>109235</t>
  </si>
  <si>
    <t>110045</t>
  </si>
  <si>
    <t>109817</t>
  </si>
  <si>
    <t>109592</t>
  </si>
  <si>
    <t>107181</t>
  </si>
  <si>
    <t>109825</t>
  </si>
  <si>
    <t>131317</t>
  </si>
  <si>
    <t>111272</t>
  </si>
  <si>
    <t>108967</t>
  </si>
  <si>
    <t>108968</t>
  </si>
  <si>
    <t>110405</t>
  </si>
  <si>
    <t>188625</t>
  </si>
  <si>
    <t>116882</t>
  </si>
  <si>
    <t>106635</t>
  </si>
  <si>
    <t>108969</t>
  </si>
  <si>
    <t>109481</t>
  </si>
  <si>
    <t>110046</t>
  </si>
  <si>
    <t>166938</t>
  </si>
  <si>
    <t>109478</t>
  </si>
  <si>
    <t>214791</t>
  </si>
  <si>
    <t>107205</t>
  </si>
  <si>
    <t>108815</t>
  </si>
  <si>
    <t>110372</t>
  </si>
  <si>
    <t>109826</t>
  </si>
  <si>
    <t>157550</t>
  </si>
  <si>
    <t>109759</t>
  </si>
  <si>
    <t>203616</t>
  </si>
  <si>
    <t>109640</t>
  </si>
  <si>
    <t>108970</t>
  </si>
  <si>
    <t>109827</t>
  </si>
  <si>
    <t>108971</t>
  </si>
  <si>
    <t>108743</t>
  </si>
  <si>
    <t>108972</t>
  </si>
  <si>
    <t>181005</t>
  </si>
  <si>
    <t>203618</t>
  </si>
  <si>
    <t>110491</t>
  </si>
  <si>
    <t>109473</t>
  </si>
  <si>
    <t>108973</t>
  </si>
  <si>
    <t>109828</t>
  </si>
  <si>
    <t>109870</t>
  </si>
  <si>
    <t>108974</t>
  </si>
  <si>
    <t>108805</t>
  </si>
  <si>
    <t>108976</t>
  </si>
  <si>
    <t>109363</t>
  </si>
  <si>
    <t>108977</t>
  </si>
  <si>
    <t>109818</t>
  </si>
  <si>
    <t>202537</t>
  </si>
  <si>
    <t>108978</t>
  </si>
  <si>
    <t>109829</t>
  </si>
  <si>
    <t>108936</t>
  </si>
  <si>
    <t>108980</t>
  </si>
  <si>
    <t>108982</t>
  </si>
  <si>
    <t>166059</t>
  </si>
  <si>
    <t>117404</t>
  </si>
  <si>
    <t>109476</t>
  </si>
  <si>
    <t>109830</t>
  </si>
  <si>
    <t>108983</t>
  </si>
  <si>
    <t>131061</t>
  </si>
  <si>
    <t>209478</t>
  </si>
  <si>
    <t>114871</t>
  </si>
  <si>
    <t>108984</t>
  </si>
  <si>
    <t>108985</t>
  </si>
  <si>
    <t>109189</t>
  </si>
  <si>
    <t>108986</t>
  </si>
  <si>
    <t>112937</t>
  </si>
  <si>
    <t>108987</t>
  </si>
  <si>
    <t>106420</t>
  </si>
  <si>
    <t>111854</t>
  </si>
  <si>
    <t>108680</t>
  </si>
  <si>
    <t>108988</t>
  </si>
  <si>
    <t>108989</t>
  </si>
  <si>
    <t>109831</t>
  </si>
  <si>
    <t>111605</t>
  </si>
  <si>
    <t>109464</t>
  </si>
  <si>
    <t>108990</t>
  </si>
  <si>
    <t>118925</t>
  </si>
  <si>
    <t>110095</t>
  </si>
  <si>
    <t>108991</t>
  </si>
  <si>
    <t>109819</t>
  </si>
  <si>
    <t>108940</t>
  </si>
  <si>
    <t>110270</t>
  </si>
  <si>
    <t>111845</t>
  </si>
  <si>
    <t>109475</t>
  </si>
  <si>
    <t>110564</t>
  </si>
  <si>
    <t>109746</t>
  </si>
  <si>
    <t>109832</t>
  </si>
  <si>
    <t>110739</t>
  </si>
  <si>
    <t>108992</t>
  </si>
  <si>
    <t>108993</t>
  </si>
  <si>
    <t>108994</t>
  </si>
  <si>
    <t>115754</t>
  </si>
  <si>
    <t>109783</t>
  </si>
  <si>
    <t>108995</t>
  </si>
  <si>
    <t>109820</t>
  </si>
  <si>
    <t>124254</t>
  </si>
  <si>
    <t>109369</t>
  </si>
  <si>
    <t>108997</t>
  </si>
  <si>
    <t>109747</t>
  </si>
  <si>
    <t>109784</t>
  </si>
  <si>
    <t>108998</t>
  </si>
  <si>
    <t>108926</t>
  </si>
  <si>
    <t>209455</t>
  </si>
  <si>
    <t>108999</t>
  </si>
  <si>
    <t>157219</t>
  </si>
  <si>
    <t>109785</t>
  </si>
  <si>
    <t>109000</t>
  </si>
  <si>
    <t>109821</t>
  </si>
  <si>
    <t>108935</t>
  </si>
  <si>
    <t>109001</t>
  </si>
  <si>
    <t>109225</t>
  </si>
  <si>
    <t>109748</t>
  </si>
  <si>
    <t>109786</t>
  </si>
  <si>
    <t>109370</t>
  </si>
  <si>
    <t>109002</t>
  </si>
  <si>
    <t>109749</t>
  </si>
  <si>
    <t>109787</t>
  </si>
  <si>
    <t>133258</t>
  </si>
  <si>
    <t>108927</t>
  </si>
  <si>
    <t>109003</t>
  </si>
  <si>
    <t>109004</t>
  </si>
  <si>
    <t>118780</t>
  </si>
  <si>
    <t>203613</t>
  </si>
  <si>
    <t>115640</t>
  </si>
  <si>
    <t>109788</t>
  </si>
  <si>
    <t>203614</t>
  </si>
  <si>
    <t>109005</t>
  </si>
  <si>
    <t>109732</t>
  </si>
  <si>
    <t>109789</t>
  </si>
  <si>
    <t>107206</t>
  </si>
  <si>
    <t>109007</t>
  </si>
  <si>
    <t>109682</t>
  </si>
  <si>
    <t>109008</t>
  </si>
  <si>
    <t>109555</t>
  </si>
  <si>
    <t>109790</t>
  </si>
  <si>
    <t>109009</t>
  </si>
  <si>
    <t>109010</t>
  </si>
  <si>
    <t>122867</t>
  </si>
  <si>
    <t>109735</t>
  </si>
  <si>
    <t>109791</t>
  </si>
  <si>
    <t>109681</t>
  </si>
  <si>
    <t>109736</t>
  </si>
  <si>
    <t>109792</t>
  </si>
  <si>
    <t>110065</t>
  </si>
  <si>
    <t>113568</t>
  </si>
  <si>
    <t>109980</t>
  </si>
  <si>
    <t>109012</t>
  </si>
  <si>
    <t>109557</t>
  </si>
  <si>
    <t>109793</t>
  </si>
  <si>
    <t>109639</t>
  </si>
  <si>
    <t>109014</t>
  </si>
  <si>
    <t>113567</t>
  </si>
  <si>
    <t>109016</t>
  </si>
  <si>
    <t>109737</t>
  </si>
  <si>
    <t>109794</t>
  </si>
  <si>
    <t>106708</t>
  </si>
  <si>
    <t>109712</t>
  </si>
  <si>
    <t>110455</t>
  </si>
  <si>
    <t>109019</t>
  </si>
  <si>
    <t>120246</t>
  </si>
  <si>
    <t>109738</t>
  </si>
  <si>
    <t>131172</t>
  </si>
  <si>
    <t>109795</t>
  </si>
  <si>
    <t>109886</t>
  </si>
  <si>
    <t>131152</t>
  </si>
  <si>
    <t>109022</t>
  </si>
  <si>
    <t>109739</t>
  </si>
  <si>
    <t>106634</t>
  </si>
  <si>
    <t>106709</t>
  </si>
  <si>
    <t>109465</t>
  </si>
  <si>
    <t>109495</t>
  </si>
  <si>
    <t>123021</t>
  </si>
  <si>
    <t>120412</t>
  </si>
  <si>
    <t>109023</t>
  </si>
  <si>
    <t>109740</t>
  </si>
  <si>
    <t>109796</t>
  </si>
  <si>
    <t>109024</t>
  </si>
  <si>
    <t>110384</t>
  </si>
  <si>
    <t>109026</t>
  </si>
  <si>
    <t>109731</t>
  </si>
  <si>
    <t>109797</t>
  </si>
  <si>
    <t>109027</t>
  </si>
  <si>
    <t>126794</t>
  </si>
  <si>
    <t>109447</t>
  </si>
  <si>
    <t>109028</t>
  </si>
  <si>
    <t>109730</t>
  </si>
  <si>
    <t>109798</t>
  </si>
  <si>
    <t>117983</t>
  </si>
  <si>
    <t>110151</t>
  </si>
  <si>
    <t>109029</t>
  </si>
  <si>
    <t>109030</t>
  </si>
  <si>
    <t>109137</t>
  </si>
  <si>
    <t>109799</t>
  </si>
  <si>
    <t>109482</t>
  </si>
  <si>
    <t>113569</t>
  </si>
  <si>
    <t>112246</t>
  </si>
  <si>
    <t>109313</t>
  </si>
  <si>
    <t>109800</t>
  </si>
  <si>
    <t>109031</t>
  </si>
  <si>
    <t>109710</t>
  </si>
  <si>
    <t>133664</t>
  </si>
  <si>
    <t>115854</t>
  </si>
  <si>
    <t>109801</t>
  </si>
  <si>
    <t>109032</t>
  </si>
  <si>
    <t>110141</t>
  </si>
  <si>
    <t>183682</t>
  </si>
  <si>
    <t>110982</t>
  </si>
  <si>
    <t>109802</t>
  </si>
  <si>
    <t>109033</t>
  </si>
  <si>
    <t>207555</t>
  </si>
  <si>
    <t>110844</t>
  </si>
  <si>
    <t>126150</t>
  </si>
  <si>
    <t>109833</t>
  </si>
  <si>
    <t>109893</t>
  </si>
  <si>
    <t>131179</t>
  </si>
  <si>
    <t>109034</t>
  </si>
  <si>
    <t>110086</t>
  </si>
  <si>
    <t>109834</t>
  </si>
  <si>
    <t>108830</t>
  </si>
  <si>
    <t>109035</t>
  </si>
  <si>
    <t>117850</t>
  </si>
  <si>
    <t>135008</t>
  </si>
  <si>
    <t>214795</t>
  </si>
  <si>
    <t>106747</t>
  </si>
  <si>
    <t>109036</t>
  </si>
  <si>
    <t>109741</t>
  </si>
  <si>
    <t>109835</t>
  </si>
  <si>
    <t>109037</t>
  </si>
  <si>
    <t>109038</t>
  </si>
  <si>
    <t>178241</t>
  </si>
  <si>
    <t>108784</t>
  </si>
  <si>
    <t>109039</t>
  </si>
  <si>
    <t>109040</t>
  </si>
  <si>
    <t>109041</t>
  </si>
  <si>
    <t>136739</t>
  </si>
  <si>
    <t>109043</t>
  </si>
  <si>
    <t>131185</t>
  </si>
  <si>
    <t>109044</t>
  </si>
  <si>
    <t>109045</t>
  </si>
  <si>
    <t>108864</t>
  </si>
  <si>
    <t>166081</t>
  </si>
  <si>
    <t>108920</t>
  </si>
  <si>
    <t>166447</t>
  </si>
  <si>
    <t>109047</t>
  </si>
  <si>
    <t>108937</t>
  </si>
  <si>
    <t>109048</t>
  </si>
  <si>
    <t>109049</t>
  </si>
  <si>
    <t>184145</t>
  </si>
  <si>
    <t>109050</t>
  </si>
  <si>
    <t>109051</t>
  </si>
  <si>
    <t>108868</t>
  </si>
  <si>
    <t>111702</t>
  </si>
  <si>
    <t>109055</t>
  </si>
  <si>
    <t>109054</t>
  </si>
  <si>
    <t>121649</t>
  </si>
  <si>
    <t>109056</t>
  </si>
  <si>
    <t>107818</t>
  </si>
  <si>
    <t>118063</t>
  </si>
  <si>
    <t>109057</t>
  </si>
  <si>
    <t>211710</t>
  </si>
  <si>
    <t>207630</t>
  </si>
  <si>
    <t>116428</t>
  </si>
  <si>
    <t>109058</t>
  </si>
  <si>
    <t>109894</t>
  </si>
  <si>
    <t>109060</t>
  </si>
  <si>
    <t>109061</t>
  </si>
  <si>
    <t>107806</t>
  </si>
  <si>
    <t>115960</t>
  </si>
  <si>
    <t>109062</t>
  </si>
  <si>
    <t>106545</t>
  </si>
  <si>
    <t>109063</t>
  </si>
  <si>
    <t>109906</t>
  </si>
  <si>
    <t>109065</t>
  </si>
  <si>
    <t>109066</t>
  </si>
  <si>
    <t>109067</t>
  </si>
  <si>
    <t>109068</t>
  </si>
  <si>
    <t>184722</t>
  </si>
  <si>
    <t>114753</t>
  </si>
  <si>
    <t>109069</t>
  </si>
  <si>
    <t>109070</t>
  </si>
  <si>
    <t>109071</t>
  </si>
  <si>
    <t>109072</t>
  </si>
  <si>
    <t>110607</t>
  </si>
  <si>
    <t>O-Ring (Viton/FKM)</t>
  </si>
  <si>
    <t>8</t>
  </si>
  <si>
    <t>Viton/FKM</t>
  </si>
  <si>
    <t>167550</t>
  </si>
  <si>
    <t>110629</t>
  </si>
  <si>
    <t>180367</t>
  </si>
  <si>
    <t>191839</t>
  </si>
  <si>
    <t>180372</t>
  </si>
  <si>
    <t>180457</t>
  </si>
  <si>
    <t>135959</t>
  </si>
  <si>
    <t>112739</t>
  </si>
  <si>
    <t>CS=1.7mm</t>
  </si>
  <si>
    <t>110882</t>
  </si>
  <si>
    <t>110603</t>
  </si>
  <si>
    <t>110842</t>
  </si>
  <si>
    <t>111752</t>
  </si>
  <si>
    <t>206669</t>
  </si>
  <si>
    <t>196790</t>
  </si>
  <si>
    <t>108509</t>
  </si>
  <si>
    <t>116998</t>
  </si>
  <si>
    <t>135933</t>
  </si>
  <si>
    <t>111009</t>
  </si>
  <si>
    <t>114140</t>
  </si>
  <si>
    <t>108510</t>
  </si>
  <si>
    <t>199113</t>
  </si>
  <si>
    <t>108511</t>
  </si>
  <si>
    <t>110560</t>
  </si>
  <si>
    <t>111644</t>
  </si>
  <si>
    <t>180343</t>
  </si>
  <si>
    <t>180547</t>
  </si>
  <si>
    <t>206603</t>
  </si>
  <si>
    <t>125218</t>
  </si>
  <si>
    <t>108512</t>
  </si>
  <si>
    <t>110279</t>
  </si>
  <si>
    <t>167837</t>
  </si>
  <si>
    <t>116265</t>
  </si>
  <si>
    <t>184973</t>
  </si>
  <si>
    <t>208463</t>
  </si>
  <si>
    <t>108513</t>
  </si>
  <si>
    <t>112546</t>
  </si>
  <si>
    <t>206199</t>
  </si>
  <si>
    <t>108514</t>
  </si>
  <si>
    <t>115751</t>
  </si>
  <si>
    <t>137267</t>
  </si>
  <si>
    <t>111643</t>
  </si>
  <si>
    <t>116266</t>
  </si>
  <si>
    <t>108515</t>
  </si>
  <si>
    <t>115963</t>
  </si>
  <si>
    <t>121033</t>
  </si>
  <si>
    <t>112386</t>
  </si>
  <si>
    <t>112099</t>
  </si>
  <si>
    <t>108516</t>
  </si>
  <si>
    <t>116834</t>
  </si>
  <si>
    <t>112162</t>
  </si>
  <si>
    <t>110840</t>
  </si>
  <si>
    <t>110910</t>
  </si>
  <si>
    <t>114091</t>
  </si>
  <si>
    <t>108517</t>
  </si>
  <si>
    <t>196791</t>
  </si>
  <si>
    <t>184975</t>
  </si>
  <si>
    <t>109332</t>
  </si>
  <si>
    <t>115450</t>
  </si>
  <si>
    <t>178648</t>
  </si>
  <si>
    <t>108518</t>
  </si>
  <si>
    <t>108519</t>
  </si>
  <si>
    <t>180433</t>
  </si>
  <si>
    <t>181617</t>
  </si>
  <si>
    <t>125212</t>
  </si>
  <si>
    <t>195522</t>
  </si>
  <si>
    <t>184974</t>
  </si>
  <si>
    <t>115991</t>
  </si>
  <si>
    <t>115451</t>
  </si>
  <si>
    <t>110915</t>
  </si>
  <si>
    <t>114643</t>
  </si>
  <si>
    <t>181625</t>
  </si>
  <si>
    <t>110800</t>
  </si>
  <si>
    <t>110281</t>
  </si>
  <si>
    <t>112354</t>
  </si>
  <si>
    <t>137558</t>
  </si>
  <si>
    <t>110903</t>
  </si>
  <si>
    <t>110873</t>
  </si>
  <si>
    <t>188375</t>
  </si>
  <si>
    <t>178647</t>
  </si>
  <si>
    <t>135359</t>
  </si>
  <si>
    <t>112116</t>
  </si>
  <si>
    <t>115452</t>
  </si>
  <si>
    <t>189462</t>
  </si>
  <si>
    <t>110611</t>
  </si>
  <si>
    <t>110901</t>
  </si>
  <si>
    <t>110814</t>
  </si>
  <si>
    <t>206602</t>
  </si>
  <si>
    <t>108520</t>
  </si>
  <si>
    <t>108522</t>
  </si>
  <si>
    <t>108521</t>
  </si>
  <si>
    <t>125220</t>
  </si>
  <si>
    <t>115453</t>
  </si>
  <si>
    <t>168763</t>
  </si>
  <si>
    <t>112100</t>
  </si>
  <si>
    <t>110815</t>
  </si>
  <si>
    <t>110606</t>
  </si>
  <si>
    <t>125216</t>
  </si>
  <si>
    <t>192370</t>
  </si>
  <si>
    <t>112160</t>
  </si>
  <si>
    <t>109934</t>
  </si>
  <si>
    <t>108523</t>
  </si>
  <si>
    <t>113799</t>
  </si>
  <si>
    <t>110799</t>
  </si>
  <si>
    <t>115454</t>
  </si>
  <si>
    <t>110695</t>
  </si>
  <si>
    <t>184977</t>
  </si>
  <si>
    <t>110916</t>
  </si>
  <si>
    <t>180434</t>
  </si>
  <si>
    <t>108524</t>
  </si>
  <si>
    <t>108525</t>
  </si>
  <si>
    <t>110552</t>
  </si>
  <si>
    <t>205832</t>
  </si>
  <si>
    <t>110464</t>
  </si>
  <si>
    <t>167840</t>
  </si>
  <si>
    <t>109303</t>
  </si>
  <si>
    <t>110913</t>
  </si>
  <si>
    <t>167495</t>
  </si>
  <si>
    <t>180459</t>
  </si>
  <si>
    <t>216160</t>
  </si>
  <si>
    <t>113218</t>
  </si>
  <si>
    <t>112547</t>
  </si>
  <si>
    <t>108526</t>
  </si>
  <si>
    <t>108527</t>
  </si>
  <si>
    <t>110584</t>
  </si>
  <si>
    <t>117776</t>
  </si>
  <si>
    <t>110696</t>
  </si>
  <si>
    <t>110900</t>
  </si>
  <si>
    <t>125217</t>
  </si>
  <si>
    <t>115455</t>
  </si>
  <si>
    <t>110826</t>
  </si>
  <si>
    <t>114219</t>
  </si>
  <si>
    <t>110870</t>
  </si>
  <si>
    <t>110823</t>
  </si>
  <si>
    <t>201711</t>
  </si>
  <si>
    <t>211031</t>
  </si>
  <si>
    <t>108528</t>
  </si>
  <si>
    <t>108529</t>
  </si>
  <si>
    <t>113830</t>
  </si>
  <si>
    <t>110821</t>
  </si>
  <si>
    <t>111678</t>
  </si>
  <si>
    <t>137561</t>
  </si>
  <si>
    <t>110914</t>
  </si>
  <si>
    <t>136741</t>
  </si>
  <si>
    <t>110857</t>
  </si>
  <si>
    <t>108530</t>
  </si>
  <si>
    <t>167842</t>
  </si>
  <si>
    <t>110700</t>
  </si>
  <si>
    <t>188377</t>
  </si>
  <si>
    <t>180461</t>
  </si>
  <si>
    <t>116434</t>
  </si>
  <si>
    <t>117777</t>
  </si>
  <si>
    <t>110079</t>
  </si>
  <si>
    <t>135360</t>
  </si>
  <si>
    <t>109919</t>
  </si>
  <si>
    <t>188376</t>
  </si>
  <si>
    <t>210716</t>
  </si>
  <si>
    <t>180934</t>
  </si>
  <si>
    <t>108531</t>
  </si>
  <si>
    <t>108532</t>
  </si>
  <si>
    <t>110555</t>
  </si>
  <si>
    <t>110699</t>
  </si>
  <si>
    <t>110820</t>
  </si>
  <si>
    <t>134374</t>
  </si>
  <si>
    <t>110899</t>
  </si>
  <si>
    <t>117660</t>
  </si>
  <si>
    <t>108533</t>
  </si>
  <si>
    <t>108534</t>
  </si>
  <si>
    <t>118218</t>
  </si>
  <si>
    <t>135978</t>
  </si>
  <si>
    <t>110697</t>
  </si>
  <si>
    <t>178268</t>
  </si>
  <si>
    <t>110824</t>
  </si>
  <si>
    <t>109333</t>
  </si>
  <si>
    <t>110605</t>
  </si>
  <si>
    <t>108535</t>
  </si>
  <si>
    <t>108536</t>
  </si>
  <si>
    <t>117778</t>
  </si>
  <si>
    <t>183612</t>
  </si>
  <si>
    <t>135927</t>
  </si>
  <si>
    <t>110911</t>
  </si>
  <si>
    <t>110825</t>
  </si>
  <si>
    <t>180460</t>
  </si>
  <si>
    <t>167592</t>
  </si>
  <si>
    <t>111610</t>
  </si>
  <si>
    <t>110350</t>
  </si>
  <si>
    <t>110352</t>
  </si>
  <si>
    <t>117779</t>
  </si>
  <si>
    <t>134373</t>
  </si>
  <si>
    <t>120573</t>
  </si>
  <si>
    <t>114508</t>
  </si>
  <si>
    <t>108537</t>
  </si>
  <si>
    <t>208292</t>
  </si>
  <si>
    <t>110902</t>
  </si>
  <si>
    <t>113572</t>
  </si>
  <si>
    <t>113829</t>
  </si>
  <si>
    <t>110582</t>
  </si>
  <si>
    <t>110434</t>
  </si>
  <si>
    <t>180368</t>
  </si>
  <si>
    <t>111472</t>
  </si>
  <si>
    <t>109199</t>
  </si>
  <si>
    <t>108539</t>
  </si>
  <si>
    <t>110577</t>
  </si>
  <si>
    <t>110874</t>
  </si>
  <si>
    <t>133726</t>
  </si>
  <si>
    <t>116830</t>
  </si>
  <si>
    <t>135925</t>
  </si>
  <si>
    <t>116828</t>
  </si>
  <si>
    <t>110912</t>
  </si>
  <si>
    <t>180346</t>
  </si>
  <si>
    <t>137350</t>
  </si>
  <si>
    <t>116931</t>
  </si>
  <si>
    <t>108540</t>
  </si>
  <si>
    <t>108541</t>
  </si>
  <si>
    <t>188485</t>
  </si>
  <si>
    <t>115456</t>
  </si>
  <si>
    <t>125240</t>
  </si>
  <si>
    <t>116267</t>
  </si>
  <si>
    <t>110908</t>
  </si>
  <si>
    <t>116829</t>
  </si>
  <si>
    <t>180456</t>
  </si>
  <si>
    <t>125219</t>
  </si>
  <si>
    <t>110693</t>
  </si>
  <si>
    <t>184183</t>
  </si>
  <si>
    <t>115458</t>
  </si>
  <si>
    <t>108542</t>
  </si>
  <si>
    <t>108543</t>
  </si>
  <si>
    <t>156822</t>
  </si>
  <si>
    <t>117780</t>
  </si>
  <si>
    <t>110909</t>
  </si>
  <si>
    <t>118408</t>
  </si>
  <si>
    <t>111238</t>
  </si>
  <si>
    <t>110581</t>
  </si>
  <si>
    <t>180370</t>
  </si>
  <si>
    <t>116493</t>
  </si>
  <si>
    <t>110694</t>
  </si>
  <si>
    <t>135924</t>
  </si>
  <si>
    <t>109565</t>
  </si>
  <si>
    <t>108544</t>
  </si>
  <si>
    <t>135931</t>
  </si>
  <si>
    <t>117656</t>
  </si>
  <si>
    <t>185927</t>
  </si>
  <si>
    <t>111127</t>
  </si>
  <si>
    <t>116664</t>
  </si>
  <si>
    <t>110906</t>
  </si>
  <si>
    <t>191412</t>
  </si>
  <si>
    <t>117708</t>
  </si>
  <si>
    <t>115460</t>
  </si>
  <si>
    <t>120574</t>
  </si>
  <si>
    <t>115461</t>
  </si>
  <si>
    <t>117781</t>
  </si>
  <si>
    <t>109186</t>
  </si>
  <si>
    <t>108546</t>
  </si>
  <si>
    <t>117843</t>
  </si>
  <si>
    <t>110802</t>
  </si>
  <si>
    <t>199112</t>
  </si>
  <si>
    <t>108547</t>
  </si>
  <si>
    <t>110810</t>
  </si>
  <si>
    <t>110772</t>
  </si>
  <si>
    <t>109334</t>
  </si>
  <si>
    <t>106726</t>
  </si>
  <si>
    <t>110159</t>
  </si>
  <si>
    <t>109307</t>
  </si>
  <si>
    <t>109187</t>
  </si>
  <si>
    <t>111126</t>
  </si>
  <si>
    <t>108548</t>
  </si>
  <si>
    <t>110904</t>
  </si>
  <si>
    <t>180438</t>
  </si>
  <si>
    <t>115717</t>
  </si>
  <si>
    <t>108549</t>
  </si>
  <si>
    <t>135932</t>
  </si>
  <si>
    <t>115907</t>
  </si>
  <si>
    <t>180439</t>
  </si>
  <si>
    <t>108550</t>
  </si>
  <si>
    <t>110698</t>
  </si>
  <si>
    <t>117782</t>
  </si>
  <si>
    <t>211732</t>
  </si>
  <si>
    <t>135946</t>
  </si>
  <si>
    <t>189595</t>
  </si>
  <si>
    <t>108551</t>
  </si>
  <si>
    <t>110774</t>
  </si>
  <si>
    <t>177857</t>
  </si>
  <si>
    <t>199100</t>
  </si>
  <si>
    <t>180435</t>
  </si>
  <si>
    <t>116408</t>
  </si>
  <si>
    <t>114644</t>
  </si>
  <si>
    <t>109306</t>
  </si>
  <si>
    <t>108552</t>
  </si>
  <si>
    <t>108553</t>
  </si>
  <si>
    <t>108554</t>
  </si>
  <si>
    <t>110812</t>
  </si>
  <si>
    <t>118219</t>
  </si>
  <si>
    <t>110905</t>
  </si>
  <si>
    <t>109331</t>
  </si>
  <si>
    <t>110682</t>
  </si>
  <si>
    <t>110818</t>
  </si>
  <si>
    <t>206611</t>
  </si>
  <si>
    <t>110931</t>
  </si>
  <si>
    <t>108556</t>
  </si>
  <si>
    <t>108557</t>
  </si>
  <si>
    <t>115473</t>
  </si>
  <si>
    <t>115474</t>
  </si>
  <si>
    <t>116832</t>
  </si>
  <si>
    <t>109305</t>
  </si>
  <si>
    <t>210717</t>
  </si>
  <si>
    <t>109448</t>
  </si>
  <si>
    <t>113120</t>
  </si>
  <si>
    <t>182913</t>
  </si>
  <si>
    <t>113149</t>
  </si>
  <si>
    <t>116649</t>
  </si>
  <si>
    <t>108675</t>
  </si>
  <si>
    <t>108558</t>
  </si>
  <si>
    <t>110928</t>
  </si>
  <si>
    <t>118220</t>
  </si>
  <si>
    <t>117725</t>
  </si>
  <si>
    <t>109335</t>
  </si>
  <si>
    <t>115475</t>
  </si>
  <si>
    <t>110773</t>
  </si>
  <si>
    <t>109329</t>
  </si>
  <si>
    <t>202306</t>
  </si>
  <si>
    <t>216526</t>
  </si>
  <si>
    <t>108559</t>
  </si>
  <si>
    <t>CS=7.0mm</t>
  </si>
  <si>
    <t>166488</t>
  </si>
  <si>
    <t>110816</t>
  </si>
  <si>
    <t>108560</t>
  </si>
  <si>
    <t>108676</t>
  </si>
  <si>
    <t>117775</t>
  </si>
  <si>
    <t>118221</t>
  </si>
  <si>
    <t>135947</t>
  </si>
  <si>
    <t>198195</t>
  </si>
  <si>
    <t>115476</t>
  </si>
  <si>
    <t>110633</t>
  </si>
  <si>
    <t>110819</t>
  </si>
  <si>
    <t>111930</t>
  </si>
  <si>
    <t>211477</t>
  </si>
  <si>
    <t>110822</t>
  </si>
  <si>
    <t>108561</t>
  </si>
  <si>
    <t>108562</t>
  </si>
  <si>
    <t>116831</t>
  </si>
  <si>
    <t>115515</t>
  </si>
  <si>
    <t>110972</t>
  </si>
  <si>
    <t>110801</t>
  </si>
  <si>
    <t>113501</t>
  </si>
  <si>
    <t>137335</t>
  </si>
  <si>
    <t>210313</t>
  </si>
  <si>
    <t>110631</t>
  </si>
  <si>
    <t>108563</t>
  </si>
  <si>
    <t>108564</t>
  </si>
  <si>
    <t>108565</t>
  </si>
  <si>
    <t>110929</t>
  </si>
  <si>
    <t>118217</t>
  </si>
  <si>
    <t>113190</t>
  </si>
  <si>
    <t>108566</t>
  </si>
  <si>
    <t>110081</t>
  </si>
  <si>
    <t>108567</t>
  </si>
  <si>
    <t>110557</t>
  </si>
  <si>
    <t>108568</t>
  </si>
  <si>
    <t>110798</t>
  </si>
  <si>
    <t>201712</t>
  </si>
  <si>
    <t>209682</t>
  </si>
  <si>
    <t>115916</t>
  </si>
  <si>
    <t>110634</t>
  </si>
  <si>
    <t>118861</t>
  </si>
  <si>
    <t>108569</t>
  </si>
  <si>
    <t>108570</t>
  </si>
  <si>
    <t>110280</t>
  </si>
  <si>
    <t>135362</t>
  </si>
  <si>
    <t>112585</t>
  </si>
  <si>
    <t>111002</t>
  </si>
  <si>
    <t>114756</t>
  </si>
  <si>
    <t>109336</t>
  </si>
  <si>
    <t>177916</t>
  </si>
  <si>
    <t>108571</t>
  </si>
  <si>
    <t>110153</t>
  </si>
  <si>
    <t>117629</t>
  </si>
  <si>
    <t>111001</t>
  </si>
  <si>
    <t>126307</t>
  </si>
  <si>
    <t>115721</t>
  </si>
  <si>
    <t>196794</t>
  </si>
  <si>
    <t>114109</t>
  </si>
  <si>
    <t>108572</t>
  </si>
  <si>
    <t>108573</t>
  </si>
  <si>
    <t>177839</t>
  </si>
  <si>
    <t>110488</t>
  </si>
  <si>
    <t>110150</t>
  </si>
  <si>
    <t>110907</t>
  </si>
  <si>
    <t>111629</t>
  </si>
  <si>
    <t>108575</t>
  </si>
  <si>
    <t>108576</t>
  </si>
  <si>
    <t>110636</t>
  </si>
  <si>
    <t>213762</t>
  </si>
  <si>
    <t>110556</t>
  </si>
  <si>
    <t>111452</t>
  </si>
  <si>
    <t>108577</t>
  </si>
  <si>
    <t>110388</t>
  </si>
  <si>
    <t>201713</t>
  </si>
  <si>
    <t>117619</t>
  </si>
  <si>
    <t>108578</t>
  </si>
  <si>
    <t>108579</t>
  </si>
  <si>
    <t>114306</t>
  </si>
  <si>
    <t>118860</t>
  </si>
  <si>
    <t>108580</t>
  </si>
  <si>
    <t>110152</t>
  </si>
  <si>
    <t>110580</t>
  </si>
  <si>
    <t>118723</t>
  </si>
  <si>
    <t>110632</t>
  </si>
  <si>
    <t>108581</t>
  </si>
  <si>
    <t>108582</t>
  </si>
  <si>
    <t>109449</t>
  </si>
  <si>
    <t>110578</t>
  </si>
  <si>
    <t>106727</t>
  </si>
  <si>
    <t>108584</t>
  </si>
  <si>
    <t>109923</t>
  </si>
  <si>
    <t>166512</t>
  </si>
  <si>
    <t>178484</t>
  </si>
  <si>
    <t>207644</t>
  </si>
  <si>
    <t>117743</t>
  </si>
  <si>
    <t>108585</t>
  </si>
  <si>
    <t>110579</t>
  </si>
  <si>
    <t>110435</t>
  </si>
  <si>
    <t>112510</t>
  </si>
  <si>
    <t>110480</t>
  </si>
  <si>
    <t>191408</t>
  </si>
  <si>
    <t>113573</t>
  </si>
  <si>
    <t>118772</t>
  </si>
  <si>
    <t>109887</t>
  </si>
  <si>
    <t>156549</t>
  </si>
  <si>
    <t>108587</t>
  </si>
  <si>
    <t>117939</t>
  </si>
  <si>
    <t>108818</t>
  </si>
  <si>
    <t>108588</t>
  </si>
  <si>
    <t>110351</t>
  </si>
  <si>
    <t>110926</t>
  </si>
  <si>
    <t>110326</t>
  </si>
  <si>
    <t>108589</t>
  </si>
  <si>
    <t>137326</t>
  </si>
  <si>
    <t>110871</t>
  </si>
  <si>
    <t>110663</t>
  </si>
  <si>
    <t>108591</t>
  </si>
  <si>
    <t>110676</t>
  </si>
  <si>
    <t>135005</t>
  </si>
  <si>
    <t>114798</t>
  </si>
  <si>
    <t>108592</t>
  </si>
  <si>
    <t>110602</t>
  </si>
  <si>
    <t>113943</t>
  </si>
  <si>
    <t>117758</t>
  </si>
  <si>
    <t>109924</t>
  </si>
  <si>
    <t>110841</t>
  </si>
  <si>
    <t>110781</t>
  </si>
  <si>
    <t>108593</t>
  </si>
  <si>
    <t>108594</t>
  </si>
  <si>
    <t>110927</t>
  </si>
  <si>
    <t>110576</t>
  </si>
  <si>
    <t>112559</t>
  </si>
  <si>
    <t>109337</t>
  </si>
  <si>
    <t>110813</t>
  </si>
  <si>
    <t>110612</t>
  </si>
  <si>
    <t>110637</t>
  </si>
  <si>
    <t>113944</t>
  </si>
  <si>
    <t>114443</t>
  </si>
  <si>
    <t>108595</t>
  </si>
  <si>
    <t>108596</t>
  </si>
  <si>
    <t>109632</t>
  </si>
  <si>
    <t>110809</t>
  </si>
  <si>
    <t>109338</t>
  </si>
  <si>
    <t>115477</t>
  </si>
  <si>
    <t>108597</t>
  </si>
  <si>
    <t>109646</t>
  </si>
  <si>
    <t>115478</t>
  </si>
  <si>
    <t>115479</t>
  </si>
  <si>
    <t>109925</t>
  </si>
  <si>
    <t>110683</t>
  </si>
  <si>
    <t>111365</t>
  </si>
  <si>
    <t>108598</t>
  </si>
  <si>
    <t>116833</t>
  </si>
  <si>
    <t>108600</t>
  </si>
  <si>
    <t>109921</t>
  </si>
  <si>
    <t>136430</t>
  </si>
  <si>
    <t>113661</t>
  </si>
  <si>
    <t>214464</t>
  </si>
  <si>
    <t>185983</t>
  </si>
  <si>
    <t>197376</t>
  </si>
  <si>
    <t>109304</t>
  </si>
  <si>
    <t>111000</t>
  </si>
  <si>
    <t>157595</t>
  </si>
  <si>
    <t>165811</t>
  </si>
  <si>
    <t>115480</t>
  </si>
  <si>
    <t>108601</t>
  </si>
  <si>
    <t>110206</t>
  </si>
  <si>
    <t>181626</t>
  </si>
  <si>
    <t>109564</t>
  </si>
  <si>
    <t>110635</t>
  </si>
  <si>
    <t>111129</t>
  </si>
  <si>
    <t>108602</t>
  </si>
  <si>
    <t>111642</t>
  </si>
  <si>
    <t>110875</t>
  </si>
  <si>
    <t>116389</t>
  </si>
  <si>
    <t>108604</t>
  </si>
  <si>
    <t>108605</t>
  </si>
  <si>
    <t>157658</t>
  </si>
  <si>
    <t>216158</t>
  </si>
  <si>
    <t>108606</t>
  </si>
  <si>
    <t>108607</t>
  </si>
  <si>
    <t>110465</t>
  </si>
  <si>
    <t>204424</t>
  </si>
  <si>
    <t>110734</t>
  </si>
  <si>
    <t>115481</t>
  </si>
  <si>
    <t>113144</t>
  </si>
  <si>
    <t>109211</t>
  </si>
  <si>
    <t>108608</t>
  </si>
  <si>
    <t>110489</t>
  </si>
  <si>
    <t>110553</t>
  </si>
  <si>
    <t>133727</t>
  </si>
  <si>
    <t>115482</t>
  </si>
  <si>
    <t>108609</t>
  </si>
  <si>
    <t>118864</t>
  </si>
  <si>
    <t>205489</t>
  </si>
  <si>
    <t>199885</t>
  </si>
  <si>
    <t>108610</t>
  </si>
  <si>
    <t>108611</t>
  </si>
  <si>
    <t>110558</t>
  </si>
  <si>
    <t>110930</t>
  </si>
  <si>
    <t>112681</t>
  </si>
  <si>
    <t>117279</t>
  </si>
  <si>
    <t>112248</t>
  </si>
  <si>
    <t>108612</t>
  </si>
  <si>
    <t>108613</t>
  </si>
  <si>
    <t>109922</t>
  </si>
  <si>
    <t>111345</t>
  </si>
  <si>
    <t>117322</t>
  </si>
  <si>
    <t>108614</t>
  </si>
  <si>
    <t>116292</t>
  </si>
  <si>
    <t>117621</t>
  </si>
  <si>
    <t>117314</t>
  </si>
  <si>
    <t>113337</t>
  </si>
  <si>
    <t>108616</t>
  </si>
  <si>
    <t>108617</t>
  </si>
  <si>
    <t>130884</t>
  </si>
  <si>
    <t>113338</t>
  </si>
  <si>
    <t>167267</t>
  </si>
  <si>
    <t>137032</t>
  </si>
  <si>
    <t>108618</t>
  </si>
  <si>
    <t>108619</t>
  </si>
  <si>
    <t>133408</t>
  </si>
  <si>
    <t>110481</t>
  </si>
  <si>
    <t>115483</t>
  </si>
  <si>
    <t>110061</t>
  </si>
  <si>
    <t>108620</t>
  </si>
  <si>
    <t>118851</t>
  </si>
  <si>
    <t>112792</t>
  </si>
  <si>
    <t>127634</t>
  </si>
  <si>
    <t>110675</t>
  </si>
  <si>
    <t>115484</t>
  </si>
  <si>
    <t>110436</t>
  </si>
  <si>
    <t>108621</t>
  </si>
  <si>
    <t>157884</t>
  </si>
  <si>
    <t>115485</t>
  </si>
  <si>
    <t>109330</t>
  </si>
  <si>
    <t>118098</t>
  </si>
  <si>
    <t>115486</t>
  </si>
  <si>
    <t>108622</t>
  </si>
  <si>
    <t>127628</t>
  </si>
  <si>
    <t>108623</t>
  </si>
  <si>
    <t>117211</t>
  </si>
  <si>
    <t>117315</t>
  </si>
  <si>
    <t>109451</t>
  </si>
  <si>
    <t>115487</t>
  </si>
  <si>
    <t>113504</t>
  </si>
  <si>
    <t>108624</t>
  </si>
  <si>
    <t>115488</t>
  </si>
  <si>
    <t>110486</t>
  </si>
  <si>
    <t>116836</t>
  </si>
  <si>
    <t>110630</t>
  </si>
  <si>
    <t>115489</t>
  </si>
  <si>
    <t>189928</t>
  </si>
  <si>
    <t>110872</t>
  </si>
  <si>
    <t>213512</t>
  </si>
  <si>
    <t>108625</t>
  </si>
  <si>
    <t>187696</t>
  </si>
  <si>
    <t>135765</t>
  </si>
  <si>
    <t>158149</t>
  </si>
  <si>
    <t>108626</t>
  </si>
  <si>
    <t>109450</t>
  </si>
  <si>
    <t>112150</t>
  </si>
  <si>
    <t>111721</t>
  </si>
  <si>
    <t>108627</t>
  </si>
  <si>
    <t>108628</t>
  </si>
  <si>
    <t>112347</t>
  </si>
  <si>
    <t>135364</t>
  </si>
  <si>
    <t>108630</t>
  </si>
  <si>
    <t>108631</t>
  </si>
  <si>
    <t>110463</t>
  </si>
  <si>
    <t>108633</t>
  </si>
  <si>
    <t>110561</t>
  </si>
  <si>
    <t>115747</t>
  </si>
  <si>
    <t>108634</t>
  </si>
  <si>
    <t>182180</t>
  </si>
  <si>
    <t>110559</t>
  </si>
  <si>
    <t>189136</t>
  </si>
  <si>
    <t>108635</t>
  </si>
  <si>
    <t>110487</t>
  </si>
  <si>
    <t>108637</t>
  </si>
  <si>
    <t>197184</t>
  </si>
  <si>
    <t>115494</t>
  </si>
  <si>
    <t>199746</t>
  </si>
  <si>
    <t>108641</t>
  </si>
  <si>
    <t>197214</t>
  </si>
  <si>
    <t>108642</t>
  </si>
  <si>
    <t>108649</t>
  </si>
  <si>
    <t>Pneumatic Piston Seal</t>
  </si>
  <si>
    <t>Pneumatic Rod Seal</t>
  </si>
  <si>
    <t>010</t>
  </si>
  <si>
    <t>10.5</t>
  </si>
  <si>
    <t>107138</t>
  </si>
  <si>
    <t>PNRS010-0160-0260-105</t>
  </si>
  <si>
    <t>107139</t>
  </si>
  <si>
    <t>PNRS010-0180-0280-105</t>
  </si>
  <si>
    <t>106613</t>
  </si>
  <si>
    <t>PNRS010-0200-0300-105</t>
  </si>
  <si>
    <t>107140</t>
  </si>
  <si>
    <t>PNRS010-0220-0320-105</t>
  </si>
  <si>
    <t>107141</t>
  </si>
  <si>
    <t>PNRS010-0250-0350-105</t>
  </si>
  <si>
    <t>107142</t>
  </si>
  <si>
    <t>PNRS010-0300-0400-105</t>
  </si>
  <si>
    <t>107144</t>
  </si>
  <si>
    <t>PNRS010-0350-0450-105</t>
  </si>
  <si>
    <t>107145</t>
  </si>
  <si>
    <t>PNRS010-0400-0500-105</t>
  </si>
  <si>
    <t>2.2</t>
  </si>
  <si>
    <t>4.2</t>
  </si>
  <si>
    <t>12.5</t>
  </si>
  <si>
    <t>7.65</t>
  </si>
  <si>
    <t>13.0</t>
  </si>
  <si>
    <t>15.5</t>
  </si>
  <si>
    <t>16.0</t>
  </si>
  <si>
    <t>19.0</t>
  </si>
  <si>
    <t>30.0</t>
  </si>
  <si>
    <t>072</t>
  </si>
  <si>
    <t>110598</t>
  </si>
  <si>
    <t>ROS004-U-0600-0700-053</t>
  </si>
  <si>
    <t>Rod Outer Seal</t>
  </si>
  <si>
    <t>004</t>
  </si>
  <si>
    <t>5.3</t>
  </si>
  <si>
    <t>112928</t>
  </si>
  <si>
    <t>ROS004-U-0700-0800-053</t>
  </si>
  <si>
    <t>110867</t>
  </si>
  <si>
    <t>ROS004-U-0800-0900-053</t>
  </si>
  <si>
    <t>112930</t>
  </si>
  <si>
    <t>ROS004-U-0850-0950-053</t>
  </si>
  <si>
    <t>112931</t>
  </si>
  <si>
    <t>ROS004-U-0900-1000-053</t>
  </si>
  <si>
    <t>112925</t>
  </si>
  <si>
    <t>ROS004-U-1100-1200-053</t>
  </si>
  <si>
    <t>157095</t>
  </si>
  <si>
    <t>RS018-F-0080-0129-022</t>
  </si>
  <si>
    <t>Rod Seal</t>
  </si>
  <si>
    <t>018</t>
  </si>
  <si>
    <t>128306</t>
  </si>
  <si>
    <t>RS018-F-0100-0173-032</t>
  </si>
  <si>
    <t>121712</t>
  </si>
  <si>
    <t>RS018-F-0120-0169-022</t>
  </si>
  <si>
    <t>107742</t>
  </si>
  <si>
    <t>RS018-F-0120-0193-032</t>
  </si>
  <si>
    <t>107743</t>
  </si>
  <si>
    <t>RS018-F-0140-0213-032</t>
  </si>
  <si>
    <t>107744</t>
  </si>
  <si>
    <t>RS018-F-0150-0223-032</t>
  </si>
  <si>
    <t>107745</t>
  </si>
  <si>
    <t>RS018-F-0160-0233-032</t>
  </si>
  <si>
    <t>120654</t>
  </si>
  <si>
    <t>RS018-F-0180-0229-022</t>
  </si>
  <si>
    <t>107746</t>
  </si>
  <si>
    <t>RS018-F-0180-0253-032</t>
  </si>
  <si>
    <t>107747</t>
  </si>
  <si>
    <t>RS018-F-0180-0287-042</t>
  </si>
  <si>
    <t>107748</t>
  </si>
  <si>
    <t>RS018-F-0200-0273-032</t>
  </si>
  <si>
    <t>107749</t>
  </si>
  <si>
    <t>RS018-F-0200-0307-042</t>
  </si>
  <si>
    <t>125643</t>
  </si>
  <si>
    <t>RS018-F-0220-0293-032</t>
  </si>
  <si>
    <t>107750</t>
  </si>
  <si>
    <t>RS018-F-0220-0327-042</t>
  </si>
  <si>
    <t>116504</t>
  </si>
  <si>
    <t>RS018-F-0250-0323-032</t>
  </si>
  <si>
    <t>107751</t>
  </si>
  <si>
    <t>RS018-F-0250-0357-042</t>
  </si>
  <si>
    <t>107752</t>
  </si>
  <si>
    <t>RS018-F-0280-0353-032</t>
  </si>
  <si>
    <t>107753</t>
  </si>
  <si>
    <t>RS018-F-0280-0387-042</t>
  </si>
  <si>
    <t>107754</t>
  </si>
  <si>
    <t>RS018-F-0300-0407-042</t>
  </si>
  <si>
    <t>190802</t>
  </si>
  <si>
    <t>RS018-F-0320-0390-032</t>
  </si>
  <si>
    <t>107755</t>
  </si>
  <si>
    <t>RS018-F-0320-0427-042</t>
  </si>
  <si>
    <t>107756</t>
  </si>
  <si>
    <t>RS018-F-0350-0457-042</t>
  </si>
  <si>
    <t>135639</t>
  </si>
  <si>
    <t>RS018-F-0350-0501-063</t>
  </si>
  <si>
    <t>206283</t>
  </si>
  <si>
    <t>RS018-F-0360-0433-032</t>
  </si>
  <si>
    <t>107757</t>
  </si>
  <si>
    <t>RS018-F-0360-0467-042</t>
  </si>
  <si>
    <t>107758</t>
  </si>
  <si>
    <t>RS018-F-0380-0487-042</t>
  </si>
  <si>
    <t>107759</t>
  </si>
  <si>
    <t>RS018-F-0380-0531-063</t>
  </si>
  <si>
    <t>107760</t>
  </si>
  <si>
    <t>RS018-F-0400-0507-042</t>
  </si>
  <si>
    <t>107761</t>
  </si>
  <si>
    <t>RS018-F-0400-0551-063</t>
  </si>
  <si>
    <t>107762</t>
  </si>
  <si>
    <t>RS018-F-0420-0527-042</t>
  </si>
  <si>
    <t>107763</t>
  </si>
  <si>
    <t>RS018-F-0420-0571-063</t>
  </si>
  <si>
    <t>107764</t>
  </si>
  <si>
    <t>RS018-F-0450-0557-042</t>
  </si>
  <si>
    <t>107765</t>
  </si>
  <si>
    <t>RS018-F-0450-0601-063</t>
  </si>
  <si>
    <t>167609</t>
  </si>
  <si>
    <t>RS018-F-0480-0631-063</t>
  </si>
  <si>
    <t>107766</t>
  </si>
  <si>
    <t>RS018-F-0500-0607-042</t>
  </si>
  <si>
    <t>107767</t>
  </si>
  <si>
    <t>RS018-F-0500-0651-063</t>
  </si>
  <si>
    <t>107768</t>
  </si>
  <si>
    <t>RS018-F-0550-0657-042</t>
  </si>
  <si>
    <t>107769</t>
  </si>
  <si>
    <t>RS018-F-0550-0701-063</t>
  </si>
  <si>
    <t>107770</t>
  </si>
  <si>
    <t>RS018-F-0560-0667-042</t>
  </si>
  <si>
    <t>107771</t>
  </si>
  <si>
    <t>RS018-F-0560-0711-063</t>
  </si>
  <si>
    <t>108069</t>
  </si>
  <si>
    <t>RS018-F-0600-0707-042</t>
  </si>
  <si>
    <t>108072</t>
  </si>
  <si>
    <t>RS018-F-0600-0751-063</t>
  </si>
  <si>
    <t>128340</t>
  </si>
  <si>
    <t>RS018-F-0630-0737-042</t>
  </si>
  <si>
    <t>108077</t>
  </si>
  <si>
    <t>RS018-F-0630-0781-063</t>
  </si>
  <si>
    <t>108079</t>
  </si>
  <si>
    <t>RS018-F-0650-0757-042</t>
  </si>
  <si>
    <t>108080</t>
  </si>
  <si>
    <t>RS018-F-0650-0801-063</t>
  </si>
  <si>
    <t>108081</t>
  </si>
  <si>
    <t>RS018-F-0680-0831-063</t>
  </si>
  <si>
    <t>111959</t>
  </si>
  <si>
    <t>RS018-F-0700-0807-042</t>
  </si>
  <si>
    <t>106729</t>
  </si>
  <si>
    <t>RS018-F-0700-0851-063</t>
  </si>
  <si>
    <t>115025</t>
  </si>
  <si>
    <t>RS018-F-0750-0857-042</t>
  </si>
  <si>
    <t>108082</t>
  </si>
  <si>
    <t>RS018-F-0750-0901-063</t>
  </si>
  <si>
    <t>108083</t>
  </si>
  <si>
    <t>RS018-F-0780-0931-063</t>
  </si>
  <si>
    <t>211034</t>
  </si>
  <si>
    <t>RS018-F-0800-0907-042</t>
  </si>
  <si>
    <t>108084</t>
  </si>
  <si>
    <t>RS018-F-0800-0951-063</t>
  </si>
  <si>
    <t>214676</t>
  </si>
  <si>
    <t>RS018-F-0800-1005-081</t>
  </si>
  <si>
    <t>108085</t>
  </si>
  <si>
    <t>RS018-F-0850-1001-063</t>
  </si>
  <si>
    <t>108086</t>
  </si>
  <si>
    <t>RS018-F-0880-1031-063</t>
  </si>
  <si>
    <t>108087</t>
  </si>
  <si>
    <t>RS018-F-0900-1051-063</t>
  </si>
  <si>
    <t>167728</t>
  </si>
  <si>
    <t>RS018-F-0900-1105-081</t>
  </si>
  <si>
    <t>108088</t>
  </si>
  <si>
    <t>RS018-F-0950-1101-063</t>
  </si>
  <si>
    <t>108089</t>
  </si>
  <si>
    <t>RS018-F-0980-1131-063</t>
  </si>
  <si>
    <t>108090</t>
  </si>
  <si>
    <t>RS018-F-1000-1151-063</t>
  </si>
  <si>
    <t>118148</t>
  </si>
  <si>
    <t>RS018-F-1000-1205-081</t>
  </si>
  <si>
    <t>108091</t>
  </si>
  <si>
    <t>RS018-F-1050-1201-063</t>
  </si>
  <si>
    <t>182119</t>
  </si>
  <si>
    <t>RS018-F-1050-1255-081</t>
  </si>
  <si>
    <t>108093</t>
  </si>
  <si>
    <t>RS018-F-1100-1251-063</t>
  </si>
  <si>
    <t>108094</t>
  </si>
  <si>
    <t>RS018-F-1100-1305-081</t>
  </si>
  <si>
    <t>108095</t>
  </si>
  <si>
    <t>RS018-F-1150-1301-063</t>
  </si>
  <si>
    <t>108096</t>
  </si>
  <si>
    <t>RS018-F-1150-1355-081</t>
  </si>
  <si>
    <t>108097</t>
  </si>
  <si>
    <t>RS018-F-1180-1331-063</t>
  </si>
  <si>
    <t>108098</t>
  </si>
  <si>
    <t>RS018-F-1200-1351-063</t>
  </si>
  <si>
    <t>108099</t>
  </si>
  <si>
    <t>RS018-F-1200-1405-081</t>
  </si>
  <si>
    <t>108100</t>
  </si>
  <si>
    <t>RS018-F-1250-1401-063</t>
  </si>
  <si>
    <t>108101</t>
  </si>
  <si>
    <t>RS018-F-1250-1455-081</t>
  </si>
  <si>
    <t>108103</t>
  </si>
  <si>
    <t>RS018-F-1300-1451-063</t>
  </si>
  <si>
    <t>108105</t>
  </si>
  <si>
    <t>RS018-F-1350-1501-063</t>
  </si>
  <si>
    <t>108106</t>
  </si>
  <si>
    <t>RS018-F-1350-1555-081</t>
  </si>
  <si>
    <t>108109</t>
  </si>
  <si>
    <t>RS018-F-1400-1551-063</t>
  </si>
  <si>
    <t>108110</t>
  </si>
  <si>
    <t>RS018-F-1400-1605-081</t>
  </si>
  <si>
    <t>108111</t>
  </si>
  <si>
    <t>RS018-F-1450-1601-063</t>
  </si>
  <si>
    <t>108112</t>
  </si>
  <si>
    <t>RS018-F-1500-1651-063</t>
  </si>
  <si>
    <t>108113</t>
  </si>
  <si>
    <t>RS018-F-1500-1705-081</t>
  </si>
  <si>
    <t>108114</t>
  </si>
  <si>
    <t>RS018-F-1550-1701-063</t>
  </si>
  <si>
    <t>108115</t>
  </si>
  <si>
    <t>RS018-F-1600-1751-063</t>
  </si>
  <si>
    <t>108116</t>
  </si>
  <si>
    <t>RS018-F-1600-1805-081</t>
  </si>
  <si>
    <t>197107</t>
  </si>
  <si>
    <t>RS018-F-1650-1801-063</t>
  </si>
  <si>
    <t>108117</t>
  </si>
  <si>
    <t>RS018-F-1700-1851-063</t>
  </si>
  <si>
    <t>108118</t>
  </si>
  <si>
    <t>RS018-F-1700-1905-081</t>
  </si>
  <si>
    <t>108120</t>
  </si>
  <si>
    <t>RS018-F-1800-1951-063</t>
  </si>
  <si>
    <t>108121</t>
  </si>
  <si>
    <t>RS018-F-1800-2005-081</t>
  </si>
  <si>
    <t>108122</t>
  </si>
  <si>
    <t>RS018-F-1900-2055-063</t>
  </si>
  <si>
    <t>108123</t>
  </si>
  <si>
    <t>RS018-F-1900-2105-081</t>
  </si>
  <si>
    <t>108125</t>
  </si>
  <si>
    <t>RS018-F-2000-2205-081</t>
  </si>
  <si>
    <t>108126</t>
  </si>
  <si>
    <t>RS018-F-2100-2305-081</t>
  </si>
  <si>
    <t>108128</t>
  </si>
  <si>
    <t>RS018-F-2200-2405-081</t>
  </si>
  <si>
    <t>108130</t>
  </si>
  <si>
    <t>RS018-F-2300-2505-081</t>
  </si>
  <si>
    <t>108131</t>
  </si>
  <si>
    <t>RS018-F-2400-2605-081</t>
  </si>
  <si>
    <t>108132</t>
  </si>
  <si>
    <t>RS018-F-2500-2705-081</t>
  </si>
  <si>
    <t>108133</t>
  </si>
  <si>
    <t>RS018-F-2600-2840-081</t>
  </si>
  <si>
    <t>108135</t>
  </si>
  <si>
    <t>RS018-F-2800-3040-081</t>
  </si>
  <si>
    <t>108136</t>
  </si>
  <si>
    <t>RS018-F-2900-3140-081</t>
  </si>
  <si>
    <t>108140</t>
  </si>
  <si>
    <t>RS018-F-3500-3740-081</t>
  </si>
  <si>
    <t>108141</t>
  </si>
  <si>
    <t>RS018-F-3600-3840-081</t>
  </si>
  <si>
    <t>112125</t>
  </si>
  <si>
    <t>RS018-N-0060-0109-022</t>
  </si>
  <si>
    <t>112525</t>
  </si>
  <si>
    <t>RS018-N-0080-0129-022</t>
  </si>
  <si>
    <t>112169</t>
  </si>
  <si>
    <t>RS018-N-0100-0149-022</t>
  </si>
  <si>
    <t>112741</t>
  </si>
  <si>
    <t>RS018-N-0100-0173-032</t>
  </si>
  <si>
    <t>112108</t>
  </si>
  <si>
    <t>RS018-N-0120-0169-022</t>
  </si>
  <si>
    <t>107651</t>
  </si>
  <si>
    <t>RS018-N-0120-0193-032</t>
  </si>
  <si>
    <t>113812</t>
  </si>
  <si>
    <t>RS018-N-0140-0189-022</t>
  </si>
  <si>
    <t>107652</t>
  </si>
  <si>
    <t>RS018-N-0140-0213-032</t>
  </si>
  <si>
    <t>107653</t>
  </si>
  <si>
    <t>RS018-N-0150-0223-032</t>
  </si>
  <si>
    <t>113968</t>
  </si>
  <si>
    <t>RS018-N-0150-0301-063</t>
  </si>
  <si>
    <t>113662</t>
  </si>
  <si>
    <t>RS018-N-0160-0209-022</t>
  </si>
  <si>
    <t>107654</t>
  </si>
  <si>
    <t>RS018-N-0160-0233-032</t>
  </si>
  <si>
    <t>113813</t>
  </si>
  <si>
    <t>RS018-N-0180-0229-022</t>
  </si>
  <si>
    <t>107655</t>
  </si>
  <si>
    <t>RS018-N-0180-0253-032</t>
  </si>
  <si>
    <t>107656</t>
  </si>
  <si>
    <t>RS018-N-0180-0287-042</t>
  </si>
  <si>
    <t>107657</t>
  </si>
  <si>
    <t>RS018-N-0200-0273-032</t>
  </si>
  <si>
    <t>106478</t>
  </si>
  <si>
    <t>RS018-N-0200-0307-042</t>
  </si>
  <si>
    <t>113969</t>
  </si>
  <si>
    <t>RS018-N-0200-0351-063</t>
  </si>
  <si>
    <t>113814</t>
  </si>
  <si>
    <t>RS018-N-0220-0293-032</t>
  </si>
  <si>
    <t>107658</t>
  </si>
  <si>
    <t>RS018-N-0220-0327-042</t>
  </si>
  <si>
    <t>109265</t>
  </si>
  <si>
    <t>RS018-N-0250-0323-032</t>
  </si>
  <si>
    <t>106734</t>
  </si>
  <si>
    <t>RS018-N-0250-0357-042</t>
  </si>
  <si>
    <t>113970</t>
  </si>
  <si>
    <t>RS018-N-0250-0401-063</t>
  </si>
  <si>
    <t>107659</t>
  </si>
  <si>
    <t>RS018-N-0280-0353-032</t>
  </si>
  <si>
    <t>107660</t>
  </si>
  <si>
    <t>RS018-N-0280-0387-042</t>
  </si>
  <si>
    <t>106479</t>
  </si>
  <si>
    <t>RS018-N-0300-0407-042</t>
  </si>
  <si>
    <t>113971</t>
  </si>
  <si>
    <t>RS018-N-0300-0451-063</t>
  </si>
  <si>
    <t>128348</t>
  </si>
  <si>
    <t>RS018-N-0320-0390-032</t>
  </si>
  <si>
    <t>114289</t>
  </si>
  <si>
    <t>RS018-N-0320-0393-032</t>
  </si>
  <si>
    <t>106516</t>
  </si>
  <si>
    <t>RS018-N-0320-0427-042</t>
  </si>
  <si>
    <t>113675</t>
  </si>
  <si>
    <t>RS018-N-0350-0423-032</t>
  </si>
  <si>
    <t>106735</t>
  </si>
  <si>
    <t>RS018-N-0350-0457-042</t>
  </si>
  <si>
    <t>113972</t>
  </si>
  <si>
    <t>RS018-N-0350-0501-063</t>
  </si>
  <si>
    <t>113676</t>
  </si>
  <si>
    <t>RS018-N-0360-0433-032</t>
  </si>
  <si>
    <t>106549</t>
  </si>
  <si>
    <t>RS018-N-0360-0467-042</t>
  </si>
  <si>
    <t>107661</t>
  </si>
  <si>
    <t>RS018-N-0380-0487-042</t>
  </si>
  <si>
    <t>107662</t>
  </si>
  <si>
    <t>RS018-N-0380-0531-063</t>
  </si>
  <si>
    <t>106650</t>
  </si>
  <si>
    <t>RS018-N-0400-0507-042</t>
  </si>
  <si>
    <t>113683</t>
  </si>
  <si>
    <t>RS018-N-0400-0526-042</t>
  </si>
  <si>
    <t>107663</t>
  </si>
  <si>
    <t>RS018-N-0400-0551-063</t>
  </si>
  <si>
    <t>107664</t>
  </si>
  <si>
    <t>RS018-N-0420-0527-042</t>
  </si>
  <si>
    <t>107665</t>
  </si>
  <si>
    <t>RS018-N-0420-0571-063</t>
  </si>
  <si>
    <t>113816</t>
  </si>
  <si>
    <t>RS018-N-0445-0552-042</t>
  </si>
  <si>
    <t>182150</t>
  </si>
  <si>
    <t>RS018-N-0450-0527-032</t>
  </si>
  <si>
    <t>107666</t>
  </si>
  <si>
    <t>RS018-N-0450-0557-042</t>
  </si>
  <si>
    <t>113687</t>
  </si>
  <si>
    <t>RS018-N-0450-0576-042</t>
  </si>
  <si>
    <t>106736</t>
  </si>
  <si>
    <t>RS018-N-0450-0601-063</t>
  </si>
  <si>
    <t>111256</t>
  </si>
  <si>
    <t>RS018-N-0480-0631-063</t>
  </si>
  <si>
    <t>107667</t>
  </si>
  <si>
    <t>RS018-N-0500-0607-042</t>
  </si>
  <si>
    <t>113685</t>
  </si>
  <si>
    <t>RS018-N-0500-0626-042</t>
  </si>
  <si>
    <t>106585</t>
  </si>
  <si>
    <t>RS018-N-0500-0651-063</t>
  </si>
  <si>
    <t>107668</t>
  </si>
  <si>
    <t>RS018-N-0550-0657-042</t>
  </si>
  <si>
    <t>107669</t>
  </si>
  <si>
    <t>RS018-N-0550-0701-063</t>
  </si>
  <si>
    <t>107670</t>
  </si>
  <si>
    <t>RS018-N-0560-0667-042</t>
  </si>
  <si>
    <t>113689</t>
  </si>
  <si>
    <t>RS018-N-0560-0686-042</t>
  </si>
  <si>
    <t>106737</t>
  </si>
  <si>
    <t>RS018-N-0560-0711-063</t>
  </si>
  <si>
    <t>107671</t>
  </si>
  <si>
    <t>RS018-N-0600-0707-042</t>
  </si>
  <si>
    <t>107672</t>
  </si>
  <si>
    <t>RS018-N-0600-0751-063</t>
  </si>
  <si>
    <t>110658</t>
  </si>
  <si>
    <t>RS018-N-0630-0737-042</t>
  </si>
  <si>
    <t>113690</t>
  </si>
  <si>
    <t>RS018-N-0630-0756-042</t>
  </si>
  <si>
    <t>106695</t>
  </si>
  <si>
    <t>RS018-N-0630-0781-063</t>
  </si>
  <si>
    <t>107673</t>
  </si>
  <si>
    <t>RS018-N-0650-0757-042</t>
  </si>
  <si>
    <t>107674</t>
  </si>
  <si>
    <t>RS018-N-0650-0801-063</t>
  </si>
  <si>
    <t>118344</t>
  </si>
  <si>
    <t>RS018-N-0650-0855-081</t>
  </si>
  <si>
    <t>107675</t>
  </si>
  <si>
    <t>RS018-N-0680-0831-063</t>
  </si>
  <si>
    <t>110886</t>
  </si>
  <si>
    <t>RS018-N-0700-0807-042</t>
  </si>
  <si>
    <t>116074</t>
  </si>
  <si>
    <t>RS018-N-0700-0826-042</t>
  </si>
  <si>
    <t>106471</t>
  </si>
  <si>
    <t>RS018-N-0700-0851-063</t>
  </si>
  <si>
    <t>110659</t>
  </si>
  <si>
    <t>RS018-N-0750-0857-042</t>
  </si>
  <si>
    <t>107676</t>
  </si>
  <si>
    <t>RS018-N-0750-0901-063</t>
  </si>
  <si>
    <t>107677</t>
  </si>
  <si>
    <t>RS018-N-0780-0931-063</t>
  </si>
  <si>
    <t>123856</t>
  </si>
  <si>
    <t>RS018-N-0800-0907-042</t>
  </si>
  <si>
    <t>106418</t>
  </si>
  <si>
    <t>RS018-N-0800-0951-063</t>
  </si>
  <si>
    <t>113678</t>
  </si>
  <si>
    <t>RS018-N-0800-1005-081</t>
  </si>
  <si>
    <t>116864</t>
  </si>
  <si>
    <t>RS018-N-0825-0982-063</t>
  </si>
  <si>
    <t>212165</t>
  </si>
  <si>
    <t>RS018-N-0830-0981-063</t>
  </si>
  <si>
    <t>115860</t>
  </si>
  <si>
    <t>RS018-N-0850-0957-042</t>
  </si>
  <si>
    <t>106651</t>
  </si>
  <si>
    <t>RS018-N-0850-1001-063</t>
  </si>
  <si>
    <t>118569</t>
  </si>
  <si>
    <t>RS018-N-0850-1055-081</t>
  </si>
  <si>
    <t>107678</t>
  </si>
  <si>
    <t>RS018-N-0880-1031-063</t>
  </si>
  <si>
    <t>113496</t>
  </si>
  <si>
    <t>RS018-N-0900-1007-042</t>
  </si>
  <si>
    <t>107679</t>
  </si>
  <si>
    <t>RS018-N-0900-1051-063</t>
  </si>
  <si>
    <t>113680</t>
  </si>
  <si>
    <t>RS018-N-0900-1105-081</t>
  </si>
  <si>
    <t>116865</t>
  </si>
  <si>
    <t>RS018-N-0920-1027-042</t>
  </si>
  <si>
    <t>192189</t>
  </si>
  <si>
    <t>RS018-N-0950-1057-042</t>
  </si>
  <si>
    <t>107680</t>
  </si>
  <si>
    <t>RS018-N-0950-1101-063</t>
  </si>
  <si>
    <t>107681</t>
  </si>
  <si>
    <t>RS018-N-0980-1131-063</t>
  </si>
  <si>
    <t>107682</t>
  </si>
  <si>
    <t>RS018-N-1000-1151-063</t>
  </si>
  <si>
    <t>112004</t>
  </si>
  <si>
    <t>RS018-N-1000-1205-081</t>
  </si>
  <si>
    <t>114105</t>
  </si>
  <si>
    <t>RS018-N-1030-1181-063</t>
  </si>
  <si>
    <t>127110</t>
  </si>
  <si>
    <t>RS018-N-1050-1157-042</t>
  </si>
  <si>
    <t>107683</t>
  </si>
  <si>
    <t>RS018-N-1050-1201-063</t>
  </si>
  <si>
    <t>116866</t>
  </si>
  <si>
    <t>RS018-N-1050-1255-081</t>
  </si>
  <si>
    <t>107685</t>
  </si>
  <si>
    <t>RS018-N-1100-1251-063</t>
  </si>
  <si>
    <t>107686</t>
  </si>
  <si>
    <t>RS018-N-1100-1305-081</t>
  </si>
  <si>
    <t>107687</t>
  </si>
  <si>
    <t>RS018-N-1150-1301-063</t>
  </si>
  <si>
    <t>107688</t>
  </si>
  <si>
    <t>RS018-N-1150-1355-081</t>
  </si>
  <si>
    <t>107689</t>
  </si>
  <si>
    <t>RS018-N-1180-1331-063</t>
  </si>
  <si>
    <t>107690</t>
  </si>
  <si>
    <t>RS018-N-1200-1351-063</t>
  </si>
  <si>
    <t>107691</t>
  </si>
  <si>
    <t>RS018-N-1200-1405-081</t>
  </si>
  <si>
    <t>107692</t>
  </si>
  <si>
    <t>RS018-N-1250-1401-063</t>
  </si>
  <si>
    <t>107693</t>
  </si>
  <si>
    <t>RS018-N-1250-1455-081</t>
  </si>
  <si>
    <t>107694</t>
  </si>
  <si>
    <t>RS018-N-1280-1431-063</t>
  </si>
  <si>
    <t>107695</t>
  </si>
  <si>
    <t>RS018-N-1300-1451-063</t>
  </si>
  <si>
    <t>191276</t>
  </si>
  <si>
    <t>RS018-N-1330-1481-063</t>
  </si>
  <si>
    <t>107697</t>
  </si>
  <si>
    <t>RS018-N-1350-1501-063</t>
  </si>
  <si>
    <t>107698</t>
  </si>
  <si>
    <t>RS018-N-1350-1555-081</t>
  </si>
  <si>
    <t>107699</t>
  </si>
  <si>
    <t>RS018-N-1360-1511-063</t>
  </si>
  <si>
    <t>107701</t>
  </si>
  <si>
    <t>RS018-N-1400-1551-063</t>
  </si>
  <si>
    <t>107702</t>
  </si>
  <si>
    <t>RS018-N-1400-1605-081</t>
  </si>
  <si>
    <t>127884</t>
  </si>
  <si>
    <t>RS018-N-1450-1557-042</t>
  </si>
  <si>
    <t>107703</t>
  </si>
  <si>
    <t>RS018-N-1450-1601-063</t>
  </si>
  <si>
    <t>112670</t>
  </si>
  <si>
    <t>RS018-N-1460-1611-063</t>
  </si>
  <si>
    <t>107704</t>
  </si>
  <si>
    <t>RS018-N-1500-1651-063</t>
  </si>
  <si>
    <t>107705</t>
  </si>
  <si>
    <t>RS018-N-1500-1705-081</t>
  </si>
  <si>
    <t>107706</t>
  </si>
  <si>
    <t>RS018-N-1550-1701-063</t>
  </si>
  <si>
    <t>104945</t>
  </si>
  <si>
    <t>RS018-N-1600-1751-063</t>
  </si>
  <si>
    <t>107707</t>
  </si>
  <si>
    <t>RS018-N-1600-1805-081</t>
  </si>
  <si>
    <t>110746</t>
  </si>
  <si>
    <t>RS018-N-1650-1801-063</t>
  </si>
  <si>
    <t>107708</t>
  </si>
  <si>
    <t>RS018-N-1700-1851-063</t>
  </si>
  <si>
    <t>107709</t>
  </si>
  <si>
    <t>RS018-N-1700-1905-081</t>
  </si>
  <si>
    <t>127882</t>
  </si>
  <si>
    <t>RS018-N-1750-1857-042</t>
  </si>
  <si>
    <t>107711</t>
  </si>
  <si>
    <t>RS018-N-1800-1951-063</t>
  </si>
  <si>
    <t>107712</t>
  </si>
  <si>
    <t>RS018-N-1800-2005-081</t>
  </si>
  <si>
    <t>114035</t>
  </si>
  <si>
    <t>RS018-N-1850-2001-063</t>
  </si>
  <si>
    <t>120595</t>
  </si>
  <si>
    <t>RS018-N-1900-2051-063</t>
  </si>
  <si>
    <t>107714</t>
  </si>
  <si>
    <t>RS018-N-1900-2105-081</t>
  </si>
  <si>
    <t>107716</t>
  </si>
  <si>
    <t>RS018-N-2000-2205-081</t>
  </si>
  <si>
    <t>107717</t>
  </si>
  <si>
    <t>RS018-N-2100-2305-081</t>
  </si>
  <si>
    <t>107719</t>
  </si>
  <si>
    <t>RS018-N-2200-2405-081</t>
  </si>
  <si>
    <t>107721</t>
  </si>
  <si>
    <t>RS018-N-2300-2505-081</t>
  </si>
  <si>
    <t>109315</t>
  </si>
  <si>
    <t>RS018-N-2350-2555-081</t>
  </si>
  <si>
    <t>106546</t>
  </si>
  <si>
    <t>RS018-N-2400-2605-081</t>
  </si>
  <si>
    <t>107722</t>
  </si>
  <si>
    <t>RS018-N-2500-2705-081</t>
  </si>
  <si>
    <t>107723</t>
  </si>
  <si>
    <t>RS018-N-2600-2840-081</t>
  </si>
  <si>
    <t>107725</t>
  </si>
  <si>
    <t>RS018-N-2800-3040-081</t>
  </si>
  <si>
    <t>107726</t>
  </si>
  <si>
    <t>RS018-N-2900-3140-081</t>
  </si>
  <si>
    <t>107730</t>
  </si>
  <si>
    <t>RS018-N-3500-3740-081</t>
  </si>
  <si>
    <t>107731</t>
  </si>
  <si>
    <t>RS018-N-3600-3840-081</t>
  </si>
  <si>
    <t>018N</t>
  </si>
  <si>
    <t>IN</t>
  </si>
  <si>
    <t>126.0</t>
  </si>
  <si>
    <t>135433</t>
  </si>
  <si>
    <t>RS018N-IN-01000-01287-00126</t>
  </si>
  <si>
    <t>135434</t>
  </si>
  <si>
    <t>RS018N-IN-01125-01412-00126</t>
  </si>
  <si>
    <t>135435</t>
  </si>
  <si>
    <t>RS018N-IN-01250-01537-00126</t>
  </si>
  <si>
    <t>181994</t>
  </si>
  <si>
    <t>RS027 0560-0710-125-O</t>
  </si>
  <si>
    <t>027 0560</t>
  </si>
  <si>
    <t>0710</t>
  </si>
  <si>
    <t>113866</t>
  </si>
  <si>
    <t>045</t>
  </si>
  <si>
    <t>110894</t>
  </si>
  <si>
    <t>113471</t>
  </si>
  <si>
    <t>110651</t>
  </si>
  <si>
    <t>192156</t>
  </si>
  <si>
    <t>200961</t>
  </si>
  <si>
    <t>6.65</t>
  </si>
  <si>
    <t>113526</t>
  </si>
  <si>
    <t>5.65</t>
  </si>
  <si>
    <t>110652</t>
  </si>
  <si>
    <t>110257</t>
  </si>
  <si>
    <t>112159</t>
  </si>
  <si>
    <t>7.75</t>
  </si>
  <si>
    <t>115720</t>
  </si>
  <si>
    <t>110893</t>
  </si>
  <si>
    <t>115651</t>
  </si>
  <si>
    <t>199871</t>
  </si>
  <si>
    <t>109561</t>
  </si>
  <si>
    <t>180829</t>
  </si>
  <si>
    <t>180828</t>
  </si>
  <si>
    <t>109755</t>
  </si>
  <si>
    <t>113151</t>
  </si>
  <si>
    <t>8.6</t>
  </si>
  <si>
    <t>137333</t>
  </si>
  <si>
    <t>189745</t>
  </si>
  <si>
    <t>7.15</t>
  </si>
  <si>
    <t>110256</t>
  </si>
  <si>
    <t>109560</t>
  </si>
  <si>
    <t>112586</t>
  </si>
  <si>
    <t>109563</t>
  </si>
  <si>
    <t>113473</t>
  </si>
  <si>
    <t>111942</t>
  </si>
  <si>
    <t>167519</t>
  </si>
  <si>
    <t>157586</t>
  </si>
  <si>
    <t>177172</t>
  </si>
  <si>
    <t>5.15</t>
  </si>
  <si>
    <t>137322</t>
  </si>
  <si>
    <t>14.4</t>
  </si>
  <si>
    <t>157080</t>
  </si>
  <si>
    <t>9.4</t>
  </si>
  <si>
    <t>137327</t>
  </si>
  <si>
    <t>112828</t>
  </si>
  <si>
    <t>177756</t>
  </si>
  <si>
    <t>112830</t>
  </si>
  <si>
    <t>112957</t>
  </si>
  <si>
    <t>136910</t>
  </si>
  <si>
    <t>168705</t>
  </si>
  <si>
    <t>189772</t>
  </si>
  <si>
    <t>118589</t>
  </si>
  <si>
    <t>7.6</t>
  </si>
  <si>
    <t>108342</t>
  </si>
  <si>
    <t>RS054-N-0250-0370-225</t>
  </si>
  <si>
    <t>054</t>
  </si>
  <si>
    <t>22.5</t>
  </si>
  <si>
    <t>108343</t>
  </si>
  <si>
    <t>RS054-N-0280-0400-225</t>
  </si>
  <si>
    <t>108344</t>
  </si>
  <si>
    <t>RS054-N-0300-0420-225</t>
  </si>
  <si>
    <t>108345</t>
  </si>
  <si>
    <t>RS054-N-0320-0470-225</t>
  </si>
  <si>
    <t>108346</t>
  </si>
  <si>
    <t>RS054-N-0350-0500-225</t>
  </si>
  <si>
    <t>108348</t>
  </si>
  <si>
    <t>RS054-N-0360-0480-190</t>
  </si>
  <si>
    <t>113474</t>
  </si>
  <si>
    <t>RS054-N-0360-0480-225</t>
  </si>
  <si>
    <t>108349</t>
  </si>
  <si>
    <t>RS054-N-0360-0510-225</t>
  </si>
  <si>
    <t>108350</t>
  </si>
  <si>
    <t>RS054-N-0400-0550-225</t>
  </si>
  <si>
    <t>108351</t>
  </si>
  <si>
    <t>RS054-N-0450-0600-225</t>
  </si>
  <si>
    <t>108352</t>
  </si>
  <si>
    <t>RS054-N-0450-0630-300</t>
  </si>
  <si>
    <t>108353</t>
  </si>
  <si>
    <t>RS054-N-0450-0650-300</t>
  </si>
  <si>
    <t>108354</t>
  </si>
  <si>
    <t>RS054-N-0500-0650-225</t>
  </si>
  <si>
    <t>106760</t>
  </si>
  <si>
    <t>RS054-N-0500-0700-300</t>
  </si>
  <si>
    <t>108355</t>
  </si>
  <si>
    <t>RS054-N-0550-0700-350</t>
  </si>
  <si>
    <t>108356</t>
  </si>
  <si>
    <t>RS054-N-0550-0750-370</t>
  </si>
  <si>
    <t>37.0</t>
  </si>
  <si>
    <t>108357</t>
  </si>
  <si>
    <t>RS054-N-0560-0710-225</t>
  </si>
  <si>
    <t>108358</t>
  </si>
  <si>
    <t>RS054-N-0560-0760-370</t>
  </si>
  <si>
    <t>108359</t>
  </si>
  <si>
    <t>RS054-N-0600-0750-225</t>
  </si>
  <si>
    <t>108360</t>
  </si>
  <si>
    <t>RS054-N-0600-0800-370</t>
  </si>
  <si>
    <t>108361</t>
  </si>
  <si>
    <t>RS054-N-0630-0780-225</t>
  </si>
  <si>
    <t>108362</t>
  </si>
  <si>
    <t>RS054-N-0630-0830-370</t>
  </si>
  <si>
    <t>108364</t>
  </si>
  <si>
    <t>RS054-N-0700-0850-225</t>
  </si>
  <si>
    <t>108365</t>
  </si>
  <si>
    <t>RS054-N-0700-0900-400(1+2+1+1)</t>
  </si>
  <si>
    <t>400(1+2+1+1)</t>
  </si>
  <si>
    <t>108366</t>
  </si>
  <si>
    <t>RS054-N-0750-0900-225</t>
  </si>
  <si>
    <t>108367</t>
  </si>
  <si>
    <t>RS054-N-0750-0950-400</t>
  </si>
  <si>
    <t>40.0</t>
  </si>
  <si>
    <t>108368</t>
  </si>
  <si>
    <t>RS054-N-0800-0950-225</t>
  </si>
  <si>
    <t>108369</t>
  </si>
  <si>
    <t>RS054-N-0800-1000-400</t>
  </si>
  <si>
    <t>108370</t>
  </si>
  <si>
    <t>RS054-N-0850-1050-400</t>
  </si>
  <si>
    <t>108371</t>
  </si>
  <si>
    <t>RS054-N-0900-1050-250</t>
  </si>
  <si>
    <t>25.0</t>
  </si>
  <si>
    <t>108372</t>
  </si>
  <si>
    <t>RS054-N-0900-1100-400</t>
  </si>
  <si>
    <t>108374</t>
  </si>
  <si>
    <t>RS054-N-0950-1150-400</t>
  </si>
  <si>
    <t>107875</t>
  </si>
  <si>
    <t>RS054-N-1000-1200-400</t>
  </si>
  <si>
    <t>110239</t>
  </si>
  <si>
    <t>RS054-N-1000-1250-400</t>
  </si>
  <si>
    <t>106403</t>
  </si>
  <si>
    <t>RS054-N-1100-1300-400</t>
  </si>
  <si>
    <t>108375</t>
  </si>
  <si>
    <t>RS054-N-1100-1350-400</t>
  </si>
  <si>
    <t>50.0</t>
  </si>
  <si>
    <t>108377</t>
  </si>
  <si>
    <t>RS054-N-1150-1400-460</t>
  </si>
  <si>
    <t>46.0</t>
  </si>
  <si>
    <t>108378</t>
  </si>
  <si>
    <t>RS054-N-1200-1400-400</t>
  </si>
  <si>
    <t>108379</t>
  </si>
  <si>
    <t>RS054-N-1200-1450-460</t>
  </si>
  <si>
    <t>108380</t>
  </si>
  <si>
    <t>RS054-N-1250-1500-460</t>
  </si>
  <si>
    <t>108382</t>
  </si>
  <si>
    <t>RS054-N-1300-1550-500</t>
  </si>
  <si>
    <t>RS054-N-1400-1550-500</t>
  </si>
  <si>
    <t>108383</t>
  </si>
  <si>
    <t>RS054-N-1400-1650-460</t>
  </si>
  <si>
    <t>108384</t>
  </si>
  <si>
    <t>RS054-N-1400-1700-400</t>
  </si>
  <si>
    <t>60.0</t>
  </si>
  <si>
    <t>108387</t>
  </si>
  <si>
    <t>RS054-N-1700-1950-460</t>
  </si>
  <si>
    <t>108388</t>
  </si>
  <si>
    <t>RS054-N-1800-2100-600</t>
  </si>
  <si>
    <t>108390</t>
  </si>
  <si>
    <t>RS054-N-2000-2200-500</t>
  </si>
  <si>
    <t>106447</t>
  </si>
  <si>
    <t>RS054-N-2000-2300-600</t>
  </si>
  <si>
    <t>108391</t>
  </si>
  <si>
    <t>RS054-N-2200-2500-600</t>
  </si>
  <si>
    <t>063</t>
  </si>
  <si>
    <t>104944</t>
  </si>
  <si>
    <t>RS063-U-0400-0555-063</t>
  </si>
  <si>
    <t>108403</t>
  </si>
  <si>
    <t>RS063-U-0450-0605-063</t>
  </si>
  <si>
    <t>108404</t>
  </si>
  <si>
    <t>RS063-U-0500-0655-063</t>
  </si>
  <si>
    <t>108405</t>
  </si>
  <si>
    <t>RS063-U-0550-0705-063</t>
  </si>
  <si>
    <t>107939</t>
  </si>
  <si>
    <t>RS063-U-0560-0715-063</t>
  </si>
  <si>
    <t>107940</t>
  </si>
  <si>
    <t>RS063-U-0600-0755-063</t>
  </si>
  <si>
    <t>108406</t>
  </si>
  <si>
    <t>RS063-U-0630-0785-063</t>
  </si>
  <si>
    <t>108407</t>
  </si>
  <si>
    <t>RS063-U-0650-0805-063</t>
  </si>
  <si>
    <t>108408</t>
  </si>
  <si>
    <t>RS063-U-0700-0855-063</t>
  </si>
  <si>
    <t>108409</t>
  </si>
  <si>
    <t>RS063-U-0750-0905-063</t>
  </si>
  <si>
    <t>108410</t>
  </si>
  <si>
    <t>RS063-U-0800-0955-063</t>
  </si>
  <si>
    <t>108411</t>
  </si>
  <si>
    <t>RS063-U-0850-1005-063</t>
  </si>
  <si>
    <t>106423</t>
  </si>
  <si>
    <t>RS063-U-0900-1055-063</t>
  </si>
  <si>
    <t>108412</t>
  </si>
  <si>
    <t>RS063-U-0950-1105-063</t>
  </si>
  <si>
    <t>106395</t>
  </si>
  <si>
    <t>RS063-U-1000-1155-063</t>
  </si>
  <si>
    <t>108413</t>
  </si>
  <si>
    <t>RS063-U-1050-1205-063</t>
  </si>
  <si>
    <t>108414</t>
  </si>
  <si>
    <t>RS063-U-1100-1255-063</t>
  </si>
  <si>
    <t>108415</t>
  </si>
  <si>
    <t>RS063-U-1150-1305-063</t>
  </si>
  <si>
    <t>106396</t>
  </si>
  <si>
    <t>RS063-U-1200-1355-063</t>
  </si>
  <si>
    <t>108416</t>
  </si>
  <si>
    <t>RS063-U-1250-1405-063</t>
  </si>
  <si>
    <t>108417</t>
  </si>
  <si>
    <t>RS063-U-1300-1455-063</t>
  </si>
  <si>
    <t>136349</t>
  </si>
  <si>
    <t>RS063-U-1330-1485-063</t>
  </si>
  <si>
    <t>108418</t>
  </si>
  <si>
    <t>RS063-U-1350-1505-063</t>
  </si>
  <si>
    <t>106632</t>
  </si>
  <si>
    <t>RS063-U-1400-1555-063</t>
  </si>
  <si>
    <t>108419</t>
  </si>
  <si>
    <t>RS063-U-1450-1605-063</t>
  </si>
  <si>
    <t>108420</t>
  </si>
  <si>
    <t>RS063-U-1500-1655-063</t>
  </si>
  <si>
    <t>128606</t>
  </si>
  <si>
    <t>RS063-U-1500-1701-081</t>
  </si>
  <si>
    <t>114144</t>
  </si>
  <si>
    <t>RS063-U-1550-1705-063</t>
  </si>
  <si>
    <t>108421</t>
  </si>
  <si>
    <t>RS063-U-1600-1755-063</t>
  </si>
  <si>
    <t>108422</t>
  </si>
  <si>
    <t>RS063-U-1700-1855-063</t>
  </si>
  <si>
    <t>107941</t>
  </si>
  <si>
    <t>RS063-U-1800-1955-063</t>
  </si>
  <si>
    <t>108423</t>
  </si>
  <si>
    <t>RS063-U-1900-2055-063</t>
  </si>
  <si>
    <t>107942</t>
  </si>
  <si>
    <t>RS063-U-2000-2210-081</t>
  </si>
  <si>
    <t>108424</t>
  </si>
  <si>
    <t>RS072-F-0140-0220-075</t>
  </si>
  <si>
    <t>108425</t>
  </si>
  <si>
    <t>RS072-F-0160-0240-075</t>
  </si>
  <si>
    <t>108426</t>
  </si>
  <si>
    <t>RS072-F-0180-0260-075</t>
  </si>
  <si>
    <t>108427</t>
  </si>
  <si>
    <t>RS072-F-0200-0280-075</t>
  </si>
  <si>
    <t>108428</t>
  </si>
  <si>
    <t>RS072-F-0220-0300-075</t>
  </si>
  <si>
    <t>108429</t>
  </si>
  <si>
    <t>RS072-F-0250-0330-075</t>
  </si>
  <si>
    <t>108430</t>
  </si>
  <si>
    <t>RS072-F-0280-0360-075</t>
  </si>
  <si>
    <t>108431</t>
  </si>
  <si>
    <t>RS072-F-0300-0380-075</t>
  </si>
  <si>
    <t>108432</t>
  </si>
  <si>
    <t>RS072-F-0320-0400-075</t>
  </si>
  <si>
    <t>108433</t>
  </si>
  <si>
    <t>RS072-F-0350-0430-075</t>
  </si>
  <si>
    <t>128498</t>
  </si>
  <si>
    <t>RS072-F-0350-0450-11</t>
  </si>
  <si>
    <t>166971</t>
  </si>
  <si>
    <t>RS072-F-0360-0440-085</t>
  </si>
  <si>
    <t>108435</t>
  </si>
  <si>
    <t>RS072-F-0400-0480-085</t>
  </si>
  <si>
    <t>108436</t>
  </si>
  <si>
    <t>RS072-F-0450-0550-110</t>
  </si>
  <si>
    <t>108437</t>
  </si>
  <si>
    <t>RS072-F-0500-0600-110</t>
  </si>
  <si>
    <t>108438</t>
  </si>
  <si>
    <t>RS072-F-0550-0650-110</t>
  </si>
  <si>
    <t>108439</t>
  </si>
  <si>
    <t>RS072-F-0560-0710-130</t>
  </si>
  <si>
    <t>108440</t>
  </si>
  <si>
    <t>RS072-F-0600-0750-130</t>
  </si>
  <si>
    <t>108441</t>
  </si>
  <si>
    <t>RS072-F-0630-0780-130</t>
  </si>
  <si>
    <t>108443</t>
  </si>
  <si>
    <t>RS072-F-0650-0800-130</t>
  </si>
  <si>
    <t>106494</t>
  </si>
  <si>
    <t>RS072-F-0700-0850-130</t>
  </si>
  <si>
    <t>108446</t>
  </si>
  <si>
    <t>RS072-F-0750-0900-130</t>
  </si>
  <si>
    <t>108447</t>
  </si>
  <si>
    <t>RS072-F-0800-0950-130</t>
  </si>
  <si>
    <t>108448</t>
  </si>
  <si>
    <t>RS072-F-0850-1000-130</t>
  </si>
  <si>
    <t>108449</t>
  </si>
  <si>
    <t>RS072-F-0900-1050-130</t>
  </si>
  <si>
    <t>108451</t>
  </si>
  <si>
    <t>RS072-F-0950-1100-130</t>
  </si>
  <si>
    <t>108452</t>
  </si>
  <si>
    <t>RS072-F-1000-1150-130</t>
  </si>
  <si>
    <t>108453</t>
  </si>
  <si>
    <t>RS072-F-1000-1200-150</t>
  </si>
  <si>
    <t>15.0</t>
  </si>
  <si>
    <t>108454</t>
  </si>
  <si>
    <t>RS072-F-1050-1200-130</t>
  </si>
  <si>
    <t>108455</t>
  </si>
  <si>
    <t>RS072-F-1100-1250-130</t>
  </si>
  <si>
    <t>108457</t>
  </si>
  <si>
    <t>RS072-F-1200-1400-170</t>
  </si>
  <si>
    <t>17.0</t>
  </si>
  <si>
    <t>108458</t>
  </si>
  <si>
    <t>RS072-F-1250-1450-170</t>
  </si>
  <si>
    <t>199588</t>
  </si>
  <si>
    <t>RS072-F-1300-1450-130</t>
  </si>
  <si>
    <t>108459</t>
  </si>
  <si>
    <t>RS072-F-1300-1500-170</t>
  </si>
  <si>
    <t>108460</t>
  </si>
  <si>
    <t>RS072-F-1400-1600-170</t>
  </si>
  <si>
    <t>108461</t>
  </si>
  <si>
    <t>RS072-F-1500-1700-170</t>
  </si>
  <si>
    <t>108462</t>
  </si>
  <si>
    <t>RS072-F-1600-1800-170</t>
  </si>
  <si>
    <t>108463</t>
  </si>
  <si>
    <t>RS072-F-1700-1900-170</t>
  </si>
  <si>
    <t>108466</t>
  </si>
  <si>
    <t>RS072-F-1800-2000-170</t>
  </si>
  <si>
    <t>108468</t>
  </si>
  <si>
    <t>RS072-F-2000-2200-170</t>
  </si>
  <si>
    <t>202191</t>
  </si>
  <si>
    <t>RS072-P-0300-0380-075</t>
  </si>
  <si>
    <t>P</t>
  </si>
  <si>
    <t>190735</t>
  </si>
  <si>
    <t>RS072-P-0350-0430-075</t>
  </si>
  <si>
    <t>191700</t>
  </si>
  <si>
    <t>RS072-P-0700-0850-130</t>
  </si>
  <si>
    <t>191256</t>
  </si>
  <si>
    <t>RS072-P-0900-1050-130</t>
  </si>
  <si>
    <t>181837</t>
  </si>
  <si>
    <t>117</t>
  </si>
  <si>
    <t>H</t>
  </si>
  <si>
    <t>194512</t>
  </si>
  <si>
    <t>182208</t>
  </si>
  <si>
    <t>179599</t>
  </si>
  <si>
    <t>179383</t>
  </si>
  <si>
    <t>182889</t>
  </si>
  <si>
    <t>193886</t>
  </si>
  <si>
    <t>179384</t>
  </si>
  <si>
    <t>193887</t>
  </si>
  <si>
    <t>179385</t>
  </si>
  <si>
    <t>179386</t>
  </si>
  <si>
    <t>180921</t>
  </si>
  <si>
    <t>184213</t>
  </si>
  <si>
    <t>179387</t>
  </si>
  <si>
    <t>180495</t>
  </si>
  <si>
    <t>185515</t>
  </si>
  <si>
    <t>178843</t>
  </si>
  <si>
    <t>182330</t>
  </si>
  <si>
    <t>179388</t>
  </si>
  <si>
    <t>182331</t>
  </si>
  <si>
    <t>166451</t>
  </si>
  <si>
    <t>184623</t>
  </si>
  <si>
    <t>182333</t>
  </si>
  <si>
    <t>185507</t>
  </si>
  <si>
    <t>184406</t>
  </si>
  <si>
    <t>113506</t>
  </si>
  <si>
    <t>RS117-U-0350-0457-042 (PU)</t>
  </si>
  <si>
    <t>042 (PU)</t>
  </si>
  <si>
    <t>180883</t>
  </si>
  <si>
    <t>171</t>
  </si>
  <si>
    <t>157148</t>
  </si>
  <si>
    <t>181885</t>
  </si>
  <si>
    <t>157476</t>
  </si>
  <si>
    <t>181856</t>
  </si>
  <si>
    <t>157094</t>
  </si>
  <si>
    <t>179882</t>
  </si>
  <si>
    <t>135677</t>
  </si>
  <si>
    <t>116700</t>
  </si>
  <si>
    <t>116701</t>
  </si>
  <si>
    <t>118254</t>
  </si>
  <si>
    <t>Shaft Seal / Simmer Ring</t>
  </si>
  <si>
    <t>001</t>
  </si>
  <si>
    <t>111916</t>
  </si>
  <si>
    <t>4.0</t>
  </si>
  <si>
    <t>111133</t>
  </si>
  <si>
    <t>6.25</t>
  </si>
  <si>
    <t>116596</t>
  </si>
  <si>
    <t>5.4</t>
  </si>
  <si>
    <t>166501</t>
  </si>
  <si>
    <t>116171</t>
  </si>
  <si>
    <t>110969</t>
  </si>
  <si>
    <t>108467</t>
  </si>
  <si>
    <t>207958</t>
  </si>
  <si>
    <t>191743</t>
  </si>
  <si>
    <t>103578</t>
  </si>
  <si>
    <t>116595</t>
  </si>
  <si>
    <t>6.4</t>
  </si>
  <si>
    <t>111279</t>
  </si>
  <si>
    <t>110858</t>
  </si>
  <si>
    <t>111606</t>
  </si>
  <si>
    <t>130997</t>
  </si>
  <si>
    <t>12.4</t>
  </si>
  <si>
    <t>106247</t>
  </si>
  <si>
    <t>118570</t>
  </si>
  <si>
    <t>15.25</t>
  </si>
  <si>
    <t>109729</t>
  </si>
  <si>
    <t>118571</t>
  </si>
  <si>
    <t>167445</t>
  </si>
  <si>
    <t>106299</t>
  </si>
  <si>
    <t>116133</t>
  </si>
  <si>
    <t>109913</t>
  </si>
  <si>
    <t>121547</t>
  </si>
  <si>
    <t>11.95</t>
  </si>
  <si>
    <t>129930</t>
  </si>
  <si>
    <t>15.35</t>
  </si>
  <si>
    <t>210307</t>
  </si>
  <si>
    <t>18.1</t>
  </si>
  <si>
    <t>FPE SEALS  |  Grey Background</t>
  </si>
  <si>
    <t>ANALYSIS</t>
  </si>
  <si>
    <t>Exchange Rate Used: £1 = ₹122.5  |  Source: 6-month average Oct 2025–Apr 2026  |  Positive 'Price Diff ₹' = FPE costs MORE than your price</t>
  </si>
  <si>
    <t>Name / Part Code</t>
  </si>
  <si>
    <t>Seal Type</t>
  </si>
  <si>
    <t>Series</t>
  </si>
  <si>
    <t>Material</t>
  </si>
  <si>
    <t>Inner Ø (mm)</t>
  </si>
  <si>
    <t>Outer Ø (mm)</t>
  </si>
  <si>
    <t>Price ₹ (INR)</t>
  </si>
  <si>
    <t>SKU</t>
  </si>
  <si>
    <t>Description</t>
  </si>
  <si>
    <t>Category</t>
  </si>
  <si>
    <t>Product Type</t>
  </si>
  <si>
    <t>Price £ (GBP)</t>
  </si>
  <si>
    <t>GBP→INR (₹)</t>
  </si>
  <si>
    <t>Stock Qty</t>
  </si>
  <si>
    <t>Dim Source</t>
  </si>
  <si>
    <t>Price Diff ₹</t>
  </si>
  <si>
    <t>Diff %</t>
  </si>
  <si>
    <t>Match Note</t>
  </si>
  <si>
    <t>WR12-18-4-7UL-P-H839</t>
  </si>
  <si>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</si>
  <si>
    <t>Hallite Wiper Seal</t>
  </si>
  <si>
    <t>HalliteÂ® Type 839</t>
  </si>
  <si>
    <t>mm</t>
  </si>
  <si>
    <t>ID diff=0.00mm, OD diff=0.00mm</t>
  </si>
  <si>
    <t>WR18-24-5-7M-P-H38</t>
  </si>
  <si>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</si>
  <si>
    <t>HalliteÂ® Type 38</t>
  </si>
  <si>
    <t>WR18-26-4-6M-R-H33</t>
  </si>
  <si>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</si>
  <si>
    <t>HalliteÂ® Type 33</t>
  </si>
  <si>
    <t>WR20-28-4-6C-R-H33</t>
  </si>
  <si>
    <t>Get A Quote</t>
  </si>
  <si>
    <t>WR22-30-4-6M-R-H33</t>
  </si>
  <si>
    <t>WR25-33-4-6M-R-H33</t>
  </si>
  <si>
    <t>WR28-36-5-7M-P-H38</t>
  </si>
  <si>
    <t>WR30-38-5-7M-P-H38</t>
  </si>
  <si>
    <t>WR32-40-5-6.4M-R-H33</t>
  </si>
  <si>
    <t>WR35-43-5-7M-P-H38</t>
  </si>
  <si>
    <t>WR36-44-5-7M-P-H38</t>
  </si>
  <si>
    <t>WR38-46-5-8A6-P-H842</t>
  </si>
  <si>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</si>
  <si>
    <t>HalliteÂ® Type 842</t>
  </si>
  <si>
    <t>WR40-48-5-7M-P-H38</t>
  </si>
  <si>
    <t>WR162200-018-028M-XL-P-H520</t>
  </si>
  <si>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</si>
  <si>
    <t>HalliteÂ® Type 520</t>
  </si>
  <si>
    <t>inch→mm</t>
  </si>
  <si>
    <t>ID diff=0.85mm, OD diff=0.80mm [inch→mm]</t>
  </si>
  <si>
    <t>WR45-53-5-7M-P-H38</t>
  </si>
  <si>
    <t>WR45-55-5-7M-P-H38</t>
  </si>
  <si>
    <t>WR50-58-5-7M-R-H33</t>
  </si>
  <si>
    <t>WR50-60-5-7M-P-H38</t>
  </si>
  <si>
    <t>WR55-65-5.3-6.8UL-P-H839</t>
  </si>
  <si>
    <t>WR56-66-6-8M-R-H33</t>
  </si>
  <si>
    <t>WR60-70-6-10M-P-H38</t>
  </si>
  <si>
    <t>WR63-73-6-8M-R-H33</t>
  </si>
  <si>
    <t>WR65-75-6-10M-P-H38</t>
  </si>
  <si>
    <t>WR70-80-5-7M-P-H38</t>
  </si>
  <si>
    <t>WR70-78-4-8.7DA-L-P-H846</t>
  </si>
  <si>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</si>
  <si>
    <t>HalliteÂ® Type 846</t>
  </si>
  <si>
    <t>WR70-82-7-10M-P-H38</t>
  </si>
  <si>
    <t>WR75-87-6-9M-R-H33</t>
  </si>
  <si>
    <t>WR80-92-7.2-12M-P-H38</t>
  </si>
  <si>
    <t>WR85-97-8-12A6-P-H842</t>
  </si>
  <si>
    <t>WR90-102-7-12M-P-H38</t>
  </si>
  <si>
    <t>WR95-107-7-12M-P-H38</t>
  </si>
  <si>
    <t>WR100-112-7.2-12M-P-H38</t>
  </si>
  <si>
    <t>WR110-122-7.2-12M-P-H38</t>
  </si>
  <si>
    <t>WR120-132-7-12M-P-H38</t>
  </si>
  <si>
    <t>WR125-137-7.7-12M-P-H38</t>
  </si>
  <si>
    <t>WR125-140-9.5-14M-P-H38</t>
  </si>
  <si>
    <t>WR130-142-7.2-12M-P-H38</t>
  </si>
  <si>
    <t>WR140-152-7.7-12M-P-H38</t>
  </si>
  <si>
    <t>WR140-155-9.5-12.5M-R-H33</t>
  </si>
  <si>
    <t>WR150-162-7-12M-P-H38</t>
  </si>
  <si>
    <t>WR150-165-7.2-12M-P-H38</t>
  </si>
  <si>
    <t>WR160-175-9.5-14M-P-H38</t>
  </si>
  <si>
    <t>WR12-20-4-6M-R-H33</t>
  </si>
  <si>
    <t>WR14-22-4-6M-R-H33</t>
  </si>
  <si>
    <t>ID diff=1.00mm, OD diff=0.40mm</t>
  </si>
  <si>
    <t>WR16-24-4-6M-R-H33</t>
  </si>
  <si>
    <t>ID diff=0.00mm, OD diff=0.60mm</t>
  </si>
  <si>
    <t>WR18-28-7-10MC-P-H860</t>
  </si>
  <si>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</si>
  <si>
    <t>HalliteÂ® Type 860</t>
  </si>
  <si>
    <t>WR112150-018-028M-XL-P-H520</t>
  </si>
  <si>
    <t>ID diff=0.45mm, OD diff=0.10mm [inch→mm]</t>
  </si>
  <si>
    <t>WR30-40-5-8MC-P-H860</t>
  </si>
  <si>
    <t>WR30-42-6-9M-R-H33</t>
  </si>
  <si>
    <t>WR35-45-7-10MC-P-H860</t>
  </si>
  <si>
    <t>WR35-47-6-9M-R-H33</t>
  </si>
  <si>
    <t>ID diff=1.00mm, OD diff=1.00mm</t>
  </si>
  <si>
    <t>WR50-62-6-9M-R-H33</t>
  </si>
  <si>
    <t>WR55-67-6-9M-R-H33</t>
  </si>
  <si>
    <t>ID diff=0.00mm, OD diff=1.00mm</t>
  </si>
  <si>
    <t>WR65-77-6-9M-R-H33</t>
  </si>
  <si>
    <t>WR75-83-5-7M-P-H38</t>
  </si>
  <si>
    <t>WR80-90-6-9M-R-H33</t>
  </si>
  <si>
    <t>WR135-147-7-10M-P-H831</t>
  </si>
  <si>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</si>
  <si>
    <t>HalliteÂ® Type 831</t>
  </si>
  <si>
    <t>ID diff=0.00mm, OD diff=0.20mm</t>
  </si>
  <si>
    <t>WR170-182-7.5-12M-P-H38</t>
  </si>
  <si>
    <t>WR180-200-10-18M-P-H38</t>
  </si>
  <si>
    <t>WR190-209-6-14A6-P-H842</t>
  </si>
  <si>
    <t>WR200-220-10-18M-P-H38</t>
  </si>
  <si>
    <t>WR220-240-10-18M-P-H38</t>
  </si>
  <si>
    <t>WR230-250-10-18M-P-H38</t>
  </si>
  <si>
    <t>WR240-260-10.2-18M-P-H38</t>
  </si>
  <si>
    <t>WR250-270-10-18M-P-H38</t>
  </si>
  <si>
    <t>WR260-280-10-18M-P-H38</t>
  </si>
  <si>
    <t>WR280-300-10-18M-P-H38</t>
  </si>
  <si>
    <t>WR290-310-12-18M-P-H38</t>
  </si>
  <si>
    <t>WR300-320-10.2-18M-P-H38</t>
  </si>
  <si>
    <t>WR25-35-5-8MC-P-H860</t>
  </si>
  <si>
    <t>WR137187-012-037C-R-H33</t>
  </si>
  <si>
    <t>ID diff=0.05mm, OD diff=0.25mm [inch→mm]</t>
  </si>
  <si>
    <t>WR150187-018-028M-XL-P-H520</t>
  </si>
  <si>
    <t>ID diff=0.10mm, OD diff=0.50mm [inch→mm]</t>
  </si>
  <si>
    <t>WR40-50-7-10MC-P-H860</t>
  </si>
  <si>
    <t>WR40-52-6-9M-R-H33</t>
  </si>
  <si>
    <t>ID diff=0.00mm, OD diff=0.50mm</t>
  </si>
  <si>
    <t>WR45-57-6-9M-R-H33</t>
  </si>
  <si>
    <t>WR60-68-5-7M-XL-P-H831</t>
  </si>
  <si>
    <t>WR275306-018-050A6-P-H842</t>
  </si>
  <si>
    <t>ID diff=1.85mm, OD diff=1.72mm [inch→mm]</t>
  </si>
  <si>
    <t>WR85-95-7-10MC-P-H860</t>
  </si>
  <si>
    <t>ID diff=1.00mm, OD diff=0.00mm</t>
  </si>
  <si>
    <t>WR90-105-5.1-10A6-P-H842</t>
  </si>
  <si>
    <t>WR120-135-9.5-13M-P-H38</t>
  </si>
  <si>
    <t>WR170-185-9.5-14M-P-H38</t>
  </si>
  <si>
    <t>WR110-120-7-10MC-P-H860</t>
  </si>
  <si>
    <t>WR180-195-9.5-14M-P-H38</t>
  </si>
  <si>
    <t>WR20-30-5-8MC-P-H860</t>
  </si>
  <si>
    <t>WR25-37-6-9MC-P-H860</t>
  </si>
  <si>
    <t>WR125162-018-028M-XL-P-H520</t>
  </si>
  <si>
    <t>ID diff=0.25mm, OD diff=0.85mm [inch→mm]</t>
  </si>
  <si>
    <t>WR32-44-6-9M-R-H33</t>
  </si>
  <si>
    <t>WR36-48-6-9M-R-H33</t>
  </si>
  <si>
    <t>ID diff=0.85mm, OD diff=1.20mm [inch→mm]</t>
  </si>
  <si>
    <t>WR75-85-6-10M-P-H38</t>
  </si>
  <si>
    <t>WR90-100-6-9M-P-H38</t>
  </si>
  <si>
    <t>WR96-104-7.6-10M-P-H38</t>
  </si>
  <si>
    <t>WR100-110-5.3-7M-P-H38</t>
  </si>
  <si>
    <t>WR130-145-10-16M-P-H38</t>
  </si>
  <si>
    <t>WR145-160-9.5-14A6-P-H842</t>
  </si>
  <si>
    <t>ID diff=0.45mm, OD diff=1.90mm [inch→mm]</t>
  </si>
  <si>
    <t>WR200250-025-037M-XL-P-H520</t>
  </si>
  <si>
    <t>ID diff=0.80mm, OD diff=0.00mm [inch→mm]</t>
  </si>
  <si>
    <t>ID diff=0.80mm, OD diff=0.50mm [inch→mm]</t>
  </si>
  <si>
    <t>WR56-68-6-9M-R-H33</t>
  </si>
  <si>
    <t>WR225275-025-037M-XL-P-H520</t>
  </si>
  <si>
    <t>ID diff=1.15mm, OD diff=0.15mm [inch→mm]</t>
  </si>
  <si>
    <t>WR60-72-6-9M-R-H33</t>
  </si>
  <si>
    <t>WR275325-025-037M-XL-P-H520</t>
  </si>
  <si>
    <t>ID diff=0.15mm, OD diff=1.45mm [inch→mm]</t>
  </si>
  <si>
    <t>WR300350-025-037M-XL-P-H520</t>
  </si>
  <si>
    <t>ID diff=1.20mm, OD diff=0.10mm [inch→mm]</t>
  </si>
  <si>
    <t>WR80-95-5-12A6-P-H842</t>
  </si>
  <si>
    <t>WR90-103-8-12A6-P-H842</t>
  </si>
  <si>
    <t>WR95-110-9.5-14A6-P-H842</t>
  </si>
  <si>
    <t>WR100-114-8-12A6-P-H842</t>
  </si>
  <si>
    <t>WR105-121-8-12M-R-H33</t>
  </si>
  <si>
    <t>WR110-126-8-12M-R-H33</t>
  </si>
  <si>
    <t>WR125-141-8-12M-R-H33</t>
  </si>
  <si>
    <t>WR750850-025-062C-R-H33</t>
  </si>
  <si>
    <t>ID diff=0.50mm, OD diff=0.90mm [inch→mm]</t>
  </si>
  <si>
    <t>WR200-215-9.5-14M-P-H38</t>
  </si>
  <si>
    <t>WR56-64-4-8.7DA-L-P-H846</t>
  </si>
  <si>
    <t>WR63-71-4-8.7DA-L-P-H846</t>
  </si>
  <si>
    <t>WR80-88-5-7M-XL-P-H831</t>
  </si>
  <si>
    <t>WR85-93-5-7M-P-H38</t>
  </si>
  <si>
    <t>WR387425-018-050A6-P-H842</t>
  </si>
  <si>
    <t>ID diff=1.70mm, OD diff=0.05mm [inch→mm]</t>
  </si>
  <si>
    <t>WR220-235-10.2-16M-P-H38</t>
  </si>
  <si>
    <t>WR280-295-9.5-14M-P-H38</t>
  </si>
  <si>
    <t>WR337375-018-050A6-P-H842</t>
  </si>
  <si>
    <t>ID diff=0.40mm, OD diff=1.25mm [inch→mm]</t>
  </si>
  <si>
    <t>WR210-226-8-12M-P-H38</t>
  </si>
  <si>
    <t>WR225-240-9.5-14M-P-H38</t>
  </si>
  <si>
    <t>WR230-246-7.5-12M-P-H38</t>
  </si>
  <si>
    <t>WR260-275-9.5-14M-P-H38</t>
  </si>
  <si>
    <t>WR270-286-7.5-12M-P-H38</t>
  </si>
  <si>
    <t>WR300-316-7.5-12M-P-H38</t>
  </si>
  <si>
    <t>ID diff=0.00mm, OD diff=0.80mm</t>
  </si>
  <si>
    <t>ID diff=0.00mm, OD diff=1.20mm</t>
  </si>
  <si>
    <t>ID diff=1.00mm, OD diff=0.20mm</t>
  </si>
  <si>
    <t>WR22-28-4-7UL-P-H839</t>
  </si>
  <si>
    <t>WR25-31-4-7DA-L-P-H844</t>
  </si>
  <si>
    <t>The design of the Hallite 844  double-lipped, snap-in rod wiper minimises the oil transfer out of the ram on the cylinder rod by collecting traces of fluid passing the rod seal.Â The Umbrella Wiper Technologyâ„¢, a unique feature, is a protective debris guard flap on the wiping lip that entirely covers the gland housing and prevents the water/slurry trap that is common with conventional wipers. This feature offers added protection to the integrity of the hydraulic system by reducing corrosion and preventing the ingress of contamination into the wiper housing groove and hydraulic cylinder gland which will result in increased system life.The standard Hallite 844 is moulded in HythaneÂ® 361, Halliteâ€™s high-performance polyurethane, for excellent durability in service. Some sizes of the Hallite 844 are offered in a HythaneÂ® 181 polyurethane with a textured wiping lip to provide improved dry rod performance, particularly for long stroking cylinder applications.</t>
  </si>
  <si>
    <t>HalliteÂ® Type 844</t>
  </si>
  <si>
    <t>WR105-113-5-8M-P-H38</t>
  </si>
  <si>
    <t>WR140-156-8-12M-R-H33</t>
  </si>
  <si>
    <t>WR50-58.6-5.3-7M-XL-P-H831</t>
  </si>
  <si>
    <t>ID diff=1.25mm, OD diff=0.15mm [inch→mm]</t>
  </si>
  <si>
    <t>ID diff=0.15mm, OD diff=0.95mm [inch→mm]</t>
  </si>
  <si>
    <t>ID diff=1.20mm, OD diff=1.10mm [inch→mm]</t>
  </si>
  <si>
    <t>WR110-125-9.5-14M-P-H38</t>
  </si>
  <si>
    <t>RM0038-19-N70</t>
  </si>
  <si>
    <t>Standard O-Ring Nitrile 70 Shore</t>
  </si>
  <si>
    <t>O Rings</t>
  </si>
  <si>
    <t>O Ring - NBR 70</t>
  </si>
  <si>
    <t>RM0047-16-N70</t>
  </si>
  <si>
    <t>ID diff=0.23mm, OD diff=0.13mm</t>
  </si>
  <si>
    <t>RM0048-19-N70</t>
  </si>
  <si>
    <t>RM0040-10-EP</t>
  </si>
  <si>
    <t>EPDM O-rings are used automotive brake and cooling systems, water applications and are often used in hot water / steam applications. EPDM O-Rings have a high resistance to ozone, weathering and sunlight.</t>
  </si>
  <si>
    <t>O Ring - EPDM</t>
  </si>
  <si>
    <t>RM0058-19-N70</t>
  </si>
  <si>
    <t>RM0050-15-N70</t>
  </si>
  <si>
    <t>RM0050-20-EP</t>
  </si>
  <si>
    <t>RM0060-18-N70</t>
  </si>
  <si>
    <t>ID diff=0.07mm, OD diff=0.03mm</t>
  </si>
  <si>
    <t>RM0068-19-N70</t>
  </si>
  <si>
    <t>RM0060-20-EP</t>
  </si>
  <si>
    <t>RM0076-24-N70</t>
  </si>
  <si>
    <t>ID diff=0.01mm, OD diff=0.43mm</t>
  </si>
  <si>
    <t>RM0076-18-N70</t>
  </si>
  <si>
    <t>ID diff=0.05mm, OD diff=0.01mm</t>
  </si>
  <si>
    <t>RM0078-19-N70</t>
  </si>
  <si>
    <t>RM0070-15-HNBR70</t>
  </si>
  <si>
    <t>HNBR (Hydrogenated Nitrile Rubber) O-Rings are suitable for a wide range of applications. Oil, Automotive fuel systems and oil resistant applications.</t>
  </si>
  <si>
    <t>O Ring - HNBR</t>
  </si>
  <si>
    <t>RM0070-20-N70</t>
  </si>
  <si>
    <t>RM0088-19-N70</t>
  </si>
  <si>
    <t>RM0080-20-EP</t>
  </si>
  <si>
    <t>RM0080-25-EP</t>
  </si>
  <si>
    <t>BS110-EP</t>
  </si>
  <si>
    <t>ID diff=0.05mm, OD diff=0.05mm [inch→mm]</t>
  </si>
  <si>
    <t>RM0095-16-N70</t>
  </si>
  <si>
    <t>ID diff=0.25mm, OD diff=0.11mm</t>
  </si>
  <si>
    <t>RM0098-19-HNBR70</t>
  </si>
  <si>
    <t>RM0098-24-N90</t>
  </si>
  <si>
    <t>Standard O-Ring Nitrile 90 Shore</t>
  </si>
  <si>
    <t>O Ring - NBR 90</t>
  </si>
  <si>
    <t>RM0110-25-N70</t>
  </si>
  <si>
    <t>ID diff=0.23mm, OD diff=0.01mm</t>
  </si>
  <si>
    <t>RM0111-16-N70</t>
  </si>
  <si>
    <t>ID diff=0.28mm, OD diff=0.08mm</t>
  </si>
  <si>
    <t>RM0108-24-N70</t>
  </si>
  <si>
    <t>RM0100-25-EP</t>
  </si>
  <si>
    <t>RM0125-25-N70</t>
  </si>
  <si>
    <t>ID diff=0.13mm, OD diff=0.11mm</t>
  </si>
  <si>
    <t>RM0125-18-N70</t>
  </si>
  <si>
    <t>ID diff=0.08mm, OD diff=0.12mm</t>
  </si>
  <si>
    <t>RM0120-20-EP</t>
  </si>
  <si>
    <t>RM0120-30-N70</t>
  </si>
  <si>
    <t>RM0138-24-N70</t>
  </si>
  <si>
    <t>RM0140-25-N70</t>
  </si>
  <si>
    <t>ID diff=0.06mm, OD diff=0.18mm</t>
  </si>
  <si>
    <t>RM0140-15-N70</t>
  </si>
  <si>
    <t>RM0140-20-EP</t>
  </si>
  <si>
    <t>BS208-N70</t>
  </si>
  <si>
    <t>ID diff=0.02mm, OD diff=0.08mm [inch→mm]</t>
  </si>
  <si>
    <t>BS114-EP</t>
  </si>
  <si>
    <t>RM0155-20-HNBR70</t>
  </si>
  <si>
    <t>ID diff=0.10mm, OD diff=0.34mm</t>
  </si>
  <si>
    <t>RM0158-24-N70</t>
  </si>
  <si>
    <t>RM0163-22-N70</t>
  </si>
  <si>
    <t>ID diff=0.06mm, OD diff=0.08mm</t>
  </si>
  <si>
    <t>RM0160-20-EP</t>
  </si>
  <si>
    <t>RM0160-25-EP</t>
  </si>
  <si>
    <t>RM0170-35-N70</t>
  </si>
  <si>
    <t>ID diff=0.04mm, OD diff=0.10mm</t>
  </si>
  <si>
    <t>RM0169-27-N70</t>
  </si>
  <si>
    <t>ID diff=0.22mm, OD diff=0.06mm</t>
  </si>
  <si>
    <t>RM0170-20-EP</t>
  </si>
  <si>
    <t>ID diff=0.17mm, OD diff=0.27mm</t>
  </si>
  <si>
    <t>RM0178-24-N70</t>
  </si>
  <si>
    <t>RM0170-25-N70</t>
  </si>
  <si>
    <t>BS210-N70</t>
  </si>
  <si>
    <t>ID diff=0.10mm, OD diff=0.05mm [inch→mm]</t>
  </si>
  <si>
    <t>RM0190-25-N70</t>
  </si>
  <si>
    <t>ID diff=0.28mm, OD diff=0.04mm</t>
  </si>
  <si>
    <t>BS018-EP</t>
  </si>
  <si>
    <t>ID diff=0.03mm, OD diff=0.02mm [inch→mm]</t>
  </si>
  <si>
    <t>RM0198-24-N70</t>
  </si>
  <si>
    <t>RM0200-35-N70</t>
  </si>
  <si>
    <t>ID diff=0.22mm, OD diff=0.28mm</t>
  </si>
  <si>
    <t>RM0203-24-N70</t>
  </si>
  <si>
    <t>BS019-N70</t>
  </si>
  <si>
    <t>ID diff=0.03mm, OD diff=0.03mm [inch→mm]</t>
  </si>
  <si>
    <t>RM0220-35-N70</t>
  </si>
  <si>
    <t>ID diff=0.18mm, OD diff=0.12mm</t>
  </si>
  <si>
    <t>RM0220-25-EP</t>
  </si>
  <si>
    <t>ID diff=0.11mm, OD diff=0.13mm</t>
  </si>
  <si>
    <t>RM0218-24-N70</t>
  </si>
  <si>
    <t>RM0220-18-N70</t>
  </si>
  <si>
    <t>ID diff=0.05mm, OD diff=0.09mm</t>
  </si>
  <si>
    <t>RM0210-20-N70</t>
  </si>
  <si>
    <t>BS213-EP</t>
  </si>
  <si>
    <t>ID diff=0.02mm, OD diff=0.03mm [inch→mm]</t>
  </si>
  <si>
    <t>BS119-EP</t>
  </si>
  <si>
    <t>ID diff=0.10mm, OD diff=0.01mm [inch→mm]</t>
  </si>
  <si>
    <t>RM0235-20-N70</t>
  </si>
  <si>
    <t>ID diff=0.02mm, OD diff=0.42mm</t>
  </si>
  <si>
    <t>RM0235-30-N90</t>
  </si>
  <si>
    <t>RM0237-35-N90</t>
  </si>
  <si>
    <t>RM0250-35-N70</t>
  </si>
  <si>
    <t>ID diff=0.01mm, OD diff=0.05mm</t>
  </si>
  <si>
    <t>RM0240-20-N70</t>
  </si>
  <si>
    <t>RM0250-25-N70</t>
  </si>
  <si>
    <t>ID diff=0.07mm, OD diff=0.31mm</t>
  </si>
  <si>
    <t>BS022-N70</t>
  </si>
  <si>
    <t>RM0257-35-N90</t>
  </si>
  <si>
    <t>RM0250-20-N70</t>
  </si>
  <si>
    <t>BS215-EP</t>
  </si>
  <si>
    <t>ID diff=0.10mm, OD diff=0.10mm [inch→mm]</t>
  </si>
  <si>
    <t>BS121-EP</t>
  </si>
  <si>
    <t>ID diff=0.03mm, OD diff=0.13mm [inch→mm]</t>
  </si>
  <si>
    <t>RM0277-35-N70</t>
  </si>
  <si>
    <t>BS216-HNBR70</t>
  </si>
  <si>
    <t>BS122-EP</t>
  </si>
  <si>
    <t>RM0280-20-N70</t>
  </si>
  <si>
    <t>ID diff=0.30mm, OD diff=0.14mm</t>
  </si>
  <si>
    <t>BS321-N70</t>
  </si>
  <si>
    <t>ID diff=0.05mm, OD diff=0.04mm [inch→mm]</t>
  </si>
  <si>
    <t>RM0297-35-N90</t>
  </si>
  <si>
    <t>RM0300-25-N70</t>
  </si>
  <si>
    <t>ID diff=0.18mm, OD diff=0.06mm</t>
  </si>
  <si>
    <t>BS025-EP</t>
  </si>
  <si>
    <t>RM0290-30-N70</t>
  </si>
  <si>
    <t>RM0300-30-EP</t>
  </si>
  <si>
    <t>BS322-EP</t>
  </si>
  <si>
    <t>ID diff=0.12mm, OD diff=0.13mm [inch→mm]</t>
  </si>
  <si>
    <t>BS218-HNBR70</t>
  </si>
  <si>
    <t>RM0316-24-N70</t>
  </si>
  <si>
    <t>ID diff=0.18mm, OD diff=0.26mm</t>
  </si>
  <si>
    <t>BS026-EP</t>
  </si>
  <si>
    <t>BS323-N70</t>
  </si>
  <si>
    <t>ID diff=0.08mm, OD diff=0.08mm [inch→mm]</t>
  </si>
  <si>
    <t>RM0330-35-N70</t>
  </si>
  <si>
    <t>ID diff=0.08mm, OD diff=0.02mm</t>
  </si>
  <si>
    <t>RM0330-25-N70</t>
  </si>
  <si>
    <t>ID diff=0.01mm, OD diff=0.23mm</t>
  </si>
  <si>
    <t>RM0320-30-N70</t>
  </si>
  <si>
    <t>RM0320-40-N70</t>
  </si>
  <si>
    <t>BS027-N70</t>
  </si>
  <si>
    <t>RM0337-35-N70</t>
  </si>
  <si>
    <t>BS324-N70</t>
  </si>
  <si>
    <t>ID diff=0.00mm, OD diff=0.01mm [inch→mm]</t>
  </si>
  <si>
    <t>RM0344-31-N70</t>
  </si>
  <si>
    <t>RM0347-35-N70</t>
  </si>
  <si>
    <t>BS126-N70</t>
  </si>
  <si>
    <t>BS028-HNBR70</t>
  </si>
  <si>
    <t>ID diff=0.11mm, OD diff=0.11mm [inch→mm]</t>
  </si>
  <si>
    <t>RM0340-30-N70</t>
  </si>
  <si>
    <t>RM0350-20-N70</t>
  </si>
  <si>
    <t>RM0360-35-N70</t>
  </si>
  <si>
    <t>ID diff=0.09mm, OD diff=0.15mm</t>
  </si>
  <si>
    <t>BS127-EP</t>
  </si>
  <si>
    <t>BS325-N70</t>
  </si>
  <si>
    <t>RM0375-30-N70</t>
  </si>
  <si>
    <t>RM0377-35-N90</t>
  </si>
  <si>
    <t>RM0380-25-N70</t>
  </si>
  <si>
    <t>BS029-EP</t>
  </si>
  <si>
    <t>RM0387-35-N90</t>
  </si>
  <si>
    <t>RM0380-20-N70</t>
  </si>
  <si>
    <t>RM0396-24-N70</t>
  </si>
  <si>
    <t>ID diff=0.26mm, OD diff=0.18mm</t>
  </si>
  <si>
    <t>RM0394-31-N70</t>
  </si>
  <si>
    <t>RM0397-35-N70</t>
  </si>
  <si>
    <t>BS326-N70</t>
  </si>
  <si>
    <t>RM0410-35-N70</t>
  </si>
  <si>
    <t>ID diff=0.13mm, OD diff=0.07mm</t>
  </si>
  <si>
    <t>RM0410-25-N70</t>
  </si>
  <si>
    <t>RM0400-25-EP</t>
  </si>
  <si>
    <t>RM0400-30-N70</t>
  </si>
  <si>
    <t>RM0400-50-N70</t>
  </si>
  <si>
    <t>RM0410-20-N70</t>
  </si>
  <si>
    <t>ID diff=0.00mm, OD diff=0.44mm</t>
  </si>
  <si>
    <t>BS131-N70</t>
  </si>
  <si>
    <t>RM0437-35-N90</t>
  </si>
  <si>
    <t>BS327-N70</t>
  </si>
  <si>
    <t>RM0430-30-N70</t>
  </si>
  <si>
    <t>RM0440-35-N70</t>
  </si>
  <si>
    <t>BS132-N70</t>
  </si>
  <si>
    <t>BS031-EP</t>
  </si>
  <si>
    <t>RM0444-31-N70</t>
  </si>
  <si>
    <t>RM0440-30-N70</t>
  </si>
  <si>
    <t>RM0460-25-N70</t>
  </si>
  <si>
    <t>ID diff=0.31mm, OD diff=0.07mm</t>
  </si>
  <si>
    <t>RM0457-35-N90</t>
  </si>
  <si>
    <t>RM0450-25-N70</t>
  </si>
  <si>
    <t>RM0450-30-N70</t>
  </si>
  <si>
    <t>BS328-EP70</t>
  </si>
  <si>
    <t>BS225-EP</t>
  </si>
  <si>
    <t>BS134-N70</t>
  </si>
  <si>
    <t>RM0470-20-N70</t>
  </si>
  <si>
    <t>ID diff=0.35mm, OD diff=0.09mm</t>
  </si>
  <si>
    <t>RM0470-40-N70</t>
  </si>
  <si>
    <t>RM0487-35-N70</t>
  </si>
  <si>
    <t>RM0490-25-N70</t>
  </si>
  <si>
    <t>ID diff=0.10mm, OD diff=0.14mm</t>
  </si>
  <si>
    <t>RM0480-30-N70</t>
  </si>
  <si>
    <t>RM0497-35-N90</t>
  </si>
  <si>
    <t>RM0500-55-N70</t>
  </si>
  <si>
    <t>ID diff=0.17mm, OD diff=0.17mm</t>
  </si>
  <si>
    <t>BS226-EP</t>
  </si>
  <si>
    <t>BS136-EP</t>
  </si>
  <si>
    <t>RM0500-50-N70</t>
  </si>
  <si>
    <t>RM0520-25-N70</t>
  </si>
  <si>
    <t>BS330-N70</t>
  </si>
  <si>
    <t>BS227-EP</t>
  </si>
  <si>
    <t>BS138-N70</t>
  </si>
  <si>
    <t>BS034-N70</t>
  </si>
  <si>
    <t>RM0544-31-N70</t>
  </si>
  <si>
    <t>BS139-N70</t>
  </si>
  <si>
    <t>ID diff=0.13mm, OD diff=0.04mm [inch→mm]</t>
  </si>
  <si>
    <t>RM0550-30-N70</t>
  </si>
  <si>
    <t>BS331-N70</t>
  </si>
  <si>
    <t>BS228-EP</t>
  </si>
  <si>
    <t>RM0570-25-N70</t>
  </si>
  <si>
    <t>BS035-N70</t>
  </si>
  <si>
    <t>RM0570-40-EP</t>
  </si>
  <si>
    <t>BS141-EP</t>
  </si>
  <si>
    <t>ID diff=0.00mm, OD diff=0.09mm [inch→mm]</t>
  </si>
  <si>
    <t>RM0594-31-N70</t>
  </si>
  <si>
    <t>BS332-N70</t>
  </si>
  <si>
    <t>RM0600-35-N70</t>
  </si>
  <si>
    <t>RM0600-25-N70</t>
  </si>
  <si>
    <t>RM0616-24-N70</t>
  </si>
  <si>
    <t>BS333-EP</t>
  </si>
  <si>
    <t>RM0630-35-N70</t>
  </si>
  <si>
    <t>BS144-N70</t>
  </si>
  <si>
    <t>BS037-N70</t>
  </si>
  <si>
    <t>RM0643-57-N70</t>
  </si>
  <si>
    <t>ID diff=0.10mm, OD diff=0.10mm</t>
  </si>
  <si>
    <t>RM0644-31-N70</t>
  </si>
  <si>
    <t>RM0650-25-N70</t>
  </si>
  <si>
    <t>RM0640-40-N70</t>
  </si>
  <si>
    <t>BS334-N70</t>
  </si>
  <si>
    <t>BS231-N70</t>
  </si>
  <si>
    <t>BS146-EP</t>
  </si>
  <si>
    <t>RM0660-20-N70</t>
  </si>
  <si>
    <t>ID diff=0.40mm, OD diff=0.04mm</t>
  </si>
  <si>
    <t>BS335-N70</t>
  </si>
  <si>
    <t>BS232-HNBR70</t>
  </si>
  <si>
    <t>RM0694-31-N70</t>
  </si>
  <si>
    <t>RM0696-24-N70</t>
  </si>
  <si>
    <t>ID diff=0.08mm, OD diff=0.36mm</t>
  </si>
  <si>
    <t>BS039-N70</t>
  </si>
  <si>
    <t>RM0700-50-N70</t>
  </si>
  <si>
    <t>BS149-EP</t>
  </si>
  <si>
    <t>BS336-N70</t>
  </si>
  <si>
    <t>BS233-EP</t>
  </si>
  <si>
    <t>RM0730-25-N70</t>
  </si>
  <si>
    <t>RM0720-40-N70</t>
  </si>
  <si>
    <t>RM0744-31-N70</t>
  </si>
  <si>
    <t>BS337-N70</t>
  </si>
  <si>
    <t>RM0760-25-N70</t>
  </si>
  <si>
    <t>BS041-N70</t>
  </si>
  <si>
    <t>BS338-N70</t>
  </si>
  <si>
    <t>RM0790-35-N70</t>
  </si>
  <si>
    <t>ID diff=0.03mm, OD diff=0.03mm</t>
  </si>
  <si>
    <t>RM0780-25-N70</t>
  </si>
  <si>
    <t>RM0780-40-N70</t>
  </si>
  <si>
    <t>RM0793-57-N70</t>
  </si>
  <si>
    <t>RM0800-40-N70</t>
  </si>
  <si>
    <t>BS339-N70</t>
  </si>
  <si>
    <t>ID diff=0.13mm, OD diff=0.14mm [inch→mm]</t>
  </si>
  <si>
    <t>BS152-EP</t>
  </si>
  <si>
    <t>BS042-N70</t>
  </si>
  <si>
    <t>RM0820-40-N70</t>
  </si>
  <si>
    <t>RM0844-31-N70</t>
  </si>
  <si>
    <t>BS340-N70</t>
  </si>
  <si>
    <t>BS237-EP</t>
  </si>
  <si>
    <t>BS341-N70</t>
  </si>
  <si>
    <t>BS238-EP</t>
  </si>
  <si>
    <t>BS153-N70</t>
  </si>
  <si>
    <t>RM0900-50-N70</t>
  </si>
  <si>
    <t>BS342-N70</t>
  </si>
  <si>
    <t>BS239-N70</t>
  </si>
  <si>
    <t>RM0920-40-N70</t>
  </si>
  <si>
    <t>RM0943-57-N70</t>
  </si>
  <si>
    <t>RM0944-31-N70</t>
  </si>
  <si>
    <t>BS343-N70</t>
  </si>
  <si>
    <t>ID diff=0.12mm, OD diff=0.12mm [inch→mm]</t>
  </si>
  <si>
    <t>RM0950-35-N70</t>
  </si>
  <si>
    <t>ID diff=0.16mm, OD diff=0.10mm</t>
  </si>
  <si>
    <t>BS154-N70</t>
  </si>
  <si>
    <t>BS044-N90</t>
  </si>
  <si>
    <t>ID diff=0.01mm, OD diff=0.00mm [inch→mm]</t>
  </si>
  <si>
    <t>BS344-N70</t>
  </si>
  <si>
    <t>RM0980-35-N70</t>
  </si>
  <si>
    <t>ID diff=0.02mm, OD diff=0.08mm</t>
  </si>
  <si>
    <t>RM0993-57-N70</t>
  </si>
  <si>
    <t>RM0994-31-N70</t>
  </si>
  <si>
    <t>BS345-N70</t>
  </si>
  <si>
    <t>RM1000-40-N70</t>
  </si>
  <si>
    <t>RM1000-50-N70</t>
  </si>
  <si>
    <t>BS242-N70</t>
  </si>
  <si>
    <t>BS155-N70</t>
  </si>
  <si>
    <t>BS346-N70</t>
  </si>
  <si>
    <t>RM1043-57-N70</t>
  </si>
  <si>
    <t>RM1044-31-N70</t>
  </si>
  <si>
    <t>BS347-N70</t>
  </si>
  <si>
    <t>ID diff=0.13mm, OD diff=0.12mm [inch→mm]</t>
  </si>
  <si>
    <t>BS244-N70</t>
  </si>
  <si>
    <t>BS156-EP</t>
  </si>
  <si>
    <t>RM1094-31-N70</t>
  </si>
  <si>
    <t>BS348-EP</t>
  </si>
  <si>
    <t>BS245-N70</t>
  </si>
  <si>
    <t>RM1100-40-N70</t>
  </si>
  <si>
    <t>RM1100-50-N70</t>
  </si>
  <si>
    <t>BS349-N70</t>
  </si>
  <si>
    <t>BS425-N70</t>
  </si>
  <si>
    <t>ID diff=0.13mm, OD diff=0.11mm [inch→mm]</t>
  </si>
  <si>
    <t>BS246-EP</t>
  </si>
  <si>
    <t>BS157-N70</t>
  </si>
  <si>
    <t>BS047-N70</t>
  </si>
  <si>
    <t>RM1144-31-N70</t>
  </si>
  <si>
    <t>RM1150-50-N70</t>
  </si>
  <si>
    <t>BS350-N70</t>
  </si>
  <si>
    <t>BS426-N70</t>
  </si>
  <si>
    <t>BS247-N70</t>
  </si>
  <si>
    <t>RM1170-40-N70</t>
  </si>
  <si>
    <t>RM1194-31-N70</t>
  </si>
  <si>
    <t>BS351-N70</t>
  </si>
  <si>
    <t>BS427-N70</t>
  </si>
  <si>
    <t>BS248-N70</t>
  </si>
  <si>
    <t>BS158-N70</t>
  </si>
  <si>
    <t>RM1200-50-N70</t>
  </si>
  <si>
    <t>BS352-EPDM70</t>
  </si>
  <si>
    <t>BS428-N70</t>
  </si>
  <si>
    <t>BS249-N70</t>
  </si>
  <si>
    <t>RM1243-57-N70</t>
  </si>
  <si>
    <t>BS353-N70</t>
  </si>
  <si>
    <t>BS429-N70</t>
  </si>
  <si>
    <t>BS250-N70</t>
  </si>
  <si>
    <t>BS159-N70</t>
  </si>
  <si>
    <t>RM1294-31-N70</t>
  </si>
  <si>
    <t>BS354-N70</t>
  </si>
  <si>
    <t>BS430-N70</t>
  </si>
  <si>
    <t>RM1300-35-N70</t>
  </si>
  <si>
    <t>ID diff=0.23mm, OD diff=0.17mm</t>
  </si>
  <si>
    <t>RM1300-50-N70</t>
  </si>
  <si>
    <t>BS355-N70</t>
  </si>
  <si>
    <t>BS431-N70</t>
  </si>
  <si>
    <t>BS252-N70</t>
  </si>
  <si>
    <t>BS050-N70</t>
  </si>
  <si>
    <t>RM1343-57-N70</t>
  </si>
  <si>
    <t>RM1344-31-N70</t>
  </si>
  <si>
    <t>BS356-N70</t>
  </si>
  <si>
    <t>BS432-N70</t>
  </si>
  <si>
    <t>BS253-N70</t>
  </si>
  <si>
    <t>BS357-N70</t>
  </si>
  <si>
    <t>BS433-N70</t>
  </si>
  <si>
    <t>BS254-N70</t>
  </si>
  <si>
    <t>RM1393-57-N70</t>
  </si>
  <si>
    <t>RM1394-31-N70</t>
  </si>
  <si>
    <t>RM1400-50-N70</t>
  </si>
  <si>
    <t>BS358-N70</t>
  </si>
  <si>
    <t>BS434-N70</t>
  </si>
  <si>
    <t>BS255-N70</t>
  </si>
  <si>
    <t>RM1443-57-N70</t>
  </si>
  <si>
    <t>BS359-N70</t>
  </si>
  <si>
    <t>BS435-EP</t>
  </si>
  <si>
    <t>BS256-N70</t>
  </si>
  <si>
    <t>BS360-N70</t>
  </si>
  <si>
    <t>BS436-N70</t>
  </si>
  <si>
    <t>BS257-N70</t>
  </si>
  <si>
    <t>RM1500-50-N70</t>
  </si>
  <si>
    <t>BS361-N70</t>
  </si>
  <si>
    <t>BS437-EP</t>
  </si>
  <si>
    <t>BS258-N70</t>
  </si>
  <si>
    <t>RM1543-57-N70</t>
  </si>
  <si>
    <t>BS362-N70</t>
  </si>
  <si>
    <t>BS438-N70</t>
  </si>
  <si>
    <t>BS259-N70</t>
  </si>
  <si>
    <t>RM1593-57-N70</t>
  </si>
  <si>
    <t>RM1643-57-N70</t>
  </si>
  <si>
    <t>BS363-N70</t>
  </si>
  <si>
    <t>BS439-N70</t>
  </si>
  <si>
    <t>BS260-N70</t>
  </si>
  <si>
    <t>RM1693-57-N70</t>
  </si>
  <si>
    <t>BS364-N70</t>
  </si>
  <si>
    <t>BS440-N70</t>
  </si>
  <si>
    <t>BS261-N70</t>
  </si>
  <si>
    <t>RM1743-57-N70</t>
  </si>
  <si>
    <t>RM1740-30-N70</t>
  </si>
  <si>
    <t>BS365-N70</t>
  </si>
  <si>
    <t>BS441-N70</t>
  </si>
  <si>
    <t>BS262-N70</t>
  </si>
  <si>
    <t>RM1800-50-N70</t>
  </si>
  <si>
    <t>BS366-N70</t>
  </si>
  <si>
    <t>BS442-N70</t>
  </si>
  <si>
    <t>RM1843-57-N70</t>
  </si>
  <si>
    <t>RM1893-57-N70</t>
  </si>
  <si>
    <t>BS367-N70</t>
  </si>
  <si>
    <t>BS443-N70</t>
  </si>
  <si>
    <t>RM1900-35-N70</t>
  </si>
  <si>
    <t>BS368-N70</t>
  </si>
  <si>
    <t>BS444-N70</t>
  </si>
  <si>
    <t>BS265-N70</t>
  </si>
  <si>
    <t>BS369-N70</t>
  </si>
  <si>
    <t>BS445-N70</t>
  </si>
  <si>
    <t>BS266-N70</t>
  </si>
  <si>
    <t>BS370-N70</t>
  </si>
  <si>
    <t>ID diff=0.18mm, OD diff=0.17mm [inch→mm]</t>
  </si>
  <si>
    <t>BS267-N70</t>
  </si>
  <si>
    <t>BS371-N70</t>
  </si>
  <si>
    <t>BS268-N70</t>
  </si>
  <si>
    <t>RM2191-84-N70</t>
  </si>
  <si>
    <t>ID diff=0.40mm, OD diff=0.40mm</t>
  </si>
  <si>
    <t>BS372-N70</t>
  </si>
  <si>
    <t>BS269-N70</t>
  </si>
  <si>
    <t>BS373-N70</t>
  </si>
  <si>
    <t>BS447-N70</t>
  </si>
  <si>
    <t>BS270-N70</t>
  </si>
  <si>
    <t>BS374-N70</t>
  </si>
  <si>
    <t>BS271-N70</t>
  </si>
  <si>
    <t>RM2345-84-N70</t>
  </si>
  <si>
    <t>BS375-N70</t>
  </si>
  <si>
    <t>BS448-N70</t>
  </si>
  <si>
    <t>BS376-N70</t>
  </si>
  <si>
    <t>BS273-N70</t>
  </si>
  <si>
    <t>RM2491-84-N70</t>
  </si>
  <si>
    <t>BS377-N70</t>
  </si>
  <si>
    <t>BS449-N70</t>
  </si>
  <si>
    <t>BS274-N70</t>
  </si>
  <si>
    <t>BS378-N70</t>
  </si>
  <si>
    <t>BS450-N70</t>
  </si>
  <si>
    <t>BS275-N70</t>
  </si>
  <si>
    <t>BS379-N70</t>
  </si>
  <si>
    <t>BS451-N70</t>
  </si>
  <si>
    <t>BS276-N70</t>
  </si>
  <si>
    <t>BS380-N70</t>
  </si>
  <si>
    <t>BS452-N70</t>
  </si>
  <si>
    <t>BS453-N70</t>
  </si>
  <si>
    <t>RM3043-57-N70</t>
  </si>
  <si>
    <t>BS454-N70</t>
  </si>
  <si>
    <t>BS382-N70</t>
  </si>
  <si>
    <t>BS455-N70</t>
  </si>
  <si>
    <t>BS456-N70</t>
  </si>
  <si>
    <t>BS383-N70</t>
  </si>
  <si>
    <t>BS457-N70</t>
  </si>
  <si>
    <t>BS458-N70</t>
  </si>
  <si>
    <t>BS459-N70</t>
  </si>
  <si>
    <t>BS460-N70</t>
  </si>
  <si>
    <t>BS461-N70</t>
  </si>
  <si>
    <t>ID diff=0.12mm, OD diff=0.14mm [inch→mm]</t>
  </si>
  <si>
    <t>BS462-N70</t>
  </si>
  <si>
    <t>BS463-N70</t>
  </si>
  <si>
    <t>BS464-N70</t>
  </si>
  <si>
    <t>BS466-N70</t>
  </si>
  <si>
    <t>BS467-N70</t>
  </si>
  <si>
    <t>BS468-N70</t>
  </si>
  <si>
    <t>BS469-N70</t>
  </si>
  <si>
    <t>BS470-N70</t>
  </si>
  <si>
    <t>RM0025-20-N70</t>
  </si>
  <si>
    <t>ID diff=0.30mm, OD diff=0.10mm</t>
  </si>
  <si>
    <t>RM0031-16-EP</t>
  </si>
  <si>
    <t>ID diff=0.20mm, OD diff=0.16mm</t>
  </si>
  <si>
    <t>ID diff=0.12mm, OD diff=0.36mm</t>
  </si>
  <si>
    <t>RM0040-15-N70</t>
  </si>
  <si>
    <t>RM0040-30-N70</t>
  </si>
  <si>
    <t>RM0055-25-N70</t>
  </si>
  <si>
    <t>ID diff=0.27mm, OD diff=0.03mm</t>
  </si>
  <si>
    <t>BS009-N70</t>
  </si>
  <si>
    <t>RM0053-24-N70</t>
  </si>
  <si>
    <t>RM0050-10-N70</t>
  </si>
  <si>
    <t>RM0060-25-EP</t>
  </si>
  <si>
    <t>ID diff=0.02mm, OD diff=0.26mm</t>
  </si>
  <si>
    <t>RM0080-30-EP</t>
  </si>
  <si>
    <t>RM0091-16-N70</t>
  </si>
  <si>
    <t>RM0090-15-N70</t>
  </si>
  <si>
    <t>RM0090-20-EP</t>
  </si>
  <si>
    <t>BS205-N70</t>
  </si>
  <si>
    <t>RM0100-20-EP</t>
  </si>
  <si>
    <t>RM0100-22-N70</t>
  </si>
  <si>
    <t>RM0118-18-N70</t>
  </si>
  <si>
    <t>RM0118-24-N70</t>
  </si>
  <si>
    <t>RM0110-13-N70</t>
  </si>
  <si>
    <t>RM0110-15-N70</t>
  </si>
  <si>
    <t>RM0110-20-EP</t>
  </si>
  <si>
    <t>BS206-N70</t>
  </si>
  <si>
    <t>RM0123-24-N70</t>
  </si>
  <si>
    <t>RM0120-15-N70</t>
  </si>
  <si>
    <t>RM0120-25-EP</t>
  </si>
  <si>
    <t>RM0140-35-N70</t>
  </si>
  <si>
    <t>ID diff=0.06mm, OD diff=0.00mm</t>
  </si>
  <si>
    <t>RM0130-20-EP</t>
  </si>
  <si>
    <t>RM0130-25-EP</t>
  </si>
  <si>
    <t>RM0150-18-N70</t>
  </si>
  <si>
    <t>ID diff=0.20mm, OD diff=0.00mm</t>
  </si>
  <si>
    <t>RM0148-24-N70</t>
  </si>
  <si>
    <t>RM0140-18-N70</t>
  </si>
  <si>
    <t>ID diff=0.00mm, OD diff=0.04mm</t>
  </si>
  <si>
    <t>RM0140-30-N70</t>
  </si>
  <si>
    <t>RM0150-20-N70</t>
  </si>
  <si>
    <t>RM0150-25-N70</t>
  </si>
  <si>
    <t>RM0150-30-N70</t>
  </si>
  <si>
    <t>RM0160-15-N70</t>
  </si>
  <si>
    <t>RM0160-30-N70</t>
  </si>
  <si>
    <t>RM0171-16-N70</t>
  </si>
  <si>
    <t>RM0180-20-N70</t>
  </si>
  <si>
    <t>RM0180-25-N70</t>
  </si>
  <si>
    <t>RM0180-30-EP</t>
  </si>
  <si>
    <t>RM0190-30-N70</t>
  </si>
  <si>
    <t>RM0208-24-N70</t>
  </si>
  <si>
    <t>RM0200-20-N70</t>
  </si>
  <si>
    <t>RM0200-25-EP</t>
  </si>
  <si>
    <t>RM0217-35-N90</t>
  </si>
  <si>
    <t>RM0220-20-N70</t>
  </si>
  <si>
    <t>RM0220-30-EP</t>
  </si>
  <si>
    <t>RM0220-50-N70</t>
  </si>
  <si>
    <t>RM0230-25-N70</t>
  </si>
  <si>
    <t>RM0230-30-N70</t>
  </si>
  <si>
    <t>RM0230-60-N70</t>
  </si>
  <si>
    <t>RM0244-31-N70</t>
  </si>
  <si>
    <t>RM0247-35-N70</t>
  </si>
  <si>
    <t>RM0240-15-N70</t>
  </si>
  <si>
    <t>RM0240-25-EP</t>
  </si>
  <si>
    <t>RM0240-40-N70</t>
  </si>
  <si>
    <t>RM0250-15-N70</t>
  </si>
  <si>
    <t>RM0250-30-EP</t>
  </si>
  <si>
    <t>RM0250-50-N70</t>
  </si>
  <si>
    <t>BS023-EP</t>
  </si>
  <si>
    <t>RM0260-30-N70</t>
  </si>
  <si>
    <t>RM0270-25-N70</t>
  </si>
  <si>
    <t>RM0270-30-N70</t>
  </si>
  <si>
    <t>RM0287-35-N90</t>
  </si>
  <si>
    <t>RM0280-25-N70</t>
  </si>
  <si>
    <t>RM0294-31-N70</t>
  </si>
  <si>
    <t>RM0290-25-N70</t>
  </si>
  <si>
    <t>RM0307-35-N70</t>
  </si>
  <si>
    <t>RM0300-20-N70</t>
  </si>
  <si>
    <t>RM0300-40-N70</t>
  </si>
  <si>
    <t>RM0300-50-N70</t>
  </si>
  <si>
    <t>RM0317-35-N70</t>
  </si>
  <si>
    <t>RM0310-30-N70</t>
  </si>
  <si>
    <t>RM0320-25-N70</t>
  </si>
  <si>
    <t>RM0340-40-N70</t>
  </si>
  <si>
    <t>RM0357-35-N90</t>
  </si>
  <si>
    <t>RM0350-25-N70</t>
  </si>
  <si>
    <t>RM0350-30-N70</t>
  </si>
  <si>
    <t>RM0350-40-N70</t>
  </si>
  <si>
    <t>RM0370-25-N70</t>
  </si>
  <si>
    <t>RM0380-40-N70</t>
  </si>
  <si>
    <t>RM0400-20-N70</t>
  </si>
  <si>
    <t>RM0400-40-N70</t>
  </si>
  <si>
    <t>RM0410-30-N70</t>
  </si>
  <si>
    <t>ID diff=0.20mm, OD diff=0.20mm</t>
  </si>
  <si>
    <t>RM0417-35-N70</t>
  </si>
  <si>
    <t>RM0420-25-N70</t>
  </si>
  <si>
    <t>RM0420-30-N70</t>
  </si>
  <si>
    <t>RM0420-40-N70</t>
  </si>
  <si>
    <t>RM0430-20-N70</t>
  </si>
  <si>
    <t>ID diff=0.50mm, OD diff=0.50mm</t>
  </si>
  <si>
    <t>RM0447-35-N70</t>
  </si>
  <si>
    <t>RM0450-20-N70</t>
  </si>
  <si>
    <t>RM0450-50-N70</t>
  </si>
  <si>
    <t>RM0460-30-N70</t>
  </si>
  <si>
    <t>RM0477-35-N90</t>
  </si>
  <si>
    <t>RM0480-25-N70</t>
  </si>
  <si>
    <t>RM0480-50-N70</t>
  </si>
  <si>
    <t>RM0493-57-N70</t>
  </si>
  <si>
    <t>RM0494-31-N70</t>
  </si>
  <si>
    <t>BS033-EP</t>
  </si>
  <si>
    <t>RM0500-20-N70</t>
  </si>
  <si>
    <t>RM0500-25-N70</t>
  </si>
  <si>
    <t>RM0500-30-N70</t>
  </si>
  <si>
    <t>RM0500-40-N70</t>
  </si>
  <si>
    <t>RM0516-57-N70</t>
  </si>
  <si>
    <t>RM0526-57-N70</t>
  </si>
  <si>
    <t>RM0520-40-N70</t>
  </si>
  <si>
    <t>RM0543-57-N70</t>
  </si>
  <si>
    <t>RM0540-30-N70</t>
  </si>
  <si>
    <t>RM0550-40-N70</t>
  </si>
  <si>
    <t>RM0550-50-N70</t>
  </si>
  <si>
    <t>RM0560-25-N70</t>
  </si>
  <si>
    <t>RM0560-40-N70</t>
  </si>
  <si>
    <t>RM0570-30-N70</t>
  </si>
  <si>
    <t>RM0580-30-N70</t>
  </si>
  <si>
    <t>RM0593-57-N70</t>
  </si>
  <si>
    <t>RM0590-30-N70</t>
  </si>
  <si>
    <t>RM0600-30-N70</t>
  </si>
  <si>
    <t>RM0600-40-N70</t>
  </si>
  <si>
    <t>RM0600-50-N70</t>
  </si>
  <si>
    <t>RM0620-60-N70</t>
  </si>
  <si>
    <t>ID diff=0.70mm, OD diff=0.10mm</t>
  </si>
  <si>
    <t>RM0620-40-N70</t>
  </si>
  <si>
    <t>RM0630-20-N70</t>
  </si>
  <si>
    <t>RM0630-25-N70</t>
  </si>
  <si>
    <t>RM0630-30-N70</t>
  </si>
  <si>
    <t>RM0650-20-N70</t>
  </si>
  <si>
    <t>RM0650-40-N70</t>
  </si>
  <si>
    <t>RM0660-30-N70</t>
  </si>
  <si>
    <t>RM0680-25-N70</t>
  </si>
  <si>
    <t>ID diff=0.05mm, OD diff=0.19mm</t>
  </si>
  <si>
    <t>RM0670-30-N70</t>
  </si>
  <si>
    <t>RM0680-40-N70</t>
  </si>
  <si>
    <t>RM0693-57-N70</t>
  </si>
  <si>
    <t>RM0700-60-N70</t>
  </si>
  <si>
    <t>ID diff=0.60mm, OD diff=0.00mm</t>
  </si>
  <si>
    <t>RM0700-20-N70</t>
  </si>
  <si>
    <t>RM0700-30-N70</t>
  </si>
  <si>
    <t>BS040-EP</t>
  </si>
  <si>
    <t>ID diff=0.01mm, OD diff=0.01mm</t>
  </si>
  <si>
    <t>RM0720-30-N70</t>
  </si>
  <si>
    <t>RM0730-30-N70</t>
  </si>
  <si>
    <t>RM0743-57-N70</t>
  </si>
  <si>
    <t>RM0740-25-N70</t>
  </si>
  <si>
    <t>RM0740-40-N70</t>
  </si>
  <si>
    <t>RM0760-35-N70</t>
  </si>
  <si>
    <t>ID diff=0.21mm, OD diff=0.15mm</t>
  </si>
  <si>
    <t>RM0770-40-N70</t>
  </si>
  <si>
    <t>RM0794-31-N70</t>
  </si>
  <si>
    <t>RM0800-20-EP</t>
  </si>
  <si>
    <t>RM0800-25-N70</t>
  </si>
  <si>
    <t>RM0800-50-N70</t>
  </si>
  <si>
    <t>RM0820-35-N70</t>
  </si>
  <si>
    <t>ID diff=0.14mm, OD diff=0.20mm</t>
  </si>
  <si>
    <t>RM0830-30-N70</t>
  </si>
  <si>
    <t>RM0843-57-N70</t>
  </si>
  <si>
    <t>RM0850-25-N70</t>
  </si>
  <si>
    <t>RM0850-50-N70</t>
  </si>
  <si>
    <t>RM0850-60-N70</t>
  </si>
  <si>
    <t>RM0860-30-N70</t>
  </si>
  <si>
    <t>RM0893-57-N70</t>
  </si>
  <si>
    <t>RM0894-31-N70</t>
  </si>
  <si>
    <t>RM0900-20-N70</t>
  </si>
  <si>
    <t>RM0900-25-N70</t>
  </si>
  <si>
    <t>RM0900-40-N70</t>
  </si>
  <si>
    <t>RM0950-40-N70</t>
  </si>
  <si>
    <t>RM1000-20-N70</t>
  </si>
  <si>
    <t>RM1016-57-N70</t>
  </si>
  <si>
    <t>BS045-N70</t>
  </si>
  <si>
    <t>RM1020-40-N70</t>
  </si>
  <si>
    <t>BS243-N70</t>
  </si>
  <si>
    <t>RM1050-50-N70</t>
  </si>
  <si>
    <t>RM1093-57-N70</t>
  </si>
  <si>
    <t>RM1143-57-N70</t>
  </si>
  <si>
    <t>RM1150-40-N70</t>
  </si>
  <si>
    <t>RM1193-57-N70</t>
  </si>
  <si>
    <t>BS048-N70</t>
  </si>
  <si>
    <t>RM1200-20-N70</t>
  </si>
  <si>
    <t>RM1244-31-N70</t>
  </si>
  <si>
    <t>RM1250-30-N70</t>
  </si>
  <si>
    <t>BS049-N70</t>
  </si>
  <si>
    <t>RM1293-57-N70</t>
  </si>
  <si>
    <t>RM1350-30-N70</t>
  </si>
  <si>
    <t>RM1350-50-N70</t>
  </si>
  <si>
    <t>RM1370-30-N70</t>
  </si>
  <si>
    <t>RM1444-31-N70</t>
  </si>
  <si>
    <t>RM1493-57-N70</t>
  </si>
  <si>
    <t>RM1495-84-N90</t>
  </si>
  <si>
    <t>RM1520-30-N70</t>
  </si>
  <si>
    <t>RM1545-84-N70</t>
  </si>
  <si>
    <t>RM1591-84-N70</t>
  </si>
  <si>
    <t>RM1600-50-N70</t>
  </si>
  <si>
    <t>RM1645-84-N70</t>
  </si>
  <si>
    <t>RM1691-84-N70</t>
  </si>
  <si>
    <t>RM1700-50-N70</t>
  </si>
  <si>
    <t>RM1720-40-N70</t>
  </si>
  <si>
    <t>RM1745-84-N90</t>
  </si>
  <si>
    <t>RM1793-57-N70</t>
  </si>
  <si>
    <t>BS263-N70</t>
  </si>
  <si>
    <t>RM1845-84-N70</t>
  </si>
  <si>
    <t>RM1900-30-N70</t>
  </si>
  <si>
    <t>RM1900-50-N70</t>
  </si>
  <si>
    <t>RM1943-57-N70</t>
  </si>
  <si>
    <t>RM1993-57-N70</t>
  </si>
  <si>
    <t>RM1995-84-N90</t>
  </si>
  <si>
    <t>RM2043-57-N70</t>
  </si>
  <si>
    <t>RM2045-84-N70</t>
  </si>
  <si>
    <t>RM2081-84-N90</t>
  </si>
  <si>
    <t>RM2093-57-N70</t>
  </si>
  <si>
    <t>RM2143-57-EP</t>
  </si>
  <si>
    <t>RM2145-84-N70</t>
  </si>
  <si>
    <t>RM2193-57-N70</t>
  </si>
  <si>
    <t>RM2200-50-N70</t>
  </si>
  <si>
    <t>RM2250-50-N70</t>
  </si>
  <si>
    <t>ID diff=0.80mm, OD diff=0.60mm</t>
  </si>
  <si>
    <t>RM2245-84-N70</t>
  </si>
  <si>
    <t>RM2293-57-N70</t>
  </si>
  <si>
    <t>RM2343-57-N70</t>
  </si>
  <si>
    <t>RM2393-57-N70</t>
  </si>
  <si>
    <t>BS272-N70</t>
  </si>
  <si>
    <t>RM2443-57-N70</t>
  </si>
  <si>
    <t>RM2493-57-N70</t>
  </si>
  <si>
    <t>RM2545-84-N70</t>
  </si>
  <si>
    <t>RM2593-57-N70</t>
  </si>
  <si>
    <t>RM2645-84-N70</t>
  </si>
  <si>
    <t>RM2650-50-N70</t>
  </si>
  <si>
    <t>RM2693-57-N70</t>
  </si>
  <si>
    <t>RM2743-57-N70</t>
  </si>
  <si>
    <t>RM2793-57-N70</t>
  </si>
  <si>
    <t>RM2843-57-N70</t>
  </si>
  <si>
    <t>RM2893-57-N70</t>
  </si>
  <si>
    <t>RM2993-57-N70</t>
  </si>
  <si>
    <t>BS381-N70</t>
  </si>
  <si>
    <t>RM3093-57-N70</t>
  </si>
  <si>
    <t>RM3100-50-N70</t>
  </si>
  <si>
    <t>RM3143-57-N70</t>
  </si>
  <si>
    <t>RM3193-57-N70</t>
  </si>
  <si>
    <t>RM3250-50-N70</t>
  </si>
  <si>
    <t>ID diff=0.60mm, OD diff=0.80mm</t>
  </si>
  <si>
    <t>RM3293-57-N70</t>
  </si>
  <si>
    <t>RM3393-57-N70</t>
  </si>
  <si>
    <t>RM3493-57-N70</t>
  </si>
  <si>
    <t>BS387-N70</t>
  </si>
  <si>
    <t>ID diff=1.93mm, OD diff=1.13mm [inch→mm]</t>
  </si>
  <si>
    <t>BS006-V75</t>
  </si>
  <si>
    <t>Standard O-Ring Viton Equivalent. Suitable for High Temperatures</t>
  </si>
  <si>
    <t>O Ring - FPM/FKM/VitonÂ®</t>
  </si>
  <si>
    <t>BS007-V75</t>
  </si>
  <si>
    <t>ID diff=0.04mm, OD diff=0.05mm [inch→mm]</t>
  </si>
  <si>
    <t>RM0040-20-V75</t>
  </si>
  <si>
    <t>ID diff=0.47mm, OD diff=0.03mm</t>
  </si>
  <si>
    <t>RM0050-30-V75</t>
  </si>
  <si>
    <t>ID diff=0.60mm, OD diff=0.40mm</t>
  </si>
  <si>
    <t>RM0045-20-V75</t>
  </si>
  <si>
    <t>BS009-V75</t>
  </si>
  <si>
    <t>RM0060-20-V75</t>
  </si>
  <si>
    <t>ID diff=0.80mm, OD diff=0.00mm</t>
  </si>
  <si>
    <t>RM0058-15-V80</t>
  </si>
  <si>
    <t>RM0058-19-V75</t>
  </si>
  <si>
    <t>BS202-V75</t>
  </si>
  <si>
    <t>RM0050-15-V75</t>
  </si>
  <si>
    <t>RM0050-20-V75</t>
  </si>
  <si>
    <t>RM0060-25-V75</t>
  </si>
  <si>
    <t>RM0068-19-V75</t>
  </si>
  <si>
    <t>ID diff=0.06mm, OD diff=0.30mm</t>
  </si>
  <si>
    <t>RM0060-15-V75</t>
  </si>
  <si>
    <t>RM0071-16-V75</t>
  </si>
  <si>
    <t>RM0076-24-V75</t>
  </si>
  <si>
    <t>RM0075-15-V75</t>
  </si>
  <si>
    <t>RM0075-18-V75</t>
  </si>
  <si>
    <t>ID diff=0.15mm, OD diff=0.11mm</t>
  </si>
  <si>
    <t>RM0078-19-V75</t>
  </si>
  <si>
    <t>RM0070-15-V75</t>
  </si>
  <si>
    <t>RM0070-20-V75</t>
  </si>
  <si>
    <t>BS109-V75</t>
  </si>
  <si>
    <t>ID diff=0.62mm, OD diff=0.05mm [inch→mm]</t>
  </si>
  <si>
    <t>RM0080-40-V75</t>
  </si>
  <si>
    <t>RM0081-16-V75</t>
  </si>
  <si>
    <t>RM0091-16-V75</t>
  </si>
  <si>
    <t>ID diff=0.36mm, OD diff=0.00mm</t>
  </si>
  <si>
    <t>RM0089-19-V</t>
  </si>
  <si>
    <t>RM0080-15-V75</t>
  </si>
  <si>
    <t>RM0080-20-V75</t>
  </si>
  <si>
    <t>RM0080-25-V75</t>
  </si>
  <si>
    <t>BS204-V75</t>
  </si>
  <si>
    <t>BS110-V75</t>
  </si>
  <si>
    <t>RM0095-16-V75</t>
  </si>
  <si>
    <t>RM0095-15-V75</t>
  </si>
  <si>
    <t>ID diff=0.36mm, OD diff=0.02mm [inch→mm]</t>
  </si>
  <si>
    <t>RM0098-19-V75</t>
  </si>
  <si>
    <t>RM0100-25-V75</t>
  </si>
  <si>
    <t>ID diff=0.20mm, OD diff=0.40mm</t>
  </si>
  <si>
    <t>RM0090-15-V75</t>
  </si>
  <si>
    <t>RM0090-20-V75</t>
  </si>
  <si>
    <t>RM0110-25-V75</t>
  </si>
  <si>
    <t>RM0111-16-V75</t>
  </si>
  <si>
    <t>RM0105-25-V75</t>
  </si>
  <si>
    <t>RM0100-20-V75</t>
  </si>
  <si>
    <t>RM0116-24-V75</t>
  </si>
  <si>
    <t>ID diff=0.25mm, OD diff=0.19mm</t>
  </si>
  <si>
    <t>RM0110-15-V75</t>
  </si>
  <si>
    <t>RM0110-20-V75</t>
  </si>
  <si>
    <t>BS112-V75</t>
  </si>
  <si>
    <t>BS014-V75</t>
  </si>
  <si>
    <t>RM0125-20-V75</t>
  </si>
  <si>
    <t>ID diff=0.10mm, OD diff=0.30mm</t>
  </si>
  <si>
    <t>RM0120-15-V75</t>
  </si>
  <si>
    <t>RM0120-20-V75</t>
  </si>
  <si>
    <t>RM0120-25-V75</t>
  </si>
  <si>
    <t>RM0132-18-V75</t>
  </si>
  <si>
    <t>BS207-V75</t>
  </si>
  <si>
    <t>RM0140-25-V75</t>
  </si>
  <si>
    <t>RM0130-20-V75</t>
  </si>
  <si>
    <t>RM0130-25-V75</t>
  </si>
  <si>
    <t>RM0141-16-V</t>
  </si>
  <si>
    <t>RM0150-25-V75</t>
  </si>
  <si>
    <t>RM0140-15-V75</t>
  </si>
  <si>
    <t>RM0140-18-V75</t>
  </si>
  <si>
    <t>RM0140-20-V75</t>
  </si>
  <si>
    <t>RM0140-30-V75</t>
  </si>
  <si>
    <t>BS208-V75</t>
  </si>
  <si>
    <t>BS114-V75</t>
  </si>
  <si>
    <t>BS016-V75</t>
  </si>
  <si>
    <t>RM0156-24-V75</t>
  </si>
  <si>
    <t>RM0150-20-V75</t>
  </si>
  <si>
    <t>RM0150-30-V75</t>
  </si>
  <si>
    <t>RM0160-25-V75</t>
  </si>
  <si>
    <t>RM0170-15-V75</t>
  </si>
  <si>
    <t>ID diff=0.44mm, OD diff=0.12mm</t>
  </si>
  <si>
    <t>RM0160-15-V75</t>
  </si>
  <si>
    <t>RM0160-40-V75</t>
  </si>
  <si>
    <t>ID diff=0.70mm, OD diff=0.30mm</t>
  </si>
  <si>
    <t>RM0180-40-V75</t>
  </si>
  <si>
    <t>ID diff=1.19mm, OD diff=1.47mm</t>
  </si>
  <si>
    <t>RM0160-20-V75</t>
  </si>
  <si>
    <t>RM0160-30-V75</t>
  </si>
  <si>
    <t>RM0150-50-V75</t>
  </si>
  <si>
    <t>BS209-V75</t>
  </si>
  <si>
    <t>BS115-V75</t>
  </si>
  <si>
    <t>RM0170-20-V75</t>
  </si>
  <si>
    <t>RM0171-16-V75</t>
  </si>
  <si>
    <t>RM0178-24-V75</t>
  </si>
  <si>
    <t>RM0170-25-V75</t>
  </si>
  <si>
    <t>RM0170-30-V75</t>
  </si>
  <si>
    <t>RM0180-15-V75</t>
  </si>
  <si>
    <t>RM0200-40-V75</t>
  </si>
  <si>
    <t>ID diff=1.50mm, OD diff=0.50mm</t>
  </si>
  <si>
    <t>BS210-V75</t>
  </si>
  <si>
    <t>RM0190-25-V75</t>
  </si>
  <si>
    <t>BS018-V75</t>
  </si>
  <si>
    <t>RM0180-20-V75</t>
  </si>
  <si>
    <t>RM0180-25-V75</t>
  </si>
  <si>
    <t>RM0180-30-V75</t>
  </si>
  <si>
    <t>RM0195-30-V75</t>
  </si>
  <si>
    <t>RM0190-20-V75</t>
  </si>
  <si>
    <t>RM0190-30-V75</t>
  </si>
  <si>
    <t>RM0200-35-V75</t>
  </si>
  <si>
    <t>RM0203-24-V75</t>
  </si>
  <si>
    <t>BS019-V75</t>
  </si>
  <si>
    <t>RM0210-25-V75</t>
  </si>
  <si>
    <t>RM0200-15-V75</t>
  </si>
  <si>
    <t>ID diff=0.32mm, OD diff=0.12mm [inch→mm]</t>
  </si>
  <si>
    <t>RM0200-25-V75</t>
  </si>
  <si>
    <t>RM0200-30-V75</t>
  </si>
  <si>
    <t>RM0215-30-V75</t>
  </si>
  <si>
    <t>RM0220-35-V75</t>
  </si>
  <si>
    <t>ID diff=0.30mm, OD diff=0.30mm</t>
  </si>
  <si>
    <t>RM0220-25-V75</t>
  </si>
  <si>
    <t>RM0216-24-V75</t>
  </si>
  <si>
    <t>RM0221-16-V75</t>
  </si>
  <si>
    <t>ID diff=0.15mm, OD diff=0.21mm</t>
  </si>
  <si>
    <t>RM0210-20-V75</t>
  </si>
  <si>
    <t>RM0225-30-V75</t>
  </si>
  <si>
    <t>RM0220-15-V75</t>
  </si>
  <si>
    <t>RM0220-30-V75</t>
  </si>
  <si>
    <t>RM0220-40-V75</t>
  </si>
  <si>
    <t>BS317-V75</t>
  </si>
  <si>
    <t>BS213-V75</t>
  </si>
  <si>
    <t>BS119-V75</t>
  </si>
  <si>
    <t>BS021-V75</t>
  </si>
  <si>
    <t>RM0235-30-V75</t>
  </si>
  <si>
    <t>ID diff=0.33mm, OD diff=0.22mm [inch→mm]</t>
  </si>
  <si>
    <t>RM0230-20-V75</t>
  </si>
  <si>
    <t>RM0230-25-V75</t>
  </si>
  <si>
    <t>RM0230-30-V75</t>
  </si>
  <si>
    <t>RM0245-30-V75</t>
  </si>
  <si>
    <t>RM0250-35-V75</t>
  </si>
  <si>
    <t>RM0240-15-V75</t>
  </si>
  <si>
    <t>RM0240-20-V75</t>
  </si>
  <si>
    <t>RM0240-25-V75</t>
  </si>
  <si>
    <t>RM0240-30-V75</t>
  </si>
  <si>
    <t>RM0250-25-V75</t>
  </si>
  <si>
    <t>BS022-V75</t>
  </si>
  <si>
    <t>RM0250-40-V75</t>
  </si>
  <si>
    <t>RM0250-20-V75</t>
  </si>
  <si>
    <t>RM0250-30-V75</t>
  </si>
  <si>
    <t>RM0250-50-V75</t>
  </si>
  <si>
    <t>RM0260-25-V</t>
  </si>
  <si>
    <t>BS215-V75</t>
  </si>
  <si>
    <t>BS121-V75</t>
  </si>
  <si>
    <t>BS023-V75</t>
  </si>
  <si>
    <t>RM0253-24-V75</t>
  </si>
  <si>
    <t>RM0260-30-V75</t>
  </si>
  <si>
    <t>RM0270-40-V75</t>
  </si>
  <si>
    <t>RM0270-25-V75</t>
  </si>
  <si>
    <t>RM0270-30-V75</t>
  </si>
  <si>
    <t>BS216-V75</t>
  </si>
  <si>
    <t>BS122-V75</t>
  </si>
  <si>
    <t>RM0280-20-V75</t>
  </si>
  <si>
    <t>RM0292-30-V75</t>
  </si>
  <si>
    <t>RM0280-25-V75</t>
  </si>
  <si>
    <t>RM0280-30-V75</t>
  </si>
  <si>
    <t>RM0295-30-V75</t>
  </si>
  <si>
    <t>BS321-V75</t>
  </si>
  <si>
    <t>BS217-V75</t>
  </si>
  <si>
    <t>RM0300-25-V75</t>
  </si>
  <si>
    <t>BS025-V75</t>
  </si>
  <si>
    <t>RM0300-40-V75</t>
  </si>
  <si>
    <t>RM0296-24-V75</t>
  </si>
  <si>
    <t>RM0300-30-V75</t>
  </si>
  <si>
    <t>ID diff=0.28mm, OD diff=0.17mm [inch→mm]</t>
  </si>
  <si>
    <t>ID diff=0.54mm, OD diff=0.13mm [inch→mm]</t>
  </si>
  <si>
    <t>BS124-V75</t>
  </si>
  <si>
    <t>BS218-V75</t>
  </si>
  <si>
    <t>ID diff=0.20mm, OD diff=0.15mm [inch→mm]</t>
  </si>
  <si>
    <t>BS026-V75</t>
  </si>
  <si>
    <t>RM0310-40-V75</t>
  </si>
  <si>
    <t>BS219-V75</t>
  </si>
  <si>
    <t>ID diff=0.32mm, OD diff=0.18mm [inch→mm]</t>
  </si>
  <si>
    <t>RM0330-25-V75</t>
  </si>
  <si>
    <t>ID diff=0.08mm, OD diff=0.16mm</t>
  </si>
  <si>
    <t>RM0320-20-V75</t>
  </si>
  <si>
    <t>RM0320-25-V75</t>
  </si>
  <si>
    <t>RM0320-30-V75</t>
  </si>
  <si>
    <t>BS027-V75</t>
  </si>
  <si>
    <t>RM0330-40-V75</t>
  </si>
  <si>
    <t>RM0330-30-V75</t>
  </si>
  <si>
    <t>BS324-V75</t>
  </si>
  <si>
    <t>RM0345-30-V75</t>
  </si>
  <si>
    <t>BS220-V80</t>
  </si>
  <si>
    <t>BS126-V75</t>
  </si>
  <si>
    <t>BS028-V75</t>
  </si>
  <si>
    <t>RM0340-20-V75</t>
  </si>
  <si>
    <t>RM0340-30-V75</t>
  </si>
  <si>
    <t>RM0350-20-V75</t>
  </si>
  <si>
    <t>ID diff=0.50mm, OD diff=0.06mm</t>
  </si>
  <si>
    <t>RM0350-40-V75</t>
  </si>
  <si>
    <t>RM0350-25-V75</t>
  </si>
  <si>
    <t>RM0350-30-V75</t>
  </si>
  <si>
    <t>RM0350-50-V75</t>
  </si>
  <si>
    <t>BS221-V75</t>
  </si>
  <si>
    <t>BS127-V75</t>
  </si>
  <si>
    <t>RM0360-25-V75</t>
  </si>
  <si>
    <t>RM0360-30-V75</t>
  </si>
  <si>
    <t>RM0360-40-V75</t>
  </si>
  <si>
    <t>ID diff=0.50mm, OD diff=0.44mm</t>
  </si>
  <si>
    <t>RM0360-20-V75</t>
  </si>
  <si>
    <t>ID diff=0.07mm, OD diff=0.18mm [inch→mm]</t>
  </si>
  <si>
    <t>RM0371-16-V75</t>
  </si>
  <si>
    <t>BS325-V75</t>
  </si>
  <si>
    <t>RM0370-30-V75</t>
  </si>
  <si>
    <t>ID diff=0.40mm, OD diff=0.60mm</t>
  </si>
  <si>
    <t>RM0380-30-V75</t>
  </si>
  <si>
    <t>ID diff=0.31mm, OD diff=0.75mm</t>
  </si>
  <si>
    <t>RM0380-25-V75</t>
  </si>
  <si>
    <t>ID diff=0.30mm, OD diff=0.70mm</t>
  </si>
  <si>
    <t>BS029-V75</t>
  </si>
  <si>
    <t>RM0380-40-V75</t>
  </si>
  <si>
    <t>RM0380-20-V75</t>
  </si>
  <si>
    <t>BS129-V75</t>
  </si>
  <si>
    <t>RM0390-20-V75</t>
  </si>
  <si>
    <t>ID diff=0.45mm, OD diff=0.01mm</t>
  </si>
  <si>
    <t>RM0395-30-V75</t>
  </si>
  <si>
    <t>BS824-V75</t>
  </si>
  <si>
    <t>ID diff=0.08mm, OD diff=0.04mm [inch→mm]</t>
  </si>
  <si>
    <t>BS326-V75</t>
  </si>
  <si>
    <t>BS223-V75</t>
  </si>
  <si>
    <t>ID diff=0.19mm, OD diff=0.31mm [inch→mm]</t>
  </si>
  <si>
    <t>BS130-V75</t>
  </si>
  <si>
    <t>RM0400-25-V75</t>
  </si>
  <si>
    <t>RM0400-30-V75</t>
  </si>
  <si>
    <t>RM0410-40-V75</t>
  </si>
  <si>
    <t>RM0410-30-V75</t>
  </si>
  <si>
    <t>RM0420-30-V75</t>
  </si>
  <si>
    <t>RM0410-20-V75</t>
  </si>
  <si>
    <t>BS131-V75</t>
  </si>
  <si>
    <t>BS826-V75</t>
  </si>
  <si>
    <t>ID diff=0.23mm, OD diff=0.34mm [inch→mm]</t>
  </si>
  <si>
    <t>RM0420-40-V80</t>
  </si>
  <si>
    <t>BS327-V75</t>
  </si>
  <si>
    <t>ID diff=0.07mm, OD diff=0.08mm [inch→mm]</t>
  </si>
  <si>
    <t>RM0430-30-V75</t>
  </si>
  <si>
    <t>BS224-V75</t>
  </si>
  <si>
    <t>BS132-V75</t>
  </si>
  <si>
    <t>BS031-V75</t>
  </si>
  <si>
    <t>RM0445-30-V75</t>
  </si>
  <si>
    <t>RM0450-35-V75</t>
  </si>
  <si>
    <t>RM0440-20-V75</t>
  </si>
  <si>
    <t>RM0440-30-V75</t>
  </si>
  <si>
    <t>RM0460-25-V75</t>
  </si>
  <si>
    <t>BS828-V75</t>
  </si>
  <si>
    <t>ID diff=0.27mm, OD diff=0.39mm [inch→mm]</t>
  </si>
  <si>
    <t>RM0470-50-V75</t>
  </si>
  <si>
    <t>ID diff=1.30mm, OD diff=0.64mm</t>
  </si>
  <si>
    <t>RM0450-25-V75</t>
  </si>
  <si>
    <t>RM0450-40-V75</t>
  </si>
  <si>
    <t>RM0450-50-V75</t>
  </si>
  <si>
    <t>BS328-V75</t>
  </si>
  <si>
    <t>RM0460-20-V75</t>
  </si>
  <si>
    <t>RM0460-30-V75</t>
  </si>
  <si>
    <t>ID diff=0.03mm, OD diff=0.09mm [inch→mm]</t>
  </si>
  <si>
    <t>BS225-V75</t>
  </si>
  <si>
    <t>BS134-V75</t>
  </si>
  <si>
    <t>RM0470-20-V75</t>
  </si>
  <si>
    <t>BS829-V75</t>
  </si>
  <si>
    <t>ID diff=0.05mm, OD diff=0.09mm [inch→mm]</t>
  </si>
  <si>
    <t>RM0470-30-V75</t>
  </si>
  <si>
    <t>RM0480-35-V75</t>
  </si>
  <si>
    <t>RM0480-40-V75</t>
  </si>
  <si>
    <t>RM0490-25-V75</t>
  </si>
  <si>
    <t>RM0480-20-V75</t>
  </si>
  <si>
    <t>RM0480-30-V75</t>
  </si>
  <si>
    <t>RM0500-50-V75</t>
  </si>
  <si>
    <t>ID diff=0.40mm, OD diff=0.20mm</t>
  </si>
  <si>
    <t>RM0495-30-V75</t>
  </si>
  <si>
    <t>RM0500-30-V75</t>
  </si>
  <si>
    <t>BS329-V75</t>
  </si>
  <si>
    <t>BS226-V75</t>
  </si>
  <si>
    <t>BS136-V75</t>
  </si>
  <si>
    <t>BS033-V75</t>
  </si>
  <si>
    <t>RM0500-25-V75</t>
  </si>
  <si>
    <t>RM0500-40-V75</t>
  </si>
  <si>
    <t>RM0520-25-V75</t>
  </si>
  <si>
    <t>RM0520-20-V75</t>
  </si>
  <si>
    <t>RM0520-30-V75</t>
  </si>
  <si>
    <t>BS330-V75</t>
  </si>
  <si>
    <t>BS227-V75</t>
  </si>
  <si>
    <t>ID diff=0.22mm, OD diff=0.28mm [inch→mm]</t>
  </si>
  <si>
    <t>RM0540-30-V75</t>
  </si>
  <si>
    <t>BS138-V75</t>
  </si>
  <si>
    <t>RM0543-57-V75</t>
  </si>
  <si>
    <t>RM0544-31-V75</t>
  </si>
  <si>
    <t>ID diff=0.30mm, OD diff=1.10mm</t>
  </si>
  <si>
    <t>BS139-V75</t>
  </si>
  <si>
    <t>BS834-V75</t>
  </si>
  <si>
    <t>ID diff=0.17mm, OD diff=0.32mm [inch→mm]</t>
  </si>
  <si>
    <t>RM0550-40-V75</t>
  </si>
  <si>
    <t>ID diff=0.70mm, OD diff=0.70mm</t>
  </si>
  <si>
    <t>BS331-V75</t>
  </si>
  <si>
    <t>BS228-V75</t>
  </si>
  <si>
    <t>BS140-V75</t>
  </si>
  <si>
    <t>BS035-V75</t>
  </si>
  <si>
    <t>RM0570-30-V75</t>
  </si>
  <si>
    <t>RM0580-50-V75</t>
  </si>
  <si>
    <t>ID diff=0.40mm, OD diff=1.00mm</t>
  </si>
  <si>
    <t>BS141-V75</t>
  </si>
  <si>
    <t>BS836-V75</t>
  </si>
  <si>
    <t>ID diff=0.07mm, OD diff=0.01mm [inch→mm]</t>
  </si>
  <si>
    <t>ID diff=0.67mm, OD diff=0.21mm [inch→mm]</t>
  </si>
  <si>
    <t>RM0593-57-V75</t>
  </si>
  <si>
    <t>ID diff=1.30mm, OD diff=1.30mm</t>
  </si>
  <si>
    <t>RM0595-30-V75</t>
  </si>
  <si>
    <t>BS332-V75</t>
  </si>
  <si>
    <t>RM0600-35-V75</t>
  </si>
  <si>
    <t>BS142-V75</t>
  </si>
  <si>
    <t>RM0600-20-V75</t>
  </si>
  <si>
    <t>ID diff=0.05mm, OD diff=0.39mm</t>
  </si>
  <si>
    <t>BS036-V75</t>
  </si>
  <si>
    <t>ID diff=0.13mm, OD diff=0.23mm [inch→mm]</t>
  </si>
  <si>
    <t>RM0600-40-V75</t>
  </si>
  <si>
    <t>ID diff=0.31mm, OD diff=0.36mm [inch→mm]</t>
  </si>
  <si>
    <t>ID diff=1.66mm, OD diff=0.12mm [inch→mm]</t>
  </si>
  <si>
    <t>BS143-V75</t>
  </si>
  <si>
    <t>BS838-V75</t>
  </si>
  <si>
    <t>ID diff=0.18mm, OD diff=0.03mm [inch→mm]</t>
  </si>
  <si>
    <t>ID diff=0.42mm, OD diff=0.23mm [inch→mm]</t>
  </si>
  <si>
    <t>BS333-V75</t>
  </si>
  <si>
    <t>BS230-V75</t>
  </si>
  <si>
    <t>BS144-V75</t>
  </si>
  <si>
    <t>RM0630-30-V75</t>
  </si>
  <si>
    <t>RM0643-57-V75</t>
  </si>
  <si>
    <t>RM0645-30-V75</t>
  </si>
  <si>
    <t>RM0650-25-V75</t>
  </si>
  <si>
    <t>RM0650-40-V75</t>
  </si>
  <si>
    <t>RM0650-45-V75</t>
  </si>
  <si>
    <t>BS334-V75</t>
  </si>
  <si>
    <t>BS231-V75</t>
  </si>
  <si>
    <t>BS146-V75</t>
  </si>
  <si>
    <t>ID diff=0.29mm, OD diff=0.37mm [inch→mm]</t>
  </si>
  <si>
    <t>BS147-V75</t>
  </si>
  <si>
    <t>RM0680-35-V75</t>
  </si>
  <si>
    <t>ID diff=0.00mm, OD diff=0.06mm</t>
  </si>
  <si>
    <t>RM0693-57-V75</t>
  </si>
  <si>
    <t>BS148-V75</t>
  </si>
  <si>
    <t>ID diff=0.38mm, OD diff=0.22mm [inch→mm]</t>
  </si>
  <si>
    <t>BS335-V75</t>
  </si>
  <si>
    <t>BS232-V75</t>
  </si>
  <si>
    <t>RM0695-30-V75</t>
  </si>
  <si>
    <t>RM0700-20-V75</t>
  </si>
  <si>
    <t>RM0700-40-V75</t>
  </si>
  <si>
    <t>RM0700-50-V75</t>
  </si>
  <si>
    <t>BS149-V75</t>
  </si>
  <si>
    <t>BS336-V75</t>
  </si>
  <si>
    <t>BS233-V75</t>
  </si>
  <si>
    <t>BS150-V75</t>
  </si>
  <si>
    <t>RM0720-30-V75</t>
  </si>
  <si>
    <t>RM0720-40-V75</t>
  </si>
  <si>
    <t>RM0730-30-V75</t>
  </si>
  <si>
    <t>RM0743-57-V75</t>
  </si>
  <si>
    <t>RM0745-30-V75</t>
  </si>
  <si>
    <t>BS846-V75</t>
  </si>
  <si>
    <t>ID diff=0.68mm, OD diff=0.47mm [inch→mm]</t>
  </si>
  <si>
    <t>BS337-V75</t>
  </si>
  <si>
    <t>BS234-V75</t>
  </si>
  <si>
    <t>BS151-V75</t>
  </si>
  <si>
    <t>BS041-V75</t>
  </si>
  <si>
    <t>RM0750-25-V75</t>
  </si>
  <si>
    <t>ID diff=0.25mm, OD diff=0.50mm [inch→mm]</t>
  </si>
  <si>
    <t>RM0760-40-V75</t>
  </si>
  <si>
    <t>BS338-V75</t>
  </si>
  <si>
    <t>BS235-V75</t>
  </si>
  <si>
    <t>RM0790-70-V75</t>
  </si>
  <si>
    <t>BS620-V75</t>
  </si>
  <si>
    <t>ID diff=0.56mm, OD diff=0.18mm [inch→mm]</t>
  </si>
  <si>
    <t>RM0795-30-V75</t>
  </si>
  <si>
    <t>RM0800-25-V75</t>
  </si>
  <si>
    <t>ID diff=0.24mm, OD diff=0.42mm [inch→mm]</t>
  </si>
  <si>
    <t>BS339-V75</t>
  </si>
  <si>
    <t>BS236-V75</t>
  </si>
  <si>
    <t>ID diff=0.11mm, OD diff=0.06mm [inch→mm]</t>
  </si>
  <si>
    <t>BS152-V75</t>
  </si>
  <si>
    <t>RM0820-40-V75</t>
  </si>
  <si>
    <t>BS340-V75</t>
  </si>
  <si>
    <t>ID diff=0.89mm, OD diff=0.16mm [inch→mm]</t>
  </si>
  <si>
    <t>RM0845-30-V75</t>
  </si>
  <si>
    <t>BS237-V75</t>
  </si>
  <si>
    <t>BS534-V75</t>
  </si>
  <si>
    <t>ID diff=0.34mm, OD diff=0.10mm [inch→mm]</t>
  </si>
  <si>
    <t>RM0850-50-V75</t>
  </si>
  <si>
    <t>BS341-V75</t>
  </si>
  <si>
    <t>BS238-V75</t>
  </si>
  <si>
    <t>BS153-V75</t>
  </si>
  <si>
    <t>BS043-V75</t>
  </si>
  <si>
    <t>ID diff=0.65mm, OD diff=0.20mm [inch→mm]</t>
  </si>
  <si>
    <t>RM0893-57-V75</t>
  </si>
  <si>
    <t>RM0895-30-V75</t>
  </si>
  <si>
    <t>RM0900-40-V75</t>
  </si>
  <si>
    <t>RM0900-50-V75</t>
  </si>
  <si>
    <t>BS342-V75</t>
  </si>
  <si>
    <t>BS239-V75</t>
  </si>
  <si>
    <t>RM0920-40-V75</t>
  </si>
  <si>
    <t>BS343-V75</t>
  </si>
  <si>
    <t>ID diff=0.54mm, OD diff=0.44mm [inch→mm]</t>
  </si>
  <si>
    <t>RM0945-30-V75</t>
  </si>
  <si>
    <t>BS240-V75</t>
  </si>
  <si>
    <t>RM0950-25-V75</t>
  </si>
  <si>
    <t>BS044-V75</t>
  </si>
  <si>
    <t>RM0940-35-V75</t>
  </si>
  <si>
    <t>ID diff=0.26mm, OD diff=0.16mm [inch→mm]</t>
  </si>
  <si>
    <t>BS344-V75</t>
  </si>
  <si>
    <t>BS241-V75</t>
  </si>
  <si>
    <t>RM0993-57-V75</t>
  </si>
  <si>
    <t>RM0995-30-V75</t>
  </si>
  <si>
    <t>BS345-V75</t>
  </si>
  <si>
    <t>RM1000-40-V75</t>
  </si>
  <si>
    <t>RM1000-50-V75</t>
  </si>
  <si>
    <t>ID diff=1.09mm, OD diff=0.49mm [inch→mm]</t>
  </si>
  <si>
    <t>BS242-V75</t>
  </si>
  <si>
    <t>BS155-V75</t>
  </si>
  <si>
    <t>RM1010-70-V75</t>
  </si>
  <si>
    <t>ID diff=0.00mm, OD diff=0.02mm</t>
  </si>
  <si>
    <t>RM1030-30-V75</t>
  </si>
  <si>
    <t>BS243-V75</t>
  </si>
  <si>
    <t>ID diff=0.25mm, OD diff=0.31mm [inch→mm]</t>
  </si>
  <si>
    <t>BS346-V75</t>
  </si>
  <si>
    <t>RM1043-57-V75</t>
  </si>
  <si>
    <t>RM1045-30-V75</t>
  </si>
  <si>
    <t>BS244-V75</t>
  </si>
  <si>
    <t>ID diff=0.12mm, OD diff=0.17mm [inch→mm]</t>
  </si>
  <si>
    <t>BS347-V75</t>
  </si>
  <si>
    <t>RM1093-57-V75</t>
  </si>
  <si>
    <t>ID diff=1.30mm, OD diff=0.70mm</t>
  </si>
  <si>
    <t>RM1095-30-V75</t>
  </si>
  <si>
    <t>BS348-V75</t>
  </si>
  <si>
    <t>BS245-V75</t>
  </si>
  <si>
    <t>RM1100-40-V75</t>
  </si>
  <si>
    <t>RM1100-50-V75</t>
  </si>
  <si>
    <t>BS349-V75</t>
  </si>
  <si>
    <t>BS425-V75</t>
  </si>
  <si>
    <t>BS246-V75</t>
  </si>
  <si>
    <t>BS157-V75</t>
  </si>
  <si>
    <t>RM1143-57-V75</t>
  </si>
  <si>
    <t>RM1145-30-V75</t>
  </si>
  <si>
    <t>RM1150-45-V75</t>
  </si>
  <si>
    <t>BS350-V75</t>
  </si>
  <si>
    <t>BS426-V75</t>
  </si>
  <si>
    <t>BS247-V75</t>
  </si>
  <si>
    <t>ID diff=0.09mm, OD diff=0.79mm [inch→mm]</t>
  </si>
  <si>
    <t>RM1193-57-V75</t>
  </si>
  <si>
    <t>RM1195-30-V75</t>
  </si>
  <si>
    <t>BS351-V75</t>
  </si>
  <si>
    <t>BS248-V75</t>
  </si>
  <si>
    <t>BS158-V75</t>
  </si>
  <si>
    <t>RM1200-40-V75</t>
  </si>
  <si>
    <t>ID diff=0.11mm, OD diff=0.56mm [inch→mm]</t>
  </si>
  <si>
    <t>BS352-V75</t>
  </si>
  <si>
    <t>RM1243-57-V75</t>
  </si>
  <si>
    <t>ID diff=1.10mm, OD diff=1.48mm</t>
  </si>
  <si>
    <t>BS249-V75</t>
  </si>
  <si>
    <t>RM1245-30-V75</t>
  </si>
  <si>
    <t>BS429-V75</t>
  </si>
  <si>
    <t>ID diff=0.11mm, OD diff=0.13mm [inch→mm]</t>
  </si>
  <si>
    <t>BS353-V75</t>
  </si>
  <si>
    <t>BS250-V75</t>
  </si>
  <si>
    <t>BS159-V75</t>
  </si>
  <si>
    <t>RM1293-57-V75</t>
  </si>
  <si>
    <t>RM1295-30-V75</t>
  </si>
  <si>
    <t>BS354-V75</t>
  </si>
  <si>
    <t>BS430-V75</t>
  </si>
  <si>
    <t>BS251-V75</t>
  </si>
  <si>
    <t>BS355-V75</t>
  </si>
  <si>
    <t>BS252-V75</t>
  </si>
  <si>
    <t>RM1320-40-V75</t>
  </si>
  <si>
    <t>RM1330-40-V75</t>
  </si>
  <si>
    <t>BS160-V75</t>
  </si>
  <si>
    <t>BS050-V75</t>
  </si>
  <si>
    <t>BS356-V75</t>
  </si>
  <si>
    <t>ID diff=1.69mm, OD diff=0.96mm [inch→mm]</t>
  </si>
  <si>
    <t>RM1340-30-V75</t>
  </si>
  <si>
    <t>BS432-V75</t>
  </si>
  <si>
    <t>ID diff=0.89mm, OD diff=1.56mm [inch→mm]</t>
  </si>
  <si>
    <t>BS253-V75</t>
  </si>
  <si>
    <t>BS357-V75</t>
  </si>
  <si>
    <t>BS433-V75</t>
  </si>
  <si>
    <t>BS254-V75</t>
  </si>
  <si>
    <t>RM1393-57-V75</t>
  </si>
  <si>
    <t>RM1395-30-V75</t>
  </si>
  <si>
    <t>RM1402-44-V75-BLUE</t>
  </si>
  <si>
    <t>ID diff=0.20mm, OD diff=1.00mm</t>
  </si>
  <si>
    <t>BS358-V75</t>
  </si>
  <si>
    <t>BS255-V75</t>
  </si>
  <si>
    <t>RM1443-57-V75</t>
  </si>
  <si>
    <t>RM1445-30-V75</t>
  </si>
  <si>
    <t>BS359-V75</t>
  </si>
  <si>
    <t>ID diff=0.05mm, OD diff=0.06mm [inch→mm]</t>
  </si>
  <si>
    <t>BS435-V75</t>
  </si>
  <si>
    <t>BS256-V75</t>
  </si>
  <si>
    <t>BS162-V75</t>
  </si>
  <si>
    <t>BS436-V75</t>
  </si>
  <si>
    <t>BS360-V75</t>
  </si>
  <si>
    <t>BS257-V75</t>
  </si>
  <si>
    <t>ID diff=0.59mm, OD diff=0.74mm [inch→mm]</t>
  </si>
  <si>
    <t>RM1493-57-V75</t>
  </si>
  <si>
    <t>RM1495-30-V75</t>
  </si>
  <si>
    <t>RM1500-50-V</t>
  </si>
  <si>
    <t>BS361-V75</t>
  </si>
  <si>
    <t>BS437-V75</t>
  </si>
  <si>
    <t>BS258-V75</t>
  </si>
  <si>
    <t>BS163-V75</t>
  </si>
  <si>
    <t>ID diff=0.11mm, OD diff=1.00mm [inch→mm]</t>
  </si>
  <si>
    <t>RM1543-57-V75</t>
  </si>
  <si>
    <t>ID diff=0.18mm, OD diff=0.56mm</t>
  </si>
  <si>
    <t>RM1545-30-V75</t>
  </si>
  <si>
    <t>ID diff=1.26mm, OD diff=0.50mm</t>
  </si>
  <si>
    <t>ID diff=1.50mm, OD diff=0.94mm</t>
  </si>
  <si>
    <t>BS362-V75</t>
  </si>
  <si>
    <t>BS438-V75</t>
  </si>
  <si>
    <t>BS259-V75</t>
  </si>
  <si>
    <t>RM1593-57-V75</t>
  </si>
  <si>
    <t>RM1595-30-V75</t>
  </si>
  <si>
    <t>RM1643-57-V75</t>
  </si>
  <si>
    <t>BS439-V75</t>
  </si>
  <si>
    <t>ID diff=0.07mm, OD diff=0.17mm [inch→mm]</t>
  </si>
  <si>
    <t>BS363-V75</t>
  </si>
  <si>
    <t>BS260-V75</t>
  </si>
  <si>
    <t>RM1693-57-V75</t>
  </si>
  <si>
    <t>BS166-V75</t>
  </si>
  <si>
    <t>ID diff=1.80mm, OD diff=0.68mm [inch→mm]</t>
  </si>
  <si>
    <t>BS364-V75</t>
  </si>
  <si>
    <t>BS440-V75</t>
  </si>
  <si>
    <t>RM1700-50-V75</t>
  </si>
  <si>
    <t>BS261-V75</t>
  </si>
  <si>
    <t>RM1745-30-V75</t>
  </si>
  <si>
    <t>BS365-V75</t>
  </si>
  <si>
    <t>BS441-V75</t>
  </si>
  <si>
    <t>BS262-V75</t>
  </si>
  <si>
    <t>RM1793-57-V75</t>
  </si>
  <si>
    <t>ID diff=0.00mm, OD diff=0.74mm</t>
  </si>
  <si>
    <t>RM1820-40-V75</t>
  </si>
  <si>
    <t>ID diff=1.14mm, OD diff=0.20mm</t>
  </si>
  <si>
    <t>BS442-V75</t>
  </si>
  <si>
    <t>BS366-V75</t>
  </si>
  <si>
    <t>ID diff=0.81mm, OD diff=1.54mm [inch→mm]</t>
  </si>
  <si>
    <t>RM1893-57-V75</t>
  </si>
  <si>
    <t>RM1900-30-V75</t>
  </si>
  <si>
    <t>BS367-V75</t>
  </si>
  <si>
    <t>BS443-V75</t>
  </si>
  <si>
    <t>BS169-V75</t>
  </si>
  <si>
    <t>ID diff=0.33mm, OD diff=0.08mm [inch→mm]</t>
  </si>
  <si>
    <t>ID diff=0.26mm, OD diff=0.41mm [inch→mm]</t>
  </si>
  <si>
    <t>ID diff=1.86mm, OD diff=0.36mm [inch→mm]</t>
  </si>
  <si>
    <t>RM1943-57-V75</t>
  </si>
  <si>
    <t>RM1945-30-V75</t>
  </si>
  <si>
    <t>BS368-V75</t>
  </si>
  <si>
    <t>BS444-V75</t>
  </si>
  <si>
    <t>BS265-V75</t>
  </si>
  <si>
    <t>RM1993-57-V75</t>
  </si>
  <si>
    <t>BS266-V75</t>
  </si>
  <si>
    <t>BS369-V75</t>
  </si>
  <si>
    <t>BS445-V75</t>
  </si>
  <si>
    <t>RM2050-60-V75</t>
  </si>
  <si>
    <t>ID diff=0.80mm, OD diff=1.40mm</t>
  </si>
  <si>
    <t>BS674-V75</t>
  </si>
  <si>
    <t>BS370-V75</t>
  </si>
  <si>
    <t>BS267-V75</t>
  </si>
  <si>
    <t>RM2093-57-V75</t>
  </si>
  <si>
    <t>ID diff=0.36mm, OD diff=0.55mm [inch→mm]</t>
  </si>
  <si>
    <t>BS371-V75</t>
  </si>
  <si>
    <t>ID diff=0.94mm, OD diff=0.21mm [inch→mm]</t>
  </si>
  <si>
    <t>BS446-V75</t>
  </si>
  <si>
    <t>ID diff=0.06mm, OD diff=0.05mm [inch→mm]</t>
  </si>
  <si>
    <t>BS268-V75</t>
  </si>
  <si>
    <t>ID diff=0.14mm, OD diff=0.81mm [inch→mm]</t>
  </si>
  <si>
    <t>RM2193-57-V75</t>
  </si>
  <si>
    <t>BS372-V75</t>
  </si>
  <si>
    <t>BS269-V75</t>
  </si>
  <si>
    <t>RM2270-60-V</t>
  </si>
  <si>
    <t>ID diff=0.97mm, OD diff=0.37mm</t>
  </si>
  <si>
    <t>BS447-V75</t>
  </si>
  <si>
    <t>ID diff=1.36mm, OD diff=1.46mm [inch→mm]</t>
  </si>
  <si>
    <t>BS678-V75</t>
  </si>
  <si>
    <t>ID diff=0.69mm, OD diff=0.91mm [inch→mm]</t>
  </si>
  <si>
    <t>RM2343-57-V75</t>
  </si>
  <si>
    <t>ID diff=0.02mm, OD diff=0.72mm</t>
  </si>
  <si>
    <t>ID diff=1.81mm, OD diff=1.59mm [inch→mm]</t>
  </si>
  <si>
    <t>RM2393-57-V75</t>
  </si>
  <si>
    <t>BS375-V75</t>
  </si>
  <si>
    <t>BS448-V75</t>
  </si>
  <si>
    <t>BS272-V75</t>
  </si>
  <si>
    <t>ID diff=0.08mm, OD diff=0.03mm [inch→mm]</t>
  </si>
  <si>
    <t>RM2400-50-V75</t>
  </si>
  <si>
    <t>RM2450-30-V75</t>
  </si>
  <si>
    <t>BS449-V75</t>
  </si>
  <si>
    <t>BS274-V75</t>
  </si>
  <si>
    <t>RM2593-57-V75</t>
  </si>
  <si>
    <t>BS450-V75</t>
  </si>
  <si>
    <t>ID diff=0.63mm, OD diff=0.65mm [inch→mm]</t>
  </si>
  <si>
    <t>RM2693-57-V75</t>
  </si>
  <si>
    <t>BS379-V75</t>
  </si>
  <si>
    <t>BS451-V75</t>
  </si>
  <si>
    <t>RM2793-57-V75</t>
  </si>
  <si>
    <t>RM2893-57-V75</t>
  </si>
  <si>
    <t>BS380-V75</t>
  </si>
  <si>
    <t>BS452-V75</t>
  </si>
  <si>
    <t>BS381-V75</t>
  </si>
  <si>
    <t>ID diff=0.10mm, OD diff=0.09mm [inch→mm]</t>
  </si>
  <si>
    <t>BS453-V75</t>
  </si>
  <si>
    <t>RM3193-57-V75</t>
  </si>
  <si>
    <t>RM3500-50-V75</t>
  </si>
  <si>
    <t>BS383-V75</t>
  </si>
  <si>
    <t>ID diff=0.64mm, OD diff=0.09mm [inch→mm]</t>
  </si>
  <si>
    <t>BS457-V75</t>
  </si>
  <si>
    <t>ID diff=0.10mm, OD diff=0.14mm [inch→mm]</t>
  </si>
  <si>
    <t>BS458-V75</t>
  </si>
  <si>
    <t>BS469-V75</t>
  </si>
  <si>
    <t>AIRZET25-17-3-V</t>
  </si>
  <si>
    <t>The Airzet type is a double acting pneumatic piston seals designed for short pistons.</t>
  </si>
  <si>
    <t>Pneumatic Piston Seals</t>
  </si>
  <si>
    <t>Piston Seal - Pneumatic - Airzet Type</t>
  </si>
  <si>
    <t>AIRZET28-19-2.5-R</t>
  </si>
  <si>
    <t>AIRZET30-21-2.5-R</t>
  </si>
  <si>
    <t>AIRZET32-23-2.5-R</t>
  </si>
  <si>
    <t>AIRZET35-26-2.5-R</t>
  </si>
  <si>
    <t>SU40-30-7DE-P-PNEU</t>
  </si>
  <si>
    <t>AIRZET45-36-2.7-R-K54</t>
  </si>
  <si>
    <t>AIRZET50-40-3.8-R-K62</t>
  </si>
  <si>
    <t>Piston Seal - Pneumatic - PSD Type</t>
  </si>
  <si>
    <t>RC60-71-4.2-170-B BS230</t>
  </si>
  <si>
    <t>Single Acting Rod Composite Seal PTFE and Nitrile. *-B denotes Bronze Filled PTFE Sealing Element. *-P denotes Polyurethane Sealing Element.</t>
  </si>
  <si>
    <t>Rod Composite Seals</t>
  </si>
  <si>
    <t>Rod Composite Seal - Stepped</t>
  </si>
  <si>
    <t>RC70-81-4.2-170-B BS846</t>
  </si>
  <si>
    <t>RC80-91-4.2-170-B</t>
  </si>
  <si>
    <t>RC85-95-6.3-110-SQ-N</t>
  </si>
  <si>
    <t>Rod Composite Seal with Square Energiser</t>
  </si>
  <si>
    <t>RC90-100-7.5-740-M</t>
  </si>
  <si>
    <t>Rod Composite Seal - Cave Seal</t>
  </si>
  <si>
    <t>RC110-121-4.2-170-C BS246</t>
  </si>
  <si>
    <t>RC8-12.9-2.2-170-B BS012</t>
  </si>
  <si>
    <t>RC10-17.5-3.2-110-B BS113</t>
  </si>
  <si>
    <t>Rod Composite Seal - Chamfered</t>
  </si>
  <si>
    <t>RC12-16.9-2.2-170-B BS015</t>
  </si>
  <si>
    <t>RC12-19.5-3.2-170-B</t>
  </si>
  <si>
    <t>RC14-21.5-3.2-170-B BS115</t>
  </si>
  <si>
    <t>RC15-22.3-3.2-110-B BS116</t>
  </si>
  <si>
    <t>RC16-23.5-3.2-170-B BS116</t>
  </si>
  <si>
    <t>RC18-22.9-2.2-170-B BS018</t>
  </si>
  <si>
    <t>SU25.5-18-2.8DI-L-P-H616</t>
  </si>
  <si>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</si>
  <si>
    <t>Hallite Rod Seal</t>
  </si>
  <si>
    <t>HalliteÂ® Type 616</t>
  </si>
  <si>
    <t>SU28-18-7.7DI-L-P-H605</t>
  </si>
  <si>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</si>
  <si>
    <t>HalliteÂ® Type 605</t>
  </si>
  <si>
    <t>ID diff=0.00mm, OD diff=0.70mm</t>
  </si>
  <si>
    <t>RC20-27.5-3.2-170-M-CCAVE</t>
  </si>
  <si>
    <t>SU31-20-3.9DI-L-P-H616</t>
  </si>
  <si>
    <t>ID diff=0.00mm, OD diff=0.30mm</t>
  </si>
  <si>
    <t>RC22-29.3-3.2-170-P-RIMSEAL</t>
  </si>
  <si>
    <t>SU33-22-3.9DI-L-P-H616</t>
  </si>
  <si>
    <t>SU32.5-25-2.8DI-L-P-H616</t>
  </si>
  <si>
    <t>SU36-25-3.9DI-L-P-H616</t>
  </si>
  <si>
    <t>RC28-35.5-3.2-170-B</t>
  </si>
  <si>
    <t>SU39-28-3.9DI-L-P-H616</t>
  </si>
  <si>
    <t>SU41-30-3.9DI-L-P-H616</t>
  </si>
  <si>
    <t>RC32-39.5-3.2-170-B</t>
  </si>
  <si>
    <t>SU42.5-32-8TS-L-P</t>
  </si>
  <si>
    <t>Single-Acting rod seal. Designed with a shallow groove to be less sensitive to pressure fluctuations and works well at low pressures. Secondary lip for extra sealing and to provide additional lubrication. Material : POLYURETHANE</t>
  </si>
  <si>
    <t>U Ring Rod Working Seals</t>
  </si>
  <si>
    <t>U Ring - TS Type - Extra Lip</t>
  </si>
  <si>
    <t>RC35-46-4.2-110-B BS222</t>
  </si>
  <si>
    <t>VP50-35-22.5DR-H07</t>
  </si>
  <si>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</si>
  <si>
    <t>HalliteÂ® Type 07</t>
  </si>
  <si>
    <t>ID diff=0.00mm, OD diff=0.10mm</t>
  </si>
  <si>
    <t>RC36-43.5-3.2-170-B BS128</t>
  </si>
  <si>
    <t>SU47-36-3.9DI-L-P-H616</t>
  </si>
  <si>
    <t>SU48-38-8DI-L-P</t>
  </si>
  <si>
    <t>Single-Acting polyurethane rod seal with secondary sealing lip.</t>
  </si>
  <si>
    <t>U Ring - Rod Working - Extra Lip</t>
  </si>
  <si>
    <t>RC38-53.5-6.3-170-B BS327</t>
  </si>
  <si>
    <t>ID diff=0.00mm, OD diff=0.40mm</t>
  </si>
  <si>
    <t>SU50.7-40-3.9EI-P</t>
  </si>
  <si>
    <t>Single-Acting polyurethane rod seal with anti-extrusion ring. Designed to protect the main rod seal from excess pressure and potential dieseling.</t>
  </si>
  <si>
    <t>U Ring - Rod Working - Buffer</t>
  </si>
  <si>
    <t>SU55.1-40-6EI-P-ME</t>
  </si>
  <si>
    <t>RC42-53-4.2-170-B BS225</t>
  </si>
  <si>
    <t>SA225162-043EI</t>
  </si>
  <si>
    <t>Rubber Fabric Single Acting Seal Rod Seal with an Acetal Anti Extrusion Ring on the ID. * -V denotes Viton Equivalent for use in high temperature applications.</t>
  </si>
  <si>
    <t>Rubber Fabric Rod Seals</t>
  </si>
  <si>
    <t>Rod Seal with Internal Extrusion Ring</t>
  </si>
  <si>
    <t>ID diff=0.85mm, OD diff=0.05mm [inch→mm]</t>
  </si>
  <si>
    <t>SU55.7-45-3.9EI-P</t>
  </si>
  <si>
    <t>SU60-45-10DI-L-P-H605</t>
  </si>
  <si>
    <t>VP63-48-22.5-H09</t>
  </si>
  <si>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</si>
  <si>
    <t>HalliteÂ® Type 09</t>
  </si>
  <si>
    <t>RC50-61-4.2-170-B BS227</t>
  </si>
  <si>
    <t>SU65-50-10EU-EI-L-P-H621</t>
  </si>
  <si>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</si>
  <si>
    <t>HalliteÂ® Type 621</t>
  </si>
  <si>
    <t>RC55-66-4.2-170-B BS229</t>
  </si>
  <si>
    <t>SU70-55-11.8DI-L-P-H605</t>
  </si>
  <si>
    <t>RC56-67-4.2-170-B</t>
  </si>
  <si>
    <t>RC56-71.1-6-170-P-RIMSEAL</t>
  </si>
  <si>
    <t>SU71-60-7DI-L-P-H605</t>
  </si>
  <si>
    <t>RC60-75.1-6.3-170-PE</t>
  </si>
  <si>
    <t>SU73-63-12DI-P</t>
  </si>
  <si>
    <t>Single Acting Rod Polyurethane U-ring</t>
  </si>
  <si>
    <t>U Ring - Polyurethane - Rod Working</t>
  </si>
  <si>
    <t>RC63-78.1-6.3-170-B</t>
  </si>
  <si>
    <t>RC65-76-4.2-170-G</t>
  </si>
  <si>
    <t>SU80-65-9DI-L-P-H605</t>
  </si>
  <si>
    <t>RC68-83.5-6.3-170-G BS336</t>
  </si>
  <si>
    <t>SU85-70-9DI-L-P-H605</t>
  </si>
  <si>
    <t>SU85-75-6DI-L-P-H605</t>
  </si>
  <si>
    <t>SU90-75-9DI-L-P-H605</t>
  </si>
  <si>
    <t>SU368300-019EI-P</t>
  </si>
  <si>
    <t>ID diff=1.80mm, OD diff=0.37mm [inch→mm]</t>
  </si>
  <si>
    <t>SU95-80-9DI-L-P-H605</t>
  </si>
  <si>
    <t>RC80-100.5-8.1-170-B 90X7</t>
  </si>
  <si>
    <t>SU100-85-9DI-L-P-H605</t>
  </si>
  <si>
    <t>VP412348-115DR-H07</t>
  </si>
  <si>
    <t>ID diff=0.39mm, OD diff=1.55mm [inch→mm]</t>
  </si>
  <si>
    <t>SU105-90-9DI-L-P-H605</t>
  </si>
  <si>
    <t>RC90-110.5-8.1-170-B (99X7)</t>
  </si>
  <si>
    <t>SU110-95-9DI-L-P-H605</t>
  </si>
  <si>
    <t>SU112-98-8.5DI-P-HT</t>
  </si>
  <si>
    <t>ID diff=0.00mm, OD diff=1.10mm</t>
  </si>
  <si>
    <t>SU115-100-9DI-L-P-H605</t>
  </si>
  <si>
    <t>RC100-120.5-8.1-170-B (106X7)</t>
  </si>
  <si>
    <t>SU120-105-13EU-EI-P-H621</t>
  </si>
  <si>
    <t>RC105-125.5-8.1-170-B (BS425)</t>
  </si>
  <si>
    <t>VP125-110-30-H11</t>
  </si>
  <si>
    <t>The Hallite 11 is a vee pack rod seal for medium duty applications offering excellent performance and long lifeÂ even under difficult operating conditions such as pressure surges, vibration and some misalignment. The sealÂ consists of a male and female adaptor and 5 vee rings.Â The male adaptor is usually manufactured from polyacetal but some of the larger sizes use rubberised fabric. ItÂ has grooves across one face to ensure equal pressure to the sealing edges of the vee ring.Â All sizes have three vee rings manufactured from rubberised fabric because this has strength and durability andÂ permits an oil film to lubricate the other parts of the seal. Two rubber vee rings are supplied between theÂ rubberised fabric vee rings (up to and including 140mm diameter) to aid low pressure sealing.Â The female adaptor uses a hard rubberised fabric to support the vee rings and protect them from extrusionÂ damage. At high pressure the lips of the adaptor acts as a secondary seal.Â The proportions of the range have been determined to give a satisfactory performance when used with theÂ recommended operating conditions.</t>
  </si>
  <si>
    <t>HalliteÂ® Type 11</t>
  </si>
  <si>
    <t>VP130-110-30DR-H07</t>
  </si>
  <si>
    <t>SU130-115-9DI-L-P-H605</t>
  </si>
  <si>
    <t>SU135-115-14.6EU-EI-P-H621</t>
  </si>
  <si>
    <t>SU133-118-9DI-P</t>
  </si>
  <si>
    <t>SU135-120-9DI-L-P-H605</t>
  </si>
  <si>
    <t>VP140-120-30-H09</t>
  </si>
  <si>
    <t>VP140-125-27.5DR-H07</t>
  </si>
  <si>
    <t>RC125-145.5-8.1-170-B (BS626)</t>
  </si>
  <si>
    <t>SU145-130-9DI-L-P-H605</t>
  </si>
  <si>
    <t>SU150-135-9DI-P</t>
  </si>
  <si>
    <t>SU155-135-16EI-P-TDI</t>
  </si>
  <si>
    <t>The TDI rod seal is made of 2 parts, a polyurethane sealing element and a PTFE-Bronze ring to provide effective sealing at zero pressure.</t>
  </si>
  <si>
    <t>U Ring - Rod Working - TDI Type</t>
  </si>
  <si>
    <t>SU155-140-13EU-EI-L-P-H621</t>
  </si>
  <si>
    <t>VP160-140-35DR-H07</t>
  </si>
  <si>
    <t>SU160-145-9DI-P</t>
  </si>
  <si>
    <t>SA165-150-12.5EI</t>
  </si>
  <si>
    <t>SU170-150-12DI-L-P-H605</t>
  </si>
  <si>
    <t>SU170-155-9DI-P</t>
  </si>
  <si>
    <t>SA175-160-16EI</t>
  </si>
  <si>
    <t>RC160-180.5-8.1-170-P BS440</t>
  </si>
  <si>
    <t>SU712650-062DI-P</t>
  </si>
  <si>
    <t>ID diff=0.10mm, OD diff=0.75mm [inch→mm]</t>
  </si>
  <si>
    <t>SU185-170-14.5EU-EI-P-H652</t>
  </si>
  <si>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</si>
  <si>
    <t>HalliteÂ® Type 652</t>
  </si>
  <si>
    <t>SU190-170-14.5DI-L-P-H605</t>
  </si>
  <si>
    <t>SU195-180-14.5EU-EI-P-H652</t>
  </si>
  <si>
    <t>SU200-180-11.8DI-L-P-H605</t>
  </si>
  <si>
    <t>RC190-205.5-6.3-170-B</t>
  </si>
  <si>
    <t>SA210-190-14.5EI</t>
  </si>
  <si>
    <t>SU220-200-14.5DI-L-P-H605</t>
  </si>
  <si>
    <t>SA230-210-14EI</t>
  </si>
  <si>
    <t>SU240-220-14.5DI-L-P-H605</t>
  </si>
  <si>
    <t>SU250-230-14.5EI-EU-P-H652</t>
  </si>
  <si>
    <t>SU260-240-15DI-P</t>
  </si>
  <si>
    <t>RC250-271-8.1-170-B</t>
  </si>
  <si>
    <t>RC260-284.5-8.1-170-B</t>
  </si>
  <si>
    <t>GM305-280-35EI</t>
  </si>
  <si>
    <t>3 Piece Rubber Fabric Single Acting Rod Seal with Acetal Anti Extrusion on the ID</t>
  </si>
  <si>
    <t>Rod Seal - 3pc with Internal Extrusion Ring</t>
  </si>
  <si>
    <t>RC290-314.5-8.1-170-B</t>
  </si>
  <si>
    <t>SU375-350-18EU-EI-L-P-H652</t>
  </si>
  <si>
    <t>RC360-384.5-8.1-170-B</t>
  </si>
  <si>
    <t>RC6-10.9-2.2-170-B BS011</t>
  </si>
  <si>
    <t>RC10-14.9-2.2-170-B BS014</t>
  </si>
  <si>
    <t>RC14-18.9-2.2-170-B BS016</t>
  </si>
  <si>
    <t>SU125062-034TS-P-H654</t>
  </si>
  <si>
    <t>Single-Acting rod seal. Designed with a shallow groove to be less sensitive to pressure fluctuations and works well at low pressures. Material : POLYURETHANE</t>
  </si>
  <si>
    <t>U Ring - TS Type</t>
  </si>
  <si>
    <t>ID diff=0.75mm, OD diff=1.65mm [inch→mm]</t>
  </si>
  <si>
    <t>RC16-20.9-2.2-170-B BS017</t>
  </si>
  <si>
    <t>SU35-20-8EU-F</t>
  </si>
  <si>
    <t>High Pressure Water Pump Seal</t>
  </si>
  <si>
    <t>SU40-25-10DI-L-P-H605</t>
  </si>
  <si>
    <t>VP45-30-22.5-H09</t>
  </si>
  <si>
    <t>RC35-42.5-3.2-170-B BS128</t>
  </si>
  <si>
    <t>SU52-40-10.9DI-L-P-H605</t>
  </si>
  <si>
    <t>RC175218-017-170-B</t>
  </si>
  <si>
    <t>ID diff=0.05mm, OD diff=0.08mm [inch→mm]</t>
  </si>
  <si>
    <t>SU53-45-8.1DI-L-P-H605</t>
  </si>
  <si>
    <t>SU57.7-45-9.5DI-L-P-H605</t>
  </si>
  <si>
    <t>SU62.7-50-9.5TS-L-P</t>
  </si>
  <si>
    <t>SU68-56-8.5DI-R</t>
  </si>
  <si>
    <t>Single Acting Rod Working Rubber U Ring</t>
  </si>
  <si>
    <t>U Ring - Rubber - Rod Working</t>
  </si>
  <si>
    <t>SA75-63-10.5EI</t>
  </si>
  <si>
    <t>SU85-65-12DI-L-P-H605</t>
  </si>
  <si>
    <t>SU83-70-10DI-L-P-H605</t>
  </si>
  <si>
    <t>RC325387-025-170-B</t>
  </si>
  <si>
    <t>ID diff=0.05mm, OD diff=0.10mm [inch→mm]</t>
  </si>
  <si>
    <t>RC325386-025-170-C BS621</t>
  </si>
  <si>
    <t>ID diff=0.45mm, OD diff=0.06mm [inch→mm]</t>
  </si>
  <si>
    <t>RC85-105.5-8.1-170-B (94X7)</t>
  </si>
  <si>
    <t>RC90-101-4.2-170-B BS240</t>
  </si>
  <si>
    <t>SU101.3-92-8TS-L-P</t>
  </si>
  <si>
    <t>ID diff=0.00mm, OD diff=1.40mm</t>
  </si>
  <si>
    <t>SA105-95-10.5EI</t>
  </si>
  <si>
    <t>RC400464-022-170-SQ-B</t>
  </si>
  <si>
    <t>ID diff=1.40mm, OD diff=0.24mm [inch→mm]</t>
  </si>
  <si>
    <t>SA115-105-11EI</t>
  </si>
  <si>
    <t>SU562500-025EI-P</t>
  </si>
  <si>
    <t>ID diff=1.00mm, OD diff=0.35mm [inch→mm]</t>
  </si>
  <si>
    <t>SA587525-075BR-L-F</t>
  </si>
  <si>
    <t>Edbro Telescopic Rod Seal</t>
  </si>
  <si>
    <t>ID diff=0.35mm, OD diff=1.00mm [inch→mm]</t>
  </si>
  <si>
    <t>RC135-150.5-6.3-170-B</t>
  </si>
  <si>
    <t>ID diff=1.00mm, OD diff=0.60mm</t>
  </si>
  <si>
    <t>SU155-145-12DI-L-P</t>
  </si>
  <si>
    <t>SU634575-039DI-P</t>
  </si>
  <si>
    <t>SU184.5-175-11.5TS-L-P</t>
  </si>
  <si>
    <t>SA795731-075BR-L-F</t>
  </si>
  <si>
    <t>ID diff=0.67mm, OD diff=1.83mm [inch→mm]</t>
  </si>
  <si>
    <t>SU205-190-14.5EU-EI-P-H652</t>
  </si>
  <si>
    <t>RC235-256-8.1-170-B</t>
  </si>
  <si>
    <t>SA500400-075EI</t>
  </si>
  <si>
    <t>ID diff=1.60mm, OD diff=1.70mm [inch→mm]</t>
  </si>
  <si>
    <t>RC450552-023-170-SQ-B</t>
  </si>
  <si>
    <t>ID diff=1.80mm, OD diff=0.99mm [inch→mm]</t>
  </si>
  <si>
    <t>SA600500-075EI</t>
  </si>
  <si>
    <t>ID diff=2.00mm, OD diff=1.30mm [inch→mm]</t>
  </si>
  <si>
    <t>SU075050-018DI-L-P-H605</t>
  </si>
  <si>
    <t>ID diff=0.20mm, OD diff=nanmm [inch→mm]</t>
  </si>
  <si>
    <t>VP30-20-18.5-H11</t>
  </si>
  <si>
    <t>SU32-22-10DI-L-P-H605</t>
  </si>
  <si>
    <t>SU35-25-7.3DI-L-P-H605</t>
  </si>
  <si>
    <t>ID diff=0.00mm, OD diff=1.50mm</t>
  </si>
  <si>
    <t>SU38-28-7.3DI-L-P-H605</t>
  </si>
  <si>
    <t>SU40-30-6DI-L-P-H605</t>
  </si>
  <si>
    <t>SU42-32-5.7DI-L-P-H605</t>
  </si>
  <si>
    <t>SU44-35-7TS-L-P</t>
  </si>
  <si>
    <t>SU45-35-6DI-L-P-H605</t>
  </si>
  <si>
    <t>SU44-36-6.4DI-L-P-H605</t>
  </si>
  <si>
    <t>SU46-36-5.7DI-L-P-H605</t>
  </si>
  <si>
    <t>SU50-40-6DI-L-P-H605</t>
  </si>
  <si>
    <t>SU55-45-5.7DI-L-P-H605</t>
  </si>
  <si>
    <t>SU60-50-6DI-L-P-H605</t>
  </si>
  <si>
    <t>SU65-55-6DI-L-P-H605</t>
  </si>
  <si>
    <t>SU66-56-10DI-L-P-H605</t>
  </si>
  <si>
    <t>VP71-56-29DR-H07</t>
  </si>
  <si>
    <t>SU70-60-6DI-L-P-H605</t>
  </si>
  <si>
    <t>SU76-68-8TS-P</t>
  </si>
  <si>
    <t>SU82-70-8.7DI-L-P-H605</t>
  </si>
  <si>
    <t>VP110-90-35DR-H07</t>
  </si>
  <si>
    <t>VP120-100-30DR-H07</t>
  </si>
  <si>
    <t>VP37-25-19DR-H07</t>
  </si>
  <si>
    <t>SA40-28-9EI</t>
  </si>
  <si>
    <t>SU42-30-11DI-L-P-H605</t>
  </si>
  <si>
    <t>GM47-32-22.5EI-SOLID</t>
  </si>
  <si>
    <t>SA48-36-9EI</t>
  </si>
  <si>
    <t>GM51-36-22.5EI-SOLID</t>
  </si>
  <si>
    <t>VP55-40-22.5DR-H07</t>
  </si>
  <si>
    <t>SA63-45-10.5EI</t>
  </si>
  <si>
    <t>GM65-45-28EI</t>
  </si>
  <si>
    <t>GM70-50-30EI</t>
  </si>
  <si>
    <t>VP75-55-30DR-H07</t>
  </si>
  <si>
    <t>GM76-56-28EI</t>
  </si>
  <si>
    <t>VP75-60-25DR-EI-H07</t>
  </si>
  <si>
    <t>GM80-60-30EI</t>
  </si>
  <si>
    <t>SU78-63-10DI-L-P-H605</t>
  </si>
  <si>
    <t>VP83-63-30DR-H07</t>
  </si>
  <si>
    <t>VP90-70-30DR-H07</t>
  </si>
  <si>
    <t>SU95-75-12DI-L-P-H605</t>
  </si>
  <si>
    <t>VP100-80-30DR-H07</t>
  </si>
  <si>
    <t>SU105-85-12DI-L-P-H605</t>
  </si>
  <si>
    <t>SU115-95-12DI-L-P-H605</t>
  </si>
  <si>
    <t>SU125-100-15DI-L-P</t>
  </si>
  <si>
    <t>SA135-110-15EI</t>
  </si>
  <si>
    <t>ID diff=0.70mm, OD diff=0.21mm [inch→mm]</t>
  </si>
  <si>
    <t>SA145-120-18.8EI</t>
  </si>
  <si>
    <t>VP150-125-43DR-H07</t>
  </si>
  <si>
    <t>SA155-130-18.8EI</t>
  </si>
  <si>
    <t>VP165-140-34-H14</t>
  </si>
  <si>
    <t>The Hallite 14 is a vee pack rod seal for heavy duty applications offering excellent performance and long life evenÂ under difficult operating conditions such as pressure surges, vibration and some misalignment. The seal consistsÂ of a male and female adaptor and three vee rings. The male adaptor is usually manufactured from polyacetal but some of the larger sizes use rubberised fabric. ItÂ has grooves across one face to ensure equal pressure to the sealing edges of the vee ring.Â All sizes have vee rings manufactured from rubberised fabric because this has strength and durability and permitsÂ an oil film to lubricate the other parts of the seal. The smaller sizes are supplied with a rubber vee ring betweenÂ the rubberised fabric vee rings.</t>
  </si>
  <si>
    <t>HalliteÂ® Type 14</t>
  </si>
  <si>
    <t>SA170-140-22.8EI</t>
  </si>
  <si>
    <t>GM195-170-35EI</t>
  </si>
  <si>
    <t>VP210-180-55DR-H07</t>
  </si>
  <si>
    <t>SU230-200-22.7EU-EI-P</t>
  </si>
  <si>
    <t>Single-acting polyurethane rod u-seal with anti-extrusion ring and rubber energiser.</t>
  </si>
  <si>
    <t>U Ring - Energised - Extrusion Ring</t>
  </si>
  <si>
    <t>SU250-220-18.2TS-EI-P</t>
  </si>
  <si>
    <t>U Ring - BU Type</t>
  </si>
  <si>
    <t>RC40-55.5-6.3-170-B BS328</t>
  </si>
  <si>
    <t>RC45-60.5-6.3-110-SQ-B</t>
  </si>
  <si>
    <t>RC50-65.5-6.3-170-B</t>
  </si>
  <si>
    <t>SU70.5-55-6EI-P-H653</t>
  </si>
  <si>
    <t>The Hallite 653 single-acting rod buffer seal is designed to be used in conjunction with a high-performance rod seal, such as the Hallite 605 and 621, to protect the primary seal from shock pressure loading and high frequency pressure spikes in the hydraulic system. The design allows oil to pass through to the rod seal while holding back pressure spikes also allowing pressure to pass back into the system preventing a pressure trap between the rod seal and the buffer seal. The Hallite 653 is an excellent pressure buffer option in heavy-duty applications, offering extended sealing system life and performance and is also interchangeable with common PTFE buffer seal housings.This seal is moulded in HythaneÂ® 181, Halliteâ€™s high-performance polyurethane, for easy installation and excellent low temperature performance and offers a number of other high-performance polyurethanes, such as the HythaneÂ® 361. The design also incorporates a polyacetal anti-extrusion ring to provide maximum extrusion resistance against shock pressure loads.</t>
  </si>
  <si>
    <t>HalliteÂ® Type 653</t>
  </si>
  <si>
    <t>SU71.5-56-6DI-L-P-H616</t>
  </si>
  <si>
    <t>SU75.5-60-6EI-P-H653</t>
  </si>
  <si>
    <t>RC63-78.5-6.3-170-B BS335</t>
  </si>
  <si>
    <t>SU80.5-65-6DI-L-P-H616</t>
  </si>
  <si>
    <t>SU85.5-70-6EI-P-H653</t>
  </si>
  <si>
    <t>SU90.5-75-6DI-L-P-H616</t>
  </si>
  <si>
    <t>SU95.5-80-6DI-L-P-H616</t>
  </si>
  <si>
    <t>SU100.5-85-6DI-L-P-H616</t>
  </si>
  <si>
    <t>SU105.5-90-6DI-L-P-H616</t>
  </si>
  <si>
    <t>SU110.5-95-6DI-L-P-H616</t>
  </si>
  <si>
    <t>SU115.5-100-6DI-L-P-H616</t>
  </si>
  <si>
    <t>RC105-120.5-6.3-110-SQ-EI-B</t>
  </si>
  <si>
    <t>Rod Composite Seal - Square Energiser with Extrusion Ring</t>
  </si>
  <si>
    <t>SU125.5-110-6EI-P-H653</t>
  </si>
  <si>
    <t>RC115-130.5-6.3-110-SQ-EI-B</t>
  </si>
  <si>
    <t>RC120-135.5-6.3-170-B</t>
  </si>
  <si>
    <t>SU140.5-125-6DI-L-P-H616</t>
  </si>
  <si>
    <t>SU145.5-130-6DI-L-P-H616</t>
  </si>
  <si>
    <t>ID diff=0.35mm, OD diff=0.60mm [inch→mm]</t>
  </si>
  <si>
    <t>RC140-155.5-6.3-110-B</t>
  </si>
  <si>
    <t>SU160.5-145-6EI-P</t>
  </si>
  <si>
    <t>RC150-165.5-6.3-110-SQ-B</t>
  </si>
  <si>
    <t>RC155-170.5-6.3-170-B</t>
  </si>
  <si>
    <t>RC160-175.5-6.3-170-B</t>
  </si>
  <si>
    <t>RC170-185.5-6.3-170-B</t>
  </si>
  <si>
    <t>RC180-195.5-6.3-170-B</t>
  </si>
  <si>
    <t>RC200-221-8.1-170-B</t>
  </si>
  <si>
    <t>SU22-14-5.5DI-R</t>
  </si>
  <si>
    <t>SU24-16-5.8DI-L-P-H605</t>
  </si>
  <si>
    <t>SU26-18-5DI-L-P-H605</t>
  </si>
  <si>
    <t>SU28-20-5DI-L-P-H605</t>
  </si>
  <si>
    <t>SU30-22-5.7DI-L-P-H605</t>
  </si>
  <si>
    <t>SU33-25-5DI-L-P-H605</t>
  </si>
  <si>
    <t>SU36-28-5.3TS-L-P-H610</t>
  </si>
  <si>
    <t>The Hallite 610 is an asymmetric, solid twin lip rod seal designed to provide aÂ dry sealing solution in light and medium-duty applications and manufactured in HythaneÂ® 181, Halliteâ€™s high-performance polyurethane, for easy installation and excellent low temperature performance. The secondary sealing lip located behind the primary sealing lip improves stability of the seal in the gland. It is designed for small groove section housing and to be less sensitive to pressure fluctuations than the Hallite 605 twin lip U-ring.</t>
  </si>
  <si>
    <t>HalliteÂ® Type 610</t>
  </si>
  <si>
    <t>SU38-30-5.7DI-L-P-H605</t>
  </si>
  <si>
    <t>SU40-32-6DI-L-P-H605</t>
  </si>
  <si>
    <t>SU43-35-5.7DI-L-P-H605</t>
  </si>
  <si>
    <t>SU48-40-5.7DI-L-P-H605</t>
  </si>
  <si>
    <t>SU145-125-12DI-L-P-H605</t>
  </si>
  <si>
    <t>SU150-130-12DI-L-P-H605</t>
  </si>
  <si>
    <t>SU180-160-14.5DI-L-P-H605</t>
  </si>
  <si>
    <t>SU25-20-3.2DI-L-P-H605</t>
  </si>
  <si>
    <t>SU28-22-4.5TS-L-P-H610</t>
  </si>
  <si>
    <t>SU58-50-5.3TS-L-P-H610</t>
  </si>
  <si>
    <t>SU63-55-7.3DI-P-T20</t>
  </si>
  <si>
    <t>SU68-60-8DI-P</t>
  </si>
  <si>
    <t>SU78-70-11.5DI-L-P</t>
  </si>
  <si>
    <t>SU98-90-8DI-L-P</t>
  </si>
  <si>
    <t>SU113-105-7DI-L-P</t>
  </si>
  <si>
    <t>SU87.7-79-8TS-L-P</t>
  </si>
  <si>
    <t>SS037062-012-VB</t>
  </si>
  <si>
    <t>Oil Seals</t>
  </si>
  <si>
    <t>Oil Seal - Metal Cased - Springless</t>
  </si>
  <si>
    <t>ID diff=0.60mm, OD diff=0.75mm [inch→mm]</t>
  </si>
  <si>
    <t>SS12-19-5-SC</t>
  </si>
  <si>
    <t>Rubber and Steel Rotary Shaft Seal with Spring</t>
  </si>
  <si>
    <t>Oil Seal - Single Lip - SC Type</t>
  </si>
  <si>
    <t>SS18-26-4-VC</t>
  </si>
  <si>
    <t>Oil Seal - Rubber Cased - Springless</t>
  </si>
  <si>
    <t>SS20-28-4-VC</t>
  </si>
  <si>
    <t>SS25-33-4-SC</t>
  </si>
  <si>
    <t>SS25-38-7-TCN</t>
  </si>
  <si>
    <t>Oil Seal - High Pressure with Wiper Lip</t>
  </si>
  <si>
    <t>SS25-36-6-TCN</t>
  </si>
  <si>
    <t>SS30-40-7-TCN</t>
  </si>
  <si>
    <t>SS125162-025-SC</t>
  </si>
  <si>
    <t>ID diff=0.25mm, OD diff=0.35mm [inch→mm]</t>
  </si>
  <si>
    <t>SS35-45-4-VB</t>
  </si>
  <si>
    <t>SS40-50-5-TB</t>
  </si>
  <si>
    <t>Oil Seal - Metal Cased with Wiper Lip</t>
  </si>
  <si>
    <t>SS45-55-7-SC</t>
  </si>
  <si>
    <t>SS45-65-7-TCN</t>
  </si>
  <si>
    <t>SS50-60-5-TB</t>
  </si>
  <si>
    <t>SS50-70-10-TCN</t>
  </si>
  <si>
    <t>SS55-70-8-TCN</t>
  </si>
  <si>
    <t>SS55-75-8-TC</t>
  </si>
  <si>
    <t>Rubber and Steel Rotary Shaft Seal  with Wiper Lip</t>
  </si>
  <si>
    <t>Oil Seal - Wiper Lip - TC Type</t>
  </si>
  <si>
    <t>SS56-70-8-SC</t>
  </si>
  <si>
    <t>SS75-95-10-TC</t>
  </si>
  <si>
    <t>SS80-100-7-TCN</t>
  </si>
  <si>
    <t>SS84-100-13-SA</t>
  </si>
  <si>
    <t>Oil Seal - Fully Metal Cased</t>
  </si>
  <si>
    <t>SS90-110-8-SC</t>
  </si>
  <si>
    <t>SS130-160-12-SC</t>
  </si>
  <si>
    <t>Landing Price ££</t>
  </si>
  <si>
    <t>PO Price ££</t>
  </si>
  <si>
    <t>Advertised Price ££</t>
  </si>
  <si>
    <t>Duraforge Price List</t>
  </si>
  <si>
    <t>Diff</t>
  </si>
  <si>
    <t>DS011-F-070-078-4/7</t>
  </si>
  <si>
    <t>DS011-F-070-082-7/12</t>
  </si>
  <si>
    <t>DS011-N-045-055-6/10</t>
  </si>
  <si>
    <t>DS011-N-050-062-5/7</t>
  </si>
  <si>
    <t>DS011-N-140-152-5.5/9</t>
  </si>
  <si>
    <t>DS011-U-012-017-02.5/4 (RED)</t>
  </si>
  <si>
    <t>DS011-U-020-028-2.5/4(RED)</t>
  </si>
  <si>
    <t>DS011-U-022-030-3/5.5(RED)</t>
  </si>
  <si>
    <t>DS011-U-025-033-3/5.5(RED)</t>
  </si>
  <si>
    <t>DS011-U-040-051.5-5/7</t>
  </si>
  <si>
    <t>DS011-U-090-102-7/12</t>
  </si>
  <si>
    <t>DS033-U-025-035-5/8</t>
  </si>
  <si>
    <t>DS044-U-095-107-9/13</t>
  </si>
  <si>
    <t>DS088-U-025.0-032.0-7.5-DB</t>
  </si>
  <si>
    <t>DS088-U-025.0-035.0-4.0-DB</t>
  </si>
  <si>
    <t>DS088-U-025.0-035.0-5.0 DB</t>
  </si>
  <si>
    <t>DS088-U-032.0-042.0-4.0-DB</t>
  </si>
  <si>
    <t>DS088-U-035.0-045.0-4.0-DB</t>
  </si>
  <si>
    <t>DS088-U-040.0-050.0-5.0-DB</t>
  </si>
  <si>
    <t>DS088-U-040.0-050.0-7.0</t>
  </si>
  <si>
    <t>DS088-U-045.0-055.0-4.0-DB</t>
  </si>
  <si>
    <t>DS088-U-045.0-055.0-5.0-DB</t>
  </si>
  <si>
    <t>DS088-U-045.0-055.0-6.0</t>
  </si>
  <si>
    <t>DS088-U-045.0-056.0-5.0-DB</t>
  </si>
  <si>
    <t>DS088-U-050.0-060.0-4.0-DB</t>
  </si>
  <si>
    <t>DS088-U-050.0-060.0-5.0-DB</t>
  </si>
  <si>
    <t>DS088-U-050.0-060.0-7.0</t>
  </si>
  <si>
    <t>DS088-U-055.0-065.0-4.0-DB</t>
  </si>
  <si>
    <t>DS088-U-056.0-068.0-7.0</t>
  </si>
  <si>
    <t>DS088-U-060.0-070.0-5.0-DB</t>
  </si>
  <si>
    <t>DS088-U-070.0-080.0-7.0</t>
  </si>
  <si>
    <t>DS088-U-070.0-083.5-6.0</t>
  </si>
  <si>
    <t>DS088-U-075.0-090.0-8.0</t>
  </si>
  <si>
    <t>DS088-U-080.0-090.0-4.5</t>
  </si>
  <si>
    <t>DS088-U-080.0-090.0-7.0-DB</t>
  </si>
  <si>
    <t>DS088-U-090.0-100.0-3.2</t>
  </si>
  <si>
    <t>DS088-U-110.0-125.0-8.0</t>
  </si>
  <si>
    <t>DS088-U-110.0-126.0-9.0</t>
  </si>
  <si>
    <t>DS088-U-125.0-140.0-7.0</t>
  </si>
  <si>
    <t>DS088-U-130.0-146.0-9.0</t>
  </si>
  <si>
    <t>OR7N 003.8-1.9</t>
  </si>
  <si>
    <t>OR7N 004.47-1.78</t>
  </si>
  <si>
    <t>OR7N 004.8-1.9</t>
  </si>
  <si>
    <t>OR7N 004-1</t>
  </si>
  <si>
    <t>OR7N 005.8-1.9</t>
  </si>
  <si>
    <t>OR7N 005-1.5</t>
  </si>
  <si>
    <t>OR7N 005-2</t>
  </si>
  <si>
    <t>OR7N 006.07-1.78</t>
  </si>
  <si>
    <t>OR7N 006.8-1.9</t>
  </si>
  <si>
    <t>OR7N 006-2</t>
  </si>
  <si>
    <t>OR7N 007.59-2.62</t>
  </si>
  <si>
    <t>OR7N 007.65-1.78</t>
  </si>
  <si>
    <t>OR7N 007.8-1.9</t>
  </si>
  <si>
    <t>OR7N 007-2</t>
  </si>
  <si>
    <t>OR7N 008.8-1.9</t>
  </si>
  <si>
    <t>OR7N 008-2</t>
  </si>
  <si>
    <t>OR7N 008-2.5</t>
  </si>
  <si>
    <t>OR7N 009.19-2.62</t>
  </si>
  <si>
    <t>OR7N 009.25-1.78</t>
  </si>
  <si>
    <t>OR7N 009.8-1.9</t>
  </si>
  <si>
    <t>OR7N 009.8-2.4</t>
  </si>
  <si>
    <t>OR7N 010.77-2.62</t>
  </si>
  <si>
    <t>OR7N 010.82-1.78</t>
  </si>
  <si>
    <t>OR7N 010.8-2.4</t>
  </si>
  <si>
    <t>OR7N 010-2.5</t>
  </si>
  <si>
    <t>OR7N 012.37-2.62</t>
  </si>
  <si>
    <t>OR7N 012.42-1.78</t>
  </si>
  <si>
    <t>OR7N 012-2</t>
  </si>
  <si>
    <t>OR7N 012-3</t>
  </si>
  <si>
    <t>OR7N 013.8-2.4</t>
  </si>
  <si>
    <t>OR7N 013.94-2.62</t>
  </si>
  <si>
    <t>OR7N 014-1.5</t>
  </si>
  <si>
    <t>OR7N 014-2</t>
  </si>
  <si>
    <t>OR7N 014-2.5</t>
  </si>
  <si>
    <t>OR7N 015.47-3.53</t>
  </si>
  <si>
    <t>OR7N 015.54-2.62</t>
  </si>
  <si>
    <t>OR7N 015.6-1.78</t>
  </si>
  <si>
    <t>OR7N 015.8-2.4</t>
  </si>
  <si>
    <t>OR7N 016.36-2.21</t>
  </si>
  <si>
    <t>OR7N 016-2</t>
  </si>
  <si>
    <t>OR7N 016-2.5</t>
  </si>
  <si>
    <t>OR7N 017.04-3.53</t>
  </si>
  <si>
    <t>OR7N 017.12-2.62</t>
  </si>
  <si>
    <t>OR7N 017.17-1.78</t>
  </si>
  <si>
    <t>OR7N 017.8-2.4</t>
  </si>
  <si>
    <t>OR7N 017-2</t>
  </si>
  <si>
    <t>OR7N 017-2.5</t>
  </si>
  <si>
    <t>OR7N 018.64-3.53</t>
  </si>
  <si>
    <t>OR7N 018.72-2.62</t>
  </si>
  <si>
    <t>OR7N 018.77-1.78</t>
  </si>
  <si>
    <t>OR7N 019.8-2.4</t>
  </si>
  <si>
    <t>OR7N 020.22-3.53</t>
  </si>
  <si>
    <t>OR7N 020.29-2.62</t>
  </si>
  <si>
    <t>OR7N 020.35-1.78</t>
  </si>
  <si>
    <t>OR7N 021.82-3.53</t>
  </si>
  <si>
    <t>OR7N 021.89-2.62</t>
  </si>
  <si>
    <t>OR7N 021.8-2.4</t>
  </si>
  <si>
    <t>OR7N 021.95-1.78</t>
  </si>
  <si>
    <t>OR7N 021-2</t>
  </si>
  <si>
    <t>OR7N 023.39-3.53</t>
  </si>
  <si>
    <t>OR7N 023.47-2.62</t>
  </si>
  <si>
    <t>OR7N 023.52-1.78</t>
  </si>
  <si>
    <t>OR7N 023.5-3</t>
  </si>
  <si>
    <t>OR7N 023.7-3.5</t>
  </si>
  <si>
    <t>OR7N 024.99-3.53</t>
  </si>
  <si>
    <t>OR7N 024-2</t>
  </si>
  <si>
    <t>OR7N 025.07-2.62</t>
  </si>
  <si>
    <t>OR7N 025.12-1.78</t>
  </si>
  <si>
    <t>OR7N 025.7-3.5</t>
  </si>
  <si>
    <t>OR7N 025-2</t>
  </si>
  <si>
    <t>OR7N 026.57-3.53</t>
  </si>
  <si>
    <t>OR7N 026.64-2.62</t>
  </si>
  <si>
    <t>OR7N 027.7-3.5</t>
  </si>
  <si>
    <t>OR7N 028.17-3.53</t>
  </si>
  <si>
    <t>OR7N 028.24-2.62</t>
  </si>
  <si>
    <t>OR7N 028.30-1.78</t>
  </si>
  <si>
    <t>OR7N 029.51-5.33</t>
  </si>
  <si>
    <t>OR7N 029.74-3.53</t>
  </si>
  <si>
    <t>OR7N 029.82-2.62</t>
  </si>
  <si>
    <t>OR7N 029.87-1.78</t>
  </si>
  <si>
    <t>OR7N 029-3</t>
  </si>
  <si>
    <t>OR7N 030-3</t>
  </si>
  <si>
    <t>OR7N 031.12-5.33</t>
  </si>
  <si>
    <t>OR7N 031.34-3.53</t>
  </si>
  <si>
    <t>OR7N 031.42-2.62</t>
  </si>
  <si>
    <t>OR7N 031.47-1.78</t>
  </si>
  <si>
    <t>OR7N 032.69-5.33</t>
  </si>
  <si>
    <t>OR7N 032.92-3.53</t>
  </si>
  <si>
    <t>OR7N 032.99-2.62</t>
  </si>
  <si>
    <t>OR7N 032-3</t>
  </si>
  <si>
    <t>OR7N 032-4</t>
  </si>
  <si>
    <t>OR7N 033.05-1.78</t>
  </si>
  <si>
    <t>OR7N 033.7-3.5</t>
  </si>
  <si>
    <t>OR7N 034.29-5.33</t>
  </si>
  <si>
    <t>OR7N 034.4-3.1</t>
  </si>
  <si>
    <t>OR7N 034.52-3.53</t>
  </si>
  <si>
    <t>OR7N 034.59-2.62</t>
  </si>
  <si>
    <t>OR7N 034.65-1.78</t>
  </si>
  <si>
    <t>OR7N 034-3</t>
  </si>
  <si>
    <t>OR7N 035-2</t>
  </si>
  <si>
    <t>OR7N 036.09-3.53</t>
  </si>
  <si>
    <t>OR7N 036.17-2.62</t>
  </si>
  <si>
    <t>OR7N 037.47-5.33</t>
  </si>
  <si>
    <t>OR7N 037.5-3</t>
  </si>
  <si>
    <t>OR7N 037.69-3.53</t>
  </si>
  <si>
    <t>OR7N 037.77-2.62</t>
  </si>
  <si>
    <t>OR7N 037.82-1.78</t>
  </si>
  <si>
    <t>OR7N 038.7-3.5</t>
  </si>
  <si>
    <t>OR7N 038-2</t>
  </si>
  <si>
    <t>OR7N 039.34-2.62</t>
  </si>
  <si>
    <t>OR7N 039.4-3.1</t>
  </si>
  <si>
    <t>OR7N 039.7-3.5</t>
  </si>
  <si>
    <t>OR7N 040.64-5.33</t>
  </si>
  <si>
    <t>OR7N 040.87-3.53</t>
  </si>
  <si>
    <t>OR7N 040.94-2.62</t>
  </si>
  <si>
    <t>OR7N 040-2.5</t>
  </si>
  <si>
    <t>OR7N 040-3</t>
  </si>
  <si>
    <t>OR7N 040-5</t>
  </si>
  <si>
    <t>OR7N 041-1.78</t>
  </si>
  <si>
    <t>OR7N 042.52-2.62</t>
  </si>
  <si>
    <t>OR7N 043.7-3.5</t>
  </si>
  <si>
    <t>OR7N 043.82-5.33</t>
  </si>
  <si>
    <t>OR7N 043-3</t>
  </si>
  <si>
    <t>OR7N 044.04-3.53</t>
  </si>
  <si>
    <t>OR7N 044.12-2.62</t>
  </si>
  <si>
    <t>OR7N 044.17-1.78</t>
  </si>
  <si>
    <t>OR7N 044.4-3.1</t>
  </si>
  <si>
    <t>OR7N 044-3</t>
  </si>
  <si>
    <t>OR7N 045.69-2.62</t>
  </si>
  <si>
    <t>OR7N 045.7-3.5</t>
  </si>
  <si>
    <t>OR7N 045-2.5</t>
  </si>
  <si>
    <t>OR7N 045-3</t>
  </si>
  <si>
    <t>OR7N 046.99-5.33</t>
  </si>
  <si>
    <t>OR7N 047.22-3.53</t>
  </si>
  <si>
    <t>OR7N 047.29-2.62</t>
  </si>
  <si>
    <t>OR7N 047.35-1.78</t>
  </si>
  <si>
    <t>OR7N 047-4</t>
  </si>
  <si>
    <t>OR7N 048.7-3.5</t>
  </si>
  <si>
    <t>OR7N 048.9-2.62</t>
  </si>
  <si>
    <t>OR7N 048-3</t>
  </si>
  <si>
    <t>OR7N 049.7-3.5</t>
  </si>
  <si>
    <t>OR7N 050.17-5.33</t>
  </si>
  <si>
    <t>OR7N 050.39-3.53</t>
  </si>
  <si>
    <t>OR7N 050.47-2.62</t>
  </si>
  <si>
    <t>OR7N 050-5</t>
  </si>
  <si>
    <t>OR7N 052.07-2.62</t>
  </si>
  <si>
    <t>OR7N 053.34-5.33</t>
  </si>
  <si>
    <t>OR7N 053.57-3.53</t>
  </si>
  <si>
    <t>OR7N 053.64-2.62</t>
  </si>
  <si>
    <t>OR7N 053.7-1.78</t>
  </si>
  <si>
    <t>OR7N 054.4-3.1</t>
  </si>
  <si>
    <t>OR7N 055.25-2.62</t>
  </si>
  <si>
    <t>OR7N 055-3</t>
  </si>
  <si>
    <t>OR7N 056.52-5.33</t>
  </si>
  <si>
    <t>OR7N 056.74-3.53</t>
  </si>
  <si>
    <t>OR7N 056.82-2.62</t>
  </si>
  <si>
    <t>OR7N 056.87-1.78</t>
  </si>
  <si>
    <t>OR7N 057-4</t>
  </si>
  <si>
    <t>OR7N 058.42-2.62</t>
  </si>
  <si>
    <t>OR7N 059.4-3.1</t>
  </si>
  <si>
    <t>OR7N 059.69-5.33</t>
  </si>
  <si>
    <t>OR7N 059.92-3.53</t>
  </si>
  <si>
    <t>OR7N 059.99-2.62</t>
  </si>
  <si>
    <t>OR7N 061.6-2.62</t>
  </si>
  <si>
    <t>OR7N 062.87-5.33</t>
  </si>
  <si>
    <t>OR7N 063.09-3.53</t>
  </si>
  <si>
    <t>OR7N 063.17-2.62</t>
  </si>
  <si>
    <t>OR7N 063.22-1.78</t>
  </si>
  <si>
    <t>OR7N 064.2-5.7</t>
  </si>
  <si>
    <t>OR7N 064.4-3.1</t>
  </si>
  <si>
    <t>OR7N 064.77-2.62</t>
  </si>
  <si>
    <t>OR7N 064-4</t>
  </si>
  <si>
    <t>OR7N 066.04-5.33</t>
  </si>
  <si>
    <t>OR7N 066.27-3.53</t>
  </si>
  <si>
    <t>OR7N 066.34-2.62</t>
  </si>
  <si>
    <t>OR7N 066.4-1.78</t>
  </si>
  <si>
    <t>OR7N 069.22-5.33</t>
  </si>
  <si>
    <t>OR7N 069.44-3.53</t>
  </si>
  <si>
    <t>OR7N 069.4-3.1</t>
  </si>
  <si>
    <t>OR7N 069.52-2.62</t>
  </si>
  <si>
    <t>OR7N 069.57-1.78</t>
  </si>
  <si>
    <t>OR7N 070-5</t>
  </si>
  <si>
    <t>OR7N 071.12-2.62</t>
  </si>
  <si>
    <t>OR7N 072.39-5.33</t>
  </si>
  <si>
    <t>OR7N 072.62-3.53</t>
  </si>
  <si>
    <t>OR7N 072.69-2.62</t>
  </si>
  <si>
    <t>OR7N 072-4</t>
  </si>
  <si>
    <t>OR7N 074.4-3.1</t>
  </si>
  <si>
    <t>OR7N 075.57-5.33</t>
  </si>
  <si>
    <t>OR7N 075.87-2.62</t>
  </si>
  <si>
    <t>OR7N 075.92-1.78</t>
  </si>
  <si>
    <t>OR7N 078.74-5.33</t>
  </si>
  <si>
    <t>OR7N 078.97-3.53</t>
  </si>
  <si>
    <t>OR7N 078-2.5</t>
  </si>
  <si>
    <t>OR7N 078-4</t>
  </si>
  <si>
    <t>OR7N 079.2-5.7</t>
  </si>
  <si>
    <t>OR7N 080-4</t>
  </si>
  <si>
    <t>OR7N 081.91-5.33</t>
  </si>
  <si>
    <t>OR7N 082.22-2.62</t>
  </si>
  <si>
    <t>OR7N 082.27-1.78</t>
  </si>
  <si>
    <t>OR7N 082-4</t>
  </si>
  <si>
    <t>OR7N 084.4-3.1</t>
  </si>
  <si>
    <t>OR7N 085.09-5.33</t>
  </si>
  <si>
    <t>OR7N 085.32-3.53</t>
  </si>
  <si>
    <t>OR7N 088.27-5.33</t>
  </si>
  <si>
    <t>OR7N 088.49-3.53</t>
  </si>
  <si>
    <t>OR7N 088.57-2.62</t>
  </si>
  <si>
    <t>OR7N 090-5</t>
  </si>
  <si>
    <t>OR7N 091.44-5.33</t>
  </si>
  <si>
    <t>OR7N 091.67-3.53</t>
  </si>
  <si>
    <t>OR7N 092-4</t>
  </si>
  <si>
    <t>OR7N 094.2-5.7</t>
  </si>
  <si>
    <t>OR7N 094.4-3.1</t>
  </si>
  <si>
    <t>OR7N 094.62-5.33</t>
  </si>
  <si>
    <t>OR7N 094.84-3.53</t>
  </si>
  <si>
    <t>OR7N 094.92-2.62</t>
  </si>
  <si>
    <t>OR7N 094.99-1.78</t>
  </si>
  <si>
    <t>OR7N 097.79-5.33</t>
  </si>
  <si>
    <t>OR7N 098.02-3.53</t>
  </si>
  <si>
    <t>OR7N 099.2-5.7</t>
  </si>
  <si>
    <t>OR7N 099.4-3.1</t>
  </si>
  <si>
    <t>OR7N 100.97-5.33</t>
  </si>
  <si>
    <t>OR7N 100-4</t>
  </si>
  <si>
    <t>OR7N 100-5</t>
  </si>
  <si>
    <t>OR7N 101.19-3.53</t>
  </si>
  <si>
    <t>OR7N 101.27-2.62</t>
  </si>
  <si>
    <t>OR7N 104.14-5.33</t>
  </si>
  <si>
    <t>OR7N 104.2-5.7</t>
  </si>
  <si>
    <t>OR7N 104.4-3.1</t>
  </si>
  <si>
    <t>OR7N 107.32-5.33</t>
  </si>
  <si>
    <t>OR7N 107.54-3.53</t>
  </si>
  <si>
    <t>OR7N 107.62-2.62</t>
  </si>
  <si>
    <t>OR7N 109.4-3.1</t>
  </si>
  <si>
    <t>OR7N 110.49-5.33</t>
  </si>
  <si>
    <t>OR7N 110.72-3.53</t>
  </si>
  <si>
    <t>OR7N 110-4</t>
  </si>
  <si>
    <t>OR7N 110-5</t>
  </si>
  <si>
    <t>OR7N 113.67-5.33</t>
  </si>
  <si>
    <t>OR7N 113.67-6.99</t>
  </si>
  <si>
    <t>OR7N 113.89-3.53</t>
  </si>
  <si>
    <t>OR7N 113.97-2.62</t>
  </si>
  <si>
    <t>OR7N 114.02-1.78</t>
  </si>
  <si>
    <t>OR7N 114.4-3.1</t>
  </si>
  <si>
    <t>OR7N 115-5</t>
  </si>
  <si>
    <t>OR7N 116.84-5.33</t>
  </si>
  <si>
    <t>OR7N 116.84-6.99</t>
  </si>
  <si>
    <t>OR7N 117.07-3.53</t>
  </si>
  <si>
    <t>OR7N 117-4</t>
  </si>
  <si>
    <t>OR7N 119.4-3.1</t>
  </si>
  <si>
    <t>OR7N 120.02-5.33</t>
  </si>
  <si>
    <t>OR7N 120.02-6.99</t>
  </si>
  <si>
    <t>OR7N 120.24-3.53</t>
  </si>
  <si>
    <t>OR7N 120.32-2.62</t>
  </si>
  <si>
    <t>OR7N 120-5</t>
  </si>
  <si>
    <t>OR7N 123.19-5.33</t>
  </si>
  <si>
    <t>OR7N 123.19-6.99</t>
  </si>
  <si>
    <t>OR7N 123.42-3.53</t>
  </si>
  <si>
    <t>OR7N 124.2-5.7</t>
  </si>
  <si>
    <t>OR7N 126.37-5.33</t>
  </si>
  <si>
    <t>OR7N 126.37-6.99</t>
  </si>
  <si>
    <t>OR7N 126.59-3.53</t>
  </si>
  <si>
    <t>OR7N 126.67-2.62</t>
  </si>
  <si>
    <t>OR7N 129.4-3.1</t>
  </si>
  <si>
    <t>OR7N 129.54-5.33</t>
  </si>
  <si>
    <t>OR7N 129.54-6.99</t>
  </si>
  <si>
    <t>OR7N 129.77-3.53</t>
  </si>
  <si>
    <t>OR7N 130-5</t>
  </si>
  <si>
    <t>OR7N 132.72-5.33</t>
  </si>
  <si>
    <t>OR7N 132.72-6.99</t>
  </si>
  <si>
    <t>OR7N 132.94-3.53</t>
  </si>
  <si>
    <t>OR7N 133.07-1.78</t>
  </si>
  <si>
    <t>OR7N 134.2-5.7</t>
  </si>
  <si>
    <t>OR7N 134.4-3.1</t>
  </si>
  <si>
    <t>OR7N 135.89-5.33</t>
  </si>
  <si>
    <t>OR7N 135.89-6.99</t>
  </si>
  <si>
    <t>OR7N 136.12-3.53</t>
  </si>
  <si>
    <t>OR7N 139.07-5.33</t>
  </si>
  <si>
    <t>OR7N 139.07-6.99</t>
  </si>
  <si>
    <t>OR7N 139.29-3.53</t>
  </si>
  <si>
    <t>OR7N 139.2-5.7</t>
  </si>
  <si>
    <t>OR7N 139.4-3.1</t>
  </si>
  <si>
    <t>OR7N 140-5</t>
  </si>
  <si>
    <t>OR7N 142.24-5.33</t>
  </si>
  <si>
    <t>OR7N 142.24-6.99</t>
  </si>
  <si>
    <t>OR7N 142.47-3.53</t>
  </si>
  <si>
    <t>OR7N 144.2-5.7</t>
  </si>
  <si>
    <t>OR7N 145.42-5.33</t>
  </si>
  <si>
    <t>OR7N 145.42-6.99</t>
  </si>
  <si>
    <t>OR7N 145.64-3.53</t>
  </si>
  <si>
    <t>OR7N 148.59-5.33</t>
  </si>
  <si>
    <t>OR7N 148.59-6.99</t>
  </si>
  <si>
    <t>OR7N 148.82-3.53</t>
  </si>
  <si>
    <t>OR7N 150-5</t>
  </si>
  <si>
    <t>OR7N 151.77-5.33</t>
  </si>
  <si>
    <t>OR7N 151.77-6.99</t>
  </si>
  <si>
    <t>OR7N 151.99-3.53</t>
  </si>
  <si>
    <t>OR7N 154.2-5.7</t>
  </si>
  <si>
    <t>OR7N 158.12-5.33</t>
  </si>
  <si>
    <t>OR7N 158.12-6.99</t>
  </si>
  <si>
    <t>OR7N 158.34-3.53</t>
  </si>
  <si>
    <t>OR7N 159.2-5.7</t>
  </si>
  <si>
    <t>OR7N 164.2-5.7</t>
  </si>
  <si>
    <t>OR7N 164.47-5.33</t>
  </si>
  <si>
    <t>OR7N 164.47-6.99</t>
  </si>
  <si>
    <t>OR7N 164.69-3.53</t>
  </si>
  <si>
    <t>OR7N 169.2-5.7</t>
  </si>
  <si>
    <t>OR7N 170.82-5.33</t>
  </si>
  <si>
    <t>OR7N 170.82-6.99</t>
  </si>
  <si>
    <t>OR7N 171.04-3.53</t>
  </si>
  <si>
    <t>OR7N 174.2-5.7</t>
  </si>
  <si>
    <t>OR7N 174-3</t>
  </si>
  <si>
    <t>OR7N 177.17-5.33</t>
  </si>
  <si>
    <t>OR7N 177.17-6.99</t>
  </si>
  <si>
    <t>OR7N 177.39-3.53</t>
  </si>
  <si>
    <t>OR7N 180-5</t>
  </si>
  <si>
    <t>OR7N 183.52-5.33</t>
  </si>
  <si>
    <t>OR7N 183.52-6.99</t>
  </si>
  <si>
    <t>OR7N 184.2-5.7</t>
  </si>
  <si>
    <t>OR7N 189.2-5.7</t>
  </si>
  <si>
    <t>OR7N 189.87-5.33</t>
  </si>
  <si>
    <t>OR7N 189.87-6.99</t>
  </si>
  <si>
    <t>OR7N 190.09-3.53</t>
  </si>
  <si>
    <t>OR7N 196.22-5.33</t>
  </si>
  <si>
    <t>OR7N 196.22-6.99</t>
  </si>
  <si>
    <t>OR7N 196.44-3.53</t>
  </si>
  <si>
    <t>OR7N 202.57-5.33</t>
  </si>
  <si>
    <t>OR7N 202.57-6.99</t>
  </si>
  <si>
    <t>OR7N 202.79-3.53</t>
  </si>
  <si>
    <t>OR7N 208.97-5.33</t>
  </si>
  <si>
    <t>OR7N 209.14-3.53</t>
  </si>
  <si>
    <t>OR7N 215.27-5.33</t>
  </si>
  <si>
    <t>OR7N 215.49-3.53</t>
  </si>
  <si>
    <t>OR7N 219.5-8.4</t>
  </si>
  <si>
    <t>OR7N 221.62-5.33</t>
  </si>
  <si>
    <t>OR7N 221.84-3.53</t>
  </si>
  <si>
    <t>OR7N 227.97-5.33</t>
  </si>
  <si>
    <t>OR7N 227.97-6.99</t>
  </si>
  <si>
    <t>OR7N 228.19-3.53</t>
  </si>
  <si>
    <t>OR7N 234.32-5.33</t>
  </si>
  <si>
    <t>OR7N 234.54-3.53</t>
  </si>
  <si>
    <t>OR7N 234.5-8.4</t>
  </si>
  <si>
    <t>OR7N 240.67-5.33</t>
  </si>
  <si>
    <t>OR7N 240.67-6.99</t>
  </si>
  <si>
    <t>OR7N 247.02-5.33</t>
  </si>
  <si>
    <t>OR7N 247.24-3.53</t>
  </si>
  <si>
    <t>OR7N 249.5-8.4</t>
  </si>
  <si>
    <t>OR7N 253.37-5.33</t>
  </si>
  <si>
    <t>OR7N 253.37-6.99</t>
  </si>
  <si>
    <t>OR7N 253.59-3.53</t>
  </si>
  <si>
    <t>OR7N 266.07-5.33</t>
  </si>
  <si>
    <t>OR7N 266.07-6.99</t>
  </si>
  <si>
    <t>OR7N 266.29-3.53</t>
  </si>
  <si>
    <t>OR7N 278.77-5.33</t>
  </si>
  <si>
    <t>OR7N 278.77-6.99</t>
  </si>
  <si>
    <t>OR7N 278.99-3.53</t>
  </si>
  <si>
    <t>OR7N 291.47-5.33</t>
  </si>
  <si>
    <t>OR7N 291.47-6.99</t>
  </si>
  <si>
    <t>OR7N 304.17-6.99</t>
  </si>
  <si>
    <t>OR7N 304.2-5.7</t>
  </si>
  <si>
    <t>OR7N 316.87-6.99</t>
  </si>
  <si>
    <t>OR7N 329.57-5.33</t>
  </si>
  <si>
    <t>OR7N 329.57-6.99</t>
  </si>
  <si>
    <t>OR7N 342.27-6.99</t>
  </si>
  <si>
    <t>OR7N 354.97-5.33</t>
  </si>
  <si>
    <t>OR7N 354.97-6.99</t>
  </si>
  <si>
    <t>OR7N 367.67-6.99</t>
  </si>
  <si>
    <t>OR7N 380.37-6.99</t>
  </si>
  <si>
    <t>OR7N 393.07-6.99</t>
  </si>
  <si>
    <t>OR7N 405.26-6.99</t>
  </si>
  <si>
    <t>OR7N 417.96-6.99</t>
  </si>
  <si>
    <t>OR7N 430.66-6.99</t>
  </si>
  <si>
    <t>OR7N 443.36-6.99</t>
  </si>
  <si>
    <t>OR7N 468.76-6.99</t>
  </si>
  <si>
    <t>OR7N 481.46-6.99</t>
  </si>
  <si>
    <t>OR7N 494.16-6.99</t>
  </si>
  <si>
    <t>OR7N 506.86-6.99</t>
  </si>
  <si>
    <t>OR7N 532.26-6.99</t>
  </si>
  <si>
    <t>OR9N 002.8-1.9</t>
  </si>
  <si>
    <t>OR9N 002.9-1.78</t>
  </si>
  <si>
    <t>OR9N 003.68-1.78</t>
  </si>
  <si>
    <t>OR9N 003.8-1.9</t>
  </si>
  <si>
    <t>OR9N 003-1.6</t>
  </si>
  <si>
    <t>OR9N 004.47-1.78</t>
  </si>
  <si>
    <t>OR9N 004.8-1.9</t>
  </si>
  <si>
    <t>OR9N 004-1</t>
  </si>
  <si>
    <t>OR9N 004-1.5</t>
  </si>
  <si>
    <t>OR9N 004-3</t>
  </si>
  <si>
    <t>OR9N 005.23-2.62</t>
  </si>
  <si>
    <t>OR9N 005.28-1.78</t>
  </si>
  <si>
    <t>OR9N 005.4-2.3</t>
  </si>
  <si>
    <t>OR9N 005.8-1.9</t>
  </si>
  <si>
    <t>OR9N 005-1</t>
  </si>
  <si>
    <t>OR9N 005-1.5</t>
  </si>
  <si>
    <t>OR9N 005-2</t>
  </si>
  <si>
    <t>OR9N 006.02-2.62</t>
  </si>
  <si>
    <t>OR9N 006.07-1.78</t>
  </si>
  <si>
    <t>OR9N 006.8-1.9</t>
  </si>
  <si>
    <t>OR9N 006-2</t>
  </si>
  <si>
    <t>OR9N 007.65-1.78</t>
  </si>
  <si>
    <t>OR9N 007.8-1.9</t>
  </si>
  <si>
    <t>OR9N 007-1.5</t>
  </si>
  <si>
    <t>OR9N 007-2</t>
  </si>
  <si>
    <t>OR9N 008.8-1.9</t>
  </si>
  <si>
    <t>OR9N 008-2</t>
  </si>
  <si>
    <t>OR9N 008-2.5</t>
  </si>
  <si>
    <t>OR9N 008-3</t>
  </si>
  <si>
    <t>OR9N 009.19-2.62</t>
  </si>
  <si>
    <t>OR9N 009.1-1.6</t>
  </si>
  <si>
    <t>OR9N 009.25-1.78</t>
  </si>
  <si>
    <t>OR9N 009.8-1.9</t>
  </si>
  <si>
    <t>OR9N 009.8-2.4</t>
  </si>
  <si>
    <t>OR9N 009-1.5</t>
  </si>
  <si>
    <t>OR9N 009-2</t>
  </si>
  <si>
    <t>OR9N 010.69-3.53</t>
  </si>
  <si>
    <t>OR9N 010.77-2.62</t>
  </si>
  <si>
    <t>OR9N 010.82-1.78</t>
  </si>
  <si>
    <t>OR9N 010.8-2.4</t>
  </si>
  <si>
    <t>OR9N 010.9-2.3</t>
  </si>
  <si>
    <t>OR9N 010-2</t>
  </si>
  <si>
    <t>OR9N 010-2.2</t>
  </si>
  <si>
    <t>OR9N 010-2.5</t>
  </si>
  <si>
    <t>OR9N 011.8-1.9</t>
  </si>
  <si>
    <t>OR9N 011.8-2.4</t>
  </si>
  <si>
    <t>OR9N 011-1.3</t>
  </si>
  <si>
    <t>OR9N 011-1.5</t>
  </si>
  <si>
    <t>OR9N 011-2</t>
  </si>
  <si>
    <t>OR9N 011-2.5</t>
  </si>
  <si>
    <t>OR9N 012.29-3.53</t>
  </si>
  <si>
    <t>OR9N 012.37-2.62</t>
  </si>
  <si>
    <t>OR9N 012.3-2.4</t>
  </si>
  <si>
    <t>OR9N 012.42-1.78</t>
  </si>
  <si>
    <t>OR9N 012-1.5</t>
  </si>
  <si>
    <t>OR9N 012-2</t>
  </si>
  <si>
    <t>OR9N 012-2.5</t>
  </si>
  <si>
    <t>OR9N 012-3</t>
  </si>
  <si>
    <t>OR9N 013.8-2.4</t>
  </si>
  <si>
    <t>OR9N 013.94-2.62</t>
  </si>
  <si>
    <t>OR9N 013.94-3.53</t>
  </si>
  <si>
    <t>OR9N 013-2</t>
  </si>
  <si>
    <t>OR9N 013-2.5</t>
  </si>
  <si>
    <t>OR9N 014.8-1.9</t>
  </si>
  <si>
    <t>OR9N 014.8-2.4</t>
  </si>
  <si>
    <t>OR9N 014-1.5</t>
  </si>
  <si>
    <t>OR9N 014-1.78</t>
  </si>
  <si>
    <t>OR9N 014-2</t>
  </si>
  <si>
    <t>OR9N 014-2.5</t>
  </si>
  <si>
    <t>OR9N 014-3</t>
  </si>
  <si>
    <t>OR9N 015.47-3.53</t>
  </si>
  <si>
    <t>OR9N 015.54-2.62</t>
  </si>
  <si>
    <t>OR9N 015.6-1.78</t>
  </si>
  <si>
    <t>OR9N 015.8-2.4</t>
  </si>
  <si>
    <t>OR9N 015-2</t>
  </si>
  <si>
    <t>OR9N 015-2.5</t>
  </si>
  <si>
    <t>OR9N 015-3</t>
  </si>
  <si>
    <t>OR9N 016.36-2.21</t>
  </si>
  <si>
    <t>OR9N 016-1.6</t>
  </si>
  <si>
    <t>OR9N 016-2</t>
  </si>
  <si>
    <t>OR9N 016-2.5</t>
  </si>
  <si>
    <t>OR9N 016-3</t>
  </si>
  <si>
    <t>OR9N 017.04-3.53</t>
  </si>
  <si>
    <t>OR9N 017.12-2.62</t>
  </si>
  <si>
    <t>OR9N 017.17-1.78</t>
  </si>
  <si>
    <t>OR9N 017.1-1.6</t>
  </si>
  <si>
    <t>OR9N 017.8-2.4</t>
  </si>
  <si>
    <t>OR9N 017-2</t>
  </si>
  <si>
    <t>OR9N 017-2.5</t>
  </si>
  <si>
    <t>OR9N 018.64-3.53</t>
  </si>
  <si>
    <t>OR9N 018.72-2.62</t>
  </si>
  <si>
    <t>OR9N 018.77-1.78</t>
  </si>
  <si>
    <t>OR9N 018-2</t>
  </si>
  <si>
    <t>OR9N 018-2.5</t>
  </si>
  <si>
    <t>OR9N 018-3</t>
  </si>
  <si>
    <t>OR9N 019.8-2.4</t>
  </si>
  <si>
    <t>OR9N 019-2.5</t>
  </si>
  <si>
    <t>OR9N 019-3</t>
  </si>
  <si>
    <t>OR9N 020.22-3.53</t>
  </si>
  <si>
    <t>OR9N 020.29-2.62</t>
  </si>
  <si>
    <t>OR9N 020.35-1.78</t>
  </si>
  <si>
    <t>OR9N 020.8-2.4</t>
  </si>
  <si>
    <t>OR9N 020-2</t>
  </si>
  <si>
    <t>OR9N 020-2.5</t>
  </si>
  <si>
    <t>OR9N 021.7-3.5</t>
  </si>
  <si>
    <t>OR9N 021.82-3.53</t>
  </si>
  <si>
    <t>OR9N 021.89-2.62</t>
  </si>
  <si>
    <t>OR9N 021.8-2.4</t>
  </si>
  <si>
    <t>OR9N 021.95-1.78</t>
  </si>
  <si>
    <t>OR9N 021-2</t>
  </si>
  <si>
    <t>OR9N 022-2</t>
  </si>
  <si>
    <t>OR9N 022-2.5</t>
  </si>
  <si>
    <t>OR9N 022-3</t>
  </si>
  <si>
    <t>OR9N 022-5</t>
  </si>
  <si>
    <t>OR9N 023.39-3.53</t>
  </si>
  <si>
    <t>OR9N 023.47-2.62</t>
  </si>
  <si>
    <t>OR9N 023.52-1.78</t>
  </si>
  <si>
    <t>OR9N 023.5-3</t>
  </si>
  <si>
    <t>OR9N 023.7-3.5</t>
  </si>
  <si>
    <t>OR9N 023-2.5</t>
  </si>
  <si>
    <t>OR9N 023-3</t>
  </si>
  <si>
    <t>OR9N 023-6</t>
  </si>
  <si>
    <t>OR9N 024.4-3.1</t>
  </si>
  <si>
    <t>OR9N 024.7-3.5</t>
  </si>
  <si>
    <t>OR9N 024.99-3.53</t>
  </si>
  <si>
    <t>OR9N 024-1.5</t>
  </si>
  <si>
    <t>OR9N 024-2</t>
  </si>
  <si>
    <t>OR9N 024-2.5</t>
  </si>
  <si>
    <t>OR9N 024-4</t>
  </si>
  <si>
    <t>OR9N 025.07-2.62</t>
  </si>
  <si>
    <t>OR9N 025.12-1.78</t>
  </si>
  <si>
    <t>OR9N 025.7-3.5</t>
  </si>
  <si>
    <t>OR9N 025-1.5</t>
  </si>
  <si>
    <t>OR9N 025-2</t>
  </si>
  <si>
    <t>OR9N 025-2.5</t>
  </si>
  <si>
    <t>OR9N 025-3</t>
  </si>
  <si>
    <t>OR9N 025-5</t>
  </si>
  <si>
    <t>OR9N 026.57-3.53</t>
  </si>
  <si>
    <t>OR9N 026.64-2.62</t>
  </si>
  <si>
    <t>OR9N 026.7-1.78</t>
  </si>
  <si>
    <t>OR9N 026-3</t>
  </si>
  <si>
    <t>OR9N 027.7-3.5</t>
  </si>
  <si>
    <t>OR9N 027-2.5</t>
  </si>
  <si>
    <t>OR9N 027-3</t>
  </si>
  <si>
    <t>OR9N 028.17-3.53</t>
  </si>
  <si>
    <t>OR9N 028.24-2.62</t>
  </si>
  <si>
    <t>OR9N 028.30-1.78</t>
  </si>
  <si>
    <t>OR9N 028.7-3.5</t>
  </si>
  <si>
    <t>OR9N 028-2.5</t>
  </si>
  <si>
    <t>OR9N 029.4-3.1</t>
  </si>
  <si>
    <t>OR9N 029.51-5.33</t>
  </si>
  <si>
    <t>OR9N 029.74-3.53</t>
  </si>
  <si>
    <t>OR9N 029.7-3.5</t>
  </si>
  <si>
    <t>OR9N 029.82-2.62</t>
  </si>
  <si>
    <t>OR9N 029.87-1.78</t>
  </si>
  <si>
    <t>OR9N 029-2.5</t>
  </si>
  <si>
    <t>OR9N 029-3</t>
  </si>
  <si>
    <t>OR9N 030.7-3.5</t>
  </si>
  <si>
    <t>OR9N 030-2</t>
  </si>
  <si>
    <t>OR9N 030-2.5</t>
  </si>
  <si>
    <t>OR9N 030-3</t>
  </si>
  <si>
    <t>OR9N 030-4</t>
  </si>
  <si>
    <t>OR9N 030-5</t>
  </si>
  <si>
    <t>OR9N 031.12-5.33</t>
  </si>
  <si>
    <t>OR9N 031.34-3.53</t>
  </si>
  <si>
    <t>OR9N 031.42-2.62</t>
  </si>
  <si>
    <t>OR9N 031.47-1.78</t>
  </si>
  <si>
    <t>OR9N 031.7-3.5</t>
  </si>
  <si>
    <t>OR9N 031-3</t>
  </si>
  <si>
    <t>OR9N 032.69-5.33</t>
  </si>
  <si>
    <t>OR9N 032.92-3.53</t>
  </si>
  <si>
    <t>OR9N 032.99-2.62</t>
  </si>
  <si>
    <t>OR9N 032-2.5</t>
  </si>
  <si>
    <t>OR9N 032-3</t>
  </si>
  <si>
    <t>OR9N 032-4</t>
  </si>
  <si>
    <t>OR9N 033.05-1.78</t>
  </si>
  <si>
    <t>OR9N 033.7-3.5</t>
  </si>
  <si>
    <t>OR9N 034.29-5.33</t>
  </si>
  <si>
    <t>OR9N 034.4-3.1</t>
  </si>
  <si>
    <t>OR9N 034.52-3.53</t>
  </si>
  <si>
    <t>OR9N 034.59-2.62</t>
  </si>
  <si>
    <t>OR9N 034.65-1.78</t>
  </si>
  <si>
    <t>OR9N 034.7-3.5</t>
  </si>
  <si>
    <t>OR9N 034-3</t>
  </si>
  <si>
    <t>OR9N 034-4</t>
  </si>
  <si>
    <t>OR9N 035.7-3.5</t>
  </si>
  <si>
    <t>OR9N 035-2</t>
  </si>
  <si>
    <t>OR9N 035-2.5</t>
  </si>
  <si>
    <t>OR9N 035-3</t>
  </si>
  <si>
    <t>OR9N 035-4</t>
  </si>
  <si>
    <t>OR9N 036.09-3.53</t>
  </si>
  <si>
    <t>OR9N 036.17-2.62</t>
  </si>
  <si>
    <t>OR9N 037.47-5.33</t>
  </si>
  <si>
    <t>OR9N 037.5-3</t>
  </si>
  <si>
    <t>OR9N 037.69-3.53</t>
  </si>
  <si>
    <t>OR9N 037.77-2.62</t>
  </si>
  <si>
    <t>OR9N 037.7-3.5</t>
  </si>
  <si>
    <t>OR9N 037.82-1.78</t>
  </si>
  <si>
    <t>OR9N 037-2.5</t>
  </si>
  <si>
    <t>OR9N 038.7-3.5</t>
  </si>
  <si>
    <t>OR9N 038-2</t>
  </si>
  <si>
    <t>OR9N 038-4</t>
  </si>
  <si>
    <t>OR9N 039.34-2.62</t>
  </si>
  <si>
    <t>OR9N 039.4-3.1</t>
  </si>
  <si>
    <t>OR9N 039.7-3.5</t>
  </si>
  <si>
    <t>OR9N 040.64-5.33</t>
  </si>
  <si>
    <t>OR9N 040.87-3.53</t>
  </si>
  <si>
    <t>OR9N 040.94-2.62</t>
  </si>
  <si>
    <t>OR9N 040-2</t>
  </si>
  <si>
    <t>OR9N 040-2.5</t>
  </si>
  <si>
    <t>OR9N 040-3</t>
  </si>
  <si>
    <t>OR9N 040-4</t>
  </si>
  <si>
    <t>OR9N 040-5</t>
  </si>
  <si>
    <t>OR9N 041.2-3</t>
  </si>
  <si>
    <t>OR9N 041.7-3.5</t>
  </si>
  <si>
    <t>OR9N 041-1.78</t>
  </si>
  <si>
    <t>OR9N 042.52-2.62</t>
  </si>
  <si>
    <t>OR9N 042-2.5</t>
  </si>
  <si>
    <t>OR9N 042-3</t>
  </si>
  <si>
    <t>OR9N 042-4</t>
  </si>
  <si>
    <t>OR9N 043.5-2</t>
  </si>
  <si>
    <t>OR9N 043.7-3.5</t>
  </si>
  <si>
    <t>OR9N 043.82-5.33</t>
  </si>
  <si>
    <t>OR9N 043-3</t>
  </si>
  <si>
    <t>OR9N 044.04-3.53</t>
  </si>
  <si>
    <t>OR9N 044.12-2.62</t>
  </si>
  <si>
    <t>OR9N 044.17-1.78</t>
  </si>
  <si>
    <t>OR9N 044.4-3.1</t>
  </si>
  <si>
    <t>OR9N 044.7-3.5</t>
  </si>
  <si>
    <t>OR9N 044-3</t>
  </si>
  <si>
    <t>OR9N 045.69-2.62</t>
  </si>
  <si>
    <t>OR9N 045.7-3.5</t>
  </si>
  <si>
    <t>OR9N 045-2</t>
  </si>
  <si>
    <t>OR9N 045-2.5</t>
  </si>
  <si>
    <t>OR9N 045-3</t>
  </si>
  <si>
    <t>OR9N 045-5</t>
  </si>
  <si>
    <t>OR9N 046.99-5.33</t>
  </si>
  <si>
    <t>OR9N 046-3</t>
  </si>
  <si>
    <t>OR9N 047.22-3.53</t>
  </si>
  <si>
    <t>OR9N 047.29-2.62</t>
  </si>
  <si>
    <t>OR9N 047.35-1.78</t>
  </si>
  <si>
    <t>OR9N 047.7-3.5</t>
  </si>
  <si>
    <t>OR9N 047-4</t>
  </si>
  <si>
    <t>OR9N 048.7-3.5</t>
  </si>
  <si>
    <t>OR9N 048.9-2.62</t>
  </si>
  <si>
    <t>OR9N 048-2.5</t>
  </si>
  <si>
    <t>OR9N 048-3</t>
  </si>
  <si>
    <t>OR9N 048-5</t>
  </si>
  <si>
    <t>OR9N 049.2-5.7</t>
  </si>
  <si>
    <t>OR9N 049.4-3.1</t>
  </si>
  <si>
    <t>OR9N 049.7-3.5</t>
  </si>
  <si>
    <t>OR9N 050.17-5.33</t>
  </si>
  <si>
    <t>OR9N 050.39-3.53</t>
  </si>
  <si>
    <t>OR9N 050.47-2.62</t>
  </si>
  <si>
    <t>OR9N 050.52-1.78</t>
  </si>
  <si>
    <t>OR9N 050-2</t>
  </si>
  <si>
    <t>OR9N 050-2.5</t>
  </si>
  <si>
    <t>OR9N 050-3</t>
  </si>
  <si>
    <t>OR9N 050-4</t>
  </si>
  <si>
    <t>OR9N 050-5</t>
  </si>
  <si>
    <t>OR9N 051.6-5.7</t>
  </si>
  <si>
    <t>OR9N 052.07-2.62</t>
  </si>
  <si>
    <t>OR9N 052.6-5.7</t>
  </si>
  <si>
    <t>OR9N 052-4</t>
  </si>
  <si>
    <t>OR9N 053.34-5.33</t>
  </si>
  <si>
    <t>OR9N 053.57-3.53</t>
  </si>
  <si>
    <t>OR9N 053.64-2.62</t>
  </si>
  <si>
    <t>OR9N 053.7-1.78</t>
  </si>
  <si>
    <t>OR9N 054.2-5.7</t>
  </si>
  <si>
    <t>OR9N 054.4-3.1</t>
  </si>
  <si>
    <t>OR9N 054-3</t>
  </si>
  <si>
    <t>OR9N 055.25-2.62</t>
  </si>
  <si>
    <t>OR9N 055-3</t>
  </si>
  <si>
    <t>OR9N 055-4</t>
  </si>
  <si>
    <t>OR9N 055-5</t>
  </si>
  <si>
    <t>OR9N 056.52-5.33</t>
  </si>
  <si>
    <t>OR9N 056.74-3.53</t>
  </si>
  <si>
    <t>OR9N 056.82-2.62</t>
  </si>
  <si>
    <t>OR9N 056.87-1.78</t>
  </si>
  <si>
    <t>OR9N 056-2.5</t>
  </si>
  <si>
    <t>OR9N 056-4</t>
  </si>
  <si>
    <t>OR9N 057-3</t>
  </si>
  <si>
    <t>OR9N 057-4</t>
  </si>
  <si>
    <t>OR9N 058.42-2.62</t>
  </si>
  <si>
    <t>OR9N 058-3</t>
  </si>
  <si>
    <t>OR9N 059.2-5.7</t>
  </si>
  <si>
    <t>OR9N 059.4-3.1</t>
  </si>
  <si>
    <t>OR9N 059.69-5.33</t>
  </si>
  <si>
    <t>OR9N 059.92-3.53</t>
  </si>
  <si>
    <t>OR9N 059.99-2.62</t>
  </si>
  <si>
    <t>OR9N 059-3</t>
  </si>
  <si>
    <t>OR9N 060-3</t>
  </si>
  <si>
    <t>OR9N 060-4</t>
  </si>
  <si>
    <t>OR9N 060-5</t>
  </si>
  <si>
    <t>OR9N 061.6-2.62</t>
  </si>
  <si>
    <t>OR9N 062.7-5.7</t>
  </si>
  <si>
    <t>OR9N 062.87-5.33</t>
  </si>
  <si>
    <t>OR9N 062-4</t>
  </si>
  <si>
    <t>OR9N 063.09-3.53</t>
  </si>
  <si>
    <t>OR9N 063.17-2.62</t>
  </si>
  <si>
    <t>OR9N 063.22-1.78</t>
  </si>
  <si>
    <t>OR9N 063-2</t>
  </si>
  <si>
    <t>OR9N 063-2.5</t>
  </si>
  <si>
    <t>OR9N 063-3</t>
  </si>
  <si>
    <t>OR9N 064.2-5.7</t>
  </si>
  <si>
    <t>OR9N 064.4-3.1</t>
  </si>
  <si>
    <t>OR9N 064.77-2.62</t>
  </si>
  <si>
    <t>OR9N 064-4</t>
  </si>
  <si>
    <t>OR9N 065-2</t>
  </si>
  <si>
    <t>OR9N 065-4</t>
  </si>
  <si>
    <t>OR9N 066.04-5.33</t>
  </si>
  <si>
    <t>OR9N 066.27-3.53</t>
  </si>
  <si>
    <t>OR9N 066.34-2.62</t>
  </si>
  <si>
    <t>OR9N 066.4-1.78</t>
  </si>
  <si>
    <t>OR9N 066-3</t>
  </si>
  <si>
    <t>OR9N 067.95-2.62</t>
  </si>
  <si>
    <t>OR9N 067-3</t>
  </si>
  <si>
    <t>OR9N 068-4</t>
  </si>
  <si>
    <t>OR9N 069.22-5.33</t>
  </si>
  <si>
    <t>OR9N 069.2-5.7</t>
  </si>
  <si>
    <t>OR9N 069.44-3.53</t>
  </si>
  <si>
    <t>OR9N 069.4-3.1</t>
  </si>
  <si>
    <t>OR9N 069.52-2.62</t>
  </si>
  <si>
    <t>OR9N 069.57-1.78</t>
  </si>
  <si>
    <t>OR9N 070.6-5.7</t>
  </si>
  <si>
    <t>OR9N 070-2</t>
  </si>
  <si>
    <t>OR9N 070-3</t>
  </si>
  <si>
    <t>OR9N 070-5</t>
  </si>
  <si>
    <t>OR9N 071.12-2.62</t>
  </si>
  <si>
    <t>OR9N 072.39-5.33</t>
  </si>
  <si>
    <t>OR9N 072.62-3.53</t>
  </si>
  <si>
    <t>OR9N 072.69-2.62</t>
  </si>
  <si>
    <t>OR9N 072.75-1.78</t>
  </si>
  <si>
    <t>OR9N 072-3</t>
  </si>
  <si>
    <t>OR9N 072-4</t>
  </si>
  <si>
    <t>OR9N 073-3</t>
  </si>
  <si>
    <t>OR9N 074.2-5.7</t>
  </si>
  <si>
    <t>OR9N 074.4-3.1</t>
  </si>
  <si>
    <t>OR9N 074-2.5</t>
  </si>
  <si>
    <t>OR9N 074-4</t>
  </si>
  <si>
    <t>OR9N 075.57-5.33</t>
  </si>
  <si>
    <t>OR9N 075.79-3.53</t>
  </si>
  <si>
    <t>OR9N 075.87-2.62</t>
  </si>
  <si>
    <t>OR9N 075.92-1.78</t>
  </si>
  <si>
    <t>OR9N 077-4</t>
  </si>
  <si>
    <t>OR9N 078.74-5.33</t>
  </si>
  <si>
    <t>OR9N 078.97-3.53</t>
  </si>
  <si>
    <t>OR9N 078-2.5</t>
  </si>
  <si>
    <t>OR9N 078-4</t>
  </si>
  <si>
    <t>OR9N 079.2-5.7</t>
  </si>
  <si>
    <t>OR9N 079.4-3.1</t>
  </si>
  <si>
    <t>OR9N 080-2</t>
  </si>
  <si>
    <t>OR9N 080-2.5</t>
  </si>
  <si>
    <t>OR9N 080-4</t>
  </si>
  <si>
    <t>OR9N 080-5</t>
  </si>
  <si>
    <t>OR9N 081.91-5.33</t>
  </si>
  <si>
    <t>OR9N 082.14-3.53</t>
  </si>
  <si>
    <t>OR9N 082.22-2.62</t>
  </si>
  <si>
    <t>OR9N 082.27-1.78</t>
  </si>
  <si>
    <t>OR9N 082-4</t>
  </si>
  <si>
    <t>OR9N 083-3</t>
  </si>
  <si>
    <t>OR9N 084.2-5.7</t>
  </si>
  <si>
    <t>OR9N 084.4-3.1</t>
  </si>
  <si>
    <t>OR9N 085.09-5.33</t>
  </si>
  <si>
    <t>OR9N 085.32-3.53</t>
  </si>
  <si>
    <t>OR9N 085-2.5</t>
  </si>
  <si>
    <t>OR9N 085-5</t>
  </si>
  <si>
    <t>OR9N 085-6</t>
  </si>
  <si>
    <t>OR9N 086-3</t>
  </si>
  <si>
    <t>OR9N 088.27-5.33</t>
  </si>
  <si>
    <t>OR9N 088.49-3.53</t>
  </si>
  <si>
    <t>OR9N 088.57-2.62</t>
  </si>
  <si>
    <t>OR9N 089.2-5.7</t>
  </si>
  <si>
    <t>OR9N 089.4-3.1</t>
  </si>
  <si>
    <t>OR9N 090-2</t>
  </si>
  <si>
    <t>OR9N 090-2.5</t>
  </si>
  <si>
    <t>OR9N 090-4</t>
  </si>
  <si>
    <t>OR9N 090-5</t>
  </si>
  <si>
    <t>OR9N 091.44-5.33</t>
  </si>
  <si>
    <t>OR9N 091.67-3.53</t>
  </si>
  <si>
    <t>OR9N 092-4</t>
  </si>
  <si>
    <t>OR9N 094.2-5.7</t>
  </si>
  <si>
    <t>OR9N 094.4-3.1</t>
  </si>
  <si>
    <t>OR9N 094.62-5.33</t>
  </si>
  <si>
    <t>OR9N 094.84-3.53</t>
  </si>
  <si>
    <t>OR9N 094.92-2.62</t>
  </si>
  <si>
    <t>OR9N 094.99-1.78</t>
  </si>
  <si>
    <t>OR9N 095.4-4</t>
  </si>
  <si>
    <t>OR9N 097.79-5.33</t>
  </si>
  <si>
    <t>OR9N 098.02-3.53</t>
  </si>
  <si>
    <t>OR9N 099.2-5.7</t>
  </si>
  <si>
    <t>OR9N 099.4-3.1</t>
  </si>
  <si>
    <t>OR9N 100.97-5.33</t>
  </si>
  <si>
    <t>OR9N 100-2</t>
  </si>
  <si>
    <t>OR9N 100-4</t>
  </si>
  <si>
    <t>OR9N 100-5</t>
  </si>
  <si>
    <t>OR9N 101.19-3.53</t>
  </si>
  <si>
    <t>OR9N 101.27-2.62</t>
  </si>
  <si>
    <t>OR9N 101.2-5.7</t>
  </si>
  <si>
    <t>OR9N 101.32-1.78</t>
  </si>
  <si>
    <t>OR9N 102-4</t>
  </si>
  <si>
    <t>OR9N 104.14-5.33</t>
  </si>
  <si>
    <t>OR9N 104.2-5.7</t>
  </si>
  <si>
    <t>OR9N 104.37-3.53</t>
  </si>
  <si>
    <t>OR9N 104.4-3.1</t>
  </si>
  <si>
    <t>OR9N 105-5</t>
  </si>
  <si>
    <t>OR9N 107.32-5.33</t>
  </si>
  <si>
    <t>OR9N 107.54-3.53</t>
  </si>
  <si>
    <t>OR9N 107.62-2.62</t>
  </si>
  <si>
    <t>OR9N 109.2-5.7</t>
  </si>
  <si>
    <t>OR9N 109.4-3.1</t>
  </si>
  <si>
    <t>OR9N 110.49-5.33</t>
  </si>
  <si>
    <t>OR9N 110.72-3.53</t>
  </si>
  <si>
    <t>OR9N 110-4</t>
  </si>
  <si>
    <t>OR9N 110-5</t>
  </si>
  <si>
    <t>OR9N 113.67-5.33</t>
  </si>
  <si>
    <t>OR9N 113.67-6.99</t>
  </si>
  <si>
    <t>OR9N 113.89-3.53</t>
  </si>
  <si>
    <t>OR9N 113.97-2.62</t>
  </si>
  <si>
    <t>OR9N 114.02-1.78</t>
  </si>
  <si>
    <t>OR9N 114.2-5.7</t>
  </si>
  <si>
    <t>OR9N 114.4-3.1</t>
  </si>
  <si>
    <t>OR9N 115-4</t>
  </si>
  <si>
    <t>OR9N 115-5</t>
  </si>
  <si>
    <t>OR9N 116.84-5.33</t>
  </si>
  <si>
    <t>OR9N 116.84-6.99</t>
  </si>
  <si>
    <t>OR9N 117.07-3.53</t>
  </si>
  <si>
    <t>OR9N 117-4</t>
  </si>
  <si>
    <t>OR9N 119.2-5.7</t>
  </si>
  <si>
    <t>OR9N 119.4-3.1</t>
  </si>
  <si>
    <t>OR9N 120.02-5.33</t>
  </si>
  <si>
    <t>OR9N 120.02-6.99</t>
  </si>
  <si>
    <t>OR9N 120.24-3.53</t>
  </si>
  <si>
    <t>OR9N 120.32-2.62</t>
  </si>
  <si>
    <t>OR9N 120.37-1.78</t>
  </si>
  <si>
    <t>OR9N 120-2</t>
  </si>
  <si>
    <t>OR9N 120-5</t>
  </si>
  <si>
    <t>OR9N 123.19-5.33</t>
  </si>
  <si>
    <t>OR9N 123.19-6.99</t>
  </si>
  <si>
    <t>OR9N 123.42-3.53</t>
  </si>
  <si>
    <t>OR9N 124.2-5.7</t>
  </si>
  <si>
    <t>OR9N 124.4-3.1</t>
  </si>
  <si>
    <t>OR9N 125-3</t>
  </si>
  <si>
    <t>OR9N 126.37-5.33</t>
  </si>
  <si>
    <t>OR9N 126.37-6.99</t>
  </si>
  <si>
    <t>OR9N 126.59-3.53</t>
  </si>
  <si>
    <t>OR9N 126.67-2.62</t>
  </si>
  <si>
    <t>OR9N 126.72-1.78</t>
  </si>
  <si>
    <t>OR9N 129.2-5.7</t>
  </si>
  <si>
    <t>OR9N 129.4-3.1</t>
  </si>
  <si>
    <t>OR9N 129.54-5.33</t>
  </si>
  <si>
    <t>OR9N 129.54-6.99</t>
  </si>
  <si>
    <t>OR9N 129.77-3.53</t>
  </si>
  <si>
    <t>OR9N 130-5</t>
  </si>
  <si>
    <t>OR9N 132.72-5.33</t>
  </si>
  <si>
    <t>OR9N 132.72-6.99</t>
  </si>
  <si>
    <t>OR9N 132.94-3.53</t>
  </si>
  <si>
    <t>OR9N 133.07-1.78</t>
  </si>
  <si>
    <t>OR9N 134.2-5.7</t>
  </si>
  <si>
    <t>OR9N 134.4-3.1</t>
  </si>
  <si>
    <t>OR9N 135.89-5.33</t>
  </si>
  <si>
    <t>OR9N 135.89-6.99</t>
  </si>
  <si>
    <t>OR9N 135-3</t>
  </si>
  <si>
    <t>OR9N 135-5</t>
  </si>
  <si>
    <t>OR9N 136.12-3.53</t>
  </si>
  <si>
    <t>OR9N 137-3</t>
  </si>
  <si>
    <t>OR9N 139.07-5.33</t>
  </si>
  <si>
    <t>OR9N 139.07-6.99</t>
  </si>
  <si>
    <t>OR9N 139.29-3.53</t>
  </si>
  <si>
    <t>OR9N 139.2-5.7</t>
  </si>
  <si>
    <t>OR9N 139.4-3.1</t>
  </si>
  <si>
    <t>OR9N 140-5</t>
  </si>
  <si>
    <t>OR9N 142.24-5.33</t>
  </si>
  <si>
    <t>OR9N 142.24-6.99</t>
  </si>
  <si>
    <t>OR9N 142.47-3.53</t>
  </si>
  <si>
    <t>OR9N 144.2-5.7</t>
  </si>
  <si>
    <t>OR9N 144.4-3.1</t>
  </si>
  <si>
    <t>OR9N 145.42-5.33</t>
  </si>
  <si>
    <t>OR9N 145.42-6.99</t>
  </si>
  <si>
    <t>OR9N 145.64-3.53</t>
  </si>
  <si>
    <t>OR9N 148.59-5.33</t>
  </si>
  <si>
    <t>OR9N 148.59-6.99</t>
  </si>
  <si>
    <t>OR9N 148.82-3.53</t>
  </si>
  <si>
    <t>OR9N 149.2-5.7</t>
  </si>
  <si>
    <t>OR9N 149.5-8.4</t>
  </si>
  <si>
    <t>OR9N 150-5</t>
  </si>
  <si>
    <t>OR9N 151.77-5.33</t>
  </si>
  <si>
    <t>OR9N 151.77-6.99</t>
  </si>
  <si>
    <t>OR9N 151.99-3.53</t>
  </si>
  <si>
    <t>OR9N 152-3</t>
  </si>
  <si>
    <t>OR9N 154.2-5.7</t>
  </si>
  <si>
    <t>OR9N 154.5-8.4</t>
  </si>
  <si>
    <t>OR9N 158.12-5.33</t>
  </si>
  <si>
    <t>OR9N 158.12-6.99</t>
  </si>
  <si>
    <t>OR9N 158.34-3.53</t>
  </si>
  <si>
    <t>OR9N 159.2-5.7</t>
  </si>
  <si>
    <t>OR9N 159.5-8.4</t>
  </si>
  <si>
    <t>OR9N 160-5</t>
  </si>
  <si>
    <t>OR9N 164.2-5.7</t>
  </si>
  <si>
    <t>OR9N 164.47-5.33</t>
  </si>
  <si>
    <t>OR9N 164.47-6.99</t>
  </si>
  <si>
    <t>OR9N 164.5-8.4</t>
  </si>
  <si>
    <t>OR9N 164.69-3.53</t>
  </si>
  <si>
    <t>OR9N 169.2-5.7</t>
  </si>
  <si>
    <t>OR9N 169.5-8.4</t>
  </si>
  <si>
    <t>OR9N 170.82-5.33</t>
  </si>
  <si>
    <t>OR9N 170.82-6.99</t>
  </si>
  <si>
    <t>OR9N 170-5</t>
  </si>
  <si>
    <t>OR9N 171.04-3.53</t>
  </si>
  <si>
    <t>OR9N 172-4</t>
  </si>
  <si>
    <t>OR9N 174.2-5.7</t>
  </si>
  <si>
    <t>OR9N 174.5-8.4</t>
  </si>
  <si>
    <t>OR9N 174-3</t>
  </si>
  <si>
    <t>OR9N 177.17-5.33</t>
  </si>
  <si>
    <t>OR9N 177.17-6.99</t>
  </si>
  <si>
    <t>OR9N 177.39-3.53</t>
  </si>
  <si>
    <t>OR9N 179.2-5.7</t>
  </si>
  <si>
    <t>OR9N 180-5</t>
  </si>
  <si>
    <t>OR9N 183.52-5.33</t>
  </si>
  <si>
    <t>OR9N 183.52-6.99</t>
  </si>
  <si>
    <t>OR9N 183.74-3.53</t>
  </si>
  <si>
    <t>OR9N 184.2-5.7</t>
  </si>
  <si>
    <t>OR9N 184.5-8.4</t>
  </si>
  <si>
    <t>OR9N 189.2-5.7</t>
  </si>
  <si>
    <t>OR9N 189.87-5.33</t>
  </si>
  <si>
    <t>OR9N 189.87-6.99</t>
  </si>
  <si>
    <t>OR9N 190.09-3.53</t>
  </si>
  <si>
    <t>OR9N 190-3</t>
  </si>
  <si>
    <t>OR9N 190-5</t>
  </si>
  <si>
    <t>OR9N 194.2-5.7</t>
  </si>
  <si>
    <t>OR9N 196.22-5.33</t>
  </si>
  <si>
    <t>OR9N 196.22-6.99</t>
  </si>
  <si>
    <t>OR9N 196.44-3.53</t>
  </si>
  <si>
    <t>OR9N 199.2-5.7</t>
  </si>
  <si>
    <t>OR9N 199.5-8.4</t>
  </si>
  <si>
    <t>OR9N 202.57-5.33</t>
  </si>
  <si>
    <t>OR9N 202.57-6.99</t>
  </si>
  <si>
    <t>OR9N 202.79-3.53</t>
  </si>
  <si>
    <t>OR9N 204.2-5.7</t>
  </si>
  <si>
    <t>OR9N 204.5-8.4</t>
  </si>
  <si>
    <t>OR9N 208.5-8.4</t>
  </si>
  <si>
    <t>OR9N 208.97-5.33</t>
  </si>
  <si>
    <t>OR9N 209.14-3.53</t>
  </si>
  <si>
    <t>OR9N 209.2-5.7</t>
  </si>
  <si>
    <t>OR9N 214.2-5.7</t>
  </si>
  <si>
    <t>OR9N 214.5-8.4</t>
  </si>
  <si>
    <t>OR9N 215.27-5.33</t>
  </si>
  <si>
    <t>OR9N 215.49-3.53</t>
  </si>
  <si>
    <t>OR9N 219.2-5.7</t>
  </si>
  <si>
    <t>OR9N 219.5-8.4</t>
  </si>
  <si>
    <t>OR9N 220-5</t>
  </si>
  <si>
    <t>OR9N 221.62-5.33</t>
  </si>
  <si>
    <t>OR9N 221.84-3.53</t>
  </si>
  <si>
    <t>OR9N 224.2-5.7</t>
  </si>
  <si>
    <t>OR9N 224.5-8.4</t>
  </si>
  <si>
    <t>OR9N 227.97-5.33</t>
  </si>
  <si>
    <t>OR9N 227.97-6.99</t>
  </si>
  <si>
    <t>OR9N 228.19-3.53</t>
  </si>
  <si>
    <t>OR9N 229.2-5.7</t>
  </si>
  <si>
    <t>OR9N 234.2-5.7</t>
  </si>
  <si>
    <t>OR9N 234.32-5.33</t>
  </si>
  <si>
    <t>OR9N 234.54-3.53</t>
  </si>
  <si>
    <t>OR9N 234.5-8.4</t>
  </si>
  <si>
    <t>OR9N 239.2-5.7</t>
  </si>
  <si>
    <t>OR9N 240.67-5.33</t>
  </si>
  <si>
    <t>OR9N 240.67-6.99</t>
  </si>
  <si>
    <t>OR9N 240.89-3.53</t>
  </si>
  <si>
    <t>OR9N 244.2-5.7</t>
  </si>
  <si>
    <t>OR9N 247.02-5.33</t>
  </si>
  <si>
    <t>OR9N 247.24-3.53</t>
  </si>
  <si>
    <t>OR9N 249.2-5.7</t>
  </si>
  <si>
    <t>OR9N 253.37-5.33</t>
  </si>
  <si>
    <t>OR9N 253.37-6.99</t>
  </si>
  <si>
    <t>OR9N 253.59-3.53</t>
  </si>
  <si>
    <t>OR9N 254.5-8.4</t>
  </si>
  <si>
    <t>OR9N 259.2-5.7</t>
  </si>
  <si>
    <t>OR9N 264.5-8.4</t>
  </si>
  <si>
    <t>OR9N 265-5</t>
  </si>
  <si>
    <t>OR9N 266.07-5.33</t>
  </si>
  <si>
    <t>OR9N 266.07-6.99</t>
  </si>
  <si>
    <t>OR9N 266.29-3.53</t>
  </si>
  <si>
    <t>OR9N 269.2-5.7</t>
  </si>
  <si>
    <t>OR9N 274.2-5.7</t>
  </si>
  <si>
    <t>OR9N 278.77-5.33</t>
  </si>
  <si>
    <t>OR9N 278.77-6.99</t>
  </si>
  <si>
    <t>OR9N 278.99-3.53</t>
  </si>
  <si>
    <t>OR9N 279.2-5.7</t>
  </si>
  <si>
    <t>OR9N 284.2-5.7</t>
  </si>
  <si>
    <t>OR9N 289.2-5.7</t>
  </si>
  <si>
    <t>OR9N 291.47-5.33</t>
  </si>
  <si>
    <t>OR9N 291.47-6.99</t>
  </si>
  <si>
    <t>OR9N 304.17-5.33</t>
  </si>
  <si>
    <t>OR9N 304.17-6.99</t>
  </si>
  <si>
    <t>OR9N 304.2-5.7</t>
  </si>
  <si>
    <t>OR9N 309.2-5.7</t>
  </si>
  <si>
    <t>OR9N 310-5</t>
  </si>
  <si>
    <t>OR9N 314.2-5.7</t>
  </si>
  <si>
    <t>OR9N 316.87-6.99</t>
  </si>
  <si>
    <t>OR9N 319.2-5.7</t>
  </si>
  <si>
    <t>OR9N 324.4-5.7</t>
  </si>
  <si>
    <t>OR9N 329.2-5.7</t>
  </si>
  <si>
    <t>OR9N 329.57-5.33</t>
  </si>
  <si>
    <t>OR9N 329.57-6.99</t>
  </si>
  <si>
    <t>OR9N 339.2-5.7</t>
  </si>
  <si>
    <t>OR9N 342.27-6.99</t>
  </si>
  <si>
    <t>OR9N 349.2-5.7</t>
  </si>
  <si>
    <t>OR9N 354.97-5.33</t>
  </si>
  <si>
    <t>OR9N 354.97-6.99</t>
  </si>
  <si>
    <t>OR9N 367.67-6.99</t>
  </si>
  <si>
    <t>OR9N 380.37-6.99</t>
  </si>
  <si>
    <t>OR9N 393.07-6.99</t>
  </si>
  <si>
    <t>OR9N 405.26-6.99</t>
  </si>
  <si>
    <t>OR9N 417.96-6.99</t>
  </si>
  <si>
    <t>OR9N 430.66-6.99</t>
  </si>
  <si>
    <t>OR9N 443.36-6.99</t>
  </si>
  <si>
    <t>OR9N 454-6.99</t>
  </si>
  <si>
    <t>OR9N 468.76-6.99</t>
  </si>
  <si>
    <t>OR9N 481.46-6.99</t>
  </si>
  <si>
    <t>OR9N 494.16-6.99</t>
  </si>
  <si>
    <t>OR9N 506.86-6.99</t>
  </si>
  <si>
    <t>OR9N 532.26-6.99</t>
  </si>
  <si>
    <t>ORV8 002.9-1.78</t>
  </si>
  <si>
    <t>ORV8 003.6-1.78</t>
  </si>
  <si>
    <t>ORV8 004.47-1.78</t>
  </si>
  <si>
    <t>ORV8 004.4-3.5</t>
  </si>
  <si>
    <t>ORV8 004.8-1.9</t>
  </si>
  <si>
    <t>ORV8 004-2</t>
  </si>
  <si>
    <t>ORV8 005.28-1.78</t>
  </si>
  <si>
    <t>ORV8 005.2-2.4</t>
  </si>
  <si>
    <t>ORV8 005.6-1.7</t>
  </si>
  <si>
    <t>ORV8 005.8-1.9</t>
  </si>
  <si>
    <t>ORV8 005.94-3.53</t>
  </si>
  <si>
    <t>ORV8 005-1.5</t>
  </si>
  <si>
    <t>ORV8 005-2</t>
  </si>
  <si>
    <t>ORV8 006.02-2.62</t>
  </si>
  <si>
    <t>ORV8 006.07-1.78</t>
  </si>
  <si>
    <t>ORV8 006.74-1.78</t>
  </si>
  <si>
    <t>ORV8 006.8-1.9</t>
  </si>
  <si>
    <t>ORV8 006-1.5</t>
  </si>
  <si>
    <t>ORV8 006-2</t>
  </si>
  <si>
    <t>ORV8 007.1-1.6</t>
  </si>
  <si>
    <t>ORV8 007.59-2.62</t>
  </si>
  <si>
    <t>ORV8 007.5-1.5</t>
  </si>
  <si>
    <t>ORV8 007.65-1.78</t>
  </si>
  <si>
    <t>ORV8 007.8-1.9</t>
  </si>
  <si>
    <t>ORV8 007-1.5</t>
  </si>
  <si>
    <t>ORV8 007-2</t>
  </si>
  <si>
    <t>ORV8 007-3</t>
  </si>
  <si>
    <t>ORV8 007-5</t>
  </si>
  <si>
    <t>ORV8 008.1-1.6</t>
  </si>
  <si>
    <t>ORV8 008.74-1.78</t>
  </si>
  <si>
    <t>ORV8 008.8-1.9</t>
  </si>
  <si>
    <t>ORV8 008-1.5</t>
  </si>
  <si>
    <t>ORV8 008-2</t>
  </si>
  <si>
    <t>ORV8 008-2.5</t>
  </si>
  <si>
    <t>ORV8 009.12-3.53</t>
  </si>
  <si>
    <t>ORV8 009.19-2.62</t>
  </si>
  <si>
    <t>ORV8 009.25-1.78</t>
  </si>
  <si>
    <t>ORV8 009.5-1.5</t>
  </si>
  <si>
    <t>ORV8 009.5-2.5</t>
  </si>
  <si>
    <t>ORV8 009.8-1.9</t>
  </si>
  <si>
    <t>ORV8 009.8-2.4</t>
  </si>
  <si>
    <t>ORV8 009-1.5</t>
  </si>
  <si>
    <t>ORV8 009-2</t>
  </si>
  <si>
    <t>ORV8 010.77-2.62</t>
  </si>
  <si>
    <t>ORV8 010.82-1.78</t>
  </si>
  <si>
    <t>ORV8 010.8-2.4</t>
  </si>
  <si>
    <t>ORV8 010-2</t>
  </si>
  <si>
    <t>ORV8 010-2.5</t>
  </si>
  <si>
    <t>ORV8 011.35-2.62</t>
  </si>
  <si>
    <t>ORV8 011.8-2.4</t>
  </si>
  <si>
    <t>ORV8 011-1.5</t>
  </si>
  <si>
    <t>ORV8 011-2</t>
  </si>
  <si>
    <t>ORV8 011-2.5</t>
  </si>
  <si>
    <t>ORV8 012.37-2.62</t>
  </si>
  <si>
    <t>ORV8 012.42-1.78</t>
  </si>
  <si>
    <t>ORV8 012.4-1.9</t>
  </si>
  <si>
    <t>ORV8 012-1.5</t>
  </si>
  <si>
    <t>ORV8 012-2</t>
  </si>
  <si>
    <t>ORV8 012-2.5</t>
  </si>
  <si>
    <t>ORV8 013.2-1.78</t>
  </si>
  <si>
    <t>ORV8 013.87-3.53</t>
  </si>
  <si>
    <t>ORV8 013.94-2.62</t>
  </si>
  <si>
    <t>ORV8 013-2</t>
  </si>
  <si>
    <t>ORV8 013-2.5</t>
  </si>
  <si>
    <t>ORV8 014.1-1.6</t>
  </si>
  <si>
    <t>ORV8 014.8-2.4</t>
  </si>
  <si>
    <t>ORV8 014-1.5</t>
  </si>
  <si>
    <t>ORV8 014-1.78</t>
  </si>
  <si>
    <t>ORV8 014-2</t>
  </si>
  <si>
    <t>ORV8 014-2.5</t>
  </si>
  <si>
    <t>ORV8 014-3</t>
  </si>
  <si>
    <t>ORV8 015.47-3.53</t>
  </si>
  <si>
    <t>ORV8 015.54-2.62</t>
  </si>
  <si>
    <t>ORV8 015.6-1.78</t>
  </si>
  <si>
    <t>ORV8 015.8-2.4</t>
  </si>
  <si>
    <t>ORV8 015-2</t>
  </si>
  <si>
    <t>ORV8 015-2.5</t>
  </si>
  <si>
    <t>ORV8 015-3</t>
  </si>
  <si>
    <t>ORV8 016.3-2.4</t>
  </si>
  <si>
    <t>ORV8 016.56-1.78</t>
  </si>
  <si>
    <t>ORV8 016.5-1.5</t>
  </si>
  <si>
    <t>ORV8 016.7-3.5</t>
  </si>
  <si>
    <t>ORV8 016.81-5.33</t>
  </si>
  <si>
    <t>ORV8 016-1.6</t>
  </si>
  <si>
    <t>ORV8 016-2</t>
  </si>
  <si>
    <t>ORV8 016-2.5</t>
  </si>
  <si>
    <t>ORV8 016-3</t>
  </si>
  <si>
    <t>ORV8 016-5</t>
  </si>
  <si>
    <t>ORV8 017.04-3.53</t>
  </si>
  <si>
    <t>ORV8 017.12-2.62</t>
  </si>
  <si>
    <t>ORV8 017.17-1.78</t>
  </si>
  <si>
    <t>ORV8 017.8-2.4</t>
  </si>
  <si>
    <t>ORV8 017-2</t>
  </si>
  <si>
    <t>ORV8 017-2.5</t>
  </si>
  <si>
    <t>ORV8 017-3</t>
  </si>
  <si>
    <t>ORV8 017-5</t>
  </si>
  <si>
    <t>ORV8 018.5-5</t>
  </si>
  <si>
    <t>ORV8 018.64-3.53</t>
  </si>
  <si>
    <t>ORV8 018.72-2.62</t>
  </si>
  <si>
    <t>ORV8 018.77-1.78</t>
  </si>
  <si>
    <t>ORV8 018-2</t>
  </si>
  <si>
    <t>ORV8 018-2.5</t>
  </si>
  <si>
    <t>ORV8 018-3</t>
  </si>
  <si>
    <t>ORV8 019.4-3.1</t>
  </si>
  <si>
    <t>ORV8 019-2</t>
  </si>
  <si>
    <t>ORV8 019-2.5</t>
  </si>
  <si>
    <t>ORV8 019-3</t>
  </si>
  <si>
    <t>ORV8 020.22-3.53</t>
  </si>
  <si>
    <t>ORV8 020.29-2.62</t>
  </si>
  <si>
    <t>ORV8 020.35-1.78</t>
  </si>
  <si>
    <t>ORV8 020.3-2.4</t>
  </si>
  <si>
    <t>ORV8 020.8-2.4</t>
  </si>
  <si>
    <t>ORV8 020-1.5</t>
  </si>
  <si>
    <t>ORV8 020-2</t>
  </si>
  <si>
    <t>ORV8 020-2.5</t>
  </si>
  <si>
    <t>ORV8 020-3</t>
  </si>
  <si>
    <t>ORV8 020-3.5</t>
  </si>
  <si>
    <t>ORV8 021.3-2.4</t>
  </si>
  <si>
    <t>ORV8 021.5-3</t>
  </si>
  <si>
    <t>ORV8 021.7-3.5</t>
  </si>
  <si>
    <t>ORV8 021.82-3.53</t>
  </si>
  <si>
    <t>ORV8 021.89-2.62</t>
  </si>
  <si>
    <t>ORV8 021.8-2.4</t>
  </si>
  <si>
    <t>ORV8 021.95-1.78</t>
  </si>
  <si>
    <t>ORV8 021-2</t>
  </si>
  <si>
    <t>ORV8 021-2.5</t>
  </si>
  <si>
    <t>ORV8 022.1-1.6</t>
  </si>
  <si>
    <t>ORV8 022.4-3.1</t>
  </si>
  <si>
    <t>ORV8 022.5-3</t>
  </si>
  <si>
    <t>ORV8 022-1.5</t>
  </si>
  <si>
    <t>ORV8 022-2.5</t>
  </si>
  <si>
    <t>ORV8 022-3</t>
  </si>
  <si>
    <t>ORV8 022-4</t>
  </si>
  <si>
    <t>ORV8 023.16-5.33</t>
  </si>
  <si>
    <t>ORV8 023.39-3.53</t>
  </si>
  <si>
    <t>ORV8 023.47-2.62</t>
  </si>
  <si>
    <t>ORV8 023.52-1.78</t>
  </si>
  <si>
    <t>ORV8 023.5-3</t>
  </si>
  <si>
    <t>ORV8 023.7-3.5</t>
  </si>
  <si>
    <t>ORV8 023-2</t>
  </si>
  <si>
    <t>ORV8 023-2.5</t>
  </si>
  <si>
    <t>ORV8 023-3</t>
  </si>
  <si>
    <t>ORV8 024.4-3.1</t>
  </si>
  <si>
    <t>ORV8 024.99-3.53</t>
  </si>
  <si>
    <t>ORV8 024-1.5</t>
  </si>
  <si>
    <t>ORV8 024-2</t>
  </si>
  <si>
    <t>ORV8 024-2.5</t>
  </si>
  <si>
    <t>ORV8 024-3</t>
  </si>
  <si>
    <t>ORV8 025.07-2.62</t>
  </si>
  <si>
    <t>ORV8 025.12-1.78</t>
  </si>
  <si>
    <t>ORV8 025.7-3.5</t>
  </si>
  <si>
    <t>ORV8 025-2</t>
  </si>
  <si>
    <t>ORV8 025-2.5</t>
  </si>
  <si>
    <t>ORV8 025-3</t>
  </si>
  <si>
    <t>ORV8 025-5</t>
  </si>
  <si>
    <t>ORV8 026.2-2.4</t>
  </si>
  <si>
    <t>ORV8 026.57-3.53</t>
  </si>
  <si>
    <t>ORV8 026.64-2.62</t>
  </si>
  <si>
    <t>ORV8 026.7-1.78</t>
  </si>
  <si>
    <t>ORV8 026-2</t>
  </si>
  <si>
    <t>ORV8 026-3</t>
  </si>
  <si>
    <t>ORV8 027.7-3.5</t>
  </si>
  <si>
    <t>ORV8 027-2.5</t>
  </si>
  <si>
    <t>ORV8 027-3</t>
  </si>
  <si>
    <t>ORV8 028.17-3.53</t>
  </si>
  <si>
    <t>ORV8 028.24-2.62</t>
  </si>
  <si>
    <t>ORV8 028.3-1.78</t>
  </si>
  <si>
    <t>ORV8 028.7-3.5</t>
  </si>
  <si>
    <t>ORV8 028-2</t>
  </si>
  <si>
    <t>ORV8 028-2.5</t>
  </si>
  <si>
    <t>ORV8 028-3</t>
  </si>
  <si>
    <t>ORV8 029.4-3.1</t>
  </si>
  <si>
    <t>ORV8 029.51-5.33</t>
  </si>
  <si>
    <t>ORV8 029.74-3.53</t>
  </si>
  <si>
    <t>ORV8 029.82-2.62</t>
  </si>
  <si>
    <t>ORV8 029.87-1.78</t>
  </si>
  <si>
    <t>ORV8 030.7-3.5</t>
  </si>
  <si>
    <t>ORV8 030-2</t>
  </si>
  <si>
    <t>ORV8 030-2.5</t>
  </si>
  <si>
    <t>ORV8 030-3</t>
  </si>
  <si>
    <t>ORV8 030-3.5</t>
  </si>
  <si>
    <t>ORV8 030-4</t>
  </si>
  <si>
    <t>ORV8 030-5</t>
  </si>
  <si>
    <t>ORV8 031.42-2.62</t>
  </si>
  <si>
    <t>ORV8 031.44-3.53</t>
  </si>
  <si>
    <t>ORV8 031.47-1.78</t>
  </si>
  <si>
    <t>ORV8 031.7-3.5</t>
  </si>
  <si>
    <t>ORV8 032.7-3.5</t>
  </si>
  <si>
    <t>ORV8 032.92-2.62</t>
  </si>
  <si>
    <t>ORV8 032.92-3.53</t>
  </si>
  <si>
    <t>ORV8 032-2</t>
  </si>
  <si>
    <t>ORV8 032-2.5</t>
  </si>
  <si>
    <t>ORV8 032-3</t>
  </si>
  <si>
    <t>ORV8 033.05-1.78</t>
  </si>
  <si>
    <t>ORV8 033.3-2.4</t>
  </si>
  <si>
    <t>ORV8 033.7-3.5</t>
  </si>
  <si>
    <t>ORV8 033-3</t>
  </si>
  <si>
    <t>ORV8 034.29-5.33</t>
  </si>
  <si>
    <t>ORV8 034.4-3.1</t>
  </si>
  <si>
    <t>ORV8 034.52-3.53</t>
  </si>
  <si>
    <t>ORV8 034.59-2.62</t>
  </si>
  <si>
    <t>ORV8 034.65-1.78</t>
  </si>
  <si>
    <t>ORV8 034-2</t>
  </si>
  <si>
    <t>ORV8 034-3</t>
  </si>
  <si>
    <t>ORV8 035.5-1.78</t>
  </si>
  <si>
    <t>ORV8 035.7-3.5</t>
  </si>
  <si>
    <t>ORV8 035-2.5</t>
  </si>
  <si>
    <t>ORV8 035-3</t>
  </si>
  <si>
    <t>ORV8 035-4</t>
  </si>
  <si>
    <t>ORV8 035-5</t>
  </si>
  <si>
    <t>ORV8 036.09-3.53</t>
  </si>
  <si>
    <t>ORV8 036.17-2.62</t>
  </si>
  <si>
    <t>ORV8 036.2-2.4</t>
  </si>
  <si>
    <t>ORV8 036.5-3</t>
  </si>
  <si>
    <t>ORV8 036.5-3.53</t>
  </si>
  <si>
    <t>ORV8 036-2</t>
  </si>
  <si>
    <t>ORV8 036-2.5</t>
  </si>
  <si>
    <t>ORV8 036-3</t>
  </si>
  <si>
    <t>ORV8 036-3.5</t>
  </si>
  <si>
    <t>ORV8 037.1-1.6</t>
  </si>
  <si>
    <t>ORV8 037.47-5.33</t>
  </si>
  <si>
    <t>ORV8 037.4-3.1</t>
  </si>
  <si>
    <t>ORV8 037.5-3</t>
  </si>
  <si>
    <t>ORV8 037.69-3.53</t>
  </si>
  <si>
    <t>ORV8 037.77-2.62</t>
  </si>
  <si>
    <t>ORV8 037.7-3.5</t>
  </si>
  <si>
    <t>ORV8 037.82-1.78</t>
  </si>
  <si>
    <t>ORV8 037-2.5</t>
  </si>
  <si>
    <t>ORV8 038.7-3.5</t>
  </si>
  <si>
    <t>ORV8 038-2</t>
  </si>
  <si>
    <t>ORV8 038-2.4</t>
  </si>
  <si>
    <t>ORV8 038-3.5</t>
  </si>
  <si>
    <t>ORV8 038-4</t>
  </si>
  <si>
    <t>ORV8 039.34-2.62</t>
  </si>
  <si>
    <t>ORV8 039.45-1.78</t>
  </si>
  <si>
    <t>ORV8 039.4-3.1</t>
  </si>
  <si>
    <t>ORV8 039.7-3.5</t>
  </si>
  <si>
    <t>ORV8 039-2.5</t>
  </si>
  <si>
    <t>ORV8 040.64-5.33</t>
  </si>
  <si>
    <t>ORV8 040.7-3.5</t>
  </si>
  <si>
    <t>ORV8 040.87-3.53</t>
  </si>
  <si>
    <t>ORV8 040.94-2.62</t>
  </si>
  <si>
    <t>ORV8 040-2.5</t>
  </si>
  <si>
    <t>ORV8 040-3</t>
  </si>
  <si>
    <t>ORV8 040-5</t>
  </si>
  <si>
    <t>ORV8 041.2-3</t>
  </si>
  <si>
    <t>ORV8 041.7-3.1</t>
  </si>
  <si>
    <t>ORV8 041.7-3.5</t>
  </si>
  <si>
    <t>ORV8 041-1.78</t>
  </si>
  <si>
    <t>ORV8 042.52-2.62</t>
  </si>
  <si>
    <t>ORV8 042.7-3.5</t>
  </si>
  <si>
    <t>ORV8 042-4</t>
  </si>
  <si>
    <t>ORV8 043.87-5.33</t>
  </si>
  <si>
    <t>ORV8 043-3</t>
  </si>
  <si>
    <t>ORV8 044.04-3.53</t>
  </si>
  <si>
    <t>ORV8 044.12-2.62</t>
  </si>
  <si>
    <t>ORV8 044.17-1.78</t>
  </si>
  <si>
    <t>ORV8 044.4-3.1</t>
  </si>
  <si>
    <t>ORV8 044.7-3.5</t>
  </si>
  <si>
    <t>ORV8 044-2</t>
  </si>
  <si>
    <t>ORV8 044-3</t>
  </si>
  <si>
    <t>ORV8 045.69-2.62</t>
  </si>
  <si>
    <t>ORV8 045.7-3.5</t>
  </si>
  <si>
    <t>ORV8 045.7-5.33</t>
  </si>
  <si>
    <t>ORV8 045-2.5</t>
  </si>
  <si>
    <t>ORV8 045-4</t>
  </si>
  <si>
    <t>ORV8 045-5</t>
  </si>
  <si>
    <t>ORV8 046.99-5.33</t>
  </si>
  <si>
    <t>ORV8 046-1.78</t>
  </si>
  <si>
    <t>ORV8 046-3</t>
  </si>
  <si>
    <t>ORV8 046-3.5</t>
  </si>
  <si>
    <t>ORV8 047.22-3.53</t>
  </si>
  <si>
    <t>ORV8 047.29-2.62</t>
  </si>
  <si>
    <t>ORV8 047.35-1.78</t>
  </si>
  <si>
    <t>ORV8 047.7-3.5</t>
  </si>
  <si>
    <t>ORV8 047-3</t>
  </si>
  <si>
    <t>ORV8 047-4</t>
  </si>
  <si>
    <t>ORV8 048.7-3.5</t>
  </si>
  <si>
    <t>ORV8 048.9-2.62</t>
  </si>
  <si>
    <t>ORV8 048-2</t>
  </si>
  <si>
    <t>ORV8 048-3</t>
  </si>
  <si>
    <t>ORV8 048-4</t>
  </si>
  <si>
    <t>ORV8 049.2-5.7</t>
  </si>
  <si>
    <t>ORV8 049.4-2.4</t>
  </si>
  <si>
    <t>ORV8 049.4-3.1</t>
  </si>
  <si>
    <t>ORV8 049.7-3.5</t>
  </si>
  <si>
    <t>ORV8 050.17-5.33</t>
  </si>
  <si>
    <t>ORV8 050.39-3.53</t>
  </si>
  <si>
    <t>ORV8 050.47-2.62</t>
  </si>
  <si>
    <t>ORV8 050.52-1.78</t>
  </si>
  <si>
    <t>ORV8 050-2.5</t>
  </si>
  <si>
    <t>ORV8 050-4</t>
  </si>
  <si>
    <t>ORV8 050-5</t>
  </si>
  <si>
    <t>ORV8 052.07-2.62</t>
  </si>
  <si>
    <t>ORV8 052-2</t>
  </si>
  <si>
    <t>ORV8 052-3</t>
  </si>
  <si>
    <t>ORV8 053.34-5.33</t>
  </si>
  <si>
    <t>ORV8 053.37-3.53</t>
  </si>
  <si>
    <t>ORV8 053.4-3.1</t>
  </si>
  <si>
    <t>ORV8 053.64-2.62</t>
  </si>
  <si>
    <t>ORV8 054.2-5.7</t>
  </si>
  <si>
    <t>ORV8 054.4-3.1</t>
  </si>
  <si>
    <t>ORV8 054.7-3.5</t>
  </si>
  <si>
    <t>ORV8 054-3</t>
  </si>
  <si>
    <t>ORV8 055.25-2.62</t>
  </si>
  <si>
    <t>ORV8 055.8-3.5</t>
  </si>
  <si>
    <t>ORV8 055-4</t>
  </si>
  <si>
    <t>ORV8 055-5</t>
  </si>
  <si>
    <t>ORV8 056.52-5.33</t>
  </si>
  <si>
    <t>ORV8 056.74-3.53</t>
  </si>
  <si>
    <t>ORV8 056.82-2.62</t>
  </si>
  <si>
    <t>ORV8 056.87-1.78</t>
  </si>
  <si>
    <t>ORV8 056-3.5</t>
  </si>
  <si>
    <t>ORV8 057.4-3.1</t>
  </si>
  <si>
    <t>ORV8 057.6-5.7</t>
  </si>
  <si>
    <t>ORV8 057-3</t>
  </si>
  <si>
    <t>ORV8 058.42-2.62</t>
  </si>
  <si>
    <t>ORV8 058.74-3.53</t>
  </si>
  <si>
    <t>ORV8 058-4</t>
  </si>
  <si>
    <t>ORV8 058-7</t>
  </si>
  <si>
    <t>ORV8 059.2-5.7</t>
  </si>
  <si>
    <t>ORV8 059.4-3.1</t>
  </si>
  <si>
    <t>ORV8 059.69-5.33</t>
  </si>
  <si>
    <t>ORV8 059.92-3.53</t>
  </si>
  <si>
    <t>ORV8 059.99-2.62</t>
  </si>
  <si>
    <t>ORV8 060.05-1.78</t>
  </si>
  <si>
    <t>ORV8 060.07-1.6</t>
  </si>
  <si>
    <t>ORV8 060-2</t>
  </si>
  <si>
    <t>ORV8 060-4</t>
  </si>
  <si>
    <t>ORV8 060-5</t>
  </si>
  <si>
    <t>ORV8 061.6-1.78</t>
  </si>
  <si>
    <t>ORV8 061.6-2.62</t>
  </si>
  <si>
    <t>ORV8 061.8-3.5</t>
  </si>
  <si>
    <t>ORV8 062.4-3.1</t>
  </si>
  <si>
    <t>ORV8 062.87-5.33</t>
  </si>
  <si>
    <t>ORV8 063.09-3.53</t>
  </si>
  <si>
    <t>ORV8 063.17-2.62</t>
  </si>
  <si>
    <t>ORV8 063-3</t>
  </si>
  <si>
    <t>ORV8 064.2-5.7</t>
  </si>
  <si>
    <t>ORV8 064.4-3.1</t>
  </si>
  <si>
    <t>ORV8 064.77-2.62</t>
  </si>
  <si>
    <t>ORV8 064-6</t>
  </si>
  <si>
    <t>ORV8 065-4</t>
  </si>
  <si>
    <t>ORV8 065-5</t>
  </si>
  <si>
    <t>ORV8 066.04-5.33</t>
  </si>
  <si>
    <t>ORV8 066.27-3.53</t>
  </si>
  <si>
    <t>ORV8 066.34-2.62</t>
  </si>
  <si>
    <t>ORV8 066-3</t>
  </si>
  <si>
    <t>ORV8 067.95-2.62</t>
  </si>
  <si>
    <t>ORV8 068-3.53</t>
  </si>
  <si>
    <t>ORV8 068-7</t>
  </si>
  <si>
    <t>ORV8 069.22-2.62</t>
  </si>
  <si>
    <t>ORV8 069.22-5.33</t>
  </si>
  <si>
    <t>ORV8 069.2-5.7</t>
  </si>
  <si>
    <t>ORV8 069.44-3.53</t>
  </si>
  <si>
    <t>ORV8 069.4-3.1</t>
  </si>
  <si>
    <t>ORV8 070-2</t>
  </si>
  <si>
    <t>ORV8 070-2.5</t>
  </si>
  <si>
    <t>ORV8 070-4</t>
  </si>
  <si>
    <t>ORV8 070-5</t>
  </si>
  <si>
    <t>ORV8 071.12-2.62</t>
  </si>
  <si>
    <t>ORV8 072.39-5.33</t>
  </si>
  <si>
    <t>ORV8 072.62-3.53</t>
  </si>
  <si>
    <t>ORV8 072.69-2.62</t>
  </si>
  <si>
    <t>ORV8 072-3</t>
  </si>
  <si>
    <t>ORV8 072-4</t>
  </si>
  <si>
    <t>ORV8 073-3</t>
  </si>
  <si>
    <t>ORV8 074.2-5.7</t>
  </si>
  <si>
    <t>ORV8 074.4-3.1</t>
  </si>
  <si>
    <t>ORV8 074-4</t>
  </si>
  <si>
    <t>ORV8 075.57-5.33</t>
  </si>
  <si>
    <t>ORV8 075.79-3.53</t>
  </si>
  <si>
    <t>ORV8 075.87-2.62</t>
  </si>
  <si>
    <t>ORV8 075.92-1.78</t>
  </si>
  <si>
    <t>ORV8 075-2.5</t>
  </si>
  <si>
    <t>ORV8 075-5</t>
  </si>
  <si>
    <t>ORV8 076.2-1.9</t>
  </si>
  <si>
    <t>ORV8 077-4</t>
  </si>
  <si>
    <t>ORV8 078.74-5.33</t>
  </si>
  <si>
    <t>ORV8 078.97-3.53</t>
  </si>
  <si>
    <t>ORV8 078-7</t>
  </si>
  <si>
    <t>ORV8 079.2-5.7</t>
  </si>
  <si>
    <t>ORV8 079.4-3.1</t>
  </si>
  <si>
    <t>ORV8 080-2.5</t>
  </si>
  <si>
    <t>ORV8 080-5</t>
  </si>
  <si>
    <t>ORV8 081.91-5.33</t>
  </si>
  <si>
    <t>ORV8 082.15-3.53</t>
  </si>
  <si>
    <t>ORV8 082.22-2.62</t>
  </si>
  <si>
    <t>ORV8 082-4</t>
  </si>
  <si>
    <t>ORV8 084.2-5.7</t>
  </si>
  <si>
    <t>ORV8 084.4-3.1</t>
  </si>
  <si>
    <t>ORV8 085.09-5.33</t>
  </si>
  <si>
    <t>ORV8 085.32-3.53</t>
  </si>
  <si>
    <t>ORV8 085-2</t>
  </si>
  <si>
    <t>ORV8 085-5</t>
  </si>
  <si>
    <t>ORV8 088.27-5.33</t>
  </si>
  <si>
    <t>ORV8 088.49-3.53</t>
  </si>
  <si>
    <t>ORV8 088.57-2.62</t>
  </si>
  <si>
    <t>ORV8 088-2</t>
  </si>
  <si>
    <t>ORV8 088-7</t>
  </si>
  <si>
    <t>ORV8 090-4</t>
  </si>
  <si>
    <t>ORV8 090-5</t>
  </si>
  <si>
    <t>ORV8 091.44-5.33</t>
  </si>
  <si>
    <t>ORV8 091.67-3.53</t>
  </si>
  <si>
    <t>ORV8 092-4</t>
  </si>
  <si>
    <t>ORV8 094.2-5.7</t>
  </si>
  <si>
    <t>ORV8 094.4-3.1</t>
  </si>
  <si>
    <t>ORV8 094.62-5.33</t>
  </si>
  <si>
    <t>ORV8 094.84-3.53</t>
  </si>
  <si>
    <t>ORV8 094.92-2.62</t>
  </si>
  <si>
    <t>ORV8 094.99-1.78</t>
  </si>
  <si>
    <t>ORV8 094-3.5</t>
  </si>
  <si>
    <t>ORV8 095-5</t>
  </si>
  <si>
    <t>ORV8 097.79-5.33</t>
  </si>
  <si>
    <t>ORV8 098.02-3.53</t>
  </si>
  <si>
    <t>ORV8 099.2-5.7</t>
  </si>
  <si>
    <t>ORV8 099.4-3.1</t>
  </si>
  <si>
    <t>ORV8 100.97-5.33</t>
  </si>
  <si>
    <t>ORV8 100-4</t>
  </si>
  <si>
    <t>ORV8 100-5</t>
  </si>
  <si>
    <t>ORV8 100-6</t>
  </si>
  <si>
    <t>ORV8 101.19-3.53</t>
  </si>
  <si>
    <t>ORV8 101.27-2.62</t>
  </si>
  <si>
    <t>ORV8 101-6.99</t>
  </si>
  <si>
    <t>ORV8 102-4</t>
  </si>
  <si>
    <t>ORV8 104.14-3.53</t>
  </si>
  <si>
    <t>ORV8 104.14-5.33</t>
  </si>
  <si>
    <t>ORV8 104.2-5.7</t>
  </si>
  <si>
    <t>ORV8 104.4-3.1</t>
  </si>
  <si>
    <t>ORV8 107.32-3.53</t>
  </si>
  <si>
    <t>ORV8 107.32-5.33</t>
  </si>
  <si>
    <t>ORV8 108-6</t>
  </si>
  <si>
    <t>ORV8 109.2-5.7</t>
  </si>
  <si>
    <t>ORV8 109.4-3.1</t>
  </si>
  <si>
    <t>ORV8 110.49-5.33</t>
  </si>
  <si>
    <t>ORV8 110.72-3.53</t>
  </si>
  <si>
    <t>ORV8 110-4</t>
  </si>
  <si>
    <t>ORV8 110-5</t>
  </si>
  <si>
    <t>ORV8 113.67-5.33</t>
  </si>
  <si>
    <t>ORV8 113.67-6.99</t>
  </si>
  <si>
    <t>ORV8 113.89-3.53</t>
  </si>
  <si>
    <t>ORV8 113.97-2.62</t>
  </si>
  <si>
    <t>ORV8 114.2-5.7</t>
  </si>
  <si>
    <t>ORV8 114.4-3.1</t>
  </si>
  <si>
    <t>ORV8 115-5</t>
  </si>
  <si>
    <t>ORV8 116.84-5.33</t>
  </si>
  <si>
    <t>ORV8 116.84-6.99</t>
  </si>
  <si>
    <t>ORV8 117.07-3.53</t>
  </si>
  <si>
    <t>ORV8 117-4</t>
  </si>
  <si>
    <t>ORV8 119.2-5.7</t>
  </si>
  <si>
    <t>ORV8 119.4-3.1</t>
  </si>
  <si>
    <t>ORV8 120.02-5.33</t>
  </si>
  <si>
    <t>ORV8 120.24-3.53</t>
  </si>
  <si>
    <t>ORV8 120.32-2.62</t>
  </si>
  <si>
    <t>ORV8 120-4</t>
  </si>
  <si>
    <t>ORV8 120-5</t>
  </si>
  <si>
    <t>ORV8 123.19-5.33</t>
  </si>
  <si>
    <t>ORV8 123.20-6.99</t>
  </si>
  <si>
    <t>ORV8 123.42-3.53</t>
  </si>
  <si>
    <t>ORV8 124.2-5.7</t>
  </si>
  <si>
    <t>ORV8 124.4-3.1</t>
  </si>
  <si>
    <t>ORV8 125-5</t>
  </si>
  <si>
    <t>ORV8 126.35-6.99</t>
  </si>
  <si>
    <t>ORV8 126.37-5.33</t>
  </si>
  <si>
    <t>ORV8 126.59-3.53</t>
  </si>
  <si>
    <t>ORV8 126.67-2.62</t>
  </si>
  <si>
    <t>ORV8 129.2-5.7</t>
  </si>
  <si>
    <t>ORV8 129.4-3.1</t>
  </si>
  <si>
    <t>ORV8 129.54-5.33</t>
  </si>
  <si>
    <t>ORV8 129.54-6.99</t>
  </si>
  <si>
    <t>ORV8 129.77-3.53</t>
  </si>
  <si>
    <t>ORV8 132.72-5.33</t>
  </si>
  <si>
    <t>ORV8 132.94-3.53</t>
  </si>
  <si>
    <t>ORV8 132-4</t>
  </si>
  <si>
    <t>ORV8 132-5</t>
  </si>
  <si>
    <t>ORV8 133.02-2.62</t>
  </si>
  <si>
    <t>ORV8 133.07-1.78</t>
  </si>
  <si>
    <t>ORV8 134.2-5.7</t>
  </si>
  <si>
    <t>ORV8 134.4-3.1</t>
  </si>
  <si>
    <t>ORV8 135.89-5.33</t>
  </si>
  <si>
    <t>ORV8 135.89-6.99</t>
  </si>
  <si>
    <t>ORV8 135-5</t>
  </si>
  <si>
    <t>ORV8 136.12-3.53</t>
  </si>
  <si>
    <t>ORV8 139.07-5.33</t>
  </si>
  <si>
    <t>ORV8 139.07-6.99</t>
  </si>
  <si>
    <t>ORV8 139.29-3.53</t>
  </si>
  <si>
    <t>ORV8 139.2-5.7</t>
  </si>
  <si>
    <t>ORV8 139.4-3.1</t>
  </si>
  <si>
    <t>ORV8 140-5</t>
  </si>
  <si>
    <t>ORV8 142.24-5.33</t>
  </si>
  <si>
    <t>ORV8 142.47-3.53</t>
  </si>
  <si>
    <t>ORV8 144.2-5.7</t>
  </si>
  <si>
    <t>ORV8 144.4-3.1</t>
  </si>
  <si>
    <t>ORV8 145.24-5.33</t>
  </si>
  <si>
    <t>ORV8 145.42-6.99</t>
  </si>
  <si>
    <t>ORV8 145.64-3.53</t>
  </si>
  <si>
    <t>ORV8 145.72-2.62</t>
  </si>
  <si>
    <t>ORV8 148.58-6.99</t>
  </si>
  <si>
    <t>ORV8 148.59-5.33</t>
  </si>
  <si>
    <t>ORV8 148.82-3.53</t>
  </si>
  <si>
    <t>ORV8 148-6</t>
  </si>
  <si>
    <t>ORV8 149.2-5.7</t>
  </si>
  <si>
    <t>ORV8 149.4-3.1</t>
  </si>
  <si>
    <t>ORV8 150-5</t>
  </si>
  <si>
    <t>ORV8 151.77-5.33</t>
  </si>
  <si>
    <t>ORV8 151.77-6.99</t>
  </si>
  <si>
    <t>ORV8 151.99-3.53</t>
  </si>
  <si>
    <t>ORV8 152.07-2.62</t>
  </si>
  <si>
    <t>ORV8 152-4</t>
  </si>
  <si>
    <t>ORV8 154.2-5.7</t>
  </si>
  <si>
    <t>ORV8 154.48-5.33</t>
  </si>
  <si>
    <t>ORV8 154.4-3.1</t>
  </si>
  <si>
    <t>ORV8 155.76-2.62</t>
  </si>
  <si>
    <t>ORV8 156-1.78</t>
  </si>
  <si>
    <t>ORV8 158.12-5.33</t>
  </si>
  <si>
    <t>ORV8 158.12-6.99</t>
  </si>
  <si>
    <t>ORV8 158.34-3.53</t>
  </si>
  <si>
    <t>ORV8 159.2-5.7</t>
  </si>
  <si>
    <t>ORV8 159.4-3.1</t>
  </si>
  <si>
    <t>ORV8 160-5</t>
  </si>
  <si>
    <t>ORV8 164.2-5.7</t>
  </si>
  <si>
    <t>ORV8 164.41-6.99</t>
  </si>
  <si>
    <t>ORV8 164.47-5.33</t>
  </si>
  <si>
    <t>ORV8 164.69-3.53</t>
  </si>
  <si>
    <t>ORV8 169.2-5.7</t>
  </si>
  <si>
    <t>ORV8 169.4-3.1</t>
  </si>
  <si>
    <t>ORV8 170.82-5.33</t>
  </si>
  <si>
    <t>ORV8 170.82-6.99</t>
  </si>
  <si>
    <t>ORV8 170-5</t>
  </si>
  <si>
    <t>ORV8 171.04-3.53</t>
  </si>
  <si>
    <t>ORV8 174-3</t>
  </si>
  <si>
    <t>ORV8 177.17-5.33</t>
  </si>
  <si>
    <t>ORV8 177.17-6.99</t>
  </si>
  <si>
    <t>ORV8 177.39-3.53</t>
  </si>
  <si>
    <t>ORV8 179.2-5.7</t>
  </si>
  <si>
    <t>ORV8 179.30-5.33</t>
  </si>
  <si>
    <t>ORV8 183.14-3.53</t>
  </si>
  <si>
    <t>ORV8 183.51-6.99</t>
  </si>
  <si>
    <t>ORV8 183.52-5.33</t>
  </si>
  <si>
    <t>ORV8 184.2-5.7</t>
  </si>
  <si>
    <t>ORV8 189.2-5.7</t>
  </si>
  <si>
    <t>ORV8 189.4-3.1</t>
  </si>
  <si>
    <t>ORV8 189.87-5.33</t>
  </si>
  <si>
    <t>ORV8 189.87-6.99</t>
  </si>
  <si>
    <t>ORV8 190.17-2.62</t>
  </si>
  <si>
    <t>ORV8 190-5</t>
  </si>
  <si>
    <t>ORV8 191.6-6</t>
  </si>
  <si>
    <t>ORV8 194.2-5.7</t>
  </si>
  <si>
    <t>ORV8 194.4-3.1</t>
  </si>
  <si>
    <t>ORV8 196.22-5.33</t>
  </si>
  <si>
    <t>ORV8 196.22-6.99</t>
  </si>
  <si>
    <t>ORV8 196.44-3.53</t>
  </si>
  <si>
    <t>ORV8 199.2-5.7</t>
  </si>
  <si>
    <t>ORV8 200-5</t>
  </si>
  <si>
    <t>ORV8 202.57-3.53</t>
  </si>
  <si>
    <t>ORV8 202.57-5.33</t>
  </si>
  <si>
    <t>ORV8 202.57-6.99</t>
  </si>
  <si>
    <t>ORV8 204.2-5.7</t>
  </si>
  <si>
    <t>ORV8 208.92-6.99</t>
  </si>
  <si>
    <t>ORV8 208.97-5.33</t>
  </si>
  <si>
    <t>ORV8 209.14-3.53</t>
  </si>
  <si>
    <t>ORV8 209.2-5.7</t>
  </si>
  <si>
    <t>ORV8 209.4-3.1</t>
  </si>
  <si>
    <t>ORV8 214.2-5.7</t>
  </si>
  <si>
    <t>ORV8 215.27-6.99</t>
  </si>
  <si>
    <t>ORV8 215.2-5.33</t>
  </si>
  <si>
    <t>ORV8 215.5-3.53</t>
  </si>
  <si>
    <t>ORV8 215-5</t>
  </si>
  <si>
    <t>ORV8 219.2-5.7</t>
  </si>
  <si>
    <t>ORV8 220-5</t>
  </si>
  <si>
    <t>ORV8 221.62-5.33</t>
  </si>
  <si>
    <t>ORV8 221.84-3.53</t>
  </si>
  <si>
    <t>ORV8 227.97-5.33</t>
  </si>
  <si>
    <t>ORV8 227.97-6.99</t>
  </si>
  <si>
    <t>ORV8 229.2-5.7</t>
  </si>
  <si>
    <t>ORV8 233.5-7</t>
  </si>
  <si>
    <t>ORV8 234.32-5.33</t>
  </si>
  <si>
    <t>ORV8 236-7</t>
  </si>
  <si>
    <t>ORV8 239.2-5.7</t>
  </si>
  <si>
    <t>ORV8 239-6</t>
  </si>
  <si>
    <t>ORV8 240.67-5.33</t>
  </si>
  <si>
    <t>ORV8 240.67-6.99</t>
  </si>
  <si>
    <t>ORV8 240.87-3.53</t>
  </si>
  <si>
    <t>ORV8 240-5</t>
  </si>
  <si>
    <t>ORV8 244.4-3.1</t>
  </si>
  <si>
    <t>ORV8 253.37-6.99</t>
  </si>
  <si>
    <t>ORV8 253.59-3.53</t>
  </si>
  <si>
    <t>ORV8 259.2-5.7</t>
  </si>
  <si>
    <t>ORV8 266.07-6.99</t>
  </si>
  <si>
    <t>ORV8 269.2-5.7</t>
  </si>
  <si>
    <t>ORV8 278.77-5.33</t>
  </si>
  <si>
    <t>ORV8 278.77-6.99</t>
  </si>
  <si>
    <t>ORV8 279.2-5.7</t>
  </si>
  <si>
    <t>ORV8 289.2-5.7</t>
  </si>
  <si>
    <t>ORV8 291.47-5.33</t>
  </si>
  <si>
    <t>ORV8 291.47-6.99</t>
  </si>
  <si>
    <t>ORV8 304.14-5.33</t>
  </si>
  <si>
    <t>ORV8 304.17-6.99</t>
  </si>
  <si>
    <t>ORV8 319.2-5.7</t>
  </si>
  <si>
    <t>ORV8 349.2-5.7</t>
  </si>
  <si>
    <t>ORV8 354.2-5.7</t>
  </si>
  <si>
    <t>ORV8 354.94-6.99</t>
  </si>
  <si>
    <t>ORV8 354.97-5.33</t>
  </si>
  <si>
    <t>ORV8 367.67-6.99</t>
  </si>
  <si>
    <t>ORV8 506.86-6.99</t>
  </si>
  <si>
    <t>RS045-F-018-028-7.3/8</t>
  </si>
  <si>
    <t>RS045-F-020-030-7.3/8</t>
  </si>
  <si>
    <t>RS045-F-022-032-5.7/6.3</t>
  </si>
  <si>
    <t>RS045-F-022-032-7.3/8</t>
  </si>
  <si>
    <t>RS045-F-025-035-7.3/8</t>
  </si>
  <si>
    <t>RS045-F-028-034-6.3/7</t>
  </si>
  <si>
    <t>RS045-F-028-035-5.3/6</t>
  </si>
  <si>
    <t>RS045-F-028-038-7.3/8</t>
  </si>
  <si>
    <t>RS045-F-030-040-7/8</t>
  </si>
  <si>
    <t>RS045-F-032-042-07.5/8</t>
  </si>
  <si>
    <t>RS045-F-034-044-7.3/8</t>
  </si>
  <si>
    <t>RS045-F-035-045-7.3/8</t>
  </si>
  <si>
    <t>RS045-F-036-044-7.3/8</t>
  </si>
  <si>
    <t>RS045-F-036-046-5.7/6.3</t>
  </si>
  <si>
    <t>RS045-F-036-046-7.3/8</t>
  </si>
  <si>
    <t>RS045-F-040-050-5.3/6</t>
  </si>
  <si>
    <t>RS045-F-040-050-6.3/7</t>
  </si>
  <si>
    <t>RS045-F-040-050-7.3/8</t>
  </si>
  <si>
    <t>RS045-F-040-050-8.2/9</t>
  </si>
  <si>
    <t>RS045-F-045-055-5.8/6.5</t>
  </si>
  <si>
    <t>RS045-F-045-055-6.8/7.5</t>
  </si>
  <si>
    <t>RS045-F-045-055-7/8</t>
  </si>
  <si>
    <t>RS045-F-050-060-7/8</t>
  </si>
  <si>
    <t>RS045-F-055-065-7/8</t>
  </si>
  <si>
    <t>RS045-F-056-066-10/11</t>
  </si>
  <si>
    <t>RS045-F-056-066-6.3/7</t>
  </si>
  <si>
    <t>RS045-F-056-071-9/10</t>
  </si>
  <si>
    <t>RS045-F-060-070-10</t>
  </si>
  <si>
    <t>RS045-F-060-070-13</t>
  </si>
  <si>
    <t>RS045-F-068-076-4.8/5.5</t>
  </si>
  <si>
    <t>RS045-F-070-082-13.8/15</t>
  </si>
  <si>
    <t>RS045-F-070-082-8.8/10</t>
  </si>
  <si>
    <t>RS045-F-070-085-5.8/6.5</t>
  </si>
  <si>
    <t>RS045-F-070-085-9/10</t>
  </si>
  <si>
    <t>RS045-F-080-095-9/10</t>
  </si>
  <si>
    <t>RS045-F-090-105-9/10</t>
  </si>
  <si>
    <t>RS045-F-090-110-15/16</t>
  </si>
  <si>
    <t>RS045-F-100-120-12/13</t>
  </si>
  <si>
    <t>RS045-F-125-140-12/13</t>
  </si>
  <si>
    <t>RS045-F-135-150-10/11</t>
  </si>
  <si>
    <t>RS045-F-140-160-12/13</t>
  </si>
  <si>
    <t>RS117-H-006-010.9-2.2</t>
  </si>
  <si>
    <t>RS117-H-012-016.9-2.2</t>
  </si>
  <si>
    <t>RS117-H-012-019.3-3.2</t>
  </si>
  <si>
    <t>RS117-H-014-021.3-3.2</t>
  </si>
  <si>
    <t>RS117-H-016-023.3-3.2</t>
  </si>
  <si>
    <t>RS117-H-018-025.3-3.2</t>
  </si>
  <si>
    <t>RS117-H-020-024.9-2.2</t>
  </si>
  <si>
    <t>RS117-H-020-030.7-4.2</t>
  </si>
  <si>
    <t>RS117-H-022-026.9-2.2</t>
  </si>
  <si>
    <t>RS117-H-022-032.7-4.2</t>
  </si>
  <si>
    <t>RS117-H-025-035.7-4.2</t>
  </si>
  <si>
    <t>RS117-H-028-038.7-4.2</t>
  </si>
  <si>
    <t>RS117-H-030-040.7-4.2</t>
  </si>
  <si>
    <t>RS117-H-032-042.7-4.2</t>
  </si>
  <si>
    <t>RS117-H-036-046.7-4.2</t>
  </si>
  <si>
    <t>RS117-H-040-050.7-4.2</t>
  </si>
  <si>
    <t>RS117-H-040-055.1-6.3</t>
  </si>
  <si>
    <t>RS117-H-045-060.1-6.3</t>
  </si>
  <si>
    <t>RS117-H-050-065.1-6.3</t>
  </si>
  <si>
    <t>RS117-H-056-071.1-6.3</t>
  </si>
  <si>
    <t>RS117-H-060-075.1-6.3</t>
  </si>
  <si>
    <t>RS117-H-063-078.1-6.3</t>
  </si>
  <si>
    <t>RS117-H-070-085.1-6.3</t>
  </si>
  <si>
    <t>RS117-H-075-090.1-6.3</t>
  </si>
  <si>
    <t>RS117-H-090-105.1-6.3</t>
  </si>
  <si>
    <t>RS171-U-028-036-7.2/8</t>
  </si>
  <si>
    <t>RS171-U-030-038-5.8/6.5</t>
  </si>
  <si>
    <t>RS171-U-040-048-5.7/6.3</t>
  </si>
  <si>
    <t>RS171-U-045-055-7.2/8</t>
  </si>
  <si>
    <t>RS171-U-050-058-9</t>
  </si>
  <si>
    <t>RS171-U-055-063-9 DB</t>
  </si>
  <si>
    <t>RS171-U-060-068-9</t>
  </si>
  <si>
    <t>RS171-U-070-078-8/9</t>
  </si>
  <si>
    <t>RS171-U-090-098-6.3/7</t>
  </si>
  <si>
    <t>RS171-U-105-113-6.3/7</t>
  </si>
  <si>
    <t>RS171-U-79-087.7-8</t>
  </si>
  <si>
    <t>SS001 010-015-4</t>
  </si>
  <si>
    <t>SS001 012-018-6/6.5</t>
  </si>
  <si>
    <t>SS001 018-026-5/5.8</t>
  </si>
  <si>
    <t>SS001 020-028-5.7/6.3</t>
  </si>
  <si>
    <t>SS001 025-033-6</t>
  </si>
  <si>
    <t>SS001 025-033-7</t>
  </si>
  <si>
    <t>SS001 025-038-10</t>
  </si>
  <si>
    <t>SS001 026-036-7/8</t>
  </si>
  <si>
    <t>SS001 030-040-10</t>
  </si>
  <si>
    <t>SS001 030-040-8</t>
  </si>
  <si>
    <t>SS001 031.5-041.5-6/6.8</t>
  </si>
  <si>
    <t>SS001 035-045-8</t>
  </si>
  <si>
    <t>SS001 040-050-8</t>
  </si>
  <si>
    <t>SS001 045-055-8</t>
  </si>
  <si>
    <t>SS001 045-065-11.8/13</t>
  </si>
  <si>
    <t>SS001 050-060-8</t>
  </si>
  <si>
    <t>SS001 050-070-14.5/16</t>
  </si>
  <si>
    <t>SS001 055-070-10</t>
  </si>
  <si>
    <t>SS001 055-075-14.5/16</t>
  </si>
  <si>
    <t>SS001 056-071-9/10</t>
  </si>
  <si>
    <t>SS001 075-095-16</t>
  </si>
  <si>
    <t>SS001 080-100-15/16</t>
  </si>
  <si>
    <t>SS001 085-100-10</t>
  </si>
  <si>
    <t>SS001 085-100-11.4/12.5</t>
  </si>
  <si>
    <t>SS001 090-110-14.7/16</t>
  </si>
  <si>
    <t>SS001 130-160-17.2/19</t>
  </si>
  <si>
    <t>OR7N 007-1.5</t>
  </si>
  <si>
    <t>OR9N 299.2-5.7</t>
  </si>
  <si>
    <t>ORV8 017.1-1.6</t>
  </si>
  <si>
    <t>ORV8 018.1-1.6</t>
  </si>
  <si>
    <t>ORV8 089.2-5.7</t>
  </si>
  <si>
    <t>ORV8 089.4-3.1</t>
  </si>
  <si>
    <t>SKU to Part Number Mapping</t>
  </si>
  <si>
    <t>Metric</t>
  </si>
  <si>
    <t>Value</t>
  </si>
  <si>
    <t>Source rows checked</t>
  </si>
  <si>
    <t>Unique SKUs</t>
  </si>
  <si>
    <t>Blank part numbers in Column B</t>
  </si>
  <si>
    <t>Blank SKUs in Column M</t>
  </si>
  <si>
    <t>Column B values still containing X</t>
  </si>
  <si>
    <t>Column M values containing X</t>
  </si>
  <si>
    <t>Recommended mapping rule</t>
  </si>
  <si>
    <t>Use Column M SKU as the lookup key and return all matching Column B part numbers.</t>
  </si>
  <si>
    <t>Important finding</t>
  </si>
  <si>
    <t>SKU is not always unique to one internal part number. Review Mapping Type = 1:Many.</t>
  </si>
  <si>
    <t>Suggested Excel lookup</t>
  </si>
  <si>
    <t>Source range</t>
  </si>
  <si>
    <t>PriceList!B4:M2641</t>
  </si>
  <si>
    <t>Matching Part Count</t>
  </si>
  <si>
    <t>Mapping Type</t>
  </si>
  <si>
    <t>Mapped Part Number(s)</t>
  </si>
  <si>
    <t>Source Row(s)</t>
  </si>
  <si>
    <t>FPE Dimensions</t>
  </si>
  <si>
    <t>Sample Product Type</t>
  </si>
  <si>
    <t>Unique SKUs mapping 1:1</t>
  </si>
  <si>
    <t>Unique SKUs mapping 1:Many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</si>
</sst>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quot;%&quot;"/>
    <numFmt numFmtId="168" formatCode="&quot;£&quot;#,##0.00"/>
  </numFmts>
  <fonts count="15" x14ac:knownFonts="1">
    <font>
      <sz val="11"/>
      <color theme="1"/>
      <name val="Calibri"/>
      <family val="2"/>
      <scheme val="minor"/>
    </font>
    <font>
      <b/>
      <sz val="10"/>
      <color rgb="FFFFFFFF"/>
      <name val="Arial"/>
    </font>
    <font>
      <b/>
      <sz val="9"/>
      <color rgb="FFFFFFFF"/>
      <name val="Arial"/>
    </font>
    <font>
      <sz val="8"/>
      <name val="Arial"/>
    </font>
    <font>
      <b/>
      <sz val="8"/>
      <color rgb="FF1F4E79"/>
      <name val="Arial"/>
    </font>
    <font>
      <i/>
      <sz val="8"/>
      <color rgb="FF5D4037"/>
      <name val="Arial"/>
    </font>
    <font>
      <b/>
      <sz val="8"/>
      <color rgb="FF363636"/>
      <name val="Arial"/>
    </font>
    <font>
      <b/>
      <sz val="8"/>
      <color rgb="FF1A5E1A"/>
      <name val="Arial"/>
    </font>
    <font>
      <b/>
      <sz val="8"/>
      <color rgb="FF8B0000"/>
      <name val="Arial"/>
    </font>
    <font>
      <b/>
      <sz val="11"/>
      <color theme="1"/>
      <name val="Calibri"/>
      <family val="2"/>
      <scheme val="minor"/>
    </font>
    <font>
      <b/>
      <sz val="9"/>
      <color theme="6" tint="0.79998168889431442"/>
      <name val="Arial"/>
      <family val="2"/>
    </font>
    <font>
      <sz val="8"/>
      <name val="Arial"/>
      <family val="2"/>
    </font>
    <font>
      <b/>
      <sz val="16"/>
      <color rgb="FFFFFFFF"/>
      <name val="Calibri"/>
      <family val="2"/>
      <scheme val="minor"/>
    </font>
    <font>
      <b/>
      <sz val="11"/>
      <color rgb="FFFFFFFF"/>
      <name val="Calibri"/>
      <family val="2"/>
      <scheme val="minor"/>
    </font>
    <font>
      <b/>
      <sz val="11"/>
      <color rgb="FF1F1F1F"/>
      <name val="Calibri"/>
      <family val="2"/>
      <scheme val="minor"/>
    </font>
  </fonts>
  <fills count="22">
    <fill>
      <patternFill patternType="none"/>
    </fill>
    <fill>
      <patternFill patternType="gray125"/>
    </fill>
    <fill>
      <patternFill patternType="solid">
        <fgColor rgb="FF1F4E79"/>
      </patternFill>
    </fill>
    <fill>
      <patternFill patternType="solid">
        <fgColor rgb="FF2E75B6"/>
      </patternFill>
    </fill>
    <fill>
      <patternFill patternType="solid">
        <fgColor rgb="FFFFFFFF"/>
      </patternFill>
    </fill>
    <fill>
      <patternFill patternType="solid">
        <fgColor rgb="FFEBF3FB"/>
      </patternFill>
    </fill>
    <fill>
      <patternFill patternType="solid">
        <fgColor rgb="FF404040"/>
      </patternFill>
    </fill>
    <fill>
      <patternFill patternType="solid">
        <fgColor rgb="FF7B3F00"/>
      </patternFill>
    </fill>
    <fill>
      <patternFill patternType="solid">
        <fgColor rgb="FFFFF8E1"/>
      </patternFill>
    </fill>
    <fill>
      <patternFill patternType="solid">
        <fgColor rgb="FF595959"/>
      </patternFill>
    </fill>
    <fill>
      <patternFill patternType="solid">
        <fgColor rgb="FF996633"/>
      </patternFill>
    </fill>
    <fill>
      <patternFill patternType="solid">
        <fgColor rgb="FFE8E8E8"/>
      </patternFill>
    </fill>
    <fill>
      <patternFill patternType="solid">
        <fgColor rgb="FFD6EFD6"/>
      </patternFill>
    </fill>
    <fill>
      <patternFill patternType="solid">
        <fgColor rgb="FFFFF3CD"/>
      </patternFill>
    </fill>
    <fill>
      <patternFill patternType="solid">
        <fgColor rgb="FFF2F2F2"/>
      </patternFill>
    </fill>
    <fill>
      <patternFill patternType="solid">
        <fgColor rgb="FFFFFBE6"/>
      </patternFill>
    </fill>
    <fill>
      <patternFill patternType="solid">
        <fgColor rgb="FFFAD7D7"/>
      </patternFill>
    </fill>
    <fill>
      <patternFill patternType="solid">
        <fgColor theme="6" tint="-0.249977111117893"/>
        <bgColor indexed="64"/>
      </patternFill>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EAF2F8"/>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right style="medium">
        <color rgb="FF666666"/>
      </right>
      <top/>
      <bottom/>
      <diagonal/>
    </border>
    <border>
      <left style="thin">
        <color rgb="FFD0D0D0"/>
      </left>
      <right style="medium">
        <color rgb="FF666666"/>
      </right>
      <top style="thin">
        <color rgb="FFD0D0D0"/>
      </top>
      <bottom style="thin">
        <color rgb="FFD0D0D0"/>
      </bottom>
      <diagonal/>
    </border>
    <border>
      <left style="thin">
        <color rgb="FFD0D0D0"/>
      </left>
      <right/>
      <top style="thin">
        <color rgb="FFD0D0D0"/>
      </top>
      <bottom style="thin">
        <color rgb="FFD0D0D0"/>
      </bottom>
      <diagonal/>
    </border>
  </borders>
  <cellStyleXfs count="1">
    <xf numFmtId="0" fontId="0" fillId="0" borderId="0"/>
  </cellStyleXfs>
  <cellXfs count="45">
    <xf numFmtId="0" fontId="0" fillId="0" borderId="0" xfId="0"/>
    <xf numFmtId="0" fontId="2" fillId="3" borderId="0" xfId="0" applyFont="1" applyFill="1" applyAlignment="1">
      <alignment horizontal="center" vertical="center" wrapText="1"/>
    </xf>
    <xf numFmtId="0" fontId="3" fillId="4" borderId="1" xfId="0" applyFont="1" applyFill="1" applyBorder="1" applyAlignment="1">
      <alignment vertical="center"/>
    </xf>
    <xf numFmtId="4" fontId="3" fillId="4" borderId="1" xfId="0" applyNumberFormat="1" applyFont="1" applyFill="1" applyBorder="1" applyAlignment="1">
      <alignment vertical="center"/>
    </xf>
    <xf numFmtId="0" fontId="3" fillId="5" borderId="1" xfId="0" applyFont="1" applyFill="1" applyBorder="1" applyAlignment="1">
      <alignment vertical="center"/>
    </xf>
    <xf numFmtId="4" fontId="3" fillId="5" borderId="1" xfId="0" applyNumberFormat="1" applyFont="1" applyFill="1" applyBorder="1" applyAlignment="1">
      <alignment vertical="center"/>
    </xf>
    <xf numFmtId="0" fontId="2" fillId="3" borderId="2" xfId="0" applyFont="1" applyFill="1" applyBorder="1" applyAlignment="1">
      <alignment horizontal="center" vertical="center" wrapText="1"/>
    </xf>
    <xf numFmtId="0" fontId="2" fillId="9" borderId="0" xfId="0" applyFont="1" applyFill="1" applyAlignment="1">
      <alignment horizontal="center" vertical="center" wrapText="1"/>
    </xf>
    <xf numFmtId="0" fontId="2" fillId="9" borderId="2" xfId="0" applyFont="1" applyFill="1" applyBorder="1" applyAlignment="1">
      <alignment horizontal="center" vertical="center" wrapText="1"/>
    </xf>
    <xf numFmtId="0" fontId="2" fillId="10" borderId="0" xfId="0" applyFont="1" applyFill="1" applyAlignment="1">
      <alignment horizontal="center" vertical="center" wrapText="1"/>
    </xf>
    <xf numFmtId="164" fontId="4" fillId="5" borderId="3" xfId="0" applyNumberFormat="1" applyFont="1" applyFill="1" applyBorder="1" applyAlignment="1">
      <alignment vertical="center"/>
    </xf>
    <xf numFmtId="0" fontId="3" fillId="11" borderId="1" xfId="0" applyFont="1" applyFill="1" applyBorder="1" applyAlignment="1">
      <alignment vertical="center"/>
    </xf>
    <xf numFmtId="4" fontId="3" fillId="11" borderId="1" xfId="0" applyNumberFormat="1" applyFont="1" applyFill="1" applyBorder="1" applyAlignment="1">
      <alignment vertical="center"/>
    </xf>
    <xf numFmtId="165" fontId="6" fillId="11" borderId="1" xfId="0" applyNumberFormat="1" applyFont="1" applyFill="1" applyBorder="1" applyAlignment="1">
      <alignment vertical="center"/>
    </xf>
    <xf numFmtId="164" fontId="6" fillId="11" borderId="1" xfId="0" applyNumberFormat="1" applyFont="1" applyFill="1" applyBorder="1" applyAlignment="1">
      <alignment vertical="center"/>
    </xf>
    <xf numFmtId="0" fontId="3" fillId="11" borderId="3" xfId="0" applyFont="1" applyFill="1" applyBorder="1" applyAlignment="1">
      <alignment vertical="center"/>
    </xf>
    <xf numFmtId="164" fontId="7" fillId="12" borderId="1" xfId="0" applyNumberFormat="1" applyFont="1" applyFill="1" applyBorder="1" applyAlignment="1">
      <alignment vertical="center"/>
    </xf>
    <xf numFmtId="166" fontId="3" fillId="12" borderId="1" xfId="0" applyNumberFormat="1" applyFont="1" applyFill="1" applyBorder="1" applyAlignment="1">
      <alignment vertical="center"/>
    </xf>
    <xf numFmtId="0" fontId="3" fillId="13" borderId="1" xfId="0" applyFont="1" applyFill="1" applyBorder="1" applyAlignment="1">
      <alignment vertical="center"/>
    </xf>
    <xf numFmtId="164" fontId="4" fillId="4" borderId="3" xfId="0" applyNumberFormat="1" applyFont="1" applyFill="1" applyBorder="1" applyAlignment="1">
      <alignment vertical="center"/>
    </xf>
    <xf numFmtId="0" fontId="3" fillId="14" borderId="1" xfId="0" applyFont="1" applyFill="1" applyBorder="1" applyAlignment="1">
      <alignment vertical="center"/>
    </xf>
    <xf numFmtId="4" fontId="3" fillId="14" borderId="1" xfId="0" applyNumberFormat="1" applyFont="1" applyFill="1" applyBorder="1" applyAlignment="1">
      <alignment vertical="center"/>
    </xf>
    <xf numFmtId="165" fontId="6" fillId="14" borderId="1" xfId="0" applyNumberFormat="1" applyFont="1" applyFill="1" applyBorder="1" applyAlignment="1">
      <alignment vertical="center"/>
    </xf>
    <xf numFmtId="164" fontId="6" fillId="14" borderId="1" xfId="0" applyNumberFormat="1" applyFont="1" applyFill="1" applyBorder="1" applyAlignment="1">
      <alignment vertical="center"/>
    </xf>
    <xf numFmtId="0" fontId="3" fillId="14" borderId="3" xfId="0" applyFont="1" applyFill="1" applyBorder="1" applyAlignment="1">
      <alignment vertical="center"/>
    </xf>
    <xf numFmtId="0" fontId="3" fillId="15" borderId="1" xfId="0" applyFont="1" applyFill="1" applyBorder="1" applyAlignment="1">
      <alignment vertical="center"/>
    </xf>
    <xf numFmtId="164" fontId="8" fillId="16" borderId="1" xfId="0" applyNumberFormat="1" applyFont="1" applyFill="1" applyBorder="1" applyAlignment="1">
      <alignment vertical="center"/>
    </xf>
    <xf numFmtId="166" fontId="3" fillId="16" borderId="1" xfId="0" applyNumberFormat="1" applyFont="1" applyFill="1" applyBorder="1" applyAlignment="1">
      <alignment vertical="center"/>
    </xf>
    <xf numFmtId="0" fontId="1" fillId="2" borderId="0" xfId="0" applyFont="1" applyFill="1" applyAlignment="1">
      <alignment horizontal="center" vertical="center"/>
    </xf>
    <xf numFmtId="0" fontId="0" fillId="0" borderId="0" xfId="0"/>
    <xf numFmtId="0" fontId="5" fillId="8" borderId="0" xfId="0" applyFont="1" applyFill="1" applyAlignment="1">
      <alignment horizontal="left" vertical="center"/>
    </xf>
    <xf numFmtId="0" fontId="1" fillId="7" borderId="0" xfId="0" applyFont="1" applyFill="1" applyAlignment="1">
      <alignment horizontal="center" vertical="center"/>
    </xf>
    <xf numFmtId="0" fontId="1" fillId="6" borderId="0" xfId="0" applyFont="1" applyFill="1" applyAlignment="1">
      <alignment horizontal="center" vertical="center"/>
    </xf>
    <xf numFmtId="0" fontId="2" fillId="3" borderId="0" xfId="0" applyFont="1" applyFill="1" applyBorder="1" applyAlignment="1">
      <alignment horizontal="center" vertical="center" wrapText="1"/>
    </xf>
    <xf numFmtId="168" fontId="4" fillId="5" borderId="4" xfId="0" applyNumberFormat="1" applyFont="1" applyFill="1" applyBorder="1" applyAlignment="1">
      <alignment vertical="center"/>
    </xf>
    <xf numFmtId="0" fontId="10" fillId="17" borderId="0" xfId="0" applyFont="1" applyFill="1" applyAlignment="1">
      <alignment horizontal="center" vertical="center" wrapText="1"/>
    </xf>
    <xf numFmtId="0" fontId="11" fillId="11" borderId="1" xfId="0" applyFont="1" applyFill="1" applyBorder="1" applyAlignment="1">
      <alignment vertical="center"/>
    </xf>
    <xf numFmtId="0" fontId="11" fillId="5" borderId="1" xfId="0" applyFont="1" applyFill="1" applyBorder="1" applyAlignment="1">
      <alignment vertical="center"/>
    </xf>
    <xf numFmtId="0" fontId="11" fillId="4" borderId="1" xfId="0" applyFont="1" applyFill="1" applyBorder="1" applyAlignment="1">
      <alignment vertical="center"/>
    </xf>
    <xf numFmtId="0" fontId="12" fillId="18" borderId="0" xfId="0" applyFont="1" applyFill="1" applyAlignment="1">
      <alignment horizontal="center"/>
    </xf>
    <xf numFmtId="0" fontId="13" fillId="19" borderId="0" xfId="0" applyFont="1" applyFill="1"/>
    <xf numFmtId="0" fontId="14" fillId="20" borderId="0" xfId="0" applyFont="1" applyFill="1" applyAlignment="1">
      <alignment wrapText="1"/>
    </xf>
    <xf numFmtId="0" fontId="0" fillId="0" borderId="0" xfId="0" applyAlignment="1">
      <alignment wrapText="1"/>
    </xf>
    <xf numFmtId="0" fontId="9" fillId="21" borderId="0" xfId="0" applyFont="1" applyFill="1"/>
    <xf numFmtId="0" fontId="0" fillId="21" borderId="0" xfId="0" applyFill="1"/>
  </cellXfs>
  <cellStyles count="1">
    <cellStyle name="Normal" xfId="0" builtinId="0"/>
  </cellStyles>
  <dxfs count="3">
    <dxf>
      <font>
        <color rgb="FF9C5700"/>
      </font>
      <fill>
        <patternFill patternType="solid">
          <fgColor indexed="64"/>
          <bgColor rgb="FFFCE4D6"/>
        </patternFill>
      </fill>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96359F-287C-4421-919F-9051176BDB2A}" name="SKU_Mapping_Table" displayName="SKU_Mapping_Table" ref="A12:G1544" totalsRowShown="0">
  <autoFilter ref="A12:G1544" xr:uid="{1096359F-287C-4421-919F-9051176BDB2A}"/>
  <tableColumns count="7">
    <tableColumn id="1" xr3:uid="{668E0A9D-684B-4CCD-AA6C-FC905EA37934}" name="SKU"/>
    <tableColumn id="2" xr3:uid="{E0ECFAC2-8E15-4631-BC5D-4680886C5995}" name="Matching Part Count">
      <calculatedColumnFormula>COUNTIF(PriceList!$M$4:$M$2641,A13)</calculatedColumnFormula>
    </tableColumn>
    <tableColumn id="3" xr3:uid="{CE924F29-59A0-424C-BE56-14230334E824}" name="Mapping Type">
      <calculatedColumnFormula>IF(B13=1,"1:1","1:Many")</calculatedColumnFormula>
    </tableColumn>
    <tableColumn id="4" xr3:uid="{F18B142B-7EC2-491A-B18E-AC2F30987C19}" name="Mapped Part Number(s)" dataDxfId="2">
      <calculatedColumnFormula array="1">_xlfn.TEXTJOIN(" | ",TRUE,_xlfn._xlws.FILTER(PriceList!$B$4:$B$2641,PriceList!$M$4:$M$2641=A13,""))</calculatedColumnFormula>
    </tableColumn>
    <tableColumn id="5" xr3:uid="{9A17DCB9-6824-4DBC-9270-AECE2E85C7D7}" name="Source Row(s)">
      <calculatedColumnFormula array="1">_xlfn.TEXTJOIN(", ",TRUE,_xlfn._xlws.FILTER(ROW(PriceList!$B$4:$B$2641),PriceList!$M$4:$M$2641=A13,""))</calculatedColumnFormula>
    </tableColumn>
    <tableColumn id="6" xr3:uid="{EFF26E4C-22CD-498E-B202-A2C414EC63BC}" name="FPE Dimensions" dataDxfId="1">
      <calculatedColumnFormula array="1">_xlfn.TEXTJOIN(" | ",TRUE,_xlfn.UNIQUE(_xlfn._xlws.FILTER(PriceList!$Q$4:$Q$2641&amp;" x "&amp;PriceList!$R$4:$R$2641&amp;" x "&amp;PriceList!$S$4:$S$2641,PriceList!$M$4:$M$2641=A13,"")))</calculatedColumnFormula>
    </tableColumn>
    <tableColumn id="7" xr3:uid="{F310CB00-FCD2-4D99-917E-258B61460F41}" name="Sample Product Type">
      <calculatedColumnFormula array="1">INDEX(_xlfn._xlws.FILTER(PriceList!$P$4:$P$2641,PriceList!$M$4:$M$2641=A13,""),1)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C02935-4586-4DBE-BED6-3B8CC8C7D670}">
  <we:reference id="wa200001673" version="1.0.0.4" store="en-GB" storeType="OMEX"/>
  <we:alternateReferences>
    <we:reference id="wa200001673" version="1.0.0.4" store="wa20000167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41"/>
  <sheetViews>
    <sheetView tabSelected="1" zoomScaleNormal="100" workbookViewId="0">
      <pane ySplit="3" topLeftCell="A4" activePane="bottomLeft" state="frozen"/>
      <selection pane="bottomLeft" activeCell="B2642" sqref="B2642"/>
    </sheetView>
  </sheetViews>
  <sheetFormatPr defaultRowHeight="14.25" x14ac:dyDescent="0.45"/>
  <cols>
    <col min="1" max="1" width="10" customWidth="1"/>
    <col min="2" max="2" width="23.265625" bestFit="1" customWidth="1"/>
    <col min="3" max="3" width="18" customWidth="1"/>
    <col min="4" max="4" width="10" customWidth="1"/>
    <col min="5" max="5" width="16" customWidth="1"/>
    <col min="6" max="8" width="11" customWidth="1"/>
    <col min="9" max="12" width="12" customWidth="1"/>
    <col min="13" max="13" width="14" customWidth="1"/>
    <col min="14" max="14" width="24" customWidth="1"/>
    <col min="15" max="16" width="22" customWidth="1"/>
    <col min="17" max="19" width="11" customWidth="1"/>
    <col min="20" max="21" width="12" customWidth="1"/>
    <col min="22" max="22" width="13" customWidth="1"/>
    <col min="23" max="23" width="12" customWidth="1"/>
    <col min="24" max="24" width="10" customWidth="1"/>
    <col min="25" max="25" width="11" customWidth="1"/>
    <col min="26" max="26" width="13" customWidth="1"/>
    <col min="27" max="27" width="9" customWidth="1"/>
    <col min="28" max="28" width="24" customWidth="1"/>
  </cols>
  <sheetData>
    <row r="1" spans="1:28" ht="21.95" customHeight="1" x14ac:dyDescent="0.45">
      <c r="A1" s="28" t="s">
        <v>5597</v>
      </c>
      <c r="B1" s="28"/>
      <c r="C1" s="28"/>
      <c r="D1" s="28"/>
      <c r="E1" s="28"/>
      <c r="F1" s="28"/>
      <c r="G1" s="28"/>
      <c r="H1" s="28"/>
      <c r="I1" s="28"/>
      <c r="J1" s="28"/>
      <c r="K1" s="28"/>
      <c r="L1" s="28"/>
      <c r="M1" s="32" t="s">
        <v>3688</v>
      </c>
      <c r="N1" s="32"/>
      <c r="O1" s="32"/>
      <c r="P1" s="32"/>
      <c r="Q1" s="32"/>
      <c r="R1" s="32"/>
      <c r="S1" s="32"/>
      <c r="T1" s="32"/>
      <c r="U1" s="32"/>
      <c r="V1" s="32"/>
      <c r="W1" s="32"/>
      <c r="X1" s="32"/>
      <c r="Y1" s="32"/>
      <c r="Z1" s="31" t="s">
        <v>3689</v>
      </c>
      <c r="AA1" s="29"/>
      <c r="AB1" s="29"/>
    </row>
    <row r="2" spans="1:28" ht="15.95" customHeight="1" x14ac:dyDescent="0.45">
      <c r="A2" s="30" t="s">
        <v>3690</v>
      </c>
      <c r="B2" s="29"/>
      <c r="C2" s="29"/>
      <c r="D2" s="29"/>
      <c r="E2" s="29"/>
      <c r="F2" s="29"/>
      <c r="G2" s="29"/>
      <c r="H2" s="29"/>
      <c r="I2" s="29"/>
      <c r="J2" s="29"/>
      <c r="K2" s="29"/>
      <c r="L2" s="29"/>
      <c r="M2" s="29"/>
      <c r="N2" s="29"/>
      <c r="O2" s="29"/>
      <c r="P2" s="29"/>
      <c r="Q2" s="29"/>
      <c r="R2" s="29"/>
      <c r="S2" s="29"/>
      <c r="T2" s="29"/>
      <c r="U2" s="29"/>
      <c r="V2" s="29"/>
      <c r="W2" s="29"/>
      <c r="X2" s="29"/>
      <c r="Y2" s="29"/>
      <c r="Z2" s="29"/>
      <c r="AA2" s="29"/>
      <c r="AB2" s="29"/>
    </row>
    <row r="3" spans="1:28" ht="32.1" customHeight="1" x14ac:dyDescent="0.45">
      <c r="A3" s="1" t="s">
        <v>0</v>
      </c>
      <c r="B3" s="1" t="s">
        <v>3691</v>
      </c>
      <c r="C3" s="1" t="s">
        <v>3692</v>
      </c>
      <c r="D3" s="1" t="s">
        <v>3693</v>
      </c>
      <c r="E3" s="1" t="s">
        <v>3694</v>
      </c>
      <c r="F3" s="1" t="s">
        <v>3695</v>
      </c>
      <c r="G3" s="1" t="s">
        <v>3696</v>
      </c>
      <c r="H3" s="1" t="s">
        <v>1</v>
      </c>
      <c r="I3" s="6" t="s">
        <v>3697</v>
      </c>
      <c r="J3" s="33" t="s">
        <v>5595</v>
      </c>
      <c r="K3" s="33" t="s">
        <v>5594</v>
      </c>
      <c r="L3" s="33" t="s">
        <v>5596</v>
      </c>
      <c r="M3" s="7" t="s">
        <v>3698</v>
      </c>
      <c r="N3" s="7" t="s">
        <v>3699</v>
      </c>
      <c r="O3" s="7" t="s">
        <v>3700</v>
      </c>
      <c r="P3" s="7" t="s">
        <v>3701</v>
      </c>
      <c r="Q3" s="7" t="s">
        <v>3695</v>
      </c>
      <c r="R3" s="7" t="s">
        <v>3696</v>
      </c>
      <c r="S3" s="7" t="s">
        <v>1</v>
      </c>
      <c r="T3" s="7" t="s">
        <v>3702</v>
      </c>
      <c r="U3" s="35" t="s">
        <v>5598</v>
      </c>
      <c r="V3" s="7" t="s">
        <v>3703</v>
      </c>
      <c r="W3" s="7" t="s">
        <v>3697</v>
      </c>
      <c r="X3" s="7" t="s">
        <v>3704</v>
      </c>
      <c r="Y3" s="8" t="s">
        <v>3705</v>
      </c>
      <c r="Z3" s="9" t="s">
        <v>3706</v>
      </c>
      <c r="AA3" s="9" t="s">
        <v>3707</v>
      </c>
      <c r="AB3" s="9" t="s">
        <v>3708</v>
      </c>
    </row>
    <row r="4" spans="1:28" x14ac:dyDescent="0.45">
      <c r="A4" s="4" t="s">
        <v>2</v>
      </c>
      <c r="B4" s="4" t="s">
        <v>3</v>
      </c>
      <c r="C4" s="4" t="s">
        <v>4</v>
      </c>
      <c r="D4" s="4" t="s">
        <v>5</v>
      </c>
      <c r="E4" s="4" t="s">
        <v>6</v>
      </c>
      <c r="F4" s="5">
        <v>12</v>
      </c>
      <c r="G4" s="5">
        <v>18</v>
      </c>
      <c r="H4" s="4" t="s">
        <v>7</v>
      </c>
      <c r="I4" s="10">
        <v>44</v>
      </c>
      <c r="J4" s="34">
        <f>I4*0.0087</f>
        <v>0.38279999999999997</v>
      </c>
      <c r="K4" s="34">
        <f>ROUND(J4*1.5,2)</f>
        <v>0.56999999999999995</v>
      </c>
      <c r="L4" s="34">
        <f>K4*4</f>
        <v>2.2799999999999998</v>
      </c>
      <c r="M4" s="11" t="s">
        <v>3709</v>
      </c>
      <c r="N4" s="11" t="s">
        <v>3710</v>
      </c>
      <c r="O4" s="11" t="s">
        <v>3711</v>
      </c>
      <c r="P4" s="11" t="s">
        <v>3712</v>
      </c>
      <c r="Q4" s="12">
        <v>12</v>
      </c>
      <c r="R4" s="12">
        <v>18</v>
      </c>
      <c r="S4" s="12">
        <v>4</v>
      </c>
      <c r="T4" s="13">
        <v>4.28</v>
      </c>
      <c r="U4" s="13">
        <f>T4-L4</f>
        <v>2.0000000000000004</v>
      </c>
      <c r="V4" s="14">
        <v>524.29999999999995</v>
      </c>
      <c r="W4" s="14">
        <v>524.29999999999995</v>
      </c>
      <c r="X4" s="11">
        <v>20</v>
      </c>
      <c r="Y4" s="15" t="s">
        <v>3713</v>
      </c>
      <c r="Z4" s="16">
        <v>480.3</v>
      </c>
      <c r="AA4" s="17">
        <v>1091.5999999999999</v>
      </c>
      <c r="AB4" s="18" t="s">
        <v>3714</v>
      </c>
    </row>
    <row r="5" spans="1:28" x14ac:dyDescent="0.45">
      <c r="A5" s="2" t="s">
        <v>8</v>
      </c>
      <c r="B5" s="2" t="s">
        <v>9</v>
      </c>
      <c r="C5" s="2" t="s">
        <v>4</v>
      </c>
      <c r="D5" s="2" t="s">
        <v>5</v>
      </c>
      <c r="E5" s="2" t="s">
        <v>6</v>
      </c>
      <c r="F5" s="3">
        <v>18</v>
      </c>
      <c r="G5" s="3">
        <v>24</v>
      </c>
      <c r="H5" s="2" t="s">
        <v>7</v>
      </c>
      <c r="I5" s="19">
        <v>47</v>
      </c>
      <c r="J5" s="34">
        <f t="shared" ref="J5:J68" si="0">I5*0.0087</f>
        <v>0.40889999999999999</v>
      </c>
      <c r="K5" s="34">
        <f t="shared" ref="K5:K68" si="1">ROUND(J5*1.5,2)</f>
        <v>0.61</v>
      </c>
      <c r="L5" s="34">
        <f t="shared" ref="L5:L68" si="2">K5*4</f>
        <v>2.44</v>
      </c>
      <c r="M5" s="20" t="s">
        <v>3715</v>
      </c>
      <c r="N5" s="20" t="s">
        <v>3716</v>
      </c>
      <c r="O5" s="20" t="s">
        <v>3711</v>
      </c>
      <c r="P5" s="20" t="s">
        <v>3717</v>
      </c>
      <c r="Q5" s="21">
        <v>18</v>
      </c>
      <c r="R5" s="21">
        <v>24</v>
      </c>
      <c r="S5" s="21">
        <v>5</v>
      </c>
      <c r="T5" s="22">
        <v>4.1500000000000004</v>
      </c>
      <c r="U5" s="13">
        <f t="shared" ref="U5:U68" si="3">T5-L5</f>
        <v>1.7100000000000004</v>
      </c>
      <c r="V5" s="23">
        <v>508.38</v>
      </c>
      <c r="W5" s="23">
        <v>508.38</v>
      </c>
      <c r="X5" s="20">
        <v>127</v>
      </c>
      <c r="Y5" s="24" t="s">
        <v>3713</v>
      </c>
      <c r="Z5" s="16">
        <v>461.38</v>
      </c>
      <c r="AA5" s="17">
        <v>981.7</v>
      </c>
      <c r="AB5" s="25" t="s">
        <v>3714</v>
      </c>
    </row>
    <row r="6" spans="1:28" x14ac:dyDescent="0.45">
      <c r="A6" s="4" t="s">
        <v>10</v>
      </c>
      <c r="B6" s="4" t="s">
        <v>11</v>
      </c>
      <c r="C6" s="4" t="s">
        <v>4</v>
      </c>
      <c r="D6" s="4" t="s">
        <v>5</v>
      </c>
      <c r="E6" s="4" t="s">
        <v>6</v>
      </c>
      <c r="F6" s="5">
        <v>18</v>
      </c>
      <c r="G6" s="5">
        <v>26</v>
      </c>
      <c r="H6" s="4" t="s">
        <v>12</v>
      </c>
      <c r="I6" s="10">
        <v>59</v>
      </c>
      <c r="J6" s="34">
        <f t="shared" si="0"/>
        <v>0.51329999999999998</v>
      </c>
      <c r="K6" s="34">
        <f t="shared" si="1"/>
        <v>0.77</v>
      </c>
      <c r="L6" s="34">
        <f t="shared" si="2"/>
        <v>3.08</v>
      </c>
      <c r="M6" s="11" t="s">
        <v>3718</v>
      </c>
      <c r="N6" s="11" t="s">
        <v>3719</v>
      </c>
      <c r="O6" s="11" t="s">
        <v>3711</v>
      </c>
      <c r="P6" s="11" t="s">
        <v>3720</v>
      </c>
      <c r="Q6" s="12">
        <v>18</v>
      </c>
      <c r="R6" s="12">
        <v>26</v>
      </c>
      <c r="S6" s="12">
        <v>4</v>
      </c>
      <c r="T6" s="13">
        <v>4.1900000000000004</v>
      </c>
      <c r="U6" s="13">
        <f t="shared" si="3"/>
        <v>1.1100000000000003</v>
      </c>
      <c r="V6" s="14">
        <v>513.28</v>
      </c>
      <c r="W6" s="14">
        <v>513.28</v>
      </c>
      <c r="X6" s="11">
        <v>55</v>
      </c>
      <c r="Y6" s="15" t="s">
        <v>3713</v>
      </c>
      <c r="Z6" s="16">
        <v>454.28</v>
      </c>
      <c r="AA6" s="17">
        <v>770</v>
      </c>
      <c r="AB6" s="18" t="s">
        <v>3714</v>
      </c>
    </row>
    <row r="7" spans="1:28" x14ac:dyDescent="0.45">
      <c r="A7" s="2" t="s">
        <v>13</v>
      </c>
      <c r="B7" s="2" t="s">
        <v>14</v>
      </c>
      <c r="C7" s="2" t="s">
        <v>4</v>
      </c>
      <c r="D7" s="2" t="s">
        <v>5</v>
      </c>
      <c r="E7" s="2" t="s">
        <v>6</v>
      </c>
      <c r="F7" s="3">
        <v>20</v>
      </c>
      <c r="G7" s="3">
        <v>28</v>
      </c>
      <c r="H7" s="2" t="s">
        <v>12</v>
      </c>
      <c r="I7" s="19">
        <v>62</v>
      </c>
      <c r="J7" s="34">
        <f t="shared" si="0"/>
        <v>0.53939999999999999</v>
      </c>
      <c r="K7" s="34">
        <f t="shared" si="1"/>
        <v>0.81</v>
      </c>
      <c r="L7" s="34">
        <f t="shared" si="2"/>
        <v>3.24</v>
      </c>
      <c r="M7" s="20" t="s">
        <v>3721</v>
      </c>
      <c r="N7" s="20" t="s">
        <v>3719</v>
      </c>
      <c r="O7" s="20" t="s">
        <v>3711</v>
      </c>
      <c r="P7" s="20" t="s">
        <v>3720</v>
      </c>
      <c r="Q7" s="21">
        <v>20</v>
      </c>
      <c r="R7" s="21">
        <v>28</v>
      </c>
      <c r="S7" s="21">
        <v>4</v>
      </c>
      <c r="T7" s="22">
        <v>11.74</v>
      </c>
      <c r="U7" s="13">
        <f t="shared" si="3"/>
        <v>8.5</v>
      </c>
      <c r="V7" s="23">
        <v>1438.15</v>
      </c>
      <c r="W7" s="23">
        <v>1438.15</v>
      </c>
      <c r="X7" s="20" t="s">
        <v>3722</v>
      </c>
      <c r="Y7" s="24" t="s">
        <v>3713</v>
      </c>
      <c r="Z7" s="16">
        <v>1376.15</v>
      </c>
      <c r="AA7" s="17">
        <v>2219.6</v>
      </c>
      <c r="AB7" s="25" t="s">
        <v>3714</v>
      </c>
    </row>
    <row r="8" spans="1:28" x14ac:dyDescent="0.45">
      <c r="A8" s="4" t="s">
        <v>15</v>
      </c>
      <c r="B8" s="4" t="s">
        <v>16</v>
      </c>
      <c r="C8" s="4" t="s">
        <v>4</v>
      </c>
      <c r="D8" s="4" t="s">
        <v>5</v>
      </c>
      <c r="E8" s="4" t="s">
        <v>6</v>
      </c>
      <c r="F8" s="5">
        <v>22</v>
      </c>
      <c r="G8" s="5">
        <v>30</v>
      </c>
      <c r="H8" s="4" t="s">
        <v>12</v>
      </c>
      <c r="I8" s="10">
        <v>62</v>
      </c>
      <c r="J8" s="34">
        <f t="shared" si="0"/>
        <v>0.53939999999999999</v>
      </c>
      <c r="K8" s="34">
        <f t="shared" si="1"/>
        <v>0.81</v>
      </c>
      <c r="L8" s="34">
        <f t="shared" si="2"/>
        <v>3.24</v>
      </c>
      <c r="M8" s="11" t="s">
        <v>3723</v>
      </c>
      <c r="N8" s="11" t="s">
        <v>3719</v>
      </c>
      <c r="O8" s="11" t="s">
        <v>3711</v>
      </c>
      <c r="P8" s="11" t="s">
        <v>3720</v>
      </c>
      <c r="Q8" s="12">
        <v>22</v>
      </c>
      <c r="R8" s="12">
        <v>30</v>
      </c>
      <c r="S8" s="12">
        <v>4</v>
      </c>
      <c r="T8" s="13">
        <v>7.14</v>
      </c>
      <c r="U8" s="13">
        <f t="shared" si="3"/>
        <v>3.8999999999999995</v>
      </c>
      <c r="V8" s="14">
        <v>874.65</v>
      </c>
      <c r="W8" s="14">
        <v>874.65</v>
      </c>
      <c r="X8" s="11">
        <v>16</v>
      </c>
      <c r="Y8" s="15" t="s">
        <v>3713</v>
      </c>
      <c r="Z8" s="16">
        <v>812.65</v>
      </c>
      <c r="AA8" s="17">
        <v>1310.7</v>
      </c>
      <c r="AB8" s="18" t="s">
        <v>3714</v>
      </c>
    </row>
    <row r="9" spans="1:28" x14ac:dyDescent="0.45">
      <c r="A9" s="2" t="s">
        <v>17</v>
      </c>
      <c r="B9" s="2" t="s">
        <v>18</v>
      </c>
      <c r="C9" s="2" t="s">
        <v>4</v>
      </c>
      <c r="D9" s="2" t="s">
        <v>5</v>
      </c>
      <c r="E9" s="2" t="s">
        <v>6</v>
      </c>
      <c r="F9" s="3">
        <v>25</v>
      </c>
      <c r="G9" s="3">
        <v>33</v>
      </c>
      <c r="H9" s="2" t="s">
        <v>12</v>
      </c>
      <c r="I9" s="19">
        <v>66</v>
      </c>
      <c r="J9" s="34">
        <f t="shared" si="0"/>
        <v>0.57419999999999993</v>
      </c>
      <c r="K9" s="34">
        <f t="shared" si="1"/>
        <v>0.86</v>
      </c>
      <c r="L9" s="34">
        <f t="shared" si="2"/>
        <v>3.44</v>
      </c>
      <c r="M9" s="20" t="s">
        <v>3724</v>
      </c>
      <c r="N9" s="20" t="s">
        <v>3719</v>
      </c>
      <c r="O9" s="20" t="s">
        <v>3711</v>
      </c>
      <c r="P9" s="20" t="s">
        <v>3720</v>
      </c>
      <c r="Q9" s="21">
        <v>25</v>
      </c>
      <c r="R9" s="21">
        <v>33</v>
      </c>
      <c r="S9" s="21">
        <v>4</v>
      </c>
      <c r="T9" s="22">
        <v>7.87</v>
      </c>
      <c r="U9" s="13">
        <f t="shared" si="3"/>
        <v>4.43</v>
      </c>
      <c r="V9" s="23">
        <v>964.08</v>
      </c>
      <c r="W9" s="23">
        <v>964.08</v>
      </c>
      <c r="X9" s="20" t="s">
        <v>3722</v>
      </c>
      <c r="Y9" s="24" t="s">
        <v>3713</v>
      </c>
      <c r="Z9" s="16">
        <v>898.08</v>
      </c>
      <c r="AA9" s="17">
        <v>1360.7</v>
      </c>
      <c r="AB9" s="25" t="s">
        <v>3714</v>
      </c>
    </row>
    <row r="10" spans="1:28" x14ac:dyDescent="0.45">
      <c r="A10" s="4" t="s">
        <v>19</v>
      </c>
      <c r="B10" s="4" t="s">
        <v>20</v>
      </c>
      <c r="C10" s="4" t="s">
        <v>4</v>
      </c>
      <c r="D10" s="4" t="s">
        <v>5</v>
      </c>
      <c r="E10" s="4" t="s">
        <v>6</v>
      </c>
      <c r="F10" s="5">
        <v>28</v>
      </c>
      <c r="G10" s="5">
        <v>36</v>
      </c>
      <c r="H10" s="4" t="s">
        <v>12</v>
      </c>
      <c r="I10" s="10">
        <v>76</v>
      </c>
      <c r="J10" s="34">
        <f t="shared" si="0"/>
        <v>0.66120000000000001</v>
      </c>
      <c r="K10" s="34">
        <f t="shared" si="1"/>
        <v>0.99</v>
      </c>
      <c r="L10" s="34">
        <f t="shared" si="2"/>
        <v>3.96</v>
      </c>
      <c r="M10" s="11" t="s">
        <v>3725</v>
      </c>
      <c r="N10" s="11" t="s">
        <v>3716</v>
      </c>
      <c r="O10" s="11" t="s">
        <v>3711</v>
      </c>
      <c r="P10" s="11" t="s">
        <v>3717</v>
      </c>
      <c r="Q10" s="12">
        <v>28</v>
      </c>
      <c r="R10" s="12">
        <v>36</v>
      </c>
      <c r="S10" s="12">
        <v>5</v>
      </c>
      <c r="T10" s="13">
        <v>5.53</v>
      </c>
      <c r="U10" s="13">
        <f t="shared" si="3"/>
        <v>1.5700000000000003</v>
      </c>
      <c r="V10" s="14">
        <v>677.42</v>
      </c>
      <c r="W10" s="14">
        <v>677.42</v>
      </c>
      <c r="X10" s="11">
        <v>381</v>
      </c>
      <c r="Y10" s="15" t="s">
        <v>3713</v>
      </c>
      <c r="Z10" s="16">
        <v>601.41999999999996</v>
      </c>
      <c r="AA10" s="17">
        <v>791.3</v>
      </c>
      <c r="AB10" s="18" t="s">
        <v>3714</v>
      </c>
    </row>
    <row r="11" spans="1:28" x14ac:dyDescent="0.45">
      <c r="A11" s="2" t="s">
        <v>21</v>
      </c>
      <c r="B11" s="2" t="s">
        <v>22</v>
      </c>
      <c r="C11" s="2" t="s">
        <v>4</v>
      </c>
      <c r="D11" s="2" t="s">
        <v>5</v>
      </c>
      <c r="E11" s="2" t="s">
        <v>6</v>
      </c>
      <c r="F11" s="3">
        <v>30</v>
      </c>
      <c r="G11" s="3">
        <v>38</v>
      </c>
      <c r="H11" s="2" t="s">
        <v>12</v>
      </c>
      <c r="I11" s="19">
        <v>76</v>
      </c>
      <c r="J11" s="34">
        <f t="shared" si="0"/>
        <v>0.66120000000000001</v>
      </c>
      <c r="K11" s="34">
        <f t="shared" si="1"/>
        <v>0.99</v>
      </c>
      <c r="L11" s="34">
        <f t="shared" si="2"/>
        <v>3.96</v>
      </c>
      <c r="M11" s="20" t="s">
        <v>3726</v>
      </c>
      <c r="N11" s="20" t="s">
        <v>3716</v>
      </c>
      <c r="O11" s="20" t="s">
        <v>3711</v>
      </c>
      <c r="P11" s="20" t="s">
        <v>3717</v>
      </c>
      <c r="Q11" s="21">
        <v>30</v>
      </c>
      <c r="R11" s="21">
        <v>38</v>
      </c>
      <c r="S11" s="21">
        <v>5</v>
      </c>
      <c r="T11" s="22">
        <v>5.98</v>
      </c>
      <c r="U11" s="13">
        <f t="shared" si="3"/>
        <v>2.0200000000000005</v>
      </c>
      <c r="V11" s="23">
        <v>732.55</v>
      </c>
      <c r="W11" s="23">
        <v>732.55</v>
      </c>
      <c r="X11" s="20">
        <v>138</v>
      </c>
      <c r="Y11" s="24" t="s">
        <v>3713</v>
      </c>
      <c r="Z11" s="16">
        <v>656.55</v>
      </c>
      <c r="AA11" s="17">
        <v>863.9</v>
      </c>
      <c r="AB11" s="25" t="s">
        <v>3714</v>
      </c>
    </row>
    <row r="12" spans="1:28" x14ac:dyDescent="0.45">
      <c r="A12" s="4" t="s">
        <v>23</v>
      </c>
      <c r="B12" s="4" t="s">
        <v>24</v>
      </c>
      <c r="C12" s="4" t="s">
        <v>4</v>
      </c>
      <c r="D12" s="4" t="s">
        <v>5</v>
      </c>
      <c r="E12" s="4" t="s">
        <v>6</v>
      </c>
      <c r="F12" s="5">
        <v>32</v>
      </c>
      <c r="G12" s="5">
        <v>40</v>
      </c>
      <c r="H12" s="4" t="s">
        <v>12</v>
      </c>
      <c r="I12" s="10">
        <v>79</v>
      </c>
      <c r="J12" s="34">
        <f t="shared" si="0"/>
        <v>0.68729999999999991</v>
      </c>
      <c r="K12" s="34">
        <f t="shared" si="1"/>
        <v>1.03</v>
      </c>
      <c r="L12" s="34">
        <f t="shared" si="2"/>
        <v>4.12</v>
      </c>
      <c r="M12" s="11" t="s">
        <v>3727</v>
      </c>
      <c r="N12" s="11" t="s">
        <v>3719</v>
      </c>
      <c r="O12" s="11" t="s">
        <v>3711</v>
      </c>
      <c r="P12" s="11" t="s">
        <v>3720</v>
      </c>
      <c r="Q12" s="12">
        <v>32</v>
      </c>
      <c r="R12" s="12">
        <v>40</v>
      </c>
      <c r="S12" s="12">
        <v>5</v>
      </c>
      <c r="T12" s="13">
        <v>7.49</v>
      </c>
      <c r="U12" s="13">
        <f t="shared" si="3"/>
        <v>3.37</v>
      </c>
      <c r="V12" s="14">
        <v>917.52</v>
      </c>
      <c r="W12" s="14">
        <v>917.52</v>
      </c>
      <c r="X12" s="11">
        <v>11</v>
      </c>
      <c r="Y12" s="15" t="s">
        <v>3713</v>
      </c>
      <c r="Z12" s="16">
        <v>838.52</v>
      </c>
      <c r="AA12" s="17">
        <v>1061.4000000000001</v>
      </c>
      <c r="AB12" s="18" t="s">
        <v>3714</v>
      </c>
    </row>
    <row r="13" spans="1:28" x14ac:dyDescent="0.45">
      <c r="A13" s="2" t="s">
        <v>25</v>
      </c>
      <c r="B13" s="2" t="s">
        <v>26</v>
      </c>
      <c r="C13" s="2" t="s">
        <v>4</v>
      </c>
      <c r="D13" s="2" t="s">
        <v>5</v>
      </c>
      <c r="E13" s="2" t="s">
        <v>6</v>
      </c>
      <c r="F13" s="3">
        <v>35</v>
      </c>
      <c r="G13" s="3">
        <v>43</v>
      </c>
      <c r="H13" s="2" t="s">
        <v>12</v>
      </c>
      <c r="I13" s="19">
        <v>79</v>
      </c>
      <c r="J13" s="34">
        <f t="shared" si="0"/>
        <v>0.68729999999999991</v>
      </c>
      <c r="K13" s="34">
        <f t="shared" si="1"/>
        <v>1.03</v>
      </c>
      <c r="L13" s="34">
        <f t="shared" si="2"/>
        <v>4.12</v>
      </c>
      <c r="M13" s="20" t="s">
        <v>3728</v>
      </c>
      <c r="N13" s="20" t="s">
        <v>3716</v>
      </c>
      <c r="O13" s="20" t="s">
        <v>3711</v>
      </c>
      <c r="P13" s="20" t="s">
        <v>3717</v>
      </c>
      <c r="Q13" s="21">
        <v>35</v>
      </c>
      <c r="R13" s="21">
        <v>43</v>
      </c>
      <c r="S13" s="21">
        <v>5</v>
      </c>
      <c r="T13" s="22">
        <v>6.64</v>
      </c>
      <c r="U13" s="13">
        <f t="shared" si="3"/>
        <v>2.5199999999999996</v>
      </c>
      <c r="V13" s="23">
        <v>813.4</v>
      </c>
      <c r="W13" s="23">
        <v>813.4</v>
      </c>
      <c r="X13" s="20">
        <v>102</v>
      </c>
      <c r="Y13" s="24" t="s">
        <v>3713</v>
      </c>
      <c r="Z13" s="16">
        <v>734.4</v>
      </c>
      <c r="AA13" s="17">
        <v>929.6</v>
      </c>
      <c r="AB13" s="25" t="s">
        <v>3714</v>
      </c>
    </row>
    <row r="14" spans="1:28" x14ac:dyDescent="0.45">
      <c r="A14" s="4" t="s">
        <v>27</v>
      </c>
      <c r="B14" s="4" t="s">
        <v>28</v>
      </c>
      <c r="C14" s="4" t="s">
        <v>4</v>
      </c>
      <c r="D14" s="4" t="s">
        <v>5</v>
      </c>
      <c r="E14" s="4" t="s">
        <v>6</v>
      </c>
      <c r="F14" s="5">
        <v>36</v>
      </c>
      <c r="G14" s="5">
        <v>44</v>
      </c>
      <c r="H14" s="4" t="s">
        <v>12</v>
      </c>
      <c r="I14" s="10">
        <v>84</v>
      </c>
      <c r="J14" s="34">
        <f t="shared" si="0"/>
        <v>0.73079999999999989</v>
      </c>
      <c r="K14" s="34">
        <f t="shared" si="1"/>
        <v>1.1000000000000001</v>
      </c>
      <c r="L14" s="34">
        <f t="shared" si="2"/>
        <v>4.4000000000000004</v>
      </c>
      <c r="M14" s="11" t="s">
        <v>3729</v>
      </c>
      <c r="N14" s="11" t="s">
        <v>3716</v>
      </c>
      <c r="O14" s="11" t="s">
        <v>3711</v>
      </c>
      <c r="P14" s="11" t="s">
        <v>3717</v>
      </c>
      <c r="Q14" s="12">
        <v>36</v>
      </c>
      <c r="R14" s="12">
        <v>44</v>
      </c>
      <c r="S14" s="12">
        <v>5</v>
      </c>
      <c r="T14" s="13">
        <v>6.87</v>
      </c>
      <c r="U14" s="13">
        <f t="shared" si="3"/>
        <v>2.4699999999999998</v>
      </c>
      <c r="V14" s="14">
        <v>841.58</v>
      </c>
      <c r="W14" s="14">
        <v>841.58</v>
      </c>
      <c r="X14" s="11">
        <v>103</v>
      </c>
      <c r="Y14" s="15" t="s">
        <v>3713</v>
      </c>
      <c r="Z14" s="16">
        <v>757.58</v>
      </c>
      <c r="AA14" s="17">
        <v>901.9</v>
      </c>
      <c r="AB14" s="18" t="s">
        <v>3714</v>
      </c>
    </row>
    <row r="15" spans="1:28" x14ac:dyDescent="0.45">
      <c r="A15" s="2" t="s">
        <v>29</v>
      </c>
      <c r="B15" s="2" t="s">
        <v>30</v>
      </c>
      <c r="C15" s="2" t="s">
        <v>4</v>
      </c>
      <c r="D15" s="2" t="s">
        <v>5</v>
      </c>
      <c r="E15" s="2" t="s">
        <v>6</v>
      </c>
      <c r="F15" s="3">
        <v>38</v>
      </c>
      <c r="G15" s="3">
        <v>46</v>
      </c>
      <c r="H15" s="2" t="s">
        <v>12</v>
      </c>
      <c r="I15" s="19">
        <v>84</v>
      </c>
      <c r="J15" s="34">
        <f t="shared" si="0"/>
        <v>0.73079999999999989</v>
      </c>
      <c r="K15" s="34">
        <f t="shared" si="1"/>
        <v>1.1000000000000001</v>
      </c>
      <c r="L15" s="34">
        <f t="shared" si="2"/>
        <v>4.4000000000000004</v>
      </c>
      <c r="M15" s="20" t="s">
        <v>3730</v>
      </c>
      <c r="N15" s="20" t="s">
        <v>3731</v>
      </c>
      <c r="O15" s="20" t="s">
        <v>3711</v>
      </c>
      <c r="P15" s="20" t="s">
        <v>3732</v>
      </c>
      <c r="Q15" s="21">
        <v>38</v>
      </c>
      <c r="R15" s="21">
        <v>46</v>
      </c>
      <c r="S15" s="21">
        <v>5</v>
      </c>
      <c r="T15" s="22">
        <v>20.05</v>
      </c>
      <c r="U15" s="13">
        <f t="shared" si="3"/>
        <v>15.65</v>
      </c>
      <c r="V15" s="23">
        <v>2456.12</v>
      </c>
      <c r="W15" s="23">
        <v>2456.12</v>
      </c>
      <c r="X15" s="20">
        <v>47</v>
      </c>
      <c r="Y15" s="24" t="s">
        <v>3713</v>
      </c>
      <c r="Z15" s="16">
        <v>2372.12</v>
      </c>
      <c r="AA15" s="17">
        <v>2824</v>
      </c>
      <c r="AB15" s="25" t="s">
        <v>3714</v>
      </c>
    </row>
    <row r="16" spans="1:28" x14ac:dyDescent="0.45">
      <c r="A16" s="4" t="s">
        <v>31</v>
      </c>
      <c r="B16" s="4" t="s">
        <v>32</v>
      </c>
      <c r="C16" s="4" t="s">
        <v>4</v>
      </c>
      <c r="D16" s="4" t="s">
        <v>5</v>
      </c>
      <c r="E16" s="4" t="s">
        <v>6</v>
      </c>
      <c r="F16" s="5">
        <v>40</v>
      </c>
      <c r="G16" s="5">
        <v>48</v>
      </c>
      <c r="H16" s="4" t="s">
        <v>12</v>
      </c>
      <c r="I16" s="10">
        <v>86</v>
      </c>
      <c r="J16" s="34">
        <f t="shared" si="0"/>
        <v>0.74819999999999998</v>
      </c>
      <c r="K16" s="34">
        <f t="shared" si="1"/>
        <v>1.1200000000000001</v>
      </c>
      <c r="L16" s="34">
        <f t="shared" si="2"/>
        <v>4.4800000000000004</v>
      </c>
      <c r="M16" s="11" t="s">
        <v>3733</v>
      </c>
      <c r="N16" s="11" t="s">
        <v>3716</v>
      </c>
      <c r="O16" s="11" t="s">
        <v>3711</v>
      </c>
      <c r="P16" s="11" t="s">
        <v>3717</v>
      </c>
      <c r="Q16" s="12">
        <v>40</v>
      </c>
      <c r="R16" s="12">
        <v>48</v>
      </c>
      <c r="S16" s="12">
        <v>5</v>
      </c>
      <c r="T16" s="13">
        <v>6.87</v>
      </c>
      <c r="U16" s="13">
        <f t="shared" si="3"/>
        <v>2.3899999999999997</v>
      </c>
      <c r="V16" s="14">
        <v>841.58</v>
      </c>
      <c r="W16" s="14">
        <v>841.58</v>
      </c>
      <c r="X16" s="11">
        <v>254</v>
      </c>
      <c r="Y16" s="15" t="s">
        <v>3713</v>
      </c>
      <c r="Z16" s="16">
        <v>755.58</v>
      </c>
      <c r="AA16" s="17">
        <v>878.6</v>
      </c>
      <c r="AB16" s="18" t="s">
        <v>3714</v>
      </c>
    </row>
    <row r="17" spans="1:28" x14ac:dyDescent="0.45">
      <c r="A17" s="2" t="s">
        <v>33</v>
      </c>
      <c r="B17" s="2" t="s">
        <v>34</v>
      </c>
      <c r="C17" s="2" t="s">
        <v>4</v>
      </c>
      <c r="D17" s="2" t="s">
        <v>5</v>
      </c>
      <c r="E17" s="2" t="s">
        <v>6</v>
      </c>
      <c r="F17" s="3">
        <v>42</v>
      </c>
      <c r="G17" s="3">
        <v>50</v>
      </c>
      <c r="H17" s="2" t="s">
        <v>12</v>
      </c>
      <c r="I17" s="19">
        <v>86</v>
      </c>
      <c r="J17" s="34">
        <f t="shared" si="0"/>
        <v>0.74819999999999998</v>
      </c>
      <c r="K17" s="34">
        <f t="shared" si="1"/>
        <v>1.1200000000000001</v>
      </c>
      <c r="L17" s="34">
        <f t="shared" si="2"/>
        <v>4.4800000000000004</v>
      </c>
      <c r="M17" s="20" t="s">
        <v>3734</v>
      </c>
      <c r="N17" s="20" t="s">
        <v>3735</v>
      </c>
      <c r="O17" s="20" t="s">
        <v>3711</v>
      </c>
      <c r="P17" s="20" t="s">
        <v>3736</v>
      </c>
      <c r="Q17" s="21">
        <v>41.148000000000003</v>
      </c>
      <c r="R17" s="21">
        <v>50.8</v>
      </c>
      <c r="S17" s="21">
        <v>4.5720000000000001</v>
      </c>
      <c r="T17" s="22">
        <v>3.44</v>
      </c>
      <c r="U17" s="13">
        <f t="shared" si="3"/>
        <v>-1.0400000000000005</v>
      </c>
      <c r="V17" s="23">
        <v>421.4</v>
      </c>
      <c r="W17" s="23">
        <v>421.4</v>
      </c>
      <c r="X17" s="20">
        <v>99</v>
      </c>
      <c r="Y17" s="24" t="s">
        <v>3737</v>
      </c>
      <c r="Z17" s="16">
        <v>335.4</v>
      </c>
      <c r="AA17" s="17">
        <v>390</v>
      </c>
      <c r="AB17" s="25" t="s">
        <v>3738</v>
      </c>
    </row>
    <row r="18" spans="1:28" x14ac:dyDescent="0.45">
      <c r="A18" s="4" t="s">
        <v>35</v>
      </c>
      <c r="B18" s="4" t="s">
        <v>36</v>
      </c>
      <c r="C18" s="4" t="s">
        <v>4</v>
      </c>
      <c r="D18" s="4" t="s">
        <v>5</v>
      </c>
      <c r="E18" s="4" t="s">
        <v>6</v>
      </c>
      <c r="F18" s="5">
        <v>45</v>
      </c>
      <c r="G18" s="5">
        <v>53</v>
      </c>
      <c r="H18" s="4" t="s">
        <v>12</v>
      </c>
      <c r="I18" s="10">
        <v>91</v>
      </c>
      <c r="J18" s="34">
        <f t="shared" si="0"/>
        <v>0.79169999999999996</v>
      </c>
      <c r="K18" s="34">
        <f t="shared" si="1"/>
        <v>1.19</v>
      </c>
      <c r="L18" s="34">
        <f t="shared" si="2"/>
        <v>4.76</v>
      </c>
      <c r="M18" s="11" t="s">
        <v>3739</v>
      </c>
      <c r="N18" s="11" t="s">
        <v>3716</v>
      </c>
      <c r="O18" s="11" t="s">
        <v>3711</v>
      </c>
      <c r="P18" s="11" t="s">
        <v>3717</v>
      </c>
      <c r="Q18" s="12">
        <v>45</v>
      </c>
      <c r="R18" s="12">
        <v>53</v>
      </c>
      <c r="S18" s="12">
        <v>5</v>
      </c>
      <c r="T18" s="13">
        <v>7.1</v>
      </c>
      <c r="U18" s="13">
        <f t="shared" si="3"/>
        <v>2.34</v>
      </c>
      <c r="V18" s="14">
        <v>869.75</v>
      </c>
      <c r="W18" s="14">
        <v>869.75</v>
      </c>
      <c r="X18" s="11">
        <v>124</v>
      </c>
      <c r="Y18" s="15" t="s">
        <v>3713</v>
      </c>
      <c r="Z18" s="16">
        <v>778.75</v>
      </c>
      <c r="AA18" s="17">
        <v>855.8</v>
      </c>
      <c r="AB18" s="18" t="s">
        <v>3714</v>
      </c>
    </row>
    <row r="19" spans="1:28" x14ac:dyDescent="0.45">
      <c r="A19" s="2" t="s">
        <v>37</v>
      </c>
      <c r="B19" s="2" t="s">
        <v>38</v>
      </c>
      <c r="C19" s="2" t="s">
        <v>4</v>
      </c>
      <c r="D19" s="2" t="s">
        <v>5</v>
      </c>
      <c r="E19" s="2" t="s">
        <v>6</v>
      </c>
      <c r="F19" s="3">
        <v>45</v>
      </c>
      <c r="G19" s="3">
        <v>55</v>
      </c>
      <c r="H19" s="2" t="s">
        <v>12</v>
      </c>
      <c r="I19" s="19">
        <v>104</v>
      </c>
      <c r="J19" s="34">
        <f t="shared" si="0"/>
        <v>0.90479999999999994</v>
      </c>
      <c r="K19" s="34">
        <f t="shared" si="1"/>
        <v>1.36</v>
      </c>
      <c r="L19" s="34">
        <f t="shared" si="2"/>
        <v>5.44</v>
      </c>
      <c r="M19" s="20" t="s">
        <v>3740</v>
      </c>
      <c r="N19" s="20" t="s">
        <v>3716</v>
      </c>
      <c r="O19" s="20" t="s">
        <v>3711</v>
      </c>
      <c r="P19" s="20" t="s">
        <v>3717</v>
      </c>
      <c r="Q19" s="21">
        <v>45</v>
      </c>
      <c r="R19" s="21">
        <v>55</v>
      </c>
      <c r="S19" s="21">
        <v>5</v>
      </c>
      <c r="T19" s="22">
        <v>10.53</v>
      </c>
      <c r="U19" s="13">
        <f t="shared" si="3"/>
        <v>5.089999999999999</v>
      </c>
      <c r="V19" s="23">
        <v>1289.92</v>
      </c>
      <c r="W19" s="23">
        <v>1289.92</v>
      </c>
      <c r="X19" s="20">
        <v>89</v>
      </c>
      <c r="Y19" s="24" t="s">
        <v>3713</v>
      </c>
      <c r="Z19" s="16">
        <v>1185.92</v>
      </c>
      <c r="AA19" s="17">
        <v>1140.3</v>
      </c>
      <c r="AB19" s="25" t="s">
        <v>3714</v>
      </c>
    </row>
    <row r="20" spans="1:28" x14ac:dyDescent="0.45">
      <c r="A20" s="4" t="s">
        <v>39</v>
      </c>
      <c r="B20" s="4" t="s">
        <v>40</v>
      </c>
      <c r="C20" s="4" t="s">
        <v>4</v>
      </c>
      <c r="D20" s="4" t="s">
        <v>5</v>
      </c>
      <c r="E20" s="4" t="s">
        <v>6</v>
      </c>
      <c r="F20" s="5">
        <v>50</v>
      </c>
      <c r="G20" s="5">
        <v>58</v>
      </c>
      <c r="H20" s="4" t="s">
        <v>12</v>
      </c>
      <c r="I20" s="10">
        <v>94</v>
      </c>
      <c r="J20" s="34">
        <f t="shared" si="0"/>
        <v>0.81779999999999997</v>
      </c>
      <c r="K20" s="34">
        <f t="shared" si="1"/>
        <v>1.23</v>
      </c>
      <c r="L20" s="34">
        <f t="shared" si="2"/>
        <v>4.92</v>
      </c>
      <c r="M20" s="11" t="s">
        <v>3741</v>
      </c>
      <c r="N20" s="11" t="s">
        <v>3719</v>
      </c>
      <c r="O20" s="11" t="s">
        <v>3711</v>
      </c>
      <c r="P20" s="11" t="s">
        <v>3720</v>
      </c>
      <c r="Q20" s="12">
        <v>50</v>
      </c>
      <c r="R20" s="12">
        <v>58</v>
      </c>
      <c r="S20" s="12">
        <v>5</v>
      </c>
      <c r="T20" s="13">
        <v>10.98</v>
      </c>
      <c r="U20" s="13">
        <f t="shared" si="3"/>
        <v>6.0600000000000005</v>
      </c>
      <c r="V20" s="14">
        <v>1345.05</v>
      </c>
      <c r="W20" s="14">
        <v>1345.05</v>
      </c>
      <c r="X20" s="11">
        <v>81</v>
      </c>
      <c r="Y20" s="15" t="s">
        <v>3713</v>
      </c>
      <c r="Z20" s="16">
        <v>1251.05</v>
      </c>
      <c r="AA20" s="17">
        <v>1330.9</v>
      </c>
      <c r="AB20" s="18" t="s">
        <v>3714</v>
      </c>
    </row>
    <row r="21" spans="1:28" x14ac:dyDescent="0.45">
      <c r="A21" s="2" t="s">
        <v>41</v>
      </c>
      <c r="B21" s="2" t="s">
        <v>42</v>
      </c>
      <c r="C21" s="2" t="s">
        <v>4</v>
      </c>
      <c r="D21" s="2" t="s">
        <v>5</v>
      </c>
      <c r="E21" s="2" t="s">
        <v>6</v>
      </c>
      <c r="F21" s="3">
        <v>50</v>
      </c>
      <c r="G21" s="3">
        <v>60</v>
      </c>
      <c r="H21" s="2" t="s">
        <v>43</v>
      </c>
      <c r="I21" s="19">
        <v>119</v>
      </c>
      <c r="J21" s="34">
        <f t="shared" si="0"/>
        <v>1.0352999999999999</v>
      </c>
      <c r="K21" s="34">
        <f t="shared" si="1"/>
        <v>1.55</v>
      </c>
      <c r="L21" s="34">
        <f t="shared" si="2"/>
        <v>6.2</v>
      </c>
      <c r="M21" s="20" t="s">
        <v>3742</v>
      </c>
      <c r="N21" s="20" t="s">
        <v>3716</v>
      </c>
      <c r="O21" s="20" t="s">
        <v>3711</v>
      </c>
      <c r="P21" s="20" t="s">
        <v>3717</v>
      </c>
      <c r="Q21" s="21">
        <v>50</v>
      </c>
      <c r="R21" s="21">
        <v>60</v>
      </c>
      <c r="S21" s="21">
        <v>5</v>
      </c>
      <c r="T21" s="22">
        <v>8.36</v>
      </c>
      <c r="U21" s="13">
        <f t="shared" si="3"/>
        <v>2.1599999999999993</v>
      </c>
      <c r="V21" s="23">
        <v>1024.0999999999999</v>
      </c>
      <c r="W21" s="23">
        <v>1024.0999999999999</v>
      </c>
      <c r="X21" s="20">
        <v>83</v>
      </c>
      <c r="Y21" s="24" t="s">
        <v>3713</v>
      </c>
      <c r="Z21" s="16">
        <v>905.09999999999991</v>
      </c>
      <c r="AA21" s="17">
        <v>760.6</v>
      </c>
      <c r="AB21" s="25" t="s">
        <v>3714</v>
      </c>
    </row>
    <row r="22" spans="1:28" x14ac:dyDescent="0.45">
      <c r="A22" s="4" t="s">
        <v>44</v>
      </c>
      <c r="B22" s="4" t="s">
        <v>45</v>
      </c>
      <c r="C22" s="4" t="s">
        <v>4</v>
      </c>
      <c r="D22" s="4" t="s">
        <v>5</v>
      </c>
      <c r="E22" s="4" t="s">
        <v>6</v>
      </c>
      <c r="F22" s="5">
        <v>50</v>
      </c>
      <c r="G22" s="5">
        <v>60</v>
      </c>
      <c r="H22" s="4" t="s">
        <v>12</v>
      </c>
      <c r="I22" s="10">
        <v>109</v>
      </c>
      <c r="J22" s="34">
        <f t="shared" si="0"/>
        <v>0.94829999999999992</v>
      </c>
      <c r="K22" s="34">
        <f t="shared" si="1"/>
        <v>1.42</v>
      </c>
      <c r="L22" s="34">
        <f t="shared" si="2"/>
        <v>5.68</v>
      </c>
      <c r="M22" s="11" t="s">
        <v>3742</v>
      </c>
      <c r="N22" s="11" t="s">
        <v>3716</v>
      </c>
      <c r="O22" s="11" t="s">
        <v>3711</v>
      </c>
      <c r="P22" s="11" t="s">
        <v>3717</v>
      </c>
      <c r="Q22" s="12">
        <v>50</v>
      </c>
      <c r="R22" s="12">
        <v>60</v>
      </c>
      <c r="S22" s="12">
        <v>5</v>
      </c>
      <c r="T22" s="13">
        <v>8.36</v>
      </c>
      <c r="U22" s="13">
        <f t="shared" si="3"/>
        <v>2.6799999999999997</v>
      </c>
      <c r="V22" s="14">
        <v>1024.0999999999999</v>
      </c>
      <c r="W22" s="14">
        <v>1024.0999999999999</v>
      </c>
      <c r="X22" s="11">
        <v>83</v>
      </c>
      <c r="Y22" s="15" t="s">
        <v>3713</v>
      </c>
      <c r="Z22" s="16">
        <v>915.09999999999991</v>
      </c>
      <c r="AA22" s="17">
        <v>839.5</v>
      </c>
      <c r="AB22" s="18" t="s">
        <v>3714</v>
      </c>
    </row>
    <row r="23" spans="1:28" x14ac:dyDescent="0.45">
      <c r="A23" s="2" t="s">
        <v>46</v>
      </c>
      <c r="B23" s="2" t="s">
        <v>47</v>
      </c>
      <c r="C23" s="2" t="s">
        <v>4</v>
      </c>
      <c r="D23" s="2" t="s">
        <v>5</v>
      </c>
      <c r="E23" s="2" t="s">
        <v>6</v>
      </c>
      <c r="F23" s="3">
        <v>55</v>
      </c>
      <c r="G23" s="3">
        <v>65</v>
      </c>
      <c r="H23" s="2" t="s">
        <v>12</v>
      </c>
      <c r="I23" s="19">
        <v>123</v>
      </c>
      <c r="J23" s="34">
        <f t="shared" si="0"/>
        <v>1.0700999999999998</v>
      </c>
      <c r="K23" s="34">
        <f t="shared" si="1"/>
        <v>1.61</v>
      </c>
      <c r="L23" s="34">
        <f t="shared" si="2"/>
        <v>6.44</v>
      </c>
      <c r="M23" s="20" t="s">
        <v>3743</v>
      </c>
      <c r="N23" s="20" t="s">
        <v>3710</v>
      </c>
      <c r="O23" s="20" t="s">
        <v>3711</v>
      </c>
      <c r="P23" s="20" t="s">
        <v>3712</v>
      </c>
      <c r="Q23" s="21">
        <v>55</v>
      </c>
      <c r="R23" s="21">
        <v>65</v>
      </c>
      <c r="S23" s="21">
        <v>5.3</v>
      </c>
      <c r="T23" s="22">
        <v>15.58</v>
      </c>
      <c r="U23" s="13">
        <f t="shared" si="3"/>
        <v>9.14</v>
      </c>
      <c r="V23" s="23">
        <v>1908.55</v>
      </c>
      <c r="W23" s="23">
        <v>1908.55</v>
      </c>
      <c r="X23" s="20">
        <v>23</v>
      </c>
      <c r="Y23" s="24" t="s">
        <v>3713</v>
      </c>
      <c r="Z23" s="16">
        <v>1785.55</v>
      </c>
      <c r="AA23" s="17">
        <v>1451.7</v>
      </c>
      <c r="AB23" s="25" t="s">
        <v>3714</v>
      </c>
    </row>
    <row r="24" spans="1:28" x14ac:dyDescent="0.45">
      <c r="A24" s="4" t="s">
        <v>48</v>
      </c>
      <c r="B24" s="4" t="s">
        <v>49</v>
      </c>
      <c r="C24" s="4" t="s">
        <v>4</v>
      </c>
      <c r="D24" s="4" t="s">
        <v>5</v>
      </c>
      <c r="E24" s="4" t="s">
        <v>6</v>
      </c>
      <c r="F24" s="5">
        <v>56</v>
      </c>
      <c r="G24" s="5">
        <v>66</v>
      </c>
      <c r="H24" s="4" t="s">
        <v>12</v>
      </c>
      <c r="I24" s="10">
        <v>123</v>
      </c>
      <c r="J24" s="34">
        <f t="shared" si="0"/>
        <v>1.0700999999999998</v>
      </c>
      <c r="K24" s="34">
        <f t="shared" si="1"/>
        <v>1.61</v>
      </c>
      <c r="L24" s="34">
        <f t="shared" si="2"/>
        <v>6.44</v>
      </c>
      <c r="M24" s="11" t="s">
        <v>3744</v>
      </c>
      <c r="N24" s="11" t="s">
        <v>3719</v>
      </c>
      <c r="O24" s="11" t="s">
        <v>3711</v>
      </c>
      <c r="P24" s="11" t="s">
        <v>3720</v>
      </c>
      <c r="Q24" s="12">
        <v>56</v>
      </c>
      <c r="R24" s="12">
        <v>66</v>
      </c>
      <c r="S24" s="12">
        <v>6</v>
      </c>
      <c r="T24" s="13">
        <v>15.37</v>
      </c>
      <c r="U24" s="13">
        <f t="shared" si="3"/>
        <v>8.93</v>
      </c>
      <c r="V24" s="14">
        <v>1882.82</v>
      </c>
      <c r="W24" s="14">
        <v>1882.82</v>
      </c>
      <c r="X24" s="11">
        <v>8</v>
      </c>
      <c r="Y24" s="15" t="s">
        <v>3713</v>
      </c>
      <c r="Z24" s="16">
        <v>1759.82</v>
      </c>
      <c r="AA24" s="17">
        <v>1430.7</v>
      </c>
      <c r="AB24" s="18" t="s">
        <v>3714</v>
      </c>
    </row>
    <row r="25" spans="1:28" x14ac:dyDescent="0.45">
      <c r="A25" s="2" t="s">
        <v>50</v>
      </c>
      <c r="B25" s="2" t="s">
        <v>51</v>
      </c>
      <c r="C25" s="2" t="s">
        <v>4</v>
      </c>
      <c r="D25" s="2" t="s">
        <v>5</v>
      </c>
      <c r="E25" s="2" t="s">
        <v>6</v>
      </c>
      <c r="F25" s="3">
        <v>60</v>
      </c>
      <c r="G25" s="3">
        <v>70</v>
      </c>
      <c r="H25" s="2" t="s">
        <v>12</v>
      </c>
      <c r="I25" s="19">
        <v>130</v>
      </c>
      <c r="J25" s="34">
        <f t="shared" si="0"/>
        <v>1.131</v>
      </c>
      <c r="K25" s="34">
        <f t="shared" si="1"/>
        <v>1.7</v>
      </c>
      <c r="L25" s="34">
        <f t="shared" si="2"/>
        <v>6.8</v>
      </c>
      <c r="M25" s="20" t="s">
        <v>3745</v>
      </c>
      <c r="N25" s="20" t="s">
        <v>3716</v>
      </c>
      <c r="O25" s="20" t="s">
        <v>3711</v>
      </c>
      <c r="P25" s="20" t="s">
        <v>3717</v>
      </c>
      <c r="Q25" s="21">
        <v>60</v>
      </c>
      <c r="R25" s="21">
        <v>70</v>
      </c>
      <c r="S25" s="21">
        <v>6</v>
      </c>
      <c r="T25" s="22">
        <v>9.49</v>
      </c>
      <c r="U25" s="13">
        <f t="shared" si="3"/>
        <v>2.6900000000000004</v>
      </c>
      <c r="V25" s="23">
        <v>1162.53</v>
      </c>
      <c r="W25" s="23">
        <v>1162.53</v>
      </c>
      <c r="X25" s="20">
        <v>213</v>
      </c>
      <c r="Y25" s="24" t="s">
        <v>3713</v>
      </c>
      <c r="Z25" s="16">
        <v>1032.53</v>
      </c>
      <c r="AA25" s="17">
        <v>794.3</v>
      </c>
      <c r="AB25" s="25" t="s">
        <v>3714</v>
      </c>
    </row>
    <row r="26" spans="1:28" x14ac:dyDescent="0.45">
      <c r="A26" s="4" t="s">
        <v>52</v>
      </c>
      <c r="B26" s="4" t="s">
        <v>53</v>
      </c>
      <c r="C26" s="4" t="s">
        <v>4</v>
      </c>
      <c r="D26" s="4" t="s">
        <v>5</v>
      </c>
      <c r="E26" s="4" t="s">
        <v>6</v>
      </c>
      <c r="F26" s="5">
        <v>63</v>
      </c>
      <c r="G26" s="5">
        <v>73</v>
      </c>
      <c r="H26" s="4" t="s">
        <v>12</v>
      </c>
      <c r="I26" s="10">
        <v>135</v>
      </c>
      <c r="J26" s="34">
        <f t="shared" si="0"/>
        <v>1.1744999999999999</v>
      </c>
      <c r="K26" s="34">
        <f t="shared" si="1"/>
        <v>1.76</v>
      </c>
      <c r="L26" s="34">
        <f t="shared" si="2"/>
        <v>7.04</v>
      </c>
      <c r="M26" s="11" t="s">
        <v>3746</v>
      </c>
      <c r="N26" s="11" t="s">
        <v>3719</v>
      </c>
      <c r="O26" s="11" t="s">
        <v>3711</v>
      </c>
      <c r="P26" s="11" t="s">
        <v>3720</v>
      </c>
      <c r="Q26" s="12">
        <v>63</v>
      </c>
      <c r="R26" s="12">
        <v>73</v>
      </c>
      <c r="S26" s="12">
        <v>6</v>
      </c>
      <c r="T26" s="13">
        <v>11.74</v>
      </c>
      <c r="U26" s="13">
        <f t="shared" si="3"/>
        <v>4.7</v>
      </c>
      <c r="V26" s="14">
        <v>1438.15</v>
      </c>
      <c r="W26" s="14">
        <v>1438.15</v>
      </c>
      <c r="X26" s="11">
        <v>16</v>
      </c>
      <c r="Y26" s="15" t="s">
        <v>3713</v>
      </c>
      <c r="Z26" s="16">
        <v>1303.1500000000001</v>
      </c>
      <c r="AA26" s="17">
        <v>965.3</v>
      </c>
      <c r="AB26" s="18" t="s">
        <v>3714</v>
      </c>
    </row>
    <row r="27" spans="1:28" x14ac:dyDescent="0.45">
      <c r="A27" s="2" t="s">
        <v>54</v>
      </c>
      <c r="B27" s="2" t="s">
        <v>55</v>
      </c>
      <c r="C27" s="2" t="s">
        <v>4</v>
      </c>
      <c r="D27" s="2" t="s">
        <v>5</v>
      </c>
      <c r="E27" s="2" t="s">
        <v>6</v>
      </c>
      <c r="F27" s="3">
        <v>65</v>
      </c>
      <c r="G27" s="3">
        <v>75</v>
      </c>
      <c r="H27" s="2" t="s">
        <v>12</v>
      </c>
      <c r="I27" s="19">
        <v>135</v>
      </c>
      <c r="J27" s="34">
        <f t="shared" si="0"/>
        <v>1.1744999999999999</v>
      </c>
      <c r="K27" s="34">
        <f t="shared" si="1"/>
        <v>1.76</v>
      </c>
      <c r="L27" s="34">
        <f t="shared" si="2"/>
        <v>7.04</v>
      </c>
      <c r="M27" s="20" t="s">
        <v>3747</v>
      </c>
      <c r="N27" s="20" t="s">
        <v>3716</v>
      </c>
      <c r="O27" s="20" t="s">
        <v>3711</v>
      </c>
      <c r="P27" s="20" t="s">
        <v>3717</v>
      </c>
      <c r="Q27" s="21">
        <v>65</v>
      </c>
      <c r="R27" s="21">
        <v>75</v>
      </c>
      <c r="S27" s="21">
        <v>6</v>
      </c>
      <c r="T27" s="22">
        <v>17.170000000000002</v>
      </c>
      <c r="U27" s="13">
        <f t="shared" si="3"/>
        <v>10.130000000000003</v>
      </c>
      <c r="V27" s="23">
        <v>2103.33</v>
      </c>
      <c r="W27" s="23">
        <v>2103.33</v>
      </c>
      <c r="X27" s="20">
        <v>21</v>
      </c>
      <c r="Y27" s="24" t="s">
        <v>3713</v>
      </c>
      <c r="Z27" s="16">
        <v>1968.33</v>
      </c>
      <c r="AA27" s="17">
        <v>1458</v>
      </c>
      <c r="AB27" s="25" t="s">
        <v>3714</v>
      </c>
    </row>
    <row r="28" spans="1:28" x14ac:dyDescent="0.45">
      <c r="A28" s="4" t="s">
        <v>56</v>
      </c>
      <c r="B28" s="4" t="s">
        <v>57</v>
      </c>
      <c r="C28" s="4" t="s">
        <v>4</v>
      </c>
      <c r="D28" s="4" t="s">
        <v>5</v>
      </c>
      <c r="E28" s="4" t="s">
        <v>6</v>
      </c>
      <c r="F28" s="5">
        <v>70</v>
      </c>
      <c r="G28" s="5">
        <v>80</v>
      </c>
      <c r="H28" s="4" t="s">
        <v>12</v>
      </c>
      <c r="I28" s="10">
        <v>143</v>
      </c>
      <c r="J28" s="34">
        <f t="shared" si="0"/>
        <v>1.2441</v>
      </c>
      <c r="K28" s="34">
        <f t="shared" si="1"/>
        <v>1.87</v>
      </c>
      <c r="L28" s="34">
        <f t="shared" si="2"/>
        <v>7.48</v>
      </c>
      <c r="M28" s="11" t="s">
        <v>3748</v>
      </c>
      <c r="N28" s="11" t="s">
        <v>3716</v>
      </c>
      <c r="O28" s="11" t="s">
        <v>3711</v>
      </c>
      <c r="P28" s="11" t="s">
        <v>3717</v>
      </c>
      <c r="Q28" s="12">
        <v>70</v>
      </c>
      <c r="R28" s="12">
        <v>80</v>
      </c>
      <c r="S28" s="12">
        <v>5</v>
      </c>
      <c r="T28" s="13">
        <v>10.3</v>
      </c>
      <c r="U28" s="13">
        <f t="shared" si="3"/>
        <v>2.8200000000000003</v>
      </c>
      <c r="V28" s="14">
        <v>1261.75</v>
      </c>
      <c r="W28" s="14">
        <v>1261.75</v>
      </c>
      <c r="X28" s="11">
        <v>37</v>
      </c>
      <c r="Y28" s="15" t="s">
        <v>3713</v>
      </c>
      <c r="Z28" s="16">
        <v>1118.75</v>
      </c>
      <c r="AA28" s="17">
        <v>782.3</v>
      </c>
      <c r="AB28" s="18" t="s">
        <v>3714</v>
      </c>
    </row>
    <row r="29" spans="1:28" x14ac:dyDescent="0.45">
      <c r="A29" s="2" t="s">
        <v>58</v>
      </c>
      <c r="B29" s="2" t="s">
        <v>5599</v>
      </c>
      <c r="C29" s="2" t="s">
        <v>4</v>
      </c>
      <c r="D29" s="2" t="s">
        <v>5</v>
      </c>
      <c r="E29" s="2" t="s">
        <v>6</v>
      </c>
      <c r="F29" s="3">
        <v>70</v>
      </c>
      <c r="G29" s="3">
        <v>78</v>
      </c>
      <c r="H29" s="2" t="s">
        <v>59</v>
      </c>
      <c r="I29" s="19">
        <v>126</v>
      </c>
      <c r="J29" s="34">
        <f t="shared" si="0"/>
        <v>1.0961999999999998</v>
      </c>
      <c r="K29" s="34">
        <f t="shared" si="1"/>
        <v>1.64</v>
      </c>
      <c r="L29" s="34">
        <f t="shared" si="2"/>
        <v>6.56</v>
      </c>
      <c r="M29" s="20" t="s">
        <v>3749</v>
      </c>
      <c r="N29" s="20" t="s">
        <v>3750</v>
      </c>
      <c r="O29" s="20" t="s">
        <v>3711</v>
      </c>
      <c r="P29" s="20" t="s">
        <v>3751</v>
      </c>
      <c r="Q29" s="21">
        <v>70</v>
      </c>
      <c r="R29" s="21">
        <v>78</v>
      </c>
      <c r="S29" s="21">
        <v>4</v>
      </c>
      <c r="T29" s="22">
        <v>17.29</v>
      </c>
      <c r="U29" s="13">
        <f t="shared" si="3"/>
        <v>10.73</v>
      </c>
      <c r="V29" s="23">
        <v>2118.02</v>
      </c>
      <c r="W29" s="23">
        <v>2118.02</v>
      </c>
      <c r="X29" s="20">
        <v>7</v>
      </c>
      <c r="Y29" s="24" t="s">
        <v>3713</v>
      </c>
      <c r="Z29" s="16">
        <v>1992.02</v>
      </c>
      <c r="AA29" s="17">
        <v>1581</v>
      </c>
      <c r="AB29" s="25" t="s">
        <v>3714</v>
      </c>
    </row>
    <row r="30" spans="1:28" x14ac:dyDescent="0.45">
      <c r="A30" s="4" t="s">
        <v>60</v>
      </c>
      <c r="B30" s="4" t="s">
        <v>5600</v>
      </c>
      <c r="C30" s="4" t="s">
        <v>4</v>
      </c>
      <c r="D30" s="4" t="s">
        <v>5</v>
      </c>
      <c r="E30" s="4" t="s">
        <v>6</v>
      </c>
      <c r="F30" s="5">
        <v>70</v>
      </c>
      <c r="G30" s="5">
        <v>82</v>
      </c>
      <c r="H30" s="4" t="s">
        <v>61</v>
      </c>
      <c r="I30" s="10">
        <v>251</v>
      </c>
      <c r="J30" s="34">
        <f t="shared" si="0"/>
        <v>2.1837</v>
      </c>
      <c r="K30" s="34">
        <f t="shared" si="1"/>
        <v>3.28</v>
      </c>
      <c r="L30" s="34">
        <f t="shared" si="2"/>
        <v>13.12</v>
      </c>
      <c r="M30" s="11" t="s">
        <v>3752</v>
      </c>
      <c r="N30" s="11" t="s">
        <v>3716</v>
      </c>
      <c r="O30" s="11" t="s">
        <v>3711</v>
      </c>
      <c r="P30" s="11" t="s">
        <v>3717</v>
      </c>
      <c r="Q30" s="12">
        <v>70</v>
      </c>
      <c r="R30" s="12">
        <v>82</v>
      </c>
      <c r="S30" s="12">
        <v>7</v>
      </c>
      <c r="T30" s="13">
        <v>19.12</v>
      </c>
      <c r="U30" s="13">
        <f t="shared" si="3"/>
        <v>6.0000000000000018</v>
      </c>
      <c r="V30" s="14">
        <v>2342.1999999999998</v>
      </c>
      <c r="W30" s="14">
        <v>2342.1999999999998</v>
      </c>
      <c r="X30" s="11">
        <v>25</v>
      </c>
      <c r="Y30" s="15" t="s">
        <v>3713</v>
      </c>
      <c r="Z30" s="16">
        <v>2091.1999999999998</v>
      </c>
      <c r="AA30" s="17">
        <v>833.1</v>
      </c>
      <c r="AB30" s="18" t="s">
        <v>3714</v>
      </c>
    </row>
    <row r="31" spans="1:28" x14ac:dyDescent="0.45">
      <c r="A31" s="2" t="s">
        <v>62</v>
      </c>
      <c r="B31" s="2" t="s">
        <v>63</v>
      </c>
      <c r="C31" s="2" t="s">
        <v>4</v>
      </c>
      <c r="D31" s="2" t="s">
        <v>5</v>
      </c>
      <c r="E31" s="2" t="s">
        <v>6</v>
      </c>
      <c r="F31" s="3">
        <v>75</v>
      </c>
      <c r="G31" s="3">
        <v>87</v>
      </c>
      <c r="H31" s="2" t="s">
        <v>64</v>
      </c>
      <c r="I31" s="19">
        <v>259</v>
      </c>
      <c r="J31" s="34">
        <f t="shared" si="0"/>
        <v>2.2532999999999999</v>
      </c>
      <c r="K31" s="34">
        <f t="shared" si="1"/>
        <v>3.38</v>
      </c>
      <c r="L31" s="34">
        <f t="shared" si="2"/>
        <v>13.52</v>
      </c>
      <c r="M31" s="20" t="s">
        <v>3753</v>
      </c>
      <c r="N31" s="20" t="s">
        <v>3719</v>
      </c>
      <c r="O31" s="20" t="s">
        <v>3711</v>
      </c>
      <c r="P31" s="20" t="s">
        <v>3720</v>
      </c>
      <c r="Q31" s="21">
        <v>75</v>
      </c>
      <c r="R31" s="21">
        <v>87</v>
      </c>
      <c r="S31" s="21">
        <v>6</v>
      </c>
      <c r="T31" s="22">
        <v>15.46</v>
      </c>
      <c r="U31" s="13">
        <f t="shared" si="3"/>
        <v>1.9400000000000013</v>
      </c>
      <c r="V31" s="23">
        <v>1893.85</v>
      </c>
      <c r="W31" s="23">
        <v>1893.85</v>
      </c>
      <c r="X31" s="20">
        <v>18</v>
      </c>
      <c r="Y31" s="24" t="s">
        <v>3713</v>
      </c>
      <c r="Z31" s="16">
        <v>1634.85</v>
      </c>
      <c r="AA31" s="17">
        <v>631.20000000000005</v>
      </c>
      <c r="AB31" s="25" t="s">
        <v>3714</v>
      </c>
    </row>
    <row r="32" spans="1:28" x14ac:dyDescent="0.45">
      <c r="A32" s="4" t="s">
        <v>65</v>
      </c>
      <c r="B32" s="4" t="s">
        <v>66</v>
      </c>
      <c r="C32" s="4" t="s">
        <v>4</v>
      </c>
      <c r="D32" s="4" t="s">
        <v>5</v>
      </c>
      <c r="E32" s="4" t="s">
        <v>6</v>
      </c>
      <c r="F32" s="5">
        <v>80</v>
      </c>
      <c r="G32" s="5">
        <v>92</v>
      </c>
      <c r="H32" s="4" t="s">
        <v>64</v>
      </c>
      <c r="I32" s="10">
        <v>276</v>
      </c>
      <c r="J32" s="34">
        <f t="shared" si="0"/>
        <v>2.4011999999999998</v>
      </c>
      <c r="K32" s="34">
        <f t="shared" si="1"/>
        <v>3.6</v>
      </c>
      <c r="L32" s="34">
        <f t="shared" si="2"/>
        <v>14.4</v>
      </c>
      <c r="M32" s="11" t="s">
        <v>3754</v>
      </c>
      <c r="N32" s="11" t="s">
        <v>3716</v>
      </c>
      <c r="O32" s="11" t="s">
        <v>3711</v>
      </c>
      <c r="P32" s="11" t="s">
        <v>3717</v>
      </c>
      <c r="Q32" s="12">
        <v>80</v>
      </c>
      <c r="R32" s="12">
        <v>92</v>
      </c>
      <c r="S32" s="12">
        <v>7.2</v>
      </c>
      <c r="T32" s="13">
        <v>21.06</v>
      </c>
      <c r="U32" s="13">
        <f t="shared" si="3"/>
        <v>6.6599999999999984</v>
      </c>
      <c r="V32" s="14">
        <v>2579.85</v>
      </c>
      <c r="W32" s="14">
        <v>2579.85</v>
      </c>
      <c r="X32" s="11" t="s">
        <v>3722</v>
      </c>
      <c r="Y32" s="15" t="s">
        <v>3713</v>
      </c>
      <c r="Z32" s="16">
        <v>2303.85</v>
      </c>
      <c r="AA32" s="17">
        <v>834.7</v>
      </c>
      <c r="AB32" s="18" t="s">
        <v>3714</v>
      </c>
    </row>
    <row r="33" spans="1:28" x14ac:dyDescent="0.45">
      <c r="A33" s="2" t="s">
        <v>67</v>
      </c>
      <c r="B33" s="2" t="s">
        <v>68</v>
      </c>
      <c r="C33" s="2" t="s">
        <v>4</v>
      </c>
      <c r="D33" s="2" t="s">
        <v>5</v>
      </c>
      <c r="E33" s="2" t="s">
        <v>6</v>
      </c>
      <c r="F33" s="3">
        <v>85</v>
      </c>
      <c r="G33" s="3">
        <v>97</v>
      </c>
      <c r="H33" s="2" t="s">
        <v>64</v>
      </c>
      <c r="I33" s="19">
        <v>293</v>
      </c>
      <c r="J33" s="34">
        <f t="shared" si="0"/>
        <v>2.5490999999999997</v>
      </c>
      <c r="K33" s="34">
        <f t="shared" si="1"/>
        <v>3.82</v>
      </c>
      <c r="L33" s="34">
        <f t="shared" si="2"/>
        <v>15.28</v>
      </c>
      <c r="M33" s="20" t="s">
        <v>3755</v>
      </c>
      <c r="N33" s="20" t="s">
        <v>3731</v>
      </c>
      <c r="O33" s="20" t="s">
        <v>3711</v>
      </c>
      <c r="P33" s="20" t="s">
        <v>3732</v>
      </c>
      <c r="Q33" s="21">
        <v>85</v>
      </c>
      <c r="R33" s="21">
        <v>97</v>
      </c>
      <c r="S33" s="21">
        <v>8</v>
      </c>
      <c r="T33" s="22">
        <v>27.43</v>
      </c>
      <c r="U33" s="13">
        <f t="shared" si="3"/>
        <v>12.15</v>
      </c>
      <c r="V33" s="23">
        <v>3360.18</v>
      </c>
      <c r="W33" s="23">
        <v>3360.18</v>
      </c>
      <c r="X33" s="20">
        <v>5</v>
      </c>
      <c r="Y33" s="24" t="s">
        <v>3713</v>
      </c>
      <c r="Z33" s="16">
        <v>3067.18</v>
      </c>
      <c r="AA33" s="17">
        <v>1046.8</v>
      </c>
      <c r="AB33" s="25" t="s">
        <v>3714</v>
      </c>
    </row>
    <row r="34" spans="1:28" x14ac:dyDescent="0.45">
      <c r="A34" s="4" t="s">
        <v>69</v>
      </c>
      <c r="B34" s="4" t="s">
        <v>70</v>
      </c>
      <c r="C34" s="4" t="s">
        <v>4</v>
      </c>
      <c r="D34" s="4" t="s">
        <v>5</v>
      </c>
      <c r="E34" s="4" t="s">
        <v>6</v>
      </c>
      <c r="F34" s="5">
        <v>90</v>
      </c>
      <c r="G34" s="5">
        <v>102</v>
      </c>
      <c r="H34" s="4" t="s">
        <v>64</v>
      </c>
      <c r="I34" s="10">
        <v>301</v>
      </c>
      <c r="J34" s="34">
        <f t="shared" si="0"/>
        <v>2.6187</v>
      </c>
      <c r="K34" s="34">
        <f t="shared" si="1"/>
        <v>3.93</v>
      </c>
      <c r="L34" s="34">
        <f t="shared" si="2"/>
        <v>15.72</v>
      </c>
      <c r="M34" s="11" t="s">
        <v>3756</v>
      </c>
      <c r="N34" s="11" t="s">
        <v>3716</v>
      </c>
      <c r="O34" s="11" t="s">
        <v>3711</v>
      </c>
      <c r="P34" s="11" t="s">
        <v>3717</v>
      </c>
      <c r="Q34" s="12">
        <v>90</v>
      </c>
      <c r="R34" s="12">
        <v>102</v>
      </c>
      <c r="S34" s="12">
        <v>7</v>
      </c>
      <c r="T34" s="13">
        <v>12.47</v>
      </c>
      <c r="U34" s="13">
        <f t="shared" si="3"/>
        <v>-3.25</v>
      </c>
      <c r="V34" s="14">
        <v>1527.58</v>
      </c>
      <c r="W34" s="14">
        <v>1527.58</v>
      </c>
      <c r="X34" s="11">
        <v>143</v>
      </c>
      <c r="Y34" s="15" t="s">
        <v>3713</v>
      </c>
      <c r="Z34" s="16">
        <v>1226.58</v>
      </c>
      <c r="AA34" s="17">
        <v>407.5</v>
      </c>
      <c r="AB34" s="18" t="s">
        <v>3714</v>
      </c>
    </row>
    <row r="35" spans="1:28" x14ac:dyDescent="0.45">
      <c r="A35" s="2" t="s">
        <v>71</v>
      </c>
      <c r="B35" s="2" t="s">
        <v>72</v>
      </c>
      <c r="C35" s="2" t="s">
        <v>4</v>
      </c>
      <c r="D35" s="2" t="s">
        <v>5</v>
      </c>
      <c r="E35" s="2" t="s">
        <v>6</v>
      </c>
      <c r="F35" s="3">
        <v>95</v>
      </c>
      <c r="G35" s="3">
        <v>107</v>
      </c>
      <c r="H35" s="2" t="s">
        <v>64</v>
      </c>
      <c r="I35" s="19">
        <v>318</v>
      </c>
      <c r="J35" s="34">
        <f t="shared" si="0"/>
        <v>2.7665999999999999</v>
      </c>
      <c r="K35" s="34">
        <f t="shared" si="1"/>
        <v>4.1500000000000004</v>
      </c>
      <c r="L35" s="34">
        <f t="shared" si="2"/>
        <v>16.600000000000001</v>
      </c>
      <c r="M35" s="20" t="s">
        <v>3757</v>
      </c>
      <c r="N35" s="20" t="s">
        <v>3716</v>
      </c>
      <c r="O35" s="20" t="s">
        <v>3711</v>
      </c>
      <c r="P35" s="20" t="s">
        <v>3717</v>
      </c>
      <c r="Q35" s="21">
        <v>95</v>
      </c>
      <c r="R35" s="21">
        <v>107</v>
      </c>
      <c r="S35" s="21">
        <v>7</v>
      </c>
      <c r="T35" s="22">
        <v>22.9</v>
      </c>
      <c r="U35" s="13">
        <f t="shared" si="3"/>
        <v>6.2999999999999972</v>
      </c>
      <c r="V35" s="23">
        <v>2805.25</v>
      </c>
      <c r="W35" s="23">
        <v>2805.25</v>
      </c>
      <c r="X35" s="20">
        <v>31</v>
      </c>
      <c r="Y35" s="24" t="s">
        <v>3713</v>
      </c>
      <c r="Z35" s="16">
        <v>2487.25</v>
      </c>
      <c r="AA35" s="17">
        <v>782.2</v>
      </c>
      <c r="AB35" s="25" t="s">
        <v>3714</v>
      </c>
    </row>
    <row r="36" spans="1:28" x14ac:dyDescent="0.45">
      <c r="A36" s="4" t="s">
        <v>73</v>
      </c>
      <c r="B36" s="4" t="s">
        <v>74</v>
      </c>
      <c r="C36" s="4" t="s">
        <v>4</v>
      </c>
      <c r="D36" s="4" t="s">
        <v>5</v>
      </c>
      <c r="E36" s="4" t="s">
        <v>6</v>
      </c>
      <c r="F36" s="5">
        <v>100</v>
      </c>
      <c r="G36" s="5">
        <v>112</v>
      </c>
      <c r="H36" s="4" t="s">
        <v>64</v>
      </c>
      <c r="I36" s="10">
        <v>326</v>
      </c>
      <c r="J36" s="34">
        <f t="shared" si="0"/>
        <v>2.8361999999999998</v>
      </c>
      <c r="K36" s="34">
        <f t="shared" si="1"/>
        <v>4.25</v>
      </c>
      <c r="L36" s="34">
        <f t="shared" si="2"/>
        <v>17</v>
      </c>
      <c r="M36" s="11" t="s">
        <v>3758</v>
      </c>
      <c r="N36" s="11" t="s">
        <v>3716</v>
      </c>
      <c r="O36" s="11" t="s">
        <v>3711</v>
      </c>
      <c r="P36" s="11" t="s">
        <v>3717</v>
      </c>
      <c r="Q36" s="12">
        <v>100</v>
      </c>
      <c r="R36" s="12">
        <v>112</v>
      </c>
      <c r="S36" s="12">
        <v>7.2</v>
      </c>
      <c r="T36" s="13">
        <v>24.31</v>
      </c>
      <c r="U36" s="13">
        <f t="shared" si="3"/>
        <v>7.3099999999999987</v>
      </c>
      <c r="V36" s="14">
        <v>2977.98</v>
      </c>
      <c r="W36" s="14">
        <v>2977.98</v>
      </c>
      <c r="X36" s="11">
        <v>131</v>
      </c>
      <c r="Y36" s="15" t="s">
        <v>3713</v>
      </c>
      <c r="Z36" s="16">
        <v>2651.98</v>
      </c>
      <c r="AA36" s="17">
        <v>813.5</v>
      </c>
      <c r="AB36" s="18" t="s">
        <v>3714</v>
      </c>
    </row>
    <row r="37" spans="1:28" x14ac:dyDescent="0.45">
      <c r="A37" s="2" t="s">
        <v>75</v>
      </c>
      <c r="B37" s="2" t="s">
        <v>76</v>
      </c>
      <c r="C37" s="2" t="s">
        <v>4</v>
      </c>
      <c r="D37" s="2" t="s">
        <v>5</v>
      </c>
      <c r="E37" s="2" t="s">
        <v>6</v>
      </c>
      <c r="F37" s="3">
        <v>110</v>
      </c>
      <c r="G37" s="3">
        <v>122</v>
      </c>
      <c r="H37" s="2" t="s">
        <v>64</v>
      </c>
      <c r="I37" s="19">
        <v>367</v>
      </c>
      <c r="J37" s="34">
        <f t="shared" si="0"/>
        <v>3.1928999999999998</v>
      </c>
      <c r="K37" s="34">
        <f t="shared" si="1"/>
        <v>4.79</v>
      </c>
      <c r="L37" s="34">
        <f t="shared" si="2"/>
        <v>19.16</v>
      </c>
      <c r="M37" s="20" t="s">
        <v>3759</v>
      </c>
      <c r="N37" s="20" t="s">
        <v>3716</v>
      </c>
      <c r="O37" s="20" t="s">
        <v>3711</v>
      </c>
      <c r="P37" s="20" t="s">
        <v>3717</v>
      </c>
      <c r="Q37" s="21">
        <v>110</v>
      </c>
      <c r="R37" s="21">
        <v>122</v>
      </c>
      <c r="S37" s="21">
        <v>7.2</v>
      </c>
      <c r="T37" s="22">
        <v>14.89</v>
      </c>
      <c r="U37" s="13">
        <f t="shared" si="3"/>
        <v>-4.2699999999999996</v>
      </c>
      <c r="V37" s="23">
        <v>1824.02</v>
      </c>
      <c r="W37" s="23">
        <v>1824.02</v>
      </c>
      <c r="X37" s="20">
        <v>8</v>
      </c>
      <c r="Y37" s="24" t="s">
        <v>3713</v>
      </c>
      <c r="Z37" s="16">
        <v>1457.02</v>
      </c>
      <c r="AA37" s="17">
        <v>397</v>
      </c>
      <c r="AB37" s="25" t="s">
        <v>3714</v>
      </c>
    </row>
    <row r="38" spans="1:28" x14ac:dyDescent="0.45">
      <c r="A38" s="4" t="s">
        <v>77</v>
      </c>
      <c r="B38" s="4" t="s">
        <v>78</v>
      </c>
      <c r="C38" s="4" t="s">
        <v>4</v>
      </c>
      <c r="D38" s="4" t="s">
        <v>5</v>
      </c>
      <c r="E38" s="4" t="s">
        <v>6</v>
      </c>
      <c r="F38" s="5">
        <v>120</v>
      </c>
      <c r="G38" s="5">
        <v>132</v>
      </c>
      <c r="H38" s="4" t="s">
        <v>64</v>
      </c>
      <c r="I38" s="10">
        <v>384</v>
      </c>
      <c r="J38" s="34">
        <f t="shared" si="0"/>
        <v>3.3407999999999998</v>
      </c>
      <c r="K38" s="34">
        <f t="shared" si="1"/>
        <v>5.01</v>
      </c>
      <c r="L38" s="34">
        <f t="shared" si="2"/>
        <v>20.04</v>
      </c>
      <c r="M38" s="11" t="s">
        <v>3760</v>
      </c>
      <c r="N38" s="11" t="s">
        <v>3716</v>
      </c>
      <c r="O38" s="11" t="s">
        <v>3711</v>
      </c>
      <c r="P38" s="11" t="s">
        <v>3717</v>
      </c>
      <c r="Q38" s="12">
        <v>120</v>
      </c>
      <c r="R38" s="12">
        <v>132</v>
      </c>
      <c r="S38" s="12">
        <v>7</v>
      </c>
      <c r="T38" s="13">
        <v>34.64</v>
      </c>
      <c r="U38" s="13">
        <f t="shared" si="3"/>
        <v>14.600000000000001</v>
      </c>
      <c r="V38" s="14">
        <v>4243.3999999999996</v>
      </c>
      <c r="W38" s="14">
        <v>4243.3999999999996</v>
      </c>
      <c r="X38" s="11">
        <v>47</v>
      </c>
      <c r="Y38" s="15" t="s">
        <v>3713</v>
      </c>
      <c r="Z38" s="16">
        <v>3859.4</v>
      </c>
      <c r="AA38" s="17">
        <v>1005.1</v>
      </c>
      <c r="AB38" s="18" t="s">
        <v>3714</v>
      </c>
    </row>
    <row r="39" spans="1:28" x14ac:dyDescent="0.45">
      <c r="A39" s="2" t="s">
        <v>79</v>
      </c>
      <c r="B39" s="2" t="s">
        <v>80</v>
      </c>
      <c r="C39" s="2" t="s">
        <v>4</v>
      </c>
      <c r="D39" s="2" t="s">
        <v>5</v>
      </c>
      <c r="E39" s="2" t="s">
        <v>6</v>
      </c>
      <c r="F39" s="3">
        <v>125</v>
      </c>
      <c r="G39" s="3">
        <v>137</v>
      </c>
      <c r="H39" s="2" t="s">
        <v>64</v>
      </c>
      <c r="I39" s="19">
        <v>401</v>
      </c>
      <c r="J39" s="34">
        <f t="shared" si="0"/>
        <v>3.4886999999999997</v>
      </c>
      <c r="K39" s="34">
        <f t="shared" si="1"/>
        <v>5.23</v>
      </c>
      <c r="L39" s="34">
        <f t="shared" si="2"/>
        <v>20.92</v>
      </c>
      <c r="M39" s="20" t="s">
        <v>3761</v>
      </c>
      <c r="N39" s="20" t="s">
        <v>3716</v>
      </c>
      <c r="O39" s="20" t="s">
        <v>3711</v>
      </c>
      <c r="P39" s="20" t="s">
        <v>3717</v>
      </c>
      <c r="Q39" s="21">
        <v>125</v>
      </c>
      <c r="R39" s="21">
        <v>137</v>
      </c>
      <c r="S39" s="21">
        <v>7.7</v>
      </c>
      <c r="T39" s="22">
        <v>35.78</v>
      </c>
      <c r="U39" s="13">
        <f t="shared" si="3"/>
        <v>14.86</v>
      </c>
      <c r="V39" s="23">
        <v>4383.05</v>
      </c>
      <c r="W39" s="23">
        <v>4383.05</v>
      </c>
      <c r="X39" s="20">
        <v>72</v>
      </c>
      <c r="Y39" s="24" t="s">
        <v>3713</v>
      </c>
      <c r="Z39" s="16">
        <v>3982.05</v>
      </c>
      <c r="AA39" s="17">
        <v>993</v>
      </c>
      <c r="AB39" s="25" t="s">
        <v>3714</v>
      </c>
    </row>
    <row r="40" spans="1:28" x14ac:dyDescent="0.45">
      <c r="A40" s="4" t="s">
        <v>81</v>
      </c>
      <c r="B40" s="4" t="s">
        <v>82</v>
      </c>
      <c r="C40" s="4" t="s">
        <v>4</v>
      </c>
      <c r="D40" s="4" t="s">
        <v>5</v>
      </c>
      <c r="E40" s="4" t="s">
        <v>6</v>
      </c>
      <c r="F40" s="5">
        <v>125</v>
      </c>
      <c r="G40" s="5">
        <v>140</v>
      </c>
      <c r="H40" s="4" t="s">
        <v>83</v>
      </c>
      <c r="I40" s="10">
        <v>634</v>
      </c>
      <c r="J40" s="34">
        <f t="shared" si="0"/>
        <v>5.5157999999999996</v>
      </c>
      <c r="K40" s="34">
        <f t="shared" si="1"/>
        <v>8.27</v>
      </c>
      <c r="L40" s="34">
        <f t="shared" si="2"/>
        <v>33.08</v>
      </c>
      <c r="M40" s="11" t="s">
        <v>3762</v>
      </c>
      <c r="N40" s="11" t="s">
        <v>3716</v>
      </c>
      <c r="O40" s="11" t="s">
        <v>3711</v>
      </c>
      <c r="P40" s="11" t="s">
        <v>3717</v>
      </c>
      <c r="Q40" s="12">
        <v>125</v>
      </c>
      <c r="R40" s="12">
        <v>140</v>
      </c>
      <c r="S40" s="12">
        <v>9.5</v>
      </c>
      <c r="T40" s="13">
        <v>18.98</v>
      </c>
      <c r="U40" s="13">
        <f t="shared" si="3"/>
        <v>-14.099999999999998</v>
      </c>
      <c r="V40" s="14">
        <v>2325.0500000000002</v>
      </c>
      <c r="W40" s="14">
        <v>2325.0500000000002</v>
      </c>
      <c r="X40" s="11">
        <v>213</v>
      </c>
      <c r="Y40" s="15" t="s">
        <v>3713</v>
      </c>
      <c r="Z40" s="16">
        <v>1691.05</v>
      </c>
      <c r="AA40" s="17">
        <v>266.7</v>
      </c>
      <c r="AB40" s="18" t="s">
        <v>3714</v>
      </c>
    </row>
    <row r="41" spans="1:28" x14ac:dyDescent="0.45">
      <c r="A41" s="2" t="s">
        <v>84</v>
      </c>
      <c r="B41" s="2" t="s">
        <v>85</v>
      </c>
      <c r="C41" s="2" t="s">
        <v>4</v>
      </c>
      <c r="D41" s="2" t="s">
        <v>5</v>
      </c>
      <c r="E41" s="2" t="s">
        <v>6</v>
      </c>
      <c r="F41" s="3">
        <v>130</v>
      </c>
      <c r="G41" s="3">
        <v>142</v>
      </c>
      <c r="H41" s="2" t="s">
        <v>64</v>
      </c>
      <c r="I41" s="19">
        <v>426</v>
      </c>
      <c r="J41" s="34">
        <f t="shared" si="0"/>
        <v>3.7061999999999999</v>
      </c>
      <c r="K41" s="34">
        <f t="shared" si="1"/>
        <v>5.56</v>
      </c>
      <c r="L41" s="34">
        <f t="shared" si="2"/>
        <v>22.24</v>
      </c>
      <c r="M41" s="20" t="s">
        <v>3763</v>
      </c>
      <c r="N41" s="20" t="s">
        <v>3716</v>
      </c>
      <c r="O41" s="20" t="s">
        <v>3711</v>
      </c>
      <c r="P41" s="20" t="s">
        <v>3717</v>
      </c>
      <c r="Q41" s="21">
        <v>130</v>
      </c>
      <c r="R41" s="21">
        <v>142</v>
      </c>
      <c r="S41" s="21">
        <v>7.2</v>
      </c>
      <c r="T41" s="22">
        <v>17.97</v>
      </c>
      <c r="U41" s="13">
        <f t="shared" si="3"/>
        <v>-4.2699999999999996</v>
      </c>
      <c r="V41" s="23">
        <v>2201.3200000000002</v>
      </c>
      <c r="W41" s="23">
        <v>2201.3200000000002</v>
      </c>
      <c r="X41" s="20">
        <v>26</v>
      </c>
      <c r="Y41" s="24" t="s">
        <v>3713</v>
      </c>
      <c r="Z41" s="16">
        <v>1775.32</v>
      </c>
      <c r="AA41" s="17">
        <v>416.7</v>
      </c>
      <c r="AB41" s="25" t="s">
        <v>3714</v>
      </c>
    </row>
    <row r="42" spans="1:28" x14ac:dyDescent="0.45">
      <c r="A42" s="4" t="s">
        <v>86</v>
      </c>
      <c r="B42" s="4" t="s">
        <v>87</v>
      </c>
      <c r="C42" s="4" t="s">
        <v>4</v>
      </c>
      <c r="D42" s="4" t="s">
        <v>5</v>
      </c>
      <c r="E42" s="4" t="s">
        <v>6</v>
      </c>
      <c r="F42" s="5">
        <v>140</v>
      </c>
      <c r="G42" s="5">
        <v>152</v>
      </c>
      <c r="H42" s="4" t="s">
        <v>64</v>
      </c>
      <c r="I42" s="10">
        <v>443</v>
      </c>
      <c r="J42" s="34">
        <f t="shared" si="0"/>
        <v>3.8540999999999999</v>
      </c>
      <c r="K42" s="34">
        <f t="shared" si="1"/>
        <v>5.78</v>
      </c>
      <c r="L42" s="34">
        <f t="shared" si="2"/>
        <v>23.12</v>
      </c>
      <c r="M42" s="11" t="s">
        <v>3764</v>
      </c>
      <c r="N42" s="11" t="s">
        <v>3716</v>
      </c>
      <c r="O42" s="11" t="s">
        <v>3711</v>
      </c>
      <c r="P42" s="11" t="s">
        <v>3717</v>
      </c>
      <c r="Q42" s="12">
        <v>140</v>
      </c>
      <c r="R42" s="12">
        <v>152</v>
      </c>
      <c r="S42" s="12">
        <v>7.7</v>
      </c>
      <c r="T42" s="13">
        <v>41.68</v>
      </c>
      <c r="U42" s="13">
        <f t="shared" si="3"/>
        <v>18.559999999999999</v>
      </c>
      <c r="V42" s="14">
        <v>5105.8</v>
      </c>
      <c r="W42" s="14">
        <v>5105.8</v>
      </c>
      <c r="X42" s="11">
        <v>5</v>
      </c>
      <c r="Y42" s="15" t="s">
        <v>3713</v>
      </c>
      <c r="Z42" s="16">
        <v>4662.8</v>
      </c>
      <c r="AA42" s="17">
        <v>1052.5999999999999</v>
      </c>
      <c r="AB42" s="18" t="s">
        <v>3714</v>
      </c>
    </row>
    <row r="43" spans="1:28" x14ac:dyDescent="0.45">
      <c r="A43" s="2" t="s">
        <v>88</v>
      </c>
      <c r="B43" s="2" t="s">
        <v>89</v>
      </c>
      <c r="C43" s="2" t="s">
        <v>4</v>
      </c>
      <c r="D43" s="2" t="s">
        <v>5</v>
      </c>
      <c r="E43" s="2" t="s">
        <v>6</v>
      </c>
      <c r="F43" s="3">
        <v>140</v>
      </c>
      <c r="G43" s="3">
        <v>155</v>
      </c>
      <c r="H43" s="2" t="s">
        <v>83</v>
      </c>
      <c r="I43" s="19">
        <v>700</v>
      </c>
      <c r="J43" s="34">
        <f t="shared" si="0"/>
        <v>6.09</v>
      </c>
      <c r="K43" s="34">
        <f t="shared" si="1"/>
        <v>9.14</v>
      </c>
      <c r="L43" s="34">
        <f t="shared" si="2"/>
        <v>36.56</v>
      </c>
      <c r="M43" s="20" t="s">
        <v>3765</v>
      </c>
      <c r="N43" s="20" t="s">
        <v>3719</v>
      </c>
      <c r="O43" s="20" t="s">
        <v>3711</v>
      </c>
      <c r="P43" s="20" t="s">
        <v>3720</v>
      </c>
      <c r="Q43" s="21">
        <v>140</v>
      </c>
      <c r="R43" s="21">
        <v>155</v>
      </c>
      <c r="S43" s="21">
        <v>9.5</v>
      </c>
      <c r="T43" s="22">
        <v>33.6</v>
      </c>
      <c r="U43" s="13">
        <f t="shared" si="3"/>
        <v>-2.9600000000000009</v>
      </c>
      <c r="V43" s="23">
        <v>4116</v>
      </c>
      <c r="W43" s="23">
        <v>4116</v>
      </c>
      <c r="X43" s="20">
        <v>6</v>
      </c>
      <c r="Y43" s="24" t="s">
        <v>3713</v>
      </c>
      <c r="Z43" s="16">
        <v>3416</v>
      </c>
      <c r="AA43" s="17">
        <v>488</v>
      </c>
      <c r="AB43" s="25" t="s">
        <v>3714</v>
      </c>
    </row>
    <row r="44" spans="1:28" x14ac:dyDescent="0.45">
      <c r="A44" s="4" t="s">
        <v>90</v>
      </c>
      <c r="B44" s="4" t="s">
        <v>91</v>
      </c>
      <c r="C44" s="4" t="s">
        <v>4</v>
      </c>
      <c r="D44" s="4" t="s">
        <v>5</v>
      </c>
      <c r="E44" s="4" t="s">
        <v>6</v>
      </c>
      <c r="F44" s="5">
        <v>150</v>
      </c>
      <c r="G44" s="5">
        <v>162</v>
      </c>
      <c r="H44" s="4" t="s">
        <v>64</v>
      </c>
      <c r="I44" s="10">
        <v>476</v>
      </c>
      <c r="J44" s="34">
        <f t="shared" si="0"/>
        <v>4.1411999999999995</v>
      </c>
      <c r="K44" s="34">
        <f t="shared" si="1"/>
        <v>6.21</v>
      </c>
      <c r="L44" s="34">
        <f t="shared" si="2"/>
        <v>24.84</v>
      </c>
      <c r="M44" s="11" t="s">
        <v>3766</v>
      </c>
      <c r="N44" s="11" t="s">
        <v>3716</v>
      </c>
      <c r="O44" s="11" t="s">
        <v>3711</v>
      </c>
      <c r="P44" s="11" t="s">
        <v>3717</v>
      </c>
      <c r="Q44" s="12">
        <v>150</v>
      </c>
      <c r="R44" s="12">
        <v>162</v>
      </c>
      <c r="S44" s="12">
        <v>7</v>
      </c>
      <c r="T44" s="13">
        <v>23.02</v>
      </c>
      <c r="U44" s="13">
        <f t="shared" si="3"/>
        <v>-1.8200000000000003</v>
      </c>
      <c r="V44" s="14">
        <v>2819.95</v>
      </c>
      <c r="W44" s="14">
        <v>2819.95</v>
      </c>
      <c r="X44" s="11">
        <v>25</v>
      </c>
      <c r="Y44" s="15" t="s">
        <v>3713</v>
      </c>
      <c r="Z44" s="16">
        <v>2343.9499999999998</v>
      </c>
      <c r="AA44" s="17">
        <v>492.4</v>
      </c>
      <c r="AB44" s="18" t="s">
        <v>3714</v>
      </c>
    </row>
    <row r="45" spans="1:28" x14ac:dyDescent="0.45">
      <c r="A45" s="2" t="s">
        <v>92</v>
      </c>
      <c r="B45" s="2" t="s">
        <v>93</v>
      </c>
      <c r="C45" s="2" t="s">
        <v>4</v>
      </c>
      <c r="D45" s="2" t="s">
        <v>5</v>
      </c>
      <c r="E45" s="2" t="s">
        <v>6</v>
      </c>
      <c r="F45" s="3">
        <v>150</v>
      </c>
      <c r="G45" s="3">
        <v>165</v>
      </c>
      <c r="H45" s="2" t="s">
        <v>83</v>
      </c>
      <c r="I45" s="19">
        <v>742</v>
      </c>
      <c r="J45" s="34">
        <f t="shared" si="0"/>
        <v>6.4553999999999991</v>
      </c>
      <c r="K45" s="34">
        <f t="shared" si="1"/>
        <v>9.68</v>
      </c>
      <c r="L45" s="34">
        <f t="shared" si="2"/>
        <v>38.72</v>
      </c>
      <c r="M45" s="20" t="s">
        <v>3767</v>
      </c>
      <c r="N45" s="20" t="s">
        <v>3716</v>
      </c>
      <c r="O45" s="20" t="s">
        <v>3711</v>
      </c>
      <c r="P45" s="20" t="s">
        <v>3717</v>
      </c>
      <c r="Q45" s="21">
        <v>150</v>
      </c>
      <c r="R45" s="21">
        <v>165</v>
      </c>
      <c r="S45" s="21">
        <v>7.2</v>
      </c>
      <c r="T45" s="22">
        <v>22.46</v>
      </c>
      <c r="U45" s="13">
        <f t="shared" si="3"/>
        <v>-16.259999999999998</v>
      </c>
      <c r="V45" s="23">
        <v>2751.35</v>
      </c>
      <c r="W45" s="23">
        <v>2751.35</v>
      </c>
      <c r="X45" s="20" t="s">
        <v>3722</v>
      </c>
      <c r="Y45" s="24" t="s">
        <v>3713</v>
      </c>
      <c r="Z45" s="16">
        <v>2009.35</v>
      </c>
      <c r="AA45" s="17">
        <v>270.8</v>
      </c>
      <c r="AB45" s="25" t="s">
        <v>3714</v>
      </c>
    </row>
    <row r="46" spans="1:28" x14ac:dyDescent="0.45">
      <c r="A46" s="4" t="s">
        <v>94</v>
      </c>
      <c r="B46" s="4" t="s">
        <v>95</v>
      </c>
      <c r="C46" s="4" t="s">
        <v>4</v>
      </c>
      <c r="D46" s="4" t="s">
        <v>5</v>
      </c>
      <c r="E46" s="4" t="s">
        <v>6</v>
      </c>
      <c r="F46" s="5">
        <v>160</v>
      </c>
      <c r="G46" s="5">
        <v>175</v>
      </c>
      <c r="H46" s="4" t="s">
        <v>83</v>
      </c>
      <c r="I46" s="10">
        <v>793</v>
      </c>
      <c r="J46" s="34">
        <f t="shared" si="0"/>
        <v>6.8990999999999998</v>
      </c>
      <c r="K46" s="34">
        <f t="shared" si="1"/>
        <v>10.35</v>
      </c>
      <c r="L46" s="34">
        <f t="shared" si="2"/>
        <v>41.4</v>
      </c>
      <c r="M46" s="11" t="s">
        <v>3768</v>
      </c>
      <c r="N46" s="11" t="s">
        <v>3716</v>
      </c>
      <c r="O46" s="11" t="s">
        <v>3711</v>
      </c>
      <c r="P46" s="11" t="s">
        <v>3717</v>
      </c>
      <c r="Q46" s="12">
        <v>160</v>
      </c>
      <c r="R46" s="12">
        <v>175</v>
      </c>
      <c r="S46" s="12">
        <v>9.5</v>
      </c>
      <c r="T46" s="13">
        <v>24.53</v>
      </c>
      <c r="U46" s="13">
        <f t="shared" si="3"/>
        <v>-16.869999999999997</v>
      </c>
      <c r="V46" s="14">
        <v>3004.92</v>
      </c>
      <c r="W46" s="14">
        <v>3004.92</v>
      </c>
      <c r="X46" s="11">
        <v>154</v>
      </c>
      <c r="Y46" s="15" t="s">
        <v>3713</v>
      </c>
      <c r="Z46" s="16">
        <v>2211.92</v>
      </c>
      <c r="AA46" s="17">
        <v>278.89999999999998</v>
      </c>
      <c r="AB46" s="18" t="s">
        <v>3714</v>
      </c>
    </row>
    <row r="47" spans="1:28" x14ac:dyDescent="0.45">
      <c r="A47" s="2" t="s">
        <v>97</v>
      </c>
      <c r="B47" s="2" t="s">
        <v>98</v>
      </c>
      <c r="C47" s="2" t="s">
        <v>4</v>
      </c>
      <c r="D47" s="2" t="s">
        <v>5</v>
      </c>
      <c r="E47" s="2" t="s">
        <v>96</v>
      </c>
      <c r="F47" s="3">
        <v>12</v>
      </c>
      <c r="G47" s="3">
        <v>18</v>
      </c>
      <c r="H47" s="2" t="s">
        <v>7</v>
      </c>
      <c r="I47" s="19">
        <v>25</v>
      </c>
      <c r="J47" s="34">
        <f t="shared" si="0"/>
        <v>0.21749999999999997</v>
      </c>
      <c r="K47" s="34">
        <f t="shared" si="1"/>
        <v>0.33</v>
      </c>
      <c r="L47" s="34">
        <f t="shared" si="2"/>
        <v>1.32</v>
      </c>
      <c r="M47" s="20" t="s">
        <v>3709</v>
      </c>
      <c r="N47" s="20" t="s">
        <v>3710</v>
      </c>
      <c r="O47" s="20" t="s">
        <v>3711</v>
      </c>
      <c r="P47" s="20" t="s">
        <v>3712</v>
      </c>
      <c r="Q47" s="21">
        <v>12</v>
      </c>
      <c r="R47" s="21">
        <v>18</v>
      </c>
      <c r="S47" s="21">
        <v>4</v>
      </c>
      <c r="T47" s="22">
        <v>4.28</v>
      </c>
      <c r="U47" s="13">
        <f t="shared" si="3"/>
        <v>2.96</v>
      </c>
      <c r="V47" s="23">
        <v>524.29999999999995</v>
      </c>
      <c r="W47" s="23">
        <v>524.29999999999995</v>
      </c>
      <c r="X47" s="20">
        <v>20</v>
      </c>
      <c r="Y47" s="24" t="s">
        <v>3713</v>
      </c>
      <c r="Z47" s="16">
        <v>499.3</v>
      </c>
      <c r="AA47" s="17">
        <v>1997.2</v>
      </c>
      <c r="AB47" s="25" t="s">
        <v>3714</v>
      </c>
    </row>
    <row r="48" spans="1:28" x14ac:dyDescent="0.45">
      <c r="A48" s="4" t="s">
        <v>99</v>
      </c>
      <c r="B48" s="4" t="s">
        <v>100</v>
      </c>
      <c r="C48" s="4" t="s">
        <v>4</v>
      </c>
      <c r="D48" s="4" t="s">
        <v>5</v>
      </c>
      <c r="E48" s="4" t="s">
        <v>96</v>
      </c>
      <c r="F48" s="5">
        <v>12</v>
      </c>
      <c r="G48" s="5">
        <v>20</v>
      </c>
      <c r="H48" s="4" t="s">
        <v>12</v>
      </c>
      <c r="I48" s="10">
        <v>29</v>
      </c>
      <c r="J48" s="34">
        <f t="shared" si="0"/>
        <v>0.25229999999999997</v>
      </c>
      <c r="K48" s="34">
        <f t="shared" si="1"/>
        <v>0.38</v>
      </c>
      <c r="L48" s="34">
        <f t="shared" si="2"/>
        <v>1.52</v>
      </c>
      <c r="M48" s="11" t="s">
        <v>3769</v>
      </c>
      <c r="N48" s="11" t="s">
        <v>3719</v>
      </c>
      <c r="O48" s="11" t="s">
        <v>3711</v>
      </c>
      <c r="P48" s="11" t="s">
        <v>3720</v>
      </c>
      <c r="Q48" s="12">
        <v>12</v>
      </c>
      <c r="R48" s="12">
        <v>20</v>
      </c>
      <c r="S48" s="12">
        <v>4</v>
      </c>
      <c r="T48" s="13">
        <v>11.23</v>
      </c>
      <c r="U48" s="13">
        <f t="shared" si="3"/>
        <v>9.7100000000000009</v>
      </c>
      <c r="V48" s="14">
        <v>1375.68</v>
      </c>
      <c r="W48" s="14">
        <v>1375.68</v>
      </c>
      <c r="X48" s="11">
        <v>24</v>
      </c>
      <c r="Y48" s="15" t="s">
        <v>3713</v>
      </c>
      <c r="Z48" s="16">
        <v>1346.68</v>
      </c>
      <c r="AA48" s="17">
        <v>4643.7</v>
      </c>
      <c r="AB48" s="18" t="s">
        <v>3714</v>
      </c>
    </row>
    <row r="49" spans="1:28" x14ac:dyDescent="0.45">
      <c r="A49" s="2" t="s">
        <v>101</v>
      </c>
      <c r="B49" s="2" t="s">
        <v>102</v>
      </c>
      <c r="C49" s="2" t="s">
        <v>4</v>
      </c>
      <c r="D49" s="2" t="s">
        <v>5</v>
      </c>
      <c r="E49" s="2" t="s">
        <v>96</v>
      </c>
      <c r="F49" s="3">
        <v>15</v>
      </c>
      <c r="G49" s="3">
        <v>21.6</v>
      </c>
      <c r="H49" s="2" t="s">
        <v>103</v>
      </c>
      <c r="I49" s="19">
        <v>27</v>
      </c>
      <c r="J49" s="34">
        <f t="shared" si="0"/>
        <v>0.2349</v>
      </c>
      <c r="K49" s="34">
        <f t="shared" si="1"/>
        <v>0.35</v>
      </c>
      <c r="L49" s="34">
        <f t="shared" si="2"/>
        <v>1.4</v>
      </c>
      <c r="M49" s="20" t="s">
        <v>3770</v>
      </c>
      <c r="N49" s="20" t="s">
        <v>3719</v>
      </c>
      <c r="O49" s="20" t="s">
        <v>3711</v>
      </c>
      <c r="P49" s="20" t="s">
        <v>3720</v>
      </c>
      <c r="Q49" s="21">
        <v>14</v>
      </c>
      <c r="R49" s="21">
        <v>22</v>
      </c>
      <c r="S49" s="21">
        <v>4</v>
      </c>
      <c r="T49" s="22">
        <v>9.43</v>
      </c>
      <c r="U49" s="13">
        <f t="shared" si="3"/>
        <v>8.0299999999999994</v>
      </c>
      <c r="V49" s="23">
        <v>1155.18</v>
      </c>
      <c r="W49" s="23">
        <v>1155.18</v>
      </c>
      <c r="X49" s="20">
        <v>7</v>
      </c>
      <c r="Y49" s="24" t="s">
        <v>3713</v>
      </c>
      <c r="Z49" s="16">
        <v>1128.18</v>
      </c>
      <c r="AA49" s="17">
        <v>4178.3999999999996</v>
      </c>
      <c r="AB49" s="25" t="s">
        <v>3771</v>
      </c>
    </row>
    <row r="50" spans="1:28" x14ac:dyDescent="0.45">
      <c r="A50" s="4" t="s">
        <v>104</v>
      </c>
      <c r="B50" s="4" t="s">
        <v>105</v>
      </c>
      <c r="C50" s="4" t="s">
        <v>4</v>
      </c>
      <c r="D50" s="4" t="s">
        <v>5</v>
      </c>
      <c r="E50" s="4" t="s">
        <v>96</v>
      </c>
      <c r="F50" s="5">
        <v>16</v>
      </c>
      <c r="G50" s="5">
        <v>24</v>
      </c>
      <c r="H50" s="4" t="s">
        <v>106</v>
      </c>
      <c r="I50" s="10">
        <v>23</v>
      </c>
      <c r="J50" s="34">
        <f t="shared" si="0"/>
        <v>0.2001</v>
      </c>
      <c r="K50" s="34">
        <f t="shared" si="1"/>
        <v>0.3</v>
      </c>
      <c r="L50" s="34">
        <f t="shared" si="2"/>
        <v>1.2</v>
      </c>
      <c r="M50" s="11" t="s">
        <v>3772</v>
      </c>
      <c r="N50" s="11" t="s">
        <v>3719</v>
      </c>
      <c r="O50" s="11" t="s">
        <v>3711</v>
      </c>
      <c r="P50" s="11" t="s">
        <v>3720</v>
      </c>
      <c r="Q50" s="12">
        <v>16</v>
      </c>
      <c r="R50" s="12">
        <v>24</v>
      </c>
      <c r="S50" s="12">
        <v>4</v>
      </c>
      <c r="T50" s="13">
        <v>12.03</v>
      </c>
      <c r="U50" s="13">
        <f t="shared" si="3"/>
        <v>10.83</v>
      </c>
      <c r="V50" s="14">
        <v>1473.68</v>
      </c>
      <c r="W50" s="14">
        <v>1473.68</v>
      </c>
      <c r="X50" s="11">
        <v>34</v>
      </c>
      <c r="Y50" s="15" t="s">
        <v>3713</v>
      </c>
      <c r="Z50" s="16">
        <v>1450.68</v>
      </c>
      <c r="AA50" s="17">
        <v>6307.3</v>
      </c>
      <c r="AB50" s="18" t="s">
        <v>3714</v>
      </c>
    </row>
    <row r="51" spans="1:28" x14ac:dyDescent="0.45">
      <c r="A51" s="2" t="s">
        <v>107</v>
      </c>
      <c r="B51" s="2" t="s">
        <v>108</v>
      </c>
      <c r="C51" s="2" t="s">
        <v>4</v>
      </c>
      <c r="D51" s="2" t="s">
        <v>5</v>
      </c>
      <c r="E51" s="2" t="s">
        <v>96</v>
      </c>
      <c r="F51" s="3">
        <v>16</v>
      </c>
      <c r="G51" s="3">
        <v>24</v>
      </c>
      <c r="H51" s="2" t="s">
        <v>12</v>
      </c>
      <c r="I51" s="19">
        <v>29</v>
      </c>
      <c r="J51" s="34">
        <f t="shared" si="0"/>
        <v>0.25229999999999997</v>
      </c>
      <c r="K51" s="34">
        <f t="shared" si="1"/>
        <v>0.38</v>
      </c>
      <c r="L51" s="34">
        <f t="shared" si="2"/>
        <v>1.52</v>
      </c>
      <c r="M51" s="20" t="s">
        <v>3772</v>
      </c>
      <c r="N51" s="20" t="s">
        <v>3719</v>
      </c>
      <c r="O51" s="20" t="s">
        <v>3711</v>
      </c>
      <c r="P51" s="20" t="s">
        <v>3720</v>
      </c>
      <c r="Q51" s="21">
        <v>16</v>
      </c>
      <c r="R51" s="21">
        <v>24</v>
      </c>
      <c r="S51" s="21">
        <v>4</v>
      </c>
      <c r="T51" s="22">
        <v>12.03</v>
      </c>
      <c r="U51" s="13">
        <f t="shared" si="3"/>
        <v>10.51</v>
      </c>
      <c r="V51" s="23">
        <v>1473.68</v>
      </c>
      <c r="W51" s="23">
        <v>1473.68</v>
      </c>
      <c r="X51" s="20">
        <v>34</v>
      </c>
      <c r="Y51" s="24" t="s">
        <v>3713</v>
      </c>
      <c r="Z51" s="16">
        <v>1444.68</v>
      </c>
      <c r="AA51" s="17">
        <v>4981.7</v>
      </c>
      <c r="AB51" s="25" t="s">
        <v>3714</v>
      </c>
    </row>
    <row r="52" spans="1:28" x14ac:dyDescent="0.45">
      <c r="A52" s="4" t="s">
        <v>109</v>
      </c>
      <c r="B52" s="4" t="s">
        <v>110</v>
      </c>
      <c r="C52" s="4" t="s">
        <v>4</v>
      </c>
      <c r="D52" s="4" t="s">
        <v>5</v>
      </c>
      <c r="E52" s="4" t="s">
        <v>96</v>
      </c>
      <c r="F52" s="5">
        <v>18</v>
      </c>
      <c r="G52" s="5">
        <v>24.6</v>
      </c>
      <c r="H52" s="4" t="s">
        <v>111</v>
      </c>
      <c r="I52" s="10">
        <v>25</v>
      </c>
      <c r="J52" s="34">
        <f t="shared" si="0"/>
        <v>0.21749999999999997</v>
      </c>
      <c r="K52" s="34">
        <f t="shared" si="1"/>
        <v>0.33</v>
      </c>
      <c r="L52" s="34">
        <f t="shared" si="2"/>
        <v>1.32</v>
      </c>
      <c r="M52" s="11" t="s">
        <v>3715</v>
      </c>
      <c r="N52" s="11" t="s">
        <v>3716</v>
      </c>
      <c r="O52" s="11" t="s">
        <v>3711</v>
      </c>
      <c r="P52" s="11" t="s">
        <v>3717</v>
      </c>
      <c r="Q52" s="12">
        <v>18</v>
      </c>
      <c r="R52" s="12">
        <v>24</v>
      </c>
      <c r="S52" s="12">
        <v>5</v>
      </c>
      <c r="T52" s="13">
        <v>4.1500000000000004</v>
      </c>
      <c r="U52" s="13">
        <f t="shared" si="3"/>
        <v>2.83</v>
      </c>
      <c r="V52" s="14">
        <v>508.38</v>
      </c>
      <c r="W52" s="14">
        <v>508.38</v>
      </c>
      <c r="X52" s="11">
        <v>127</v>
      </c>
      <c r="Y52" s="15" t="s">
        <v>3713</v>
      </c>
      <c r="Z52" s="16">
        <v>483.38</v>
      </c>
      <c r="AA52" s="17">
        <v>1933.5</v>
      </c>
      <c r="AB52" s="18" t="s">
        <v>3773</v>
      </c>
    </row>
    <row r="53" spans="1:28" x14ac:dyDescent="0.45">
      <c r="A53" s="2" t="s">
        <v>112</v>
      </c>
      <c r="B53" s="2" t="s">
        <v>113</v>
      </c>
      <c r="C53" s="2" t="s">
        <v>4</v>
      </c>
      <c r="D53" s="2" t="s">
        <v>5</v>
      </c>
      <c r="E53" s="2" t="s">
        <v>96</v>
      </c>
      <c r="F53" s="3">
        <v>18</v>
      </c>
      <c r="G53" s="3">
        <v>26</v>
      </c>
      <c r="H53" s="2" t="s">
        <v>12</v>
      </c>
      <c r="I53" s="19">
        <v>25</v>
      </c>
      <c r="J53" s="34">
        <f t="shared" si="0"/>
        <v>0.21749999999999997</v>
      </c>
      <c r="K53" s="34">
        <f t="shared" si="1"/>
        <v>0.33</v>
      </c>
      <c r="L53" s="34">
        <f t="shared" si="2"/>
        <v>1.32</v>
      </c>
      <c r="M53" s="20" t="s">
        <v>3718</v>
      </c>
      <c r="N53" s="20" t="s">
        <v>3719</v>
      </c>
      <c r="O53" s="20" t="s">
        <v>3711</v>
      </c>
      <c r="P53" s="20" t="s">
        <v>3720</v>
      </c>
      <c r="Q53" s="21">
        <v>18</v>
      </c>
      <c r="R53" s="21">
        <v>26</v>
      </c>
      <c r="S53" s="21">
        <v>4</v>
      </c>
      <c r="T53" s="22">
        <v>4.1900000000000004</v>
      </c>
      <c r="U53" s="13">
        <f t="shared" si="3"/>
        <v>2.87</v>
      </c>
      <c r="V53" s="23">
        <v>513.28</v>
      </c>
      <c r="W53" s="23">
        <v>513.28</v>
      </c>
      <c r="X53" s="20">
        <v>55</v>
      </c>
      <c r="Y53" s="24" t="s">
        <v>3713</v>
      </c>
      <c r="Z53" s="16">
        <v>488.28</v>
      </c>
      <c r="AA53" s="17">
        <v>1953.1</v>
      </c>
      <c r="AB53" s="25" t="s">
        <v>3714</v>
      </c>
    </row>
    <row r="54" spans="1:28" x14ac:dyDescent="0.45">
      <c r="A54" s="4" t="s">
        <v>114</v>
      </c>
      <c r="B54" s="4" t="s">
        <v>115</v>
      </c>
      <c r="C54" s="4" t="s">
        <v>4</v>
      </c>
      <c r="D54" s="4" t="s">
        <v>5</v>
      </c>
      <c r="E54" s="4" t="s">
        <v>96</v>
      </c>
      <c r="F54" s="5">
        <v>18</v>
      </c>
      <c r="G54" s="5">
        <v>28</v>
      </c>
      <c r="H54" s="4" t="s">
        <v>116</v>
      </c>
      <c r="I54" s="10">
        <v>27</v>
      </c>
      <c r="J54" s="34">
        <f t="shared" si="0"/>
        <v>0.2349</v>
      </c>
      <c r="K54" s="34">
        <f t="shared" si="1"/>
        <v>0.35</v>
      </c>
      <c r="L54" s="34">
        <f t="shared" si="2"/>
        <v>1.4</v>
      </c>
      <c r="M54" s="11" t="s">
        <v>3774</v>
      </c>
      <c r="N54" s="11" t="s">
        <v>3775</v>
      </c>
      <c r="O54" s="11" t="s">
        <v>3711</v>
      </c>
      <c r="P54" s="11" t="s">
        <v>3776</v>
      </c>
      <c r="Q54" s="12">
        <v>18</v>
      </c>
      <c r="R54" s="12">
        <v>28</v>
      </c>
      <c r="S54" s="12">
        <v>7</v>
      </c>
      <c r="T54" s="13">
        <v>4.32</v>
      </c>
      <c r="U54" s="13">
        <f t="shared" si="3"/>
        <v>2.9200000000000004</v>
      </c>
      <c r="V54" s="14">
        <v>529.20000000000005</v>
      </c>
      <c r="W54" s="14">
        <v>529.20000000000005</v>
      </c>
      <c r="X54" s="11">
        <v>3</v>
      </c>
      <c r="Y54" s="15" t="s">
        <v>3713</v>
      </c>
      <c r="Z54" s="16">
        <v>502.2</v>
      </c>
      <c r="AA54" s="17">
        <v>1860</v>
      </c>
      <c r="AB54" s="18" t="s">
        <v>3714</v>
      </c>
    </row>
    <row r="55" spans="1:28" x14ac:dyDescent="0.45">
      <c r="A55" s="2" t="s">
        <v>117</v>
      </c>
      <c r="B55" s="2" t="s">
        <v>118</v>
      </c>
      <c r="C55" s="2" t="s">
        <v>4</v>
      </c>
      <c r="D55" s="2" t="s">
        <v>5</v>
      </c>
      <c r="E55" s="2" t="s">
        <v>96</v>
      </c>
      <c r="F55" s="3">
        <v>20</v>
      </c>
      <c r="G55" s="3">
        <v>28</v>
      </c>
      <c r="H55" s="2" t="s">
        <v>12</v>
      </c>
      <c r="I55" s="19">
        <v>25</v>
      </c>
      <c r="J55" s="34">
        <f t="shared" si="0"/>
        <v>0.21749999999999997</v>
      </c>
      <c r="K55" s="34">
        <f t="shared" si="1"/>
        <v>0.33</v>
      </c>
      <c r="L55" s="34">
        <f t="shared" si="2"/>
        <v>1.32</v>
      </c>
      <c r="M55" s="20" t="s">
        <v>3721</v>
      </c>
      <c r="N55" s="20" t="s">
        <v>3719</v>
      </c>
      <c r="O55" s="20" t="s">
        <v>3711</v>
      </c>
      <c r="P55" s="20" t="s">
        <v>3720</v>
      </c>
      <c r="Q55" s="21">
        <v>20</v>
      </c>
      <c r="R55" s="21">
        <v>28</v>
      </c>
      <c r="S55" s="21">
        <v>4</v>
      </c>
      <c r="T55" s="22">
        <v>11.74</v>
      </c>
      <c r="U55" s="13">
        <f t="shared" si="3"/>
        <v>10.42</v>
      </c>
      <c r="V55" s="23">
        <v>1438.15</v>
      </c>
      <c r="W55" s="23">
        <v>1438.15</v>
      </c>
      <c r="X55" s="20" t="s">
        <v>3722</v>
      </c>
      <c r="Y55" s="24" t="s">
        <v>3713</v>
      </c>
      <c r="Z55" s="16">
        <v>1413.15</v>
      </c>
      <c r="AA55" s="17">
        <v>5652.6</v>
      </c>
      <c r="AB55" s="25" t="s">
        <v>3714</v>
      </c>
    </row>
    <row r="56" spans="1:28" x14ac:dyDescent="0.45">
      <c r="A56" s="4" t="s">
        <v>119</v>
      </c>
      <c r="B56" s="4" t="s">
        <v>120</v>
      </c>
      <c r="C56" s="4" t="s">
        <v>4</v>
      </c>
      <c r="D56" s="4" t="s">
        <v>5</v>
      </c>
      <c r="E56" s="4" t="s">
        <v>96</v>
      </c>
      <c r="F56" s="5">
        <v>22</v>
      </c>
      <c r="G56" s="5">
        <v>30</v>
      </c>
      <c r="H56" s="4" t="s">
        <v>12</v>
      </c>
      <c r="I56" s="10">
        <v>25</v>
      </c>
      <c r="J56" s="34">
        <f t="shared" si="0"/>
        <v>0.21749999999999997</v>
      </c>
      <c r="K56" s="34">
        <f t="shared" si="1"/>
        <v>0.33</v>
      </c>
      <c r="L56" s="34">
        <f t="shared" si="2"/>
        <v>1.32</v>
      </c>
      <c r="M56" s="11" t="s">
        <v>3723</v>
      </c>
      <c r="N56" s="11" t="s">
        <v>3719</v>
      </c>
      <c r="O56" s="11" t="s">
        <v>3711</v>
      </c>
      <c r="P56" s="11" t="s">
        <v>3720</v>
      </c>
      <c r="Q56" s="12">
        <v>22</v>
      </c>
      <c r="R56" s="12">
        <v>30</v>
      </c>
      <c r="S56" s="12">
        <v>4</v>
      </c>
      <c r="T56" s="13">
        <v>7.14</v>
      </c>
      <c r="U56" s="13">
        <f t="shared" si="3"/>
        <v>5.8199999999999994</v>
      </c>
      <c r="V56" s="14">
        <v>874.65</v>
      </c>
      <c r="W56" s="14">
        <v>874.65</v>
      </c>
      <c r="X56" s="11">
        <v>16</v>
      </c>
      <c r="Y56" s="15" t="s">
        <v>3713</v>
      </c>
      <c r="Z56" s="16">
        <v>849.65</v>
      </c>
      <c r="AA56" s="17">
        <v>3398.6</v>
      </c>
      <c r="AB56" s="18" t="s">
        <v>3714</v>
      </c>
    </row>
    <row r="57" spans="1:28" x14ac:dyDescent="0.45">
      <c r="A57" s="2" t="s">
        <v>121</v>
      </c>
      <c r="B57" s="2" t="s">
        <v>122</v>
      </c>
      <c r="C57" s="2" t="s">
        <v>4</v>
      </c>
      <c r="D57" s="2" t="s">
        <v>5</v>
      </c>
      <c r="E57" s="2" t="s">
        <v>96</v>
      </c>
      <c r="F57" s="3">
        <v>25</v>
      </c>
      <c r="G57" s="3">
        <v>33</v>
      </c>
      <c r="H57" s="2" t="s">
        <v>123</v>
      </c>
      <c r="I57" s="19">
        <v>25</v>
      </c>
      <c r="J57" s="34">
        <f t="shared" si="0"/>
        <v>0.21749999999999997</v>
      </c>
      <c r="K57" s="34">
        <f t="shared" si="1"/>
        <v>0.33</v>
      </c>
      <c r="L57" s="34">
        <f t="shared" si="2"/>
        <v>1.32</v>
      </c>
      <c r="M57" s="20" t="s">
        <v>3724</v>
      </c>
      <c r="N57" s="20" t="s">
        <v>3719</v>
      </c>
      <c r="O57" s="20" t="s">
        <v>3711</v>
      </c>
      <c r="P57" s="20" t="s">
        <v>3720</v>
      </c>
      <c r="Q57" s="21">
        <v>25</v>
      </c>
      <c r="R57" s="21">
        <v>33</v>
      </c>
      <c r="S57" s="21">
        <v>4</v>
      </c>
      <c r="T57" s="22">
        <v>7.87</v>
      </c>
      <c r="U57" s="13">
        <f t="shared" si="3"/>
        <v>6.55</v>
      </c>
      <c r="V57" s="23">
        <v>964.08</v>
      </c>
      <c r="W57" s="23">
        <v>964.08</v>
      </c>
      <c r="X57" s="20" t="s">
        <v>3722</v>
      </c>
      <c r="Y57" s="24" t="s">
        <v>3713</v>
      </c>
      <c r="Z57" s="16">
        <v>939.08</v>
      </c>
      <c r="AA57" s="17">
        <v>3756.3</v>
      </c>
      <c r="AB57" s="25" t="s">
        <v>3714</v>
      </c>
    </row>
    <row r="58" spans="1:28" x14ac:dyDescent="0.45">
      <c r="A58" s="4" t="s">
        <v>124</v>
      </c>
      <c r="B58" s="4" t="s">
        <v>125</v>
      </c>
      <c r="C58" s="4" t="s">
        <v>4</v>
      </c>
      <c r="D58" s="4" t="s">
        <v>5</v>
      </c>
      <c r="E58" s="4" t="s">
        <v>96</v>
      </c>
      <c r="F58" s="5">
        <v>25</v>
      </c>
      <c r="G58" s="5">
        <v>33</v>
      </c>
      <c r="H58" s="4" t="s">
        <v>12</v>
      </c>
      <c r="I58" s="10">
        <v>25</v>
      </c>
      <c r="J58" s="34">
        <f t="shared" si="0"/>
        <v>0.21749999999999997</v>
      </c>
      <c r="K58" s="34">
        <f t="shared" si="1"/>
        <v>0.33</v>
      </c>
      <c r="L58" s="34">
        <f t="shared" si="2"/>
        <v>1.32</v>
      </c>
      <c r="M58" s="11" t="s">
        <v>3724</v>
      </c>
      <c r="N58" s="11" t="s">
        <v>3719</v>
      </c>
      <c r="O58" s="11" t="s">
        <v>3711</v>
      </c>
      <c r="P58" s="11" t="s">
        <v>3720</v>
      </c>
      <c r="Q58" s="12">
        <v>25</v>
      </c>
      <c r="R58" s="12">
        <v>33</v>
      </c>
      <c r="S58" s="12">
        <v>4</v>
      </c>
      <c r="T58" s="13">
        <v>7.87</v>
      </c>
      <c r="U58" s="13">
        <f t="shared" si="3"/>
        <v>6.55</v>
      </c>
      <c r="V58" s="14">
        <v>964.08</v>
      </c>
      <c r="W58" s="14">
        <v>964.08</v>
      </c>
      <c r="X58" s="11" t="s">
        <v>3722</v>
      </c>
      <c r="Y58" s="15" t="s">
        <v>3713</v>
      </c>
      <c r="Z58" s="16">
        <v>939.08</v>
      </c>
      <c r="AA58" s="17">
        <v>3756.3</v>
      </c>
      <c r="AB58" s="18" t="s">
        <v>3714</v>
      </c>
    </row>
    <row r="59" spans="1:28" x14ac:dyDescent="0.45">
      <c r="A59" s="2" t="s">
        <v>126</v>
      </c>
      <c r="B59" s="2" t="s">
        <v>127</v>
      </c>
      <c r="C59" s="2" t="s">
        <v>4</v>
      </c>
      <c r="D59" s="2" t="s">
        <v>5</v>
      </c>
      <c r="E59" s="2" t="s">
        <v>96</v>
      </c>
      <c r="F59" s="3">
        <v>28</v>
      </c>
      <c r="G59" s="3">
        <v>36</v>
      </c>
      <c r="H59" s="2" t="s">
        <v>12</v>
      </c>
      <c r="I59" s="19">
        <v>34</v>
      </c>
      <c r="J59" s="34">
        <f t="shared" si="0"/>
        <v>0.29579999999999995</v>
      </c>
      <c r="K59" s="34">
        <f t="shared" si="1"/>
        <v>0.44</v>
      </c>
      <c r="L59" s="34">
        <f t="shared" si="2"/>
        <v>1.76</v>
      </c>
      <c r="M59" s="20" t="s">
        <v>3725</v>
      </c>
      <c r="N59" s="20" t="s">
        <v>3716</v>
      </c>
      <c r="O59" s="20" t="s">
        <v>3711</v>
      </c>
      <c r="P59" s="20" t="s">
        <v>3717</v>
      </c>
      <c r="Q59" s="21">
        <v>28</v>
      </c>
      <c r="R59" s="21">
        <v>36</v>
      </c>
      <c r="S59" s="21">
        <v>5</v>
      </c>
      <c r="T59" s="22">
        <v>5.53</v>
      </c>
      <c r="U59" s="13">
        <f t="shared" si="3"/>
        <v>3.7700000000000005</v>
      </c>
      <c r="V59" s="23">
        <v>677.42</v>
      </c>
      <c r="W59" s="23">
        <v>677.42</v>
      </c>
      <c r="X59" s="20">
        <v>381</v>
      </c>
      <c r="Y59" s="24" t="s">
        <v>3713</v>
      </c>
      <c r="Z59" s="16">
        <v>643.41999999999996</v>
      </c>
      <c r="AA59" s="17">
        <v>1892.4</v>
      </c>
      <c r="AB59" s="25" t="s">
        <v>3714</v>
      </c>
    </row>
    <row r="60" spans="1:28" x14ac:dyDescent="0.45">
      <c r="A60" s="4" t="s">
        <v>128</v>
      </c>
      <c r="B60" s="4" t="s">
        <v>129</v>
      </c>
      <c r="C60" s="4" t="s">
        <v>4</v>
      </c>
      <c r="D60" s="4" t="s">
        <v>5</v>
      </c>
      <c r="E60" s="4" t="s">
        <v>96</v>
      </c>
      <c r="F60" s="5">
        <v>28</v>
      </c>
      <c r="G60" s="5">
        <v>38</v>
      </c>
      <c r="H60" s="4" t="s">
        <v>12</v>
      </c>
      <c r="I60" s="10">
        <v>35</v>
      </c>
      <c r="J60" s="34">
        <f t="shared" si="0"/>
        <v>0.30449999999999999</v>
      </c>
      <c r="K60" s="34">
        <f t="shared" si="1"/>
        <v>0.46</v>
      </c>
      <c r="L60" s="34">
        <f t="shared" si="2"/>
        <v>1.84</v>
      </c>
      <c r="M60" s="11" t="s">
        <v>3777</v>
      </c>
      <c r="N60" s="11" t="s">
        <v>3735</v>
      </c>
      <c r="O60" s="11" t="s">
        <v>3711</v>
      </c>
      <c r="P60" s="11" t="s">
        <v>3736</v>
      </c>
      <c r="Q60" s="12">
        <v>28.448</v>
      </c>
      <c r="R60" s="12">
        <v>38.1</v>
      </c>
      <c r="S60" s="12">
        <v>4.5720000000000001</v>
      </c>
      <c r="T60" s="13">
        <v>2.16</v>
      </c>
      <c r="U60" s="13">
        <f t="shared" si="3"/>
        <v>0.32000000000000006</v>
      </c>
      <c r="V60" s="14">
        <v>264.60000000000002</v>
      </c>
      <c r="W60" s="14">
        <v>264.60000000000002</v>
      </c>
      <c r="X60" s="11">
        <v>3</v>
      </c>
      <c r="Y60" s="15" t="s">
        <v>3737</v>
      </c>
      <c r="Z60" s="16">
        <v>229.6</v>
      </c>
      <c r="AA60" s="17">
        <v>656</v>
      </c>
      <c r="AB60" s="18" t="s">
        <v>3778</v>
      </c>
    </row>
    <row r="61" spans="1:28" x14ac:dyDescent="0.45">
      <c r="A61" s="2" t="s">
        <v>130</v>
      </c>
      <c r="B61" s="2" t="s">
        <v>131</v>
      </c>
      <c r="C61" s="2" t="s">
        <v>4</v>
      </c>
      <c r="D61" s="2" t="s">
        <v>5</v>
      </c>
      <c r="E61" s="2" t="s">
        <v>96</v>
      </c>
      <c r="F61" s="3">
        <v>30</v>
      </c>
      <c r="G61" s="3">
        <v>38</v>
      </c>
      <c r="H61" s="2" t="s">
        <v>12</v>
      </c>
      <c r="I61" s="19">
        <v>34</v>
      </c>
      <c r="J61" s="34">
        <f t="shared" si="0"/>
        <v>0.29579999999999995</v>
      </c>
      <c r="K61" s="34">
        <f t="shared" si="1"/>
        <v>0.44</v>
      </c>
      <c r="L61" s="34">
        <f t="shared" si="2"/>
        <v>1.76</v>
      </c>
      <c r="M61" s="20" t="s">
        <v>3726</v>
      </c>
      <c r="N61" s="20" t="s">
        <v>3716</v>
      </c>
      <c r="O61" s="20" t="s">
        <v>3711</v>
      </c>
      <c r="P61" s="20" t="s">
        <v>3717</v>
      </c>
      <c r="Q61" s="21">
        <v>30</v>
      </c>
      <c r="R61" s="21">
        <v>38</v>
      </c>
      <c r="S61" s="21">
        <v>5</v>
      </c>
      <c r="T61" s="22">
        <v>5.98</v>
      </c>
      <c r="U61" s="13">
        <f t="shared" si="3"/>
        <v>4.2200000000000006</v>
      </c>
      <c r="V61" s="23">
        <v>732.55</v>
      </c>
      <c r="W61" s="23">
        <v>732.55</v>
      </c>
      <c r="X61" s="20">
        <v>138</v>
      </c>
      <c r="Y61" s="24" t="s">
        <v>3713</v>
      </c>
      <c r="Z61" s="16">
        <v>698.55</v>
      </c>
      <c r="AA61" s="17">
        <v>2054.6</v>
      </c>
      <c r="AB61" s="25" t="s">
        <v>3714</v>
      </c>
    </row>
    <row r="62" spans="1:28" x14ac:dyDescent="0.45">
      <c r="A62" s="4" t="s">
        <v>132</v>
      </c>
      <c r="B62" s="4" t="s">
        <v>133</v>
      </c>
      <c r="C62" s="4" t="s">
        <v>4</v>
      </c>
      <c r="D62" s="4" t="s">
        <v>5</v>
      </c>
      <c r="E62" s="4" t="s">
        <v>96</v>
      </c>
      <c r="F62" s="5">
        <v>30</v>
      </c>
      <c r="G62" s="5">
        <v>40</v>
      </c>
      <c r="H62" s="4" t="s">
        <v>12</v>
      </c>
      <c r="I62" s="10">
        <v>35</v>
      </c>
      <c r="J62" s="34">
        <f t="shared" si="0"/>
        <v>0.30449999999999999</v>
      </c>
      <c r="K62" s="34">
        <f t="shared" si="1"/>
        <v>0.46</v>
      </c>
      <c r="L62" s="34">
        <f t="shared" si="2"/>
        <v>1.84</v>
      </c>
      <c r="M62" s="11" t="s">
        <v>3779</v>
      </c>
      <c r="N62" s="11" t="s">
        <v>3775</v>
      </c>
      <c r="O62" s="11" t="s">
        <v>3711</v>
      </c>
      <c r="P62" s="11" t="s">
        <v>3776</v>
      </c>
      <c r="Q62" s="12">
        <v>30</v>
      </c>
      <c r="R62" s="12">
        <v>40</v>
      </c>
      <c r="S62" s="12">
        <v>5</v>
      </c>
      <c r="T62" s="13">
        <v>7.78</v>
      </c>
      <c r="U62" s="13">
        <f t="shared" si="3"/>
        <v>5.94</v>
      </c>
      <c r="V62" s="14">
        <v>953.05</v>
      </c>
      <c r="W62" s="14">
        <v>953.05</v>
      </c>
      <c r="X62" s="11">
        <v>148</v>
      </c>
      <c r="Y62" s="15" t="s">
        <v>3713</v>
      </c>
      <c r="Z62" s="16">
        <v>918.05</v>
      </c>
      <c r="AA62" s="17">
        <v>2623</v>
      </c>
      <c r="AB62" s="18" t="s">
        <v>3714</v>
      </c>
    </row>
    <row r="63" spans="1:28" x14ac:dyDescent="0.45">
      <c r="A63" s="2" t="s">
        <v>134</v>
      </c>
      <c r="B63" s="2" t="s">
        <v>135</v>
      </c>
      <c r="C63" s="2" t="s">
        <v>4</v>
      </c>
      <c r="D63" s="2" t="s">
        <v>5</v>
      </c>
      <c r="E63" s="2" t="s">
        <v>96</v>
      </c>
      <c r="F63" s="3">
        <v>30</v>
      </c>
      <c r="G63" s="3">
        <v>42</v>
      </c>
      <c r="H63" s="2" t="s">
        <v>136</v>
      </c>
      <c r="I63" s="19">
        <v>40</v>
      </c>
      <c r="J63" s="34">
        <f t="shared" si="0"/>
        <v>0.34799999999999998</v>
      </c>
      <c r="K63" s="34">
        <f t="shared" si="1"/>
        <v>0.52</v>
      </c>
      <c r="L63" s="34">
        <f t="shared" si="2"/>
        <v>2.08</v>
      </c>
      <c r="M63" s="20" t="s">
        <v>3780</v>
      </c>
      <c r="N63" s="20" t="s">
        <v>3719</v>
      </c>
      <c r="O63" s="20" t="s">
        <v>3711</v>
      </c>
      <c r="P63" s="20" t="s">
        <v>3720</v>
      </c>
      <c r="Q63" s="21">
        <v>30</v>
      </c>
      <c r="R63" s="21">
        <v>42</v>
      </c>
      <c r="S63" s="21">
        <v>6</v>
      </c>
      <c r="T63" s="22">
        <v>4.43</v>
      </c>
      <c r="U63" s="13">
        <f t="shared" si="3"/>
        <v>2.3499999999999996</v>
      </c>
      <c r="V63" s="23">
        <v>542.66999999999996</v>
      </c>
      <c r="W63" s="23">
        <v>542.66999999999996</v>
      </c>
      <c r="X63" s="20" t="s">
        <v>3722</v>
      </c>
      <c r="Y63" s="24" t="s">
        <v>3713</v>
      </c>
      <c r="Z63" s="16">
        <v>502.67</v>
      </c>
      <c r="AA63" s="17">
        <v>1256.7</v>
      </c>
      <c r="AB63" s="25" t="s">
        <v>3714</v>
      </c>
    </row>
    <row r="64" spans="1:28" x14ac:dyDescent="0.45">
      <c r="A64" s="4" t="s">
        <v>137</v>
      </c>
      <c r="B64" s="4" t="s">
        <v>138</v>
      </c>
      <c r="C64" s="4" t="s">
        <v>4</v>
      </c>
      <c r="D64" s="4" t="s">
        <v>5</v>
      </c>
      <c r="E64" s="4" t="s">
        <v>96</v>
      </c>
      <c r="F64" s="5">
        <v>32</v>
      </c>
      <c r="G64" s="5">
        <v>40</v>
      </c>
      <c r="H64" s="4" t="s">
        <v>12</v>
      </c>
      <c r="I64" s="10">
        <v>34</v>
      </c>
      <c r="J64" s="34">
        <f t="shared" si="0"/>
        <v>0.29579999999999995</v>
      </c>
      <c r="K64" s="34">
        <f t="shared" si="1"/>
        <v>0.44</v>
      </c>
      <c r="L64" s="34">
        <f t="shared" si="2"/>
        <v>1.76</v>
      </c>
      <c r="M64" s="11" t="s">
        <v>3727</v>
      </c>
      <c r="N64" s="11" t="s">
        <v>3719</v>
      </c>
      <c r="O64" s="11" t="s">
        <v>3711</v>
      </c>
      <c r="P64" s="11" t="s">
        <v>3720</v>
      </c>
      <c r="Q64" s="12">
        <v>32</v>
      </c>
      <c r="R64" s="12">
        <v>40</v>
      </c>
      <c r="S64" s="12">
        <v>5</v>
      </c>
      <c r="T64" s="13">
        <v>7.49</v>
      </c>
      <c r="U64" s="13">
        <f t="shared" si="3"/>
        <v>5.73</v>
      </c>
      <c r="V64" s="14">
        <v>917.52</v>
      </c>
      <c r="W64" s="14">
        <v>917.52</v>
      </c>
      <c r="X64" s="11">
        <v>11</v>
      </c>
      <c r="Y64" s="15" t="s">
        <v>3713</v>
      </c>
      <c r="Z64" s="16">
        <v>883.52</v>
      </c>
      <c r="AA64" s="17">
        <v>2598.6</v>
      </c>
      <c r="AB64" s="18" t="s">
        <v>3714</v>
      </c>
    </row>
    <row r="65" spans="1:28" x14ac:dyDescent="0.45">
      <c r="A65" s="2" t="s">
        <v>139</v>
      </c>
      <c r="B65" s="2" t="s">
        <v>140</v>
      </c>
      <c r="C65" s="2" t="s">
        <v>4</v>
      </c>
      <c r="D65" s="2" t="s">
        <v>5</v>
      </c>
      <c r="E65" s="2" t="s">
        <v>96</v>
      </c>
      <c r="F65" s="3">
        <v>35</v>
      </c>
      <c r="G65" s="3">
        <v>43</v>
      </c>
      <c r="H65" s="2" t="s">
        <v>12</v>
      </c>
      <c r="I65" s="19">
        <v>34</v>
      </c>
      <c r="J65" s="34">
        <f t="shared" si="0"/>
        <v>0.29579999999999995</v>
      </c>
      <c r="K65" s="34">
        <f t="shared" si="1"/>
        <v>0.44</v>
      </c>
      <c r="L65" s="34">
        <f t="shared" si="2"/>
        <v>1.76</v>
      </c>
      <c r="M65" s="20" t="s">
        <v>3728</v>
      </c>
      <c r="N65" s="20" t="s">
        <v>3716</v>
      </c>
      <c r="O65" s="20" t="s">
        <v>3711</v>
      </c>
      <c r="P65" s="20" t="s">
        <v>3717</v>
      </c>
      <c r="Q65" s="21">
        <v>35</v>
      </c>
      <c r="R65" s="21">
        <v>43</v>
      </c>
      <c r="S65" s="21">
        <v>5</v>
      </c>
      <c r="T65" s="22">
        <v>6.64</v>
      </c>
      <c r="U65" s="13">
        <f t="shared" si="3"/>
        <v>4.88</v>
      </c>
      <c r="V65" s="23">
        <v>813.4</v>
      </c>
      <c r="W65" s="23">
        <v>813.4</v>
      </c>
      <c r="X65" s="20">
        <v>102</v>
      </c>
      <c r="Y65" s="24" t="s">
        <v>3713</v>
      </c>
      <c r="Z65" s="16">
        <v>779.4</v>
      </c>
      <c r="AA65" s="17">
        <v>2292.4</v>
      </c>
      <c r="AB65" s="25" t="s">
        <v>3714</v>
      </c>
    </row>
    <row r="66" spans="1:28" x14ac:dyDescent="0.45">
      <c r="A66" s="4" t="s">
        <v>141</v>
      </c>
      <c r="B66" s="4" t="s">
        <v>142</v>
      </c>
      <c r="C66" s="4" t="s">
        <v>4</v>
      </c>
      <c r="D66" s="4" t="s">
        <v>5</v>
      </c>
      <c r="E66" s="4" t="s">
        <v>96</v>
      </c>
      <c r="F66" s="5">
        <v>35</v>
      </c>
      <c r="G66" s="5">
        <v>45</v>
      </c>
      <c r="H66" s="4" t="s">
        <v>43</v>
      </c>
      <c r="I66" s="10">
        <v>39</v>
      </c>
      <c r="J66" s="34">
        <f t="shared" si="0"/>
        <v>0.33929999999999999</v>
      </c>
      <c r="K66" s="34">
        <f t="shared" si="1"/>
        <v>0.51</v>
      </c>
      <c r="L66" s="34">
        <f t="shared" si="2"/>
        <v>2.04</v>
      </c>
      <c r="M66" s="11" t="s">
        <v>3781</v>
      </c>
      <c r="N66" s="11" t="s">
        <v>3775</v>
      </c>
      <c r="O66" s="11" t="s">
        <v>3711</v>
      </c>
      <c r="P66" s="11" t="s">
        <v>3776</v>
      </c>
      <c r="Q66" s="12">
        <v>35</v>
      </c>
      <c r="R66" s="12">
        <v>45</v>
      </c>
      <c r="S66" s="12">
        <v>7</v>
      </c>
      <c r="T66" s="13">
        <v>8.2899999999999991</v>
      </c>
      <c r="U66" s="13">
        <f t="shared" si="3"/>
        <v>6.2499999999999991</v>
      </c>
      <c r="V66" s="14">
        <v>1015.52</v>
      </c>
      <c r="W66" s="14">
        <v>1015.52</v>
      </c>
      <c r="X66" s="11">
        <v>25</v>
      </c>
      <c r="Y66" s="15" t="s">
        <v>3713</v>
      </c>
      <c r="Z66" s="16">
        <v>976.52</v>
      </c>
      <c r="AA66" s="17">
        <v>2503.9</v>
      </c>
      <c r="AB66" s="18" t="s">
        <v>3714</v>
      </c>
    </row>
    <row r="67" spans="1:28" x14ac:dyDescent="0.45">
      <c r="A67" s="2" t="s">
        <v>143</v>
      </c>
      <c r="B67" s="2" t="s">
        <v>144</v>
      </c>
      <c r="C67" s="2" t="s">
        <v>4</v>
      </c>
      <c r="D67" s="2" t="s">
        <v>5</v>
      </c>
      <c r="E67" s="2" t="s">
        <v>96</v>
      </c>
      <c r="F67" s="3">
        <v>36</v>
      </c>
      <c r="G67" s="3">
        <v>44</v>
      </c>
      <c r="H67" s="2" t="s">
        <v>12</v>
      </c>
      <c r="I67" s="19">
        <v>34</v>
      </c>
      <c r="J67" s="34">
        <f t="shared" si="0"/>
        <v>0.29579999999999995</v>
      </c>
      <c r="K67" s="34">
        <f t="shared" si="1"/>
        <v>0.44</v>
      </c>
      <c r="L67" s="34">
        <f t="shared" si="2"/>
        <v>1.76</v>
      </c>
      <c r="M67" s="20" t="s">
        <v>3729</v>
      </c>
      <c r="N67" s="20" t="s">
        <v>3716</v>
      </c>
      <c r="O67" s="20" t="s">
        <v>3711</v>
      </c>
      <c r="P67" s="20" t="s">
        <v>3717</v>
      </c>
      <c r="Q67" s="21">
        <v>36</v>
      </c>
      <c r="R67" s="21">
        <v>44</v>
      </c>
      <c r="S67" s="21">
        <v>5</v>
      </c>
      <c r="T67" s="22">
        <v>6.87</v>
      </c>
      <c r="U67" s="13">
        <f t="shared" si="3"/>
        <v>5.1100000000000003</v>
      </c>
      <c r="V67" s="23">
        <v>841.58</v>
      </c>
      <c r="W67" s="23">
        <v>841.58</v>
      </c>
      <c r="X67" s="20">
        <v>103</v>
      </c>
      <c r="Y67" s="24" t="s">
        <v>3713</v>
      </c>
      <c r="Z67" s="16">
        <v>807.58</v>
      </c>
      <c r="AA67" s="17">
        <v>2375.1999999999998</v>
      </c>
      <c r="AB67" s="25" t="s">
        <v>3714</v>
      </c>
    </row>
    <row r="68" spans="1:28" x14ac:dyDescent="0.45">
      <c r="A68" s="4" t="s">
        <v>145</v>
      </c>
      <c r="B68" s="4" t="s">
        <v>146</v>
      </c>
      <c r="C68" s="4" t="s">
        <v>4</v>
      </c>
      <c r="D68" s="4" t="s">
        <v>5</v>
      </c>
      <c r="E68" s="4" t="s">
        <v>96</v>
      </c>
      <c r="F68" s="5">
        <v>36</v>
      </c>
      <c r="G68" s="5">
        <v>46</v>
      </c>
      <c r="H68" s="4" t="s">
        <v>12</v>
      </c>
      <c r="I68" s="10">
        <v>37</v>
      </c>
      <c r="J68" s="34">
        <f t="shared" si="0"/>
        <v>0.32189999999999996</v>
      </c>
      <c r="K68" s="34">
        <f t="shared" si="1"/>
        <v>0.48</v>
      </c>
      <c r="L68" s="34">
        <f t="shared" si="2"/>
        <v>1.92</v>
      </c>
      <c r="M68" s="11" t="s">
        <v>3782</v>
      </c>
      <c r="N68" s="11" t="s">
        <v>3719</v>
      </c>
      <c r="O68" s="11" t="s">
        <v>3711</v>
      </c>
      <c r="P68" s="11" t="s">
        <v>3720</v>
      </c>
      <c r="Q68" s="12">
        <v>35</v>
      </c>
      <c r="R68" s="12">
        <v>47</v>
      </c>
      <c r="S68" s="12">
        <v>6</v>
      </c>
      <c r="T68" s="13">
        <v>10.89</v>
      </c>
      <c r="U68" s="13">
        <f t="shared" si="3"/>
        <v>8.9700000000000006</v>
      </c>
      <c r="V68" s="14">
        <v>1334.02</v>
      </c>
      <c r="W68" s="14">
        <v>1334.02</v>
      </c>
      <c r="X68" s="11">
        <v>98</v>
      </c>
      <c r="Y68" s="15" t="s">
        <v>3713</v>
      </c>
      <c r="Z68" s="16">
        <v>1297.02</v>
      </c>
      <c r="AA68" s="17">
        <v>3505.5</v>
      </c>
      <c r="AB68" s="18" t="s">
        <v>3783</v>
      </c>
    </row>
    <row r="69" spans="1:28" x14ac:dyDescent="0.45">
      <c r="A69" s="2" t="s">
        <v>147</v>
      </c>
      <c r="B69" s="2" t="s">
        <v>148</v>
      </c>
      <c r="C69" s="2" t="s">
        <v>4</v>
      </c>
      <c r="D69" s="2" t="s">
        <v>5</v>
      </c>
      <c r="E69" s="2" t="s">
        <v>96</v>
      </c>
      <c r="F69" s="3">
        <v>38</v>
      </c>
      <c r="G69" s="3">
        <v>46</v>
      </c>
      <c r="H69" s="2" t="s">
        <v>12</v>
      </c>
      <c r="I69" s="19">
        <v>34</v>
      </c>
      <c r="J69" s="34">
        <f t="shared" ref="J69:J132" si="4">I69*0.0087</f>
        <v>0.29579999999999995</v>
      </c>
      <c r="K69" s="34">
        <f t="shared" ref="K69:K132" si="5">ROUND(J69*1.5,2)</f>
        <v>0.44</v>
      </c>
      <c r="L69" s="34">
        <f t="shared" ref="L69:L132" si="6">K69*4</f>
        <v>1.76</v>
      </c>
      <c r="M69" s="20" t="s">
        <v>3730</v>
      </c>
      <c r="N69" s="20" t="s">
        <v>3731</v>
      </c>
      <c r="O69" s="20" t="s">
        <v>3711</v>
      </c>
      <c r="P69" s="20" t="s">
        <v>3732</v>
      </c>
      <c r="Q69" s="21">
        <v>38</v>
      </c>
      <c r="R69" s="21">
        <v>46</v>
      </c>
      <c r="S69" s="21">
        <v>5</v>
      </c>
      <c r="T69" s="22">
        <v>20.05</v>
      </c>
      <c r="U69" s="13">
        <f t="shared" ref="U69:U132" si="7">T69-L69</f>
        <v>18.29</v>
      </c>
      <c r="V69" s="23">
        <v>2456.12</v>
      </c>
      <c r="W69" s="23">
        <v>2456.12</v>
      </c>
      <c r="X69" s="20">
        <v>47</v>
      </c>
      <c r="Y69" s="24" t="s">
        <v>3713</v>
      </c>
      <c r="Z69" s="16">
        <v>2422.12</v>
      </c>
      <c r="AA69" s="17">
        <v>7123.9</v>
      </c>
      <c r="AB69" s="25" t="s">
        <v>3714</v>
      </c>
    </row>
    <row r="70" spans="1:28" x14ac:dyDescent="0.45">
      <c r="A70" s="4" t="s">
        <v>149</v>
      </c>
      <c r="B70" s="4" t="s">
        <v>150</v>
      </c>
      <c r="C70" s="4" t="s">
        <v>4</v>
      </c>
      <c r="D70" s="4" t="s">
        <v>5</v>
      </c>
      <c r="E70" s="4" t="s">
        <v>96</v>
      </c>
      <c r="F70" s="5">
        <v>40</v>
      </c>
      <c r="G70" s="5">
        <v>48</v>
      </c>
      <c r="H70" s="4" t="s">
        <v>12</v>
      </c>
      <c r="I70" s="10">
        <v>35</v>
      </c>
      <c r="J70" s="34">
        <f t="shared" si="4"/>
        <v>0.30449999999999999</v>
      </c>
      <c r="K70" s="34">
        <f t="shared" si="5"/>
        <v>0.46</v>
      </c>
      <c r="L70" s="34">
        <f t="shared" si="6"/>
        <v>1.84</v>
      </c>
      <c r="M70" s="11" t="s">
        <v>3733</v>
      </c>
      <c r="N70" s="11" t="s">
        <v>3716</v>
      </c>
      <c r="O70" s="11" t="s">
        <v>3711</v>
      </c>
      <c r="P70" s="11" t="s">
        <v>3717</v>
      </c>
      <c r="Q70" s="12">
        <v>40</v>
      </c>
      <c r="R70" s="12">
        <v>48</v>
      </c>
      <c r="S70" s="12">
        <v>5</v>
      </c>
      <c r="T70" s="13">
        <v>6.87</v>
      </c>
      <c r="U70" s="13">
        <f t="shared" si="7"/>
        <v>5.03</v>
      </c>
      <c r="V70" s="14">
        <v>841.58</v>
      </c>
      <c r="W70" s="14">
        <v>841.58</v>
      </c>
      <c r="X70" s="11">
        <v>254</v>
      </c>
      <c r="Y70" s="15" t="s">
        <v>3713</v>
      </c>
      <c r="Z70" s="16">
        <v>806.58</v>
      </c>
      <c r="AA70" s="17">
        <v>2304.5</v>
      </c>
      <c r="AB70" s="18" t="s">
        <v>3714</v>
      </c>
    </row>
    <row r="71" spans="1:28" x14ac:dyDescent="0.45">
      <c r="A71" s="2" t="s">
        <v>151</v>
      </c>
      <c r="B71" s="2" t="s">
        <v>152</v>
      </c>
      <c r="C71" s="2" t="s">
        <v>4</v>
      </c>
      <c r="D71" s="2" t="s">
        <v>5</v>
      </c>
      <c r="E71" s="2" t="s">
        <v>96</v>
      </c>
      <c r="F71" s="3">
        <v>42</v>
      </c>
      <c r="G71" s="3">
        <v>50</v>
      </c>
      <c r="H71" s="2" t="s">
        <v>12</v>
      </c>
      <c r="I71" s="19">
        <v>35</v>
      </c>
      <c r="J71" s="34">
        <f t="shared" si="4"/>
        <v>0.30449999999999999</v>
      </c>
      <c r="K71" s="34">
        <f t="shared" si="5"/>
        <v>0.46</v>
      </c>
      <c r="L71" s="34">
        <f t="shared" si="6"/>
        <v>1.84</v>
      </c>
      <c r="M71" s="20" t="s">
        <v>3734</v>
      </c>
      <c r="N71" s="20" t="s">
        <v>3735</v>
      </c>
      <c r="O71" s="20" t="s">
        <v>3711</v>
      </c>
      <c r="P71" s="20" t="s">
        <v>3736</v>
      </c>
      <c r="Q71" s="21">
        <v>41.148000000000003</v>
      </c>
      <c r="R71" s="21">
        <v>50.8</v>
      </c>
      <c r="S71" s="21">
        <v>4.5720000000000001</v>
      </c>
      <c r="T71" s="22">
        <v>3.44</v>
      </c>
      <c r="U71" s="13">
        <f t="shared" si="7"/>
        <v>1.5999999999999999</v>
      </c>
      <c r="V71" s="23">
        <v>421.4</v>
      </c>
      <c r="W71" s="23">
        <v>421.4</v>
      </c>
      <c r="X71" s="20">
        <v>99</v>
      </c>
      <c r="Y71" s="24" t="s">
        <v>3737</v>
      </c>
      <c r="Z71" s="16">
        <v>386.4</v>
      </c>
      <c r="AA71" s="17">
        <v>1104</v>
      </c>
      <c r="AB71" s="25" t="s">
        <v>3738</v>
      </c>
    </row>
    <row r="72" spans="1:28" x14ac:dyDescent="0.45">
      <c r="A72" s="4" t="s">
        <v>153</v>
      </c>
      <c r="B72" s="4" t="s">
        <v>154</v>
      </c>
      <c r="C72" s="4" t="s">
        <v>4</v>
      </c>
      <c r="D72" s="4" t="s">
        <v>5</v>
      </c>
      <c r="E72" s="4" t="s">
        <v>96</v>
      </c>
      <c r="F72" s="5">
        <v>45</v>
      </c>
      <c r="G72" s="5">
        <v>53</v>
      </c>
      <c r="H72" s="4" t="s">
        <v>12</v>
      </c>
      <c r="I72" s="10">
        <v>35</v>
      </c>
      <c r="J72" s="34">
        <f t="shared" si="4"/>
        <v>0.30449999999999999</v>
      </c>
      <c r="K72" s="34">
        <f t="shared" si="5"/>
        <v>0.46</v>
      </c>
      <c r="L72" s="34">
        <f t="shared" si="6"/>
        <v>1.84</v>
      </c>
      <c r="M72" s="11" t="s">
        <v>3739</v>
      </c>
      <c r="N72" s="11" t="s">
        <v>3716</v>
      </c>
      <c r="O72" s="11" t="s">
        <v>3711</v>
      </c>
      <c r="P72" s="11" t="s">
        <v>3717</v>
      </c>
      <c r="Q72" s="12">
        <v>45</v>
      </c>
      <c r="R72" s="12">
        <v>53</v>
      </c>
      <c r="S72" s="12">
        <v>5</v>
      </c>
      <c r="T72" s="13">
        <v>7.1</v>
      </c>
      <c r="U72" s="13">
        <f t="shared" si="7"/>
        <v>5.26</v>
      </c>
      <c r="V72" s="14">
        <v>869.75</v>
      </c>
      <c r="W72" s="14">
        <v>869.75</v>
      </c>
      <c r="X72" s="11">
        <v>124</v>
      </c>
      <c r="Y72" s="15" t="s">
        <v>3713</v>
      </c>
      <c r="Z72" s="16">
        <v>834.75</v>
      </c>
      <c r="AA72" s="17">
        <v>2385</v>
      </c>
      <c r="AB72" s="18" t="s">
        <v>3714</v>
      </c>
    </row>
    <row r="73" spans="1:28" x14ac:dyDescent="0.45">
      <c r="A73" s="2" t="s">
        <v>155</v>
      </c>
      <c r="B73" s="2" t="s">
        <v>156</v>
      </c>
      <c r="C73" s="2" t="s">
        <v>4</v>
      </c>
      <c r="D73" s="2" t="s">
        <v>5</v>
      </c>
      <c r="E73" s="2" t="s">
        <v>96</v>
      </c>
      <c r="F73" s="3">
        <v>45</v>
      </c>
      <c r="G73" s="3">
        <v>55</v>
      </c>
      <c r="H73" s="2" t="s">
        <v>12</v>
      </c>
      <c r="I73" s="19">
        <v>39</v>
      </c>
      <c r="J73" s="34">
        <f t="shared" si="4"/>
        <v>0.33929999999999999</v>
      </c>
      <c r="K73" s="34">
        <f t="shared" si="5"/>
        <v>0.51</v>
      </c>
      <c r="L73" s="34">
        <f t="shared" si="6"/>
        <v>2.04</v>
      </c>
      <c r="M73" s="20" t="s">
        <v>3740</v>
      </c>
      <c r="N73" s="20" t="s">
        <v>3716</v>
      </c>
      <c r="O73" s="20" t="s">
        <v>3711</v>
      </c>
      <c r="P73" s="20" t="s">
        <v>3717</v>
      </c>
      <c r="Q73" s="21">
        <v>45</v>
      </c>
      <c r="R73" s="21">
        <v>55</v>
      </c>
      <c r="S73" s="21">
        <v>5</v>
      </c>
      <c r="T73" s="22">
        <v>10.53</v>
      </c>
      <c r="U73" s="13">
        <f t="shared" si="7"/>
        <v>8.4899999999999984</v>
      </c>
      <c r="V73" s="23">
        <v>1289.92</v>
      </c>
      <c r="W73" s="23">
        <v>1289.92</v>
      </c>
      <c r="X73" s="20">
        <v>89</v>
      </c>
      <c r="Y73" s="24" t="s">
        <v>3713</v>
      </c>
      <c r="Z73" s="16">
        <v>1250.92</v>
      </c>
      <c r="AA73" s="17">
        <v>3207.5</v>
      </c>
      <c r="AB73" s="25" t="s">
        <v>3714</v>
      </c>
    </row>
    <row r="74" spans="1:28" x14ac:dyDescent="0.45">
      <c r="A74" s="4" t="s">
        <v>157</v>
      </c>
      <c r="B74" s="4" t="s">
        <v>5601</v>
      </c>
      <c r="C74" s="4" t="s">
        <v>4</v>
      </c>
      <c r="D74" s="4" t="s">
        <v>5</v>
      </c>
      <c r="E74" s="4" t="s">
        <v>96</v>
      </c>
      <c r="F74" s="5">
        <v>45</v>
      </c>
      <c r="G74" s="5">
        <v>55</v>
      </c>
      <c r="H74" s="4" t="s">
        <v>158</v>
      </c>
      <c r="I74" s="10">
        <v>44</v>
      </c>
      <c r="J74" s="34">
        <f t="shared" si="4"/>
        <v>0.38279999999999997</v>
      </c>
      <c r="K74" s="34">
        <f t="shared" si="5"/>
        <v>0.56999999999999995</v>
      </c>
      <c r="L74" s="34">
        <f t="shared" si="6"/>
        <v>2.2799999999999998</v>
      </c>
      <c r="M74" s="11" t="s">
        <v>3740</v>
      </c>
      <c r="N74" s="11" t="s">
        <v>3716</v>
      </c>
      <c r="O74" s="11" t="s">
        <v>3711</v>
      </c>
      <c r="P74" s="11" t="s">
        <v>3717</v>
      </c>
      <c r="Q74" s="12">
        <v>45</v>
      </c>
      <c r="R74" s="12">
        <v>55</v>
      </c>
      <c r="S74" s="12">
        <v>5</v>
      </c>
      <c r="T74" s="13">
        <v>10.53</v>
      </c>
      <c r="U74" s="13">
        <f t="shared" si="7"/>
        <v>8.25</v>
      </c>
      <c r="V74" s="14">
        <v>1289.92</v>
      </c>
      <c r="W74" s="14">
        <v>1289.92</v>
      </c>
      <c r="X74" s="11">
        <v>89</v>
      </c>
      <c r="Y74" s="15" t="s">
        <v>3713</v>
      </c>
      <c r="Z74" s="16">
        <v>1245.92</v>
      </c>
      <c r="AA74" s="17">
        <v>2831.6</v>
      </c>
      <c r="AB74" s="18" t="s">
        <v>3714</v>
      </c>
    </row>
    <row r="75" spans="1:28" x14ac:dyDescent="0.45">
      <c r="A75" s="2" t="s">
        <v>160</v>
      </c>
      <c r="B75" s="2" t="s">
        <v>161</v>
      </c>
      <c r="C75" s="2" t="s">
        <v>4</v>
      </c>
      <c r="D75" s="2" t="s">
        <v>5</v>
      </c>
      <c r="E75" s="2" t="s">
        <v>96</v>
      </c>
      <c r="F75" s="3">
        <v>50</v>
      </c>
      <c r="G75" s="3">
        <v>58</v>
      </c>
      <c r="H75" s="2" t="s">
        <v>12</v>
      </c>
      <c r="I75" s="19">
        <v>37</v>
      </c>
      <c r="J75" s="34">
        <f t="shared" si="4"/>
        <v>0.32189999999999996</v>
      </c>
      <c r="K75" s="34">
        <f t="shared" si="5"/>
        <v>0.48</v>
      </c>
      <c r="L75" s="34">
        <f t="shared" si="6"/>
        <v>1.92</v>
      </c>
      <c r="M75" s="20" t="s">
        <v>3741</v>
      </c>
      <c r="N75" s="20" t="s">
        <v>3719</v>
      </c>
      <c r="O75" s="20" t="s">
        <v>3711</v>
      </c>
      <c r="P75" s="20" t="s">
        <v>3720</v>
      </c>
      <c r="Q75" s="21">
        <v>50</v>
      </c>
      <c r="R75" s="21">
        <v>58</v>
      </c>
      <c r="S75" s="21">
        <v>5</v>
      </c>
      <c r="T75" s="22">
        <v>10.98</v>
      </c>
      <c r="U75" s="13">
        <f t="shared" si="7"/>
        <v>9.06</v>
      </c>
      <c r="V75" s="23">
        <v>1345.05</v>
      </c>
      <c r="W75" s="23">
        <v>1345.05</v>
      </c>
      <c r="X75" s="20">
        <v>81</v>
      </c>
      <c r="Y75" s="24" t="s">
        <v>3713</v>
      </c>
      <c r="Z75" s="16">
        <v>1308.05</v>
      </c>
      <c r="AA75" s="17">
        <v>3535.3</v>
      </c>
      <c r="AB75" s="25" t="s">
        <v>3714</v>
      </c>
    </row>
    <row r="76" spans="1:28" x14ac:dyDescent="0.45">
      <c r="A76" s="4" t="s">
        <v>162</v>
      </c>
      <c r="B76" s="4" t="s">
        <v>163</v>
      </c>
      <c r="C76" s="4" t="s">
        <v>4</v>
      </c>
      <c r="D76" s="4" t="s">
        <v>5</v>
      </c>
      <c r="E76" s="4" t="s">
        <v>96</v>
      </c>
      <c r="F76" s="5">
        <v>50</v>
      </c>
      <c r="G76" s="5">
        <v>60</v>
      </c>
      <c r="H76" s="4" t="s">
        <v>12</v>
      </c>
      <c r="I76" s="10">
        <v>39</v>
      </c>
      <c r="J76" s="34">
        <f t="shared" si="4"/>
        <v>0.33929999999999999</v>
      </c>
      <c r="K76" s="34">
        <f t="shared" si="5"/>
        <v>0.51</v>
      </c>
      <c r="L76" s="34">
        <f t="shared" si="6"/>
        <v>2.04</v>
      </c>
      <c r="M76" s="11" t="s">
        <v>3742</v>
      </c>
      <c r="N76" s="11" t="s">
        <v>3716</v>
      </c>
      <c r="O76" s="11" t="s">
        <v>3711</v>
      </c>
      <c r="P76" s="11" t="s">
        <v>3717</v>
      </c>
      <c r="Q76" s="12">
        <v>50</v>
      </c>
      <c r="R76" s="12">
        <v>60</v>
      </c>
      <c r="S76" s="12">
        <v>5</v>
      </c>
      <c r="T76" s="13">
        <v>8.36</v>
      </c>
      <c r="U76" s="13">
        <f t="shared" si="7"/>
        <v>6.3199999999999994</v>
      </c>
      <c r="V76" s="14">
        <v>1024.0999999999999</v>
      </c>
      <c r="W76" s="14">
        <v>1024.0999999999999</v>
      </c>
      <c r="X76" s="11">
        <v>83</v>
      </c>
      <c r="Y76" s="15" t="s">
        <v>3713</v>
      </c>
      <c r="Z76" s="16">
        <v>985.09999999999991</v>
      </c>
      <c r="AA76" s="17">
        <v>2525.9</v>
      </c>
      <c r="AB76" s="18" t="s">
        <v>3714</v>
      </c>
    </row>
    <row r="77" spans="1:28" x14ac:dyDescent="0.45">
      <c r="A77" s="2" t="s">
        <v>164</v>
      </c>
      <c r="B77" s="2" t="s">
        <v>165</v>
      </c>
      <c r="C77" s="2" t="s">
        <v>4</v>
      </c>
      <c r="D77" s="2" t="s">
        <v>5</v>
      </c>
      <c r="E77" s="2" t="s">
        <v>96</v>
      </c>
      <c r="F77" s="3">
        <v>50</v>
      </c>
      <c r="G77" s="3">
        <v>60</v>
      </c>
      <c r="H77" s="2" t="s">
        <v>159</v>
      </c>
      <c r="I77" s="19">
        <v>45</v>
      </c>
      <c r="J77" s="34">
        <f t="shared" si="4"/>
        <v>0.39149999999999996</v>
      </c>
      <c r="K77" s="34">
        <f t="shared" si="5"/>
        <v>0.59</v>
      </c>
      <c r="L77" s="34">
        <f t="shared" si="6"/>
        <v>2.36</v>
      </c>
      <c r="M77" s="20" t="s">
        <v>3742</v>
      </c>
      <c r="N77" s="20" t="s">
        <v>3716</v>
      </c>
      <c r="O77" s="20" t="s">
        <v>3711</v>
      </c>
      <c r="P77" s="20" t="s">
        <v>3717</v>
      </c>
      <c r="Q77" s="21">
        <v>50</v>
      </c>
      <c r="R77" s="21">
        <v>60</v>
      </c>
      <c r="S77" s="21">
        <v>5</v>
      </c>
      <c r="T77" s="22">
        <v>8.36</v>
      </c>
      <c r="U77" s="13">
        <f t="shared" si="7"/>
        <v>6</v>
      </c>
      <c r="V77" s="23">
        <v>1024.0999999999999</v>
      </c>
      <c r="W77" s="23">
        <v>1024.0999999999999</v>
      </c>
      <c r="X77" s="20">
        <v>83</v>
      </c>
      <c r="Y77" s="24" t="s">
        <v>3713</v>
      </c>
      <c r="Z77" s="16">
        <v>979.09999999999991</v>
      </c>
      <c r="AA77" s="17">
        <v>2175.8000000000002</v>
      </c>
      <c r="AB77" s="25" t="s">
        <v>3714</v>
      </c>
    </row>
    <row r="78" spans="1:28" x14ac:dyDescent="0.45">
      <c r="A78" s="4" t="s">
        <v>166</v>
      </c>
      <c r="B78" s="4" t="s">
        <v>167</v>
      </c>
      <c r="C78" s="4" t="s">
        <v>4</v>
      </c>
      <c r="D78" s="4" t="s">
        <v>5</v>
      </c>
      <c r="E78" s="4" t="s">
        <v>96</v>
      </c>
      <c r="F78" s="5">
        <v>50</v>
      </c>
      <c r="G78" s="5">
        <v>62</v>
      </c>
      <c r="H78" s="4" t="s">
        <v>136</v>
      </c>
      <c r="I78" s="10">
        <v>47</v>
      </c>
      <c r="J78" s="34">
        <f t="shared" si="4"/>
        <v>0.40889999999999999</v>
      </c>
      <c r="K78" s="34">
        <f t="shared" si="5"/>
        <v>0.61</v>
      </c>
      <c r="L78" s="34">
        <f t="shared" si="6"/>
        <v>2.44</v>
      </c>
      <c r="M78" s="11" t="s">
        <v>3784</v>
      </c>
      <c r="N78" s="11" t="s">
        <v>3719</v>
      </c>
      <c r="O78" s="11" t="s">
        <v>3711</v>
      </c>
      <c r="P78" s="11" t="s">
        <v>3720</v>
      </c>
      <c r="Q78" s="12">
        <v>50</v>
      </c>
      <c r="R78" s="12">
        <v>62</v>
      </c>
      <c r="S78" s="12">
        <v>6</v>
      </c>
      <c r="T78" s="13">
        <v>7.53</v>
      </c>
      <c r="U78" s="13">
        <f t="shared" si="7"/>
        <v>5.09</v>
      </c>
      <c r="V78" s="14">
        <v>922.42</v>
      </c>
      <c r="W78" s="14">
        <v>922.42</v>
      </c>
      <c r="X78" s="11" t="s">
        <v>3722</v>
      </c>
      <c r="Y78" s="15" t="s">
        <v>3713</v>
      </c>
      <c r="Z78" s="16">
        <v>875.42</v>
      </c>
      <c r="AA78" s="17">
        <v>1862.6</v>
      </c>
      <c r="AB78" s="18" t="s">
        <v>3714</v>
      </c>
    </row>
    <row r="79" spans="1:28" x14ac:dyDescent="0.45">
      <c r="A79" s="2" t="s">
        <v>168</v>
      </c>
      <c r="B79" s="2" t="s">
        <v>5602</v>
      </c>
      <c r="C79" s="2" t="s">
        <v>4</v>
      </c>
      <c r="D79" s="2" t="s">
        <v>5</v>
      </c>
      <c r="E79" s="2" t="s">
        <v>96</v>
      </c>
      <c r="F79" s="3">
        <v>50</v>
      </c>
      <c r="G79" s="3">
        <v>62</v>
      </c>
      <c r="H79" s="2" t="s">
        <v>169</v>
      </c>
      <c r="I79" s="19">
        <v>42</v>
      </c>
      <c r="J79" s="34">
        <f t="shared" si="4"/>
        <v>0.36539999999999995</v>
      </c>
      <c r="K79" s="34">
        <f t="shared" si="5"/>
        <v>0.55000000000000004</v>
      </c>
      <c r="L79" s="34">
        <f t="shared" si="6"/>
        <v>2.2000000000000002</v>
      </c>
      <c r="M79" s="20" t="s">
        <v>3784</v>
      </c>
      <c r="N79" s="20" t="s">
        <v>3719</v>
      </c>
      <c r="O79" s="20" t="s">
        <v>3711</v>
      </c>
      <c r="P79" s="20" t="s">
        <v>3720</v>
      </c>
      <c r="Q79" s="21">
        <v>50</v>
      </c>
      <c r="R79" s="21">
        <v>62</v>
      </c>
      <c r="S79" s="21">
        <v>6</v>
      </c>
      <c r="T79" s="22">
        <v>7.53</v>
      </c>
      <c r="U79" s="13">
        <f t="shared" si="7"/>
        <v>5.33</v>
      </c>
      <c r="V79" s="23">
        <v>922.42</v>
      </c>
      <c r="W79" s="23">
        <v>922.42</v>
      </c>
      <c r="X79" s="20" t="s">
        <v>3722</v>
      </c>
      <c r="Y79" s="24" t="s">
        <v>3713</v>
      </c>
      <c r="Z79" s="16">
        <v>880.42</v>
      </c>
      <c r="AA79" s="17">
        <v>2096.1999999999998</v>
      </c>
      <c r="AB79" s="25" t="s">
        <v>3714</v>
      </c>
    </row>
    <row r="80" spans="1:28" x14ac:dyDescent="0.45">
      <c r="A80" s="4" t="s">
        <v>170</v>
      </c>
      <c r="B80" s="4" t="s">
        <v>171</v>
      </c>
      <c r="C80" s="4" t="s">
        <v>4</v>
      </c>
      <c r="D80" s="4" t="s">
        <v>5</v>
      </c>
      <c r="E80" s="4" t="s">
        <v>96</v>
      </c>
      <c r="F80" s="5">
        <v>55</v>
      </c>
      <c r="G80" s="5">
        <v>65</v>
      </c>
      <c r="H80" s="4" t="s">
        <v>12</v>
      </c>
      <c r="I80" s="10">
        <v>54</v>
      </c>
      <c r="J80" s="34">
        <f t="shared" si="4"/>
        <v>0.4698</v>
      </c>
      <c r="K80" s="34">
        <f t="shared" si="5"/>
        <v>0.7</v>
      </c>
      <c r="L80" s="34">
        <f t="shared" si="6"/>
        <v>2.8</v>
      </c>
      <c r="M80" s="11" t="s">
        <v>3743</v>
      </c>
      <c r="N80" s="11" t="s">
        <v>3710</v>
      </c>
      <c r="O80" s="11" t="s">
        <v>3711</v>
      </c>
      <c r="P80" s="11" t="s">
        <v>3712</v>
      </c>
      <c r="Q80" s="12">
        <v>55</v>
      </c>
      <c r="R80" s="12">
        <v>65</v>
      </c>
      <c r="S80" s="12">
        <v>5.3</v>
      </c>
      <c r="T80" s="13">
        <v>15.58</v>
      </c>
      <c r="U80" s="13">
        <f t="shared" si="7"/>
        <v>12.780000000000001</v>
      </c>
      <c r="V80" s="14">
        <v>1908.55</v>
      </c>
      <c r="W80" s="14">
        <v>1908.55</v>
      </c>
      <c r="X80" s="11">
        <v>23</v>
      </c>
      <c r="Y80" s="15" t="s">
        <v>3713</v>
      </c>
      <c r="Z80" s="16">
        <v>1854.55</v>
      </c>
      <c r="AA80" s="17">
        <v>3434.4</v>
      </c>
      <c r="AB80" s="18" t="s">
        <v>3714</v>
      </c>
    </row>
    <row r="81" spans="1:28" x14ac:dyDescent="0.45">
      <c r="A81" s="2" t="s">
        <v>172</v>
      </c>
      <c r="B81" s="2" t="s">
        <v>173</v>
      </c>
      <c r="C81" s="2" t="s">
        <v>4</v>
      </c>
      <c r="D81" s="2" t="s">
        <v>5</v>
      </c>
      <c r="E81" s="2" t="s">
        <v>96</v>
      </c>
      <c r="F81" s="3">
        <v>55</v>
      </c>
      <c r="G81" s="3">
        <v>68</v>
      </c>
      <c r="H81" s="2" t="s">
        <v>174</v>
      </c>
      <c r="I81" s="19">
        <v>67</v>
      </c>
      <c r="J81" s="34">
        <f t="shared" si="4"/>
        <v>0.58289999999999997</v>
      </c>
      <c r="K81" s="34">
        <f t="shared" si="5"/>
        <v>0.87</v>
      </c>
      <c r="L81" s="34">
        <f t="shared" si="6"/>
        <v>3.48</v>
      </c>
      <c r="M81" s="20" t="s">
        <v>3785</v>
      </c>
      <c r="N81" s="20" t="s">
        <v>3719</v>
      </c>
      <c r="O81" s="20" t="s">
        <v>3711</v>
      </c>
      <c r="P81" s="20" t="s">
        <v>3720</v>
      </c>
      <c r="Q81" s="21">
        <v>55</v>
      </c>
      <c r="R81" s="21">
        <v>67</v>
      </c>
      <c r="S81" s="21">
        <v>6</v>
      </c>
      <c r="T81" s="22">
        <v>7.57</v>
      </c>
      <c r="U81" s="13">
        <f t="shared" si="7"/>
        <v>4.09</v>
      </c>
      <c r="V81" s="23">
        <v>927.32</v>
      </c>
      <c r="W81" s="23">
        <v>927.32</v>
      </c>
      <c r="X81" s="20">
        <v>4</v>
      </c>
      <c r="Y81" s="24" t="s">
        <v>3713</v>
      </c>
      <c r="Z81" s="16">
        <v>860.32</v>
      </c>
      <c r="AA81" s="17">
        <v>1284.0999999999999</v>
      </c>
      <c r="AB81" s="25" t="s">
        <v>3786</v>
      </c>
    </row>
    <row r="82" spans="1:28" x14ac:dyDescent="0.45">
      <c r="A82" s="4" t="s">
        <v>175</v>
      </c>
      <c r="B82" s="4" t="s">
        <v>176</v>
      </c>
      <c r="C82" s="4" t="s">
        <v>4</v>
      </c>
      <c r="D82" s="4" t="s">
        <v>5</v>
      </c>
      <c r="E82" s="4" t="s">
        <v>96</v>
      </c>
      <c r="F82" s="5">
        <v>56</v>
      </c>
      <c r="G82" s="5">
        <v>66</v>
      </c>
      <c r="H82" s="4" t="s">
        <v>12</v>
      </c>
      <c r="I82" s="10">
        <v>54</v>
      </c>
      <c r="J82" s="34">
        <f t="shared" si="4"/>
        <v>0.4698</v>
      </c>
      <c r="K82" s="34">
        <f t="shared" si="5"/>
        <v>0.7</v>
      </c>
      <c r="L82" s="34">
        <f t="shared" si="6"/>
        <v>2.8</v>
      </c>
      <c r="M82" s="11" t="s">
        <v>3744</v>
      </c>
      <c r="N82" s="11" t="s">
        <v>3719</v>
      </c>
      <c r="O82" s="11" t="s">
        <v>3711</v>
      </c>
      <c r="P82" s="11" t="s">
        <v>3720</v>
      </c>
      <c r="Q82" s="12">
        <v>56</v>
      </c>
      <c r="R82" s="12">
        <v>66</v>
      </c>
      <c r="S82" s="12">
        <v>6</v>
      </c>
      <c r="T82" s="13">
        <v>15.37</v>
      </c>
      <c r="U82" s="13">
        <f t="shared" si="7"/>
        <v>12.57</v>
      </c>
      <c r="V82" s="14">
        <v>1882.82</v>
      </c>
      <c r="W82" s="14">
        <v>1882.82</v>
      </c>
      <c r="X82" s="11">
        <v>8</v>
      </c>
      <c r="Y82" s="15" t="s">
        <v>3713</v>
      </c>
      <c r="Z82" s="16">
        <v>1828.82</v>
      </c>
      <c r="AA82" s="17">
        <v>3386.7</v>
      </c>
      <c r="AB82" s="18" t="s">
        <v>3714</v>
      </c>
    </row>
    <row r="83" spans="1:28" x14ac:dyDescent="0.45">
      <c r="A83" s="2" t="s">
        <v>177</v>
      </c>
      <c r="B83" s="2" t="s">
        <v>178</v>
      </c>
      <c r="C83" s="2" t="s">
        <v>4</v>
      </c>
      <c r="D83" s="2" t="s">
        <v>5</v>
      </c>
      <c r="E83" s="2" t="s">
        <v>96</v>
      </c>
      <c r="F83" s="3">
        <v>60</v>
      </c>
      <c r="G83" s="3">
        <v>70</v>
      </c>
      <c r="H83" s="2" t="s">
        <v>12</v>
      </c>
      <c r="I83" s="19">
        <v>56</v>
      </c>
      <c r="J83" s="34">
        <f t="shared" si="4"/>
        <v>0.48719999999999997</v>
      </c>
      <c r="K83" s="34">
        <f t="shared" si="5"/>
        <v>0.73</v>
      </c>
      <c r="L83" s="34">
        <f t="shared" si="6"/>
        <v>2.92</v>
      </c>
      <c r="M83" s="20" t="s">
        <v>3745</v>
      </c>
      <c r="N83" s="20" t="s">
        <v>3716</v>
      </c>
      <c r="O83" s="20" t="s">
        <v>3711</v>
      </c>
      <c r="P83" s="20" t="s">
        <v>3717</v>
      </c>
      <c r="Q83" s="21">
        <v>60</v>
      </c>
      <c r="R83" s="21">
        <v>70</v>
      </c>
      <c r="S83" s="21">
        <v>6</v>
      </c>
      <c r="T83" s="22">
        <v>9.49</v>
      </c>
      <c r="U83" s="13">
        <f t="shared" si="7"/>
        <v>6.57</v>
      </c>
      <c r="V83" s="23">
        <v>1162.53</v>
      </c>
      <c r="W83" s="23">
        <v>1162.53</v>
      </c>
      <c r="X83" s="20">
        <v>213</v>
      </c>
      <c r="Y83" s="24" t="s">
        <v>3713</v>
      </c>
      <c r="Z83" s="16">
        <v>1106.53</v>
      </c>
      <c r="AA83" s="17">
        <v>1975.9</v>
      </c>
      <c r="AB83" s="25" t="s">
        <v>3714</v>
      </c>
    </row>
    <row r="84" spans="1:28" x14ac:dyDescent="0.45">
      <c r="A84" s="4" t="s">
        <v>179</v>
      </c>
      <c r="B84" s="4" t="s">
        <v>180</v>
      </c>
      <c r="C84" s="4" t="s">
        <v>4</v>
      </c>
      <c r="D84" s="4" t="s">
        <v>5</v>
      </c>
      <c r="E84" s="4" t="s">
        <v>96</v>
      </c>
      <c r="F84" s="5">
        <v>63</v>
      </c>
      <c r="G84" s="5">
        <v>73</v>
      </c>
      <c r="H84" s="4" t="s">
        <v>12</v>
      </c>
      <c r="I84" s="10">
        <v>56</v>
      </c>
      <c r="J84" s="34">
        <f t="shared" si="4"/>
        <v>0.48719999999999997</v>
      </c>
      <c r="K84" s="34">
        <f t="shared" si="5"/>
        <v>0.73</v>
      </c>
      <c r="L84" s="34">
        <f t="shared" si="6"/>
        <v>2.92</v>
      </c>
      <c r="M84" s="11" t="s">
        <v>3746</v>
      </c>
      <c r="N84" s="11" t="s">
        <v>3719</v>
      </c>
      <c r="O84" s="11" t="s">
        <v>3711</v>
      </c>
      <c r="P84" s="11" t="s">
        <v>3720</v>
      </c>
      <c r="Q84" s="12">
        <v>63</v>
      </c>
      <c r="R84" s="12">
        <v>73</v>
      </c>
      <c r="S84" s="12">
        <v>6</v>
      </c>
      <c r="T84" s="13">
        <v>11.74</v>
      </c>
      <c r="U84" s="13">
        <f t="shared" si="7"/>
        <v>8.82</v>
      </c>
      <c r="V84" s="14">
        <v>1438.15</v>
      </c>
      <c r="W84" s="14">
        <v>1438.15</v>
      </c>
      <c r="X84" s="11">
        <v>16</v>
      </c>
      <c r="Y84" s="15" t="s">
        <v>3713</v>
      </c>
      <c r="Z84" s="16">
        <v>1382.15</v>
      </c>
      <c r="AA84" s="17">
        <v>2468.1</v>
      </c>
      <c r="AB84" s="18" t="s">
        <v>3714</v>
      </c>
    </row>
    <row r="85" spans="1:28" x14ac:dyDescent="0.45">
      <c r="A85" s="2" t="s">
        <v>181</v>
      </c>
      <c r="B85" s="2" t="s">
        <v>182</v>
      </c>
      <c r="C85" s="2" t="s">
        <v>4</v>
      </c>
      <c r="D85" s="2" t="s">
        <v>5</v>
      </c>
      <c r="E85" s="2" t="s">
        <v>96</v>
      </c>
      <c r="F85" s="3">
        <v>63</v>
      </c>
      <c r="G85" s="3">
        <v>73</v>
      </c>
      <c r="H85" s="2" t="s">
        <v>183</v>
      </c>
      <c r="I85" s="19">
        <v>59</v>
      </c>
      <c r="J85" s="34">
        <f t="shared" si="4"/>
        <v>0.51329999999999998</v>
      </c>
      <c r="K85" s="34">
        <f t="shared" si="5"/>
        <v>0.77</v>
      </c>
      <c r="L85" s="34">
        <f t="shared" si="6"/>
        <v>3.08</v>
      </c>
      <c r="M85" s="20" t="s">
        <v>3746</v>
      </c>
      <c r="N85" s="20" t="s">
        <v>3719</v>
      </c>
      <c r="O85" s="20" t="s">
        <v>3711</v>
      </c>
      <c r="P85" s="20" t="s">
        <v>3720</v>
      </c>
      <c r="Q85" s="21">
        <v>63</v>
      </c>
      <c r="R85" s="21">
        <v>73</v>
      </c>
      <c r="S85" s="21">
        <v>6</v>
      </c>
      <c r="T85" s="22">
        <v>11.74</v>
      </c>
      <c r="U85" s="13">
        <f t="shared" si="7"/>
        <v>8.66</v>
      </c>
      <c r="V85" s="23">
        <v>1438.15</v>
      </c>
      <c r="W85" s="23">
        <v>1438.15</v>
      </c>
      <c r="X85" s="20">
        <v>16</v>
      </c>
      <c r="Y85" s="24" t="s">
        <v>3713</v>
      </c>
      <c r="Z85" s="16">
        <v>1379.15</v>
      </c>
      <c r="AA85" s="17">
        <v>2337.5</v>
      </c>
      <c r="AB85" s="25" t="s">
        <v>3714</v>
      </c>
    </row>
    <row r="86" spans="1:28" x14ac:dyDescent="0.45">
      <c r="A86" s="4" t="s">
        <v>184</v>
      </c>
      <c r="B86" s="4" t="s">
        <v>185</v>
      </c>
      <c r="C86" s="4" t="s">
        <v>4</v>
      </c>
      <c r="D86" s="4" t="s">
        <v>5</v>
      </c>
      <c r="E86" s="4" t="s">
        <v>96</v>
      </c>
      <c r="F86" s="5">
        <v>63</v>
      </c>
      <c r="G86" s="5">
        <v>73</v>
      </c>
      <c r="H86" s="4" t="s">
        <v>159</v>
      </c>
      <c r="I86" s="10">
        <v>62</v>
      </c>
      <c r="J86" s="34">
        <f t="shared" si="4"/>
        <v>0.53939999999999999</v>
      </c>
      <c r="K86" s="34">
        <f t="shared" si="5"/>
        <v>0.81</v>
      </c>
      <c r="L86" s="34">
        <f t="shared" si="6"/>
        <v>3.24</v>
      </c>
      <c r="M86" s="11" t="s">
        <v>3746</v>
      </c>
      <c r="N86" s="11" t="s">
        <v>3719</v>
      </c>
      <c r="O86" s="11" t="s">
        <v>3711</v>
      </c>
      <c r="P86" s="11" t="s">
        <v>3720</v>
      </c>
      <c r="Q86" s="12">
        <v>63</v>
      </c>
      <c r="R86" s="12">
        <v>73</v>
      </c>
      <c r="S86" s="12">
        <v>6</v>
      </c>
      <c r="T86" s="13">
        <v>11.74</v>
      </c>
      <c r="U86" s="13">
        <f t="shared" si="7"/>
        <v>8.5</v>
      </c>
      <c r="V86" s="14">
        <v>1438.15</v>
      </c>
      <c r="W86" s="14">
        <v>1438.15</v>
      </c>
      <c r="X86" s="11">
        <v>16</v>
      </c>
      <c r="Y86" s="15" t="s">
        <v>3713</v>
      </c>
      <c r="Z86" s="16">
        <v>1376.15</v>
      </c>
      <c r="AA86" s="17">
        <v>2219.6</v>
      </c>
      <c r="AB86" s="18" t="s">
        <v>3714</v>
      </c>
    </row>
    <row r="87" spans="1:28" x14ac:dyDescent="0.45">
      <c r="A87" s="2" t="s">
        <v>186</v>
      </c>
      <c r="B87" s="2" t="s">
        <v>187</v>
      </c>
      <c r="C87" s="2" t="s">
        <v>4</v>
      </c>
      <c r="D87" s="2" t="s">
        <v>5</v>
      </c>
      <c r="E87" s="2" t="s">
        <v>96</v>
      </c>
      <c r="F87" s="3">
        <v>65</v>
      </c>
      <c r="G87" s="3">
        <v>75</v>
      </c>
      <c r="H87" s="2" t="s">
        <v>12</v>
      </c>
      <c r="I87" s="19">
        <v>56</v>
      </c>
      <c r="J87" s="34">
        <f t="shared" si="4"/>
        <v>0.48719999999999997</v>
      </c>
      <c r="K87" s="34">
        <f t="shared" si="5"/>
        <v>0.73</v>
      </c>
      <c r="L87" s="34">
        <f t="shared" si="6"/>
        <v>2.92</v>
      </c>
      <c r="M87" s="20" t="s">
        <v>3747</v>
      </c>
      <c r="N87" s="20" t="s">
        <v>3716</v>
      </c>
      <c r="O87" s="20" t="s">
        <v>3711</v>
      </c>
      <c r="P87" s="20" t="s">
        <v>3717</v>
      </c>
      <c r="Q87" s="21">
        <v>65</v>
      </c>
      <c r="R87" s="21">
        <v>75</v>
      </c>
      <c r="S87" s="21">
        <v>6</v>
      </c>
      <c r="T87" s="22">
        <v>17.170000000000002</v>
      </c>
      <c r="U87" s="13">
        <f t="shared" si="7"/>
        <v>14.250000000000002</v>
      </c>
      <c r="V87" s="23">
        <v>2103.33</v>
      </c>
      <c r="W87" s="23">
        <v>2103.33</v>
      </c>
      <c r="X87" s="20">
        <v>21</v>
      </c>
      <c r="Y87" s="24" t="s">
        <v>3713</v>
      </c>
      <c r="Z87" s="16">
        <v>2047.33</v>
      </c>
      <c r="AA87" s="17">
        <v>3655.9</v>
      </c>
      <c r="AB87" s="25" t="s">
        <v>3714</v>
      </c>
    </row>
    <row r="88" spans="1:28" x14ac:dyDescent="0.45">
      <c r="A88" s="4" t="s">
        <v>188</v>
      </c>
      <c r="B88" s="4" t="s">
        <v>189</v>
      </c>
      <c r="C88" s="4" t="s">
        <v>4</v>
      </c>
      <c r="D88" s="4" t="s">
        <v>5</v>
      </c>
      <c r="E88" s="4" t="s">
        <v>96</v>
      </c>
      <c r="F88" s="5">
        <v>65</v>
      </c>
      <c r="G88" s="5">
        <v>77</v>
      </c>
      <c r="H88" s="4" t="s">
        <v>136</v>
      </c>
      <c r="I88" s="10">
        <v>66</v>
      </c>
      <c r="J88" s="34">
        <f t="shared" si="4"/>
        <v>0.57419999999999993</v>
      </c>
      <c r="K88" s="34">
        <f t="shared" si="5"/>
        <v>0.86</v>
      </c>
      <c r="L88" s="34">
        <f t="shared" si="6"/>
        <v>3.44</v>
      </c>
      <c r="M88" s="11" t="s">
        <v>3787</v>
      </c>
      <c r="N88" s="11" t="s">
        <v>3719</v>
      </c>
      <c r="O88" s="11" t="s">
        <v>3711</v>
      </c>
      <c r="P88" s="11" t="s">
        <v>3720</v>
      </c>
      <c r="Q88" s="12">
        <v>65</v>
      </c>
      <c r="R88" s="12">
        <v>77</v>
      </c>
      <c r="S88" s="12">
        <v>6</v>
      </c>
      <c r="T88" s="13">
        <v>19.920000000000002</v>
      </c>
      <c r="U88" s="13">
        <f t="shared" si="7"/>
        <v>16.48</v>
      </c>
      <c r="V88" s="14">
        <v>2440.1999999999998</v>
      </c>
      <c r="W88" s="14">
        <v>2440.1999999999998</v>
      </c>
      <c r="X88" s="11">
        <v>25</v>
      </c>
      <c r="Y88" s="15" t="s">
        <v>3713</v>
      </c>
      <c r="Z88" s="16">
        <v>2374.1999999999998</v>
      </c>
      <c r="AA88" s="17">
        <v>3597.3</v>
      </c>
      <c r="AB88" s="18" t="s">
        <v>3714</v>
      </c>
    </row>
    <row r="89" spans="1:28" x14ac:dyDescent="0.45">
      <c r="A89" s="2" t="s">
        <v>190</v>
      </c>
      <c r="B89" s="2" t="s">
        <v>191</v>
      </c>
      <c r="C89" s="2" t="s">
        <v>4</v>
      </c>
      <c r="D89" s="2" t="s">
        <v>5</v>
      </c>
      <c r="E89" s="2" t="s">
        <v>96</v>
      </c>
      <c r="F89" s="3">
        <v>70</v>
      </c>
      <c r="G89" s="3">
        <v>80</v>
      </c>
      <c r="H89" s="2" t="s">
        <v>12</v>
      </c>
      <c r="I89" s="19">
        <v>57</v>
      </c>
      <c r="J89" s="34">
        <f t="shared" si="4"/>
        <v>0.49589999999999995</v>
      </c>
      <c r="K89" s="34">
        <f t="shared" si="5"/>
        <v>0.74</v>
      </c>
      <c r="L89" s="34">
        <f t="shared" si="6"/>
        <v>2.96</v>
      </c>
      <c r="M89" s="20" t="s">
        <v>3748</v>
      </c>
      <c r="N89" s="20" t="s">
        <v>3716</v>
      </c>
      <c r="O89" s="20" t="s">
        <v>3711</v>
      </c>
      <c r="P89" s="20" t="s">
        <v>3717</v>
      </c>
      <c r="Q89" s="21">
        <v>70</v>
      </c>
      <c r="R89" s="21">
        <v>80</v>
      </c>
      <c r="S89" s="21">
        <v>5</v>
      </c>
      <c r="T89" s="22">
        <v>10.3</v>
      </c>
      <c r="U89" s="13">
        <f t="shared" si="7"/>
        <v>7.3400000000000007</v>
      </c>
      <c r="V89" s="23">
        <v>1261.75</v>
      </c>
      <c r="W89" s="23">
        <v>1261.75</v>
      </c>
      <c r="X89" s="20">
        <v>37</v>
      </c>
      <c r="Y89" s="24" t="s">
        <v>3713</v>
      </c>
      <c r="Z89" s="16">
        <v>1204.75</v>
      </c>
      <c r="AA89" s="17">
        <v>2113.6</v>
      </c>
      <c r="AB89" s="25" t="s">
        <v>3714</v>
      </c>
    </row>
    <row r="90" spans="1:28" x14ac:dyDescent="0.45">
      <c r="A90" s="4" t="s">
        <v>193</v>
      </c>
      <c r="B90" s="4" t="s">
        <v>194</v>
      </c>
      <c r="C90" s="4" t="s">
        <v>4</v>
      </c>
      <c r="D90" s="4" t="s">
        <v>5</v>
      </c>
      <c r="E90" s="4" t="s">
        <v>96</v>
      </c>
      <c r="F90" s="5">
        <v>75</v>
      </c>
      <c r="G90" s="5">
        <v>83</v>
      </c>
      <c r="H90" s="4" t="s">
        <v>123</v>
      </c>
      <c r="I90" s="10">
        <v>50</v>
      </c>
      <c r="J90" s="34">
        <f t="shared" si="4"/>
        <v>0.43499999999999994</v>
      </c>
      <c r="K90" s="34">
        <f t="shared" si="5"/>
        <v>0.65</v>
      </c>
      <c r="L90" s="34">
        <f t="shared" si="6"/>
        <v>2.6</v>
      </c>
      <c r="M90" s="11" t="s">
        <v>3788</v>
      </c>
      <c r="N90" s="11" t="s">
        <v>3716</v>
      </c>
      <c r="O90" s="11" t="s">
        <v>3711</v>
      </c>
      <c r="P90" s="11" t="s">
        <v>3717</v>
      </c>
      <c r="Q90" s="12">
        <v>75</v>
      </c>
      <c r="R90" s="12">
        <v>83</v>
      </c>
      <c r="S90" s="12">
        <v>5</v>
      </c>
      <c r="T90" s="13">
        <v>20.010000000000002</v>
      </c>
      <c r="U90" s="13">
        <f t="shared" si="7"/>
        <v>17.41</v>
      </c>
      <c r="V90" s="14">
        <v>2451.23</v>
      </c>
      <c r="W90" s="14">
        <v>2451.23</v>
      </c>
      <c r="X90" s="11">
        <v>10</v>
      </c>
      <c r="Y90" s="15" t="s">
        <v>3713</v>
      </c>
      <c r="Z90" s="16">
        <v>2401.23</v>
      </c>
      <c r="AA90" s="17">
        <v>4802.5</v>
      </c>
      <c r="AB90" s="18" t="s">
        <v>3714</v>
      </c>
    </row>
    <row r="91" spans="1:28" x14ac:dyDescent="0.45">
      <c r="A91" s="2" t="s">
        <v>195</v>
      </c>
      <c r="B91" s="2" t="s">
        <v>196</v>
      </c>
      <c r="C91" s="2" t="s">
        <v>4</v>
      </c>
      <c r="D91" s="2" t="s">
        <v>5</v>
      </c>
      <c r="E91" s="2" t="s">
        <v>96</v>
      </c>
      <c r="F91" s="3">
        <v>75</v>
      </c>
      <c r="G91" s="3">
        <v>87</v>
      </c>
      <c r="H91" s="2" t="s">
        <v>64</v>
      </c>
      <c r="I91" s="19">
        <v>79</v>
      </c>
      <c r="J91" s="34">
        <f t="shared" si="4"/>
        <v>0.68729999999999991</v>
      </c>
      <c r="K91" s="34">
        <f t="shared" si="5"/>
        <v>1.03</v>
      </c>
      <c r="L91" s="34">
        <f t="shared" si="6"/>
        <v>4.12</v>
      </c>
      <c r="M91" s="20" t="s">
        <v>3753</v>
      </c>
      <c r="N91" s="20" t="s">
        <v>3719</v>
      </c>
      <c r="O91" s="20" t="s">
        <v>3711</v>
      </c>
      <c r="P91" s="20" t="s">
        <v>3720</v>
      </c>
      <c r="Q91" s="21">
        <v>75</v>
      </c>
      <c r="R91" s="21">
        <v>87</v>
      </c>
      <c r="S91" s="21">
        <v>6</v>
      </c>
      <c r="T91" s="22">
        <v>15.46</v>
      </c>
      <c r="U91" s="13">
        <f t="shared" si="7"/>
        <v>11.34</v>
      </c>
      <c r="V91" s="23">
        <v>1893.85</v>
      </c>
      <c r="W91" s="23">
        <v>1893.85</v>
      </c>
      <c r="X91" s="20">
        <v>18</v>
      </c>
      <c r="Y91" s="24" t="s">
        <v>3713</v>
      </c>
      <c r="Z91" s="16">
        <v>1814.85</v>
      </c>
      <c r="AA91" s="17">
        <v>2297.3000000000002</v>
      </c>
      <c r="AB91" s="25" t="s">
        <v>3714</v>
      </c>
    </row>
    <row r="92" spans="1:28" x14ac:dyDescent="0.45">
      <c r="A92" s="4" t="s">
        <v>197</v>
      </c>
      <c r="B92" s="4" t="s">
        <v>198</v>
      </c>
      <c r="C92" s="4" t="s">
        <v>4</v>
      </c>
      <c r="D92" s="4" t="s">
        <v>5</v>
      </c>
      <c r="E92" s="4" t="s">
        <v>96</v>
      </c>
      <c r="F92" s="5">
        <v>80</v>
      </c>
      <c r="G92" s="5">
        <v>90</v>
      </c>
      <c r="H92" s="4" t="s">
        <v>12</v>
      </c>
      <c r="I92" s="10">
        <v>66</v>
      </c>
      <c r="J92" s="34">
        <f t="shared" si="4"/>
        <v>0.57419999999999993</v>
      </c>
      <c r="K92" s="34">
        <f t="shared" si="5"/>
        <v>0.86</v>
      </c>
      <c r="L92" s="34">
        <f t="shared" si="6"/>
        <v>3.44</v>
      </c>
      <c r="M92" s="11" t="s">
        <v>3789</v>
      </c>
      <c r="N92" s="11" t="s">
        <v>3719</v>
      </c>
      <c r="O92" s="11" t="s">
        <v>3711</v>
      </c>
      <c r="P92" s="11" t="s">
        <v>3720</v>
      </c>
      <c r="Q92" s="12">
        <v>80</v>
      </c>
      <c r="R92" s="12">
        <v>90</v>
      </c>
      <c r="S92" s="12">
        <v>6</v>
      </c>
      <c r="T92" s="13">
        <v>11.89</v>
      </c>
      <c r="U92" s="13">
        <f t="shared" si="7"/>
        <v>8.4500000000000011</v>
      </c>
      <c r="V92" s="14">
        <v>1456.52</v>
      </c>
      <c r="W92" s="14">
        <v>1456.52</v>
      </c>
      <c r="X92" s="11">
        <v>26</v>
      </c>
      <c r="Y92" s="15" t="s">
        <v>3713</v>
      </c>
      <c r="Z92" s="16">
        <v>1390.52</v>
      </c>
      <c r="AA92" s="17">
        <v>2106.8000000000002</v>
      </c>
      <c r="AB92" s="18" t="s">
        <v>3714</v>
      </c>
    </row>
    <row r="93" spans="1:28" x14ac:dyDescent="0.45">
      <c r="A93" s="2" t="s">
        <v>199</v>
      </c>
      <c r="B93" s="2" t="s">
        <v>200</v>
      </c>
      <c r="C93" s="2" t="s">
        <v>4</v>
      </c>
      <c r="D93" s="2" t="s">
        <v>5</v>
      </c>
      <c r="E93" s="2" t="s">
        <v>96</v>
      </c>
      <c r="F93" s="3">
        <v>80</v>
      </c>
      <c r="G93" s="3">
        <v>92</v>
      </c>
      <c r="H93" s="2" t="s">
        <v>64</v>
      </c>
      <c r="I93" s="19">
        <v>86</v>
      </c>
      <c r="J93" s="34">
        <f t="shared" si="4"/>
        <v>0.74819999999999998</v>
      </c>
      <c r="K93" s="34">
        <f t="shared" si="5"/>
        <v>1.1200000000000001</v>
      </c>
      <c r="L93" s="34">
        <f t="shared" si="6"/>
        <v>4.4800000000000004</v>
      </c>
      <c r="M93" s="20" t="s">
        <v>3754</v>
      </c>
      <c r="N93" s="20" t="s">
        <v>3716</v>
      </c>
      <c r="O93" s="20" t="s">
        <v>3711</v>
      </c>
      <c r="P93" s="20" t="s">
        <v>3717</v>
      </c>
      <c r="Q93" s="21">
        <v>80</v>
      </c>
      <c r="R93" s="21">
        <v>92</v>
      </c>
      <c r="S93" s="21">
        <v>7.2</v>
      </c>
      <c r="T93" s="22">
        <v>21.06</v>
      </c>
      <c r="U93" s="13">
        <f t="shared" si="7"/>
        <v>16.579999999999998</v>
      </c>
      <c r="V93" s="23">
        <v>2579.85</v>
      </c>
      <c r="W93" s="23">
        <v>2579.85</v>
      </c>
      <c r="X93" s="20" t="s">
        <v>3722</v>
      </c>
      <c r="Y93" s="24" t="s">
        <v>3713</v>
      </c>
      <c r="Z93" s="16">
        <v>2493.85</v>
      </c>
      <c r="AA93" s="17">
        <v>2899.8</v>
      </c>
      <c r="AB93" s="25" t="s">
        <v>3714</v>
      </c>
    </row>
    <row r="94" spans="1:28" x14ac:dyDescent="0.45">
      <c r="A94" s="4" t="s">
        <v>201</v>
      </c>
      <c r="B94" s="4" t="s">
        <v>202</v>
      </c>
      <c r="C94" s="4" t="s">
        <v>4</v>
      </c>
      <c r="D94" s="4" t="s">
        <v>5</v>
      </c>
      <c r="E94" s="4" t="s">
        <v>96</v>
      </c>
      <c r="F94" s="5">
        <v>85</v>
      </c>
      <c r="G94" s="5">
        <v>97</v>
      </c>
      <c r="H94" s="4" t="s">
        <v>64</v>
      </c>
      <c r="I94" s="10">
        <v>89</v>
      </c>
      <c r="J94" s="34">
        <f t="shared" si="4"/>
        <v>0.77429999999999999</v>
      </c>
      <c r="K94" s="34">
        <f t="shared" si="5"/>
        <v>1.1599999999999999</v>
      </c>
      <c r="L94" s="34">
        <f t="shared" si="6"/>
        <v>4.6399999999999997</v>
      </c>
      <c r="M94" s="11" t="s">
        <v>3755</v>
      </c>
      <c r="N94" s="11" t="s">
        <v>3731</v>
      </c>
      <c r="O94" s="11" t="s">
        <v>3711</v>
      </c>
      <c r="P94" s="11" t="s">
        <v>3732</v>
      </c>
      <c r="Q94" s="12">
        <v>85</v>
      </c>
      <c r="R94" s="12">
        <v>97</v>
      </c>
      <c r="S94" s="12">
        <v>8</v>
      </c>
      <c r="T94" s="13">
        <v>27.43</v>
      </c>
      <c r="U94" s="13">
        <f t="shared" si="7"/>
        <v>22.79</v>
      </c>
      <c r="V94" s="14">
        <v>3360.18</v>
      </c>
      <c r="W94" s="14">
        <v>3360.18</v>
      </c>
      <c r="X94" s="11">
        <v>5</v>
      </c>
      <c r="Y94" s="15" t="s">
        <v>3713</v>
      </c>
      <c r="Z94" s="16">
        <v>3271.18</v>
      </c>
      <c r="AA94" s="17">
        <v>3675.5</v>
      </c>
      <c r="AB94" s="18" t="s">
        <v>3714</v>
      </c>
    </row>
    <row r="95" spans="1:28" x14ac:dyDescent="0.45">
      <c r="A95" s="2" t="s">
        <v>203</v>
      </c>
      <c r="B95" s="2" t="s">
        <v>204</v>
      </c>
      <c r="C95" s="2" t="s">
        <v>4</v>
      </c>
      <c r="D95" s="2" t="s">
        <v>5</v>
      </c>
      <c r="E95" s="2" t="s">
        <v>96</v>
      </c>
      <c r="F95" s="3">
        <v>90</v>
      </c>
      <c r="G95" s="3">
        <v>102</v>
      </c>
      <c r="H95" s="2" t="s">
        <v>64</v>
      </c>
      <c r="I95" s="19">
        <v>91</v>
      </c>
      <c r="J95" s="34">
        <f t="shared" si="4"/>
        <v>0.79169999999999996</v>
      </c>
      <c r="K95" s="34">
        <f t="shared" si="5"/>
        <v>1.19</v>
      </c>
      <c r="L95" s="34">
        <f t="shared" si="6"/>
        <v>4.76</v>
      </c>
      <c r="M95" s="20" t="s">
        <v>3756</v>
      </c>
      <c r="N95" s="20" t="s">
        <v>3716</v>
      </c>
      <c r="O95" s="20" t="s">
        <v>3711</v>
      </c>
      <c r="P95" s="20" t="s">
        <v>3717</v>
      </c>
      <c r="Q95" s="21">
        <v>90</v>
      </c>
      <c r="R95" s="21">
        <v>102</v>
      </c>
      <c r="S95" s="21">
        <v>7</v>
      </c>
      <c r="T95" s="22">
        <v>12.47</v>
      </c>
      <c r="U95" s="13">
        <f t="shared" si="7"/>
        <v>7.7100000000000009</v>
      </c>
      <c r="V95" s="23">
        <v>1527.58</v>
      </c>
      <c r="W95" s="23">
        <v>1527.58</v>
      </c>
      <c r="X95" s="20">
        <v>143</v>
      </c>
      <c r="Y95" s="24" t="s">
        <v>3713</v>
      </c>
      <c r="Z95" s="16">
        <v>1436.58</v>
      </c>
      <c r="AA95" s="17">
        <v>1578.7</v>
      </c>
      <c r="AB95" s="25" t="s">
        <v>3714</v>
      </c>
    </row>
    <row r="96" spans="1:28" x14ac:dyDescent="0.45">
      <c r="A96" s="4" t="s">
        <v>205</v>
      </c>
      <c r="B96" s="4" t="s">
        <v>206</v>
      </c>
      <c r="C96" s="4" t="s">
        <v>4</v>
      </c>
      <c r="D96" s="4" t="s">
        <v>5</v>
      </c>
      <c r="E96" s="4" t="s">
        <v>96</v>
      </c>
      <c r="F96" s="5">
        <v>100</v>
      </c>
      <c r="G96" s="5">
        <v>112</v>
      </c>
      <c r="H96" s="4" t="s">
        <v>64</v>
      </c>
      <c r="I96" s="10">
        <v>96</v>
      </c>
      <c r="J96" s="34">
        <f t="shared" si="4"/>
        <v>0.83519999999999994</v>
      </c>
      <c r="K96" s="34">
        <f t="shared" si="5"/>
        <v>1.25</v>
      </c>
      <c r="L96" s="34">
        <f t="shared" si="6"/>
        <v>5</v>
      </c>
      <c r="M96" s="11" t="s">
        <v>3758</v>
      </c>
      <c r="N96" s="11" t="s">
        <v>3716</v>
      </c>
      <c r="O96" s="11" t="s">
        <v>3711</v>
      </c>
      <c r="P96" s="11" t="s">
        <v>3717</v>
      </c>
      <c r="Q96" s="12">
        <v>100</v>
      </c>
      <c r="R96" s="12">
        <v>112</v>
      </c>
      <c r="S96" s="12">
        <v>7.2</v>
      </c>
      <c r="T96" s="13">
        <v>24.31</v>
      </c>
      <c r="U96" s="13">
        <f t="shared" si="7"/>
        <v>19.309999999999999</v>
      </c>
      <c r="V96" s="14">
        <v>2977.98</v>
      </c>
      <c r="W96" s="14">
        <v>2977.98</v>
      </c>
      <c r="X96" s="11">
        <v>131</v>
      </c>
      <c r="Y96" s="15" t="s">
        <v>3713</v>
      </c>
      <c r="Z96" s="16">
        <v>2881.98</v>
      </c>
      <c r="AA96" s="17">
        <v>3002.1</v>
      </c>
      <c r="AB96" s="18" t="s">
        <v>3714</v>
      </c>
    </row>
    <row r="97" spans="1:28" x14ac:dyDescent="0.45">
      <c r="A97" s="2" t="s">
        <v>207</v>
      </c>
      <c r="B97" s="2" t="s">
        <v>208</v>
      </c>
      <c r="C97" s="2" t="s">
        <v>4</v>
      </c>
      <c r="D97" s="2" t="s">
        <v>5</v>
      </c>
      <c r="E97" s="2" t="s">
        <v>96</v>
      </c>
      <c r="F97" s="3">
        <v>110</v>
      </c>
      <c r="G97" s="3">
        <v>122</v>
      </c>
      <c r="H97" s="2" t="s">
        <v>64</v>
      </c>
      <c r="I97" s="19">
        <v>106</v>
      </c>
      <c r="J97" s="34">
        <f t="shared" si="4"/>
        <v>0.92219999999999991</v>
      </c>
      <c r="K97" s="34">
        <f t="shared" si="5"/>
        <v>1.38</v>
      </c>
      <c r="L97" s="34">
        <f t="shared" si="6"/>
        <v>5.52</v>
      </c>
      <c r="M97" s="20" t="s">
        <v>3759</v>
      </c>
      <c r="N97" s="20" t="s">
        <v>3716</v>
      </c>
      <c r="O97" s="20" t="s">
        <v>3711</v>
      </c>
      <c r="P97" s="20" t="s">
        <v>3717</v>
      </c>
      <c r="Q97" s="21">
        <v>110</v>
      </c>
      <c r="R97" s="21">
        <v>122</v>
      </c>
      <c r="S97" s="21">
        <v>7.2</v>
      </c>
      <c r="T97" s="22">
        <v>14.89</v>
      </c>
      <c r="U97" s="13">
        <f t="shared" si="7"/>
        <v>9.370000000000001</v>
      </c>
      <c r="V97" s="23">
        <v>1824.02</v>
      </c>
      <c r="W97" s="23">
        <v>1824.02</v>
      </c>
      <c r="X97" s="20">
        <v>8</v>
      </c>
      <c r="Y97" s="24" t="s">
        <v>3713</v>
      </c>
      <c r="Z97" s="16">
        <v>1718.02</v>
      </c>
      <c r="AA97" s="17">
        <v>1620.8</v>
      </c>
      <c r="AB97" s="25" t="s">
        <v>3714</v>
      </c>
    </row>
    <row r="98" spans="1:28" x14ac:dyDescent="0.45">
      <c r="A98" s="4" t="s">
        <v>209</v>
      </c>
      <c r="B98" s="4" t="s">
        <v>210</v>
      </c>
      <c r="C98" s="4" t="s">
        <v>4</v>
      </c>
      <c r="D98" s="4" t="s">
        <v>5</v>
      </c>
      <c r="E98" s="4" t="s">
        <v>96</v>
      </c>
      <c r="F98" s="5">
        <v>120</v>
      </c>
      <c r="G98" s="5">
        <v>132</v>
      </c>
      <c r="H98" s="4" t="s">
        <v>64</v>
      </c>
      <c r="I98" s="10">
        <v>111</v>
      </c>
      <c r="J98" s="34">
        <f t="shared" si="4"/>
        <v>0.96569999999999989</v>
      </c>
      <c r="K98" s="34">
        <f t="shared" si="5"/>
        <v>1.45</v>
      </c>
      <c r="L98" s="34">
        <f t="shared" si="6"/>
        <v>5.8</v>
      </c>
      <c r="M98" s="11" t="s">
        <v>3760</v>
      </c>
      <c r="N98" s="11" t="s">
        <v>3716</v>
      </c>
      <c r="O98" s="11" t="s">
        <v>3711</v>
      </c>
      <c r="P98" s="11" t="s">
        <v>3717</v>
      </c>
      <c r="Q98" s="12">
        <v>120</v>
      </c>
      <c r="R98" s="12">
        <v>132</v>
      </c>
      <c r="S98" s="12">
        <v>7</v>
      </c>
      <c r="T98" s="13">
        <v>34.64</v>
      </c>
      <c r="U98" s="13">
        <f t="shared" si="7"/>
        <v>28.84</v>
      </c>
      <c r="V98" s="14">
        <v>4243.3999999999996</v>
      </c>
      <c r="W98" s="14">
        <v>4243.3999999999996</v>
      </c>
      <c r="X98" s="11">
        <v>47</v>
      </c>
      <c r="Y98" s="15" t="s">
        <v>3713</v>
      </c>
      <c r="Z98" s="16">
        <v>4132.3999999999996</v>
      </c>
      <c r="AA98" s="17">
        <v>3722.9</v>
      </c>
      <c r="AB98" s="18" t="s">
        <v>3714</v>
      </c>
    </row>
    <row r="99" spans="1:28" x14ac:dyDescent="0.45">
      <c r="A99" s="2" t="s">
        <v>211</v>
      </c>
      <c r="B99" s="2" t="s">
        <v>212</v>
      </c>
      <c r="C99" s="2" t="s">
        <v>4</v>
      </c>
      <c r="D99" s="2" t="s">
        <v>5</v>
      </c>
      <c r="E99" s="2" t="s">
        <v>96</v>
      </c>
      <c r="F99" s="3">
        <v>125</v>
      </c>
      <c r="G99" s="3">
        <v>137</v>
      </c>
      <c r="H99" s="2" t="s">
        <v>64</v>
      </c>
      <c r="I99" s="19">
        <v>113</v>
      </c>
      <c r="J99" s="34">
        <f t="shared" si="4"/>
        <v>0.98309999999999997</v>
      </c>
      <c r="K99" s="34">
        <f t="shared" si="5"/>
        <v>1.47</v>
      </c>
      <c r="L99" s="34">
        <f t="shared" si="6"/>
        <v>5.88</v>
      </c>
      <c r="M99" s="20" t="s">
        <v>3761</v>
      </c>
      <c r="N99" s="20" t="s">
        <v>3716</v>
      </c>
      <c r="O99" s="20" t="s">
        <v>3711</v>
      </c>
      <c r="P99" s="20" t="s">
        <v>3717</v>
      </c>
      <c r="Q99" s="21">
        <v>125</v>
      </c>
      <c r="R99" s="21">
        <v>137</v>
      </c>
      <c r="S99" s="21">
        <v>7.7</v>
      </c>
      <c r="T99" s="22">
        <v>35.78</v>
      </c>
      <c r="U99" s="13">
        <f t="shared" si="7"/>
        <v>29.900000000000002</v>
      </c>
      <c r="V99" s="23">
        <v>4383.05</v>
      </c>
      <c r="W99" s="23">
        <v>4383.05</v>
      </c>
      <c r="X99" s="20">
        <v>72</v>
      </c>
      <c r="Y99" s="24" t="s">
        <v>3713</v>
      </c>
      <c r="Z99" s="16">
        <v>4270.05</v>
      </c>
      <c r="AA99" s="17">
        <v>3778.8</v>
      </c>
      <c r="AB99" s="25" t="s">
        <v>3714</v>
      </c>
    </row>
    <row r="100" spans="1:28" x14ac:dyDescent="0.45">
      <c r="A100" s="4" t="s">
        <v>213</v>
      </c>
      <c r="B100" s="4" t="s">
        <v>214</v>
      </c>
      <c r="C100" s="4" t="s">
        <v>4</v>
      </c>
      <c r="D100" s="4" t="s">
        <v>5</v>
      </c>
      <c r="E100" s="4" t="s">
        <v>96</v>
      </c>
      <c r="F100" s="5">
        <v>125</v>
      </c>
      <c r="G100" s="5">
        <v>140</v>
      </c>
      <c r="H100" s="4" t="s">
        <v>83</v>
      </c>
      <c r="I100" s="10">
        <v>157</v>
      </c>
      <c r="J100" s="34">
        <f t="shared" si="4"/>
        <v>1.3658999999999999</v>
      </c>
      <c r="K100" s="34">
        <f t="shared" si="5"/>
        <v>2.0499999999999998</v>
      </c>
      <c r="L100" s="34">
        <f t="shared" si="6"/>
        <v>8.1999999999999993</v>
      </c>
      <c r="M100" s="11" t="s">
        <v>3762</v>
      </c>
      <c r="N100" s="11" t="s">
        <v>3716</v>
      </c>
      <c r="O100" s="11" t="s">
        <v>3711</v>
      </c>
      <c r="P100" s="11" t="s">
        <v>3717</v>
      </c>
      <c r="Q100" s="12">
        <v>125</v>
      </c>
      <c r="R100" s="12">
        <v>140</v>
      </c>
      <c r="S100" s="12">
        <v>9.5</v>
      </c>
      <c r="T100" s="13">
        <v>18.98</v>
      </c>
      <c r="U100" s="13">
        <f t="shared" si="7"/>
        <v>10.780000000000001</v>
      </c>
      <c r="V100" s="14">
        <v>2325.0500000000002</v>
      </c>
      <c r="W100" s="14">
        <v>2325.0500000000002</v>
      </c>
      <c r="X100" s="11">
        <v>213</v>
      </c>
      <c r="Y100" s="15" t="s">
        <v>3713</v>
      </c>
      <c r="Z100" s="16">
        <v>2168.0500000000002</v>
      </c>
      <c r="AA100" s="17">
        <v>1380.9</v>
      </c>
      <c r="AB100" s="18" t="s">
        <v>3714</v>
      </c>
    </row>
    <row r="101" spans="1:28" x14ac:dyDescent="0.45">
      <c r="A101" s="2" t="s">
        <v>215</v>
      </c>
      <c r="B101" s="2" t="s">
        <v>216</v>
      </c>
      <c r="C101" s="2" t="s">
        <v>4</v>
      </c>
      <c r="D101" s="2" t="s">
        <v>5</v>
      </c>
      <c r="E101" s="2" t="s">
        <v>96</v>
      </c>
      <c r="F101" s="3">
        <v>130</v>
      </c>
      <c r="G101" s="3">
        <v>142</v>
      </c>
      <c r="H101" s="2" t="s">
        <v>64</v>
      </c>
      <c r="I101" s="19">
        <v>121</v>
      </c>
      <c r="J101" s="34">
        <f t="shared" si="4"/>
        <v>1.0527</v>
      </c>
      <c r="K101" s="34">
        <f t="shared" si="5"/>
        <v>1.58</v>
      </c>
      <c r="L101" s="34">
        <f t="shared" si="6"/>
        <v>6.32</v>
      </c>
      <c r="M101" s="20" t="s">
        <v>3763</v>
      </c>
      <c r="N101" s="20" t="s">
        <v>3716</v>
      </c>
      <c r="O101" s="20" t="s">
        <v>3711</v>
      </c>
      <c r="P101" s="20" t="s">
        <v>3717</v>
      </c>
      <c r="Q101" s="21">
        <v>130</v>
      </c>
      <c r="R101" s="21">
        <v>142</v>
      </c>
      <c r="S101" s="21">
        <v>7.2</v>
      </c>
      <c r="T101" s="22">
        <v>17.97</v>
      </c>
      <c r="U101" s="13">
        <f t="shared" si="7"/>
        <v>11.649999999999999</v>
      </c>
      <c r="V101" s="23">
        <v>2201.3200000000002</v>
      </c>
      <c r="W101" s="23">
        <v>2201.3200000000002</v>
      </c>
      <c r="X101" s="20">
        <v>26</v>
      </c>
      <c r="Y101" s="24" t="s">
        <v>3713</v>
      </c>
      <c r="Z101" s="16">
        <v>2080.3200000000002</v>
      </c>
      <c r="AA101" s="17">
        <v>1719.3</v>
      </c>
      <c r="AB101" s="25" t="s">
        <v>3714</v>
      </c>
    </row>
    <row r="102" spans="1:28" x14ac:dyDescent="0.45">
      <c r="A102" s="4" t="s">
        <v>217</v>
      </c>
      <c r="B102" s="4" t="s">
        <v>218</v>
      </c>
      <c r="C102" s="4" t="s">
        <v>4</v>
      </c>
      <c r="D102" s="4" t="s">
        <v>5</v>
      </c>
      <c r="E102" s="4" t="s">
        <v>96</v>
      </c>
      <c r="F102" s="5">
        <v>135</v>
      </c>
      <c r="G102" s="5">
        <v>147</v>
      </c>
      <c r="H102" s="4" t="s">
        <v>64</v>
      </c>
      <c r="I102" s="10">
        <v>136</v>
      </c>
      <c r="J102" s="34">
        <f t="shared" si="4"/>
        <v>1.1831999999999998</v>
      </c>
      <c r="K102" s="34">
        <f t="shared" si="5"/>
        <v>1.77</v>
      </c>
      <c r="L102" s="34">
        <f t="shared" si="6"/>
        <v>7.08</v>
      </c>
      <c r="M102" s="11" t="s">
        <v>3790</v>
      </c>
      <c r="N102" s="11" t="s">
        <v>3791</v>
      </c>
      <c r="O102" s="11" t="s">
        <v>3711</v>
      </c>
      <c r="P102" s="11" t="s">
        <v>3792</v>
      </c>
      <c r="Q102" s="12">
        <v>135</v>
      </c>
      <c r="R102" s="12">
        <v>147.19999999999999</v>
      </c>
      <c r="S102" s="12">
        <v>7</v>
      </c>
      <c r="T102" s="13">
        <v>13.78</v>
      </c>
      <c r="U102" s="13">
        <f t="shared" si="7"/>
        <v>6.6999999999999993</v>
      </c>
      <c r="V102" s="14">
        <v>1688.05</v>
      </c>
      <c r="W102" s="14">
        <v>1688.05</v>
      </c>
      <c r="X102" s="11">
        <v>13</v>
      </c>
      <c r="Y102" s="15" t="s">
        <v>3713</v>
      </c>
      <c r="Z102" s="16">
        <v>1552.05</v>
      </c>
      <c r="AA102" s="17">
        <v>1141.2</v>
      </c>
      <c r="AB102" s="18" t="s">
        <v>3793</v>
      </c>
    </row>
    <row r="103" spans="1:28" x14ac:dyDescent="0.45">
      <c r="A103" s="2" t="s">
        <v>219</v>
      </c>
      <c r="B103" s="2" t="s">
        <v>220</v>
      </c>
      <c r="C103" s="2" t="s">
        <v>4</v>
      </c>
      <c r="D103" s="2" t="s">
        <v>5</v>
      </c>
      <c r="E103" s="2" t="s">
        <v>96</v>
      </c>
      <c r="F103" s="3">
        <v>140</v>
      </c>
      <c r="G103" s="3">
        <v>152</v>
      </c>
      <c r="H103" s="2" t="s">
        <v>64</v>
      </c>
      <c r="I103" s="19">
        <v>138</v>
      </c>
      <c r="J103" s="34">
        <f t="shared" si="4"/>
        <v>1.2005999999999999</v>
      </c>
      <c r="K103" s="34">
        <f t="shared" si="5"/>
        <v>1.8</v>
      </c>
      <c r="L103" s="34">
        <f t="shared" si="6"/>
        <v>7.2</v>
      </c>
      <c r="M103" s="20" t="s">
        <v>3764</v>
      </c>
      <c r="N103" s="20" t="s">
        <v>3716</v>
      </c>
      <c r="O103" s="20" t="s">
        <v>3711</v>
      </c>
      <c r="P103" s="20" t="s">
        <v>3717</v>
      </c>
      <c r="Q103" s="21">
        <v>140</v>
      </c>
      <c r="R103" s="21">
        <v>152</v>
      </c>
      <c r="S103" s="21">
        <v>7.7</v>
      </c>
      <c r="T103" s="22">
        <v>41.68</v>
      </c>
      <c r="U103" s="13">
        <f t="shared" si="7"/>
        <v>34.479999999999997</v>
      </c>
      <c r="V103" s="23">
        <v>5105.8</v>
      </c>
      <c r="W103" s="23">
        <v>5105.8</v>
      </c>
      <c r="X103" s="20">
        <v>5</v>
      </c>
      <c r="Y103" s="24" t="s">
        <v>3713</v>
      </c>
      <c r="Z103" s="16">
        <v>4967.8</v>
      </c>
      <c r="AA103" s="17">
        <v>3599.9</v>
      </c>
      <c r="AB103" s="25" t="s">
        <v>3714</v>
      </c>
    </row>
    <row r="104" spans="1:28" x14ac:dyDescent="0.45">
      <c r="A104" s="4" t="s">
        <v>221</v>
      </c>
      <c r="B104" s="4" t="s">
        <v>222</v>
      </c>
      <c r="C104" s="4" t="s">
        <v>4</v>
      </c>
      <c r="D104" s="4" t="s">
        <v>5</v>
      </c>
      <c r="E104" s="4" t="s">
        <v>96</v>
      </c>
      <c r="F104" s="5">
        <v>140</v>
      </c>
      <c r="G104" s="5">
        <v>155</v>
      </c>
      <c r="H104" s="4" t="s">
        <v>83</v>
      </c>
      <c r="I104" s="10">
        <v>173</v>
      </c>
      <c r="J104" s="34">
        <f t="shared" si="4"/>
        <v>1.5050999999999999</v>
      </c>
      <c r="K104" s="34">
        <f t="shared" si="5"/>
        <v>2.2599999999999998</v>
      </c>
      <c r="L104" s="34">
        <f t="shared" si="6"/>
        <v>9.0399999999999991</v>
      </c>
      <c r="M104" s="11" t="s">
        <v>3765</v>
      </c>
      <c r="N104" s="11" t="s">
        <v>3719</v>
      </c>
      <c r="O104" s="11" t="s">
        <v>3711</v>
      </c>
      <c r="P104" s="11" t="s">
        <v>3720</v>
      </c>
      <c r="Q104" s="12">
        <v>140</v>
      </c>
      <c r="R104" s="12">
        <v>155</v>
      </c>
      <c r="S104" s="12">
        <v>9.5</v>
      </c>
      <c r="T104" s="13">
        <v>33.6</v>
      </c>
      <c r="U104" s="13">
        <f t="shared" si="7"/>
        <v>24.560000000000002</v>
      </c>
      <c r="V104" s="14">
        <v>4116</v>
      </c>
      <c r="W104" s="14">
        <v>4116</v>
      </c>
      <c r="X104" s="11">
        <v>6</v>
      </c>
      <c r="Y104" s="15" t="s">
        <v>3713</v>
      </c>
      <c r="Z104" s="16">
        <v>3943</v>
      </c>
      <c r="AA104" s="17">
        <v>2279.1999999999998</v>
      </c>
      <c r="AB104" s="18" t="s">
        <v>3714</v>
      </c>
    </row>
    <row r="105" spans="1:28" x14ac:dyDescent="0.45">
      <c r="A105" s="2" t="s">
        <v>223</v>
      </c>
      <c r="B105" s="2" t="s">
        <v>5603</v>
      </c>
      <c r="C105" s="2" t="s">
        <v>4</v>
      </c>
      <c r="D105" s="2" t="s">
        <v>5</v>
      </c>
      <c r="E105" s="2" t="s">
        <v>96</v>
      </c>
      <c r="F105" s="3">
        <v>140</v>
      </c>
      <c r="G105" s="3">
        <v>152</v>
      </c>
      <c r="H105" s="2" t="s">
        <v>224</v>
      </c>
      <c r="I105" s="19">
        <v>153</v>
      </c>
      <c r="J105" s="34">
        <f t="shared" si="4"/>
        <v>1.3310999999999999</v>
      </c>
      <c r="K105" s="34">
        <f t="shared" si="5"/>
        <v>2</v>
      </c>
      <c r="L105" s="34">
        <f t="shared" si="6"/>
        <v>8</v>
      </c>
      <c r="M105" s="20" t="s">
        <v>3764</v>
      </c>
      <c r="N105" s="20" t="s">
        <v>3716</v>
      </c>
      <c r="O105" s="20" t="s">
        <v>3711</v>
      </c>
      <c r="P105" s="20" t="s">
        <v>3717</v>
      </c>
      <c r="Q105" s="21">
        <v>140</v>
      </c>
      <c r="R105" s="21">
        <v>152</v>
      </c>
      <c r="S105" s="21">
        <v>7.7</v>
      </c>
      <c r="T105" s="22">
        <v>41.68</v>
      </c>
      <c r="U105" s="13">
        <f t="shared" si="7"/>
        <v>33.68</v>
      </c>
      <c r="V105" s="23">
        <v>5105.8</v>
      </c>
      <c r="W105" s="23">
        <v>5105.8</v>
      </c>
      <c r="X105" s="20">
        <v>5</v>
      </c>
      <c r="Y105" s="24" t="s">
        <v>3713</v>
      </c>
      <c r="Z105" s="16">
        <v>4952.8</v>
      </c>
      <c r="AA105" s="17">
        <v>3237.1</v>
      </c>
      <c r="AB105" s="25" t="s">
        <v>3714</v>
      </c>
    </row>
    <row r="106" spans="1:28" x14ac:dyDescent="0.45">
      <c r="A106" s="4" t="s">
        <v>225</v>
      </c>
      <c r="B106" s="4" t="s">
        <v>226</v>
      </c>
      <c r="C106" s="4" t="s">
        <v>4</v>
      </c>
      <c r="D106" s="4" t="s">
        <v>5</v>
      </c>
      <c r="E106" s="4" t="s">
        <v>96</v>
      </c>
      <c r="F106" s="5">
        <v>150</v>
      </c>
      <c r="G106" s="5">
        <v>162</v>
      </c>
      <c r="H106" s="4" t="s">
        <v>64</v>
      </c>
      <c r="I106" s="10">
        <v>131</v>
      </c>
      <c r="J106" s="34">
        <f t="shared" si="4"/>
        <v>1.1396999999999999</v>
      </c>
      <c r="K106" s="34">
        <f t="shared" si="5"/>
        <v>1.71</v>
      </c>
      <c r="L106" s="34">
        <f t="shared" si="6"/>
        <v>6.84</v>
      </c>
      <c r="M106" s="11" t="s">
        <v>3766</v>
      </c>
      <c r="N106" s="11" t="s">
        <v>3716</v>
      </c>
      <c r="O106" s="11" t="s">
        <v>3711</v>
      </c>
      <c r="P106" s="11" t="s">
        <v>3717</v>
      </c>
      <c r="Q106" s="12">
        <v>150</v>
      </c>
      <c r="R106" s="12">
        <v>162</v>
      </c>
      <c r="S106" s="12">
        <v>7</v>
      </c>
      <c r="T106" s="13">
        <v>23.02</v>
      </c>
      <c r="U106" s="13">
        <f t="shared" si="7"/>
        <v>16.18</v>
      </c>
      <c r="V106" s="14">
        <v>2819.95</v>
      </c>
      <c r="W106" s="14">
        <v>2819.95</v>
      </c>
      <c r="X106" s="11">
        <v>25</v>
      </c>
      <c r="Y106" s="15" t="s">
        <v>3713</v>
      </c>
      <c r="Z106" s="16">
        <v>2688.95</v>
      </c>
      <c r="AA106" s="17">
        <v>2052.6</v>
      </c>
      <c r="AB106" s="18" t="s">
        <v>3714</v>
      </c>
    </row>
    <row r="107" spans="1:28" x14ac:dyDescent="0.45">
      <c r="A107" s="2" t="s">
        <v>227</v>
      </c>
      <c r="B107" s="2" t="s">
        <v>228</v>
      </c>
      <c r="C107" s="2" t="s">
        <v>4</v>
      </c>
      <c r="D107" s="2" t="s">
        <v>5</v>
      </c>
      <c r="E107" s="2" t="s">
        <v>96</v>
      </c>
      <c r="F107" s="3">
        <v>150</v>
      </c>
      <c r="G107" s="3">
        <v>165</v>
      </c>
      <c r="H107" s="2" t="s">
        <v>83</v>
      </c>
      <c r="I107" s="19">
        <v>182</v>
      </c>
      <c r="J107" s="34">
        <f t="shared" si="4"/>
        <v>1.5833999999999999</v>
      </c>
      <c r="K107" s="34">
        <f t="shared" si="5"/>
        <v>2.38</v>
      </c>
      <c r="L107" s="34">
        <f t="shared" si="6"/>
        <v>9.52</v>
      </c>
      <c r="M107" s="20" t="s">
        <v>3767</v>
      </c>
      <c r="N107" s="20" t="s">
        <v>3716</v>
      </c>
      <c r="O107" s="20" t="s">
        <v>3711</v>
      </c>
      <c r="P107" s="20" t="s">
        <v>3717</v>
      </c>
      <c r="Q107" s="21">
        <v>150</v>
      </c>
      <c r="R107" s="21">
        <v>165</v>
      </c>
      <c r="S107" s="21">
        <v>7.2</v>
      </c>
      <c r="T107" s="22">
        <v>22.46</v>
      </c>
      <c r="U107" s="13">
        <f t="shared" si="7"/>
        <v>12.940000000000001</v>
      </c>
      <c r="V107" s="23">
        <v>2751.35</v>
      </c>
      <c r="W107" s="23">
        <v>2751.35</v>
      </c>
      <c r="X107" s="20" t="s">
        <v>3722</v>
      </c>
      <c r="Y107" s="24" t="s">
        <v>3713</v>
      </c>
      <c r="Z107" s="16">
        <v>2569.35</v>
      </c>
      <c r="AA107" s="17">
        <v>1411.7</v>
      </c>
      <c r="AB107" s="25" t="s">
        <v>3714</v>
      </c>
    </row>
    <row r="108" spans="1:28" x14ac:dyDescent="0.45">
      <c r="A108" s="4" t="s">
        <v>229</v>
      </c>
      <c r="B108" s="4" t="s">
        <v>230</v>
      </c>
      <c r="C108" s="4" t="s">
        <v>4</v>
      </c>
      <c r="D108" s="4" t="s">
        <v>5</v>
      </c>
      <c r="E108" s="4" t="s">
        <v>96</v>
      </c>
      <c r="F108" s="5">
        <v>160</v>
      </c>
      <c r="G108" s="5">
        <v>175</v>
      </c>
      <c r="H108" s="4" t="s">
        <v>83</v>
      </c>
      <c r="I108" s="10">
        <v>214</v>
      </c>
      <c r="J108" s="34">
        <f t="shared" si="4"/>
        <v>1.8617999999999999</v>
      </c>
      <c r="K108" s="34">
        <f t="shared" si="5"/>
        <v>2.79</v>
      </c>
      <c r="L108" s="34">
        <f t="shared" si="6"/>
        <v>11.16</v>
      </c>
      <c r="M108" s="11" t="s">
        <v>3768</v>
      </c>
      <c r="N108" s="11" t="s">
        <v>3716</v>
      </c>
      <c r="O108" s="11" t="s">
        <v>3711</v>
      </c>
      <c r="P108" s="11" t="s">
        <v>3717</v>
      </c>
      <c r="Q108" s="12">
        <v>160</v>
      </c>
      <c r="R108" s="12">
        <v>175</v>
      </c>
      <c r="S108" s="12">
        <v>9.5</v>
      </c>
      <c r="T108" s="13">
        <v>24.53</v>
      </c>
      <c r="U108" s="13">
        <f t="shared" si="7"/>
        <v>13.370000000000001</v>
      </c>
      <c r="V108" s="14">
        <v>3004.92</v>
      </c>
      <c r="W108" s="14">
        <v>3004.92</v>
      </c>
      <c r="X108" s="11">
        <v>154</v>
      </c>
      <c r="Y108" s="15" t="s">
        <v>3713</v>
      </c>
      <c r="Z108" s="16">
        <v>2790.92</v>
      </c>
      <c r="AA108" s="17">
        <v>1304.2</v>
      </c>
      <c r="AB108" s="18" t="s">
        <v>3714</v>
      </c>
    </row>
    <row r="109" spans="1:28" x14ac:dyDescent="0.45">
      <c r="A109" s="2" t="s">
        <v>231</v>
      </c>
      <c r="B109" s="2" t="s">
        <v>232</v>
      </c>
      <c r="C109" s="2" t="s">
        <v>4</v>
      </c>
      <c r="D109" s="2" t="s">
        <v>5</v>
      </c>
      <c r="E109" s="2" t="s">
        <v>96</v>
      </c>
      <c r="F109" s="3">
        <v>170</v>
      </c>
      <c r="G109" s="3">
        <v>182</v>
      </c>
      <c r="H109" s="2" t="s">
        <v>64</v>
      </c>
      <c r="I109" s="19">
        <v>197</v>
      </c>
      <c r="J109" s="34">
        <f t="shared" si="4"/>
        <v>1.7139</v>
      </c>
      <c r="K109" s="34">
        <f t="shared" si="5"/>
        <v>2.57</v>
      </c>
      <c r="L109" s="34">
        <f t="shared" si="6"/>
        <v>10.28</v>
      </c>
      <c r="M109" s="20" t="s">
        <v>3794</v>
      </c>
      <c r="N109" s="20" t="s">
        <v>3716</v>
      </c>
      <c r="O109" s="20" t="s">
        <v>3711</v>
      </c>
      <c r="P109" s="20" t="s">
        <v>3717</v>
      </c>
      <c r="Q109" s="21">
        <v>170</v>
      </c>
      <c r="R109" s="21">
        <v>182</v>
      </c>
      <c r="S109" s="21">
        <v>7.5</v>
      </c>
      <c r="T109" s="22">
        <v>26.98</v>
      </c>
      <c r="U109" s="13">
        <f t="shared" si="7"/>
        <v>16.700000000000003</v>
      </c>
      <c r="V109" s="23">
        <v>3305.05</v>
      </c>
      <c r="W109" s="23">
        <v>3305.05</v>
      </c>
      <c r="X109" s="20">
        <v>41</v>
      </c>
      <c r="Y109" s="24" t="s">
        <v>3713</v>
      </c>
      <c r="Z109" s="16">
        <v>3108.05</v>
      </c>
      <c r="AA109" s="17">
        <v>1577.7</v>
      </c>
      <c r="AB109" s="25" t="s">
        <v>3714</v>
      </c>
    </row>
    <row r="110" spans="1:28" x14ac:dyDescent="0.45">
      <c r="A110" s="4" t="s">
        <v>234</v>
      </c>
      <c r="B110" s="4" t="s">
        <v>235</v>
      </c>
      <c r="C110" s="4" t="s">
        <v>4</v>
      </c>
      <c r="D110" s="4" t="s">
        <v>5</v>
      </c>
      <c r="E110" s="4" t="s">
        <v>96</v>
      </c>
      <c r="F110" s="5">
        <v>180</v>
      </c>
      <c r="G110" s="5">
        <v>200</v>
      </c>
      <c r="H110" s="4" t="s">
        <v>233</v>
      </c>
      <c r="I110" s="10">
        <v>364</v>
      </c>
      <c r="J110" s="34">
        <f t="shared" si="4"/>
        <v>3.1667999999999998</v>
      </c>
      <c r="K110" s="34">
        <f t="shared" si="5"/>
        <v>4.75</v>
      </c>
      <c r="L110" s="34">
        <f t="shared" si="6"/>
        <v>19</v>
      </c>
      <c r="M110" s="11" t="s">
        <v>3795</v>
      </c>
      <c r="N110" s="11" t="s">
        <v>3716</v>
      </c>
      <c r="O110" s="11" t="s">
        <v>3711</v>
      </c>
      <c r="P110" s="11" t="s">
        <v>3717</v>
      </c>
      <c r="Q110" s="12">
        <v>180</v>
      </c>
      <c r="R110" s="12">
        <v>200</v>
      </c>
      <c r="S110" s="12">
        <v>10</v>
      </c>
      <c r="T110" s="13">
        <v>28.17</v>
      </c>
      <c r="U110" s="13">
        <f t="shared" si="7"/>
        <v>9.1700000000000017</v>
      </c>
      <c r="V110" s="14">
        <v>3450.82</v>
      </c>
      <c r="W110" s="14">
        <v>3450.82</v>
      </c>
      <c r="X110" s="11">
        <v>38</v>
      </c>
      <c r="Y110" s="15" t="s">
        <v>3713</v>
      </c>
      <c r="Z110" s="16">
        <v>3086.82</v>
      </c>
      <c r="AA110" s="17">
        <v>848</v>
      </c>
      <c r="AB110" s="18" t="s">
        <v>3714</v>
      </c>
    </row>
    <row r="111" spans="1:28" x14ac:dyDescent="0.45">
      <c r="A111" s="2" t="s">
        <v>236</v>
      </c>
      <c r="B111" s="2" t="s">
        <v>237</v>
      </c>
      <c r="C111" s="2" t="s">
        <v>4</v>
      </c>
      <c r="D111" s="2" t="s">
        <v>5</v>
      </c>
      <c r="E111" s="2" t="s">
        <v>96</v>
      </c>
      <c r="F111" s="3">
        <v>190</v>
      </c>
      <c r="G111" s="3">
        <v>210</v>
      </c>
      <c r="H111" s="2" t="s">
        <v>233</v>
      </c>
      <c r="I111" s="19">
        <v>375</v>
      </c>
      <c r="J111" s="34">
        <f t="shared" si="4"/>
        <v>3.2624999999999997</v>
      </c>
      <c r="K111" s="34">
        <f t="shared" si="5"/>
        <v>4.8899999999999997</v>
      </c>
      <c r="L111" s="34">
        <f t="shared" si="6"/>
        <v>19.559999999999999</v>
      </c>
      <c r="M111" s="20" t="s">
        <v>3796</v>
      </c>
      <c r="N111" s="20" t="s">
        <v>3731</v>
      </c>
      <c r="O111" s="20" t="s">
        <v>3711</v>
      </c>
      <c r="P111" s="20" t="s">
        <v>3732</v>
      </c>
      <c r="Q111" s="21">
        <v>190</v>
      </c>
      <c r="R111" s="21">
        <v>209</v>
      </c>
      <c r="S111" s="21">
        <v>6</v>
      </c>
      <c r="T111" s="22">
        <v>52.25</v>
      </c>
      <c r="U111" s="13">
        <f t="shared" si="7"/>
        <v>32.69</v>
      </c>
      <c r="V111" s="23">
        <v>6400.62</v>
      </c>
      <c r="W111" s="23">
        <v>6400.62</v>
      </c>
      <c r="X111" s="20" t="s">
        <v>3722</v>
      </c>
      <c r="Y111" s="24" t="s">
        <v>3713</v>
      </c>
      <c r="Z111" s="16">
        <v>6025.62</v>
      </c>
      <c r="AA111" s="17">
        <v>1606.8</v>
      </c>
      <c r="AB111" s="25" t="s">
        <v>3786</v>
      </c>
    </row>
    <row r="112" spans="1:28" x14ac:dyDescent="0.45">
      <c r="A112" s="4" t="s">
        <v>238</v>
      </c>
      <c r="B112" s="4" t="s">
        <v>239</v>
      </c>
      <c r="C112" s="4" t="s">
        <v>4</v>
      </c>
      <c r="D112" s="4" t="s">
        <v>5</v>
      </c>
      <c r="E112" s="4" t="s">
        <v>96</v>
      </c>
      <c r="F112" s="5">
        <v>200</v>
      </c>
      <c r="G112" s="5">
        <v>220</v>
      </c>
      <c r="H112" s="4" t="s">
        <v>233</v>
      </c>
      <c r="I112" s="10">
        <v>387</v>
      </c>
      <c r="J112" s="34">
        <f t="shared" si="4"/>
        <v>3.3668999999999998</v>
      </c>
      <c r="K112" s="34">
        <f t="shared" si="5"/>
        <v>5.05</v>
      </c>
      <c r="L112" s="34">
        <f t="shared" si="6"/>
        <v>20.2</v>
      </c>
      <c r="M112" s="11" t="s">
        <v>3797</v>
      </c>
      <c r="N112" s="11" t="s">
        <v>3716</v>
      </c>
      <c r="O112" s="11" t="s">
        <v>3711</v>
      </c>
      <c r="P112" s="11" t="s">
        <v>3717</v>
      </c>
      <c r="Q112" s="12">
        <v>200</v>
      </c>
      <c r="R112" s="12">
        <v>220</v>
      </c>
      <c r="S112" s="12">
        <v>10</v>
      </c>
      <c r="T112" s="13">
        <v>35.64</v>
      </c>
      <c r="U112" s="13">
        <f t="shared" si="7"/>
        <v>15.440000000000001</v>
      </c>
      <c r="V112" s="14">
        <v>4365.8999999999996</v>
      </c>
      <c r="W112" s="14">
        <v>4365.8999999999996</v>
      </c>
      <c r="X112" s="11">
        <v>33</v>
      </c>
      <c r="Y112" s="15" t="s">
        <v>3713</v>
      </c>
      <c r="Z112" s="16">
        <v>3978.9</v>
      </c>
      <c r="AA112" s="17">
        <v>1028.0999999999999</v>
      </c>
      <c r="AB112" s="18" t="s">
        <v>3714</v>
      </c>
    </row>
    <row r="113" spans="1:28" x14ac:dyDescent="0.45">
      <c r="A113" s="2" t="s">
        <v>240</v>
      </c>
      <c r="B113" s="2" t="s">
        <v>241</v>
      </c>
      <c r="C113" s="2" t="s">
        <v>4</v>
      </c>
      <c r="D113" s="2" t="s">
        <v>5</v>
      </c>
      <c r="E113" s="2" t="s">
        <v>96</v>
      </c>
      <c r="F113" s="3">
        <v>220</v>
      </c>
      <c r="G113" s="3">
        <v>240</v>
      </c>
      <c r="H113" s="2" t="s">
        <v>233</v>
      </c>
      <c r="I113" s="19">
        <v>427</v>
      </c>
      <c r="J113" s="34">
        <f t="shared" si="4"/>
        <v>3.7148999999999996</v>
      </c>
      <c r="K113" s="34">
        <f t="shared" si="5"/>
        <v>5.57</v>
      </c>
      <c r="L113" s="34">
        <f t="shared" si="6"/>
        <v>22.28</v>
      </c>
      <c r="M113" s="20" t="s">
        <v>3798</v>
      </c>
      <c r="N113" s="20" t="s">
        <v>3716</v>
      </c>
      <c r="O113" s="20" t="s">
        <v>3711</v>
      </c>
      <c r="P113" s="20" t="s">
        <v>3717</v>
      </c>
      <c r="Q113" s="21">
        <v>220</v>
      </c>
      <c r="R113" s="21">
        <v>240</v>
      </c>
      <c r="S113" s="21">
        <v>10</v>
      </c>
      <c r="T113" s="22">
        <v>57.47</v>
      </c>
      <c r="U113" s="13">
        <f t="shared" si="7"/>
        <v>35.19</v>
      </c>
      <c r="V113" s="23">
        <v>7040.08</v>
      </c>
      <c r="W113" s="23">
        <v>7040.08</v>
      </c>
      <c r="X113" s="20">
        <v>4</v>
      </c>
      <c r="Y113" s="24" t="s">
        <v>3713</v>
      </c>
      <c r="Z113" s="16">
        <v>6613.08</v>
      </c>
      <c r="AA113" s="17">
        <v>1548.7</v>
      </c>
      <c r="AB113" s="25" t="s">
        <v>3714</v>
      </c>
    </row>
    <row r="114" spans="1:28" x14ac:dyDescent="0.45">
      <c r="A114" s="4" t="s">
        <v>242</v>
      </c>
      <c r="B114" s="4" t="s">
        <v>243</v>
      </c>
      <c r="C114" s="4" t="s">
        <v>4</v>
      </c>
      <c r="D114" s="4" t="s">
        <v>5</v>
      </c>
      <c r="E114" s="4" t="s">
        <v>96</v>
      </c>
      <c r="F114" s="5">
        <v>230</v>
      </c>
      <c r="G114" s="5">
        <v>250</v>
      </c>
      <c r="H114" s="4" t="s">
        <v>233</v>
      </c>
      <c r="I114" s="10">
        <v>471</v>
      </c>
      <c r="J114" s="34">
        <f t="shared" si="4"/>
        <v>4.0976999999999997</v>
      </c>
      <c r="K114" s="34">
        <f t="shared" si="5"/>
        <v>6.15</v>
      </c>
      <c r="L114" s="34">
        <f t="shared" si="6"/>
        <v>24.6</v>
      </c>
      <c r="M114" s="11" t="s">
        <v>3799</v>
      </c>
      <c r="N114" s="11" t="s">
        <v>3716</v>
      </c>
      <c r="O114" s="11" t="s">
        <v>3711</v>
      </c>
      <c r="P114" s="11" t="s">
        <v>3717</v>
      </c>
      <c r="Q114" s="12">
        <v>230</v>
      </c>
      <c r="R114" s="12">
        <v>250</v>
      </c>
      <c r="S114" s="12">
        <v>10</v>
      </c>
      <c r="T114" s="13">
        <v>66.31</v>
      </c>
      <c r="U114" s="13">
        <f t="shared" si="7"/>
        <v>41.71</v>
      </c>
      <c r="V114" s="14">
        <v>8122.98</v>
      </c>
      <c r="W114" s="14">
        <v>8122.98</v>
      </c>
      <c r="X114" s="11" t="s">
        <v>3722</v>
      </c>
      <c r="Y114" s="15" t="s">
        <v>3713</v>
      </c>
      <c r="Z114" s="16">
        <v>7651.98</v>
      </c>
      <c r="AA114" s="17">
        <v>1624.6</v>
      </c>
      <c r="AB114" s="18" t="s">
        <v>3714</v>
      </c>
    </row>
    <row r="115" spans="1:28" x14ac:dyDescent="0.45">
      <c r="A115" s="2" t="s">
        <v>244</v>
      </c>
      <c r="B115" s="2" t="s">
        <v>245</v>
      </c>
      <c r="C115" s="2" t="s">
        <v>4</v>
      </c>
      <c r="D115" s="2" t="s">
        <v>5</v>
      </c>
      <c r="E115" s="2" t="s">
        <v>96</v>
      </c>
      <c r="F115" s="3">
        <v>240</v>
      </c>
      <c r="G115" s="3">
        <v>260</v>
      </c>
      <c r="H115" s="2" t="s">
        <v>233</v>
      </c>
      <c r="I115" s="19">
        <v>483</v>
      </c>
      <c r="J115" s="34">
        <f t="shared" si="4"/>
        <v>4.2020999999999997</v>
      </c>
      <c r="K115" s="34">
        <f t="shared" si="5"/>
        <v>6.3</v>
      </c>
      <c r="L115" s="34">
        <f t="shared" si="6"/>
        <v>25.2</v>
      </c>
      <c r="M115" s="20" t="s">
        <v>3800</v>
      </c>
      <c r="N115" s="20" t="s">
        <v>3716</v>
      </c>
      <c r="O115" s="20" t="s">
        <v>3711</v>
      </c>
      <c r="P115" s="20" t="s">
        <v>3717</v>
      </c>
      <c r="Q115" s="21">
        <v>240</v>
      </c>
      <c r="R115" s="21">
        <v>260</v>
      </c>
      <c r="S115" s="21">
        <v>10.199999999999999</v>
      </c>
      <c r="T115" s="22">
        <v>90.07</v>
      </c>
      <c r="U115" s="13">
        <f t="shared" si="7"/>
        <v>64.86999999999999</v>
      </c>
      <c r="V115" s="23">
        <v>11033.58</v>
      </c>
      <c r="W115" s="23">
        <v>11033.58</v>
      </c>
      <c r="X115" s="20">
        <v>19</v>
      </c>
      <c r="Y115" s="24" t="s">
        <v>3713</v>
      </c>
      <c r="Z115" s="16">
        <v>10550.58</v>
      </c>
      <c r="AA115" s="17">
        <v>2184.4</v>
      </c>
      <c r="AB115" s="25" t="s">
        <v>3714</v>
      </c>
    </row>
    <row r="116" spans="1:28" x14ac:dyDescent="0.45">
      <c r="A116" s="4" t="s">
        <v>246</v>
      </c>
      <c r="B116" s="4" t="s">
        <v>247</v>
      </c>
      <c r="C116" s="4" t="s">
        <v>4</v>
      </c>
      <c r="D116" s="4" t="s">
        <v>5</v>
      </c>
      <c r="E116" s="4" t="s">
        <v>96</v>
      </c>
      <c r="F116" s="5">
        <v>250</v>
      </c>
      <c r="G116" s="5">
        <v>270</v>
      </c>
      <c r="H116" s="4" t="s">
        <v>233</v>
      </c>
      <c r="I116" s="10">
        <v>493</v>
      </c>
      <c r="J116" s="34">
        <f t="shared" si="4"/>
        <v>4.2890999999999995</v>
      </c>
      <c r="K116" s="34">
        <f t="shared" si="5"/>
        <v>6.43</v>
      </c>
      <c r="L116" s="34">
        <f t="shared" si="6"/>
        <v>25.72</v>
      </c>
      <c r="M116" s="11" t="s">
        <v>3801</v>
      </c>
      <c r="N116" s="11" t="s">
        <v>3716</v>
      </c>
      <c r="O116" s="11" t="s">
        <v>3711</v>
      </c>
      <c r="P116" s="11" t="s">
        <v>3717</v>
      </c>
      <c r="Q116" s="12">
        <v>250</v>
      </c>
      <c r="R116" s="12">
        <v>270</v>
      </c>
      <c r="S116" s="12">
        <v>10</v>
      </c>
      <c r="T116" s="13">
        <v>49.48</v>
      </c>
      <c r="U116" s="13">
        <f t="shared" si="7"/>
        <v>23.759999999999998</v>
      </c>
      <c r="V116" s="14">
        <v>6061.3</v>
      </c>
      <c r="W116" s="14">
        <v>6061.3</v>
      </c>
      <c r="X116" s="11">
        <v>20</v>
      </c>
      <c r="Y116" s="15" t="s">
        <v>3713</v>
      </c>
      <c r="Z116" s="16">
        <v>5568.3</v>
      </c>
      <c r="AA116" s="17">
        <v>1129.5</v>
      </c>
      <c r="AB116" s="18" t="s">
        <v>3714</v>
      </c>
    </row>
    <row r="117" spans="1:28" x14ac:dyDescent="0.45">
      <c r="A117" s="2" t="s">
        <v>248</v>
      </c>
      <c r="B117" s="2" t="s">
        <v>249</v>
      </c>
      <c r="C117" s="2" t="s">
        <v>4</v>
      </c>
      <c r="D117" s="2" t="s">
        <v>5</v>
      </c>
      <c r="E117" s="2" t="s">
        <v>96</v>
      </c>
      <c r="F117" s="3">
        <v>260</v>
      </c>
      <c r="G117" s="3">
        <v>280</v>
      </c>
      <c r="H117" s="2" t="s">
        <v>233</v>
      </c>
      <c r="I117" s="19">
        <v>567</v>
      </c>
      <c r="J117" s="34">
        <f t="shared" si="4"/>
        <v>4.9329000000000001</v>
      </c>
      <c r="K117" s="34">
        <f t="shared" si="5"/>
        <v>7.4</v>
      </c>
      <c r="L117" s="34">
        <f t="shared" si="6"/>
        <v>29.6</v>
      </c>
      <c r="M117" s="20" t="s">
        <v>3802</v>
      </c>
      <c r="N117" s="20" t="s">
        <v>3716</v>
      </c>
      <c r="O117" s="20" t="s">
        <v>3711</v>
      </c>
      <c r="P117" s="20" t="s">
        <v>3717</v>
      </c>
      <c r="Q117" s="21">
        <v>260</v>
      </c>
      <c r="R117" s="21">
        <v>280</v>
      </c>
      <c r="S117" s="21">
        <v>10</v>
      </c>
      <c r="T117" s="22">
        <v>51.46</v>
      </c>
      <c r="U117" s="13">
        <f t="shared" si="7"/>
        <v>21.86</v>
      </c>
      <c r="V117" s="23">
        <v>6303.85</v>
      </c>
      <c r="W117" s="23">
        <v>6303.85</v>
      </c>
      <c r="X117" s="20" t="s">
        <v>3722</v>
      </c>
      <c r="Y117" s="24" t="s">
        <v>3713</v>
      </c>
      <c r="Z117" s="16">
        <v>5736.85</v>
      </c>
      <c r="AA117" s="17">
        <v>1011.8</v>
      </c>
      <c r="AB117" s="25" t="s">
        <v>3714</v>
      </c>
    </row>
    <row r="118" spans="1:28" x14ac:dyDescent="0.45">
      <c r="A118" s="4" t="s">
        <v>250</v>
      </c>
      <c r="B118" s="4" t="s">
        <v>251</v>
      </c>
      <c r="C118" s="4" t="s">
        <v>4</v>
      </c>
      <c r="D118" s="4" t="s">
        <v>5</v>
      </c>
      <c r="E118" s="4" t="s">
        <v>96</v>
      </c>
      <c r="F118" s="5">
        <v>280</v>
      </c>
      <c r="G118" s="5">
        <v>300</v>
      </c>
      <c r="H118" s="4" t="s">
        <v>233</v>
      </c>
      <c r="I118" s="10">
        <v>653</v>
      </c>
      <c r="J118" s="34">
        <f t="shared" si="4"/>
        <v>5.6810999999999998</v>
      </c>
      <c r="K118" s="34">
        <f t="shared" si="5"/>
        <v>8.52</v>
      </c>
      <c r="L118" s="34">
        <f t="shared" si="6"/>
        <v>34.08</v>
      </c>
      <c r="M118" s="11" t="s">
        <v>3803</v>
      </c>
      <c r="N118" s="11" t="s">
        <v>3716</v>
      </c>
      <c r="O118" s="11" t="s">
        <v>3711</v>
      </c>
      <c r="P118" s="11" t="s">
        <v>3717</v>
      </c>
      <c r="Q118" s="12">
        <v>280</v>
      </c>
      <c r="R118" s="12">
        <v>300</v>
      </c>
      <c r="S118" s="12">
        <v>10</v>
      </c>
      <c r="T118" s="13">
        <v>57.28</v>
      </c>
      <c r="U118" s="13">
        <f t="shared" si="7"/>
        <v>23.200000000000003</v>
      </c>
      <c r="V118" s="14">
        <v>7016.8</v>
      </c>
      <c r="W118" s="14">
        <v>7016.8</v>
      </c>
      <c r="X118" s="11">
        <v>25</v>
      </c>
      <c r="Y118" s="15" t="s">
        <v>3713</v>
      </c>
      <c r="Z118" s="16">
        <v>6363.8</v>
      </c>
      <c r="AA118" s="17">
        <v>974.5</v>
      </c>
      <c r="AB118" s="18" t="s">
        <v>3714</v>
      </c>
    </row>
    <row r="119" spans="1:28" x14ac:dyDescent="0.45">
      <c r="A119" s="2" t="s">
        <v>252</v>
      </c>
      <c r="B119" s="2" t="s">
        <v>253</v>
      </c>
      <c r="C119" s="2" t="s">
        <v>4</v>
      </c>
      <c r="D119" s="2" t="s">
        <v>5</v>
      </c>
      <c r="E119" s="2" t="s">
        <v>96</v>
      </c>
      <c r="F119" s="3">
        <v>290</v>
      </c>
      <c r="G119" s="3">
        <v>310</v>
      </c>
      <c r="H119" s="2" t="s">
        <v>233</v>
      </c>
      <c r="I119" s="19">
        <v>663</v>
      </c>
      <c r="J119" s="34">
        <f t="shared" si="4"/>
        <v>5.7680999999999996</v>
      </c>
      <c r="K119" s="34">
        <f t="shared" si="5"/>
        <v>8.65</v>
      </c>
      <c r="L119" s="34">
        <f t="shared" si="6"/>
        <v>34.6</v>
      </c>
      <c r="M119" s="20" t="s">
        <v>3804</v>
      </c>
      <c r="N119" s="20" t="s">
        <v>3716</v>
      </c>
      <c r="O119" s="20" t="s">
        <v>3711</v>
      </c>
      <c r="P119" s="20" t="s">
        <v>3717</v>
      </c>
      <c r="Q119" s="21">
        <v>290</v>
      </c>
      <c r="R119" s="21">
        <v>310</v>
      </c>
      <c r="S119" s="21">
        <v>12</v>
      </c>
      <c r="T119" s="22">
        <v>105.57</v>
      </c>
      <c r="U119" s="13">
        <f t="shared" si="7"/>
        <v>70.97</v>
      </c>
      <c r="V119" s="23">
        <v>12932.32</v>
      </c>
      <c r="W119" s="23">
        <v>12932.32</v>
      </c>
      <c r="X119" s="20">
        <v>11</v>
      </c>
      <c r="Y119" s="24" t="s">
        <v>3713</v>
      </c>
      <c r="Z119" s="16">
        <v>12269.32</v>
      </c>
      <c r="AA119" s="17">
        <v>1850.6</v>
      </c>
      <c r="AB119" s="25" t="s">
        <v>3714</v>
      </c>
    </row>
    <row r="120" spans="1:28" x14ac:dyDescent="0.45">
      <c r="A120" s="4" t="s">
        <v>254</v>
      </c>
      <c r="B120" s="4" t="s">
        <v>255</v>
      </c>
      <c r="C120" s="4" t="s">
        <v>4</v>
      </c>
      <c r="D120" s="4" t="s">
        <v>5</v>
      </c>
      <c r="E120" s="4" t="s">
        <v>96</v>
      </c>
      <c r="F120" s="5">
        <v>300</v>
      </c>
      <c r="G120" s="5">
        <v>320</v>
      </c>
      <c r="H120" s="4" t="s">
        <v>233</v>
      </c>
      <c r="I120" s="10">
        <v>675</v>
      </c>
      <c r="J120" s="34">
        <f t="shared" si="4"/>
        <v>5.8724999999999996</v>
      </c>
      <c r="K120" s="34">
        <f t="shared" si="5"/>
        <v>8.81</v>
      </c>
      <c r="L120" s="34">
        <f t="shared" si="6"/>
        <v>35.24</v>
      </c>
      <c r="M120" s="11" t="s">
        <v>3805</v>
      </c>
      <c r="N120" s="11" t="s">
        <v>3716</v>
      </c>
      <c r="O120" s="11" t="s">
        <v>3711</v>
      </c>
      <c r="P120" s="11" t="s">
        <v>3717</v>
      </c>
      <c r="Q120" s="12">
        <v>300</v>
      </c>
      <c r="R120" s="12">
        <v>320</v>
      </c>
      <c r="S120" s="12">
        <v>10.199999999999999</v>
      </c>
      <c r="T120" s="13">
        <v>86.46</v>
      </c>
      <c r="U120" s="13">
        <f t="shared" si="7"/>
        <v>51.219999999999992</v>
      </c>
      <c r="V120" s="14">
        <v>10591.35</v>
      </c>
      <c r="W120" s="14">
        <v>10591.35</v>
      </c>
      <c r="X120" s="11" t="s">
        <v>3722</v>
      </c>
      <c r="Y120" s="15" t="s">
        <v>3713</v>
      </c>
      <c r="Z120" s="16">
        <v>9916.35</v>
      </c>
      <c r="AA120" s="17">
        <v>1469.1</v>
      </c>
      <c r="AB120" s="18" t="s">
        <v>3714</v>
      </c>
    </row>
    <row r="121" spans="1:28" x14ac:dyDescent="0.45">
      <c r="A121" s="2" t="s">
        <v>257</v>
      </c>
      <c r="B121" s="2" t="s">
        <v>258</v>
      </c>
      <c r="C121" s="2" t="s">
        <v>4</v>
      </c>
      <c r="D121" s="2" t="s">
        <v>5</v>
      </c>
      <c r="E121" s="2" t="s">
        <v>256</v>
      </c>
      <c r="F121" s="3">
        <v>12</v>
      </c>
      <c r="G121" s="3">
        <v>18</v>
      </c>
      <c r="H121" s="2" t="s">
        <v>7</v>
      </c>
      <c r="I121" s="19">
        <v>35</v>
      </c>
      <c r="J121" s="34">
        <f t="shared" si="4"/>
        <v>0.30449999999999999</v>
      </c>
      <c r="K121" s="34">
        <f t="shared" si="5"/>
        <v>0.46</v>
      </c>
      <c r="L121" s="34">
        <f t="shared" si="6"/>
        <v>1.84</v>
      </c>
      <c r="M121" s="20" t="s">
        <v>3709</v>
      </c>
      <c r="N121" s="20" t="s">
        <v>3710</v>
      </c>
      <c r="O121" s="20" t="s">
        <v>3711</v>
      </c>
      <c r="P121" s="20" t="s">
        <v>3712</v>
      </c>
      <c r="Q121" s="21">
        <v>12</v>
      </c>
      <c r="R121" s="21">
        <v>18</v>
      </c>
      <c r="S121" s="21">
        <v>4</v>
      </c>
      <c r="T121" s="22">
        <v>4.28</v>
      </c>
      <c r="U121" s="13">
        <f t="shared" si="7"/>
        <v>2.4400000000000004</v>
      </c>
      <c r="V121" s="23">
        <v>524.29999999999995</v>
      </c>
      <c r="W121" s="23">
        <v>524.29999999999995</v>
      </c>
      <c r="X121" s="20">
        <v>20</v>
      </c>
      <c r="Y121" s="24" t="s">
        <v>3713</v>
      </c>
      <c r="Z121" s="16">
        <v>489.3</v>
      </c>
      <c r="AA121" s="17">
        <v>1398</v>
      </c>
      <c r="AB121" s="25" t="s">
        <v>3714</v>
      </c>
    </row>
    <row r="122" spans="1:28" x14ac:dyDescent="0.45">
      <c r="A122" s="4" t="s">
        <v>259</v>
      </c>
      <c r="B122" s="4" t="s">
        <v>260</v>
      </c>
      <c r="C122" s="4" t="s">
        <v>4</v>
      </c>
      <c r="D122" s="4" t="s">
        <v>5</v>
      </c>
      <c r="E122" s="4" t="s">
        <v>256</v>
      </c>
      <c r="F122" s="5">
        <v>12</v>
      </c>
      <c r="G122" s="5">
        <v>20</v>
      </c>
      <c r="H122" s="4" t="s">
        <v>12</v>
      </c>
      <c r="I122" s="10">
        <v>39</v>
      </c>
      <c r="J122" s="34">
        <f t="shared" si="4"/>
        <v>0.33929999999999999</v>
      </c>
      <c r="K122" s="34">
        <f t="shared" si="5"/>
        <v>0.51</v>
      </c>
      <c r="L122" s="34">
        <f t="shared" si="6"/>
        <v>2.04</v>
      </c>
      <c r="M122" s="11" t="s">
        <v>3769</v>
      </c>
      <c r="N122" s="11" t="s">
        <v>3719</v>
      </c>
      <c r="O122" s="11" t="s">
        <v>3711</v>
      </c>
      <c r="P122" s="11" t="s">
        <v>3720</v>
      </c>
      <c r="Q122" s="12">
        <v>12</v>
      </c>
      <c r="R122" s="12">
        <v>20</v>
      </c>
      <c r="S122" s="12">
        <v>4</v>
      </c>
      <c r="T122" s="13">
        <v>11.23</v>
      </c>
      <c r="U122" s="13">
        <f t="shared" si="7"/>
        <v>9.1900000000000013</v>
      </c>
      <c r="V122" s="14">
        <v>1375.68</v>
      </c>
      <c r="W122" s="14">
        <v>1375.68</v>
      </c>
      <c r="X122" s="11">
        <v>24</v>
      </c>
      <c r="Y122" s="15" t="s">
        <v>3713</v>
      </c>
      <c r="Z122" s="16">
        <v>1336.68</v>
      </c>
      <c r="AA122" s="17">
        <v>3427.4</v>
      </c>
      <c r="AB122" s="18" t="s">
        <v>3714</v>
      </c>
    </row>
    <row r="123" spans="1:28" x14ac:dyDescent="0.45">
      <c r="A123" s="2" t="s">
        <v>261</v>
      </c>
      <c r="B123" s="2" t="s">
        <v>5604</v>
      </c>
      <c r="C123" s="2" t="s">
        <v>4</v>
      </c>
      <c r="D123" s="2" t="s">
        <v>5</v>
      </c>
      <c r="E123" s="2" t="s">
        <v>256</v>
      </c>
      <c r="F123" s="3">
        <v>12</v>
      </c>
      <c r="G123" s="3">
        <v>17</v>
      </c>
      <c r="H123" s="2" t="s">
        <v>262</v>
      </c>
      <c r="I123" s="19">
        <v>37</v>
      </c>
      <c r="J123" s="34">
        <f t="shared" si="4"/>
        <v>0.32189999999999996</v>
      </c>
      <c r="K123" s="34">
        <f t="shared" si="5"/>
        <v>0.48</v>
      </c>
      <c r="L123" s="34">
        <f t="shared" si="6"/>
        <v>1.92</v>
      </c>
      <c r="M123" s="20" t="s">
        <v>3709</v>
      </c>
      <c r="N123" s="20" t="s">
        <v>3710</v>
      </c>
      <c r="O123" s="20" t="s">
        <v>3711</v>
      </c>
      <c r="P123" s="20" t="s">
        <v>3712</v>
      </c>
      <c r="Q123" s="21">
        <v>12</v>
      </c>
      <c r="R123" s="21">
        <v>18</v>
      </c>
      <c r="S123" s="21">
        <v>4</v>
      </c>
      <c r="T123" s="22">
        <v>4.28</v>
      </c>
      <c r="U123" s="13">
        <f t="shared" si="7"/>
        <v>2.3600000000000003</v>
      </c>
      <c r="V123" s="23">
        <v>524.29999999999995</v>
      </c>
      <c r="W123" s="23">
        <v>524.29999999999995</v>
      </c>
      <c r="X123" s="20">
        <v>20</v>
      </c>
      <c r="Y123" s="24" t="s">
        <v>3713</v>
      </c>
      <c r="Z123" s="16">
        <v>487.3</v>
      </c>
      <c r="AA123" s="17">
        <v>1317</v>
      </c>
      <c r="AB123" s="25" t="s">
        <v>3786</v>
      </c>
    </row>
    <row r="124" spans="1:28" x14ac:dyDescent="0.45">
      <c r="A124" s="4" t="s">
        <v>263</v>
      </c>
      <c r="B124" s="4" t="s">
        <v>264</v>
      </c>
      <c r="C124" s="4" t="s">
        <v>4</v>
      </c>
      <c r="D124" s="4" t="s">
        <v>5</v>
      </c>
      <c r="E124" s="4" t="s">
        <v>256</v>
      </c>
      <c r="F124" s="5">
        <v>18</v>
      </c>
      <c r="G124" s="5">
        <v>24</v>
      </c>
      <c r="H124" s="4" t="s">
        <v>103</v>
      </c>
      <c r="I124" s="10">
        <v>37</v>
      </c>
      <c r="J124" s="34">
        <f t="shared" si="4"/>
        <v>0.32189999999999996</v>
      </c>
      <c r="K124" s="34">
        <f t="shared" si="5"/>
        <v>0.48</v>
      </c>
      <c r="L124" s="34">
        <f t="shared" si="6"/>
        <v>1.92</v>
      </c>
      <c r="M124" s="11" t="s">
        <v>3715</v>
      </c>
      <c r="N124" s="11" t="s">
        <v>3716</v>
      </c>
      <c r="O124" s="11" t="s">
        <v>3711</v>
      </c>
      <c r="P124" s="11" t="s">
        <v>3717</v>
      </c>
      <c r="Q124" s="12">
        <v>18</v>
      </c>
      <c r="R124" s="12">
        <v>24</v>
      </c>
      <c r="S124" s="12">
        <v>5</v>
      </c>
      <c r="T124" s="13">
        <v>4.1500000000000004</v>
      </c>
      <c r="U124" s="13">
        <f t="shared" si="7"/>
        <v>2.2300000000000004</v>
      </c>
      <c r="V124" s="14">
        <v>508.38</v>
      </c>
      <c r="W124" s="14">
        <v>508.38</v>
      </c>
      <c r="X124" s="11">
        <v>127</v>
      </c>
      <c r="Y124" s="15" t="s">
        <v>3713</v>
      </c>
      <c r="Z124" s="16">
        <v>471.38</v>
      </c>
      <c r="AA124" s="17">
        <v>1274</v>
      </c>
      <c r="AB124" s="18" t="s">
        <v>3714</v>
      </c>
    </row>
    <row r="125" spans="1:28" x14ac:dyDescent="0.45">
      <c r="A125" s="2" t="s">
        <v>265</v>
      </c>
      <c r="B125" s="2" t="s">
        <v>266</v>
      </c>
      <c r="C125" s="2" t="s">
        <v>4</v>
      </c>
      <c r="D125" s="2" t="s">
        <v>5</v>
      </c>
      <c r="E125" s="2" t="s">
        <v>256</v>
      </c>
      <c r="F125" s="3">
        <v>18</v>
      </c>
      <c r="G125" s="3">
        <v>25</v>
      </c>
      <c r="H125" s="2" t="s">
        <v>267</v>
      </c>
      <c r="I125" s="19">
        <v>37</v>
      </c>
      <c r="J125" s="34">
        <f t="shared" si="4"/>
        <v>0.32189999999999996</v>
      </c>
      <c r="K125" s="34">
        <f t="shared" si="5"/>
        <v>0.48</v>
      </c>
      <c r="L125" s="34">
        <f t="shared" si="6"/>
        <v>1.92</v>
      </c>
      <c r="M125" s="20" t="s">
        <v>3718</v>
      </c>
      <c r="N125" s="20" t="s">
        <v>3719</v>
      </c>
      <c r="O125" s="20" t="s">
        <v>3711</v>
      </c>
      <c r="P125" s="20" t="s">
        <v>3720</v>
      </c>
      <c r="Q125" s="21">
        <v>18</v>
      </c>
      <c r="R125" s="21">
        <v>26</v>
      </c>
      <c r="S125" s="21">
        <v>4</v>
      </c>
      <c r="T125" s="22">
        <v>4.1900000000000004</v>
      </c>
      <c r="U125" s="13">
        <f t="shared" si="7"/>
        <v>2.2700000000000005</v>
      </c>
      <c r="V125" s="23">
        <v>513.28</v>
      </c>
      <c r="W125" s="23">
        <v>513.28</v>
      </c>
      <c r="X125" s="20">
        <v>55</v>
      </c>
      <c r="Y125" s="24" t="s">
        <v>3713</v>
      </c>
      <c r="Z125" s="16">
        <v>476.28</v>
      </c>
      <c r="AA125" s="17">
        <v>1287.2</v>
      </c>
      <c r="AB125" s="25" t="s">
        <v>3786</v>
      </c>
    </row>
    <row r="126" spans="1:28" x14ac:dyDescent="0.45">
      <c r="A126" s="4" t="s">
        <v>268</v>
      </c>
      <c r="B126" s="4" t="s">
        <v>269</v>
      </c>
      <c r="C126" s="4" t="s">
        <v>4</v>
      </c>
      <c r="D126" s="4" t="s">
        <v>5</v>
      </c>
      <c r="E126" s="4" t="s">
        <v>256</v>
      </c>
      <c r="F126" s="5">
        <v>18</v>
      </c>
      <c r="G126" s="5">
        <v>25</v>
      </c>
      <c r="H126" s="4" t="s">
        <v>270</v>
      </c>
      <c r="I126" s="10">
        <v>37</v>
      </c>
      <c r="J126" s="34">
        <f t="shared" si="4"/>
        <v>0.32189999999999996</v>
      </c>
      <c r="K126" s="34">
        <f t="shared" si="5"/>
        <v>0.48</v>
      </c>
      <c r="L126" s="34">
        <f t="shared" si="6"/>
        <v>1.92</v>
      </c>
      <c r="M126" s="11" t="s">
        <v>3718</v>
      </c>
      <c r="N126" s="11" t="s">
        <v>3719</v>
      </c>
      <c r="O126" s="11" t="s">
        <v>3711</v>
      </c>
      <c r="P126" s="11" t="s">
        <v>3720</v>
      </c>
      <c r="Q126" s="12">
        <v>18</v>
      </c>
      <c r="R126" s="12">
        <v>26</v>
      </c>
      <c r="S126" s="12">
        <v>4</v>
      </c>
      <c r="T126" s="13">
        <v>4.1900000000000004</v>
      </c>
      <c r="U126" s="13">
        <f t="shared" si="7"/>
        <v>2.2700000000000005</v>
      </c>
      <c r="V126" s="14">
        <v>513.28</v>
      </c>
      <c r="W126" s="14">
        <v>513.28</v>
      </c>
      <c r="X126" s="11">
        <v>55</v>
      </c>
      <c r="Y126" s="15" t="s">
        <v>3713</v>
      </c>
      <c r="Z126" s="16">
        <v>476.28</v>
      </c>
      <c r="AA126" s="17">
        <v>1287.2</v>
      </c>
      <c r="AB126" s="18" t="s">
        <v>3786</v>
      </c>
    </row>
    <row r="127" spans="1:28" x14ac:dyDescent="0.45">
      <c r="A127" s="2" t="s">
        <v>271</v>
      </c>
      <c r="B127" s="2" t="s">
        <v>272</v>
      </c>
      <c r="C127" s="2" t="s">
        <v>4</v>
      </c>
      <c r="D127" s="2" t="s">
        <v>5</v>
      </c>
      <c r="E127" s="2" t="s">
        <v>256</v>
      </c>
      <c r="F127" s="3">
        <v>18</v>
      </c>
      <c r="G127" s="3">
        <v>26</v>
      </c>
      <c r="H127" s="2" t="s">
        <v>12</v>
      </c>
      <c r="I127" s="19">
        <v>44</v>
      </c>
      <c r="J127" s="34">
        <f t="shared" si="4"/>
        <v>0.38279999999999997</v>
      </c>
      <c r="K127" s="34">
        <f t="shared" si="5"/>
        <v>0.56999999999999995</v>
      </c>
      <c r="L127" s="34">
        <f t="shared" si="6"/>
        <v>2.2799999999999998</v>
      </c>
      <c r="M127" s="20" t="s">
        <v>3718</v>
      </c>
      <c r="N127" s="20" t="s">
        <v>3719</v>
      </c>
      <c r="O127" s="20" t="s">
        <v>3711</v>
      </c>
      <c r="P127" s="20" t="s">
        <v>3720</v>
      </c>
      <c r="Q127" s="21">
        <v>18</v>
      </c>
      <c r="R127" s="21">
        <v>26</v>
      </c>
      <c r="S127" s="21">
        <v>4</v>
      </c>
      <c r="T127" s="22">
        <v>4.1900000000000004</v>
      </c>
      <c r="U127" s="13">
        <f t="shared" si="7"/>
        <v>1.9100000000000006</v>
      </c>
      <c r="V127" s="23">
        <v>513.28</v>
      </c>
      <c r="W127" s="23">
        <v>513.28</v>
      </c>
      <c r="X127" s="20">
        <v>55</v>
      </c>
      <c r="Y127" s="24" t="s">
        <v>3713</v>
      </c>
      <c r="Z127" s="16">
        <v>469.28</v>
      </c>
      <c r="AA127" s="17">
        <v>1066.5</v>
      </c>
      <c r="AB127" s="25" t="s">
        <v>3714</v>
      </c>
    </row>
    <row r="128" spans="1:28" x14ac:dyDescent="0.45">
      <c r="A128" s="4" t="s">
        <v>273</v>
      </c>
      <c r="B128" s="4" t="s">
        <v>274</v>
      </c>
      <c r="C128" s="4" t="s">
        <v>4</v>
      </c>
      <c r="D128" s="4" t="s">
        <v>5</v>
      </c>
      <c r="E128" s="4" t="s">
        <v>256</v>
      </c>
      <c r="F128" s="5">
        <v>20</v>
      </c>
      <c r="G128" s="5">
        <v>28</v>
      </c>
      <c r="H128" s="4" t="s">
        <v>12</v>
      </c>
      <c r="I128" s="10">
        <v>44</v>
      </c>
      <c r="J128" s="34">
        <f t="shared" si="4"/>
        <v>0.38279999999999997</v>
      </c>
      <c r="K128" s="34">
        <f t="shared" si="5"/>
        <v>0.56999999999999995</v>
      </c>
      <c r="L128" s="34">
        <f t="shared" si="6"/>
        <v>2.2799999999999998</v>
      </c>
      <c r="M128" s="11" t="s">
        <v>3721</v>
      </c>
      <c r="N128" s="11" t="s">
        <v>3719</v>
      </c>
      <c r="O128" s="11" t="s">
        <v>3711</v>
      </c>
      <c r="P128" s="11" t="s">
        <v>3720</v>
      </c>
      <c r="Q128" s="12">
        <v>20</v>
      </c>
      <c r="R128" s="12">
        <v>28</v>
      </c>
      <c r="S128" s="12">
        <v>4</v>
      </c>
      <c r="T128" s="13">
        <v>11.74</v>
      </c>
      <c r="U128" s="13">
        <f t="shared" si="7"/>
        <v>9.4600000000000009</v>
      </c>
      <c r="V128" s="14">
        <v>1438.15</v>
      </c>
      <c r="W128" s="14">
        <v>1438.15</v>
      </c>
      <c r="X128" s="11" t="s">
        <v>3722</v>
      </c>
      <c r="Y128" s="15" t="s">
        <v>3713</v>
      </c>
      <c r="Z128" s="16">
        <v>1394.15</v>
      </c>
      <c r="AA128" s="17">
        <v>3168.5</v>
      </c>
      <c r="AB128" s="18" t="s">
        <v>3714</v>
      </c>
    </row>
    <row r="129" spans="1:28" x14ac:dyDescent="0.45">
      <c r="A129" s="2" t="s">
        <v>275</v>
      </c>
      <c r="B129" s="2" t="s">
        <v>5605</v>
      </c>
      <c r="C129" s="2" t="s">
        <v>4</v>
      </c>
      <c r="D129" s="2" t="s">
        <v>5</v>
      </c>
      <c r="E129" s="2" t="s">
        <v>256</v>
      </c>
      <c r="F129" s="3">
        <v>20</v>
      </c>
      <c r="G129" s="3">
        <v>28</v>
      </c>
      <c r="H129" s="2" t="s">
        <v>262</v>
      </c>
      <c r="I129" s="19">
        <v>40</v>
      </c>
      <c r="J129" s="34">
        <f t="shared" si="4"/>
        <v>0.34799999999999998</v>
      </c>
      <c r="K129" s="34">
        <f t="shared" si="5"/>
        <v>0.52</v>
      </c>
      <c r="L129" s="34">
        <f t="shared" si="6"/>
        <v>2.08</v>
      </c>
      <c r="M129" s="20" t="s">
        <v>3721</v>
      </c>
      <c r="N129" s="20" t="s">
        <v>3719</v>
      </c>
      <c r="O129" s="20" t="s">
        <v>3711</v>
      </c>
      <c r="P129" s="20" t="s">
        <v>3720</v>
      </c>
      <c r="Q129" s="21">
        <v>20</v>
      </c>
      <c r="R129" s="21">
        <v>28</v>
      </c>
      <c r="S129" s="21">
        <v>4</v>
      </c>
      <c r="T129" s="22">
        <v>11.74</v>
      </c>
      <c r="U129" s="13">
        <f t="shared" si="7"/>
        <v>9.66</v>
      </c>
      <c r="V129" s="23">
        <v>1438.15</v>
      </c>
      <c r="W129" s="23">
        <v>1438.15</v>
      </c>
      <c r="X129" s="20" t="s">
        <v>3722</v>
      </c>
      <c r="Y129" s="24" t="s">
        <v>3713</v>
      </c>
      <c r="Z129" s="16">
        <v>1398.15</v>
      </c>
      <c r="AA129" s="17">
        <v>3495.4</v>
      </c>
      <c r="AB129" s="25" t="s">
        <v>3714</v>
      </c>
    </row>
    <row r="130" spans="1:28" x14ac:dyDescent="0.45">
      <c r="A130" s="4" t="s">
        <v>276</v>
      </c>
      <c r="B130" s="4" t="s">
        <v>277</v>
      </c>
      <c r="C130" s="4" t="s">
        <v>4</v>
      </c>
      <c r="D130" s="4" t="s">
        <v>5</v>
      </c>
      <c r="E130" s="4" t="s">
        <v>256</v>
      </c>
      <c r="F130" s="5">
        <v>22</v>
      </c>
      <c r="G130" s="5">
        <v>30</v>
      </c>
      <c r="H130" s="4" t="s">
        <v>12</v>
      </c>
      <c r="I130" s="10">
        <v>42</v>
      </c>
      <c r="J130" s="34">
        <f t="shared" si="4"/>
        <v>0.36539999999999995</v>
      </c>
      <c r="K130" s="34">
        <f t="shared" si="5"/>
        <v>0.55000000000000004</v>
      </c>
      <c r="L130" s="34">
        <f t="shared" si="6"/>
        <v>2.2000000000000002</v>
      </c>
      <c r="M130" s="11" t="s">
        <v>3723</v>
      </c>
      <c r="N130" s="11" t="s">
        <v>3719</v>
      </c>
      <c r="O130" s="11" t="s">
        <v>3711</v>
      </c>
      <c r="P130" s="11" t="s">
        <v>3720</v>
      </c>
      <c r="Q130" s="12">
        <v>22</v>
      </c>
      <c r="R130" s="12">
        <v>30</v>
      </c>
      <c r="S130" s="12">
        <v>4</v>
      </c>
      <c r="T130" s="13">
        <v>7.14</v>
      </c>
      <c r="U130" s="13">
        <f t="shared" si="7"/>
        <v>4.9399999999999995</v>
      </c>
      <c r="V130" s="14">
        <v>874.65</v>
      </c>
      <c r="W130" s="14">
        <v>874.65</v>
      </c>
      <c r="X130" s="11">
        <v>16</v>
      </c>
      <c r="Y130" s="15" t="s">
        <v>3713</v>
      </c>
      <c r="Z130" s="16">
        <v>832.65</v>
      </c>
      <c r="AA130" s="17">
        <v>1982.5</v>
      </c>
      <c r="AB130" s="18" t="s">
        <v>3714</v>
      </c>
    </row>
    <row r="131" spans="1:28" x14ac:dyDescent="0.45">
      <c r="A131" s="2" t="s">
        <v>278</v>
      </c>
      <c r="B131" s="2" t="s">
        <v>5606</v>
      </c>
      <c r="C131" s="2" t="s">
        <v>4</v>
      </c>
      <c r="D131" s="2" t="s">
        <v>5</v>
      </c>
      <c r="E131" s="2" t="s">
        <v>256</v>
      </c>
      <c r="F131" s="3">
        <v>22</v>
      </c>
      <c r="G131" s="3">
        <v>30</v>
      </c>
      <c r="H131" s="2" t="s">
        <v>262</v>
      </c>
      <c r="I131" s="19">
        <v>42</v>
      </c>
      <c r="J131" s="34">
        <f t="shared" si="4"/>
        <v>0.36539999999999995</v>
      </c>
      <c r="K131" s="34">
        <f t="shared" si="5"/>
        <v>0.55000000000000004</v>
      </c>
      <c r="L131" s="34">
        <f t="shared" si="6"/>
        <v>2.2000000000000002</v>
      </c>
      <c r="M131" s="20" t="s">
        <v>3723</v>
      </c>
      <c r="N131" s="20" t="s">
        <v>3719</v>
      </c>
      <c r="O131" s="20" t="s">
        <v>3711</v>
      </c>
      <c r="P131" s="20" t="s">
        <v>3720</v>
      </c>
      <c r="Q131" s="21">
        <v>22</v>
      </c>
      <c r="R131" s="21">
        <v>30</v>
      </c>
      <c r="S131" s="21">
        <v>4</v>
      </c>
      <c r="T131" s="22">
        <v>7.14</v>
      </c>
      <c r="U131" s="13">
        <f t="shared" si="7"/>
        <v>4.9399999999999995</v>
      </c>
      <c r="V131" s="23">
        <v>874.65</v>
      </c>
      <c r="W131" s="23">
        <v>874.65</v>
      </c>
      <c r="X131" s="20">
        <v>16</v>
      </c>
      <c r="Y131" s="24" t="s">
        <v>3713</v>
      </c>
      <c r="Z131" s="16">
        <v>832.65</v>
      </c>
      <c r="AA131" s="17">
        <v>1982.5</v>
      </c>
      <c r="AB131" s="25" t="s">
        <v>3714</v>
      </c>
    </row>
    <row r="132" spans="1:28" x14ac:dyDescent="0.45">
      <c r="A132" s="4" t="s">
        <v>279</v>
      </c>
      <c r="B132" s="4" t="s">
        <v>280</v>
      </c>
      <c r="C132" s="4" t="s">
        <v>4</v>
      </c>
      <c r="D132" s="4" t="s">
        <v>5</v>
      </c>
      <c r="E132" s="4" t="s">
        <v>256</v>
      </c>
      <c r="F132" s="5">
        <v>25</v>
      </c>
      <c r="G132" s="5">
        <v>33</v>
      </c>
      <c r="H132" s="4" t="s">
        <v>12</v>
      </c>
      <c r="I132" s="10">
        <v>45</v>
      </c>
      <c r="J132" s="34">
        <f t="shared" si="4"/>
        <v>0.39149999999999996</v>
      </c>
      <c r="K132" s="34">
        <f t="shared" si="5"/>
        <v>0.59</v>
      </c>
      <c r="L132" s="34">
        <f t="shared" si="6"/>
        <v>2.36</v>
      </c>
      <c r="M132" s="11" t="s">
        <v>3724</v>
      </c>
      <c r="N132" s="11" t="s">
        <v>3719</v>
      </c>
      <c r="O132" s="11" t="s">
        <v>3711</v>
      </c>
      <c r="P132" s="11" t="s">
        <v>3720</v>
      </c>
      <c r="Q132" s="12">
        <v>25</v>
      </c>
      <c r="R132" s="12">
        <v>33</v>
      </c>
      <c r="S132" s="12">
        <v>4</v>
      </c>
      <c r="T132" s="13">
        <v>7.87</v>
      </c>
      <c r="U132" s="13">
        <f t="shared" si="7"/>
        <v>5.51</v>
      </c>
      <c r="V132" s="14">
        <v>964.08</v>
      </c>
      <c r="W132" s="14">
        <v>964.08</v>
      </c>
      <c r="X132" s="11" t="s">
        <v>3722</v>
      </c>
      <c r="Y132" s="15" t="s">
        <v>3713</v>
      </c>
      <c r="Z132" s="16">
        <v>919.08</v>
      </c>
      <c r="AA132" s="17">
        <v>2042.4</v>
      </c>
      <c r="AB132" s="18" t="s">
        <v>3714</v>
      </c>
    </row>
    <row r="133" spans="1:28" x14ac:dyDescent="0.45">
      <c r="A133" s="2" t="s">
        <v>281</v>
      </c>
      <c r="B133" s="2" t="s">
        <v>282</v>
      </c>
      <c r="C133" s="2" t="s">
        <v>4</v>
      </c>
      <c r="D133" s="2" t="s">
        <v>5</v>
      </c>
      <c r="E133" s="2" t="s">
        <v>256</v>
      </c>
      <c r="F133" s="3">
        <v>25</v>
      </c>
      <c r="G133" s="3">
        <v>35</v>
      </c>
      <c r="H133" s="2" t="s">
        <v>12</v>
      </c>
      <c r="I133" s="19">
        <v>49</v>
      </c>
      <c r="J133" s="34">
        <f t="shared" ref="J133:J196" si="8">I133*0.0087</f>
        <v>0.42629999999999996</v>
      </c>
      <c r="K133" s="34">
        <f t="shared" ref="K133:K196" si="9">ROUND(J133*1.5,2)</f>
        <v>0.64</v>
      </c>
      <c r="L133" s="34">
        <f t="shared" ref="L133:L196" si="10">K133*4</f>
        <v>2.56</v>
      </c>
      <c r="M133" s="20" t="s">
        <v>3806</v>
      </c>
      <c r="N133" s="20" t="s">
        <v>3775</v>
      </c>
      <c r="O133" s="20" t="s">
        <v>3711</v>
      </c>
      <c r="P133" s="20" t="s">
        <v>3776</v>
      </c>
      <c r="Q133" s="21">
        <v>25</v>
      </c>
      <c r="R133" s="21">
        <v>35</v>
      </c>
      <c r="S133" s="21">
        <v>5</v>
      </c>
      <c r="T133" s="22">
        <v>6.98</v>
      </c>
      <c r="U133" s="13">
        <f t="shared" ref="U133:U196" si="11">T133-L133</f>
        <v>4.42</v>
      </c>
      <c r="V133" s="23">
        <v>855.05</v>
      </c>
      <c r="W133" s="23">
        <v>855.05</v>
      </c>
      <c r="X133" s="20" t="s">
        <v>3722</v>
      </c>
      <c r="Y133" s="24" t="s">
        <v>3713</v>
      </c>
      <c r="Z133" s="16">
        <v>806.05</v>
      </c>
      <c r="AA133" s="17">
        <v>1645</v>
      </c>
      <c r="AB133" s="25" t="s">
        <v>3714</v>
      </c>
    </row>
    <row r="134" spans="1:28" x14ac:dyDescent="0.45">
      <c r="A134" s="4" t="s">
        <v>283</v>
      </c>
      <c r="B134" s="4" t="s">
        <v>5607</v>
      </c>
      <c r="C134" s="4" t="s">
        <v>4</v>
      </c>
      <c r="D134" s="4" t="s">
        <v>5</v>
      </c>
      <c r="E134" s="4" t="s">
        <v>256</v>
      </c>
      <c r="F134" s="5">
        <v>25</v>
      </c>
      <c r="G134" s="5">
        <v>33</v>
      </c>
      <c r="H134" s="4" t="s">
        <v>262</v>
      </c>
      <c r="I134" s="10">
        <v>42</v>
      </c>
      <c r="J134" s="34">
        <f t="shared" si="8"/>
        <v>0.36539999999999995</v>
      </c>
      <c r="K134" s="34">
        <f t="shared" si="9"/>
        <v>0.55000000000000004</v>
      </c>
      <c r="L134" s="34">
        <f t="shared" si="10"/>
        <v>2.2000000000000002</v>
      </c>
      <c r="M134" s="11" t="s">
        <v>3724</v>
      </c>
      <c r="N134" s="11" t="s">
        <v>3719</v>
      </c>
      <c r="O134" s="11" t="s">
        <v>3711</v>
      </c>
      <c r="P134" s="11" t="s">
        <v>3720</v>
      </c>
      <c r="Q134" s="12">
        <v>25</v>
      </c>
      <c r="R134" s="12">
        <v>33</v>
      </c>
      <c r="S134" s="12">
        <v>4</v>
      </c>
      <c r="T134" s="13">
        <v>7.87</v>
      </c>
      <c r="U134" s="13">
        <f t="shared" si="11"/>
        <v>5.67</v>
      </c>
      <c r="V134" s="14">
        <v>964.08</v>
      </c>
      <c r="W134" s="14">
        <v>964.08</v>
      </c>
      <c r="X134" s="11" t="s">
        <v>3722</v>
      </c>
      <c r="Y134" s="15" t="s">
        <v>3713</v>
      </c>
      <c r="Z134" s="16">
        <v>922.08</v>
      </c>
      <c r="AA134" s="17">
        <v>2195.4</v>
      </c>
      <c r="AB134" s="18" t="s">
        <v>3714</v>
      </c>
    </row>
    <row r="135" spans="1:28" x14ac:dyDescent="0.45">
      <c r="A135" s="2" t="s">
        <v>284</v>
      </c>
      <c r="B135" s="2" t="s">
        <v>285</v>
      </c>
      <c r="C135" s="2" t="s">
        <v>4</v>
      </c>
      <c r="D135" s="2" t="s">
        <v>5</v>
      </c>
      <c r="E135" s="2" t="s">
        <v>256</v>
      </c>
      <c r="F135" s="3">
        <v>28</v>
      </c>
      <c r="G135" s="3">
        <v>36</v>
      </c>
      <c r="H135" s="2" t="s">
        <v>12</v>
      </c>
      <c r="I135" s="19">
        <v>45</v>
      </c>
      <c r="J135" s="34">
        <f t="shared" si="8"/>
        <v>0.39149999999999996</v>
      </c>
      <c r="K135" s="34">
        <f t="shared" si="9"/>
        <v>0.59</v>
      </c>
      <c r="L135" s="34">
        <f t="shared" si="10"/>
        <v>2.36</v>
      </c>
      <c r="M135" s="20" t="s">
        <v>3725</v>
      </c>
      <c r="N135" s="20" t="s">
        <v>3716</v>
      </c>
      <c r="O135" s="20" t="s">
        <v>3711</v>
      </c>
      <c r="P135" s="20" t="s">
        <v>3717</v>
      </c>
      <c r="Q135" s="21">
        <v>28</v>
      </c>
      <c r="R135" s="21">
        <v>36</v>
      </c>
      <c r="S135" s="21">
        <v>5</v>
      </c>
      <c r="T135" s="22">
        <v>5.53</v>
      </c>
      <c r="U135" s="13">
        <f t="shared" si="11"/>
        <v>3.1700000000000004</v>
      </c>
      <c r="V135" s="23">
        <v>677.42</v>
      </c>
      <c r="W135" s="23">
        <v>677.42</v>
      </c>
      <c r="X135" s="20">
        <v>381</v>
      </c>
      <c r="Y135" s="24" t="s">
        <v>3713</v>
      </c>
      <c r="Z135" s="16">
        <v>632.41999999999996</v>
      </c>
      <c r="AA135" s="17">
        <v>1405.4</v>
      </c>
      <c r="AB135" s="25" t="s">
        <v>3714</v>
      </c>
    </row>
    <row r="136" spans="1:28" x14ac:dyDescent="0.45">
      <c r="A136" s="4" t="s">
        <v>286</v>
      </c>
      <c r="B136" s="4" t="s">
        <v>287</v>
      </c>
      <c r="C136" s="4" t="s">
        <v>4</v>
      </c>
      <c r="D136" s="4" t="s">
        <v>5</v>
      </c>
      <c r="E136" s="4" t="s">
        <v>256</v>
      </c>
      <c r="F136" s="5">
        <v>30</v>
      </c>
      <c r="G136" s="5">
        <v>38</v>
      </c>
      <c r="H136" s="4" t="s">
        <v>288</v>
      </c>
      <c r="I136" s="10">
        <v>42</v>
      </c>
      <c r="J136" s="34">
        <f t="shared" si="8"/>
        <v>0.36539999999999995</v>
      </c>
      <c r="K136" s="34">
        <f t="shared" si="9"/>
        <v>0.55000000000000004</v>
      </c>
      <c r="L136" s="34">
        <f t="shared" si="10"/>
        <v>2.2000000000000002</v>
      </c>
      <c r="M136" s="11" t="s">
        <v>3726</v>
      </c>
      <c r="N136" s="11" t="s">
        <v>3716</v>
      </c>
      <c r="O136" s="11" t="s">
        <v>3711</v>
      </c>
      <c r="P136" s="11" t="s">
        <v>3717</v>
      </c>
      <c r="Q136" s="12">
        <v>30</v>
      </c>
      <c r="R136" s="12">
        <v>38</v>
      </c>
      <c r="S136" s="12">
        <v>5</v>
      </c>
      <c r="T136" s="13">
        <v>5.98</v>
      </c>
      <c r="U136" s="13">
        <f t="shared" si="11"/>
        <v>3.7800000000000002</v>
      </c>
      <c r="V136" s="14">
        <v>732.55</v>
      </c>
      <c r="W136" s="14">
        <v>732.55</v>
      </c>
      <c r="X136" s="11">
        <v>138</v>
      </c>
      <c r="Y136" s="15" t="s">
        <v>3713</v>
      </c>
      <c r="Z136" s="16">
        <v>690.55</v>
      </c>
      <c r="AA136" s="17">
        <v>1644.2</v>
      </c>
      <c r="AB136" s="18" t="s">
        <v>3714</v>
      </c>
    </row>
    <row r="137" spans="1:28" x14ac:dyDescent="0.45">
      <c r="A137" s="2" t="s">
        <v>289</v>
      </c>
      <c r="B137" s="2" t="s">
        <v>290</v>
      </c>
      <c r="C137" s="2" t="s">
        <v>4</v>
      </c>
      <c r="D137" s="2" t="s">
        <v>5</v>
      </c>
      <c r="E137" s="2" t="s">
        <v>256</v>
      </c>
      <c r="F137" s="3">
        <v>30</v>
      </c>
      <c r="G137" s="3">
        <v>38</v>
      </c>
      <c r="H137" s="2" t="s">
        <v>12</v>
      </c>
      <c r="I137" s="19">
        <v>45</v>
      </c>
      <c r="J137" s="34">
        <f t="shared" si="8"/>
        <v>0.39149999999999996</v>
      </c>
      <c r="K137" s="34">
        <f t="shared" si="9"/>
        <v>0.59</v>
      </c>
      <c r="L137" s="34">
        <f t="shared" si="10"/>
        <v>2.36</v>
      </c>
      <c r="M137" s="20" t="s">
        <v>3726</v>
      </c>
      <c r="N137" s="20" t="s">
        <v>3716</v>
      </c>
      <c r="O137" s="20" t="s">
        <v>3711</v>
      </c>
      <c r="P137" s="20" t="s">
        <v>3717</v>
      </c>
      <c r="Q137" s="21">
        <v>30</v>
      </c>
      <c r="R137" s="21">
        <v>38</v>
      </c>
      <c r="S137" s="21">
        <v>5</v>
      </c>
      <c r="T137" s="22">
        <v>5.98</v>
      </c>
      <c r="U137" s="13">
        <f t="shared" si="11"/>
        <v>3.6200000000000006</v>
      </c>
      <c r="V137" s="23">
        <v>732.55</v>
      </c>
      <c r="W137" s="23">
        <v>732.55</v>
      </c>
      <c r="X137" s="20">
        <v>138</v>
      </c>
      <c r="Y137" s="24" t="s">
        <v>3713</v>
      </c>
      <c r="Z137" s="16">
        <v>687.55</v>
      </c>
      <c r="AA137" s="17">
        <v>1527.9</v>
      </c>
      <c r="AB137" s="25" t="s">
        <v>3714</v>
      </c>
    </row>
    <row r="138" spans="1:28" x14ac:dyDescent="0.45">
      <c r="A138" s="4" t="s">
        <v>291</v>
      </c>
      <c r="B138" s="4" t="s">
        <v>292</v>
      </c>
      <c r="C138" s="4" t="s">
        <v>4</v>
      </c>
      <c r="D138" s="4" t="s">
        <v>5</v>
      </c>
      <c r="E138" s="4" t="s">
        <v>256</v>
      </c>
      <c r="F138" s="5">
        <v>30</v>
      </c>
      <c r="G138" s="5">
        <v>38.6</v>
      </c>
      <c r="H138" s="4" t="s">
        <v>12</v>
      </c>
      <c r="I138" s="10">
        <v>49</v>
      </c>
      <c r="J138" s="34">
        <f t="shared" si="8"/>
        <v>0.42629999999999996</v>
      </c>
      <c r="K138" s="34">
        <f t="shared" si="9"/>
        <v>0.64</v>
      </c>
      <c r="L138" s="34">
        <f t="shared" si="10"/>
        <v>2.56</v>
      </c>
      <c r="M138" s="11" t="s">
        <v>3726</v>
      </c>
      <c r="N138" s="11" t="s">
        <v>3716</v>
      </c>
      <c r="O138" s="11" t="s">
        <v>3711</v>
      </c>
      <c r="P138" s="11" t="s">
        <v>3717</v>
      </c>
      <c r="Q138" s="12">
        <v>30</v>
      </c>
      <c r="R138" s="12">
        <v>38</v>
      </c>
      <c r="S138" s="12">
        <v>5</v>
      </c>
      <c r="T138" s="13">
        <v>5.98</v>
      </c>
      <c r="U138" s="13">
        <f t="shared" si="11"/>
        <v>3.4200000000000004</v>
      </c>
      <c r="V138" s="14">
        <v>732.55</v>
      </c>
      <c r="W138" s="14">
        <v>732.55</v>
      </c>
      <c r="X138" s="11">
        <v>138</v>
      </c>
      <c r="Y138" s="15" t="s">
        <v>3713</v>
      </c>
      <c r="Z138" s="16">
        <v>683.55</v>
      </c>
      <c r="AA138" s="17">
        <v>1395</v>
      </c>
      <c r="AB138" s="18" t="s">
        <v>3773</v>
      </c>
    </row>
    <row r="139" spans="1:28" x14ac:dyDescent="0.45">
      <c r="A139" s="2" t="s">
        <v>293</v>
      </c>
      <c r="B139" s="2" t="s">
        <v>294</v>
      </c>
      <c r="C139" s="2" t="s">
        <v>4</v>
      </c>
      <c r="D139" s="2" t="s">
        <v>5</v>
      </c>
      <c r="E139" s="2" t="s">
        <v>256</v>
      </c>
      <c r="F139" s="3">
        <v>32</v>
      </c>
      <c r="G139" s="3">
        <v>40</v>
      </c>
      <c r="H139" s="2" t="s">
        <v>192</v>
      </c>
      <c r="I139" s="19">
        <v>49</v>
      </c>
      <c r="J139" s="34">
        <f t="shared" si="8"/>
        <v>0.42629999999999996</v>
      </c>
      <c r="K139" s="34">
        <f t="shared" si="9"/>
        <v>0.64</v>
      </c>
      <c r="L139" s="34">
        <f t="shared" si="10"/>
        <v>2.56</v>
      </c>
      <c r="M139" s="20" t="s">
        <v>3727</v>
      </c>
      <c r="N139" s="20" t="s">
        <v>3719</v>
      </c>
      <c r="O139" s="20" t="s">
        <v>3711</v>
      </c>
      <c r="P139" s="20" t="s">
        <v>3720</v>
      </c>
      <c r="Q139" s="21">
        <v>32</v>
      </c>
      <c r="R139" s="21">
        <v>40</v>
      </c>
      <c r="S139" s="21">
        <v>5</v>
      </c>
      <c r="T139" s="22">
        <v>7.49</v>
      </c>
      <c r="U139" s="13">
        <f t="shared" si="11"/>
        <v>4.93</v>
      </c>
      <c r="V139" s="23">
        <v>917.52</v>
      </c>
      <c r="W139" s="23">
        <v>917.52</v>
      </c>
      <c r="X139" s="20">
        <v>11</v>
      </c>
      <c r="Y139" s="24" t="s">
        <v>3713</v>
      </c>
      <c r="Z139" s="16">
        <v>868.52</v>
      </c>
      <c r="AA139" s="17">
        <v>1772.5</v>
      </c>
      <c r="AB139" s="25" t="s">
        <v>3714</v>
      </c>
    </row>
    <row r="140" spans="1:28" x14ac:dyDescent="0.45">
      <c r="A140" s="4" t="s">
        <v>295</v>
      </c>
      <c r="B140" s="4" t="s">
        <v>296</v>
      </c>
      <c r="C140" s="4" t="s">
        <v>4</v>
      </c>
      <c r="D140" s="4" t="s">
        <v>5</v>
      </c>
      <c r="E140" s="4" t="s">
        <v>256</v>
      </c>
      <c r="F140" s="5">
        <v>35</v>
      </c>
      <c r="G140" s="5">
        <v>43</v>
      </c>
      <c r="H140" s="4" t="s">
        <v>12</v>
      </c>
      <c r="I140" s="10">
        <v>50</v>
      </c>
      <c r="J140" s="34">
        <f t="shared" si="8"/>
        <v>0.43499999999999994</v>
      </c>
      <c r="K140" s="34">
        <f t="shared" si="9"/>
        <v>0.65</v>
      </c>
      <c r="L140" s="34">
        <f t="shared" si="10"/>
        <v>2.6</v>
      </c>
      <c r="M140" s="11" t="s">
        <v>3728</v>
      </c>
      <c r="N140" s="11" t="s">
        <v>3716</v>
      </c>
      <c r="O140" s="11" t="s">
        <v>3711</v>
      </c>
      <c r="P140" s="11" t="s">
        <v>3717</v>
      </c>
      <c r="Q140" s="12">
        <v>35</v>
      </c>
      <c r="R140" s="12">
        <v>43</v>
      </c>
      <c r="S140" s="12">
        <v>5</v>
      </c>
      <c r="T140" s="13">
        <v>6.64</v>
      </c>
      <c r="U140" s="13">
        <f t="shared" si="11"/>
        <v>4.0399999999999991</v>
      </c>
      <c r="V140" s="14">
        <v>813.4</v>
      </c>
      <c r="W140" s="14">
        <v>813.4</v>
      </c>
      <c r="X140" s="11">
        <v>102</v>
      </c>
      <c r="Y140" s="15" t="s">
        <v>3713</v>
      </c>
      <c r="Z140" s="16">
        <v>763.4</v>
      </c>
      <c r="AA140" s="17">
        <v>1526.8</v>
      </c>
      <c r="AB140" s="18" t="s">
        <v>3714</v>
      </c>
    </row>
    <row r="141" spans="1:28" x14ac:dyDescent="0.45">
      <c r="A141" s="2" t="s">
        <v>297</v>
      </c>
      <c r="B141" s="2" t="s">
        <v>298</v>
      </c>
      <c r="C141" s="2" t="s">
        <v>4</v>
      </c>
      <c r="D141" s="2" t="s">
        <v>5</v>
      </c>
      <c r="E141" s="2" t="s">
        <v>256</v>
      </c>
      <c r="F141" s="3">
        <v>35</v>
      </c>
      <c r="G141" s="3">
        <v>45</v>
      </c>
      <c r="H141" s="2" t="s">
        <v>12</v>
      </c>
      <c r="I141" s="19">
        <v>56</v>
      </c>
      <c r="J141" s="34">
        <f t="shared" si="8"/>
        <v>0.48719999999999997</v>
      </c>
      <c r="K141" s="34">
        <f t="shared" si="9"/>
        <v>0.73</v>
      </c>
      <c r="L141" s="34">
        <f t="shared" si="10"/>
        <v>2.92</v>
      </c>
      <c r="M141" s="20" t="s">
        <v>3781</v>
      </c>
      <c r="N141" s="20" t="s">
        <v>3775</v>
      </c>
      <c r="O141" s="20" t="s">
        <v>3711</v>
      </c>
      <c r="P141" s="20" t="s">
        <v>3776</v>
      </c>
      <c r="Q141" s="21">
        <v>35</v>
      </c>
      <c r="R141" s="21">
        <v>45</v>
      </c>
      <c r="S141" s="21">
        <v>7</v>
      </c>
      <c r="T141" s="22">
        <v>8.2899999999999991</v>
      </c>
      <c r="U141" s="13">
        <f t="shared" si="11"/>
        <v>5.3699999999999992</v>
      </c>
      <c r="V141" s="23">
        <v>1015.52</v>
      </c>
      <c r="W141" s="23">
        <v>1015.52</v>
      </c>
      <c r="X141" s="20">
        <v>25</v>
      </c>
      <c r="Y141" s="24" t="s">
        <v>3713</v>
      </c>
      <c r="Z141" s="16">
        <v>959.52</v>
      </c>
      <c r="AA141" s="17">
        <v>1713.4</v>
      </c>
      <c r="AB141" s="25" t="s">
        <v>3714</v>
      </c>
    </row>
    <row r="142" spans="1:28" x14ac:dyDescent="0.45">
      <c r="A142" s="4" t="s">
        <v>299</v>
      </c>
      <c r="B142" s="4" t="s">
        <v>300</v>
      </c>
      <c r="C142" s="4" t="s">
        <v>4</v>
      </c>
      <c r="D142" s="4" t="s">
        <v>5</v>
      </c>
      <c r="E142" s="4" t="s">
        <v>256</v>
      </c>
      <c r="F142" s="5">
        <v>35</v>
      </c>
      <c r="G142" s="5">
        <v>47</v>
      </c>
      <c r="H142" s="4" t="s">
        <v>301</v>
      </c>
      <c r="I142" s="10">
        <v>67</v>
      </c>
      <c r="J142" s="34">
        <f t="shared" si="8"/>
        <v>0.58289999999999997</v>
      </c>
      <c r="K142" s="34">
        <f t="shared" si="9"/>
        <v>0.87</v>
      </c>
      <c r="L142" s="34">
        <f t="shared" si="10"/>
        <v>3.48</v>
      </c>
      <c r="M142" s="11" t="s">
        <v>3782</v>
      </c>
      <c r="N142" s="11" t="s">
        <v>3719</v>
      </c>
      <c r="O142" s="11" t="s">
        <v>3711</v>
      </c>
      <c r="P142" s="11" t="s">
        <v>3720</v>
      </c>
      <c r="Q142" s="12">
        <v>35</v>
      </c>
      <c r="R142" s="12">
        <v>47</v>
      </c>
      <c r="S142" s="12">
        <v>6</v>
      </c>
      <c r="T142" s="13">
        <v>10.89</v>
      </c>
      <c r="U142" s="13">
        <f t="shared" si="11"/>
        <v>7.41</v>
      </c>
      <c r="V142" s="14">
        <v>1334.02</v>
      </c>
      <c r="W142" s="14">
        <v>1334.02</v>
      </c>
      <c r="X142" s="11">
        <v>98</v>
      </c>
      <c r="Y142" s="15" t="s">
        <v>3713</v>
      </c>
      <c r="Z142" s="16">
        <v>1267.02</v>
      </c>
      <c r="AA142" s="17">
        <v>1891.1</v>
      </c>
      <c r="AB142" s="18" t="s">
        <v>3714</v>
      </c>
    </row>
    <row r="143" spans="1:28" x14ac:dyDescent="0.45">
      <c r="A143" s="2" t="s">
        <v>302</v>
      </c>
      <c r="B143" s="2" t="s">
        <v>303</v>
      </c>
      <c r="C143" s="2" t="s">
        <v>4</v>
      </c>
      <c r="D143" s="2" t="s">
        <v>5</v>
      </c>
      <c r="E143" s="2" t="s">
        <v>256</v>
      </c>
      <c r="F143" s="3">
        <v>35</v>
      </c>
      <c r="G143" s="3">
        <v>48</v>
      </c>
      <c r="H143" s="2" t="s">
        <v>304</v>
      </c>
      <c r="I143" s="19">
        <v>77</v>
      </c>
      <c r="J143" s="34">
        <f t="shared" si="8"/>
        <v>0.66989999999999994</v>
      </c>
      <c r="K143" s="34">
        <f t="shared" si="9"/>
        <v>1</v>
      </c>
      <c r="L143" s="34">
        <f t="shared" si="10"/>
        <v>4</v>
      </c>
      <c r="M143" s="20" t="s">
        <v>3807</v>
      </c>
      <c r="N143" s="20" t="s">
        <v>3719</v>
      </c>
      <c r="O143" s="20" t="s">
        <v>3711</v>
      </c>
      <c r="P143" s="20" t="s">
        <v>3720</v>
      </c>
      <c r="Q143" s="21">
        <v>35.052</v>
      </c>
      <c r="R143" s="21">
        <v>47.752000000000002</v>
      </c>
      <c r="S143" s="21">
        <v>3.048</v>
      </c>
      <c r="T143" s="22">
        <v>9.36</v>
      </c>
      <c r="U143" s="13">
        <f t="shared" si="11"/>
        <v>5.3599999999999994</v>
      </c>
      <c r="V143" s="23">
        <v>1146.5999999999999</v>
      </c>
      <c r="W143" s="23">
        <v>1146.5999999999999</v>
      </c>
      <c r="X143" s="20">
        <v>58</v>
      </c>
      <c r="Y143" s="24" t="s">
        <v>3737</v>
      </c>
      <c r="Z143" s="16">
        <v>1069.5999999999999</v>
      </c>
      <c r="AA143" s="17">
        <v>1389.1</v>
      </c>
      <c r="AB143" s="25" t="s">
        <v>3808</v>
      </c>
    </row>
    <row r="144" spans="1:28" x14ac:dyDescent="0.45">
      <c r="A144" s="4" t="s">
        <v>305</v>
      </c>
      <c r="B144" s="4" t="s">
        <v>306</v>
      </c>
      <c r="C144" s="4" t="s">
        <v>4</v>
      </c>
      <c r="D144" s="4" t="s">
        <v>5</v>
      </c>
      <c r="E144" s="4" t="s">
        <v>256</v>
      </c>
      <c r="F144" s="5">
        <v>36</v>
      </c>
      <c r="G144" s="5">
        <v>44</v>
      </c>
      <c r="H144" s="4" t="s">
        <v>307</v>
      </c>
      <c r="I144" s="10">
        <v>47</v>
      </c>
      <c r="J144" s="34">
        <f t="shared" si="8"/>
        <v>0.40889999999999999</v>
      </c>
      <c r="K144" s="34">
        <f t="shared" si="9"/>
        <v>0.61</v>
      </c>
      <c r="L144" s="34">
        <f t="shared" si="10"/>
        <v>2.44</v>
      </c>
      <c r="M144" s="11" t="s">
        <v>3729</v>
      </c>
      <c r="N144" s="11" t="s">
        <v>3716</v>
      </c>
      <c r="O144" s="11" t="s">
        <v>3711</v>
      </c>
      <c r="P144" s="11" t="s">
        <v>3717</v>
      </c>
      <c r="Q144" s="12">
        <v>36</v>
      </c>
      <c r="R144" s="12">
        <v>44</v>
      </c>
      <c r="S144" s="12">
        <v>5</v>
      </c>
      <c r="T144" s="13">
        <v>6.87</v>
      </c>
      <c r="U144" s="13">
        <f t="shared" si="11"/>
        <v>4.43</v>
      </c>
      <c r="V144" s="14">
        <v>841.58</v>
      </c>
      <c r="W144" s="14">
        <v>841.58</v>
      </c>
      <c r="X144" s="11">
        <v>103</v>
      </c>
      <c r="Y144" s="15" t="s">
        <v>3713</v>
      </c>
      <c r="Z144" s="16">
        <v>794.58</v>
      </c>
      <c r="AA144" s="17">
        <v>1690.6</v>
      </c>
      <c r="AB144" s="18" t="s">
        <v>3714</v>
      </c>
    </row>
    <row r="145" spans="1:28" x14ac:dyDescent="0.45">
      <c r="A145" s="2" t="s">
        <v>308</v>
      </c>
      <c r="B145" s="2" t="s">
        <v>309</v>
      </c>
      <c r="C145" s="2" t="s">
        <v>4</v>
      </c>
      <c r="D145" s="2" t="s">
        <v>5</v>
      </c>
      <c r="E145" s="2" t="s">
        <v>256</v>
      </c>
      <c r="F145" s="3">
        <v>36</v>
      </c>
      <c r="G145" s="3">
        <v>44</v>
      </c>
      <c r="H145" s="2" t="s">
        <v>12</v>
      </c>
      <c r="I145" s="19">
        <v>50</v>
      </c>
      <c r="J145" s="34">
        <f t="shared" si="8"/>
        <v>0.43499999999999994</v>
      </c>
      <c r="K145" s="34">
        <f t="shared" si="9"/>
        <v>0.65</v>
      </c>
      <c r="L145" s="34">
        <f t="shared" si="10"/>
        <v>2.6</v>
      </c>
      <c r="M145" s="20" t="s">
        <v>3729</v>
      </c>
      <c r="N145" s="20" t="s">
        <v>3716</v>
      </c>
      <c r="O145" s="20" t="s">
        <v>3711</v>
      </c>
      <c r="P145" s="20" t="s">
        <v>3717</v>
      </c>
      <c r="Q145" s="21">
        <v>36</v>
      </c>
      <c r="R145" s="21">
        <v>44</v>
      </c>
      <c r="S145" s="21">
        <v>5</v>
      </c>
      <c r="T145" s="22">
        <v>6.87</v>
      </c>
      <c r="U145" s="13">
        <f t="shared" si="11"/>
        <v>4.2699999999999996</v>
      </c>
      <c r="V145" s="23">
        <v>841.58</v>
      </c>
      <c r="W145" s="23">
        <v>841.58</v>
      </c>
      <c r="X145" s="20">
        <v>103</v>
      </c>
      <c r="Y145" s="24" t="s">
        <v>3713</v>
      </c>
      <c r="Z145" s="16">
        <v>791.58</v>
      </c>
      <c r="AA145" s="17">
        <v>1583.2</v>
      </c>
      <c r="AB145" s="25" t="s">
        <v>3714</v>
      </c>
    </row>
    <row r="146" spans="1:28" x14ac:dyDescent="0.45">
      <c r="A146" s="4" t="s">
        <v>310</v>
      </c>
      <c r="B146" s="4" t="s">
        <v>311</v>
      </c>
      <c r="C146" s="4" t="s">
        <v>4</v>
      </c>
      <c r="D146" s="4" t="s">
        <v>5</v>
      </c>
      <c r="E146" s="4" t="s">
        <v>256</v>
      </c>
      <c r="F146" s="5">
        <v>38</v>
      </c>
      <c r="G146" s="5">
        <v>48</v>
      </c>
      <c r="H146" s="4" t="s">
        <v>12</v>
      </c>
      <c r="I146" s="10">
        <v>59</v>
      </c>
      <c r="J146" s="34">
        <f t="shared" si="8"/>
        <v>0.51329999999999998</v>
      </c>
      <c r="K146" s="34">
        <f t="shared" si="9"/>
        <v>0.77</v>
      </c>
      <c r="L146" s="34">
        <f t="shared" si="10"/>
        <v>3.08</v>
      </c>
      <c r="M146" s="11" t="s">
        <v>3809</v>
      </c>
      <c r="N146" s="11" t="s">
        <v>3735</v>
      </c>
      <c r="O146" s="11" t="s">
        <v>3711</v>
      </c>
      <c r="P146" s="11" t="s">
        <v>3736</v>
      </c>
      <c r="Q146" s="12">
        <v>38.1</v>
      </c>
      <c r="R146" s="12">
        <v>47.497999999999998</v>
      </c>
      <c r="S146" s="12">
        <v>4.5720000000000001</v>
      </c>
      <c r="T146" s="13">
        <v>2.46</v>
      </c>
      <c r="U146" s="13">
        <f t="shared" si="11"/>
        <v>-0.62000000000000011</v>
      </c>
      <c r="V146" s="14">
        <v>301.35000000000002</v>
      </c>
      <c r="W146" s="14">
        <v>301.35000000000002</v>
      </c>
      <c r="X146" s="11">
        <v>597</v>
      </c>
      <c r="Y146" s="15" t="s">
        <v>3737</v>
      </c>
      <c r="Z146" s="16">
        <v>242.35</v>
      </c>
      <c r="AA146" s="17">
        <v>410.8</v>
      </c>
      <c r="AB146" s="18" t="s">
        <v>3810</v>
      </c>
    </row>
    <row r="147" spans="1:28" x14ac:dyDescent="0.45">
      <c r="A147" s="2" t="s">
        <v>312</v>
      </c>
      <c r="B147" s="2" t="s">
        <v>313</v>
      </c>
      <c r="C147" s="2" t="s">
        <v>4</v>
      </c>
      <c r="D147" s="2" t="s">
        <v>5</v>
      </c>
      <c r="E147" s="2" t="s">
        <v>256</v>
      </c>
      <c r="F147" s="3">
        <v>40</v>
      </c>
      <c r="G147" s="3">
        <v>48</v>
      </c>
      <c r="H147" s="2" t="s">
        <v>12</v>
      </c>
      <c r="I147" s="19">
        <v>54</v>
      </c>
      <c r="J147" s="34">
        <f t="shared" si="8"/>
        <v>0.4698</v>
      </c>
      <c r="K147" s="34">
        <f t="shared" si="9"/>
        <v>0.7</v>
      </c>
      <c r="L147" s="34">
        <f t="shared" si="10"/>
        <v>2.8</v>
      </c>
      <c r="M147" s="20" t="s">
        <v>3733</v>
      </c>
      <c r="N147" s="20" t="s">
        <v>3716</v>
      </c>
      <c r="O147" s="20" t="s">
        <v>3711</v>
      </c>
      <c r="P147" s="20" t="s">
        <v>3717</v>
      </c>
      <c r="Q147" s="21">
        <v>40</v>
      </c>
      <c r="R147" s="21">
        <v>48</v>
      </c>
      <c r="S147" s="21">
        <v>5</v>
      </c>
      <c r="T147" s="22">
        <v>6.87</v>
      </c>
      <c r="U147" s="13">
        <f t="shared" si="11"/>
        <v>4.07</v>
      </c>
      <c r="V147" s="23">
        <v>841.58</v>
      </c>
      <c r="W147" s="23">
        <v>841.58</v>
      </c>
      <c r="X147" s="20">
        <v>254</v>
      </c>
      <c r="Y147" s="24" t="s">
        <v>3713</v>
      </c>
      <c r="Z147" s="16">
        <v>787.58</v>
      </c>
      <c r="AA147" s="17">
        <v>1458.5</v>
      </c>
      <c r="AB147" s="25" t="s">
        <v>3714</v>
      </c>
    </row>
    <row r="148" spans="1:28" x14ac:dyDescent="0.45">
      <c r="A148" s="4" t="s">
        <v>314</v>
      </c>
      <c r="B148" s="4" t="s">
        <v>315</v>
      </c>
      <c r="C148" s="4" t="s">
        <v>4</v>
      </c>
      <c r="D148" s="4" t="s">
        <v>5</v>
      </c>
      <c r="E148" s="4" t="s">
        <v>256</v>
      </c>
      <c r="F148" s="5">
        <v>40</v>
      </c>
      <c r="G148" s="5">
        <v>50</v>
      </c>
      <c r="H148" s="4" t="s">
        <v>192</v>
      </c>
      <c r="I148" s="10">
        <v>62</v>
      </c>
      <c r="J148" s="34">
        <f t="shared" si="8"/>
        <v>0.53939999999999999</v>
      </c>
      <c r="K148" s="34">
        <f t="shared" si="9"/>
        <v>0.81</v>
      </c>
      <c r="L148" s="34">
        <f t="shared" si="10"/>
        <v>3.24</v>
      </c>
      <c r="M148" s="11" t="s">
        <v>3811</v>
      </c>
      <c r="N148" s="11" t="s">
        <v>3775</v>
      </c>
      <c r="O148" s="11" t="s">
        <v>3711</v>
      </c>
      <c r="P148" s="11" t="s">
        <v>3776</v>
      </c>
      <c r="Q148" s="12">
        <v>40</v>
      </c>
      <c r="R148" s="12">
        <v>50</v>
      </c>
      <c r="S148" s="12">
        <v>7</v>
      </c>
      <c r="T148" s="13">
        <v>10.130000000000001</v>
      </c>
      <c r="U148" s="13">
        <f t="shared" si="11"/>
        <v>6.8900000000000006</v>
      </c>
      <c r="V148" s="14">
        <v>1240.93</v>
      </c>
      <c r="W148" s="14">
        <v>1240.93</v>
      </c>
      <c r="X148" s="11">
        <v>55</v>
      </c>
      <c r="Y148" s="15" t="s">
        <v>3713</v>
      </c>
      <c r="Z148" s="16">
        <v>1178.93</v>
      </c>
      <c r="AA148" s="17">
        <v>1901.5</v>
      </c>
      <c r="AB148" s="18" t="s">
        <v>3714</v>
      </c>
    </row>
    <row r="149" spans="1:28" x14ac:dyDescent="0.45">
      <c r="A149" s="2" t="s">
        <v>316</v>
      </c>
      <c r="B149" s="2" t="s">
        <v>317</v>
      </c>
      <c r="C149" s="2" t="s">
        <v>4</v>
      </c>
      <c r="D149" s="2" t="s">
        <v>5</v>
      </c>
      <c r="E149" s="2" t="s">
        <v>256</v>
      </c>
      <c r="F149" s="3">
        <v>40</v>
      </c>
      <c r="G149" s="3">
        <v>50</v>
      </c>
      <c r="H149" s="2" t="s">
        <v>64</v>
      </c>
      <c r="I149" s="19">
        <v>76</v>
      </c>
      <c r="J149" s="34">
        <f t="shared" si="8"/>
        <v>0.66120000000000001</v>
      </c>
      <c r="K149" s="34">
        <f t="shared" si="9"/>
        <v>0.99</v>
      </c>
      <c r="L149" s="34">
        <f t="shared" si="10"/>
        <v>3.96</v>
      </c>
      <c r="M149" s="20" t="s">
        <v>3811</v>
      </c>
      <c r="N149" s="20" t="s">
        <v>3775</v>
      </c>
      <c r="O149" s="20" t="s">
        <v>3711</v>
      </c>
      <c r="P149" s="20" t="s">
        <v>3776</v>
      </c>
      <c r="Q149" s="21">
        <v>40</v>
      </c>
      <c r="R149" s="21">
        <v>50</v>
      </c>
      <c r="S149" s="21">
        <v>7</v>
      </c>
      <c r="T149" s="22">
        <v>10.130000000000001</v>
      </c>
      <c r="U149" s="13">
        <f t="shared" si="11"/>
        <v>6.1700000000000008</v>
      </c>
      <c r="V149" s="23">
        <v>1240.93</v>
      </c>
      <c r="W149" s="23">
        <v>1240.93</v>
      </c>
      <c r="X149" s="20">
        <v>55</v>
      </c>
      <c r="Y149" s="24" t="s">
        <v>3713</v>
      </c>
      <c r="Z149" s="16">
        <v>1164.93</v>
      </c>
      <c r="AA149" s="17">
        <v>1532.8</v>
      </c>
      <c r="AB149" s="25" t="s">
        <v>3714</v>
      </c>
    </row>
    <row r="150" spans="1:28" x14ac:dyDescent="0.45">
      <c r="A150" s="4" t="s">
        <v>318</v>
      </c>
      <c r="B150" s="4" t="s">
        <v>5608</v>
      </c>
      <c r="C150" s="4" t="s">
        <v>4</v>
      </c>
      <c r="D150" s="4" t="s">
        <v>5</v>
      </c>
      <c r="E150" s="4" t="s">
        <v>256</v>
      </c>
      <c r="F150" s="5">
        <v>40</v>
      </c>
      <c r="G150" s="5">
        <v>51.5</v>
      </c>
      <c r="H150" s="4" t="s">
        <v>169</v>
      </c>
      <c r="I150" s="10">
        <v>69</v>
      </c>
      <c r="J150" s="34">
        <f t="shared" si="8"/>
        <v>0.60029999999999994</v>
      </c>
      <c r="K150" s="34">
        <f t="shared" si="9"/>
        <v>0.9</v>
      </c>
      <c r="L150" s="34">
        <f t="shared" si="10"/>
        <v>3.6</v>
      </c>
      <c r="M150" s="11" t="s">
        <v>3812</v>
      </c>
      <c r="N150" s="11" t="s">
        <v>3719</v>
      </c>
      <c r="O150" s="11" t="s">
        <v>3711</v>
      </c>
      <c r="P150" s="11" t="s">
        <v>3720</v>
      </c>
      <c r="Q150" s="12">
        <v>40</v>
      </c>
      <c r="R150" s="12">
        <v>52</v>
      </c>
      <c r="S150" s="12">
        <v>6</v>
      </c>
      <c r="T150" s="13">
        <v>11.7</v>
      </c>
      <c r="U150" s="13">
        <f t="shared" si="11"/>
        <v>8.1</v>
      </c>
      <c r="V150" s="14">
        <v>1433.25</v>
      </c>
      <c r="W150" s="14">
        <v>1433.25</v>
      </c>
      <c r="X150" s="11">
        <v>5</v>
      </c>
      <c r="Y150" s="15" t="s">
        <v>3713</v>
      </c>
      <c r="Z150" s="16">
        <v>1364.25</v>
      </c>
      <c r="AA150" s="17">
        <v>1977.2</v>
      </c>
      <c r="AB150" s="18" t="s">
        <v>3813</v>
      </c>
    </row>
    <row r="151" spans="1:28" x14ac:dyDescent="0.45">
      <c r="A151" s="2" t="s">
        <v>319</v>
      </c>
      <c r="B151" s="2" t="s">
        <v>320</v>
      </c>
      <c r="C151" s="2" t="s">
        <v>4</v>
      </c>
      <c r="D151" s="2" t="s">
        <v>5</v>
      </c>
      <c r="E151" s="2" t="s">
        <v>256</v>
      </c>
      <c r="F151" s="3">
        <v>42</v>
      </c>
      <c r="G151" s="3">
        <v>50</v>
      </c>
      <c r="H151" s="2" t="s">
        <v>321</v>
      </c>
      <c r="I151" s="19">
        <v>54</v>
      </c>
      <c r="J151" s="34">
        <f t="shared" si="8"/>
        <v>0.4698</v>
      </c>
      <c r="K151" s="34">
        <f t="shared" si="9"/>
        <v>0.7</v>
      </c>
      <c r="L151" s="34">
        <f t="shared" si="10"/>
        <v>2.8</v>
      </c>
      <c r="M151" s="20" t="s">
        <v>3734</v>
      </c>
      <c r="N151" s="20" t="s">
        <v>3735</v>
      </c>
      <c r="O151" s="20" t="s">
        <v>3711</v>
      </c>
      <c r="P151" s="20" t="s">
        <v>3736</v>
      </c>
      <c r="Q151" s="21">
        <v>41.148000000000003</v>
      </c>
      <c r="R151" s="21">
        <v>50.8</v>
      </c>
      <c r="S151" s="21">
        <v>4.5720000000000001</v>
      </c>
      <c r="T151" s="22">
        <v>3.44</v>
      </c>
      <c r="U151" s="13">
        <f t="shared" si="11"/>
        <v>0.64000000000000012</v>
      </c>
      <c r="V151" s="23">
        <v>421.4</v>
      </c>
      <c r="W151" s="23">
        <v>421.4</v>
      </c>
      <c r="X151" s="20">
        <v>99</v>
      </c>
      <c r="Y151" s="24" t="s">
        <v>3737</v>
      </c>
      <c r="Z151" s="16">
        <v>367.4</v>
      </c>
      <c r="AA151" s="17">
        <v>680.4</v>
      </c>
      <c r="AB151" s="25" t="s">
        <v>3738</v>
      </c>
    </row>
    <row r="152" spans="1:28" x14ac:dyDescent="0.45">
      <c r="A152" s="4" t="s">
        <v>322</v>
      </c>
      <c r="B152" s="4" t="s">
        <v>323</v>
      </c>
      <c r="C152" s="4" t="s">
        <v>4</v>
      </c>
      <c r="D152" s="4" t="s">
        <v>5</v>
      </c>
      <c r="E152" s="4" t="s">
        <v>256</v>
      </c>
      <c r="F152" s="5">
        <v>45</v>
      </c>
      <c r="G152" s="5">
        <v>53</v>
      </c>
      <c r="H152" s="4" t="s">
        <v>12</v>
      </c>
      <c r="I152" s="10">
        <v>54</v>
      </c>
      <c r="J152" s="34">
        <f t="shared" si="8"/>
        <v>0.4698</v>
      </c>
      <c r="K152" s="34">
        <f t="shared" si="9"/>
        <v>0.7</v>
      </c>
      <c r="L152" s="34">
        <f t="shared" si="10"/>
        <v>2.8</v>
      </c>
      <c r="M152" s="11" t="s">
        <v>3739</v>
      </c>
      <c r="N152" s="11" t="s">
        <v>3716</v>
      </c>
      <c r="O152" s="11" t="s">
        <v>3711</v>
      </c>
      <c r="P152" s="11" t="s">
        <v>3717</v>
      </c>
      <c r="Q152" s="12">
        <v>45</v>
      </c>
      <c r="R152" s="12">
        <v>53</v>
      </c>
      <c r="S152" s="12">
        <v>5</v>
      </c>
      <c r="T152" s="13">
        <v>7.1</v>
      </c>
      <c r="U152" s="13">
        <f t="shared" si="11"/>
        <v>4.3</v>
      </c>
      <c r="V152" s="14">
        <v>869.75</v>
      </c>
      <c r="W152" s="14">
        <v>869.75</v>
      </c>
      <c r="X152" s="11">
        <v>124</v>
      </c>
      <c r="Y152" s="15" t="s">
        <v>3713</v>
      </c>
      <c r="Z152" s="16">
        <v>815.75</v>
      </c>
      <c r="AA152" s="17">
        <v>1510.6</v>
      </c>
      <c r="AB152" s="18" t="s">
        <v>3714</v>
      </c>
    </row>
    <row r="153" spans="1:28" x14ac:dyDescent="0.45">
      <c r="A153" s="2" t="s">
        <v>324</v>
      </c>
      <c r="B153" s="2" t="s">
        <v>325</v>
      </c>
      <c r="C153" s="2" t="s">
        <v>4</v>
      </c>
      <c r="D153" s="2" t="s">
        <v>5</v>
      </c>
      <c r="E153" s="2" t="s">
        <v>256</v>
      </c>
      <c r="F153" s="3">
        <v>45</v>
      </c>
      <c r="G153" s="3">
        <v>55</v>
      </c>
      <c r="H153" s="2" t="s">
        <v>12</v>
      </c>
      <c r="I153" s="19">
        <v>61</v>
      </c>
      <c r="J153" s="34">
        <f t="shared" si="8"/>
        <v>0.53069999999999995</v>
      </c>
      <c r="K153" s="34">
        <f t="shared" si="9"/>
        <v>0.8</v>
      </c>
      <c r="L153" s="34">
        <f t="shared" si="10"/>
        <v>3.2</v>
      </c>
      <c r="M153" s="20" t="s">
        <v>3740</v>
      </c>
      <c r="N153" s="20" t="s">
        <v>3716</v>
      </c>
      <c r="O153" s="20" t="s">
        <v>3711</v>
      </c>
      <c r="P153" s="20" t="s">
        <v>3717</v>
      </c>
      <c r="Q153" s="21">
        <v>45</v>
      </c>
      <c r="R153" s="21">
        <v>55</v>
      </c>
      <c r="S153" s="21">
        <v>5</v>
      </c>
      <c r="T153" s="22">
        <v>10.53</v>
      </c>
      <c r="U153" s="13">
        <f t="shared" si="11"/>
        <v>7.3299999999999992</v>
      </c>
      <c r="V153" s="23">
        <v>1289.92</v>
      </c>
      <c r="W153" s="23">
        <v>1289.92</v>
      </c>
      <c r="X153" s="20">
        <v>89</v>
      </c>
      <c r="Y153" s="24" t="s">
        <v>3713</v>
      </c>
      <c r="Z153" s="16">
        <v>1228.92</v>
      </c>
      <c r="AA153" s="17">
        <v>2014.6</v>
      </c>
      <c r="AB153" s="25" t="s">
        <v>3714</v>
      </c>
    </row>
    <row r="154" spans="1:28" x14ac:dyDescent="0.45">
      <c r="A154" s="4" t="s">
        <v>326</v>
      </c>
      <c r="B154" s="4" t="s">
        <v>327</v>
      </c>
      <c r="C154" s="4" t="s">
        <v>4</v>
      </c>
      <c r="D154" s="4" t="s">
        <v>5</v>
      </c>
      <c r="E154" s="4" t="s">
        <v>256</v>
      </c>
      <c r="F154" s="5">
        <v>45</v>
      </c>
      <c r="G154" s="5">
        <v>57</v>
      </c>
      <c r="H154" s="4" t="s">
        <v>328</v>
      </c>
      <c r="I154" s="10">
        <v>79</v>
      </c>
      <c r="J154" s="34">
        <f t="shared" si="8"/>
        <v>0.68729999999999991</v>
      </c>
      <c r="K154" s="34">
        <f t="shared" si="9"/>
        <v>1.03</v>
      </c>
      <c r="L154" s="34">
        <f t="shared" si="10"/>
        <v>4.12</v>
      </c>
      <c r="M154" s="11" t="s">
        <v>3814</v>
      </c>
      <c r="N154" s="11" t="s">
        <v>3719</v>
      </c>
      <c r="O154" s="11" t="s">
        <v>3711</v>
      </c>
      <c r="P154" s="11" t="s">
        <v>3720</v>
      </c>
      <c r="Q154" s="12">
        <v>45</v>
      </c>
      <c r="R154" s="12">
        <v>57</v>
      </c>
      <c r="S154" s="12">
        <v>6</v>
      </c>
      <c r="T154" s="13">
        <v>11.23</v>
      </c>
      <c r="U154" s="13">
        <f t="shared" si="11"/>
        <v>7.11</v>
      </c>
      <c r="V154" s="14">
        <v>1375.68</v>
      </c>
      <c r="W154" s="14">
        <v>1375.68</v>
      </c>
      <c r="X154" s="11">
        <v>3</v>
      </c>
      <c r="Y154" s="15" t="s">
        <v>3713</v>
      </c>
      <c r="Z154" s="16">
        <v>1296.68</v>
      </c>
      <c r="AA154" s="17">
        <v>1641.4</v>
      </c>
      <c r="AB154" s="18" t="s">
        <v>3714</v>
      </c>
    </row>
    <row r="155" spans="1:28" x14ac:dyDescent="0.45">
      <c r="A155" s="2" t="s">
        <v>329</v>
      </c>
      <c r="B155" s="2" t="s">
        <v>330</v>
      </c>
      <c r="C155" s="2" t="s">
        <v>4</v>
      </c>
      <c r="D155" s="2" t="s">
        <v>5</v>
      </c>
      <c r="E155" s="2" t="s">
        <v>256</v>
      </c>
      <c r="F155" s="3">
        <v>50</v>
      </c>
      <c r="G155" s="3">
        <v>58</v>
      </c>
      <c r="H155" s="2" t="s">
        <v>12</v>
      </c>
      <c r="I155" s="19">
        <v>59</v>
      </c>
      <c r="J155" s="34">
        <f t="shared" si="8"/>
        <v>0.51329999999999998</v>
      </c>
      <c r="K155" s="34">
        <f t="shared" si="9"/>
        <v>0.77</v>
      </c>
      <c r="L155" s="34">
        <f t="shared" si="10"/>
        <v>3.08</v>
      </c>
      <c r="M155" s="20" t="s">
        <v>3741</v>
      </c>
      <c r="N155" s="20" t="s">
        <v>3719</v>
      </c>
      <c r="O155" s="20" t="s">
        <v>3711</v>
      </c>
      <c r="P155" s="20" t="s">
        <v>3720</v>
      </c>
      <c r="Q155" s="21">
        <v>50</v>
      </c>
      <c r="R155" s="21">
        <v>58</v>
      </c>
      <c r="S155" s="21">
        <v>5</v>
      </c>
      <c r="T155" s="22">
        <v>10.98</v>
      </c>
      <c r="U155" s="13">
        <f t="shared" si="11"/>
        <v>7.9</v>
      </c>
      <c r="V155" s="23">
        <v>1345.05</v>
      </c>
      <c r="W155" s="23">
        <v>1345.05</v>
      </c>
      <c r="X155" s="20">
        <v>81</v>
      </c>
      <c r="Y155" s="24" t="s">
        <v>3713</v>
      </c>
      <c r="Z155" s="16">
        <v>1286.05</v>
      </c>
      <c r="AA155" s="17">
        <v>2179.6999999999998</v>
      </c>
      <c r="AB155" s="25" t="s">
        <v>3714</v>
      </c>
    </row>
    <row r="156" spans="1:28" x14ac:dyDescent="0.45">
      <c r="A156" s="4" t="s">
        <v>331</v>
      </c>
      <c r="B156" s="4" t="s">
        <v>332</v>
      </c>
      <c r="C156" s="4" t="s">
        <v>4</v>
      </c>
      <c r="D156" s="4" t="s">
        <v>5</v>
      </c>
      <c r="E156" s="4" t="s">
        <v>256</v>
      </c>
      <c r="F156" s="5">
        <v>50</v>
      </c>
      <c r="G156" s="5">
        <v>58</v>
      </c>
      <c r="H156" s="4" t="s">
        <v>159</v>
      </c>
      <c r="I156" s="10">
        <v>72</v>
      </c>
      <c r="J156" s="34">
        <f t="shared" si="8"/>
        <v>0.62639999999999996</v>
      </c>
      <c r="K156" s="34">
        <f t="shared" si="9"/>
        <v>0.94</v>
      </c>
      <c r="L156" s="34">
        <f t="shared" si="10"/>
        <v>3.76</v>
      </c>
      <c r="M156" s="11" t="s">
        <v>3741</v>
      </c>
      <c r="N156" s="11" t="s">
        <v>3719</v>
      </c>
      <c r="O156" s="11" t="s">
        <v>3711</v>
      </c>
      <c r="P156" s="11" t="s">
        <v>3720</v>
      </c>
      <c r="Q156" s="12">
        <v>50</v>
      </c>
      <c r="R156" s="12">
        <v>58</v>
      </c>
      <c r="S156" s="12">
        <v>5</v>
      </c>
      <c r="T156" s="13">
        <v>10.98</v>
      </c>
      <c r="U156" s="13">
        <f t="shared" si="11"/>
        <v>7.2200000000000006</v>
      </c>
      <c r="V156" s="14">
        <v>1345.05</v>
      </c>
      <c r="W156" s="14">
        <v>1345.05</v>
      </c>
      <c r="X156" s="11">
        <v>81</v>
      </c>
      <c r="Y156" s="15" t="s">
        <v>3713</v>
      </c>
      <c r="Z156" s="16">
        <v>1273.05</v>
      </c>
      <c r="AA156" s="17">
        <v>1768.1</v>
      </c>
      <c r="AB156" s="18" t="s">
        <v>3714</v>
      </c>
    </row>
    <row r="157" spans="1:28" x14ac:dyDescent="0.45">
      <c r="A157" s="2" t="s">
        <v>333</v>
      </c>
      <c r="B157" s="2" t="s">
        <v>334</v>
      </c>
      <c r="C157" s="2" t="s">
        <v>4</v>
      </c>
      <c r="D157" s="2" t="s">
        <v>5</v>
      </c>
      <c r="E157" s="2" t="s">
        <v>256</v>
      </c>
      <c r="F157" s="3">
        <v>50</v>
      </c>
      <c r="G157" s="3">
        <v>60</v>
      </c>
      <c r="H157" s="2" t="s">
        <v>12</v>
      </c>
      <c r="I157" s="19">
        <v>64</v>
      </c>
      <c r="J157" s="34">
        <f t="shared" si="8"/>
        <v>0.55679999999999996</v>
      </c>
      <c r="K157" s="34">
        <f t="shared" si="9"/>
        <v>0.84</v>
      </c>
      <c r="L157" s="34">
        <f t="shared" si="10"/>
        <v>3.36</v>
      </c>
      <c r="M157" s="20" t="s">
        <v>3742</v>
      </c>
      <c r="N157" s="20" t="s">
        <v>3716</v>
      </c>
      <c r="O157" s="20" t="s">
        <v>3711</v>
      </c>
      <c r="P157" s="20" t="s">
        <v>3717</v>
      </c>
      <c r="Q157" s="21">
        <v>50</v>
      </c>
      <c r="R157" s="21">
        <v>60</v>
      </c>
      <c r="S157" s="21">
        <v>5</v>
      </c>
      <c r="T157" s="22">
        <v>8.36</v>
      </c>
      <c r="U157" s="13">
        <f t="shared" si="11"/>
        <v>5</v>
      </c>
      <c r="V157" s="23">
        <v>1024.0999999999999</v>
      </c>
      <c r="W157" s="23">
        <v>1024.0999999999999</v>
      </c>
      <c r="X157" s="20">
        <v>83</v>
      </c>
      <c r="Y157" s="24" t="s">
        <v>3713</v>
      </c>
      <c r="Z157" s="16">
        <v>960.09999999999991</v>
      </c>
      <c r="AA157" s="17">
        <v>1500.2</v>
      </c>
      <c r="AB157" s="25" t="s">
        <v>3714</v>
      </c>
    </row>
    <row r="158" spans="1:28" x14ac:dyDescent="0.45">
      <c r="A158" s="4" t="s">
        <v>335</v>
      </c>
      <c r="B158" s="4" t="s">
        <v>336</v>
      </c>
      <c r="C158" s="4" t="s">
        <v>4</v>
      </c>
      <c r="D158" s="4" t="s">
        <v>5</v>
      </c>
      <c r="E158" s="4" t="s">
        <v>256</v>
      </c>
      <c r="F158" s="5">
        <v>50</v>
      </c>
      <c r="G158" s="5">
        <v>60</v>
      </c>
      <c r="H158" s="4" t="s">
        <v>64</v>
      </c>
      <c r="I158" s="10">
        <v>84</v>
      </c>
      <c r="J158" s="34">
        <f t="shared" si="8"/>
        <v>0.73079999999999989</v>
      </c>
      <c r="K158" s="34">
        <f t="shared" si="9"/>
        <v>1.1000000000000001</v>
      </c>
      <c r="L158" s="34">
        <f t="shared" si="10"/>
        <v>4.4000000000000004</v>
      </c>
      <c r="M158" s="11" t="s">
        <v>3742</v>
      </c>
      <c r="N158" s="11" t="s">
        <v>3716</v>
      </c>
      <c r="O158" s="11" t="s">
        <v>3711</v>
      </c>
      <c r="P158" s="11" t="s">
        <v>3717</v>
      </c>
      <c r="Q158" s="12">
        <v>50</v>
      </c>
      <c r="R158" s="12">
        <v>60</v>
      </c>
      <c r="S158" s="12">
        <v>5</v>
      </c>
      <c r="T158" s="13">
        <v>8.36</v>
      </c>
      <c r="U158" s="13">
        <f t="shared" si="11"/>
        <v>3.9599999999999991</v>
      </c>
      <c r="V158" s="14">
        <v>1024.0999999999999</v>
      </c>
      <c r="W158" s="14">
        <v>1024.0999999999999</v>
      </c>
      <c r="X158" s="11">
        <v>83</v>
      </c>
      <c r="Y158" s="15" t="s">
        <v>3713</v>
      </c>
      <c r="Z158" s="16">
        <v>940.09999999999991</v>
      </c>
      <c r="AA158" s="17">
        <v>1119.2</v>
      </c>
      <c r="AB158" s="18" t="s">
        <v>3714</v>
      </c>
    </row>
    <row r="159" spans="1:28" x14ac:dyDescent="0.45">
      <c r="A159" s="2" t="s">
        <v>337</v>
      </c>
      <c r="B159" s="2" t="s">
        <v>338</v>
      </c>
      <c r="C159" s="2" t="s">
        <v>4</v>
      </c>
      <c r="D159" s="2" t="s">
        <v>5</v>
      </c>
      <c r="E159" s="2" t="s">
        <v>256</v>
      </c>
      <c r="F159" s="3">
        <v>55</v>
      </c>
      <c r="G159" s="3">
        <v>66</v>
      </c>
      <c r="H159" s="2" t="s">
        <v>192</v>
      </c>
      <c r="I159" s="19">
        <v>84</v>
      </c>
      <c r="J159" s="34">
        <f t="shared" si="8"/>
        <v>0.73079999999999989</v>
      </c>
      <c r="K159" s="34">
        <f t="shared" si="9"/>
        <v>1.1000000000000001</v>
      </c>
      <c r="L159" s="34">
        <f t="shared" si="10"/>
        <v>4.4000000000000004</v>
      </c>
      <c r="M159" s="20" t="s">
        <v>3785</v>
      </c>
      <c r="N159" s="20" t="s">
        <v>3719</v>
      </c>
      <c r="O159" s="20" t="s">
        <v>3711</v>
      </c>
      <c r="P159" s="20" t="s">
        <v>3720</v>
      </c>
      <c r="Q159" s="21">
        <v>55</v>
      </c>
      <c r="R159" s="21">
        <v>67</v>
      </c>
      <c r="S159" s="21">
        <v>6</v>
      </c>
      <c r="T159" s="22">
        <v>7.57</v>
      </c>
      <c r="U159" s="13">
        <f t="shared" si="11"/>
        <v>3.17</v>
      </c>
      <c r="V159" s="23">
        <v>927.32</v>
      </c>
      <c r="W159" s="23">
        <v>927.32</v>
      </c>
      <c r="X159" s="20">
        <v>4</v>
      </c>
      <c r="Y159" s="24" t="s">
        <v>3713</v>
      </c>
      <c r="Z159" s="16">
        <v>843.32</v>
      </c>
      <c r="AA159" s="17">
        <v>1004</v>
      </c>
      <c r="AB159" s="25" t="s">
        <v>3786</v>
      </c>
    </row>
    <row r="160" spans="1:28" x14ac:dyDescent="0.45">
      <c r="A160" s="4" t="s">
        <v>339</v>
      </c>
      <c r="B160" s="4" t="s">
        <v>340</v>
      </c>
      <c r="C160" s="4" t="s">
        <v>4</v>
      </c>
      <c r="D160" s="4" t="s">
        <v>5</v>
      </c>
      <c r="E160" s="4" t="s">
        <v>256</v>
      </c>
      <c r="F160" s="5">
        <v>56</v>
      </c>
      <c r="G160" s="5">
        <v>66</v>
      </c>
      <c r="H160" s="4" t="s">
        <v>12</v>
      </c>
      <c r="I160" s="10">
        <v>69</v>
      </c>
      <c r="J160" s="34">
        <f t="shared" si="8"/>
        <v>0.60029999999999994</v>
      </c>
      <c r="K160" s="34">
        <f t="shared" si="9"/>
        <v>0.9</v>
      </c>
      <c r="L160" s="34">
        <f t="shared" si="10"/>
        <v>3.6</v>
      </c>
      <c r="M160" s="11" t="s">
        <v>3744</v>
      </c>
      <c r="N160" s="11" t="s">
        <v>3719</v>
      </c>
      <c r="O160" s="11" t="s">
        <v>3711</v>
      </c>
      <c r="P160" s="11" t="s">
        <v>3720</v>
      </c>
      <c r="Q160" s="12">
        <v>56</v>
      </c>
      <c r="R160" s="12">
        <v>66</v>
      </c>
      <c r="S160" s="12">
        <v>6</v>
      </c>
      <c r="T160" s="13">
        <v>15.37</v>
      </c>
      <c r="U160" s="13">
        <f t="shared" si="11"/>
        <v>11.77</v>
      </c>
      <c r="V160" s="14">
        <v>1882.82</v>
      </c>
      <c r="W160" s="14">
        <v>1882.82</v>
      </c>
      <c r="X160" s="11">
        <v>8</v>
      </c>
      <c r="Y160" s="15" t="s">
        <v>3713</v>
      </c>
      <c r="Z160" s="16">
        <v>1813.82</v>
      </c>
      <c r="AA160" s="17">
        <v>2628.7</v>
      </c>
      <c r="AB160" s="18" t="s">
        <v>3714</v>
      </c>
    </row>
    <row r="161" spans="1:28" x14ac:dyDescent="0.45">
      <c r="A161" s="2" t="s">
        <v>341</v>
      </c>
      <c r="B161" s="2" t="s">
        <v>342</v>
      </c>
      <c r="C161" s="2" t="s">
        <v>4</v>
      </c>
      <c r="D161" s="2" t="s">
        <v>5</v>
      </c>
      <c r="E161" s="2" t="s">
        <v>256</v>
      </c>
      <c r="F161" s="3">
        <v>60</v>
      </c>
      <c r="G161" s="3">
        <v>68</v>
      </c>
      <c r="H161" s="2" t="s">
        <v>12</v>
      </c>
      <c r="I161" s="19">
        <v>64</v>
      </c>
      <c r="J161" s="34">
        <f t="shared" si="8"/>
        <v>0.55679999999999996</v>
      </c>
      <c r="K161" s="34">
        <f t="shared" si="9"/>
        <v>0.84</v>
      </c>
      <c r="L161" s="34">
        <f t="shared" si="10"/>
        <v>3.36</v>
      </c>
      <c r="M161" s="20" t="s">
        <v>3815</v>
      </c>
      <c r="N161" s="20" t="s">
        <v>3791</v>
      </c>
      <c r="O161" s="20" t="s">
        <v>3711</v>
      </c>
      <c r="P161" s="20" t="s">
        <v>3792</v>
      </c>
      <c r="Q161" s="21">
        <v>60</v>
      </c>
      <c r="R161" s="21">
        <v>68</v>
      </c>
      <c r="S161" s="21">
        <v>5</v>
      </c>
      <c r="T161" s="22">
        <v>8.59</v>
      </c>
      <c r="U161" s="13">
        <f t="shared" si="11"/>
        <v>5.23</v>
      </c>
      <c r="V161" s="23">
        <v>1052.28</v>
      </c>
      <c r="W161" s="23">
        <v>1052.28</v>
      </c>
      <c r="X161" s="20">
        <v>10</v>
      </c>
      <c r="Y161" s="24" t="s">
        <v>3713</v>
      </c>
      <c r="Z161" s="16">
        <v>988.28</v>
      </c>
      <c r="AA161" s="17">
        <v>1544.2</v>
      </c>
      <c r="AB161" s="25" t="s">
        <v>3714</v>
      </c>
    </row>
    <row r="162" spans="1:28" x14ac:dyDescent="0.45">
      <c r="A162" s="4" t="s">
        <v>343</v>
      </c>
      <c r="B162" s="4" t="s">
        <v>344</v>
      </c>
      <c r="C162" s="4" t="s">
        <v>4</v>
      </c>
      <c r="D162" s="4" t="s">
        <v>5</v>
      </c>
      <c r="E162" s="4" t="s">
        <v>256</v>
      </c>
      <c r="F162" s="5">
        <v>60</v>
      </c>
      <c r="G162" s="5">
        <v>70</v>
      </c>
      <c r="H162" s="4" t="s">
        <v>12</v>
      </c>
      <c r="I162" s="10">
        <v>76</v>
      </c>
      <c r="J162" s="34">
        <f t="shared" si="8"/>
        <v>0.66120000000000001</v>
      </c>
      <c r="K162" s="34">
        <f t="shared" si="9"/>
        <v>0.99</v>
      </c>
      <c r="L162" s="34">
        <f t="shared" si="10"/>
        <v>3.96</v>
      </c>
      <c r="M162" s="11" t="s">
        <v>3745</v>
      </c>
      <c r="N162" s="11" t="s">
        <v>3716</v>
      </c>
      <c r="O162" s="11" t="s">
        <v>3711</v>
      </c>
      <c r="P162" s="11" t="s">
        <v>3717</v>
      </c>
      <c r="Q162" s="12">
        <v>60</v>
      </c>
      <c r="R162" s="12">
        <v>70</v>
      </c>
      <c r="S162" s="12">
        <v>6</v>
      </c>
      <c r="T162" s="13">
        <v>9.49</v>
      </c>
      <c r="U162" s="13">
        <f t="shared" si="11"/>
        <v>5.53</v>
      </c>
      <c r="V162" s="14">
        <v>1162.53</v>
      </c>
      <c r="W162" s="14">
        <v>1162.53</v>
      </c>
      <c r="X162" s="11">
        <v>213</v>
      </c>
      <c r="Y162" s="15" t="s">
        <v>3713</v>
      </c>
      <c r="Z162" s="16">
        <v>1086.53</v>
      </c>
      <c r="AA162" s="17">
        <v>1429.6</v>
      </c>
      <c r="AB162" s="18" t="s">
        <v>3714</v>
      </c>
    </row>
    <row r="163" spans="1:28" x14ac:dyDescent="0.45">
      <c r="A163" s="2" t="s">
        <v>345</v>
      </c>
      <c r="B163" s="2" t="s">
        <v>346</v>
      </c>
      <c r="C163" s="2" t="s">
        <v>4</v>
      </c>
      <c r="D163" s="2" t="s">
        <v>5</v>
      </c>
      <c r="E163" s="2" t="s">
        <v>256</v>
      </c>
      <c r="F163" s="3">
        <v>60</v>
      </c>
      <c r="G163" s="3">
        <v>70</v>
      </c>
      <c r="H163" s="2" t="s">
        <v>347</v>
      </c>
      <c r="I163" s="19">
        <v>87</v>
      </c>
      <c r="J163" s="34">
        <f t="shared" si="8"/>
        <v>0.75689999999999991</v>
      </c>
      <c r="K163" s="34">
        <f t="shared" si="9"/>
        <v>1.1399999999999999</v>
      </c>
      <c r="L163" s="34">
        <f t="shared" si="10"/>
        <v>4.5599999999999996</v>
      </c>
      <c r="M163" s="20" t="s">
        <v>3745</v>
      </c>
      <c r="N163" s="20" t="s">
        <v>3716</v>
      </c>
      <c r="O163" s="20" t="s">
        <v>3711</v>
      </c>
      <c r="P163" s="20" t="s">
        <v>3717</v>
      </c>
      <c r="Q163" s="21">
        <v>60</v>
      </c>
      <c r="R163" s="21">
        <v>70</v>
      </c>
      <c r="S163" s="21">
        <v>6</v>
      </c>
      <c r="T163" s="22">
        <v>9.49</v>
      </c>
      <c r="U163" s="13">
        <f t="shared" si="11"/>
        <v>4.9300000000000006</v>
      </c>
      <c r="V163" s="23">
        <v>1162.53</v>
      </c>
      <c r="W163" s="23">
        <v>1162.53</v>
      </c>
      <c r="X163" s="20">
        <v>213</v>
      </c>
      <c r="Y163" s="24" t="s">
        <v>3713</v>
      </c>
      <c r="Z163" s="16">
        <v>1075.53</v>
      </c>
      <c r="AA163" s="17">
        <v>1236.2</v>
      </c>
      <c r="AB163" s="25" t="s">
        <v>3714</v>
      </c>
    </row>
    <row r="164" spans="1:28" x14ac:dyDescent="0.45">
      <c r="A164" s="4" t="s">
        <v>348</v>
      </c>
      <c r="B164" s="4" t="s">
        <v>349</v>
      </c>
      <c r="C164" s="4" t="s">
        <v>4</v>
      </c>
      <c r="D164" s="4" t="s">
        <v>5</v>
      </c>
      <c r="E164" s="4" t="s">
        <v>256</v>
      </c>
      <c r="F164" s="5">
        <v>60</v>
      </c>
      <c r="G164" s="5">
        <v>70</v>
      </c>
      <c r="H164" s="4" t="s">
        <v>64</v>
      </c>
      <c r="I164" s="10">
        <v>98</v>
      </c>
      <c r="J164" s="34">
        <f t="shared" si="8"/>
        <v>0.85259999999999991</v>
      </c>
      <c r="K164" s="34">
        <f t="shared" si="9"/>
        <v>1.28</v>
      </c>
      <c r="L164" s="34">
        <f t="shared" si="10"/>
        <v>5.12</v>
      </c>
      <c r="M164" s="11" t="s">
        <v>3745</v>
      </c>
      <c r="N164" s="11" t="s">
        <v>3716</v>
      </c>
      <c r="O164" s="11" t="s">
        <v>3711</v>
      </c>
      <c r="P164" s="11" t="s">
        <v>3717</v>
      </c>
      <c r="Q164" s="12">
        <v>60</v>
      </c>
      <c r="R164" s="12">
        <v>70</v>
      </c>
      <c r="S164" s="12">
        <v>6</v>
      </c>
      <c r="T164" s="13">
        <v>9.49</v>
      </c>
      <c r="U164" s="13">
        <f t="shared" si="11"/>
        <v>4.37</v>
      </c>
      <c r="V164" s="14">
        <v>1162.53</v>
      </c>
      <c r="W164" s="14">
        <v>1162.53</v>
      </c>
      <c r="X164" s="11">
        <v>213</v>
      </c>
      <c r="Y164" s="15" t="s">
        <v>3713</v>
      </c>
      <c r="Z164" s="16">
        <v>1064.53</v>
      </c>
      <c r="AA164" s="17">
        <v>1086.3</v>
      </c>
      <c r="AB164" s="18" t="s">
        <v>3714</v>
      </c>
    </row>
    <row r="165" spans="1:28" x14ac:dyDescent="0.45">
      <c r="A165" s="2" t="s">
        <v>350</v>
      </c>
      <c r="B165" s="2" t="s">
        <v>351</v>
      </c>
      <c r="C165" s="2" t="s">
        <v>4</v>
      </c>
      <c r="D165" s="2" t="s">
        <v>5</v>
      </c>
      <c r="E165" s="2" t="s">
        <v>256</v>
      </c>
      <c r="F165" s="3">
        <v>63</v>
      </c>
      <c r="G165" s="3">
        <v>73</v>
      </c>
      <c r="H165" s="2" t="s">
        <v>12</v>
      </c>
      <c r="I165" s="19">
        <v>77</v>
      </c>
      <c r="J165" s="34">
        <f t="shared" si="8"/>
        <v>0.66989999999999994</v>
      </c>
      <c r="K165" s="34">
        <f t="shared" si="9"/>
        <v>1</v>
      </c>
      <c r="L165" s="34">
        <f t="shared" si="10"/>
        <v>4</v>
      </c>
      <c r="M165" s="20" t="s">
        <v>3746</v>
      </c>
      <c r="N165" s="20" t="s">
        <v>3719</v>
      </c>
      <c r="O165" s="20" t="s">
        <v>3711</v>
      </c>
      <c r="P165" s="20" t="s">
        <v>3720</v>
      </c>
      <c r="Q165" s="21">
        <v>63</v>
      </c>
      <c r="R165" s="21">
        <v>73</v>
      </c>
      <c r="S165" s="21">
        <v>6</v>
      </c>
      <c r="T165" s="22">
        <v>11.74</v>
      </c>
      <c r="U165" s="13">
        <f t="shared" si="11"/>
        <v>7.74</v>
      </c>
      <c r="V165" s="23">
        <v>1438.15</v>
      </c>
      <c r="W165" s="23">
        <v>1438.15</v>
      </c>
      <c r="X165" s="20">
        <v>16</v>
      </c>
      <c r="Y165" s="24" t="s">
        <v>3713</v>
      </c>
      <c r="Z165" s="16">
        <v>1361.15</v>
      </c>
      <c r="AA165" s="17">
        <v>1767.7</v>
      </c>
      <c r="AB165" s="25" t="s">
        <v>3714</v>
      </c>
    </row>
    <row r="166" spans="1:28" x14ac:dyDescent="0.45">
      <c r="A166" s="4" t="s">
        <v>352</v>
      </c>
      <c r="B166" s="4" t="s">
        <v>353</v>
      </c>
      <c r="C166" s="4" t="s">
        <v>4</v>
      </c>
      <c r="D166" s="4" t="s">
        <v>5</v>
      </c>
      <c r="E166" s="4" t="s">
        <v>256</v>
      </c>
      <c r="F166" s="5">
        <v>63</v>
      </c>
      <c r="G166" s="5">
        <v>73</v>
      </c>
      <c r="H166" s="4" t="s">
        <v>347</v>
      </c>
      <c r="I166" s="10">
        <v>91</v>
      </c>
      <c r="J166" s="34">
        <f t="shared" si="8"/>
        <v>0.79169999999999996</v>
      </c>
      <c r="K166" s="34">
        <f t="shared" si="9"/>
        <v>1.19</v>
      </c>
      <c r="L166" s="34">
        <f t="shared" si="10"/>
        <v>4.76</v>
      </c>
      <c r="M166" s="11" t="s">
        <v>3746</v>
      </c>
      <c r="N166" s="11" t="s">
        <v>3719</v>
      </c>
      <c r="O166" s="11" t="s">
        <v>3711</v>
      </c>
      <c r="P166" s="11" t="s">
        <v>3720</v>
      </c>
      <c r="Q166" s="12">
        <v>63</v>
      </c>
      <c r="R166" s="12">
        <v>73</v>
      </c>
      <c r="S166" s="12">
        <v>6</v>
      </c>
      <c r="T166" s="13">
        <v>11.74</v>
      </c>
      <c r="U166" s="13">
        <f t="shared" si="11"/>
        <v>6.98</v>
      </c>
      <c r="V166" s="14">
        <v>1438.15</v>
      </c>
      <c r="W166" s="14">
        <v>1438.15</v>
      </c>
      <c r="X166" s="11">
        <v>16</v>
      </c>
      <c r="Y166" s="15" t="s">
        <v>3713</v>
      </c>
      <c r="Z166" s="16">
        <v>1347.15</v>
      </c>
      <c r="AA166" s="17">
        <v>1480.4</v>
      </c>
      <c r="AB166" s="18" t="s">
        <v>3714</v>
      </c>
    </row>
    <row r="167" spans="1:28" x14ac:dyDescent="0.45">
      <c r="A167" s="2" t="s">
        <v>354</v>
      </c>
      <c r="B167" s="2" t="s">
        <v>355</v>
      </c>
      <c r="C167" s="2" t="s">
        <v>4</v>
      </c>
      <c r="D167" s="2" t="s">
        <v>5</v>
      </c>
      <c r="E167" s="2" t="s">
        <v>256</v>
      </c>
      <c r="F167" s="3">
        <v>65</v>
      </c>
      <c r="G167" s="3">
        <v>75</v>
      </c>
      <c r="H167" s="2" t="s">
        <v>12</v>
      </c>
      <c r="I167" s="19">
        <v>77</v>
      </c>
      <c r="J167" s="34">
        <f t="shared" si="8"/>
        <v>0.66989999999999994</v>
      </c>
      <c r="K167" s="34">
        <f t="shared" si="9"/>
        <v>1</v>
      </c>
      <c r="L167" s="34">
        <f t="shared" si="10"/>
        <v>4</v>
      </c>
      <c r="M167" s="20" t="s">
        <v>3747</v>
      </c>
      <c r="N167" s="20" t="s">
        <v>3716</v>
      </c>
      <c r="O167" s="20" t="s">
        <v>3711</v>
      </c>
      <c r="P167" s="20" t="s">
        <v>3717</v>
      </c>
      <c r="Q167" s="21">
        <v>65</v>
      </c>
      <c r="R167" s="21">
        <v>75</v>
      </c>
      <c r="S167" s="21">
        <v>6</v>
      </c>
      <c r="T167" s="22">
        <v>17.170000000000002</v>
      </c>
      <c r="U167" s="13">
        <f t="shared" si="11"/>
        <v>13.170000000000002</v>
      </c>
      <c r="V167" s="23">
        <v>2103.33</v>
      </c>
      <c r="W167" s="23">
        <v>2103.33</v>
      </c>
      <c r="X167" s="20">
        <v>21</v>
      </c>
      <c r="Y167" s="24" t="s">
        <v>3713</v>
      </c>
      <c r="Z167" s="16">
        <v>2026.33</v>
      </c>
      <c r="AA167" s="17">
        <v>2631.6</v>
      </c>
      <c r="AB167" s="25" t="s">
        <v>3714</v>
      </c>
    </row>
    <row r="168" spans="1:28" x14ac:dyDescent="0.45">
      <c r="A168" s="4" t="s">
        <v>356</v>
      </c>
      <c r="B168" s="4" t="s">
        <v>357</v>
      </c>
      <c r="C168" s="4" t="s">
        <v>4</v>
      </c>
      <c r="D168" s="4" t="s">
        <v>5</v>
      </c>
      <c r="E168" s="4" t="s">
        <v>256</v>
      </c>
      <c r="F168" s="5">
        <v>65</v>
      </c>
      <c r="G168" s="5">
        <v>75</v>
      </c>
      <c r="H168" s="4" t="s">
        <v>347</v>
      </c>
      <c r="I168" s="10">
        <v>91</v>
      </c>
      <c r="J168" s="34">
        <f t="shared" si="8"/>
        <v>0.79169999999999996</v>
      </c>
      <c r="K168" s="34">
        <f t="shared" si="9"/>
        <v>1.19</v>
      </c>
      <c r="L168" s="34">
        <f t="shared" si="10"/>
        <v>4.76</v>
      </c>
      <c r="M168" s="11" t="s">
        <v>3747</v>
      </c>
      <c r="N168" s="11" t="s">
        <v>3716</v>
      </c>
      <c r="O168" s="11" t="s">
        <v>3711</v>
      </c>
      <c r="P168" s="11" t="s">
        <v>3717</v>
      </c>
      <c r="Q168" s="12">
        <v>65</v>
      </c>
      <c r="R168" s="12">
        <v>75</v>
      </c>
      <c r="S168" s="12">
        <v>6</v>
      </c>
      <c r="T168" s="13">
        <v>17.170000000000002</v>
      </c>
      <c r="U168" s="13">
        <f t="shared" si="11"/>
        <v>12.410000000000002</v>
      </c>
      <c r="V168" s="14">
        <v>2103.33</v>
      </c>
      <c r="W168" s="14">
        <v>2103.33</v>
      </c>
      <c r="X168" s="11">
        <v>21</v>
      </c>
      <c r="Y168" s="15" t="s">
        <v>3713</v>
      </c>
      <c r="Z168" s="16">
        <v>2012.33</v>
      </c>
      <c r="AA168" s="17">
        <v>2211.4</v>
      </c>
      <c r="AB168" s="18" t="s">
        <v>3714</v>
      </c>
    </row>
    <row r="169" spans="1:28" x14ac:dyDescent="0.45">
      <c r="A169" s="2" t="s">
        <v>358</v>
      </c>
      <c r="B169" s="2" t="s">
        <v>359</v>
      </c>
      <c r="C169" s="2" t="s">
        <v>4</v>
      </c>
      <c r="D169" s="2" t="s">
        <v>5</v>
      </c>
      <c r="E169" s="2" t="s">
        <v>256</v>
      </c>
      <c r="F169" s="3">
        <v>65</v>
      </c>
      <c r="G169" s="3">
        <v>75</v>
      </c>
      <c r="H169" s="2" t="s">
        <v>64</v>
      </c>
      <c r="I169" s="19">
        <v>104</v>
      </c>
      <c r="J169" s="34">
        <f t="shared" si="8"/>
        <v>0.90479999999999994</v>
      </c>
      <c r="K169" s="34">
        <f t="shared" si="9"/>
        <v>1.36</v>
      </c>
      <c r="L169" s="34">
        <f t="shared" si="10"/>
        <v>5.44</v>
      </c>
      <c r="M169" s="20" t="s">
        <v>3747</v>
      </c>
      <c r="N169" s="20" t="s">
        <v>3716</v>
      </c>
      <c r="O169" s="20" t="s">
        <v>3711</v>
      </c>
      <c r="P169" s="20" t="s">
        <v>3717</v>
      </c>
      <c r="Q169" s="21">
        <v>65</v>
      </c>
      <c r="R169" s="21">
        <v>75</v>
      </c>
      <c r="S169" s="21">
        <v>6</v>
      </c>
      <c r="T169" s="22">
        <v>17.170000000000002</v>
      </c>
      <c r="U169" s="13">
        <f t="shared" si="11"/>
        <v>11.73</v>
      </c>
      <c r="V169" s="23">
        <v>2103.33</v>
      </c>
      <c r="W169" s="23">
        <v>2103.33</v>
      </c>
      <c r="X169" s="20">
        <v>21</v>
      </c>
      <c r="Y169" s="24" t="s">
        <v>3713</v>
      </c>
      <c r="Z169" s="16">
        <v>1999.33</v>
      </c>
      <c r="AA169" s="17">
        <v>1922.4</v>
      </c>
      <c r="AB169" s="25" t="s">
        <v>3714</v>
      </c>
    </row>
    <row r="170" spans="1:28" x14ac:dyDescent="0.45">
      <c r="A170" s="4" t="s">
        <v>360</v>
      </c>
      <c r="B170" s="4" t="s">
        <v>361</v>
      </c>
      <c r="C170" s="4" t="s">
        <v>4</v>
      </c>
      <c r="D170" s="4" t="s">
        <v>5</v>
      </c>
      <c r="E170" s="4" t="s">
        <v>256</v>
      </c>
      <c r="F170" s="5">
        <v>68</v>
      </c>
      <c r="G170" s="5">
        <v>76</v>
      </c>
      <c r="H170" s="4" t="s">
        <v>362</v>
      </c>
      <c r="I170" s="10">
        <v>79</v>
      </c>
      <c r="J170" s="34">
        <f t="shared" si="8"/>
        <v>0.68729999999999991</v>
      </c>
      <c r="K170" s="34">
        <f t="shared" si="9"/>
        <v>1.03</v>
      </c>
      <c r="L170" s="34">
        <f t="shared" si="10"/>
        <v>4.12</v>
      </c>
      <c r="M170" s="11" t="s">
        <v>3816</v>
      </c>
      <c r="N170" s="11" t="s">
        <v>3731</v>
      </c>
      <c r="O170" s="11" t="s">
        <v>3711</v>
      </c>
      <c r="P170" s="11" t="s">
        <v>3732</v>
      </c>
      <c r="Q170" s="12">
        <v>69.849999999999994</v>
      </c>
      <c r="R170" s="12">
        <v>77.724000000000004</v>
      </c>
      <c r="S170" s="12">
        <v>4.5720000000000001</v>
      </c>
      <c r="T170" s="13">
        <v>15.44</v>
      </c>
      <c r="U170" s="13">
        <f t="shared" si="11"/>
        <v>11.32</v>
      </c>
      <c r="V170" s="14">
        <v>1891.4</v>
      </c>
      <c r="W170" s="14">
        <v>1891.4</v>
      </c>
      <c r="X170" s="11">
        <v>37</v>
      </c>
      <c r="Y170" s="15" t="s">
        <v>3737</v>
      </c>
      <c r="Z170" s="16">
        <v>1812.4</v>
      </c>
      <c r="AA170" s="17">
        <v>2294.1999999999998</v>
      </c>
      <c r="AB170" s="18" t="s">
        <v>3817</v>
      </c>
    </row>
    <row r="171" spans="1:28" x14ac:dyDescent="0.45">
      <c r="A171" s="2" t="s">
        <v>363</v>
      </c>
      <c r="B171" s="2" t="s">
        <v>364</v>
      </c>
      <c r="C171" s="2" t="s">
        <v>4</v>
      </c>
      <c r="D171" s="2" t="s">
        <v>5</v>
      </c>
      <c r="E171" s="2" t="s">
        <v>256</v>
      </c>
      <c r="F171" s="3">
        <v>70</v>
      </c>
      <c r="G171" s="3">
        <v>80</v>
      </c>
      <c r="H171" s="2" t="s">
        <v>12</v>
      </c>
      <c r="I171" s="19">
        <v>81</v>
      </c>
      <c r="J171" s="34">
        <f t="shared" si="8"/>
        <v>0.70469999999999999</v>
      </c>
      <c r="K171" s="34">
        <f t="shared" si="9"/>
        <v>1.06</v>
      </c>
      <c r="L171" s="34">
        <f t="shared" si="10"/>
        <v>4.24</v>
      </c>
      <c r="M171" s="20" t="s">
        <v>3748</v>
      </c>
      <c r="N171" s="20" t="s">
        <v>3716</v>
      </c>
      <c r="O171" s="20" t="s">
        <v>3711</v>
      </c>
      <c r="P171" s="20" t="s">
        <v>3717</v>
      </c>
      <c r="Q171" s="21">
        <v>70</v>
      </c>
      <c r="R171" s="21">
        <v>80</v>
      </c>
      <c r="S171" s="21">
        <v>5</v>
      </c>
      <c r="T171" s="22">
        <v>10.3</v>
      </c>
      <c r="U171" s="13">
        <f t="shared" si="11"/>
        <v>6.0600000000000005</v>
      </c>
      <c r="V171" s="23">
        <v>1261.75</v>
      </c>
      <c r="W171" s="23">
        <v>1261.75</v>
      </c>
      <c r="X171" s="20">
        <v>37</v>
      </c>
      <c r="Y171" s="24" t="s">
        <v>3713</v>
      </c>
      <c r="Z171" s="16">
        <v>1180.75</v>
      </c>
      <c r="AA171" s="17">
        <v>1457.7</v>
      </c>
      <c r="AB171" s="25" t="s">
        <v>3714</v>
      </c>
    </row>
    <row r="172" spans="1:28" x14ac:dyDescent="0.45">
      <c r="A172" s="4" t="s">
        <v>365</v>
      </c>
      <c r="B172" s="4" t="s">
        <v>366</v>
      </c>
      <c r="C172" s="4" t="s">
        <v>4</v>
      </c>
      <c r="D172" s="4" t="s">
        <v>5</v>
      </c>
      <c r="E172" s="4" t="s">
        <v>256</v>
      </c>
      <c r="F172" s="5">
        <v>75</v>
      </c>
      <c r="G172" s="5">
        <v>87</v>
      </c>
      <c r="H172" s="4" t="s">
        <v>64</v>
      </c>
      <c r="I172" s="10">
        <v>130</v>
      </c>
      <c r="J172" s="34">
        <f t="shared" si="8"/>
        <v>1.131</v>
      </c>
      <c r="K172" s="34">
        <f t="shared" si="9"/>
        <v>1.7</v>
      </c>
      <c r="L172" s="34">
        <f t="shared" si="10"/>
        <v>6.8</v>
      </c>
      <c r="M172" s="11" t="s">
        <v>3753</v>
      </c>
      <c r="N172" s="11" t="s">
        <v>3719</v>
      </c>
      <c r="O172" s="11" t="s">
        <v>3711</v>
      </c>
      <c r="P172" s="11" t="s">
        <v>3720</v>
      </c>
      <c r="Q172" s="12">
        <v>75</v>
      </c>
      <c r="R172" s="12">
        <v>87</v>
      </c>
      <c r="S172" s="12">
        <v>6</v>
      </c>
      <c r="T172" s="13">
        <v>15.46</v>
      </c>
      <c r="U172" s="13">
        <f t="shared" si="11"/>
        <v>8.66</v>
      </c>
      <c r="V172" s="14">
        <v>1893.85</v>
      </c>
      <c r="W172" s="14">
        <v>1893.85</v>
      </c>
      <c r="X172" s="11">
        <v>18</v>
      </c>
      <c r="Y172" s="15" t="s">
        <v>3713</v>
      </c>
      <c r="Z172" s="16">
        <v>1763.85</v>
      </c>
      <c r="AA172" s="17">
        <v>1356.8</v>
      </c>
      <c r="AB172" s="18" t="s">
        <v>3714</v>
      </c>
    </row>
    <row r="173" spans="1:28" x14ac:dyDescent="0.45">
      <c r="A173" s="2" t="s">
        <v>367</v>
      </c>
      <c r="B173" s="2" t="s">
        <v>368</v>
      </c>
      <c r="C173" s="2" t="s">
        <v>4</v>
      </c>
      <c r="D173" s="2" t="s">
        <v>5</v>
      </c>
      <c r="E173" s="2" t="s">
        <v>256</v>
      </c>
      <c r="F173" s="3">
        <v>80</v>
      </c>
      <c r="G173" s="3">
        <v>92</v>
      </c>
      <c r="H173" s="2" t="s">
        <v>64</v>
      </c>
      <c r="I173" s="19">
        <v>135</v>
      </c>
      <c r="J173" s="34">
        <f t="shared" si="8"/>
        <v>1.1744999999999999</v>
      </c>
      <c r="K173" s="34">
        <f t="shared" si="9"/>
        <v>1.76</v>
      </c>
      <c r="L173" s="34">
        <f t="shared" si="10"/>
        <v>7.04</v>
      </c>
      <c r="M173" s="20" t="s">
        <v>3754</v>
      </c>
      <c r="N173" s="20" t="s">
        <v>3716</v>
      </c>
      <c r="O173" s="20" t="s">
        <v>3711</v>
      </c>
      <c r="P173" s="20" t="s">
        <v>3717</v>
      </c>
      <c r="Q173" s="21">
        <v>80</v>
      </c>
      <c r="R173" s="21">
        <v>92</v>
      </c>
      <c r="S173" s="21">
        <v>7.2</v>
      </c>
      <c r="T173" s="22">
        <v>21.06</v>
      </c>
      <c r="U173" s="13">
        <f t="shared" si="11"/>
        <v>14.02</v>
      </c>
      <c r="V173" s="23">
        <v>2579.85</v>
      </c>
      <c r="W173" s="23">
        <v>2579.85</v>
      </c>
      <c r="X173" s="20" t="s">
        <v>3722</v>
      </c>
      <c r="Y173" s="24" t="s">
        <v>3713</v>
      </c>
      <c r="Z173" s="16">
        <v>2444.85</v>
      </c>
      <c r="AA173" s="17">
        <v>1811</v>
      </c>
      <c r="AB173" s="25" t="s">
        <v>3714</v>
      </c>
    </row>
    <row r="174" spans="1:28" x14ac:dyDescent="0.45">
      <c r="A174" s="4" t="s">
        <v>369</v>
      </c>
      <c r="B174" s="4" t="s">
        <v>370</v>
      </c>
      <c r="C174" s="4" t="s">
        <v>4</v>
      </c>
      <c r="D174" s="4" t="s">
        <v>5</v>
      </c>
      <c r="E174" s="4" t="s">
        <v>256</v>
      </c>
      <c r="F174" s="5">
        <v>84</v>
      </c>
      <c r="G174" s="5">
        <v>95</v>
      </c>
      <c r="H174" s="4" t="s">
        <v>192</v>
      </c>
      <c r="I174" s="10">
        <v>128</v>
      </c>
      <c r="J174" s="34">
        <f t="shared" si="8"/>
        <v>1.1135999999999999</v>
      </c>
      <c r="K174" s="34">
        <f t="shared" si="9"/>
        <v>1.67</v>
      </c>
      <c r="L174" s="34">
        <f t="shared" si="10"/>
        <v>6.68</v>
      </c>
      <c r="M174" s="11" t="s">
        <v>3818</v>
      </c>
      <c r="N174" s="11" t="s">
        <v>3775</v>
      </c>
      <c r="O174" s="11" t="s">
        <v>3711</v>
      </c>
      <c r="P174" s="11" t="s">
        <v>3776</v>
      </c>
      <c r="Q174" s="12">
        <v>85</v>
      </c>
      <c r="R174" s="12">
        <v>95</v>
      </c>
      <c r="S174" s="12">
        <v>7</v>
      </c>
      <c r="T174" s="13">
        <v>29.92</v>
      </c>
      <c r="U174" s="13">
        <f t="shared" si="11"/>
        <v>23.240000000000002</v>
      </c>
      <c r="V174" s="14">
        <v>3665.2</v>
      </c>
      <c r="W174" s="14">
        <v>3665.2</v>
      </c>
      <c r="X174" s="11">
        <v>17</v>
      </c>
      <c r="Y174" s="15" t="s">
        <v>3713</v>
      </c>
      <c r="Z174" s="16">
        <v>3537.2</v>
      </c>
      <c r="AA174" s="17">
        <v>2763.4</v>
      </c>
      <c r="AB174" s="18" t="s">
        <v>3819</v>
      </c>
    </row>
    <row r="175" spans="1:28" x14ac:dyDescent="0.45">
      <c r="A175" s="2" t="s">
        <v>371</v>
      </c>
      <c r="B175" s="2" t="s">
        <v>372</v>
      </c>
      <c r="C175" s="2" t="s">
        <v>4</v>
      </c>
      <c r="D175" s="2" t="s">
        <v>5</v>
      </c>
      <c r="E175" s="2" t="s">
        <v>256</v>
      </c>
      <c r="F175" s="3">
        <v>85</v>
      </c>
      <c r="G175" s="3">
        <v>97</v>
      </c>
      <c r="H175" s="2" t="s">
        <v>64</v>
      </c>
      <c r="I175" s="19">
        <v>141</v>
      </c>
      <c r="J175" s="34">
        <f t="shared" si="8"/>
        <v>1.2266999999999999</v>
      </c>
      <c r="K175" s="34">
        <f t="shared" si="9"/>
        <v>1.84</v>
      </c>
      <c r="L175" s="34">
        <f t="shared" si="10"/>
        <v>7.36</v>
      </c>
      <c r="M175" s="20" t="s">
        <v>3755</v>
      </c>
      <c r="N175" s="20" t="s">
        <v>3731</v>
      </c>
      <c r="O175" s="20" t="s">
        <v>3711</v>
      </c>
      <c r="P175" s="20" t="s">
        <v>3732</v>
      </c>
      <c r="Q175" s="21">
        <v>85</v>
      </c>
      <c r="R175" s="21">
        <v>97</v>
      </c>
      <c r="S175" s="21">
        <v>8</v>
      </c>
      <c r="T175" s="22">
        <v>27.43</v>
      </c>
      <c r="U175" s="13">
        <f t="shared" si="11"/>
        <v>20.07</v>
      </c>
      <c r="V175" s="23">
        <v>3360.18</v>
      </c>
      <c r="W175" s="23">
        <v>3360.18</v>
      </c>
      <c r="X175" s="20">
        <v>5</v>
      </c>
      <c r="Y175" s="24" t="s">
        <v>3713</v>
      </c>
      <c r="Z175" s="16">
        <v>3219.18</v>
      </c>
      <c r="AA175" s="17">
        <v>2283.1</v>
      </c>
      <c r="AB175" s="25" t="s">
        <v>3714</v>
      </c>
    </row>
    <row r="176" spans="1:28" x14ac:dyDescent="0.45">
      <c r="A176" s="4" t="s">
        <v>373</v>
      </c>
      <c r="B176" s="4" t="s">
        <v>374</v>
      </c>
      <c r="C176" s="4" t="s">
        <v>4</v>
      </c>
      <c r="D176" s="4" t="s">
        <v>5</v>
      </c>
      <c r="E176" s="4" t="s">
        <v>256</v>
      </c>
      <c r="F176" s="5">
        <v>90</v>
      </c>
      <c r="G176" s="5">
        <v>105</v>
      </c>
      <c r="H176" s="4" t="s">
        <v>64</v>
      </c>
      <c r="I176" s="10">
        <v>188</v>
      </c>
      <c r="J176" s="34">
        <f t="shared" si="8"/>
        <v>1.6355999999999999</v>
      </c>
      <c r="K176" s="34">
        <f t="shared" si="9"/>
        <v>2.4500000000000002</v>
      </c>
      <c r="L176" s="34">
        <f t="shared" si="10"/>
        <v>9.8000000000000007</v>
      </c>
      <c r="M176" s="11" t="s">
        <v>3820</v>
      </c>
      <c r="N176" s="11" t="s">
        <v>3731</v>
      </c>
      <c r="O176" s="11" t="s">
        <v>3711</v>
      </c>
      <c r="P176" s="11" t="s">
        <v>3732</v>
      </c>
      <c r="Q176" s="12">
        <v>90</v>
      </c>
      <c r="R176" s="12">
        <v>105</v>
      </c>
      <c r="S176" s="12">
        <v>5.0999999999999996</v>
      </c>
      <c r="T176" s="13">
        <v>28.62</v>
      </c>
      <c r="U176" s="13">
        <f t="shared" si="11"/>
        <v>18.82</v>
      </c>
      <c r="V176" s="14">
        <v>3505.95</v>
      </c>
      <c r="W176" s="14">
        <v>3505.95</v>
      </c>
      <c r="X176" s="11">
        <v>12</v>
      </c>
      <c r="Y176" s="15" t="s">
        <v>3713</v>
      </c>
      <c r="Z176" s="16">
        <v>3317.95</v>
      </c>
      <c r="AA176" s="17">
        <v>1764.9</v>
      </c>
      <c r="AB176" s="18" t="s">
        <v>3714</v>
      </c>
    </row>
    <row r="177" spans="1:28" x14ac:dyDescent="0.45">
      <c r="A177" s="2" t="s">
        <v>375</v>
      </c>
      <c r="B177" s="2" t="s">
        <v>5609</v>
      </c>
      <c r="C177" s="2" t="s">
        <v>4</v>
      </c>
      <c r="D177" s="2" t="s">
        <v>5</v>
      </c>
      <c r="E177" s="2" t="s">
        <v>256</v>
      </c>
      <c r="F177" s="3">
        <v>90</v>
      </c>
      <c r="G177" s="3">
        <v>102</v>
      </c>
      <c r="H177" s="2" t="s">
        <v>61</v>
      </c>
      <c r="I177" s="19">
        <v>148</v>
      </c>
      <c r="J177" s="34">
        <f t="shared" si="8"/>
        <v>1.2875999999999999</v>
      </c>
      <c r="K177" s="34">
        <f t="shared" si="9"/>
        <v>1.93</v>
      </c>
      <c r="L177" s="34">
        <f t="shared" si="10"/>
        <v>7.72</v>
      </c>
      <c r="M177" s="20" t="s">
        <v>3756</v>
      </c>
      <c r="N177" s="20" t="s">
        <v>3716</v>
      </c>
      <c r="O177" s="20" t="s">
        <v>3711</v>
      </c>
      <c r="P177" s="20" t="s">
        <v>3717</v>
      </c>
      <c r="Q177" s="21">
        <v>90</v>
      </c>
      <c r="R177" s="21">
        <v>102</v>
      </c>
      <c r="S177" s="21">
        <v>7</v>
      </c>
      <c r="T177" s="22">
        <v>12.47</v>
      </c>
      <c r="U177" s="13">
        <f t="shared" si="11"/>
        <v>4.7500000000000009</v>
      </c>
      <c r="V177" s="23">
        <v>1527.58</v>
      </c>
      <c r="W177" s="23">
        <v>1527.58</v>
      </c>
      <c r="X177" s="20">
        <v>143</v>
      </c>
      <c r="Y177" s="24" t="s">
        <v>3713</v>
      </c>
      <c r="Z177" s="16">
        <v>1379.58</v>
      </c>
      <c r="AA177" s="17">
        <v>932.1</v>
      </c>
      <c r="AB177" s="25" t="s">
        <v>3714</v>
      </c>
    </row>
    <row r="178" spans="1:28" x14ac:dyDescent="0.45">
      <c r="A178" s="4" t="s">
        <v>376</v>
      </c>
      <c r="B178" s="4" t="s">
        <v>377</v>
      </c>
      <c r="C178" s="4" t="s">
        <v>4</v>
      </c>
      <c r="D178" s="4" t="s">
        <v>5</v>
      </c>
      <c r="E178" s="4" t="s">
        <v>256</v>
      </c>
      <c r="F178" s="5">
        <v>95</v>
      </c>
      <c r="G178" s="5">
        <v>107</v>
      </c>
      <c r="H178" s="4" t="s">
        <v>64</v>
      </c>
      <c r="I178" s="10">
        <v>167</v>
      </c>
      <c r="J178" s="34">
        <f t="shared" si="8"/>
        <v>1.4528999999999999</v>
      </c>
      <c r="K178" s="34">
        <f t="shared" si="9"/>
        <v>2.1800000000000002</v>
      </c>
      <c r="L178" s="34">
        <f t="shared" si="10"/>
        <v>8.7200000000000006</v>
      </c>
      <c r="M178" s="11" t="s">
        <v>3757</v>
      </c>
      <c r="N178" s="11" t="s">
        <v>3716</v>
      </c>
      <c r="O178" s="11" t="s">
        <v>3711</v>
      </c>
      <c r="P178" s="11" t="s">
        <v>3717</v>
      </c>
      <c r="Q178" s="12">
        <v>95</v>
      </c>
      <c r="R178" s="12">
        <v>107</v>
      </c>
      <c r="S178" s="12">
        <v>7</v>
      </c>
      <c r="T178" s="13">
        <v>22.9</v>
      </c>
      <c r="U178" s="13">
        <f t="shared" si="11"/>
        <v>14.179999999999998</v>
      </c>
      <c r="V178" s="14">
        <v>2805.25</v>
      </c>
      <c r="W178" s="14">
        <v>2805.25</v>
      </c>
      <c r="X178" s="11">
        <v>31</v>
      </c>
      <c r="Y178" s="15" t="s">
        <v>3713</v>
      </c>
      <c r="Z178" s="16">
        <v>2638.25</v>
      </c>
      <c r="AA178" s="17">
        <v>1579.8</v>
      </c>
      <c r="AB178" s="18" t="s">
        <v>3714</v>
      </c>
    </row>
    <row r="179" spans="1:28" x14ac:dyDescent="0.45">
      <c r="A179" s="2" t="s">
        <v>378</v>
      </c>
      <c r="B179" s="2" t="s">
        <v>379</v>
      </c>
      <c r="C179" s="2" t="s">
        <v>4</v>
      </c>
      <c r="D179" s="2" t="s">
        <v>5</v>
      </c>
      <c r="E179" s="2" t="s">
        <v>256</v>
      </c>
      <c r="F179" s="3">
        <v>100</v>
      </c>
      <c r="G179" s="3">
        <v>112</v>
      </c>
      <c r="H179" s="2" t="s">
        <v>64</v>
      </c>
      <c r="I179" s="19">
        <v>175</v>
      </c>
      <c r="J179" s="34">
        <f t="shared" si="8"/>
        <v>1.5225</v>
      </c>
      <c r="K179" s="34">
        <f t="shared" si="9"/>
        <v>2.2799999999999998</v>
      </c>
      <c r="L179" s="34">
        <f t="shared" si="10"/>
        <v>9.1199999999999992</v>
      </c>
      <c r="M179" s="20" t="s">
        <v>3758</v>
      </c>
      <c r="N179" s="20" t="s">
        <v>3716</v>
      </c>
      <c r="O179" s="20" t="s">
        <v>3711</v>
      </c>
      <c r="P179" s="20" t="s">
        <v>3717</v>
      </c>
      <c r="Q179" s="21">
        <v>100</v>
      </c>
      <c r="R179" s="21">
        <v>112</v>
      </c>
      <c r="S179" s="21">
        <v>7.2</v>
      </c>
      <c r="T179" s="22">
        <v>24.31</v>
      </c>
      <c r="U179" s="13">
        <f t="shared" si="11"/>
        <v>15.19</v>
      </c>
      <c r="V179" s="23">
        <v>2977.98</v>
      </c>
      <c r="W179" s="23">
        <v>2977.98</v>
      </c>
      <c r="X179" s="20">
        <v>131</v>
      </c>
      <c r="Y179" s="24" t="s">
        <v>3713</v>
      </c>
      <c r="Z179" s="16">
        <v>2802.98</v>
      </c>
      <c r="AA179" s="17">
        <v>1601.7</v>
      </c>
      <c r="AB179" s="25" t="s">
        <v>3714</v>
      </c>
    </row>
    <row r="180" spans="1:28" x14ac:dyDescent="0.45">
      <c r="A180" s="4" t="s">
        <v>381</v>
      </c>
      <c r="B180" s="4" t="s">
        <v>382</v>
      </c>
      <c r="C180" s="4" t="s">
        <v>4</v>
      </c>
      <c r="D180" s="4" t="s">
        <v>5</v>
      </c>
      <c r="E180" s="4" t="s">
        <v>256</v>
      </c>
      <c r="F180" s="5">
        <v>110</v>
      </c>
      <c r="G180" s="5">
        <v>122</v>
      </c>
      <c r="H180" s="4" t="s">
        <v>64</v>
      </c>
      <c r="I180" s="10">
        <v>192</v>
      </c>
      <c r="J180" s="34">
        <f t="shared" si="8"/>
        <v>1.6703999999999999</v>
      </c>
      <c r="K180" s="34">
        <f t="shared" si="9"/>
        <v>2.5099999999999998</v>
      </c>
      <c r="L180" s="34">
        <f t="shared" si="10"/>
        <v>10.039999999999999</v>
      </c>
      <c r="M180" s="11" t="s">
        <v>3759</v>
      </c>
      <c r="N180" s="11" t="s">
        <v>3716</v>
      </c>
      <c r="O180" s="11" t="s">
        <v>3711</v>
      </c>
      <c r="P180" s="11" t="s">
        <v>3717</v>
      </c>
      <c r="Q180" s="12">
        <v>110</v>
      </c>
      <c r="R180" s="12">
        <v>122</v>
      </c>
      <c r="S180" s="12">
        <v>7.2</v>
      </c>
      <c r="T180" s="13">
        <v>14.89</v>
      </c>
      <c r="U180" s="13">
        <f t="shared" si="11"/>
        <v>4.8500000000000014</v>
      </c>
      <c r="V180" s="14">
        <v>1824.02</v>
      </c>
      <c r="W180" s="14">
        <v>1824.02</v>
      </c>
      <c r="X180" s="11">
        <v>8</v>
      </c>
      <c r="Y180" s="15" t="s">
        <v>3713</v>
      </c>
      <c r="Z180" s="16">
        <v>1632.02</v>
      </c>
      <c r="AA180" s="17">
        <v>850</v>
      </c>
      <c r="AB180" s="18" t="s">
        <v>3714</v>
      </c>
    </row>
    <row r="181" spans="1:28" x14ac:dyDescent="0.45">
      <c r="A181" s="2" t="s">
        <v>383</v>
      </c>
      <c r="B181" s="2" t="s">
        <v>384</v>
      </c>
      <c r="C181" s="2" t="s">
        <v>4</v>
      </c>
      <c r="D181" s="2" t="s">
        <v>5</v>
      </c>
      <c r="E181" s="2" t="s">
        <v>256</v>
      </c>
      <c r="F181" s="3">
        <v>120</v>
      </c>
      <c r="G181" s="3">
        <v>132</v>
      </c>
      <c r="H181" s="2" t="s">
        <v>64</v>
      </c>
      <c r="I181" s="19">
        <v>200</v>
      </c>
      <c r="J181" s="34">
        <f t="shared" si="8"/>
        <v>1.7399999999999998</v>
      </c>
      <c r="K181" s="34">
        <f t="shared" si="9"/>
        <v>2.61</v>
      </c>
      <c r="L181" s="34">
        <f t="shared" si="10"/>
        <v>10.44</v>
      </c>
      <c r="M181" s="20" t="s">
        <v>3760</v>
      </c>
      <c r="N181" s="20" t="s">
        <v>3716</v>
      </c>
      <c r="O181" s="20" t="s">
        <v>3711</v>
      </c>
      <c r="P181" s="20" t="s">
        <v>3717</v>
      </c>
      <c r="Q181" s="21">
        <v>120</v>
      </c>
      <c r="R181" s="21">
        <v>132</v>
      </c>
      <c r="S181" s="21">
        <v>7</v>
      </c>
      <c r="T181" s="22">
        <v>34.64</v>
      </c>
      <c r="U181" s="13">
        <f t="shared" si="11"/>
        <v>24.200000000000003</v>
      </c>
      <c r="V181" s="23">
        <v>4243.3999999999996</v>
      </c>
      <c r="W181" s="23">
        <v>4243.3999999999996</v>
      </c>
      <c r="X181" s="20">
        <v>47</v>
      </c>
      <c r="Y181" s="24" t="s">
        <v>3713</v>
      </c>
      <c r="Z181" s="16">
        <v>4043.4</v>
      </c>
      <c r="AA181" s="17">
        <v>2021.7</v>
      </c>
      <c r="AB181" s="25" t="s">
        <v>3714</v>
      </c>
    </row>
    <row r="182" spans="1:28" x14ac:dyDescent="0.45">
      <c r="A182" s="4" t="s">
        <v>385</v>
      </c>
      <c r="B182" s="4" t="s">
        <v>386</v>
      </c>
      <c r="C182" s="4" t="s">
        <v>4</v>
      </c>
      <c r="D182" s="4" t="s">
        <v>5</v>
      </c>
      <c r="E182" s="4" t="s">
        <v>256</v>
      </c>
      <c r="F182" s="5">
        <v>120</v>
      </c>
      <c r="G182" s="5">
        <v>135</v>
      </c>
      <c r="H182" s="4" t="s">
        <v>83</v>
      </c>
      <c r="I182" s="10">
        <v>301</v>
      </c>
      <c r="J182" s="34">
        <f t="shared" si="8"/>
        <v>2.6187</v>
      </c>
      <c r="K182" s="34">
        <f t="shared" si="9"/>
        <v>3.93</v>
      </c>
      <c r="L182" s="34">
        <f t="shared" si="10"/>
        <v>15.72</v>
      </c>
      <c r="M182" s="11" t="s">
        <v>3821</v>
      </c>
      <c r="N182" s="11" t="s">
        <v>3716</v>
      </c>
      <c r="O182" s="11" t="s">
        <v>3711</v>
      </c>
      <c r="P182" s="11" t="s">
        <v>3717</v>
      </c>
      <c r="Q182" s="12">
        <v>120</v>
      </c>
      <c r="R182" s="12">
        <v>135</v>
      </c>
      <c r="S182" s="12">
        <v>9.5</v>
      </c>
      <c r="T182" s="13">
        <v>38.33</v>
      </c>
      <c r="U182" s="13">
        <f t="shared" si="11"/>
        <v>22.61</v>
      </c>
      <c r="V182" s="14">
        <v>4695.42</v>
      </c>
      <c r="W182" s="14">
        <v>4695.42</v>
      </c>
      <c r="X182" s="11">
        <v>14</v>
      </c>
      <c r="Y182" s="15" t="s">
        <v>3713</v>
      </c>
      <c r="Z182" s="16">
        <v>4394.42</v>
      </c>
      <c r="AA182" s="17">
        <v>1459.9</v>
      </c>
      <c r="AB182" s="18" t="s">
        <v>3714</v>
      </c>
    </row>
    <row r="183" spans="1:28" x14ac:dyDescent="0.45">
      <c r="A183" s="2" t="s">
        <v>387</v>
      </c>
      <c r="B183" s="2" t="s">
        <v>388</v>
      </c>
      <c r="C183" s="2" t="s">
        <v>4</v>
      </c>
      <c r="D183" s="2" t="s">
        <v>5</v>
      </c>
      <c r="E183" s="2" t="s">
        <v>256</v>
      </c>
      <c r="F183" s="3">
        <v>125</v>
      </c>
      <c r="G183" s="3">
        <v>137</v>
      </c>
      <c r="H183" s="2" t="s">
        <v>64</v>
      </c>
      <c r="I183" s="19">
        <v>242</v>
      </c>
      <c r="J183" s="34">
        <f t="shared" si="8"/>
        <v>2.1053999999999999</v>
      </c>
      <c r="K183" s="34">
        <f t="shared" si="9"/>
        <v>3.16</v>
      </c>
      <c r="L183" s="34">
        <f t="shared" si="10"/>
        <v>12.64</v>
      </c>
      <c r="M183" s="20" t="s">
        <v>3761</v>
      </c>
      <c r="N183" s="20" t="s">
        <v>3716</v>
      </c>
      <c r="O183" s="20" t="s">
        <v>3711</v>
      </c>
      <c r="P183" s="20" t="s">
        <v>3717</v>
      </c>
      <c r="Q183" s="21">
        <v>125</v>
      </c>
      <c r="R183" s="21">
        <v>137</v>
      </c>
      <c r="S183" s="21">
        <v>7.7</v>
      </c>
      <c r="T183" s="22">
        <v>35.78</v>
      </c>
      <c r="U183" s="13">
        <f t="shared" si="11"/>
        <v>23.14</v>
      </c>
      <c r="V183" s="23">
        <v>4383.05</v>
      </c>
      <c r="W183" s="23">
        <v>4383.05</v>
      </c>
      <c r="X183" s="20">
        <v>72</v>
      </c>
      <c r="Y183" s="24" t="s">
        <v>3713</v>
      </c>
      <c r="Z183" s="16">
        <v>4141.05</v>
      </c>
      <c r="AA183" s="17">
        <v>1711.2</v>
      </c>
      <c r="AB183" s="25" t="s">
        <v>3714</v>
      </c>
    </row>
    <row r="184" spans="1:28" x14ac:dyDescent="0.45">
      <c r="A184" s="4" t="s">
        <v>389</v>
      </c>
      <c r="B184" s="4" t="s">
        <v>390</v>
      </c>
      <c r="C184" s="4" t="s">
        <v>4</v>
      </c>
      <c r="D184" s="4" t="s">
        <v>5</v>
      </c>
      <c r="E184" s="4" t="s">
        <v>256</v>
      </c>
      <c r="F184" s="5">
        <v>130</v>
      </c>
      <c r="G184" s="5">
        <v>142</v>
      </c>
      <c r="H184" s="4" t="s">
        <v>64</v>
      </c>
      <c r="I184" s="10">
        <v>259</v>
      </c>
      <c r="J184" s="34">
        <f t="shared" si="8"/>
        <v>2.2532999999999999</v>
      </c>
      <c r="K184" s="34">
        <f t="shared" si="9"/>
        <v>3.38</v>
      </c>
      <c r="L184" s="34">
        <f t="shared" si="10"/>
        <v>13.52</v>
      </c>
      <c r="M184" s="11" t="s">
        <v>3763</v>
      </c>
      <c r="N184" s="11" t="s">
        <v>3716</v>
      </c>
      <c r="O184" s="11" t="s">
        <v>3711</v>
      </c>
      <c r="P184" s="11" t="s">
        <v>3717</v>
      </c>
      <c r="Q184" s="12">
        <v>130</v>
      </c>
      <c r="R184" s="12">
        <v>142</v>
      </c>
      <c r="S184" s="12">
        <v>7.2</v>
      </c>
      <c r="T184" s="13">
        <v>17.97</v>
      </c>
      <c r="U184" s="13">
        <f t="shared" si="11"/>
        <v>4.4499999999999993</v>
      </c>
      <c r="V184" s="14">
        <v>2201.3200000000002</v>
      </c>
      <c r="W184" s="14">
        <v>2201.3200000000002</v>
      </c>
      <c r="X184" s="11">
        <v>26</v>
      </c>
      <c r="Y184" s="15" t="s">
        <v>3713</v>
      </c>
      <c r="Z184" s="16">
        <v>1942.32</v>
      </c>
      <c r="AA184" s="17">
        <v>749.9</v>
      </c>
      <c r="AB184" s="18" t="s">
        <v>3714</v>
      </c>
    </row>
    <row r="185" spans="1:28" x14ac:dyDescent="0.45">
      <c r="A185" s="2" t="s">
        <v>391</v>
      </c>
      <c r="B185" s="2" t="s">
        <v>392</v>
      </c>
      <c r="C185" s="2" t="s">
        <v>4</v>
      </c>
      <c r="D185" s="2" t="s">
        <v>5</v>
      </c>
      <c r="E185" s="2" t="s">
        <v>256</v>
      </c>
      <c r="F185" s="3">
        <v>130</v>
      </c>
      <c r="G185" s="3">
        <v>143</v>
      </c>
      <c r="H185" s="2" t="s">
        <v>159</v>
      </c>
      <c r="I185" s="19">
        <v>276</v>
      </c>
      <c r="J185" s="34">
        <f t="shared" si="8"/>
        <v>2.4011999999999998</v>
      </c>
      <c r="K185" s="34">
        <f t="shared" si="9"/>
        <v>3.6</v>
      </c>
      <c r="L185" s="34">
        <f t="shared" si="10"/>
        <v>14.4</v>
      </c>
      <c r="M185" s="20" t="s">
        <v>3763</v>
      </c>
      <c r="N185" s="20" t="s">
        <v>3716</v>
      </c>
      <c r="O185" s="20" t="s">
        <v>3711</v>
      </c>
      <c r="P185" s="20" t="s">
        <v>3717</v>
      </c>
      <c r="Q185" s="21">
        <v>130</v>
      </c>
      <c r="R185" s="21">
        <v>142</v>
      </c>
      <c r="S185" s="21">
        <v>7.2</v>
      </c>
      <c r="T185" s="22">
        <v>17.97</v>
      </c>
      <c r="U185" s="13">
        <f t="shared" si="11"/>
        <v>3.5699999999999985</v>
      </c>
      <c r="V185" s="23">
        <v>2201.3200000000002</v>
      </c>
      <c r="W185" s="23">
        <v>2201.3200000000002</v>
      </c>
      <c r="X185" s="20">
        <v>26</v>
      </c>
      <c r="Y185" s="24" t="s">
        <v>3713</v>
      </c>
      <c r="Z185" s="16">
        <v>1925.32</v>
      </c>
      <c r="AA185" s="17">
        <v>697.6</v>
      </c>
      <c r="AB185" s="25" t="s">
        <v>3786</v>
      </c>
    </row>
    <row r="186" spans="1:28" x14ac:dyDescent="0.45">
      <c r="A186" s="4" t="s">
        <v>393</v>
      </c>
      <c r="B186" s="4" t="s">
        <v>394</v>
      </c>
      <c r="C186" s="4" t="s">
        <v>4</v>
      </c>
      <c r="D186" s="4" t="s">
        <v>5</v>
      </c>
      <c r="E186" s="4" t="s">
        <v>256</v>
      </c>
      <c r="F186" s="5">
        <v>135</v>
      </c>
      <c r="G186" s="5">
        <v>147</v>
      </c>
      <c r="H186" s="4" t="s">
        <v>64</v>
      </c>
      <c r="I186" s="10">
        <v>268</v>
      </c>
      <c r="J186" s="34">
        <f t="shared" si="8"/>
        <v>2.3315999999999999</v>
      </c>
      <c r="K186" s="34">
        <f t="shared" si="9"/>
        <v>3.5</v>
      </c>
      <c r="L186" s="34">
        <f t="shared" si="10"/>
        <v>14</v>
      </c>
      <c r="M186" s="11" t="s">
        <v>3790</v>
      </c>
      <c r="N186" s="11" t="s">
        <v>3791</v>
      </c>
      <c r="O186" s="11" t="s">
        <v>3711</v>
      </c>
      <c r="P186" s="11" t="s">
        <v>3792</v>
      </c>
      <c r="Q186" s="12">
        <v>135</v>
      </c>
      <c r="R186" s="12">
        <v>147.19999999999999</v>
      </c>
      <c r="S186" s="12">
        <v>7</v>
      </c>
      <c r="T186" s="13">
        <v>13.78</v>
      </c>
      <c r="U186" s="13">
        <f t="shared" si="11"/>
        <v>-0.22000000000000064</v>
      </c>
      <c r="V186" s="14">
        <v>1688.05</v>
      </c>
      <c r="W186" s="14">
        <v>1688.05</v>
      </c>
      <c r="X186" s="11">
        <v>13</v>
      </c>
      <c r="Y186" s="15" t="s">
        <v>3713</v>
      </c>
      <c r="Z186" s="16">
        <v>1420.05</v>
      </c>
      <c r="AA186" s="17">
        <v>529.9</v>
      </c>
      <c r="AB186" s="18" t="s">
        <v>3793</v>
      </c>
    </row>
    <row r="187" spans="1:28" x14ac:dyDescent="0.45">
      <c r="A187" s="2" t="s">
        <v>395</v>
      </c>
      <c r="B187" s="2" t="s">
        <v>396</v>
      </c>
      <c r="C187" s="2" t="s">
        <v>4</v>
      </c>
      <c r="D187" s="2" t="s">
        <v>5</v>
      </c>
      <c r="E187" s="2" t="s">
        <v>256</v>
      </c>
      <c r="F187" s="3">
        <v>140</v>
      </c>
      <c r="G187" s="3">
        <v>152</v>
      </c>
      <c r="H187" s="2" t="s">
        <v>64</v>
      </c>
      <c r="I187" s="19">
        <v>276</v>
      </c>
      <c r="J187" s="34">
        <f t="shared" si="8"/>
        <v>2.4011999999999998</v>
      </c>
      <c r="K187" s="34">
        <f t="shared" si="9"/>
        <v>3.6</v>
      </c>
      <c r="L187" s="34">
        <f t="shared" si="10"/>
        <v>14.4</v>
      </c>
      <c r="M187" s="20" t="s">
        <v>3764</v>
      </c>
      <c r="N187" s="20" t="s">
        <v>3716</v>
      </c>
      <c r="O187" s="20" t="s">
        <v>3711</v>
      </c>
      <c r="P187" s="20" t="s">
        <v>3717</v>
      </c>
      <c r="Q187" s="21">
        <v>140</v>
      </c>
      <c r="R187" s="21">
        <v>152</v>
      </c>
      <c r="S187" s="21">
        <v>7.7</v>
      </c>
      <c r="T187" s="22">
        <v>41.68</v>
      </c>
      <c r="U187" s="13">
        <f t="shared" si="11"/>
        <v>27.28</v>
      </c>
      <c r="V187" s="23">
        <v>5105.8</v>
      </c>
      <c r="W187" s="23">
        <v>5105.8</v>
      </c>
      <c r="X187" s="20">
        <v>5</v>
      </c>
      <c r="Y187" s="24" t="s">
        <v>3713</v>
      </c>
      <c r="Z187" s="16">
        <v>4829.8</v>
      </c>
      <c r="AA187" s="17">
        <v>1749.9</v>
      </c>
      <c r="AB187" s="25" t="s">
        <v>3714</v>
      </c>
    </row>
    <row r="188" spans="1:28" x14ac:dyDescent="0.45">
      <c r="A188" s="4" t="s">
        <v>397</v>
      </c>
      <c r="B188" s="4" t="s">
        <v>398</v>
      </c>
      <c r="C188" s="4" t="s">
        <v>4</v>
      </c>
      <c r="D188" s="4" t="s">
        <v>5</v>
      </c>
      <c r="E188" s="4" t="s">
        <v>256</v>
      </c>
      <c r="F188" s="5">
        <v>140</v>
      </c>
      <c r="G188" s="5">
        <v>153</v>
      </c>
      <c r="H188" s="4" t="s">
        <v>64</v>
      </c>
      <c r="I188" s="10">
        <v>333</v>
      </c>
      <c r="J188" s="34">
        <f t="shared" si="8"/>
        <v>2.8971</v>
      </c>
      <c r="K188" s="34">
        <f t="shared" si="9"/>
        <v>4.3499999999999996</v>
      </c>
      <c r="L188" s="34">
        <f t="shared" si="10"/>
        <v>17.399999999999999</v>
      </c>
      <c r="M188" s="11" t="s">
        <v>3764</v>
      </c>
      <c r="N188" s="11" t="s">
        <v>3716</v>
      </c>
      <c r="O188" s="11" t="s">
        <v>3711</v>
      </c>
      <c r="P188" s="11" t="s">
        <v>3717</v>
      </c>
      <c r="Q188" s="12">
        <v>140</v>
      </c>
      <c r="R188" s="12">
        <v>152</v>
      </c>
      <c r="S188" s="12">
        <v>7.7</v>
      </c>
      <c r="T188" s="13">
        <v>41.68</v>
      </c>
      <c r="U188" s="13">
        <f t="shared" si="11"/>
        <v>24.28</v>
      </c>
      <c r="V188" s="14">
        <v>5105.8</v>
      </c>
      <c r="W188" s="14">
        <v>5105.8</v>
      </c>
      <c r="X188" s="11">
        <v>5</v>
      </c>
      <c r="Y188" s="15" t="s">
        <v>3713</v>
      </c>
      <c r="Z188" s="16">
        <v>4772.8</v>
      </c>
      <c r="AA188" s="17">
        <v>1433.3</v>
      </c>
      <c r="AB188" s="18" t="s">
        <v>3786</v>
      </c>
    </row>
    <row r="189" spans="1:28" x14ac:dyDescent="0.45">
      <c r="A189" s="2" t="s">
        <v>399</v>
      </c>
      <c r="B189" s="2" t="s">
        <v>400</v>
      </c>
      <c r="C189" s="2" t="s">
        <v>4</v>
      </c>
      <c r="D189" s="2" t="s">
        <v>5</v>
      </c>
      <c r="E189" s="2" t="s">
        <v>256</v>
      </c>
      <c r="F189" s="3">
        <v>140</v>
      </c>
      <c r="G189" s="3">
        <v>155</v>
      </c>
      <c r="H189" s="2" t="s">
        <v>83</v>
      </c>
      <c r="I189" s="19">
        <v>468</v>
      </c>
      <c r="J189" s="34">
        <f t="shared" si="8"/>
        <v>4.0716000000000001</v>
      </c>
      <c r="K189" s="34">
        <f t="shared" si="9"/>
        <v>6.11</v>
      </c>
      <c r="L189" s="34">
        <f t="shared" si="10"/>
        <v>24.44</v>
      </c>
      <c r="M189" s="20" t="s">
        <v>3765</v>
      </c>
      <c r="N189" s="20" t="s">
        <v>3719</v>
      </c>
      <c r="O189" s="20" t="s">
        <v>3711</v>
      </c>
      <c r="P189" s="20" t="s">
        <v>3720</v>
      </c>
      <c r="Q189" s="21">
        <v>140</v>
      </c>
      <c r="R189" s="21">
        <v>155</v>
      </c>
      <c r="S189" s="21">
        <v>9.5</v>
      </c>
      <c r="T189" s="22">
        <v>33.6</v>
      </c>
      <c r="U189" s="13">
        <f t="shared" si="11"/>
        <v>9.16</v>
      </c>
      <c r="V189" s="23">
        <v>4116</v>
      </c>
      <c r="W189" s="23">
        <v>4116</v>
      </c>
      <c r="X189" s="20">
        <v>6</v>
      </c>
      <c r="Y189" s="24" t="s">
        <v>3713</v>
      </c>
      <c r="Z189" s="16">
        <v>3648</v>
      </c>
      <c r="AA189" s="17">
        <v>779.5</v>
      </c>
      <c r="AB189" s="25" t="s">
        <v>3714</v>
      </c>
    </row>
    <row r="190" spans="1:28" x14ac:dyDescent="0.45">
      <c r="A190" s="4" t="s">
        <v>401</v>
      </c>
      <c r="B190" s="4" t="s">
        <v>402</v>
      </c>
      <c r="C190" s="4" t="s">
        <v>4</v>
      </c>
      <c r="D190" s="4" t="s">
        <v>5</v>
      </c>
      <c r="E190" s="4" t="s">
        <v>256</v>
      </c>
      <c r="F190" s="5">
        <v>150</v>
      </c>
      <c r="G190" s="5">
        <v>162</v>
      </c>
      <c r="H190" s="4" t="s">
        <v>64</v>
      </c>
      <c r="I190" s="10">
        <v>342</v>
      </c>
      <c r="J190" s="34">
        <f t="shared" si="8"/>
        <v>2.9753999999999996</v>
      </c>
      <c r="K190" s="34">
        <f t="shared" si="9"/>
        <v>4.46</v>
      </c>
      <c r="L190" s="34">
        <f t="shared" si="10"/>
        <v>17.84</v>
      </c>
      <c r="M190" s="11" t="s">
        <v>3766</v>
      </c>
      <c r="N190" s="11" t="s">
        <v>3716</v>
      </c>
      <c r="O190" s="11" t="s">
        <v>3711</v>
      </c>
      <c r="P190" s="11" t="s">
        <v>3717</v>
      </c>
      <c r="Q190" s="12">
        <v>150</v>
      </c>
      <c r="R190" s="12">
        <v>162</v>
      </c>
      <c r="S190" s="12">
        <v>7</v>
      </c>
      <c r="T190" s="13">
        <v>23.02</v>
      </c>
      <c r="U190" s="13">
        <f t="shared" si="11"/>
        <v>5.18</v>
      </c>
      <c r="V190" s="14">
        <v>2819.95</v>
      </c>
      <c r="W190" s="14">
        <v>2819.95</v>
      </c>
      <c r="X190" s="11">
        <v>25</v>
      </c>
      <c r="Y190" s="15" t="s">
        <v>3713</v>
      </c>
      <c r="Z190" s="16">
        <v>2477.9499999999998</v>
      </c>
      <c r="AA190" s="17">
        <v>724.5</v>
      </c>
      <c r="AB190" s="18" t="s">
        <v>3714</v>
      </c>
    </row>
    <row r="191" spans="1:28" x14ac:dyDescent="0.45">
      <c r="A191" s="2" t="s">
        <v>403</v>
      </c>
      <c r="B191" s="2" t="s">
        <v>404</v>
      </c>
      <c r="C191" s="2" t="s">
        <v>4</v>
      </c>
      <c r="D191" s="2" t="s">
        <v>5</v>
      </c>
      <c r="E191" s="2" t="s">
        <v>256</v>
      </c>
      <c r="F191" s="3">
        <v>150</v>
      </c>
      <c r="G191" s="3">
        <v>165</v>
      </c>
      <c r="H191" s="2" t="s">
        <v>83</v>
      </c>
      <c r="I191" s="19">
        <v>500</v>
      </c>
      <c r="J191" s="34">
        <f t="shared" si="8"/>
        <v>4.3499999999999996</v>
      </c>
      <c r="K191" s="34">
        <f t="shared" si="9"/>
        <v>6.53</v>
      </c>
      <c r="L191" s="34">
        <f t="shared" si="10"/>
        <v>26.12</v>
      </c>
      <c r="M191" s="20" t="s">
        <v>3767</v>
      </c>
      <c r="N191" s="20" t="s">
        <v>3716</v>
      </c>
      <c r="O191" s="20" t="s">
        <v>3711</v>
      </c>
      <c r="P191" s="20" t="s">
        <v>3717</v>
      </c>
      <c r="Q191" s="21">
        <v>150</v>
      </c>
      <c r="R191" s="21">
        <v>165</v>
      </c>
      <c r="S191" s="21">
        <v>7.2</v>
      </c>
      <c r="T191" s="22">
        <v>22.46</v>
      </c>
      <c r="U191" s="13">
        <f t="shared" si="11"/>
        <v>-3.66</v>
      </c>
      <c r="V191" s="23">
        <v>2751.35</v>
      </c>
      <c r="W191" s="23">
        <v>2751.35</v>
      </c>
      <c r="X191" s="20" t="s">
        <v>3722</v>
      </c>
      <c r="Y191" s="24" t="s">
        <v>3713</v>
      </c>
      <c r="Z191" s="16">
        <v>2251.35</v>
      </c>
      <c r="AA191" s="17">
        <v>450.3</v>
      </c>
      <c r="AB191" s="25" t="s">
        <v>3714</v>
      </c>
    </row>
    <row r="192" spans="1:28" x14ac:dyDescent="0.45">
      <c r="A192" s="4" t="s">
        <v>405</v>
      </c>
      <c r="B192" s="4" t="s">
        <v>406</v>
      </c>
      <c r="C192" s="4" t="s">
        <v>4</v>
      </c>
      <c r="D192" s="4" t="s">
        <v>5</v>
      </c>
      <c r="E192" s="4" t="s">
        <v>256</v>
      </c>
      <c r="F192" s="5">
        <v>160</v>
      </c>
      <c r="G192" s="5">
        <v>175</v>
      </c>
      <c r="H192" s="4" t="s">
        <v>83</v>
      </c>
      <c r="I192" s="10">
        <v>550</v>
      </c>
      <c r="J192" s="34">
        <f t="shared" si="8"/>
        <v>4.7849999999999993</v>
      </c>
      <c r="K192" s="34">
        <f t="shared" si="9"/>
        <v>7.18</v>
      </c>
      <c r="L192" s="34">
        <f t="shared" si="10"/>
        <v>28.72</v>
      </c>
      <c r="M192" s="11" t="s">
        <v>3768</v>
      </c>
      <c r="N192" s="11" t="s">
        <v>3716</v>
      </c>
      <c r="O192" s="11" t="s">
        <v>3711</v>
      </c>
      <c r="P192" s="11" t="s">
        <v>3717</v>
      </c>
      <c r="Q192" s="12">
        <v>160</v>
      </c>
      <c r="R192" s="12">
        <v>175</v>
      </c>
      <c r="S192" s="12">
        <v>9.5</v>
      </c>
      <c r="T192" s="13">
        <v>24.53</v>
      </c>
      <c r="U192" s="13">
        <f t="shared" si="11"/>
        <v>-4.1899999999999977</v>
      </c>
      <c r="V192" s="14">
        <v>3004.92</v>
      </c>
      <c r="W192" s="14">
        <v>3004.92</v>
      </c>
      <c r="X192" s="11">
        <v>154</v>
      </c>
      <c r="Y192" s="15" t="s">
        <v>3713</v>
      </c>
      <c r="Z192" s="16">
        <v>2454.92</v>
      </c>
      <c r="AA192" s="17">
        <v>446.3</v>
      </c>
      <c r="AB192" s="18" t="s">
        <v>3714</v>
      </c>
    </row>
    <row r="193" spans="1:28" x14ac:dyDescent="0.45">
      <c r="A193" s="2" t="s">
        <v>407</v>
      </c>
      <c r="B193" s="2" t="s">
        <v>408</v>
      </c>
      <c r="C193" s="2" t="s">
        <v>4</v>
      </c>
      <c r="D193" s="2" t="s">
        <v>5</v>
      </c>
      <c r="E193" s="2" t="s">
        <v>256</v>
      </c>
      <c r="F193" s="3">
        <v>170</v>
      </c>
      <c r="G193" s="3">
        <v>182</v>
      </c>
      <c r="H193" s="2" t="s">
        <v>64</v>
      </c>
      <c r="I193" s="19">
        <v>426</v>
      </c>
      <c r="J193" s="34">
        <f t="shared" si="8"/>
        <v>3.7061999999999999</v>
      </c>
      <c r="K193" s="34">
        <f t="shared" si="9"/>
        <v>5.56</v>
      </c>
      <c r="L193" s="34">
        <f t="shared" si="10"/>
        <v>22.24</v>
      </c>
      <c r="M193" s="20" t="s">
        <v>3794</v>
      </c>
      <c r="N193" s="20" t="s">
        <v>3716</v>
      </c>
      <c r="O193" s="20" t="s">
        <v>3711</v>
      </c>
      <c r="P193" s="20" t="s">
        <v>3717</v>
      </c>
      <c r="Q193" s="21">
        <v>170</v>
      </c>
      <c r="R193" s="21">
        <v>182</v>
      </c>
      <c r="S193" s="21">
        <v>7.5</v>
      </c>
      <c r="T193" s="22">
        <v>26.98</v>
      </c>
      <c r="U193" s="13">
        <f t="shared" si="11"/>
        <v>4.740000000000002</v>
      </c>
      <c r="V193" s="23">
        <v>3305.05</v>
      </c>
      <c r="W193" s="23">
        <v>3305.05</v>
      </c>
      <c r="X193" s="20">
        <v>41</v>
      </c>
      <c r="Y193" s="24" t="s">
        <v>3713</v>
      </c>
      <c r="Z193" s="16">
        <v>2879.05</v>
      </c>
      <c r="AA193" s="17">
        <v>675.8</v>
      </c>
      <c r="AB193" s="25" t="s">
        <v>3714</v>
      </c>
    </row>
    <row r="194" spans="1:28" x14ac:dyDescent="0.45">
      <c r="A194" s="4" t="s">
        <v>409</v>
      </c>
      <c r="B194" s="4" t="s">
        <v>410</v>
      </c>
      <c r="C194" s="4" t="s">
        <v>4</v>
      </c>
      <c r="D194" s="4" t="s">
        <v>5</v>
      </c>
      <c r="E194" s="4" t="s">
        <v>256</v>
      </c>
      <c r="F194" s="5">
        <v>170</v>
      </c>
      <c r="G194" s="5">
        <v>185</v>
      </c>
      <c r="H194" s="4" t="s">
        <v>83</v>
      </c>
      <c r="I194" s="10">
        <v>601</v>
      </c>
      <c r="J194" s="34">
        <f t="shared" si="8"/>
        <v>5.2286999999999999</v>
      </c>
      <c r="K194" s="34">
        <f t="shared" si="9"/>
        <v>7.84</v>
      </c>
      <c r="L194" s="34">
        <f t="shared" si="10"/>
        <v>31.36</v>
      </c>
      <c r="M194" s="11" t="s">
        <v>3822</v>
      </c>
      <c r="N194" s="11" t="s">
        <v>3716</v>
      </c>
      <c r="O194" s="11" t="s">
        <v>3711</v>
      </c>
      <c r="P194" s="11" t="s">
        <v>3717</v>
      </c>
      <c r="Q194" s="12">
        <v>170</v>
      </c>
      <c r="R194" s="12">
        <v>185</v>
      </c>
      <c r="S194" s="12">
        <v>9.5</v>
      </c>
      <c r="T194" s="13">
        <v>26.33</v>
      </c>
      <c r="U194" s="13">
        <f t="shared" si="11"/>
        <v>-5.0300000000000011</v>
      </c>
      <c r="V194" s="14">
        <v>3225.42</v>
      </c>
      <c r="W194" s="14">
        <v>3225.42</v>
      </c>
      <c r="X194" s="11">
        <v>23</v>
      </c>
      <c r="Y194" s="15" t="s">
        <v>3713</v>
      </c>
      <c r="Z194" s="16">
        <v>2624.42</v>
      </c>
      <c r="AA194" s="17">
        <v>436.7</v>
      </c>
      <c r="AB194" s="18" t="s">
        <v>3714</v>
      </c>
    </row>
    <row r="195" spans="1:28" x14ac:dyDescent="0.45">
      <c r="A195" s="2" t="s">
        <v>411</v>
      </c>
      <c r="B195" s="2" t="s">
        <v>412</v>
      </c>
      <c r="C195" s="2" t="s">
        <v>4</v>
      </c>
      <c r="D195" s="2" t="s">
        <v>5</v>
      </c>
      <c r="E195" s="2" t="s">
        <v>256</v>
      </c>
      <c r="F195" s="3">
        <v>200</v>
      </c>
      <c r="G195" s="3">
        <v>220</v>
      </c>
      <c r="H195" s="2" t="s">
        <v>413</v>
      </c>
      <c r="I195" s="19">
        <v>892</v>
      </c>
      <c r="J195" s="34">
        <f t="shared" si="8"/>
        <v>7.7603999999999997</v>
      </c>
      <c r="K195" s="34">
        <f t="shared" si="9"/>
        <v>11.64</v>
      </c>
      <c r="L195" s="34">
        <f t="shared" si="10"/>
        <v>46.56</v>
      </c>
      <c r="M195" s="20" t="s">
        <v>3797</v>
      </c>
      <c r="N195" s="20" t="s">
        <v>3716</v>
      </c>
      <c r="O195" s="20" t="s">
        <v>3711</v>
      </c>
      <c r="P195" s="20" t="s">
        <v>3717</v>
      </c>
      <c r="Q195" s="21">
        <v>200</v>
      </c>
      <c r="R195" s="21">
        <v>220</v>
      </c>
      <c r="S195" s="21">
        <v>10</v>
      </c>
      <c r="T195" s="22">
        <v>35.64</v>
      </c>
      <c r="U195" s="13">
        <f t="shared" si="11"/>
        <v>-10.920000000000002</v>
      </c>
      <c r="V195" s="23">
        <v>4365.8999999999996</v>
      </c>
      <c r="W195" s="23">
        <v>4365.8999999999996</v>
      </c>
      <c r="X195" s="20">
        <v>33</v>
      </c>
      <c r="Y195" s="24" t="s">
        <v>3713</v>
      </c>
      <c r="Z195" s="16">
        <v>3473.9</v>
      </c>
      <c r="AA195" s="17">
        <v>389.5</v>
      </c>
      <c r="AB195" s="25" t="s">
        <v>3714</v>
      </c>
    </row>
    <row r="196" spans="1:28" x14ac:dyDescent="0.45">
      <c r="A196" s="4" t="s">
        <v>422</v>
      </c>
      <c r="B196" s="4" t="s">
        <v>423</v>
      </c>
      <c r="C196" s="4" t="s">
        <v>4</v>
      </c>
      <c r="D196" s="4" t="s">
        <v>424</v>
      </c>
      <c r="E196" s="4" t="s">
        <v>96</v>
      </c>
      <c r="F196" s="5">
        <v>18</v>
      </c>
      <c r="G196" s="5">
        <v>28</v>
      </c>
      <c r="H196" s="4" t="s">
        <v>159</v>
      </c>
      <c r="I196" s="10">
        <v>59</v>
      </c>
      <c r="J196" s="34">
        <f t="shared" si="8"/>
        <v>0.51329999999999998</v>
      </c>
      <c r="K196" s="34">
        <f t="shared" si="9"/>
        <v>0.77</v>
      </c>
      <c r="L196" s="34">
        <f t="shared" si="10"/>
        <v>3.08</v>
      </c>
      <c r="M196" s="11" t="s">
        <v>3774</v>
      </c>
      <c r="N196" s="11" t="s">
        <v>3775</v>
      </c>
      <c r="O196" s="11" t="s">
        <v>3711</v>
      </c>
      <c r="P196" s="11" t="s">
        <v>3776</v>
      </c>
      <c r="Q196" s="12">
        <v>18</v>
      </c>
      <c r="R196" s="12">
        <v>28</v>
      </c>
      <c r="S196" s="12">
        <v>7</v>
      </c>
      <c r="T196" s="13">
        <v>4.32</v>
      </c>
      <c r="U196" s="13">
        <f t="shared" si="11"/>
        <v>1.2400000000000002</v>
      </c>
      <c r="V196" s="14">
        <v>529.20000000000005</v>
      </c>
      <c r="W196" s="14">
        <v>529.20000000000005</v>
      </c>
      <c r="X196" s="11">
        <v>3</v>
      </c>
      <c r="Y196" s="15" t="s">
        <v>3713</v>
      </c>
      <c r="Z196" s="16">
        <v>470.2</v>
      </c>
      <c r="AA196" s="17">
        <v>796.9</v>
      </c>
      <c r="AB196" s="18" t="s">
        <v>3714</v>
      </c>
    </row>
    <row r="197" spans="1:28" x14ac:dyDescent="0.45">
      <c r="A197" s="2" t="s">
        <v>425</v>
      </c>
      <c r="B197" s="2" t="s">
        <v>426</v>
      </c>
      <c r="C197" s="2" t="s">
        <v>4</v>
      </c>
      <c r="D197" s="2" t="s">
        <v>424</v>
      </c>
      <c r="E197" s="2" t="s">
        <v>96</v>
      </c>
      <c r="F197" s="3">
        <v>110</v>
      </c>
      <c r="G197" s="3">
        <v>120</v>
      </c>
      <c r="H197" s="2" t="s">
        <v>159</v>
      </c>
      <c r="I197" s="19">
        <v>175</v>
      </c>
      <c r="J197" s="34">
        <f t="shared" ref="J197:J260" si="12">I197*0.0087</f>
        <v>1.5225</v>
      </c>
      <c r="K197" s="34">
        <f t="shared" ref="K197:K260" si="13">ROUND(J197*1.5,2)</f>
        <v>2.2799999999999998</v>
      </c>
      <c r="L197" s="34">
        <f t="shared" ref="L197:L260" si="14">K197*4</f>
        <v>9.1199999999999992</v>
      </c>
      <c r="M197" s="20" t="s">
        <v>3823</v>
      </c>
      <c r="N197" s="20" t="s">
        <v>3775</v>
      </c>
      <c r="O197" s="20" t="s">
        <v>3711</v>
      </c>
      <c r="P197" s="20" t="s">
        <v>3776</v>
      </c>
      <c r="Q197" s="21">
        <v>110</v>
      </c>
      <c r="R197" s="21">
        <v>120</v>
      </c>
      <c r="S197" s="21">
        <v>7</v>
      </c>
      <c r="T197" s="22">
        <v>33.67</v>
      </c>
      <c r="U197" s="13">
        <f t="shared" ref="U197:U260" si="15">T197-L197</f>
        <v>24.550000000000004</v>
      </c>
      <c r="V197" s="23">
        <v>4124.58</v>
      </c>
      <c r="W197" s="23">
        <v>4124.58</v>
      </c>
      <c r="X197" s="20">
        <v>24</v>
      </c>
      <c r="Y197" s="24" t="s">
        <v>3713</v>
      </c>
      <c r="Z197" s="16">
        <v>3949.58</v>
      </c>
      <c r="AA197" s="17">
        <v>2256.9</v>
      </c>
      <c r="AB197" s="25" t="s">
        <v>3714</v>
      </c>
    </row>
    <row r="198" spans="1:28" x14ac:dyDescent="0.45">
      <c r="A198" s="4" t="s">
        <v>427</v>
      </c>
      <c r="B198" s="4" t="s">
        <v>428</v>
      </c>
      <c r="C198" s="4" t="s">
        <v>4</v>
      </c>
      <c r="D198" s="4" t="s">
        <v>424</v>
      </c>
      <c r="E198" s="4" t="s">
        <v>96</v>
      </c>
      <c r="F198" s="5">
        <v>140</v>
      </c>
      <c r="G198" s="5">
        <v>155</v>
      </c>
      <c r="H198" s="4" t="s">
        <v>429</v>
      </c>
      <c r="I198" s="10">
        <v>350</v>
      </c>
      <c r="J198" s="34">
        <f t="shared" si="12"/>
        <v>3.0449999999999999</v>
      </c>
      <c r="K198" s="34">
        <f t="shared" si="13"/>
        <v>4.57</v>
      </c>
      <c r="L198" s="34">
        <f t="shared" si="14"/>
        <v>18.28</v>
      </c>
      <c r="M198" s="11" t="s">
        <v>3765</v>
      </c>
      <c r="N198" s="11" t="s">
        <v>3719</v>
      </c>
      <c r="O198" s="11" t="s">
        <v>3711</v>
      </c>
      <c r="P198" s="11" t="s">
        <v>3720</v>
      </c>
      <c r="Q198" s="12">
        <v>140</v>
      </c>
      <c r="R198" s="12">
        <v>155</v>
      </c>
      <c r="S198" s="12">
        <v>9.5</v>
      </c>
      <c r="T198" s="13">
        <v>33.6</v>
      </c>
      <c r="U198" s="13">
        <f t="shared" si="15"/>
        <v>15.32</v>
      </c>
      <c r="V198" s="14">
        <v>4116</v>
      </c>
      <c r="W198" s="14">
        <v>4116</v>
      </c>
      <c r="X198" s="11">
        <v>6</v>
      </c>
      <c r="Y198" s="15" t="s">
        <v>3713</v>
      </c>
      <c r="Z198" s="16">
        <v>3766</v>
      </c>
      <c r="AA198" s="17">
        <v>1076</v>
      </c>
      <c r="AB198" s="18" t="s">
        <v>3714</v>
      </c>
    </row>
    <row r="199" spans="1:28" x14ac:dyDescent="0.45">
      <c r="A199" s="2" t="s">
        <v>430</v>
      </c>
      <c r="B199" s="2" t="s">
        <v>431</v>
      </c>
      <c r="C199" s="2" t="s">
        <v>4</v>
      </c>
      <c r="D199" s="2" t="s">
        <v>424</v>
      </c>
      <c r="E199" s="2" t="s">
        <v>96</v>
      </c>
      <c r="F199" s="3">
        <v>150</v>
      </c>
      <c r="G199" s="3">
        <v>165</v>
      </c>
      <c r="H199" s="2" t="s">
        <v>429</v>
      </c>
      <c r="I199" s="19">
        <v>384</v>
      </c>
      <c r="J199" s="34">
        <f t="shared" si="12"/>
        <v>3.3407999999999998</v>
      </c>
      <c r="K199" s="34">
        <f t="shared" si="13"/>
        <v>5.01</v>
      </c>
      <c r="L199" s="34">
        <f t="shared" si="14"/>
        <v>20.04</v>
      </c>
      <c r="M199" s="20" t="s">
        <v>3767</v>
      </c>
      <c r="N199" s="20" t="s">
        <v>3716</v>
      </c>
      <c r="O199" s="20" t="s">
        <v>3711</v>
      </c>
      <c r="P199" s="20" t="s">
        <v>3717</v>
      </c>
      <c r="Q199" s="21">
        <v>150</v>
      </c>
      <c r="R199" s="21">
        <v>165</v>
      </c>
      <c r="S199" s="21">
        <v>7.2</v>
      </c>
      <c r="T199" s="22">
        <v>22.46</v>
      </c>
      <c r="U199" s="13">
        <f t="shared" si="15"/>
        <v>2.4200000000000017</v>
      </c>
      <c r="V199" s="23">
        <v>2751.35</v>
      </c>
      <c r="W199" s="23">
        <v>2751.35</v>
      </c>
      <c r="X199" s="20" t="s">
        <v>3722</v>
      </c>
      <c r="Y199" s="24" t="s">
        <v>3713</v>
      </c>
      <c r="Z199" s="16">
        <v>2367.35</v>
      </c>
      <c r="AA199" s="17">
        <v>616.5</v>
      </c>
      <c r="AB199" s="25" t="s">
        <v>3714</v>
      </c>
    </row>
    <row r="200" spans="1:28" x14ac:dyDescent="0.45">
      <c r="A200" s="4" t="s">
        <v>432</v>
      </c>
      <c r="B200" s="4" t="s">
        <v>433</v>
      </c>
      <c r="C200" s="4" t="s">
        <v>4</v>
      </c>
      <c r="D200" s="4" t="s">
        <v>424</v>
      </c>
      <c r="E200" s="4" t="s">
        <v>96</v>
      </c>
      <c r="F200" s="5">
        <v>160</v>
      </c>
      <c r="G200" s="5">
        <v>175</v>
      </c>
      <c r="H200" s="4" t="s">
        <v>429</v>
      </c>
      <c r="I200" s="10">
        <v>454</v>
      </c>
      <c r="J200" s="34">
        <f t="shared" si="12"/>
        <v>3.9497999999999998</v>
      </c>
      <c r="K200" s="34">
        <f t="shared" si="13"/>
        <v>5.92</v>
      </c>
      <c r="L200" s="34">
        <f t="shared" si="14"/>
        <v>23.68</v>
      </c>
      <c r="M200" s="11" t="s">
        <v>3768</v>
      </c>
      <c r="N200" s="11" t="s">
        <v>3716</v>
      </c>
      <c r="O200" s="11" t="s">
        <v>3711</v>
      </c>
      <c r="P200" s="11" t="s">
        <v>3717</v>
      </c>
      <c r="Q200" s="12">
        <v>160</v>
      </c>
      <c r="R200" s="12">
        <v>175</v>
      </c>
      <c r="S200" s="12">
        <v>9.5</v>
      </c>
      <c r="T200" s="13">
        <v>24.53</v>
      </c>
      <c r="U200" s="13">
        <f t="shared" si="15"/>
        <v>0.85000000000000142</v>
      </c>
      <c r="V200" s="14">
        <v>3004.92</v>
      </c>
      <c r="W200" s="14">
        <v>3004.92</v>
      </c>
      <c r="X200" s="11">
        <v>154</v>
      </c>
      <c r="Y200" s="15" t="s">
        <v>3713</v>
      </c>
      <c r="Z200" s="16">
        <v>2550.92</v>
      </c>
      <c r="AA200" s="17">
        <v>561.9</v>
      </c>
      <c r="AB200" s="18" t="s">
        <v>3714</v>
      </c>
    </row>
    <row r="201" spans="1:28" x14ac:dyDescent="0.45">
      <c r="A201" s="2" t="s">
        <v>434</v>
      </c>
      <c r="B201" s="2" t="s">
        <v>435</v>
      </c>
      <c r="C201" s="2" t="s">
        <v>4</v>
      </c>
      <c r="D201" s="2" t="s">
        <v>424</v>
      </c>
      <c r="E201" s="2" t="s">
        <v>96</v>
      </c>
      <c r="F201" s="3">
        <v>170</v>
      </c>
      <c r="G201" s="3">
        <v>185</v>
      </c>
      <c r="H201" s="2" t="s">
        <v>436</v>
      </c>
      <c r="I201" s="19">
        <v>545</v>
      </c>
      <c r="J201" s="34">
        <f t="shared" si="12"/>
        <v>4.7414999999999994</v>
      </c>
      <c r="K201" s="34">
        <f t="shared" si="13"/>
        <v>7.11</v>
      </c>
      <c r="L201" s="34">
        <f t="shared" si="14"/>
        <v>28.44</v>
      </c>
      <c r="M201" s="20" t="s">
        <v>3822</v>
      </c>
      <c r="N201" s="20" t="s">
        <v>3716</v>
      </c>
      <c r="O201" s="20" t="s">
        <v>3711</v>
      </c>
      <c r="P201" s="20" t="s">
        <v>3717</v>
      </c>
      <c r="Q201" s="21">
        <v>170</v>
      </c>
      <c r="R201" s="21">
        <v>185</v>
      </c>
      <c r="S201" s="21">
        <v>9.5</v>
      </c>
      <c r="T201" s="22">
        <v>26.33</v>
      </c>
      <c r="U201" s="13">
        <f t="shared" si="15"/>
        <v>-2.110000000000003</v>
      </c>
      <c r="V201" s="23">
        <v>3225.42</v>
      </c>
      <c r="W201" s="23">
        <v>3225.42</v>
      </c>
      <c r="X201" s="20">
        <v>23</v>
      </c>
      <c r="Y201" s="24" t="s">
        <v>3713</v>
      </c>
      <c r="Z201" s="16">
        <v>2680.42</v>
      </c>
      <c r="AA201" s="17">
        <v>491.8</v>
      </c>
      <c r="AB201" s="25" t="s">
        <v>3714</v>
      </c>
    </row>
    <row r="202" spans="1:28" x14ac:dyDescent="0.45">
      <c r="A202" s="4" t="s">
        <v>437</v>
      </c>
      <c r="B202" s="4" t="s">
        <v>438</v>
      </c>
      <c r="C202" s="4" t="s">
        <v>4</v>
      </c>
      <c r="D202" s="4" t="s">
        <v>424</v>
      </c>
      <c r="E202" s="4" t="s">
        <v>96</v>
      </c>
      <c r="F202" s="5">
        <v>180</v>
      </c>
      <c r="G202" s="5">
        <v>195</v>
      </c>
      <c r="H202" s="4" t="s">
        <v>436</v>
      </c>
      <c r="I202" s="10">
        <v>636</v>
      </c>
      <c r="J202" s="34">
        <f t="shared" si="12"/>
        <v>5.5331999999999999</v>
      </c>
      <c r="K202" s="34">
        <f t="shared" si="13"/>
        <v>8.3000000000000007</v>
      </c>
      <c r="L202" s="34">
        <f t="shared" si="14"/>
        <v>33.200000000000003</v>
      </c>
      <c r="M202" s="11" t="s">
        <v>3824</v>
      </c>
      <c r="N202" s="11" t="s">
        <v>3716</v>
      </c>
      <c r="O202" s="11" t="s">
        <v>3711</v>
      </c>
      <c r="P202" s="11" t="s">
        <v>3717</v>
      </c>
      <c r="Q202" s="12">
        <v>180</v>
      </c>
      <c r="R202" s="12">
        <v>195</v>
      </c>
      <c r="S202" s="12">
        <v>9.5</v>
      </c>
      <c r="T202" s="13">
        <v>27.6</v>
      </c>
      <c r="U202" s="13">
        <f t="shared" si="15"/>
        <v>-5.6000000000000014</v>
      </c>
      <c r="V202" s="14">
        <v>3381</v>
      </c>
      <c r="W202" s="14">
        <v>3381</v>
      </c>
      <c r="X202" s="11">
        <v>107</v>
      </c>
      <c r="Y202" s="15" t="s">
        <v>3713</v>
      </c>
      <c r="Z202" s="16">
        <v>2745</v>
      </c>
      <c r="AA202" s="17">
        <v>431.6</v>
      </c>
      <c r="AB202" s="18" t="s">
        <v>3714</v>
      </c>
    </row>
    <row r="203" spans="1:28" x14ac:dyDescent="0.45">
      <c r="A203" s="2" t="s">
        <v>439</v>
      </c>
      <c r="B203" s="2" t="s">
        <v>440</v>
      </c>
      <c r="C203" s="2" t="s">
        <v>4</v>
      </c>
      <c r="D203" s="2" t="s">
        <v>424</v>
      </c>
      <c r="E203" s="2" t="s">
        <v>96</v>
      </c>
      <c r="F203" s="3">
        <v>200</v>
      </c>
      <c r="G203" s="3">
        <v>220</v>
      </c>
      <c r="H203" s="2" t="s">
        <v>441</v>
      </c>
      <c r="I203" s="19">
        <v>818</v>
      </c>
      <c r="J203" s="34">
        <f t="shared" si="12"/>
        <v>7.1165999999999991</v>
      </c>
      <c r="K203" s="34">
        <f t="shared" si="13"/>
        <v>10.67</v>
      </c>
      <c r="L203" s="34">
        <f t="shared" si="14"/>
        <v>42.68</v>
      </c>
      <c r="M203" s="20" t="s">
        <v>3797</v>
      </c>
      <c r="N203" s="20" t="s">
        <v>3716</v>
      </c>
      <c r="O203" s="20" t="s">
        <v>3711</v>
      </c>
      <c r="P203" s="20" t="s">
        <v>3717</v>
      </c>
      <c r="Q203" s="21">
        <v>200</v>
      </c>
      <c r="R203" s="21">
        <v>220</v>
      </c>
      <c r="S203" s="21">
        <v>10</v>
      </c>
      <c r="T203" s="22">
        <v>35.64</v>
      </c>
      <c r="U203" s="13">
        <f t="shared" si="15"/>
        <v>-7.0399999999999991</v>
      </c>
      <c r="V203" s="23">
        <v>4365.8999999999996</v>
      </c>
      <c r="W203" s="23">
        <v>4365.8999999999996</v>
      </c>
      <c r="X203" s="20">
        <v>33</v>
      </c>
      <c r="Y203" s="24" t="s">
        <v>3713</v>
      </c>
      <c r="Z203" s="16">
        <v>3547.9</v>
      </c>
      <c r="AA203" s="17">
        <v>433.7</v>
      </c>
      <c r="AB203" s="25" t="s">
        <v>3714</v>
      </c>
    </row>
    <row r="204" spans="1:28" x14ac:dyDescent="0.45">
      <c r="A204" s="4" t="s">
        <v>442</v>
      </c>
      <c r="B204" s="4" t="s">
        <v>443</v>
      </c>
      <c r="C204" s="4" t="s">
        <v>4</v>
      </c>
      <c r="D204" s="4" t="s">
        <v>424</v>
      </c>
      <c r="E204" s="4" t="s">
        <v>96</v>
      </c>
      <c r="F204" s="5">
        <v>240</v>
      </c>
      <c r="G204" s="5">
        <v>260</v>
      </c>
      <c r="H204" s="4" t="s">
        <v>441</v>
      </c>
      <c r="I204" s="10">
        <v>1000</v>
      </c>
      <c r="J204" s="34">
        <f t="shared" si="12"/>
        <v>8.6999999999999993</v>
      </c>
      <c r="K204" s="34">
        <f t="shared" si="13"/>
        <v>13.05</v>
      </c>
      <c r="L204" s="34">
        <f t="shared" si="14"/>
        <v>52.2</v>
      </c>
      <c r="M204" s="11" t="s">
        <v>3800</v>
      </c>
      <c r="N204" s="11" t="s">
        <v>3716</v>
      </c>
      <c r="O204" s="11" t="s">
        <v>3711</v>
      </c>
      <c r="P204" s="11" t="s">
        <v>3717</v>
      </c>
      <c r="Q204" s="12">
        <v>240</v>
      </c>
      <c r="R204" s="12">
        <v>260</v>
      </c>
      <c r="S204" s="12">
        <v>10.199999999999999</v>
      </c>
      <c r="T204" s="13">
        <v>90.07</v>
      </c>
      <c r="U204" s="13">
        <f t="shared" si="15"/>
        <v>37.86999999999999</v>
      </c>
      <c r="V204" s="14">
        <v>11033.58</v>
      </c>
      <c r="W204" s="14">
        <v>11033.58</v>
      </c>
      <c r="X204" s="11">
        <v>19</v>
      </c>
      <c r="Y204" s="15" t="s">
        <v>3713</v>
      </c>
      <c r="Z204" s="16">
        <v>10033.58</v>
      </c>
      <c r="AA204" s="17">
        <v>1003.4</v>
      </c>
      <c r="AB204" s="18" t="s">
        <v>3714</v>
      </c>
    </row>
    <row r="205" spans="1:28" x14ac:dyDescent="0.45">
      <c r="A205" s="2" t="s">
        <v>444</v>
      </c>
      <c r="B205" s="2" t="s">
        <v>445</v>
      </c>
      <c r="C205" s="2" t="s">
        <v>4</v>
      </c>
      <c r="D205" s="2" t="s">
        <v>424</v>
      </c>
      <c r="E205" s="2" t="s">
        <v>256</v>
      </c>
      <c r="F205" s="3">
        <v>20</v>
      </c>
      <c r="G205" s="3">
        <v>28</v>
      </c>
      <c r="H205" s="2" t="s">
        <v>192</v>
      </c>
      <c r="I205" s="19">
        <v>59</v>
      </c>
      <c r="J205" s="34">
        <f t="shared" si="12"/>
        <v>0.51329999999999998</v>
      </c>
      <c r="K205" s="34">
        <f t="shared" si="13"/>
        <v>0.77</v>
      </c>
      <c r="L205" s="34">
        <f t="shared" si="14"/>
        <v>3.08</v>
      </c>
      <c r="M205" s="20" t="s">
        <v>3721</v>
      </c>
      <c r="N205" s="20" t="s">
        <v>3719</v>
      </c>
      <c r="O205" s="20" t="s">
        <v>3711</v>
      </c>
      <c r="P205" s="20" t="s">
        <v>3720</v>
      </c>
      <c r="Q205" s="21">
        <v>20</v>
      </c>
      <c r="R205" s="21">
        <v>28</v>
      </c>
      <c r="S205" s="21">
        <v>4</v>
      </c>
      <c r="T205" s="22">
        <v>11.74</v>
      </c>
      <c r="U205" s="13">
        <f t="shared" si="15"/>
        <v>8.66</v>
      </c>
      <c r="V205" s="23">
        <v>1438.15</v>
      </c>
      <c r="W205" s="23">
        <v>1438.15</v>
      </c>
      <c r="X205" s="20" t="s">
        <v>3722</v>
      </c>
      <c r="Y205" s="24" t="s">
        <v>3713</v>
      </c>
      <c r="Z205" s="16">
        <v>1379.15</v>
      </c>
      <c r="AA205" s="17">
        <v>2337.5</v>
      </c>
      <c r="AB205" s="25" t="s">
        <v>3714</v>
      </c>
    </row>
    <row r="206" spans="1:28" x14ac:dyDescent="0.45">
      <c r="A206" s="4" t="s">
        <v>446</v>
      </c>
      <c r="B206" s="4" t="s">
        <v>447</v>
      </c>
      <c r="C206" s="4" t="s">
        <v>4</v>
      </c>
      <c r="D206" s="4" t="s">
        <v>424</v>
      </c>
      <c r="E206" s="4" t="s">
        <v>256</v>
      </c>
      <c r="F206" s="5">
        <v>20</v>
      </c>
      <c r="G206" s="5">
        <v>30</v>
      </c>
      <c r="H206" s="4" t="s">
        <v>159</v>
      </c>
      <c r="I206" s="10">
        <v>59</v>
      </c>
      <c r="J206" s="34">
        <f t="shared" si="12"/>
        <v>0.51329999999999998</v>
      </c>
      <c r="K206" s="34">
        <f t="shared" si="13"/>
        <v>0.77</v>
      </c>
      <c r="L206" s="34">
        <f t="shared" si="14"/>
        <v>3.08</v>
      </c>
      <c r="M206" s="11" t="s">
        <v>3825</v>
      </c>
      <c r="N206" s="11" t="s">
        <v>3775</v>
      </c>
      <c r="O206" s="11" t="s">
        <v>3711</v>
      </c>
      <c r="P206" s="11" t="s">
        <v>3776</v>
      </c>
      <c r="Q206" s="12">
        <v>20</v>
      </c>
      <c r="R206" s="12">
        <v>30</v>
      </c>
      <c r="S206" s="12">
        <v>5</v>
      </c>
      <c r="T206" s="13">
        <v>4.5199999999999996</v>
      </c>
      <c r="U206" s="13">
        <f t="shared" si="15"/>
        <v>1.4399999999999995</v>
      </c>
      <c r="V206" s="14">
        <v>553.70000000000005</v>
      </c>
      <c r="W206" s="14">
        <v>553.70000000000005</v>
      </c>
      <c r="X206" s="11" t="s">
        <v>3722</v>
      </c>
      <c r="Y206" s="15" t="s">
        <v>3713</v>
      </c>
      <c r="Z206" s="16">
        <v>494.7</v>
      </c>
      <c r="AA206" s="17">
        <v>838.5</v>
      </c>
      <c r="AB206" s="18" t="s">
        <v>3714</v>
      </c>
    </row>
    <row r="207" spans="1:28" x14ac:dyDescent="0.45">
      <c r="A207" s="2" t="s">
        <v>448</v>
      </c>
      <c r="B207" s="2" t="s">
        <v>449</v>
      </c>
      <c r="C207" s="2" t="s">
        <v>4</v>
      </c>
      <c r="D207" s="2" t="s">
        <v>424</v>
      </c>
      <c r="E207" s="2" t="s">
        <v>256</v>
      </c>
      <c r="F207" s="3">
        <v>25</v>
      </c>
      <c r="G207" s="3">
        <v>35</v>
      </c>
      <c r="H207" s="2" t="s">
        <v>159</v>
      </c>
      <c r="I207" s="19">
        <v>59</v>
      </c>
      <c r="J207" s="34">
        <f t="shared" si="12"/>
        <v>0.51329999999999998</v>
      </c>
      <c r="K207" s="34">
        <f t="shared" si="13"/>
        <v>0.77</v>
      </c>
      <c r="L207" s="34">
        <f t="shared" si="14"/>
        <v>3.08</v>
      </c>
      <c r="M207" s="20" t="s">
        <v>3806</v>
      </c>
      <c r="N207" s="20" t="s">
        <v>3775</v>
      </c>
      <c r="O207" s="20" t="s">
        <v>3711</v>
      </c>
      <c r="P207" s="20" t="s">
        <v>3776</v>
      </c>
      <c r="Q207" s="21">
        <v>25</v>
      </c>
      <c r="R207" s="21">
        <v>35</v>
      </c>
      <c r="S207" s="21">
        <v>5</v>
      </c>
      <c r="T207" s="22">
        <v>6.98</v>
      </c>
      <c r="U207" s="13">
        <f t="shared" si="15"/>
        <v>3.9000000000000004</v>
      </c>
      <c r="V207" s="23">
        <v>855.05</v>
      </c>
      <c r="W207" s="23">
        <v>855.05</v>
      </c>
      <c r="X207" s="20" t="s">
        <v>3722</v>
      </c>
      <c r="Y207" s="24" t="s">
        <v>3713</v>
      </c>
      <c r="Z207" s="16">
        <v>796.05</v>
      </c>
      <c r="AA207" s="17">
        <v>1349.2</v>
      </c>
      <c r="AB207" s="25" t="s">
        <v>3714</v>
      </c>
    </row>
    <row r="208" spans="1:28" x14ac:dyDescent="0.45">
      <c r="A208" s="4" t="s">
        <v>450</v>
      </c>
      <c r="B208" s="4" t="s">
        <v>451</v>
      </c>
      <c r="C208" s="4" t="s">
        <v>4</v>
      </c>
      <c r="D208" s="4" t="s">
        <v>424</v>
      </c>
      <c r="E208" s="4" t="s">
        <v>256</v>
      </c>
      <c r="F208" s="5">
        <v>25</v>
      </c>
      <c r="G208" s="5">
        <v>37</v>
      </c>
      <c r="H208" s="4" t="s">
        <v>159</v>
      </c>
      <c r="I208" s="10">
        <v>67</v>
      </c>
      <c r="J208" s="34">
        <f t="shared" si="12"/>
        <v>0.58289999999999997</v>
      </c>
      <c r="K208" s="34">
        <f t="shared" si="13"/>
        <v>0.87</v>
      </c>
      <c r="L208" s="34">
        <f t="shared" si="14"/>
        <v>3.48</v>
      </c>
      <c r="M208" s="11" t="s">
        <v>3826</v>
      </c>
      <c r="N208" s="11" t="s">
        <v>3775</v>
      </c>
      <c r="O208" s="11" t="s">
        <v>3711</v>
      </c>
      <c r="P208" s="11" t="s">
        <v>3776</v>
      </c>
      <c r="Q208" s="12">
        <v>25</v>
      </c>
      <c r="R208" s="12">
        <v>37</v>
      </c>
      <c r="S208" s="12">
        <v>6</v>
      </c>
      <c r="T208" s="13">
        <v>10.78</v>
      </c>
      <c r="U208" s="13">
        <f t="shared" si="15"/>
        <v>7.2999999999999989</v>
      </c>
      <c r="V208" s="14">
        <v>1320.55</v>
      </c>
      <c r="W208" s="14">
        <v>1320.55</v>
      </c>
      <c r="X208" s="11">
        <v>2</v>
      </c>
      <c r="Y208" s="15" t="s">
        <v>3713</v>
      </c>
      <c r="Z208" s="16">
        <v>1253.55</v>
      </c>
      <c r="AA208" s="17">
        <v>1871</v>
      </c>
      <c r="AB208" s="18" t="s">
        <v>3714</v>
      </c>
    </row>
    <row r="209" spans="1:28" x14ac:dyDescent="0.45">
      <c r="A209" s="2" t="s">
        <v>452</v>
      </c>
      <c r="B209" s="2" t="s">
        <v>5610</v>
      </c>
      <c r="C209" s="2" t="s">
        <v>4</v>
      </c>
      <c r="D209" s="2" t="s">
        <v>424</v>
      </c>
      <c r="E209" s="2" t="s">
        <v>256</v>
      </c>
      <c r="F209" s="3">
        <v>25</v>
      </c>
      <c r="G209" s="3">
        <v>35</v>
      </c>
      <c r="H209" s="2" t="s">
        <v>420</v>
      </c>
      <c r="I209" s="19">
        <v>59</v>
      </c>
      <c r="J209" s="34">
        <f t="shared" si="12"/>
        <v>0.51329999999999998</v>
      </c>
      <c r="K209" s="34">
        <f t="shared" si="13"/>
        <v>0.77</v>
      </c>
      <c r="L209" s="34">
        <f t="shared" si="14"/>
        <v>3.08</v>
      </c>
      <c r="M209" s="20" t="s">
        <v>3806</v>
      </c>
      <c r="N209" s="20" t="s">
        <v>3775</v>
      </c>
      <c r="O209" s="20" t="s">
        <v>3711</v>
      </c>
      <c r="P209" s="20" t="s">
        <v>3776</v>
      </c>
      <c r="Q209" s="21">
        <v>25</v>
      </c>
      <c r="R209" s="21">
        <v>35</v>
      </c>
      <c r="S209" s="21">
        <v>5</v>
      </c>
      <c r="T209" s="22">
        <v>6.98</v>
      </c>
      <c r="U209" s="13">
        <f t="shared" si="15"/>
        <v>3.9000000000000004</v>
      </c>
      <c r="V209" s="23">
        <v>855.05</v>
      </c>
      <c r="W209" s="23">
        <v>855.05</v>
      </c>
      <c r="X209" s="20" t="s">
        <v>3722</v>
      </c>
      <c r="Y209" s="24" t="s">
        <v>3713</v>
      </c>
      <c r="Z209" s="16">
        <v>796.05</v>
      </c>
      <c r="AA209" s="17">
        <v>1349.2</v>
      </c>
      <c r="AB209" s="25" t="s">
        <v>3714</v>
      </c>
    </row>
    <row r="210" spans="1:28" x14ac:dyDescent="0.45">
      <c r="A210" s="4" t="s">
        <v>453</v>
      </c>
      <c r="B210" s="4" t="s">
        <v>454</v>
      </c>
      <c r="C210" s="4" t="s">
        <v>4</v>
      </c>
      <c r="D210" s="4" t="s">
        <v>424</v>
      </c>
      <c r="E210" s="4" t="s">
        <v>256</v>
      </c>
      <c r="F210" s="5">
        <v>28</v>
      </c>
      <c r="G210" s="5">
        <v>38</v>
      </c>
      <c r="H210" s="4" t="s">
        <v>192</v>
      </c>
      <c r="I210" s="10">
        <v>59</v>
      </c>
      <c r="J210" s="34">
        <f t="shared" si="12"/>
        <v>0.51329999999999998</v>
      </c>
      <c r="K210" s="34">
        <f t="shared" si="13"/>
        <v>0.77</v>
      </c>
      <c r="L210" s="34">
        <f t="shared" si="14"/>
        <v>3.08</v>
      </c>
      <c r="M210" s="11" t="s">
        <v>3777</v>
      </c>
      <c r="N210" s="11" t="s">
        <v>3735</v>
      </c>
      <c r="O210" s="11" t="s">
        <v>3711</v>
      </c>
      <c r="P210" s="11" t="s">
        <v>3736</v>
      </c>
      <c r="Q210" s="12">
        <v>28.448</v>
      </c>
      <c r="R210" s="12">
        <v>38.1</v>
      </c>
      <c r="S210" s="12">
        <v>4.5720000000000001</v>
      </c>
      <c r="T210" s="13">
        <v>2.16</v>
      </c>
      <c r="U210" s="13">
        <f t="shared" si="15"/>
        <v>-0.91999999999999993</v>
      </c>
      <c r="V210" s="14">
        <v>264.60000000000002</v>
      </c>
      <c r="W210" s="14">
        <v>264.60000000000002</v>
      </c>
      <c r="X210" s="11">
        <v>3</v>
      </c>
      <c r="Y210" s="15" t="s">
        <v>3737</v>
      </c>
      <c r="Z210" s="16">
        <v>205.6</v>
      </c>
      <c r="AA210" s="17">
        <v>348.5</v>
      </c>
      <c r="AB210" s="18" t="s">
        <v>3778</v>
      </c>
    </row>
    <row r="211" spans="1:28" x14ac:dyDescent="0.45">
      <c r="A211" s="2" t="s">
        <v>455</v>
      </c>
      <c r="B211" s="2" t="s">
        <v>456</v>
      </c>
      <c r="C211" s="2" t="s">
        <v>4</v>
      </c>
      <c r="D211" s="2" t="s">
        <v>424</v>
      </c>
      <c r="E211" s="2" t="s">
        <v>256</v>
      </c>
      <c r="F211" s="3">
        <v>30</v>
      </c>
      <c r="G211" s="3">
        <v>40</v>
      </c>
      <c r="H211" s="2" t="s">
        <v>12</v>
      </c>
      <c r="I211" s="19">
        <v>59</v>
      </c>
      <c r="J211" s="34">
        <f t="shared" si="12"/>
        <v>0.51329999999999998</v>
      </c>
      <c r="K211" s="34">
        <f t="shared" si="13"/>
        <v>0.77</v>
      </c>
      <c r="L211" s="34">
        <f t="shared" si="14"/>
        <v>3.08</v>
      </c>
      <c r="M211" s="20" t="s">
        <v>3779</v>
      </c>
      <c r="N211" s="20" t="s">
        <v>3775</v>
      </c>
      <c r="O211" s="20" t="s">
        <v>3711</v>
      </c>
      <c r="P211" s="20" t="s">
        <v>3776</v>
      </c>
      <c r="Q211" s="21">
        <v>30</v>
      </c>
      <c r="R211" s="21">
        <v>40</v>
      </c>
      <c r="S211" s="21">
        <v>5</v>
      </c>
      <c r="T211" s="22">
        <v>7.78</v>
      </c>
      <c r="U211" s="13">
        <f t="shared" si="15"/>
        <v>4.7</v>
      </c>
      <c r="V211" s="23">
        <v>953.05</v>
      </c>
      <c r="W211" s="23">
        <v>953.05</v>
      </c>
      <c r="X211" s="20">
        <v>148</v>
      </c>
      <c r="Y211" s="24" t="s">
        <v>3713</v>
      </c>
      <c r="Z211" s="16">
        <v>894.05</v>
      </c>
      <c r="AA211" s="17">
        <v>1515.3</v>
      </c>
      <c r="AB211" s="25" t="s">
        <v>3714</v>
      </c>
    </row>
    <row r="212" spans="1:28" x14ac:dyDescent="0.45">
      <c r="A212" s="4" t="s">
        <v>457</v>
      </c>
      <c r="B212" s="4" t="s">
        <v>458</v>
      </c>
      <c r="C212" s="4" t="s">
        <v>4</v>
      </c>
      <c r="D212" s="4" t="s">
        <v>424</v>
      </c>
      <c r="E212" s="4" t="s">
        <v>256</v>
      </c>
      <c r="F212" s="5">
        <v>30</v>
      </c>
      <c r="G212" s="5">
        <v>40</v>
      </c>
      <c r="H212" s="4" t="s">
        <v>159</v>
      </c>
      <c r="I212" s="10">
        <v>64</v>
      </c>
      <c r="J212" s="34">
        <f t="shared" si="12"/>
        <v>0.55679999999999996</v>
      </c>
      <c r="K212" s="34">
        <f t="shared" si="13"/>
        <v>0.84</v>
      </c>
      <c r="L212" s="34">
        <f t="shared" si="14"/>
        <v>3.36</v>
      </c>
      <c r="M212" s="11" t="s">
        <v>3779</v>
      </c>
      <c r="N212" s="11" t="s">
        <v>3775</v>
      </c>
      <c r="O212" s="11" t="s">
        <v>3711</v>
      </c>
      <c r="P212" s="11" t="s">
        <v>3776</v>
      </c>
      <c r="Q212" s="12">
        <v>30</v>
      </c>
      <c r="R212" s="12">
        <v>40</v>
      </c>
      <c r="S212" s="12">
        <v>5</v>
      </c>
      <c r="T212" s="13">
        <v>7.78</v>
      </c>
      <c r="U212" s="13">
        <f t="shared" si="15"/>
        <v>4.42</v>
      </c>
      <c r="V212" s="14">
        <v>953.05</v>
      </c>
      <c r="W212" s="14">
        <v>953.05</v>
      </c>
      <c r="X212" s="11">
        <v>148</v>
      </c>
      <c r="Y212" s="15" t="s">
        <v>3713</v>
      </c>
      <c r="Z212" s="16">
        <v>889.05</v>
      </c>
      <c r="AA212" s="17">
        <v>1389.1</v>
      </c>
      <c r="AB212" s="18" t="s">
        <v>3714</v>
      </c>
    </row>
    <row r="213" spans="1:28" x14ac:dyDescent="0.45">
      <c r="A213" s="2" t="s">
        <v>459</v>
      </c>
      <c r="B213" s="2" t="s">
        <v>460</v>
      </c>
      <c r="C213" s="2" t="s">
        <v>4</v>
      </c>
      <c r="D213" s="2" t="s">
        <v>424</v>
      </c>
      <c r="E213" s="2" t="s">
        <v>256</v>
      </c>
      <c r="F213" s="3">
        <v>32</v>
      </c>
      <c r="G213" s="3">
        <v>42</v>
      </c>
      <c r="H213" s="2" t="s">
        <v>12</v>
      </c>
      <c r="I213" s="19">
        <v>59</v>
      </c>
      <c r="J213" s="34">
        <f t="shared" si="12"/>
        <v>0.51329999999999998</v>
      </c>
      <c r="K213" s="34">
        <f t="shared" si="13"/>
        <v>0.77</v>
      </c>
      <c r="L213" s="34">
        <f t="shared" si="14"/>
        <v>3.08</v>
      </c>
      <c r="M213" s="20" t="s">
        <v>3827</v>
      </c>
      <c r="N213" s="20" t="s">
        <v>3735</v>
      </c>
      <c r="O213" s="20" t="s">
        <v>3711</v>
      </c>
      <c r="P213" s="20" t="s">
        <v>3736</v>
      </c>
      <c r="Q213" s="21">
        <v>31.75</v>
      </c>
      <c r="R213" s="21">
        <v>41.148000000000003</v>
      </c>
      <c r="S213" s="21">
        <v>4.5720000000000001</v>
      </c>
      <c r="T213" s="22">
        <v>2.29</v>
      </c>
      <c r="U213" s="13">
        <f t="shared" si="15"/>
        <v>-0.79</v>
      </c>
      <c r="V213" s="23">
        <v>280.52</v>
      </c>
      <c r="W213" s="23">
        <v>280.52</v>
      </c>
      <c r="X213" s="20">
        <v>242</v>
      </c>
      <c r="Y213" s="24" t="s">
        <v>3737</v>
      </c>
      <c r="Z213" s="16">
        <v>221.52</v>
      </c>
      <c r="AA213" s="17">
        <v>375.5</v>
      </c>
      <c r="AB213" s="25" t="s">
        <v>3828</v>
      </c>
    </row>
    <row r="214" spans="1:28" x14ac:dyDescent="0.45">
      <c r="A214" s="4" t="s">
        <v>461</v>
      </c>
      <c r="B214" s="4" t="s">
        <v>462</v>
      </c>
      <c r="C214" s="4" t="s">
        <v>4</v>
      </c>
      <c r="D214" s="4" t="s">
        <v>424</v>
      </c>
      <c r="E214" s="4" t="s">
        <v>256</v>
      </c>
      <c r="F214" s="5">
        <v>32</v>
      </c>
      <c r="G214" s="5">
        <v>42</v>
      </c>
      <c r="H214" s="4" t="s">
        <v>159</v>
      </c>
      <c r="I214" s="10">
        <v>64</v>
      </c>
      <c r="J214" s="34">
        <f t="shared" si="12"/>
        <v>0.55679999999999996</v>
      </c>
      <c r="K214" s="34">
        <f t="shared" si="13"/>
        <v>0.84</v>
      </c>
      <c r="L214" s="34">
        <f t="shared" si="14"/>
        <v>3.36</v>
      </c>
      <c r="M214" s="11" t="s">
        <v>3827</v>
      </c>
      <c r="N214" s="11" t="s">
        <v>3735</v>
      </c>
      <c r="O214" s="11" t="s">
        <v>3711</v>
      </c>
      <c r="P214" s="11" t="s">
        <v>3736</v>
      </c>
      <c r="Q214" s="12">
        <v>31.75</v>
      </c>
      <c r="R214" s="12">
        <v>41.148000000000003</v>
      </c>
      <c r="S214" s="12">
        <v>4.5720000000000001</v>
      </c>
      <c r="T214" s="13">
        <v>2.29</v>
      </c>
      <c r="U214" s="13">
        <f t="shared" si="15"/>
        <v>-1.0699999999999998</v>
      </c>
      <c r="V214" s="14">
        <v>280.52</v>
      </c>
      <c r="W214" s="14">
        <v>280.52</v>
      </c>
      <c r="X214" s="11">
        <v>242</v>
      </c>
      <c r="Y214" s="15" t="s">
        <v>3737</v>
      </c>
      <c r="Z214" s="16">
        <v>216.52</v>
      </c>
      <c r="AA214" s="17">
        <v>338.3</v>
      </c>
      <c r="AB214" s="18" t="s">
        <v>3828</v>
      </c>
    </row>
    <row r="215" spans="1:28" x14ac:dyDescent="0.45">
      <c r="A215" s="2" t="s">
        <v>463</v>
      </c>
      <c r="B215" s="2" t="s">
        <v>464</v>
      </c>
      <c r="C215" s="2" t="s">
        <v>4</v>
      </c>
      <c r="D215" s="2" t="s">
        <v>424</v>
      </c>
      <c r="E215" s="2" t="s">
        <v>256</v>
      </c>
      <c r="F215" s="3">
        <v>32</v>
      </c>
      <c r="G215" s="3">
        <v>45</v>
      </c>
      <c r="H215" s="2" t="s">
        <v>159</v>
      </c>
      <c r="I215" s="19">
        <v>76</v>
      </c>
      <c r="J215" s="34">
        <f t="shared" si="12"/>
        <v>0.66120000000000001</v>
      </c>
      <c r="K215" s="34">
        <f t="shared" si="13"/>
        <v>0.99</v>
      </c>
      <c r="L215" s="34">
        <f t="shared" si="14"/>
        <v>3.96</v>
      </c>
      <c r="M215" s="20" t="s">
        <v>3829</v>
      </c>
      <c r="N215" s="20" t="s">
        <v>3719</v>
      </c>
      <c r="O215" s="20" t="s">
        <v>3711</v>
      </c>
      <c r="P215" s="20" t="s">
        <v>3720</v>
      </c>
      <c r="Q215" s="21">
        <v>32</v>
      </c>
      <c r="R215" s="21">
        <v>44</v>
      </c>
      <c r="S215" s="21">
        <v>6</v>
      </c>
      <c r="T215" s="22">
        <v>11.06</v>
      </c>
      <c r="U215" s="13">
        <f t="shared" si="15"/>
        <v>7.1000000000000005</v>
      </c>
      <c r="V215" s="23">
        <v>1354.85</v>
      </c>
      <c r="W215" s="23">
        <v>1354.85</v>
      </c>
      <c r="X215" s="20">
        <v>17</v>
      </c>
      <c r="Y215" s="24" t="s">
        <v>3713</v>
      </c>
      <c r="Z215" s="16">
        <v>1278.8499999999999</v>
      </c>
      <c r="AA215" s="17">
        <v>1682.7</v>
      </c>
      <c r="AB215" s="25" t="s">
        <v>3786</v>
      </c>
    </row>
    <row r="216" spans="1:28" x14ac:dyDescent="0.45">
      <c r="A216" s="4" t="s">
        <v>465</v>
      </c>
      <c r="B216" s="4" t="s">
        <v>466</v>
      </c>
      <c r="C216" s="4" t="s">
        <v>4</v>
      </c>
      <c r="D216" s="4" t="s">
        <v>424</v>
      </c>
      <c r="E216" s="4" t="s">
        <v>256</v>
      </c>
      <c r="F216" s="5">
        <v>35</v>
      </c>
      <c r="G216" s="5">
        <v>45</v>
      </c>
      <c r="H216" s="4" t="s">
        <v>159</v>
      </c>
      <c r="I216" s="10">
        <v>64</v>
      </c>
      <c r="J216" s="34">
        <f t="shared" si="12"/>
        <v>0.55679999999999996</v>
      </c>
      <c r="K216" s="34">
        <f t="shared" si="13"/>
        <v>0.84</v>
      </c>
      <c r="L216" s="34">
        <f t="shared" si="14"/>
        <v>3.36</v>
      </c>
      <c r="M216" s="11" t="s">
        <v>3781</v>
      </c>
      <c r="N216" s="11" t="s">
        <v>3775</v>
      </c>
      <c r="O216" s="11" t="s">
        <v>3711</v>
      </c>
      <c r="P216" s="11" t="s">
        <v>3776</v>
      </c>
      <c r="Q216" s="12">
        <v>35</v>
      </c>
      <c r="R216" s="12">
        <v>45</v>
      </c>
      <c r="S216" s="12">
        <v>7</v>
      </c>
      <c r="T216" s="13">
        <v>8.2899999999999991</v>
      </c>
      <c r="U216" s="13">
        <f t="shared" si="15"/>
        <v>4.93</v>
      </c>
      <c r="V216" s="14">
        <v>1015.52</v>
      </c>
      <c r="W216" s="14">
        <v>1015.52</v>
      </c>
      <c r="X216" s="11">
        <v>25</v>
      </c>
      <c r="Y216" s="15" t="s">
        <v>3713</v>
      </c>
      <c r="Z216" s="16">
        <v>951.52</v>
      </c>
      <c r="AA216" s="17">
        <v>1486.8</v>
      </c>
      <c r="AB216" s="18" t="s">
        <v>3714</v>
      </c>
    </row>
    <row r="217" spans="1:28" x14ac:dyDescent="0.45">
      <c r="A217" s="2" t="s">
        <v>467</v>
      </c>
      <c r="B217" s="2" t="s">
        <v>468</v>
      </c>
      <c r="C217" s="2" t="s">
        <v>4</v>
      </c>
      <c r="D217" s="2" t="s">
        <v>424</v>
      </c>
      <c r="E217" s="2" t="s">
        <v>256</v>
      </c>
      <c r="F217" s="3">
        <v>36</v>
      </c>
      <c r="G217" s="3">
        <v>45</v>
      </c>
      <c r="H217" s="2" t="s">
        <v>159</v>
      </c>
      <c r="I217" s="19">
        <v>64</v>
      </c>
      <c r="J217" s="34">
        <f t="shared" si="12"/>
        <v>0.55679999999999996</v>
      </c>
      <c r="K217" s="34">
        <f t="shared" si="13"/>
        <v>0.84</v>
      </c>
      <c r="L217" s="34">
        <f t="shared" si="14"/>
        <v>3.36</v>
      </c>
      <c r="M217" s="20" t="s">
        <v>3729</v>
      </c>
      <c r="N217" s="20" t="s">
        <v>3716</v>
      </c>
      <c r="O217" s="20" t="s">
        <v>3711</v>
      </c>
      <c r="P217" s="20" t="s">
        <v>3717</v>
      </c>
      <c r="Q217" s="21">
        <v>36</v>
      </c>
      <c r="R217" s="21">
        <v>44</v>
      </c>
      <c r="S217" s="21">
        <v>5</v>
      </c>
      <c r="T217" s="22">
        <v>6.87</v>
      </c>
      <c r="U217" s="13">
        <f t="shared" si="15"/>
        <v>3.5100000000000002</v>
      </c>
      <c r="V217" s="23">
        <v>841.58</v>
      </c>
      <c r="W217" s="23">
        <v>841.58</v>
      </c>
      <c r="X217" s="20">
        <v>103</v>
      </c>
      <c r="Y217" s="24" t="s">
        <v>3713</v>
      </c>
      <c r="Z217" s="16">
        <v>777.58</v>
      </c>
      <c r="AA217" s="17">
        <v>1215</v>
      </c>
      <c r="AB217" s="25" t="s">
        <v>3786</v>
      </c>
    </row>
    <row r="218" spans="1:28" x14ac:dyDescent="0.45">
      <c r="A218" s="4" t="s">
        <v>469</v>
      </c>
      <c r="B218" s="4" t="s">
        <v>470</v>
      </c>
      <c r="C218" s="4" t="s">
        <v>4</v>
      </c>
      <c r="D218" s="4" t="s">
        <v>424</v>
      </c>
      <c r="E218" s="4" t="s">
        <v>256</v>
      </c>
      <c r="F218" s="5">
        <v>36</v>
      </c>
      <c r="G218" s="5">
        <v>46</v>
      </c>
      <c r="H218" s="4" t="s">
        <v>159</v>
      </c>
      <c r="I218" s="10">
        <v>67</v>
      </c>
      <c r="J218" s="34">
        <f t="shared" si="12"/>
        <v>0.58289999999999997</v>
      </c>
      <c r="K218" s="34">
        <f t="shared" si="13"/>
        <v>0.87</v>
      </c>
      <c r="L218" s="34">
        <f t="shared" si="14"/>
        <v>3.48</v>
      </c>
      <c r="M218" s="11" t="s">
        <v>3782</v>
      </c>
      <c r="N218" s="11" t="s">
        <v>3719</v>
      </c>
      <c r="O218" s="11" t="s">
        <v>3711</v>
      </c>
      <c r="P218" s="11" t="s">
        <v>3720</v>
      </c>
      <c r="Q218" s="12">
        <v>35</v>
      </c>
      <c r="R218" s="12">
        <v>47</v>
      </c>
      <c r="S218" s="12">
        <v>6</v>
      </c>
      <c r="T218" s="13">
        <v>10.89</v>
      </c>
      <c r="U218" s="13">
        <f t="shared" si="15"/>
        <v>7.41</v>
      </c>
      <c r="V218" s="14">
        <v>1334.02</v>
      </c>
      <c r="W218" s="14">
        <v>1334.02</v>
      </c>
      <c r="X218" s="11">
        <v>98</v>
      </c>
      <c r="Y218" s="15" t="s">
        <v>3713</v>
      </c>
      <c r="Z218" s="16">
        <v>1267.02</v>
      </c>
      <c r="AA218" s="17">
        <v>1891.1</v>
      </c>
      <c r="AB218" s="18" t="s">
        <v>3783</v>
      </c>
    </row>
    <row r="219" spans="1:28" x14ac:dyDescent="0.45">
      <c r="A219" s="2" t="s">
        <v>471</v>
      </c>
      <c r="B219" s="2" t="s">
        <v>472</v>
      </c>
      <c r="C219" s="2" t="s">
        <v>4</v>
      </c>
      <c r="D219" s="2" t="s">
        <v>424</v>
      </c>
      <c r="E219" s="2" t="s">
        <v>256</v>
      </c>
      <c r="F219" s="3">
        <v>36</v>
      </c>
      <c r="G219" s="3">
        <v>48</v>
      </c>
      <c r="H219" s="2" t="s">
        <v>159</v>
      </c>
      <c r="I219" s="19">
        <v>83</v>
      </c>
      <c r="J219" s="34">
        <f t="shared" si="12"/>
        <v>0.72209999999999996</v>
      </c>
      <c r="K219" s="34">
        <f t="shared" si="13"/>
        <v>1.08</v>
      </c>
      <c r="L219" s="34">
        <f t="shared" si="14"/>
        <v>4.32</v>
      </c>
      <c r="M219" s="20" t="s">
        <v>3830</v>
      </c>
      <c r="N219" s="20" t="s">
        <v>3719</v>
      </c>
      <c r="O219" s="20" t="s">
        <v>3711</v>
      </c>
      <c r="P219" s="20" t="s">
        <v>3720</v>
      </c>
      <c r="Q219" s="21">
        <v>36</v>
      </c>
      <c r="R219" s="21">
        <v>48</v>
      </c>
      <c r="S219" s="21">
        <v>6</v>
      </c>
      <c r="T219" s="22">
        <v>11.37</v>
      </c>
      <c r="U219" s="13">
        <f t="shared" si="15"/>
        <v>7.0499999999999989</v>
      </c>
      <c r="V219" s="23">
        <v>1392.82</v>
      </c>
      <c r="W219" s="23">
        <v>1392.82</v>
      </c>
      <c r="X219" s="20" t="s">
        <v>3722</v>
      </c>
      <c r="Y219" s="24" t="s">
        <v>3713</v>
      </c>
      <c r="Z219" s="16">
        <v>1309.82</v>
      </c>
      <c r="AA219" s="17">
        <v>1578.1</v>
      </c>
      <c r="AB219" s="25" t="s">
        <v>3714</v>
      </c>
    </row>
    <row r="220" spans="1:28" x14ac:dyDescent="0.45">
      <c r="A220" s="4" t="s">
        <v>473</v>
      </c>
      <c r="B220" s="4" t="s">
        <v>474</v>
      </c>
      <c r="C220" s="4" t="s">
        <v>4</v>
      </c>
      <c r="D220" s="4" t="s">
        <v>424</v>
      </c>
      <c r="E220" s="4" t="s">
        <v>256</v>
      </c>
      <c r="F220" s="5">
        <v>40</v>
      </c>
      <c r="G220" s="5">
        <v>50</v>
      </c>
      <c r="H220" s="4" t="s">
        <v>159</v>
      </c>
      <c r="I220" s="10">
        <v>67</v>
      </c>
      <c r="J220" s="34">
        <f t="shared" si="12"/>
        <v>0.58289999999999997</v>
      </c>
      <c r="K220" s="34">
        <f t="shared" si="13"/>
        <v>0.87</v>
      </c>
      <c r="L220" s="34">
        <f t="shared" si="14"/>
        <v>3.48</v>
      </c>
      <c r="M220" s="11" t="s">
        <v>3811</v>
      </c>
      <c r="N220" s="11" t="s">
        <v>3775</v>
      </c>
      <c r="O220" s="11" t="s">
        <v>3711</v>
      </c>
      <c r="P220" s="11" t="s">
        <v>3776</v>
      </c>
      <c r="Q220" s="12">
        <v>40</v>
      </c>
      <c r="R220" s="12">
        <v>50</v>
      </c>
      <c r="S220" s="12">
        <v>7</v>
      </c>
      <c r="T220" s="13">
        <v>10.130000000000001</v>
      </c>
      <c r="U220" s="13">
        <f t="shared" si="15"/>
        <v>6.65</v>
      </c>
      <c r="V220" s="14">
        <v>1240.93</v>
      </c>
      <c r="W220" s="14">
        <v>1240.93</v>
      </c>
      <c r="X220" s="11">
        <v>55</v>
      </c>
      <c r="Y220" s="15" t="s">
        <v>3713</v>
      </c>
      <c r="Z220" s="16">
        <v>1173.93</v>
      </c>
      <c r="AA220" s="17">
        <v>1752.1</v>
      </c>
      <c r="AB220" s="18" t="s">
        <v>3714</v>
      </c>
    </row>
    <row r="221" spans="1:28" x14ac:dyDescent="0.45">
      <c r="A221" s="2" t="s">
        <v>475</v>
      </c>
      <c r="B221" s="2" t="s">
        <v>476</v>
      </c>
      <c r="C221" s="2" t="s">
        <v>4</v>
      </c>
      <c r="D221" s="2" t="s">
        <v>424</v>
      </c>
      <c r="E221" s="2" t="s">
        <v>256</v>
      </c>
      <c r="F221" s="3">
        <v>42</v>
      </c>
      <c r="G221" s="3">
        <v>52</v>
      </c>
      <c r="H221" s="2" t="s">
        <v>159</v>
      </c>
      <c r="I221" s="19">
        <v>83</v>
      </c>
      <c r="J221" s="34">
        <f t="shared" si="12"/>
        <v>0.72209999999999996</v>
      </c>
      <c r="K221" s="34">
        <f t="shared" si="13"/>
        <v>1.08</v>
      </c>
      <c r="L221" s="34">
        <f t="shared" si="14"/>
        <v>4.32</v>
      </c>
      <c r="M221" s="20" t="s">
        <v>3734</v>
      </c>
      <c r="N221" s="20" t="s">
        <v>3735</v>
      </c>
      <c r="O221" s="20" t="s">
        <v>3711</v>
      </c>
      <c r="P221" s="20" t="s">
        <v>3736</v>
      </c>
      <c r="Q221" s="21">
        <v>41.148000000000003</v>
      </c>
      <c r="R221" s="21">
        <v>50.8</v>
      </c>
      <c r="S221" s="21">
        <v>4.5720000000000001</v>
      </c>
      <c r="T221" s="22">
        <v>3.44</v>
      </c>
      <c r="U221" s="13">
        <f t="shared" si="15"/>
        <v>-0.88000000000000034</v>
      </c>
      <c r="V221" s="23">
        <v>421.4</v>
      </c>
      <c r="W221" s="23">
        <v>421.4</v>
      </c>
      <c r="X221" s="20">
        <v>99</v>
      </c>
      <c r="Y221" s="24" t="s">
        <v>3737</v>
      </c>
      <c r="Z221" s="16">
        <v>338.4</v>
      </c>
      <c r="AA221" s="17">
        <v>407.7</v>
      </c>
      <c r="AB221" s="25" t="s">
        <v>3831</v>
      </c>
    </row>
    <row r="222" spans="1:28" x14ac:dyDescent="0.45">
      <c r="A222" s="4" t="s">
        <v>477</v>
      </c>
      <c r="B222" s="4" t="s">
        <v>478</v>
      </c>
      <c r="C222" s="4" t="s">
        <v>4</v>
      </c>
      <c r="D222" s="4" t="s">
        <v>424</v>
      </c>
      <c r="E222" s="4" t="s">
        <v>256</v>
      </c>
      <c r="F222" s="5">
        <v>45</v>
      </c>
      <c r="G222" s="5">
        <v>55</v>
      </c>
      <c r="H222" s="4" t="s">
        <v>159</v>
      </c>
      <c r="I222" s="10">
        <v>72</v>
      </c>
      <c r="J222" s="34">
        <f t="shared" si="12"/>
        <v>0.62639999999999996</v>
      </c>
      <c r="K222" s="34">
        <f t="shared" si="13"/>
        <v>0.94</v>
      </c>
      <c r="L222" s="34">
        <f t="shared" si="14"/>
        <v>3.76</v>
      </c>
      <c r="M222" s="11" t="s">
        <v>3740</v>
      </c>
      <c r="N222" s="11" t="s">
        <v>3716</v>
      </c>
      <c r="O222" s="11" t="s">
        <v>3711</v>
      </c>
      <c r="P222" s="11" t="s">
        <v>3717</v>
      </c>
      <c r="Q222" s="12">
        <v>45</v>
      </c>
      <c r="R222" s="12">
        <v>55</v>
      </c>
      <c r="S222" s="12">
        <v>5</v>
      </c>
      <c r="T222" s="13">
        <v>10.53</v>
      </c>
      <c r="U222" s="13">
        <f t="shared" si="15"/>
        <v>6.77</v>
      </c>
      <c r="V222" s="14">
        <v>1289.92</v>
      </c>
      <c r="W222" s="14">
        <v>1289.92</v>
      </c>
      <c r="X222" s="11">
        <v>89</v>
      </c>
      <c r="Y222" s="15" t="s">
        <v>3713</v>
      </c>
      <c r="Z222" s="16">
        <v>1217.92</v>
      </c>
      <c r="AA222" s="17">
        <v>1691.6</v>
      </c>
      <c r="AB222" s="18" t="s">
        <v>3714</v>
      </c>
    </row>
    <row r="223" spans="1:28" x14ac:dyDescent="0.45">
      <c r="A223" s="2" t="s">
        <v>479</v>
      </c>
      <c r="B223" s="2" t="s">
        <v>480</v>
      </c>
      <c r="C223" s="2" t="s">
        <v>4</v>
      </c>
      <c r="D223" s="2" t="s">
        <v>424</v>
      </c>
      <c r="E223" s="2" t="s">
        <v>256</v>
      </c>
      <c r="F223" s="3">
        <v>45</v>
      </c>
      <c r="G223" s="3">
        <v>58</v>
      </c>
      <c r="H223" s="2" t="s">
        <v>159</v>
      </c>
      <c r="I223" s="19">
        <v>91</v>
      </c>
      <c r="J223" s="34">
        <f t="shared" si="12"/>
        <v>0.79169999999999996</v>
      </c>
      <c r="K223" s="34">
        <f t="shared" si="13"/>
        <v>1.19</v>
      </c>
      <c r="L223" s="34">
        <f t="shared" si="14"/>
        <v>4.76</v>
      </c>
      <c r="M223" s="20" t="s">
        <v>3814</v>
      </c>
      <c r="N223" s="20" t="s">
        <v>3719</v>
      </c>
      <c r="O223" s="20" t="s">
        <v>3711</v>
      </c>
      <c r="P223" s="20" t="s">
        <v>3720</v>
      </c>
      <c r="Q223" s="21">
        <v>45</v>
      </c>
      <c r="R223" s="21">
        <v>57</v>
      </c>
      <c r="S223" s="21">
        <v>6</v>
      </c>
      <c r="T223" s="22">
        <v>11.23</v>
      </c>
      <c r="U223" s="13">
        <f t="shared" si="15"/>
        <v>6.4700000000000006</v>
      </c>
      <c r="V223" s="23">
        <v>1375.68</v>
      </c>
      <c r="W223" s="23">
        <v>1375.68</v>
      </c>
      <c r="X223" s="20">
        <v>3</v>
      </c>
      <c r="Y223" s="24" t="s">
        <v>3713</v>
      </c>
      <c r="Z223" s="16">
        <v>1284.68</v>
      </c>
      <c r="AA223" s="17">
        <v>1411.7</v>
      </c>
      <c r="AB223" s="25" t="s">
        <v>3786</v>
      </c>
    </row>
    <row r="224" spans="1:28" x14ac:dyDescent="0.45">
      <c r="A224" s="4" t="s">
        <v>481</v>
      </c>
      <c r="B224" s="4" t="s">
        <v>482</v>
      </c>
      <c r="C224" s="4" t="s">
        <v>4</v>
      </c>
      <c r="D224" s="4" t="s">
        <v>424</v>
      </c>
      <c r="E224" s="4" t="s">
        <v>256</v>
      </c>
      <c r="F224" s="5">
        <v>50</v>
      </c>
      <c r="G224" s="5">
        <v>60</v>
      </c>
      <c r="H224" s="4" t="s">
        <v>159</v>
      </c>
      <c r="I224" s="10">
        <v>76</v>
      </c>
      <c r="J224" s="34">
        <f t="shared" si="12"/>
        <v>0.66120000000000001</v>
      </c>
      <c r="K224" s="34">
        <f t="shared" si="13"/>
        <v>0.99</v>
      </c>
      <c r="L224" s="34">
        <f t="shared" si="14"/>
        <v>3.96</v>
      </c>
      <c r="M224" s="11" t="s">
        <v>3742</v>
      </c>
      <c r="N224" s="11" t="s">
        <v>3716</v>
      </c>
      <c r="O224" s="11" t="s">
        <v>3711</v>
      </c>
      <c r="P224" s="11" t="s">
        <v>3717</v>
      </c>
      <c r="Q224" s="12">
        <v>50</v>
      </c>
      <c r="R224" s="12">
        <v>60</v>
      </c>
      <c r="S224" s="12">
        <v>5</v>
      </c>
      <c r="T224" s="13">
        <v>8.36</v>
      </c>
      <c r="U224" s="13">
        <f t="shared" si="15"/>
        <v>4.3999999999999995</v>
      </c>
      <c r="V224" s="14">
        <v>1024.0999999999999</v>
      </c>
      <c r="W224" s="14">
        <v>1024.0999999999999</v>
      </c>
      <c r="X224" s="11">
        <v>83</v>
      </c>
      <c r="Y224" s="15" t="s">
        <v>3713</v>
      </c>
      <c r="Z224" s="16">
        <v>948.09999999999991</v>
      </c>
      <c r="AA224" s="17">
        <v>1247.5</v>
      </c>
      <c r="AB224" s="18" t="s">
        <v>3714</v>
      </c>
    </row>
    <row r="225" spans="1:28" x14ac:dyDescent="0.45">
      <c r="A225" s="2" t="s">
        <v>483</v>
      </c>
      <c r="B225" s="2" t="s">
        <v>484</v>
      </c>
      <c r="C225" s="2" t="s">
        <v>4</v>
      </c>
      <c r="D225" s="2" t="s">
        <v>424</v>
      </c>
      <c r="E225" s="2" t="s">
        <v>256</v>
      </c>
      <c r="F225" s="3">
        <v>55</v>
      </c>
      <c r="G225" s="3">
        <v>65</v>
      </c>
      <c r="H225" s="2" t="s">
        <v>159</v>
      </c>
      <c r="I225" s="19">
        <v>81</v>
      </c>
      <c r="J225" s="34">
        <f t="shared" si="12"/>
        <v>0.70469999999999999</v>
      </c>
      <c r="K225" s="34">
        <f t="shared" si="13"/>
        <v>1.06</v>
      </c>
      <c r="L225" s="34">
        <f t="shared" si="14"/>
        <v>4.24</v>
      </c>
      <c r="M225" s="20" t="s">
        <v>3743</v>
      </c>
      <c r="N225" s="20" t="s">
        <v>3710</v>
      </c>
      <c r="O225" s="20" t="s">
        <v>3711</v>
      </c>
      <c r="P225" s="20" t="s">
        <v>3712</v>
      </c>
      <c r="Q225" s="21">
        <v>55</v>
      </c>
      <c r="R225" s="21">
        <v>65</v>
      </c>
      <c r="S225" s="21">
        <v>5.3</v>
      </c>
      <c r="T225" s="22">
        <v>15.58</v>
      </c>
      <c r="U225" s="13">
        <f t="shared" si="15"/>
        <v>11.34</v>
      </c>
      <c r="V225" s="23">
        <v>1908.55</v>
      </c>
      <c r="W225" s="23">
        <v>1908.55</v>
      </c>
      <c r="X225" s="20">
        <v>23</v>
      </c>
      <c r="Y225" s="24" t="s">
        <v>3713</v>
      </c>
      <c r="Z225" s="16">
        <v>1827.55</v>
      </c>
      <c r="AA225" s="17">
        <v>2256.1999999999998</v>
      </c>
      <c r="AB225" s="25" t="s">
        <v>3714</v>
      </c>
    </row>
    <row r="226" spans="1:28" x14ac:dyDescent="0.45">
      <c r="A226" s="4" t="s">
        <v>485</v>
      </c>
      <c r="B226" s="4" t="s">
        <v>486</v>
      </c>
      <c r="C226" s="4" t="s">
        <v>4</v>
      </c>
      <c r="D226" s="4" t="s">
        <v>424</v>
      </c>
      <c r="E226" s="4" t="s">
        <v>256</v>
      </c>
      <c r="F226" s="5">
        <v>56</v>
      </c>
      <c r="G226" s="5">
        <v>66</v>
      </c>
      <c r="H226" s="4" t="s">
        <v>159</v>
      </c>
      <c r="I226" s="10">
        <v>84</v>
      </c>
      <c r="J226" s="34">
        <f t="shared" si="12"/>
        <v>0.73079999999999989</v>
      </c>
      <c r="K226" s="34">
        <f t="shared" si="13"/>
        <v>1.1000000000000001</v>
      </c>
      <c r="L226" s="34">
        <f t="shared" si="14"/>
        <v>4.4000000000000004</v>
      </c>
      <c r="M226" s="11" t="s">
        <v>3744</v>
      </c>
      <c r="N226" s="11" t="s">
        <v>3719</v>
      </c>
      <c r="O226" s="11" t="s">
        <v>3711</v>
      </c>
      <c r="P226" s="11" t="s">
        <v>3720</v>
      </c>
      <c r="Q226" s="12">
        <v>56</v>
      </c>
      <c r="R226" s="12">
        <v>66</v>
      </c>
      <c r="S226" s="12">
        <v>6</v>
      </c>
      <c r="T226" s="13">
        <v>15.37</v>
      </c>
      <c r="U226" s="13">
        <f t="shared" si="15"/>
        <v>10.969999999999999</v>
      </c>
      <c r="V226" s="14">
        <v>1882.82</v>
      </c>
      <c r="W226" s="14">
        <v>1882.82</v>
      </c>
      <c r="X226" s="11">
        <v>8</v>
      </c>
      <c r="Y226" s="15" t="s">
        <v>3713</v>
      </c>
      <c r="Z226" s="16">
        <v>1798.82</v>
      </c>
      <c r="AA226" s="17">
        <v>2141.5</v>
      </c>
      <c r="AB226" s="18" t="s">
        <v>3714</v>
      </c>
    </row>
    <row r="227" spans="1:28" x14ac:dyDescent="0.45">
      <c r="A227" s="2" t="s">
        <v>487</v>
      </c>
      <c r="B227" s="2" t="s">
        <v>488</v>
      </c>
      <c r="C227" s="2" t="s">
        <v>4</v>
      </c>
      <c r="D227" s="2" t="s">
        <v>424</v>
      </c>
      <c r="E227" s="2" t="s">
        <v>256</v>
      </c>
      <c r="F227" s="3">
        <v>60</v>
      </c>
      <c r="G227" s="3">
        <v>70</v>
      </c>
      <c r="H227" s="2" t="s">
        <v>159</v>
      </c>
      <c r="I227" s="19">
        <v>93</v>
      </c>
      <c r="J227" s="34">
        <f t="shared" si="12"/>
        <v>0.80909999999999993</v>
      </c>
      <c r="K227" s="34">
        <f t="shared" si="13"/>
        <v>1.21</v>
      </c>
      <c r="L227" s="34">
        <f t="shared" si="14"/>
        <v>4.84</v>
      </c>
      <c r="M227" s="20" t="s">
        <v>3745</v>
      </c>
      <c r="N227" s="20" t="s">
        <v>3716</v>
      </c>
      <c r="O227" s="20" t="s">
        <v>3711</v>
      </c>
      <c r="P227" s="20" t="s">
        <v>3717</v>
      </c>
      <c r="Q227" s="21">
        <v>60</v>
      </c>
      <c r="R227" s="21">
        <v>70</v>
      </c>
      <c r="S227" s="21">
        <v>6</v>
      </c>
      <c r="T227" s="22">
        <v>9.49</v>
      </c>
      <c r="U227" s="13">
        <f t="shared" si="15"/>
        <v>4.6500000000000004</v>
      </c>
      <c r="V227" s="23">
        <v>1162.53</v>
      </c>
      <c r="W227" s="23">
        <v>1162.53</v>
      </c>
      <c r="X227" s="20">
        <v>213</v>
      </c>
      <c r="Y227" s="24" t="s">
        <v>3713</v>
      </c>
      <c r="Z227" s="16">
        <v>1069.53</v>
      </c>
      <c r="AA227" s="17">
        <v>1150</v>
      </c>
      <c r="AB227" s="25" t="s">
        <v>3714</v>
      </c>
    </row>
    <row r="228" spans="1:28" x14ac:dyDescent="0.45">
      <c r="A228" s="4" t="s">
        <v>489</v>
      </c>
      <c r="B228" s="4" t="s">
        <v>490</v>
      </c>
      <c r="C228" s="4" t="s">
        <v>4</v>
      </c>
      <c r="D228" s="4" t="s">
        <v>424</v>
      </c>
      <c r="E228" s="4" t="s">
        <v>256</v>
      </c>
      <c r="F228" s="5">
        <v>63</v>
      </c>
      <c r="G228" s="5">
        <v>73</v>
      </c>
      <c r="H228" s="4" t="s">
        <v>159</v>
      </c>
      <c r="I228" s="10">
        <v>101</v>
      </c>
      <c r="J228" s="34">
        <f t="shared" si="12"/>
        <v>0.87869999999999993</v>
      </c>
      <c r="K228" s="34">
        <f t="shared" si="13"/>
        <v>1.32</v>
      </c>
      <c r="L228" s="34">
        <f t="shared" si="14"/>
        <v>5.28</v>
      </c>
      <c r="M228" s="11" t="s">
        <v>3746</v>
      </c>
      <c r="N228" s="11" t="s">
        <v>3719</v>
      </c>
      <c r="O228" s="11" t="s">
        <v>3711</v>
      </c>
      <c r="P228" s="11" t="s">
        <v>3720</v>
      </c>
      <c r="Q228" s="12">
        <v>63</v>
      </c>
      <c r="R228" s="12">
        <v>73</v>
      </c>
      <c r="S228" s="12">
        <v>6</v>
      </c>
      <c r="T228" s="13">
        <v>11.74</v>
      </c>
      <c r="U228" s="13">
        <f t="shared" si="15"/>
        <v>6.46</v>
      </c>
      <c r="V228" s="14">
        <v>1438.15</v>
      </c>
      <c r="W228" s="14">
        <v>1438.15</v>
      </c>
      <c r="X228" s="11">
        <v>16</v>
      </c>
      <c r="Y228" s="15" t="s">
        <v>3713</v>
      </c>
      <c r="Z228" s="16">
        <v>1337.15</v>
      </c>
      <c r="AA228" s="17">
        <v>1323.9</v>
      </c>
      <c r="AB228" s="18" t="s">
        <v>3714</v>
      </c>
    </row>
    <row r="229" spans="1:28" x14ac:dyDescent="0.45">
      <c r="A229" s="2" t="s">
        <v>491</v>
      </c>
      <c r="B229" s="2" t="s">
        <v>492</v>
      </c>
      <c r="C229" s="2" t="s">
        <v>4</v>
      </c>
      <c r="D229" s="2" t="s">
        <v>424</v>
      </c>
      <c r="E229" s="2" t="s">
        <v>256</v>
      </c>
      <c r="F229" s="3">
        <v>65</v>
      </c>
      <c r="G229" s="3">
        <v>75</v>
      </c>
      <c r="H229" s="2" t="s">
        <v>159</v>
      </c>
      <c r="I229" s="19">
        <v>109</v>
      </c>
      <c r="J229" s="34">
        <f t="shared" si="12"/>
        <v>0.94829999999999992</v>
      </c>
      <c r="K229" s="34">
        <f t="shared" si="13"/>
        <v>1.42</v>
      </c>
      <c r="L229" s="34">
        <f t="shared" si="14"/>
        <v>5.68</v>
      </c>
      <c r="M229" s="20" t="s">
        <v>3747</v>
      </c>
      <c r="N229" s="20" t="s">
        <v>3716</v>
      </c>
      <c r="O229" s="20" t="s">
        <v>3711</v>
      </c>
      <c r="P229" s="20" t="s">
        <v>3717</v>
      </c>
      <c r="Q229" s="21">
        <v>65</v>
      </c>
      <c r="R229" s="21">
        <v>75</v>
      </c>
      <c r="S229" s="21">
        <v>6</v>
      </c>
      <c r="T229" s="22">
        <v>17.170000000000002</v>
      </c>
      <c r="U229" s="13">
        <f t="shared" si="15"/>
        <v>11.490000000000002</v>
      </c>
      <c r="V229" s="23">
        <v>2103.33</v>
      </c>
      <c r="W229" s="23">
        <v>2103.33</v>
      </c>
      <c r="X229" s="20">
        <v>21</v>
      </c>
      <c r="Y229" s="24" t="s">
        <v>3713</v>
      </c>
      <c r="Z229" s="16">
        <v>1994.33</v>
      </c>
      <c r="AA229" s="17">
        <v>1829.7</v>
      </c>
      <c r="AB229" s="25" t="s">
        <v>3714</v>
      </c>
    </row>
    <row r="230" spans="1:28" x14ac:dyDescent="0.45">
      <c r="A230" s="4" t="s">
        <v>493</v>
      </c>
      <c r="B230" s="4" t="s">
        <v>494</v>
      </c>
      <c r="C230" s="4" t="s">
        <v>4</v>
      </c>
      <c r="D230" s="4" t="s">
        <v>424</v>
      </c>
      <c r="E230" s="4" t="s">
        <v>256</v>
      </c>
      <c r="F230" s="5">
        <v>70</v>
      </c>
      <c r="G230" s="5">
        <v>80</v>
      </c>
      <c r="H230" s="4" t="s">
        <v>159</v>
      </c>
      <c r="I230" s="10">
        <v>113</v>
      </c>
      <c r="J230" s="34">
        <f t="shared" si="12"/>
        <v>0.98309999999999997</v>
      </c>
      <c r="K230" s="34">
        <f t="shared" si="13"/>
        <v>1.47</v>
      </c>
      <c r="L230" s="34">
        <f t="shared" si="14"/>
        <v>5.88</v>
      </c>
      <c r="M230" s="11" t="s">
        <v>3748</v>
      </c>
      <c r="N230" s="11" t="s">
        <v>3716</v>
      </c>
      <c r="O230" s="11" t="s">
        <v>3711</v>
      </c>
      <c r="P230" s="11" t="s">
        <v>3717</v>
      </c>
      <c r="Q230" s="12">
        <v>70</v>
      </c>
      <c r="R230" s="12">
        <v>80</v>
      </c>
      <c r="S230" s="12">
        <v>5</v>
      </c>
      <c r="T230" s="13">
        <v>10.3</v>
      </c>
      <c r="U230" s="13">
        <f t="shared" si="15"/>
        <v>4.4200000000000008</v>
      </c>
      <c r="V230" s="14">
        <v>1261.75</v>
      </c>
      <c r="W230" s="14">
        <v>1261.75</v>
      </c>
      <c r="X230" s="11">
        <v>37</v>
      </c>
      <c r="Y230" s="15" t="s">
        <v>3713</v>
      </c>
      <c r="Z230" s="16">
        <v>1148.75</v>
      </c>
      <c r="AA230" s="17">
        <v>1016.6</v>
      </c>
      <c r="AB230" s="18" t="s">
        <v>3714</v>
      </c>
    </row>
    <row r="231" spans="1:28" x14ac:dyDescent="0.45">
      <c r="A231" s="2" t="s">
        <v>495</v>
      </c>
      <c r="B231" s="2" t="s">
        <v>496</v>
      </c>
      <c r="C231" s="2" t="s">
        <v>4</v>
      </c>
      <c r="D231" s="2" t="s">
        <v>424</v>
      </c>
      <c r="E231" s="2" t="s">
        <v>256</v>
      </c>
      <c r="F231" s="3">
        <v>75</v>
      </c>
      <c r="G231" s="3">
        <v>85</v>
      </c>
      <c r="H231" s="2" t="s">
        <v>159</v>
      </c>
      <c r="I231" s="19">
        <v>118</v>
      </c>
      <c r="J231" s="34">
        <f t="shared" si="12"/>
        <v>1.0266</v>
      </c>
      <c r="K231" s="34">
        <f t="shared" si="13"/>
        <v>1.54</v>
      </c>
      <c r="L231" s="34">
        <f t="shared" si="14"/>
        <v>6.16</v>
      </c>
      <c r="M231" s="20" t="s">
        <v>3832</v>
      </c>
      <c r="N231" s="20" t="s">
        <v>3716</v>
      </c>
      <c r="O231" s="20" t="s">
        <v>3711</v>
      </c>
      <c r="P231" s="20" t="s">
        <v>3717</v>
      </c>
      <c r="Q231" s="21">
        <v>75</v>
      </c>
      <c r="R231" s="21">
        <v>85</v>
      </c>
      <c r="S231" s="21">
        <v>6</v>
      </c>
      <c r="T231" s="22">
        <v>22.55</v>
      </c>
      <c r="U231" s="13">
        <f t="shared" si="15"/>
        <v>16.39</v>
      </c>
      <c r="V231" s="23">
        <v>2762.38</v>
      </c>
      <c r="W231" s="23">
        <v>2762.38</v>
      </c>
      <c r="X231" s="20">
        <v>35</v>
      </c>
      <c r="Y231" s="24" t="s">
        <v>3713</v>
      </c>
      <c r="Z231" s="16">
        <v>2644.38</v>
      </c>
      <c r="AA231" s="17">
        <v>2241</v>
      </c>
      <c r="AB231" s="25" t="s">
        <v>3714</v>
      </c>
    </row>
    <row r="232" spans="1:28" x14ac:dyDescent="0.45">
      <c r="A232" s="4" t="s">
        <v>497</v>
      </c>
      <c r="B232" s="4" t="s">
        <v>498</v>
      </c>
      <c r="C232" s="4" t="s">
        <v>4</v>
      </c>
      <c r="D232" s="4" t="s">
        <v>424</v>
      </c>
      <c r="E232" s="4" t="s">
        <v>256</v>
      </c>
      <c r="F232" s="5">
        <v>80</v>
      </c>
      <c r="G232" s="5">
        <v>90</v>
      </c>
      <c r="H232" s="4" t="s">
        <v>159</v>
      </c>
      <c r="I232" s="10">
        <v>126</v>
      </c>
      <c r="J232" s="34">
        <f t="shared" si="12"/>
        <v>1.0961999999999998</v>
      </c>
      <c r="K232" s="34">
        <f t="shared" si="13"/>
        <v>1.64</v>
      </c>
      <c r="L232" s="34">
        <f t="shared" si="14"/>
        <v>6.56</v>
      </c>
      <c r="M232" s="11" t="s">
        <v>3789</v>
      </c>
      <c r="N232" s="11" t="s">
        <v>3719</v>
      </c>
      <c r="O232" s="11" t="s">
        <v>3711</v>
      </c>
      <c r="P232" s="11" t="s">
        <v>3720</v>
      </c>
      <c r="Q232" s="12">
        <v>80</v>
      </c>
      <c r="R232" s="12">
        <v>90</v>
      </c>
      <c r="S232" s="12">
        <v>6</v>
      </c>
      <c r="T232" s="13">
        <v>11.89</v>
      </c>
      <c r="U232" s="13">
        <f t="shared" si="15"/>
        <v>5.330000000000001</v>
      </c>
      <c r="V232" s="14">
        <v>1456.52</v>
      </c>
      <c r="W232" s="14">
        <v>1456.52</v>
      </c>
      <c r="X232" s="11">
        <v>26</v>
      </c>
      <c r="Y232" s="15" t="s">
        <v>3713</v>
      </c>
      <c r="Z232" s="16">
        <v>1330.52</v>
      </c>
      <c r="AA232" s="17">
        <v>1056</v>
      </c>
      <c r="AB232" s="18" t="s">
        <v>3714</v>
      </c>
    </row>
    <row r="233" spans="1:28" x14ac:dyDescent="0.45">
      <c r="A233" s="2" t="s">
        <v>499</v>
      </c>
      <c r="B233" s="2" t="s">
        <v>500</v>
      </c>
      <c r="C233" s="2" t="s">
        <v>4</v>
      </c>
      <c r="D233" s="2" t="s">
        <v>424</v>
      </c>
      <c r="E233" s="2" t="s">
        <v>256</v>
      </c>
      <c r="F233" s="3">
        <v>85</v>
      </c>
      <c r="G233" s="3">
        <v>95</v>
      </c>
      <c r="H233" s="2" t="s">
        <v>159</v>
      </c>
      <c r="I233" s="19">
        <v>135</v>
      </c>
      <c r="J233" s="34">
        <f t="shared" si="12"/>
        <v>1.1744999999999999</v>
      </c>
      <c r="K233" s="34">
        <f t="shared" si="13"/>
        <v>1.76</v>
      </c>
      <c r="L233" s="34">
        <f t="shared" si="14"/>
        <v>7.04</v>
      </c>
      <c r="M233" s="20" t="s">
        <v>3818</v>
      </c>
      <c r="N233" s="20" t="s">
        <v>3775</v>
      </c>
      <c r="O233" s="20" t="s">
        <v>3711</v>
      </c>
      <c r="P233" s="20" t="s">
        <v>3776</v>
      </c>
      <c r="Q233" s="21">
        <v>85</v>
      </c>
      <c r="R233" s="21">
        <v>95</v>
      </c>
      <c r="S233" s="21">
        <v>7</v>
      </c>
      <c r="T233" s="22">
        <v>29.92</v>
      </c>
      <c r="U233" s="13">
        <f t="shared" si="15"/>
        <v>22.880000000000003</v>
      </c>
      <c r="V233" s="23">
        <v>3665.2</v>
      </c>
      <c r="W233" s="23">
        <v>3665.2</v>
      </c>
      <c r="X233" s="20">
        <v>17</v>
      </c>
      <c r="Y233" s="24" t="s">
        <v>3713</v>
      </c>
      <c r="Z233" s="16">
        <v>3530.2</v>
      </c>
      <c r="AA233" s="17">
        <v>2615</v>
      </c>
      <c r="AB233" s="25" t="s">
        <v>3714</v>
      </c>
    </row>
    <row r="234" spans="1:28" x14ac:dyDescent="0.45">
      <c r="A234" s="4" t="s">
        <v>501</v>
      </c>
      <c r="B234" s="4" t="s">
        <v>502</v>
      </c>
      <c r="C234" s="4" t="s">
        <v>4</v>
      </c>
      <c r="D234" s="4" t="s">
        <v>424</v>
      </c>
      <c r="E234" s="4" t="s">
        <v>256</v>
      </c>
      <c r="F234" s="5">
        <v>90</v>
      </c>
      <c r="G234" s="5">
        <v>100</v>
      </c>
      <c r="H234" s="4" t="s">
        <v>159</v>
      </c>
      <c r="I234" s="10">
        <v>143</v>
      </c>
      <c r="J234" s="34">
        <f t="shared" si="12"/>
        <v>1.2441</v>
      </c>
      <c r="K234" s="34">
        <f t="shared" si="13"/>
        <v>1.87</v>
      </c>
      <c r="L234" s="34">
        <f t="shared" si="14"/>
        <v>7.48</v>
      </c>
      <c r="M234" s="11" t="s">
        <v>3833</v>
      </c>
      <c r="N234" s="11" t="s">
        <v>3716</v>
      </c>
      <c r="O234" s="11" t="s">
        <v>3711</v>
      </c>
      <c r="P234" s="11" t="s">
        <v>3717</v>
      </c>
      <c r="Q234" s="12">
        <v>90</v>
      </c>
      <c r="R234" s="12">
        <v>100</v>
      </c>
      <c r="S234" s="12">
        <v>6</v>
      </c>
      <c r="T234" s="13">
        <v>10.94</v>
      </c>
      <c r="U234" s="13">
        <f t="shared" si="15"/>
        <v>3.4599999999999991</v>
      </c>
      <c r="V234" s="14">
        <v>1340.15</v>
      </c>
      <c r="W234" s="14">
        <v>1340.15</v>
      </c>
      <c r="X234" s="11">
        <v>106</v>
      </c>
      <c r="Y234" s="15" t="s">
        <v>3713</v>
      </c>
      <c r="Z234" s="16">
        <v>1197.1500000000001</v>
      </c>
      <c r="AA234" s="17">
        <v>837.2</v>
      </c>
      <c r="AB234" s="18" t="s">
        <v>3714</v>
      </c>
    </row>
    <row r="235" spans="1:28" x14ac:dyDescent="0.45">
      <c r="A235" s="2" t="s">
        <v>503</v>
      </c>
      <c r="B235" s="2" t="s">
        <v>504</v>
      </c>
      <c r="C235" s="2" t="s">
        <v>4</v>
      </c>
      <c r="D235" s="2" t="s">
        <v>424</v>
      </c>
      <c r="E235" s="2" t="s">
        <v>256</v>
      </c>
      <c r="F235" s="3">
        <v>95</v>
      </c>
      <c r="G235" s="3">
        <v>105</v>
      </c>
      <c r="H235" s="2" t="s">
        <v>159</v>
      </c>
      <c r="I235" s="19">
        <v>151</v>
      </c>
      <c r="J235" s="34">
        <f t="shared" si="12"/>
        <v>1.3136999999999999</v>
      </c>
      <c r="K235" s="34">
        <f t="shared" si="13"/>
        <v>1.97</v>
      </c>
      <c r="L235" s="34">
        <f t="shared" si="14"/>
        <v>7.88</v>
      </c>
      <c r="M235" s="20" t="s">
        <v>3834</v>
      </c>
      <c r="N235" s="20" t="s">
        <v>3716</v>
      </c>
      <c r="O235" s="20" t="s">
        <v>3711</v>
      </c>
      <c r="P235" s="20" t="s">
        <v>3717</v>
      </c>
      <c r="Q235" s="21">
        <v>96</v>
      </c>
      <c r="R235" s="21">
        <v>104</v>
      </c>
      <c r="S235" s="21">
        <v>7.6</v>
      </c>
      <c r="T235" s="22">
        <v>16.57</v>
      </c>
      <c r="U235" s="13">
        <f t="shared" si="15"/>
        <v>8.6900000000000013</v>
      </c>
      <c r="V235" s="23">
        <v>2029.82</v>
      </c>
      <c r="W235" s="23">
        <v>2029.82</v>
      </c>
      <c r="X235" s="20" t="s">
        <v>3722</v>
      </c>
      <c r="Y235" s="24" t="s">
        <v>3713</v>
      </c>
      <c r="Z235" s="16">
        <v>1878.82</v>
      </c>
      <c r="AA235" s="17">
        <v>1244.3</v>
      </c>
      <c r="AB235" s="25" t="s">
        <v>3783</v>
      </c>
    </row>
    <row r="236" spans="1:28" x14ac:dyDescent="0.45">
      <c r="A236" s="4" t="s">
        <v>505</v>
      </c>
      <c r="B236" s="4" t="s">
        <v>506</v>
      </c>
      <c r="C236" s="4" t="s">
        <v>4</v>
      </c>
      <c r="D236" s="4" t="s">
        <v>424</v>
      </c>
      <c r="E236" s="4" t="s">
        <v>256</v>
      </c>
      <c r="F236" s="5">
        <v>100</v>
      </c>
      <c r="G236" s="5">
        <v>110</v>
      </c>
      <c r="H236" s="4" t="s">
        <v>159</v>
      </c>
      <c r="I236" s="10">
        <v>160</v>
      </c>
      <c r="J236" s="34">
        <f t="shared" si="12"/>
        <v>1.3919999999999999</v>
      </c>
      <c r="K236" s="34">
        <f t="shared" si="13"/>
        <v>2.09</v>
      </c>
      <c r="L236" s="34">
        <f t="shared" si="14"/>
        <v>8.36</v>
      </c>
      <c r="M236" s="11" t="s">
        <v>3835</v>
      </c>
      <c r="N236" s="11" t="s">
        <v>3716</v>
      </c>
      <c r="O236" s="11" t="s">
        <v>3711</v>
      </c>
      <c r="P236" s="11" t="s">
        <v>3717</v>
      </c>
      <c r="Q236" s="12">
        <v>100</v>
      </c>
      <c r="R236" s="12">
        <v>110</v>
      </c>
      <c r="S236" s="12">
        <v>5.3</v>
      </c>
      <c r="T236" s="13">
        <v>14.88</v>
      </c>
      <c r="U236" s="13">
        <f t="shared" si="15"/>
        <v>6.5200000000000014</v>
      </c>
      <c r="V236" s="14">
        <v>1822.8</v>
      </c>
      <c r="W236" s="14">
        <v>1822.8</v>
      </c>
      <c r="X236" s="11">
        <v>35</v>
      </c>
      <c r="Y236" s="15" t="s">
        <v>3713</v>
      </c>
      <c r="Z236" s="16">
        <v>1662.8</v>
      </c>
      <c r="AA236" s="17">
        <v>1039.2</v>
      </c>
      <c r="AB236" s="18" t="s">
        <v>3714</v>
      </c>
    </row>
    <row r="237" spans="1:28" x14ac:dyDescent="0.45">
      <c r="A237" s="2" t="s">
        <v>507</v>
      </c>
      <c r="B237" s="2" t="s">
        <v>508</v>
      </c>
      <c r="C237" s="2" t="s">
        <v>4</v>
      </c>
      <c r="D237" s="2" t="s">
        <v>424</v>
      </c>
      <c r="E237" s="2" t="s">
        <v>256</v>
      </c>
      <c r="F237" s="3">
        <v>125</v>
      </c>
      <c r="G237" s="3">
        <v>140</v>
      </c>
      <c r="H237" s="2" t="s">
        <v>429</v>
      </c>
      <c r="I237" s="19">
        <v>293</v>
      </c>
      <c r="J237" s="34">
        <f t="shared" si="12"/>
        <v>2.5490999999999997</v>
      </c>
      <c r="K237" s="34">
        <f t="shared" si="13"/>
        <v>3.82</v>
      </c>
      <c r="L237" s="34">
        <f t="shared" si="14"/>
        <v>15.28</v>
      </c>
      <c r="M237" s="20" t="s">
        <v>3762</v>
      </c>
      <c r="N237" s="20" t="s">
        <v>3716</v>
      </c>
      <c r="O237" s="20" t="s">
        <v>3711</v>
      </c>
      <c r="P237" s="20" t="s">
        <v>3717</v>
      </c>
      <c r="Q237" s="21">
        <v>125</v>
      </c>
      <c r="R237" s="21">
        <v>140</v>
      </c>
      <c r="S237" s="21">
        <v>9.5</v>
      </c>
      <c r="T237" s="22">
        <v>18.98</v>
      </c>
      <c r="U237" s="13">
        <f t="shared" si="15"/>
        <v>3.7000000000000011</v>
      </c>
      <c r="V237" s="23">
        <v>2325.0500000000002</v>
      </c>
      <c r="W237" s="23">
        <v>2325.0500000000002</v>
      </c>
      <c r="X237" s="20">
        <v>213</v>
      </c>
      <c r="Y237" s="24" t="s">
        <v>3713</v>
      </c>
      <c r="Z237" s="16">
        <v>2032.05</v>
      </c>
      <c r="AA237" s="17">
        <v>693.5</v>
      </c>
      <c r="AB237" s="25" t="s">
        <v>3714</v>
      </c>
    </row>
    <row r="238" spans="1:28" x14ac:dyDescent="0.45">
      <c r="A238" s="4" t="s">
        <v>509</v>
      </c>
      <c r="B238" s="4" t="s">
        <v>510</v>
      </c>
      <c r="C238" s="4" t="s">
        <v>4</v>
      </c>
      <c r="D238" s="4" t="s">
        <v>424</v>
      </c>
      <c r="E238" s="4" t="s">
        <v>256</v>
      </c>
      <c r="F238" s="5">
        <v>130</v>
      </c>
      <c r="G238" s="5">
        <v>145</v>
      </c>
      <c r="H238" s="4" t="s">
        <v>429</v>
      </c>
      <c r="I238" s="10">
        <v>310</v>
      </c>
      <c r="J238" s="34">
        <f t="shared" si="12"/>
        <v>2.6969999999999996</v>
      </c>
      <c r="K238" s="34">
        <f t="shared" si="13"/>
        <v>4.05</v>
      </c>
      <c r="L238" s="34">
        <f t="shared" si="14"/>
        <v>16.2</v>
      </c>
      <c r="M238" s="11" t="s">
        <v>3836</v>
      </c>
      <c r="N238" s="11" t="s">
        <v>3716</v>
      </c>
      <c r="O238" s="11" t="s">
        <v>3711</v>
      </c>
      <c r="P238" s="11" t="s">
        <v>3717</v>
      </c>
      <c r="Q238" s="12">
        <v>130</v>
      </c>
      <c r="R238" s="12">
        <v>145</v>
      </c>
      <c r="S238" s="12">
        <v>10</v>
      </c>
      <c r="T238" s="13">
        <v>37.799999999999997</v>
      </c>
      <c r="U238" s="13">
        <f t="shared" si="15"/>
        <v>21.599999999999998</v>
      </c>
      <c r="V238" s="14">
        <v>4630.5</v>
      </c>
      <c r="W238" s="14">
        <v>4630.5</v>
      </c>
      <c r="X238" s="11">
        <v>4</v>
      </c>
      <c r="Y238" s="15" t="s">
        <v>3713</v>
      </c>
      <c r="Z238" s="16">
        <v>4320.5</v>
      </c>
      <c r="AA238" s="17">
        <v>1393.7</v>
      </c>
      <c r="AB238" s="18" t="s">
        <v>3714</v>
      </c>
    </row>
    <row r="239" spans="1:28" x14ac:dyDescent="0.45">
      <c r="A239" s="2" t="s">
        <v>511</v>
      </c>
      <c r="B239" s="2" t="s">
        <v>512</v>
      </c>
      <c r="C239" s="2" t="s">
        <v>4</v>
      </c>
      <c r="D239" s="2" t="s">
        <v>424</v>
      </c>
      <c r="E239" s="2" t="s">
        <v>256</v>
      </c>
      <c r="F239" s="3">
        <v>145</v>
      </c>
      <c r="G239" s="3">
        <v>160</v>
      </c>
      <c r="H239" s="2" t="s">
        <v>429</v>
      </c>
      <c r="I239" s="19">
        <v>379</v>
      </c>
      <c r="J239" s="34">
        <f t="shared" si="12"/>
        <v>3.2972999999999999</v>
      </c>
      <c r="K239" s="34">
        <f t="shared" si="13"/>
        <v>4.95</v>
      </c>
      <c r="L239" s="34">
        <f t="shared" si="14"/>
        <v>19.8</v>
      </c>
      <c r="M239" s="20" t="s">
        <v>3837</v>
      </c>
      <c r="N239" s="20" t="s">
        <v>3731</v>
      </c>
      <c r="O239" s="20" t="s">
        <v>3711</v>
      </c>
      <c r="P239" s="20" t="s">
        <v>3732</v>
      </c>
      <c r="Q239" s="21">
        <v>145</v>
      </c>
      <c r="R239" s="21">
        <v>160</v>
      </c>
      <c r="S239" s="21">
        <v>9.5</v>
      </c>
      <c r="T239" s="22">
        <v>34.090000000000003</v>
      </c>
      <c r="U239" s="13">
        <f t="shared" si="15"/>
        <v>14.290000000000003</v>
      </c>
      <c r="V239" s="23">
        <v>4176.03</v>
      </c>
      <c r="W239" s="23">
        <v>4176.03</v>
      </c>
      <c r="X239" s="20">
        <v>10</v>
      </c>
      <c r="Y239" s="24" t="s">
        <v>3713</v>
      </c>
      <c r="Z239" s="16">
        <v>3797.03</v>
      </c>
      <c r="AA239" s="17">
        <v>1001.9</v>
      </c>
      <c r="AB239" s="25" t="s">
        <v>3714</v>
      </c>
    </row>
    <row r="240" spans="1:28" x14ac:dyDescent="0.45">
      <c r="A240" s="4" t="s">
        <v>513</v>
      </c>
      <c r="B240" s="4" t="s">
        <v>514</v>
      </c>
      <c r="C240" s="4" t="s">
        <v>4</v>
      </c>
      <c r="D240" s="4" t="s">
        <v>515</v>
      </c>
      <c r="E240" s="4" t="s">
        <v>256</v>
      </c>
      <c r="F240" s="5">
        <v>20</v>
      </c>
      <c r="G240" s="5">
        <v>30</v>
      </c>
      <c r="H240" s="4" t="s">
        <v>159</v>
      </c>
      <c r="I240" s="10">
        <v>104</v>
      </c>
      <c r="J240" s="34">
        <f t="shared" si="12"/>
        <v>0.90479999999999994</v>
      </c>
      <c r="K240" s="34">
        <f t="shared" si="13"/>
        <v>1.36</v>
      </c>
      <c r="L240" s="34">
        <f t="shared" si="14"/>
        <v>5.44</v>
      </c>
      <c r="M240" s="11" t="s">
        <v>3825</v>
      </c>
      <c r="N240" s="11" t="s">
        <v>3775</v>
      </c>
      <c r="O240" s="11" t="s">
        <v>3711</v>
      </c>
      <c r="P240" s="11" t="s">
        <v>3776</v>
      </c>
      <c r="Q240" s="12">
        <v>20</v>
      </c>
      <c r="R240" s="12">
        <v>30</v>
      </c>
      <c r="S240" s="12">
        <v>5</v>
      </c>
      <c r="T240" s="13">
        <v>4.5199999999999996</v>
      </c>
      <c r="U240" s="13">
        <f t="shared" si="15"/>
        <v>-0.92000000000000082</v>
      </c>
      <c r="V240" s="14">
        <v>553.70000000000005</v>
      </c>
      <c r="W240" s="14">
        <v>553.70000000000005</v>
      </c>
      <c r="X240" s="11" t="s">
        <v>3722</v>
      </c>
      <c r="Y240" s="15" t="s">
        <v>3713</v>
      </c>
      <c r="Z240" s="16">
        <v>449.7</v>
      </c>
      <c r="AA240" s="17">
        <v>432.4</v>
      </c>
      <c r="AB240" s="18" t="s">
        <v>3714</v>
      </c>
    </row>
    <row r="241" spans="1:28" x14ac:dyDescent="0.45">
      <c r="A241" s="2" t="s">
        <v>516</v>
      </c>
      <c r="B241" s="2" t="s">
        <v>517</v>
      </c>
      <c r="C241" s="2" t="s">
        <v>4</v>
      </c>
      <c r="D241" s="2" t="s">
        <v>515</v>
      </c>
      <c r="E241" s="2" t="s">
        <v>256</v>
      </c>
      <c r="F241" s="3">
        <v>25</v>
      </c>
      <c r="G241" s="3">
        <v>37</v>
      </c>
      <c r="H241" s="2" t="s">
        <v>136</v>
      </c>
      <c r="I241" s="19">
        <v>113</v>
      </c>
      <c r="J241" s="34">
        <f t="shared" si="12"/>
        <v>0.98309999999999997</v>
      </c>
      <c r="K241" s="34">
        <f t="shared" si="13"/>
        <v>1.47</v>
      </c>
      <c r="L241" s="34">
        <f t="shared" si="14"/>
        <v>5.88</v>
      </c>
      <c r="M241" s="20" t="s">
        <v>3826</v>
      </c>
      <c r="N241" s="20" t="s">
        <v>3775</v>
      </c>
      <c r="O241" s="20" t="s">
        <v>3711</v>
      </c>
      <c r="P241" s="20" t="s">
        <v>3776</v>
      </c>
      <c r="Q241" s="21">
        <v>25</v>
      </c>
      <c r="R241" s="21">
        <v>37</v>
      </c>
      <c r="S241" s="21">
        <v>6</v>
      </c>
      <c r="T241" s="22">
        <v>10.78</v>
      </c>
      <c r="U241" s="13">
        <f t="shared" si="15"/>
        <v>4.8999999999999995</v>
      </c>
      <c r="V241" s="23">
        <v>1320.55</v>
      </c>
      <c r="W241" s="23">
        <v>1320.55</v>
      </c>
      <c r="X241" s="20">
        <v>2</v>
      </c>
      <c r="Y241" s="24" t="s">
        <v>3713</v>
      </c>
      <c r="Z241" s="16">
        <v>1207.55</v>
      </c>
      <c r="AA241" s="17">
        <v>1068.5999999999999</v>
      </c>
      <c r="AB241" s="25" t="s">
        <v>3714</v>
      </c>
    </row>
    <row r="242" spans="1:28" x14ac:dyDescent="0.45">
      <c r="A242" s="4" t="s">
        <v>518</v>
      </c>
      <c r="B242" s="4" t="s">
        <v>519</v>
      </c>
      <c r="C242" s="4" t="s">
        <v>4</v>
      </c>
      <c r="D242" s="4" t="s">
        <v>515</v>
      </c>
      <c r="E242" s="4" t="s">
        <v>256</v>
      </c>
      <c r="F242" s="5">
        <v>28</v>
      </c>
      <c r="G242" s="5">
        <v>40</v>
      </c>
      <c r="H242" s="4" t="s">
        <v>136</v>
      </c>
      <c r="I242" s="10">
        <v>119</v>
      </c>
      <c r="J242" s="34">
        <f t="shared" si="12"/>
        <v>1.0352999999999999</v>
      </c>
      <c r="K242" s="34">
        <f t="shared" si="13"/>
        <v>1.55</v>
      </c>
      <c r="L242" s="34">
        <f t="shared" si="14"/>
        <v>6.2</v>
      </c>
      <c r="M242" s="11" t="s">
        <v>3777</v>
      </c>
      <c r="N242" s="11" t="s">
        <v>3735</v>
      </c>
      <c r="O242" s="11" t="s">
        <v>3711</v>
      </c>
      <c r="P242" s="11" t="s">
        <v>3736</v>
      </c>
      <c r="Q242" s="12">
        <v>28.448</v>
      </c>
      <c r="R242" s="12">
        <v>38.1</v>
      </c>
      <c r="S242" s="12">
        <v>4.5720000000000001</v>
      </c>
      <c r="T242" s="13">
        <v>2.16</v>
      </c>
      <c r="U242" s="13">
        <f t="shared" si="15"/>
        <v>-4.04</v>
      </c>
      <c r="V242" s="14">
        <v>264.60000000000002</v>
      </c>
      <c r="W242" s="14">
        <v>264.60000000000002</v>
      </c>
      <c r="X242" s="11">
        <v>3</v>
      </c>
      <c r="Y242" s="15" t="s">
        <v>3737</v>
      </c>
      <c r="Z242" s="16">
        <v>145.6</v>
      </c>
      <c r="AA242" s="17">
        <v>122.4</v>
      </c>
      <c r="AB242" s="18" t="s">
        <v>3838</v>
      </c>
    </row>
    <row r="243" spans="1:28" x14ac:dyDescent="0.45">
      <c r="A243" s="2" t="s">
        <v>520</v>
      </c>
      <c r="B243" s="2" t="s">
        <v>521</v>
      </c>
      <c r="C243" s="2" t="s">
        <v>4</v>
      </c>
      <c r="D243" s="2" t="s">
        <v>515</v>
      </c>
      <c r="E243" s="2" t="s">
        <v>256</v>
      </c>
      <c r="F243" s="3">
        <v>30</v>
      </c>
      <c r="G243" s="3">
        <v>42</v>
      </c>
      <c r="H243" s="2" t="s">
        <v>136</v>
      </c>
      <c r="I243" s="19">
        <v>119</v>
      </c>
      <c r="J243" s="34">
        <f t="shared" si="12"/>
        <v>1.0352999999999999</v>
      </c>
      <c r="K243" s="34">
        <f t="shared" si="13"/>
        <v>1.55</v>
      </c>
      <c r="L243" s="34">
        <f t="shared" si="14"/>
        <v>6.2</v>
      </c>
      <c r="M243" s="20" t="s">
        <v>3780</v>
      </c>
      <c r="N243" s="20" t="s">
        <v>3719</v>
      </c>
      <c r="O243" s="20" t="s">
        <v>3711</v>
      </c>
      <c r="P243" s="20" t="s">
        <v>3720</v>
      </c>
      <c r="Q243" s="21">
        <v>30</v>
      </c>
      <c r="R243" s="21">
        <v>42</v>
      </c>
      <c r="S243" s="21">
        <v>6</v>
      </c>
      <c r="T243" s="22">
        <v>4.43</v>
      </c>
      <c r="U243" s="13">
        <f t="shared" si="15"/>
        <v>-1.7700000000000005</v>
      </c>
      <c r="V243" s="23">
        <v>542.66999999999996</v>
      </c>
      <c r="W243" s="23">
        <v>542.66999999999996</v>
      </c>
      <c r="X243" s="20" t="s">
        <v>3722</v>
      </c>
      <c r="Y243" s="24" t="s">
        <v>3713</v>
      </c>
      <c r="Z243" s="16">
        <v>423.67</v>
      </c>
      <c r="AA243" s="17">
        <v>356</v>
      </c>
      <c r="AB243" s="25" t="s">
        <v>3714</v>
      </c>
    </row>
    <row r="244" spans="1:28" x14ac:dyDescent="0.45">
      <c r="A244" s="4" t="s">
        <v>522</v>
      </c>
      <c r="B244" s="4" t="s">
        <v>523</v>
      </c>
      <c r="C244" s="4" t="s">
        <v>4</v>
      </c>
      <c r="D244" s="4" t="s">
        <v>515</v>
      </c>
      <c r="E244" s="4" t="s">
        <v>256</v>
      </c>
      <c r="F244" s="5">
        <v>32</v>
      </c>
      <c r="G244" s="5">
        <v>44</v>
      </c>
      <c r="H244" s="4" t="s">
        <v>159</v>
      </c>
      <c r="I244" s="10">
        <v>128</v>
      </c>
      <c r="J244" s="34">
        <f t="shared" si="12"/>
        <v>1.1135999999999999</v>
      </c>
      <c r="K244" s="34">
        <f t="shared" si="13"/>
        <v>1.67</v>
      </c>
      <c r="L244" s="34">
        <f t="shared" si="14"/>
        <v>6.68</v>
      </c>
      <c r="M244" s="11" t="s">
        <v>3829</v>
      </c>
      <c r="N244" s="11" t="s">
        <v>3719</v>
      </c>
      <c r="O244" s="11" t="s">
        <v>3711</v>
      </c>
      <c r="P244" s="11" t="s">
        <v>3720</v>
      </c>
      <c r="Q244" s="12">
        <v>32</v>
      </c>
      <c r="R244" s="12">
        <v>44</v>
      </c>
      <c r="S244" s="12">
        <v>6</v>
      </c>
      <c r="T244" s="13">
        <v>11.06</v>
      </c>
      <c r="U244" s="13">
        <f t="shared" si="15"/>
        <v>4.3800000000000008</v>
      </c>
      <c r="V244" s="14">
        <v>1354.85</v>
      </c>
      <c r="W244" s="14">
        <v>1354.85</v>
      </c>
      <c r="X244" s="11">
        <v>17</v>
      </c>
      <c r="Y244" s="15" t="s">
        <v>3713</v>
      </c>
      <c r="Z244" s="16">
        <v>1226.8499999999999</v>
      </c>
      <c r="AA244" s="17">
        <v>958.5</v>
      </c>
      <c r="AB244" s="18" t="s">
        <v>3714</v>
      </c>
    </row>
    <row r="245" spans="1:28" x14ac:dyDescent="0.45">
      <c r="A245" s="2" t="s">
        <v>524</v>
      </c>
      <c r="B245" s="2" t="s">
        <v>525</v>
      </c>
      <c r="C245" s="2" t="s">
        <v>4</v>
      </c>
      <c r="D245" s="2" t="s">
        <v>515</v>
      </c>
      <c r="E245" s="2" t="s">
        <v>256</v>
      </c>
      <c r="F245" s="3">
        <v>35</v>
      </c>
      <c r="G245" s="3">
        <v>47</v>
      </c>
      <c r="H245" s="2" t="s">
        <v>159</v>
      </c>
      <c r="I245" s="19">
        <v>128</v>
      </c>
      <c r="J245" s="34">
        <f t="shared" si="12"/>
        <v>1.1135999999999999</v>
      </c>
      <c r="K245" s="34">
        <f t="shared" si="13"/>
        <v>1.67</v>
      </c>
      <c r="L245" s="34">
        <f t="shared" si="14"/>
        <v>6.68</v>
      </c>
      <c r="M245" s="20" t="s">
        <v>3782</v>
      </c>
      <c r="N245" s="20" t="s">
        <v>3719</v>
      </c>
      <c r="O245" s="20" t="s">
        <v>3711</v>
      </c>
      <c r="P245" s="20" t="s">
        <v>3720</v>
      </c>
      <c r="Q245" s="21">
        <v>35</v>
      </c>
      <c r="R245" s="21">
        <v>47</v>
      </c>
      <c r="S245" s="21">
        <v>6</v>
      </c>
      <c r="T245" s="22">
        <v>10.89</v>
      </c>
      <c r="U245" s="13">
        <f t="shared" si="15"/>
        <v>4.2100000000000009</v>
      </c>
      <c r="V245" s="23">
        <v>1334.02</v>
      </c>
      <c r="W245" s="23">
        <v>1334.02</v>
      </c>
      <c r="X245" s="20">
        <v>98</v>
      </c>
      <c r="Y245" s="24" t="s">
        <v>3713</v>
      </c>
      <c r="Z245" s="16">
        <v>1206.02</v>
      </c>
      <c r="AA245" s="17">
        <v>942.2</v>
      </c>
      <c r="AB245" s="25" t="s">
        <v>3714</v>
      </c>
    </row>
    <row r="246" spans="1:28" x14ac:dyDescent="0.45">
      <c r="A246" s="4" t="s">
        <v>526</v>
      </c>
      <c r="B246" s="4" t="s">
        <v>527</v>
      </c>
      <c r="C246" s="4" t="s">
        <v>4</v>
      </c>
      <c r="D246" s="4" t="s">
        <v>515</v>
      </c>
      <c r="E246" s="4" t="s">
        <v>256</v>
      </c>
      <c r="F246" s="5">
        <v>36</v>
      </c>
      <c r="G246" s="5">
        <v>48</v>
      </c>
      <c r="H246" s="4" t="s">
        <v>159</v>
      </c>
      <c r="I246" s="10">
        <v>128</v>
      </c>
      <c r="J246" s="34">
        <f t="shared" si="12"/>
        <v>1.1135999999999999</v>
      </c>
      <c r="K246" s="34">
        <f t="shared" si="13"/>
        <v>1.67</v>
      </c>
      <c r="L246" s="34">
        <f t="shared" si="14"/>
        <v>6.68</v>
      </c>
      <c r="M246" s="11" t="s">
        <v>3830</v>
      </c>
      <c r="N246" s="11" t="s">
        <v>3719</v>
      </c>
      <c r="O246" s="11" t="s">
        <v>3711</v>
      </c>
      <c r="P246" s="11" t="s">
        <v>3720</v>
      </c>
      <c r="Q246" s="12">
        <v>36</v>
      </c>
      <c r="R246" s="12">
        <v>48</v>
      </c>
      <c r="S246" s="12">
        <v>6</v>
      </c>
      <c r="T246" s="13">
        <v>11.37</v>
      </c>
      <c r="U246" s="13">
        <f t="shared" si="15"/>
        <v>4.6899999999999995</v>
      </c>
      <c r="V246" s="14">
        <v>1392.82</v>
      </c>
      <c r="W246" s="14">
        <v>1392.82</v>
      </c>
      <c r="X246" s="11" t="s">
        <v>3722</v>
      </c>
      <c r="Y246" s="15" t="s">
        <v>3713</v>
      </c>
      <c r="Z246" s="16">
        <v>1264.82</v>
      </c>
      <c r="AA246" s="17">
        <v>988.1</v>
      </c>
      <c r="AB246" s="18" t="s">
        <v>3714</v>
      </c>
    </row>
    <row r="247" spans="1:28" x14ac:dyDescent="0.45">
      <c r="A247" s="2" t="s">
        <v>528</v>
      </c>
      <c r="B247" s="2" t="s">
        <v>529</v>
      </c>
      <c r="C247" s="2" t="s">
        <v>4</v>
      </c>
      <c r="D247" s="2" t="s">
        <v>515</v>
      </c>
      <c r="E247" s="2" t="s">
        <v>256</v>
      </c>
      <c r="F247" s="3">
        <v>40</v>
      </c>
      <c r="G247" s="3">
        <v>52</v>
      </c>
      <c r="H247" s="2" t="s">
        <v>159</v>
      </c>
      <c r="I247" s="19">
        <v>104</v>
      </c>
      <c r="J247" s="34">
        <f t="shared" si="12"/>
        <v>0.90479999999999994</v>
      </c>
      <c r="K247" s="34">
        <f t="shared" si="13"/>
        <v>1.36</v>
      </c>
      <c r="L247" s="34">
        <f t="shared" si="14"/>
        <v>5.44</v>
      </c>
      <c r="M247" s="20" t="s">
        <v>3812</v>
      </c>
      <c r="N247" s="20" t="s">
        <v>3719</v>
      </c>
      <c r="O247" s="20" t="s">
        <v>3711</v>
      </c>
      <c r="P247" s="20" t="s">
        <v>3720</v>
      </c>
      <c r="Q247" s="21">
        <v>40</v>
      </c>
      <c r="R247" s="21">
        <v>52</v>
      </c>
      <c r="S247" s="21">
        <v>6</v>
      </c>
      <c r="T247" s="22">
        <v>11.7</v>
      </c>
      <c r="U247" s="13">
        <f t="shared" si="15"/>
        <v>6.2599999999999989</v>
      </c>
      <c r="V247" s="23">
        <v>1433.25</v>
      </c>
      <c r="W247" s="23">
        <v>1433.25</v>
      </c>
      <c r="X247" s="20">
        <v>5</v>
      </c>
      <c r="Y247" s="24" t="s">
        <v>3713</v>
      </c>
      <c r="Z247" s="16">
        <v>1329.25</v>
      </c>
      <c r="AA247" s="17">
        <v>1278.0999999999999</v>
      </c>
      <c r="AB247" s="25" t="s">
        <v>3714</v>
      </c>
    </row>
    <row r="248" spans="1:28" x14ac:dyDescent="0.45">
      <c r="A248" s="4" t="s">
        <v>530</v>
      </c>
      <c r="B248" s="4" t="s">
        <v>531</v>
      </c>
      <c r="C248" s="4" t="s">
        <v>4</v>
      </c>
      <c r="D248" s="4" t="s">
        <v>515</v>
      </c>
      <c r="E248" s="4" t="s">
        <v>256</v>
      </c>
      <c r="F248" s="5">
        <v>45</v>
      </c>
      <c r="G248" s="5">
        <v>57</v>
      </c>
      <c r="H248" s="4" t="s">
        <v>159</v>
      </c>
      <c r="I248" s="10">
        <v>113</v>
      </c>
      <c r="J248" s="34">
        <f t="shared" si="12"/>
        <v>0.98309999999999997</v>
      </c>
      <c r="K248" s="34">
        <f t="shared" si="13"/>
        <v>1.47</v>
      </c>
      <c r="L248" s="34">
        <f t="shared" si="14"/>
        <v>5.88</v>
      </c>
      <c r="M248" s="11" t="s">
        <v>3814</v>
      </c>
      <c r="N248" s="11" t="s">
        <v>3719</v>
      </c>
      <c r="O248" s="11" t="s">
        <v>3711</v>
      </c>
      <c r="P248" s="11" t="s">
        <v>3720</v>
      </c>
      <c r="Q248" s="12">
        <v>45</v>
      </c>
      <c r="R248" s="12">
        <v>57</v>
      </c>
      <c r="S248" s="12">
        <v>6</v>
      </c>
      <c r="T248" s="13">
        <v>11.23</v>
      </c>
      <c r="U248" s="13">
        <f t="shared" si="15"/>
        <v>5.3500000000000005</v>
      </c>
      <c r="V248" s="14">
        <v>1375.68</v>
      </c>
      <c r="W248" s="14">
        <v>1375.68</v>
      </c>
      <c r="X248" s="11">
        <v>3</v>
      </c>
      <c r="Y248" s="15" t="s">
        <v>3713</v>
      </c>
      <c r="Z248" s="16">
        <v>1262.68</v>
      </c>
      <c r="AA248" s="17">
        <v>1117.4000000000001</v>
      </c>
      <c r="AB248" s="18" t="s">
        <v>3714</v>
      </c>
    </row>
    <row r="249" spans="1:28" x14ac:dyDescent="0.45">
      <c r="A249" s="2" t="s">
        <v>532</v>
      </c>
      <c r="B249" s="2" t="s">
        <v>533</v>
      </c>
      <c r="C249" s="2" t="s">
        <v>4</v>
      </c>
      <c r="D249" s="2" t="s">
        <v>515</v>
      </c>
      <c r="E249" s="2" t="s">
        <v>256</v>
      </c>
      <c r="F249" s="3">
        <v>50</v>
      </c>
      <c r="G249" s="3">
        <v>62</v>
      </c>
      <c r="H249" s="2" t="s">
        <v>159</v>
      </c>
      <c r="I249" s="19">
        <v>119</v>
      </c>
      <c r="J249" s="34">
        <f t="shared" si="12"/>
        <v>1.0352999999999999</v>
      </c>
      <c r="K249" s="34">
        <f t="shared" si="13"/>
        <v>1.55</v>
      </c>
      <c r="L249" s="34">
        <f t="shared" si="14"/>
        <v>6.2</v>
      </c>
      <c r="M249" s="20" t="s">
        <v>3784</v>
      </c>
      <c r="N249" s="20" t="s">
        <v>3719</v>
      </c>
      <c r="O249" s="20" t="s">
        <v>3711</v>
      </c>
      <c r="P249" s="20" t="s">
        <v>3720</v>
      </c>
      <c r="Q249" s="21">
        <v>50</v>
      </c>
      <c r="R249" s="21">
        <v>62</v>
      </c>
      <c r="S249" s="21">
        <v>6</v>
      </c>
      <c r="T249" s="22">
        <v>7.53</v>
      </c>
      <c r="U249" s="13">
        <f t="shared" si="15"/>
        <v>1.33</v>
      </c>
      <c r="V249" s="23">
        <v>922.42</v>
      </c>
      <c r="W249" s="23">
        <v>922.42</v>
      </c>
      <c r="X249" s="20" t="s">
        <v>3722</v>
      </c>
      <c r="Y249" s="24" t="s">
        <v>3713</v>
      </c>
      <c r="Z249" s="16">
        <v>803.42</v>
      </c>
      <c r="AA249" s="17">
        <v>675.1</v>
      </c>
      <c r="AB249" s="25" t="s">
        <v>3714</v>
      </c>
    </row>
    <row r="250" spans="1:28" x14ac:dyDescent="0.45">
      <c r="A250" s="4" t="s">
        <v>534</v>
      </c>
      <c r="B250" s="4" t="s">
        <v>535</v>
      </c>
      <c r="C250" s="4" t="s">
        <v>4</v>
      </c>
      <c r="D250" s="4" t="s">
        <v>515</v>
      </c>
      <c r="E250" s="4" t="s">
        <v>256</v>
      </c>
      <c r="F250" s="5">
        <v>50</v>
      </c>
      <c r="G250" s="5">
        <v>63.5</v>
      </c>
      <c r="H250" s="4" t="s">
        <v>380</v>
      </c>
      <c r="I250" s="10">
        <v>175</v>
      </c>
      <c r="J250" s="34">
        <f t="shared" si="12"/>
        <v>1.5225</v>
      </c>
      <c r="K250" s="34">
        <f t="shared" si="13"/>
        <v>2.2799999999999998</v>
      </c>
      <c r="L250" s="34">
        <f t="shared" si="14"/>
        <v>9.1199999999999992</v>
      </c>
      <c r="M250" s="11" t="s">
        <v>3839</v>
      </c>
      <c r="N250" s="11" t="s">
        <v>3735</v>
      </c>
      <c r="O250" s="11" t="s">
        <v>3711</v>
      </c>
      <c r="P250" s="11" t="s">
        <v>3736</v>
      </c>
      <c r="Q250" s="12">
        <v>50.8</v>
      </c>
      <c r="R250" s="12">
        <v>63.5</v>
      </c>
      <c r="S250" s="12">
        <v>6.35</v>
      </c>
      <c r="T250" s="13">
        <v>3.26</v>
      </c>
      <c r="U250" s="13">
        <f t="shared" si="15"/>
        <v>-5.8599999999999994</v>
      </c>
      <c r="V250" s="14">
        <v>399.35</v>
      </c>
      <c r="W250" s="14">
        <v>399.35</v>
      </c>
      <c r="X250" s="11">
        <v>166</v>
      </c>
      <c r="Y250" s="15" t="s">
        <v>3737</v>
      </c>
      <c r="Z250" s="16">
        <v>224.35</v>
      </c>
      <c r="AA250" s="17">
        <v>128.19999999999999</v>
      </c>
      <c r="AB250" s="18" t="s">
        <v>3840</v>
      </c>
    </row>
    <row r="251" spans="1:28" x14ac:dyDescent="0.45">
      <c r="A251" s="2" t="s">
        <v>536</v>
      </c>
      <c r="B251" s="2" t="s">
        <v>537</v>
      </c>
      <c r="C251" s="2" t="s">
        <v>4</v>
      </c>
      <c r="D251" s="2" t="s">
        <v>515</v>
      </c>
      <c r="E251" s="2" t="s">
        <v>256</v>
      </c>
      <c r="F251" s="3">
        <v>50</v>
      </c>
      <c r="G251" s="3">
        <v>64</v>
      </c>
      <c r="H251" s="2" t="s">
        <v>380</v>
      </c>
      <c r="I251" s="19">
        <v>175</v>
      </c>
      <c r="J251" s="34">
        <f t="shared" si="12"/>
        <v>1.5225</v>
      </c>
      <c r="K251" s="34">
        <f t="shared" si="13"/>
        <v>2.2799999999999998</v>
      </c>
      <c r="L251" s="34">
        <f t="shared" si="14"/>
        <v>9.1199999999999992</v>
      </c>
      <c r="M251" s="20" t="s">
        <v>3839</v>
      </c>
      <c r="N251" s="20" t="s">
        <v>3735</v>
      </c>
      <c r="O251" s="20" t="s">
        <v>3711</v>
      </c>
      <c r="P251" s="20" t="s">
        <v>3736</v>
      </c>
      <c r="Q251" s="21">
        <v>50.8</v>
      </c>
      <c r="R251" s="21">
        <v>63.5</v>
      </c>
      <c r="S251" s="21">
        <v>6.35</v>
      </c>
      <c r="T251" s="22">
        <v>3.26</v>
      </c>
      <c r="U251" s="13">
        <f t="shared" si="15"/>
        <v>-5.8599999999999994</v>
      </c>
      <c r="V251" s="23">
        <v>399.35</v>
      </c>
      <c r="W251" s="23">
        <v>399.35</v>
      </c>
      <c r="X251" s="20">
        <v>166</v>
      </c>
      <c r="Y251" s="24" t="s">
        <v>3737</v>
      </c>
      <c r="Z251" s="16">
        <v>224.35</v>
      </c>
      <c r="AA251" s="17">
        <v>128.19999999999999</v>
      </c>
      <c r="AB251" s="25" t="s">
        <v>3841</v>
      </c>
    </row>
    <row r="252" spans="1:28" x14ac:dyDescent="0.45">
      <c r="A252" s="4" t="s">
        <v>538</v>
      </c>
      <c r="B252" s="4" t="s">
        <v>539</v>
      </c>
      <c r="C252" s="4" t="s">
        <v>4</v>
      </c>
      <c r="D252" s="4" t="s">
        <v>515</v>
      </c>
      <c r="E252" s="4" t="s">
        <v>256</v>
      </c>
      <c r="F252" s="5">
        <v>55</v>
      </c>
      <c r="G252" s="5">
        <v>69</v>
      </c>
      <c r="H252" s="4" t="s">
        <v>380</v>
      </c>
      <c r="I252" s="10">
        <v>151</v>
      </c>
      <c r="J252" s="34">
        <f t="shared" si="12"/>
        <v>1.3136999999999999</v>
      </c>
      <c r="K252" s="34">
        <f t="shared" si="13"/>
        <v>1.97</v>
      </c>
      <c r="L252" s="34">
        <f t="shared" si="14"/>
        <v>7.88</v>
      </c>
      <c r="M252" s="11" t="s">
        <v>3842</v>
      </c>
      <c r="N252" s="11" t="s">
        <v>3719</v>
      </c>
      <c r="O252" s="11" t="s">
        <v>3711</v>
      </c>
      <c r="P252" s="11" t="s">
        <v>3720</v>
      </c>
      <c r="Q252" s="12">
        <v>56</v>
      </c>
      <c r="R252" s="12">
        <v>68</v>
      </c>
      <c r="S252" s="12">
        <v>6</v>
      </c>
      <c r="T252" s="13">
        <v>16.72</v>
      </c>
      <c r="U252" s="13">
        <f t="shared" si="15"/>
        <v>8.84</v>
      </c>
      <c r="V252" s="14">
        <v>2048.1999999999998</v>
      </c>
      <c r="W252" s="14">
        <v>2048.1999999999998</v>
      </c>
      <c r="X252" s="11">
        <v>11</v>
      </c>
      <c r="Y252" s="15" t="s">
        <v>3713</v>
      </c>
      <c r="Z252" s="16">
        <v>1897.2</v>
      </c>
      <c r="AA252" s="17">
        <v>1256.4000000000001</v>
      </c>
      <c r="AB252" s="18" t="s">
        <v>3783</v>
      </c>
    </row>
    <row r="253" spans="1:28" x14ac:dyDescent="0.45">
      <c r="A253" s="2" t="s">
        <v>540</v>
      </c>
      <c r="B253" s="2" t="s">
        <v>541</v>
      </c>
      <c r="C253" s="2" t="s">
        <v>4</v>
      </c>
      <c r="D253" s="2" t="s">
        <v>515</v>
      </c>
      <c r="E253" s="2" t="s">
        <v>256</v>
      </c>
      <c r="F253" s="3">
        <v>56</v>
      </c>
      <c r="G253" s="3">
        <v>70</v>
      </c>
      <c r="H253" s="2" t="s">
        <v>380</v>
      </c>
      <c r="I253" s="19">
        <v>183</v>
      </c>
      <c r="J253" s="34">
        <f t="shared" si="12"/>
        <v>1.5920999999999998</v>
      </c>
      <c r="K253" s="34">
        <f t="shared" si="13"/>
        <v>2.39</v>
      </c>
      <c r="L253" s="34">
        <f t="shared" si="14"/>
        <v>9.56</v>
      </c>
      <c r="M253" s="20" t="s">
        <v>3843</v>
      </c>
      <c r="N253" s="20" t="s">
        <v>3735</v>
      </c>
      <c r="O253" s="20" t="s">
        <v>3711</v>
      </c>
      <c r="P253" s="20" t="s">
        <v>3736</v>
      </c>
      <c r="Q253" s="21">
        <v>57.15</v>
      </c>
      <c r="R253" s="21">
        <v>69.849999999999994</v>
      </c>
      <c r="S253" s="21">
        <v>6.35</v>
      </c>
      <c r="T253" s="22">
        <v>3.52</v>
      </c>
      <c r="U253" s="13">
        <f t="shared" si="15"/>
        <v>-6.0400000000000009</v>
      </c>
      <c r="V253" s="23">
        <v>431.2</v>
      </c>
      <c r="W253" s="23">
        <v>431.2</v>
      </c>
      <c r="X253" s="20">
        <v>73</v>
      </c>
      <c r="Y253" s="24" t="s">
        <v>3737</v>
      </c>
      <c r="Z253" s="16">
        <v>248.2</v>
      </c>
      <c r="AA253" s="17">
        <v>135.6</v>
      </c>
      <c r="AB253" s="25" t="s">
        <v>3844</v>
      </c>
    </row>
    <row r="254" spans="1:28" x14ac:dyDescent="0.45">
      <c r="A254" s="4" t="s">
        <v>542</v>
      </c>
      <c r="B254" s="4" t="s">
        <v>543</v>
      </c>
      <c r="C254" s="4" t="s">
        <v>4</v>
      </c>
      <c r="D254" s="4" t="s">
        <v>515</v>
      </c>
      <c r="E254" s="4" t="s">
        <v>256</v>
      </c>
      <c r="F254" s="5">
        <v>60</v>
      </c>
      <c r="G254" s="5">
        <v>73</v>
      </c>
      <c r="H254" s="4" t="s">
        <v>347</v>
      </c>
      <c r="I254" s="10">
        <v>192</v>
      </c>
      <c r="J254" s="34">
        <f t="shared" si="12"/>
        <v>1.6703999999999999</v>
      </c>
      <c r="K254" s="34">
        <f t="shared" si="13"/>
        <v>2.5099999999999998</v>
      </c>
      <c r="L254" s="34">
        <f t="shared" si="14"/>
        <v>10.039999999999999</v>
      </c>
      <c r="M254" s="11" t="s">
        <v>3845</v>
      </c>
      <c r="N254" s="11" t="s">
        <v>3719</v>
      </c>
      <c r="O254" s="11" t="s">
        <v>3711</v>
      </c>
      <c r="P254" s="11" t="s">
        <v>3720</v>
      </c>
      <c r="Q254" s="12">
        <v>60</v>
      </c>
      <c r="R254" s="12">
        <v>72</v>
      </c>
      <c r="S254" s="12">
        <v>6</v>
      </c>
      <c r="T254" s="13">
        <v>13.28</v>
      </c>
      <c r="U254" s="13">
        <f t="shared" si="15"/>
        <v>3.24</v>
      </c>
      <c r="V254" s="14">
        <v>1626.8</v>
      </c>
      <c r="W254" s="14">
        <v>1626.8</v>
      </c>
      <c r="X254" s="11">
        <v>2</v>
      </c>
      <c r="Y254" s="15" t="s">
        <v>3713</v>
      </c>
      <c r="Z254" s="16">
        <v>1434.8</v>
      </c>
      <c r="AA254" s="17">
        <v>747.3</v>
      </c>
      <c r="AB254" s="18" t="s">
        <v>3786</v>
      </c>
    </row>
    <row r="255" spans="1:28" x14ac:dyDescent="0.45">
      <c r="A255" s="2" t="s">
        <v>544</v>
      </c>
      <c r="B255" s="2" t="s">
        <v>545</v>
      </c>
      <c r="C255" s="2" t="s">
        <v>4</v>
      </c>
      <c r="D255" s="2" t="s">
        <v>515</v>
      </c>
      <c r="E255" s="2" t="s">
        <v>256</v>
      </c>
      <c r="F255" s="3">
        <v>70</v>
      </c>
      <c r="G255" s="3">
        <v>82</v>
      </c>
      <c r="H255" s="2" t="s">
        <v>159</v>
      </c>
      <c r="I255" s="19">
        <v>200</v>
      </c>
      <c r="J255" s="34">
        <f t="shared" si="12"/>
        <v>1.7399999999999998</v>
      </c>
      <c r="K255" s="34">
        <f t="shared" si="13"/>
        <v>2.61</v>
      </c>
      <c r="L255" s="34">
        <f t="shared" si="14"/>
        <v>10.44</v>
      </c>
      <c r="M255" s="20" t="s">
        <v>3752</v>
      </c>
      <c r="N255" s="20" t="s">
        <v>3716</v>
      </c>
      <c r="O255" s="20" t="s">
        <v>3711</v>
      </c>
      <c r="P255" s="20" t="s">
        <v>3717</v>
      </c>
      <c r="Q255" s="21">
        <v>70</v>
      </c>
      <c r="R255" s="21">
        <v>82</v>
      </c>
      <c r="S255" s="21">
        <v>7</v>
      </c>
      <c r="T255" s="22">
        <v>19.12</v>
      </c>
      <c r="U255" s="13">
        <f t="shared" si="15"/>
        <v>8.6800000000000015</v>
      </c>
      <c r="V255" s="23">
        <v>2342.1999999999998</v>
      </c>
      <c r="W255" s="23">
        <v>2342.1999999999998</v>
      </c>
      <c r="X255" s="20">
        <v>25</v>
      </c>
      <c r="Y255" s="24" t="s">
        <v>3713</v>
      </c>
      <c r="Z255" s="16">
        <v>2142.1999999999998</v>
      </c>
      <c r="AA255" s="17">
        <v>1071.0999999999999</v>
      </c>
      <c r="AB255" s="25" t="s">
        <v>3714</v>
      </c>
    </row>
    <row r="256" spans="1:28" x14ac:dyDescent="0.45">
      <c r="A256" s="4" t="s">
        <v>546</v>
      </c>
      <c r="B256" s="4" t="s">
        <v>547</v>
      </c>
      <c r="C256" s="4" t="s">
        <v>4</v>
      </c>
      <c r="D256" s="4" t="s">
        <v>515</v>
      </c>
      <c r="E256" s="4" t="s">
        <v>256</v>
      </c>
      <c r="F256" s="5">
        <v>70</v>
      </c>
      <c r="G256" s="5">
        <v>84</v>
      </c>
      <c r="H256" s="4" t="s">
        <v>380</v>
      </c>
      <c r="I256" s="10">
        <v>183</v>
      </c>
      <c r="J256" s="34">
        <f t="shared" si="12"/>
        <v>1.5920999999999998</v>
      </c>
      <c r="K256" s="34">
        <f t="shared" si="13"/>
        <v>2.39</v>
      </c>
      <c r="L256" s="34">
        <f t="shared" si="14"/>
        <v>9.56</v>
      </c>
      <c r="M256" s="11" t="s">
        <v>3846</v>
      </c>
      <c r="N256" s="11" t="s">
        <v>3735</v>
      </c>
      <c r="O256" s="11" t="s">
        <v>3711</v>
      </c>
      <c r="P256" s="11" t="s">
        <v>3736</v>
      </c>
      <c r="Q256" s="12">
        <v>69.849999999999994</v>
      </c>
      <c r="R256" s="12">
        <v>82.55</v>
      </c>
      <c r="S256" s="12">
        <v>6.35</v>
      </c>
      <c r="T256" s="13">
        <v>5.55</v>
      </c>
      <c r="U256" s="13">
        <f t="shared" si="15"/>
        <v>-4.0100000000000007</v>
      </c>
      <c r="V256" s="14">
        <v>679.88</v>
      </c>
      <c r="W256" s="14">
        <v>679.88</v>
      </c>
      <c r="X256" s="11">
        <v>6</v>
      </c>
      <c r="Y256" s="15" t="s">
        <v>3737</v>
      </c>
      <c r="Z256" s="16">
        <v>496.88</v>
      </c>
      <c r="AA256" s="17">
        <v>271.5</v>
      </c>
      <c r="AB256" s="18" t="s">
        <v>3847</v>
      </c>
    </row>
    <row r="257" spans="1:28" x14ac:dyDescent="0.45">
      <c r="A257" s="2" t="s">
        <v>548</v>
      </c>
      <c r="B257" s="2" t="s">
        <v>549</v>
      </c>
      <c r="C257" s="2" t="s">
        <v>4</v>
      </c>
      <c r="D257" s="2" t="s">
        <v>515</v>
      </c>
      <c r="E257" s="2" t="s">
        <v>256</v>
      </c>
      <c r="F257" s="3">
        <v>75</v>
      </c>
      <c r="G257" s="3">
        <v>89</v>
      </c>
      <c r="H257" s="2" t="s">
        <v>380</v>
      </c>
      <c r="I257" s="19">
        <v>192</v>
      </c>
      <c r="J257" s="34">
        <f t="shared" si="12"/>
        <v>1.6703999999999999</v>
      </c>
      <c r="K257" s="34">
        <f t="shared" si="13"/>
        <v>2.5099999999999998</v>
      </c>
      <c r="L257" s="34">
        <f t="shared" si="14"/>
        <v>10.039999999999999</v>
      </c>
      <c r="M257" s="20" t="s">
        <v>3848</v>
      </c>
      <c r="N257" s="20" t="s">
        <v>3735</v>
      </c>
      <c r="O257" s="20" t="s">
        <v>3711</v>
      </c>
      <c r="P257" s="20" t="s">
        <v>3736</v>
      </c>
      <c r="Q257" s="21">
        <v>76.2</v>
      </c>
      <c r="R257" s="21">
        <v>88.9</v>
      </c>
      <c r="S257" s="21">
        <v>6.35</v>
      </c>
      <c r="T257" s="22">
        <v>4.46</v>
      </c>
      <c r="U257" s="13">
        <f t="shared" si="15"/>
        <v>-5.5799999999999992</v>
      </c>
      <c r="V257" s="23">
        <v>546.35</v>
      </c>
      <c r="W257" s="23">
        <v>546.35</v>
      </c>
      <c r="X257" s="20">
        <v>7</v>
      </c>
      <c r="Y257" s="24" t="s">
        <v>3737</v>
      </c>
      <c r="Z257" s="16">
        <v>354.35</v>
      </c>
      <c r="AA257" s="17">
        <v>184.6</v>
      </c>
      <c r="AB257" s="25" t="s">
        <v>3849</v>
      </c>
    </row>
    <row r="258" spans="1:28" x14ac:dyDescent="0.45">
      <c r="A258" s="4" t="s">
        <v>550</v>
      </c>
      <c r="B258" s="4" t="s">
        <v>551</v>
      </c>
      <c r="C258" s="4" t="s">
        <v>4</v>
      </c>
      <c r="D258" s="4" t="s">
        <v>515</v>
      </c>
      <c r="E258" s="4" t="s">
        <v>256</v>
      </c>
      <c r="F258" s="5">
        <v>80</v>
      </c>
      <c r="G258" s="5">
        <v>92</v>
      </c>
      <c r="H258" s="4" t="s">
        <v>159</v>
      </c>
      <c r="I258" s="10">
        <v>224</v>
      </c>
      <c r="J258" s="34">
        <f t="shared" si="12"/>
        <v>1.9487999999999999</v>
      </c>
      <c r="K258" s="34">
        <f t="shared" si="13"/>
        <v>2.92</v>
      </c>
      <c r="L258" s="34">
        <f t="shared" si="14"/>
        <v>11.68</v>
      </c>
      <c r="M258" s="11" t="s">
        <v>3754</v>
      </c>
      <c r="N258" s="11" t="s">
        <v>3716</v>
      </c>
      <c r="O258" s="11" t="s">
        <v>3711</v>
      </c>
      <c r="P258" s="11" t="s">
        <v>3717</v>
      </c>
      <c r="Q258" s="12">
        <v>80</v>
      </c>
      <c r="R258" s="12">
        <v>92</v>
      </c>
      <c r="S258" s="12">
        <v>7.2</v>
      </c>
      <c r="T258" s="13">
        <v>21.06</v>
      </c>
      <c r="U258" s="13">
        <f t="shared" si="15"/>
        <v>9.379999999999999</v>
      </c>
      <c r="V258" s="14">
        <v>2579.85</v>
      </c>
      <c r="W258" s="14">
        <v>2579.85</v>
      </c>
      <c r="X258" s="11" t="s">
        <v>3722</v>
      </c>
      <c r="Y258" s="15" t="s">
        <v>3713</v>
      </c>
      <c r="Z258" s="16">
        <v>2355.85</v>
      </c>
      <c r="AA258" s="17">
        <v>1051.7</v>
      </c>
      <c r="AB258" s="18" t="s">
        <v>3714</v>
      </c>
    </row>
    <row r="259" spans="1:28" x14ac:dyDescent="0.45">
      <c r="A259" s="2" t="s">
        <v>552</v>
      </c>
      <c r="B259" s="2" t="s">
        <v>553</v>
      </c>
      <c r="C259" s="2" t="s">
        <v>4</v>
      </c>
      <c r="D259" s="2" t="s">
        <v>515</v>
      </c>
      <c r="E259" s="2" t="s">
        <v>256</v>
      </c>
      <c r="F259" s="3">
        <v>80</v>
      </c>
      <c r="G259" s="3">
        <v>94</v>
      </c>
      <c r="H259" s="2" t="s">
        <v>380</v>
      </c>
      <c r="I259" s="19">
        <v>183</v>
      </c>
      <c r="J259" s="34">
        <f t="shared" si="12"/>
        <v>1.5920999999999998</v>
      </c>
      <c r="K259" s="34">
        <f t="shared" si="13"/>
        <v>2.39</v>
      </c>
      <c r="L259" s="34">
        <f t="shared" si="14"/>
        <v>9.56</v>
      </c>
      <c r="M259" s="20" t="s">
        <v>3850</v>
      </c>
      <c r="N259" s="20" t="s">
        <v>3731</v>
      </c>
      <c r="O259" s="20" t="s">
        <v>3711</v>
      </c>
      <c r="P259" s="20" t="s">
        <v>3732</v>
      </c>
      <c r="Q259" s="21">
        <v>80</v>
      </c>
      <c r="R259" s="21">
        <v>95</v>
      </c>
      <c r="S259" s="21">
        <v>5</v>
      </c>
      <c r="T259" s="22">
        <v>26.8</v>
      </c>
      <c r="U259" s="13">
        <f t="shared" si="15"/>
        <v>17.240000000000002</v>
      </c>
      <c r="V259" s="23">
        <v>3283</v>
      </c>
      <c r="W259" s="23">
        <v>3283</v>
      </c>
      <c r="X259" s="20" t="s">
        <v>3722</v>
      </c>
      <c r="Y259" s="24" t="s">
        <v>3713</v>
      </c>
      <c r="Z259" s="16">
        <v>3100</v>
      </c>
      <c r="AA259" s="17">
        <v>1694</v>
      </c>
      <c r="AB259" s="25" t="s">
        <v>3786</v>
      </c>
    </row>
    <row r="260" spans="1:28" x14ac:dyDescent="0.45">
      <c r="A260" s="4" t="s">
        <v>554</v>
      </c>
      <c r="B260" s="4" t="s">
        <v>555</v>
      </c>
      <c r="C260" s="4" t="s">
        <v>4</v>
      </c>
      <c r="D260" s="4" t="s">
        <v>515</v>
      </c>
      <c r="E260" s="4" t="s">
        <v>256</v>
      </c>
      <c r="F260" s="5">
        <v>90</v>
      </c>
      <c r="G260" s="5">
        <v>100</v>
      </c>
      <c r="H260" s="4" t="s">
        <v>556</v>
      </c>
      <c r="I260" s="10">
        <v>239</v>
      </c>
      <c r="J260" s="34">
        <f t="shared" si="12"/>
        <v>2.0792999999999999</v>
      </c>
      <c r="K260" s="34">
        <f t="shared" si="13"/>
        <v>3.12</v>
      </c>
      <c r="L260" s="34">
        <f t="shared" si="14"/>
        <v>12.48</v>
      </c>
      <c r="M260" s="11" t="s">
        <v>3833</v>
      </c>
      <c r="N260" s="11" t="s">
        <v>3716</v>
      </c>
      <c r="O260" s="11" t="s">
        <v>3711</v>
      </c>
      <c r="P260" s="11" t="s">
        <v>3717</v>
      </c>
      <c r="Q260" s="12">
        <v>90</v>
      </c>
      <c r="R260" s="12">
        <v>100</v>
      </c>
      <c r="S260" s="12">
        <v>6</v>
      </c>
      <c r="T260" s="13">
        <v>10.94</v>
      </c>
      <c r="U260" s="13">
        <f t="shared" si="15"/>
        <v>-1.5400000000000009</v>
      </c>
      <c r="V260" s="14">
        <v>1340.15</v>
      </c>
      <c r="W260" s="14">
        <v>1340.15</v>
      </c>
      <c r="X260" s="11">
        <v>106</v>
      </c>
      <c r="Y260" s="15" t="s">
        <v>3713</v>
      </c>
      <c r="Z260" s="16">
        <v>1101.1500000000001</v>
      </c>
      <c r="AA260" s="17">
        <v>460.7</v>
      </c>
      <c r="AB260" s="18" t="s">
        <v>3714</v>
      </c>
    </row>
    <row r="261" spans="1:28" x14ac:dyDescent="0.45">
      <c r="A261" s="2" t="s">
        <v>557</v>
      </c>
      <c r="B261" s="2" t="s">
        <v>558</v>
      </c>
      <c r="C261" s="2" t="s">
        <v>4</v>
      </c>
      <c r="D261" s="2" t="s">
        <v>515</v>
      </c>
      <c r="E261" s="2" t="s">
        <v>256</v>
      </c>
      <c r="F261" s="3">
        <v>90</v>
      </c>
      <c r="G261" s="3">
        <v>104</v>
      </c>
      <c r="H261" s="2" t="s">
        <v>380</v>
      </c>
      <c r="I261" s="19">
        <v>256</v>
      </c>
      <c r="J261" s="34">
        <f t="shared" ref="J261:J324" si="16">I261*0.0087</f>
        <v>2.2271999999999998</v>
      </c>
      <c r="K261" s="34">
        <f t="shared" ref="K261:K324" si="17">ROUND(J261*1.5,2)</f>
        <v>3.34</v>
      </c>
      <c r="L261" s="34">
        <f t="shared" ref="L261:L324" si="18">K261*4</f>
        <v>13.36</v>
      </c>
      <c r="M261" s="20" t="s">
        <v>3851</v>
      </c>
      <c r="N261" s="20" t="s">
        <v>3731</v>
      </c>
      <c r="O261" s="20" t="s">
        <v>3711</v>
      </c>
      <c r="P261" s="20" t="s">
        <v>3732</v>
      </c>
      <c r="Q261" s="21">
        <v>90</v>
      </c>
      <c r="R261" s="21">
        <v>103</v>
      </c>
      <c r="S261" s="21">
        <v>8</v>
      </c>
      <c r="T261" s="22">
        <v>19.39</v>
      </c>
      <c r="U261" s="13">
        <f t="shared" ref="U261:U324" si="19">T261-L261</f>
        <v>6.0300000000000011</v>
      </c>
      <c r="V261" s="23">
        <v>2375.2800000000002</v>
      </c>
      <c r="W261" s="23">
        <v>2375.2800000000002</v>
      </c>
      <c r="X261" s="20">
        <v>3</v>
      </c>
      <c r="Y261" s="24" t="s">
        <v>3713</v>
      </c>
      <c r="Z261" s="16">
        <v>2119.2800000000002</v>
      </c>
      <c r="AA261" s="17">
        <v>827.8</v>
      </c>
      <c r="AB261" s="25" t="s">
        <v>3786</v>
      </c>
    </row>
    <row r="262" spans="1:28" x14ac:dyDescent="0.45">
      <c r="A262" s="4" t="s">
        <v>559</v>
      </c>
      <c r="B262" s="4" t="s">
        <v>560</v>
      </c>
      <c r="C262" s="4" t="s">
        <v>4</v>
      </c>
      <c r="D262" s="4" t="s">
        <v>515</v>
      </c>
      <c r="E262" s="4" t="s">
        <v>256</v>
      </c>
      <c r="F262" s="5">
        <v>95</v>
      </c>
      <c r="G262" s="5">
        <v>109</v>
      </c>
      <c r="H262" s="4" t="s">
        <v>380</v>
      </c>
      <c r="I262" s="10">
        <v>247</v>
      </c>
      <c r="J262" s="34">
        <f t="shared" si="16"/>
        <v>2.1488999999999998</v>
      </c>
      <c r="K262" s="34">
        <f t="shared" si="17"/>
        <v>3.22</v>
      </c>
      <c r="L262" s="34">
        <f t="shared" si="18"/>
        <v>12.88</v>
      </c>
      <c r="M262" s="11" t="s">
        <v>3852</v>
      </c>
      <c r="N262" s="11" t="s">
        <v>3731</v>
      </c>
      <c r="O262" s="11" t="s">
        <v>3711</v>
      </c>
      <c r="P262" s="11" t="s">
        <v>3732</v>
      </c>
      <c r="Q262" s="12">
        <v>95</v>
      </c>
      <c r="R262" s="12">
        <v>110</v>
      </c>
      <c r="S262" s="12">
        <v>9.5</v>
      </c>
      <c r="T262" s="13">
        <v>29.21</v>
      </c>
      <c r="U262" s="13">
        <f t="shared" si="19"/>
        <v>16.329999999999998</v>
      </c>
      <c r="V262" s="14">
        <v>3578.22</v>
      </c>
      <c r="W262" s="14">
        <v>3578.22</v>
      </c>
      <c r="X262" s="11">
        <v>1</v>
      </c>
      <c r="Y262" s="15" t="s">
        <v>3713</v>
      </c>
      <c r="Z262" s="16">
        <v>3331.22</v>
      </c>
      <c r="AA262" s="17">
        <v>1348.7</v>
      </c>
      <c r="AB262" s="18" t="s">
        <v>3786</v>
      </c>
    </row>
    <row r="263" spans="1:28" x14ac:dyDescent="0.45">
      <c r="A263" s="2" t="s">
        <v>561</v>
      </c>
      <c r="B263" s="2" t="s">
        <v>5611</v>
      </c>
      <c r="C263" s="2" t="s">
        <v>4</v>
      </c>
      <c r="D263" s="2" t="s">
        <v>515</v>
      </c>
      <c r="E263" s="2" t="s">
        <v>256</v>
      </c>
      <c r="F263" s="3">
        <v>95</v>
      </c>
      <c r="G263" s="3">
        <v>107</v>
      </c>
      <c r="H263" s="2" t="s">
        <v>562</v>
      </c>
      <c r="I263" s="19">
        <v>318</v>
      </c>
      <c r="J263" s="34">
        <f t="shared" si="16"/>
        <v>2.7665999999999999</v>
      </c>
      <c r="K263" s="34">
        <f t="shared" si="17"/>
        <v>4.1500000000000004</v>
      </c>
      <c r="L263" s="34">
        <f t="shared" si="18"/>
        <v>16.600000000000001</v>
      </c>
      <c r="M263" s="20" t="s">
        <v>3757</v>
      </c>
      <c r="N263" s="20" t="s">
        <v>3716</v>
      </c>
      <c r="O263" s="20" t="s">
        <v>3711</v>
      </c>
      <c r="P263" s="20" t="s">
        <v>3717</v>
      </c>
      <c r="Q263" s="21">
        <v>95</v>
      </c>
      <c r="R263" s="21">
        <v>107</v>
      </c>
      <c r="S263" s="21">
        <v>7</v>
      </c>
      <c r="T263" s="22">
        <v>22.9</v>
      </c>
      <c r="U263" s="13">
        <f t="shared" si="19"/>
        <v>6.2999999999999972</v>
      </c>
      <c r="V263" s="23">
        <v>2805.25</v>
      </c>
      <c r="W263" s="23">
        <v>2805.25</v>
      </c>
      <c r="X263" s="20">
        <v>31</v>
      </c>
      <c r="Y263" s="24" t="s">
        <v>3713</v>
      </c>
      <c r="Z263" s="16">
        <v>2487.25</v>
      </c>
      <c r="AA263" s="17">
        <v>782.2</v>
      </c>
      <c r="AB263" s="25" t="s">
        <v>3714</v>
      </c>
    </row>
    <row r="264" spans="1:28" x14ac:dyDescent="0.45">
      <c r="A264" s="4" t="s">
        <v>563</v>
      </c>
      <c r="B264" s="4" t="s">
        <v>564</v>
      </c>
      <c r="C264" s="4" t="s">
        <v>4</v>
      </c>
      <c r="D264" s="4" t="s">
        <v>515</v>
      </c>
      <c r="E264" s="4" t="s">
        <v>256</v>
      </c>
      <c r="F264" s="5">
        <v>100</v>
      </c>
      <c r="G264" s="5">
        <v>114</v>
      </c>
      <c r="H264" s="4" t="s">
        <v>380</v>
      </c>
      <c r="I264" s="10">
        <v>271</v>
      </c>
      <c r="J264" s="34">
        <f t="shared" si="16"/>
        <v>2.3576999999999999</v>
      </c>
      <c r="K264" s="34">
        <f t="shared" si="17"/>
        <v>3.54</v>
      </c>
      <c r="L264" s="34">
        <f t="shared" si="18"/>
        <v>14.16</v>
      </c>
      <c r="M264" s="11" t="s">
        <v>3853</v>
      </c>
      <c r="N264" s="11" t="s">
        <v>3731</v>
      </c>
      <c r="O264" s="11" t="s">
        <v>3711</v>
      </c>
      <c r="P264" s="11" t="s">
        <v>3732</v>
      </c>
      <c r="Q264" s="12">
        <v>100</v>
      </c>
      <c r="R264" s="12">
        <v>114</v>
      </c>
      <c r="S264" s="12">
        <v>8</v>
      </c>
      <c r="T264" s="13">
        <v>23.78</v>
      </c>
      <c r="U264" s="13">
        <f t="shared" si="19"/>
        <v>9.620000000000001</v>
      </c>
      <c r="V264" s="14">
        <v>2913.05</v>
      </c>
      <c r="W264" s="14">
        <v>2913.05</v>
      </c>
      <c r="X264" s="11">
        <v>8</v>
      </c>
      <c r="Y264" s="15" t="s">
        <v>3713</v>
      </c>
      <c r="Z264" s="16">
        <v>2642.05</v>
      </c>
      <c r="AA264" s="17">
        <v>974.9</v>
      </c>
      <c r="AB264" s="18" t="s">
        <v>3714</v>
      </c>
    </row>
    <row r="265" spans="1:28" x14ac:dyDescent="0.45">
      <c r="A265" s="2" t="s">
        <v>565</v>
      </c>
      <c r="B265" s="2" t="s">
        <v>566</v>
      </c>
      <c r="C265" s="2" t="s">
        <v>4</v>
      </c>
      <c r="D265" s="2" t="s">
        <v>515</v>
      </c>
      <c r="E265" s="2" t="s">
        <v>256</v>
      </c>
      <c r="F265" s="3">
        <v>105</v>
      </c>
      <c r="G265" s="3">
        <v>121</v>
      </c>
      <c r="H265" s="2" t="s">
        <v>429</v>
      </c>
      <c r="I265" s="19">
        <v>342</v>
      </c>
      <c r="J265" s="34">
        <f t="shared" si="16"/>
        <v>2.9753999999999996</v>
      </c>
      <c r="K265" s="34">
        <f t="shared" si="17"/>
        <v>4.46</v>
      </c>
      <c r="L265" s="34">
        <f t="shared" si="18"/>
        <v>17.84</v>
      </c>
      <c r="M265" s="20" t="s">
        <v>3854</v>
      </c>
      <c r="N265" s="20" t="s">
        <v>3719</v>
      </c>
      <c r="O265" s="20" t="s">
        <v>3711</v>
      </c>
      <c r="P265" s="20" t="s">
        <v>3720</v>
      </c>
      <c r="Q265" s="21">
        <v>105</v>
      </c>
      <c r="R265" s="21">
        <v>121</v>
      </c>
      <c r="S265" s="21">
        <v>8</v>
      </c>
      <c r="T265" s="22">
        <v>23.67</v>
      </c>
      <c r="U265" s="13">
        <f t="shared" si="19"/>
        <v>5.8300000000000018</v>
      </c>
      <c r="V265" s="23">
        <v>2899.58</v>
      </c>
      <c r="W265" s="23">
        <v>2899.58</v>
      </c>
      <c r="X265" s="20" t="s">
        <v>3722</v>
      </c>
      <c r="Y265" s="24" t="s">
        <v>3713</v>
      </c>
      <c r="Z265" s="16">
        <v>2557.58</v>
      </c>
      <c r="AA265" s="17">
        <v>747.8</v>
      </c>
      <c r="AB265" s="25" t="s">
        <v>3714</v>
      </c>
    </row>
    <row r="266" spans="1:28" x14ac:dyDescent="0.45">
      <c r="A266" s="4" t="s">
        <v>567</v>
      </c>
      <c r="B266" s="4" t="s">
        <v>568</v>
      </c>
      <c r="C266" s="4" t="s">
        <v>4</v>
      </c>
      <c r="D266" s="4" t="s">
        <v>515</v>
      </c>
      <c r="E266" s="4" t="s">
        <v>256</v>
      </c>
      <c r="F266" s="5">
        <v>110</v>
      </c>
      <c r="G266" s="5">
        <v>126</v>
      </c>
      <c r="H266" s="4" t="s">
        <v>429</v>
      </c>
      <c r="I266" s="10">
        <v>375</v>
      </c>
      <c r="J266" s="34">
        <f t="shared" si="16"/>
        <v>3.2624999999999997</v>
      </c>
      <c r="K266" s="34">
        <f t="shared" si="17"/>
        <v>4.8899999999999997</v>
      </c>
      <c r="L266" s="34">
        <f t="shared" si="18"/>
        <v>19.559999999999999</v>
      </c>
      <c r="M266" s="11" t="s">
        <v>3855</v>
      </c>
      <c r="N266" s="11" t="s">
        <v>3719</v>
      </c>
      <c r="O266" s="11" t="s">
        <v>3711</v>
      </c>
      <c r="P266" s="11" t="s">
        <v>3720</v>
      </c>
      <c r="Q266" s="12">
        <v>110</v>
      </c>
      <c r="R266" s="12">
        <v>126</v>
      </c>
      <c r="S266" s="12">
        <v>8</v>
      </c>
      <c r="T266" s="13">
        <v>24.05</v>
      </c>
      <c r="U266" s="13">
        <f t="shared" si="19"/>
        <v>4.490000000000002</v>
      </c>
      <c r="V266" s="14">
        <v>2946.12</v>
      </c>
      <c r="W266" s="14">
        <v>2946.12</v>
      </c>
      <c r="X266" s="11">
        <v>25</v>
      </c>
      <c r="Y266" s="15" t="s">
        <v>3713</v>
      </c>
      <c r="Z266" s="16">
        <v>2571.12</v>
      </c>
      <c r="AA266" s="17">
        <v>685.6</v>
      </c>
      <c r="AB266" s="18" t="s">
        <v>3714</v>
      </c>
    </row>
    <row r="267" spans="1:28" x14ac:dyDescent="0.45">
      <c r="A267" s="2" t="s">
        <v>569</v>
      </c>
      <c r="B267" s="2" t="s">
        <v>570</v>
      </c>
      <c r="C267" s="2" t="s">
        <v>4</v>
      </c>
      <c r="D267" s="2" t="s">
        <v>515</v>
      </c>
      <c r="E267" s="2" t="s">
        <v>256</v>
      </c>
      <c r="F267" s="3">
        <v>120</v>
      </c>
      <c r="G267" s="3">
        <v>136</v>
      </c>
      <c r="H267" s="2" t="s">
        <v>429</v>
      </c>
      <c r="I267" s="19">
        <v>443</v>
      </c>
      <c r="J267" s="34">
        <f t="shared" si="16"/>
        <v>3.8540999999999999</v>
      </c>
      <c r="K267" s="34">
        <f t="shared" si="17"/>
        <v>5.78</v>
      </c>
      <c r="L267" s="34">
        <f t="shared" si="18"/>
        <v>23.12</v>
      </c>
      <c r="M267" s="20" t="s">
        <v>3821</v>
      </c>
      <c r="N267" s="20" t="s">
        <v>3716</v>
      </c>
      <c r="O267" s="20" t="s">
        <v>3711</v>
      </c>
      <c r="P267" s="20" t="s">
        <v>3717</v>
      </c>
      <c r="Q267" s="21">
        <v>120</v>
      </c>
      <c r="R267" s="21">
        <v>135</v>
      </c>
      <c r="S267" s="21">
        <v>9.5</v>
      </c>
      <c r="T267" s="22">
        <v>38.33</v>
      </c>
      <c r="U267" s="13">
        <f t="shared" si="19"/>
        <v>15.209999999999997</v>
      </c>
      <c r="V267" s="23">
        <v>4695.42</v>
      </c>
      <c r="W267" s="23">
        <v>4695.42</v>
      </c>
      <c r="X267" s="20">
        <v>14</v>
      </c>
      <c r="Y267" s="24" t="s">
        <v>3713</v>
      </c>
      <c r="Z267" s="16">
        <v>4252.42</v>
      </c>
      <c r="AA267" s="17">
        <v>959.9</v>
      </c>
      <c r="AB267" s="25" t="s">
        <v>3786</v>
      </c>
    </row>
    <row r="268" spans="1:28" x14ac:dyDescent="0.45">
      <c r="A268" s="4" t="s">
        <v>571</v>
      </c>
      <c r="B268" s="4" t="s">
        <v>572</v>
      </c>
      <c r="C268" s="4" t="s">
        <v>4</v>
      </c>
      <c r="D268" s="4" t="s">
        <v>515</v>
      </c>
      <c r="E268" s="4" t="s">
        <v>256</v>
      </c>
      <c r="F268" s="5">
        <v>125</v>
      </c>
      <c r="G268" s="5">
        <v>141</v>
      </c>
      <c r="H268" s="4" t="s">
        <v>429</v>
      </c>
      <c r="I268" s="10">
        <v>468</v>
      </c>
      <c r="J268" s="34">
        <f t="shared" si="16"/>
        <v>4.0716000000000001</v>
      </c>
      <c r="K268" s="34">
        <f t="shared" si="17"/>
        <v>6.11</v>
      </c>
      <c r="L268" s="34">
        <f t="shared" si="18"/>
        <v>24.44</v>
      </c>
      <c r="M268" s="11" t="s">
        <v>3856</v>
      </c>
      <c r="N268" s="11" t="s">
        <v>3719</v>
      </c>
      <c r="O268" s="11" t="s">
        <v>3711</v>
      </c>
      <c r="P268" s="11" t="s">
        <v>3720</v>
      </c>
      <c r="Q268" s="12">
        <v>125</v>
      </c>
      <c r="R268" s="12">
        <v>141</v>
      </c>
      <c r="S268" s="12">
        <v>8</v>
      </c>
      <c r="T268" s="13">
        <v>34.979999999999997</v>
      </c>
      <c r="U268" s="13">
        <f t="shared" si="19"/>
        <v>10.539999999999996</v>
      </c>
      <c r="V268" s="14">
        <v>4285.05</v>
      </c>
      <c r="W268" s="14">
        <v>4285.05</v>
      </c>
      <c r="X268" s="11" t="s">
        <v>3722</v>
      </c>
      <c r="Y268" s="15" t="s">
        <v>3713</v>
      </c>
      <c r="Z268" s="16">
        <v>3817.05</v>
      </c>
      <c r="AA268" s="17">
        <v>815.6</v>
      </c>
      <c r="AB268" s="18" t="s">
        <v>3714</v>
      </c>
    </row>
    <row r="269" spans="1:28" x14ac:dyDescent="0.45">
      <c r="A269" s="2" t="s">
        <v>573</v>
      </c>
      <c r="B269" s="2" t="s">
        <v>574</v>
      </c>
      <c r="C269" s="2" t="s">
        <v>4</v>
      </c>
      <c r="D269" s="2" t="s">
        <v>515</v>
      </c>
      <c r="E269" s="2" t="s">
        <v>256</v>
      </c>
      <c r="F269" s="3">
        <v>130</v>
      </c>
      <c r="G269" s="3">
        <v>146</v>
      </c>
      <c r="H269" s="2" t="s">
        <v>429</v>
      </c>
      <c r="I269" s="19">
        <v>576</v>
      </c>
      <c r="J269" s="34">
        <f t="shared" si="16"/>
        <v>5.0111999999999997</v>
      </c>
      <c r="K269" s="34">
        <f t="shared" si="17"/>
        <v>7.52</v>
      </c>
      <c r="L269" s="34">
        <f t="shared" si="18"/>
        <v>30.08</v>
      </c>
      <c r="M269" s="20" t="s">
        <v>3836</v>
      </c>
      <c r="N269" s="20" t="s">
        <v>3716</v>
      </c>
      <c r="O269" s="20" t="s">
        <v>3711</v>
      </c>
      <c r="P269" s="20" t="s">
        <v>3717</v>
      </c>
      <c r="Q269" s="21">
        <v>130</v>
      </c>
      <c r="R269" s="21">
        <v>145</v>
      </c>
      <c r="S269" s="21">
        <v>10</v>
      </c>
      <c r="T269" s="22">
        <v>37.799999999999997</v>
      </c>
      <c r="U269" s="13">
        <f t="shared" si="19"/>
        <v>7.7199999999999989</v>
      </c>
      <c r="V269" s="23">
        <v>4630.5</v>
      </c>
      <c r="W269" s="23">
        <v>4630.5</v>
      </c>
      <c r="X269" s="20">
        <v>4</v>
      </c>
      <c r="Y269" s="24" t="s">
        <v>3713</v>
      </c>
      <c r="Z269" s="16">
        <v>4054.5</v>
      </c>
      <c r="AA269" s="17">
        <v>703.9</v>
      </c>
      <c r="AB269" s="25" t="s">
        <v>3786</v>
      </c>
    </row>
    <row r="270" spans="1:28" x14ac:dyDescent="0.45">
      <c r="A270" s="4" t="s">
        <v>575</v>
      </c>
      <c r="B270" s="4" t="s">
        <v>576</v>
      </c>
      <c r="C270" s="4" t="s">
        <v>4</v>
      </c>
      <c r="D270" s="4" t="s">
        <v>515</v>
      </c>
      <c r="E270" s="4" t="s">
        <v>256</v>
      </c>
      <c r="F270" s="5">
        <v>180</v>
      </c>
      <c r="G270" s="5">
        <v>200</v>
      </c>
      <c r="H270" s="4" t="s">
        <v>436</v>
      </c>
      <c r="I270" s="10">
        <v>993</v>
      </c>
      <c r="J270" s="34">
        <f t="shared" si="16"/>
        <v>8.6390999999999991</v>
      </c>
      <c r="K270" s="34">
        <f t="shared" si="17"/>
        <v>12.96</v>
      </c>
      <c r="L270" s="34">
        <f t="shared" si="18"/>
        <v>51.84</v>
      </c>
      <c r="M270" s="11" t="s">
        <v>3795</v>
      </c>
      <c r="N270" s="11" t="s">
        <v>3716</v>
      </c>
      <c r="O270" s="11" t="s">
        <v>3711</v>
      </c>
      <c r="P270" s="11" t="s">
        <v>3717</v>
      </c>
      <c r="Q270" s="12">
        <v>180</v>
      </c>
      <c r="R270" s="12">
        <v>200</v>
      </c>
      <c r="S270" s="12">
        <v>10</v>
      </c>
      <c r="T270" s="13">
        <v>28.17</v>
      </c>
      <c r="U270" s="13">
        <f t="shared" si="19"/>
        <v>-23.67</v>
      </c>
      <c r="V270" s="14">
        <v>3450.82</v>
      </c>
      <c r="W270" s="14">
        <v>3450.82</v>
      </c>
      <c r="X270" s="11">
        <v>38</v>
      </c>
      <c r="Y270" s="15" t="s">
        <v>3713</v>
      </c>
      <c r="Z270" s="16">
        <v>2457.8200000000002</v>
      </c>
      <c r="AA270" s="17">
        <v>247.5</v>
      </c>
      <c r="AB270" s="18" t="s">
        <v>3714</v>
      </c>
    </row>
    <row r="271" spans="1:28" x14ac:dyDescent="0.45">
      <c r="A271" s="2" t="s">
        <v>578</v>
      </c>
      <c r="B271" s="2" t="s">
        <v>579</v>
      </c>
      <c r="C271" s="2" t="s">
        <v>4</v>
      </c>
      <c r="D271" s="2" t="s">
        <v>515</v>
      </c>
      <c r="E271" s="2" t="s">
        <v>256</v>
      </c>
      <c r="F271" s="3">
        <v>190</v>
      </c>
      <c r="G271" s="3">
        <v>215</v>
      </c>
      <c r="H271" s="2" t="s">
        <v>577</v>
      </c>
      <c r="I271" s="19">
        <v>1617</v>
      </c>
      <c r="J271" s="34">
        <f t="shared" si="16"/>
        <v>14.0679</v>
      </c>
      <c r="K271" s="34">
        <f t="shared" si="17"/>
        <v>21.1</v>
      </c>
      <c r="L271" s="34">
        <f t="shared" si="18"/>
        <v>84.4</v>
      </c>
      <c r="M271" s="20" t="s">
        <v>3857</v>
      </c>
      <c r="N271" s="20" t="s">
        <v>3719</v>
      </c>
      <c r="O271" s="20" t="s">
        <v>3711</v>
      </c>
      <c r="P271" s="20" t="s">
        <v>3720</v>
      </c>
      <c r="Q271" s="21">
        <v>190.5</v>
      </c>
      <c r="R271" s="21">
        <v>215.9</v>
      </c>
      <c r="S271" s="21">
        <v>6.35</v>
      </c>
      <c r="T271" s="22">
        <v>64.05</v>
      </c>
      <c r="U271" s="13">
        <f t="shared" si="19"/>
        <v>-20.350000000000009</v>
      </c>
      <c r="V271" s="23">
        <v>7846.12</v>
      </c>
      <c r="W271" s="23">
        <v>7846.12</v>
      </c>
      <c r="X271" s="20" t="s">
        <v>3722</v>
      </c>
      <c r="Y271" s="24" t="s">
        <v>3737</v>
      </c>
      <c r="Z271" s="16">
        <v>6229.12</v>
      </c>
      <c r="AA271" s="17">
        <v>385.2</v>
      </c>
      <c r="AB271" s="25" t="s">
        <v>3858</v>
      </c>
    </row>
    <row r="272" spans="1:28" x14ac:dyDescent="0.45">
      <c r="A272" s="4" t="s">
        <v>580</v>
      </c>
      <c r="B272" s="4" t="s">
        <v>581</v>
      </c>
      <c r="C272" s="4" t="s">
        <v>4</v>
      </c>
      <c r="D272" s="4" t="s">
        <v>515</v>
      </c>
      <c r="E272" s="4" t="s">
        <v>256</v>
      </c>
      <c r="F272" s="5">
        <v>200</v>
      </c>
      <c r="G272" s="5">
        <v>216</v>
      </c>
      <c r="H272" s="4" t="s">
        <v>429</v>
      </c>
      <c r="I272" s="10">
        <v>1160</v>
      </c>
      <c r="J272" s="34">
        <f t="shared" si="16"/>
        <v>10.091999999999999</v>
      </c>
      <c r="K272" s="34">
        <f t="shared" si="17"/>
        <v>15.14</v>
      </c>
      <c r="L272" s="34">
        <f t="shared" si="18"/>
        <v>60.56</v>
      </c>
      <c r="M272" s="11" t="s">
        <v>3859</v>
      </c>
      <c r="N272" s="11" t="s">
        <v>3716</v>
      </c>
      <c r="O272" s="11" t="s">
        <v>3711</v>
      </c>
      <c r="P272" s="11" t="s">
        <v>3717</v>
      </c>
      <c r="Q272" s="12">
        <v>200</v>
      </c>
      <c r="R272" s="12">
        <v>215</v>
      </c>
      <c r="S272" s="12">
        <v>9.5</v>
      </c>
      <c r="T272" s="13">
        <v>33.67</v>
      </c>
      <c r="U272" s="13">
        <f t="shared" si="19"/>
        <v>-26.89</v>
      </c>
      <c r="V272" s="14">
        <v>4124.58</v>
      </c>
      <c r="W272" s="14">
        <v>4124.58</v>
      </c>
      <c r="X272" s="11">
        <v>58</v>
      </c>
      <c r="Y272" s="15" t="s">
        <v>3713</v>
      </c>
      <c r="Z272" s="16">
        <v>2964.58</v>
      </c>
      <c r="AA272" s="17">
        <v>255.6</v>
      </c>
      <c r="AB272" s="18" t="s">
        <v>3786</v>
      </c>
    </row>
    <row r="273" spans="1:28" x14ac:dyDescent="0.45">
      <c r="A273" s="2" t="s">
        <v>582</v>
      </c>
      <c r="B273" s="2" t="s">
        <v>583</v>
      </c>
      <c r="C273" s="2" t="s">
        <v>4</v>
      </c>
      <c r="D273" s="2" t="s">
        <v>515</v>
      </c>
      <c r="E273" s="2" t="s">
        <v>256</v>
      </c>
      <c r="F273" s="3">
        <v>200</v>
      </c>
      <c r="G273" s="3">
        <v>220</v>
      </c>
      <c r="H273" s="2" t="s">
        <v>436</v>
      </c>
      <c r="I273" s="19">
        <v>1533</v>
      </c>
      <c r="J273" s="34">
        <f t="shared" si="16"/>
        <v>13.3371</v>
      </c>
      <c r="K273" s="34">
        <f t="shared" si="17"/>
        <v>20.010000000000002</v>
      </c>
      <c r="L273" s="34">
        <f t="shared" si="18"/>
        <v>80.040000000000006</v>
      </c>
      <c r="M273" s="20" t="s">
        <v>3797</v>
      </c>
      <c r="N273" s="20" t="s">
        <v>3716</v>
      </c>
      <c r="O273" s="20" t="s">
        <v>3711</v>
      </c>
      <c r="P273" s="20" t="s">
        <v>3717</v>
      </c>
      <c r="Q273" s="21">
        <v>200</v>
      </c>
      <c r="R273" s="21">
        <v>220</v>
      </c>
      <c r="S273" s="21">
        <v>10</v>
      </c>
      <c r="T273" s="22">
        <v>35.64</v>
      </c>
      <c r="U273" s="13">
        <f t="shared" si="19"/>
        <v>-44.400000000000006</v>
      </c>
      <c r="V273" s="23">
        <v>4365.8999999999996</v>
      </c>
      <c r="W273" s="23">
        <v>4365.8999999999996</v>
      </c>
      <c r="X273" s="20">
        <v>33</v>
      </c>
      <c r="Y273" s="24" t="s">
        <v>3713</v>
      </c>
      <c r="Z273" s="16">
        <v>2832.9</v>
      </c>
      <c r="AA273" s="17">
        <v>184.8</v>
      </c>
      <c r="AB273" s="25" t="s">
        <v>3714</v>
      </c>
    </row>
    <row r="274" spans="1:28" x14ac:dyDescent="0.45">
      <c r="A274" s="4" t="s">
        <v>584</v>
      </c>
      <c r="B274" s="4" t="s">
        <v>585</v>
      </c>
      <c r="C274" s="4" t="s">
        <v>4</v>
      </c>
      <c r="D274" s="4" t="s">
        <v>586</v>
      </c>
      <c r="E274" s="4" t="s">
        <v>6</v>
      </c>
      <c r="F274" s="5">
        <v>12</v>
      </c>
      <c r="G274" s="5">
        <v>20</v>
      </c>
      <c r="H274" s="4" t="s">
        <v>328</v>
      </c>
      <c r="I274" s="10">
        <v>69</v>
      </c>
      <c r="J274" s="34">
        <f t="shared" si="16"/>
        <v>0.60029999999999994</v>
      </c>
      <c r="K274" s="34">
        <f t="shared" si="17"/>
        <v>0.9</v>
      </c>
      <c r="L274" s="34">
        <f t="shared" si="18"/>
        <v>3.6</v>
      </c>
      <c r="M274" s="11" t="s">
        <v>3769</v>
      </c>
      <c r="N274" s="11" t="s">
        <v>3719</v>
      </c>
      <c r="O274" s="11" t="s">
        <v>3711</v>
      </c>
      <c r="P274" s="11" t="s">
        <v>3720</v>
      </c>
      <c r="Q274" s="12">
        <v>12</v>
      </c>
      <c r="R274" s="12">
        <v>20</v>
      </c>
      <c r="S274" s="12">
        <v>4</v>
      </c>
      <c r="T274" s="13">
        <v>11.23</v>
      </c>
      <c r="U274" s="13">
        <f t="shared" si="19"/>
        <v>7.6300000000000008</v>
      </c>
      <c r="V274" s="14">
        <v>1375.68</v>
      </c>
      <c r="W274" s="14">
        <v>1375.68</v>
      </c>
      <c r="X274" s="11">
        <v>24</v>
      </c>
      <c r="Y274" s="15" t="s">
        <v>3713</v>
      </c>
      <c r="Z274" s="16">
        <v>1306.68</v>
      </c>
      <c r="AA274" s="17">
        <v>1893.7</v>
      </c>
      <c r="AB274" s="18" t="s">
        <v>3714</v>
      </c>
    </row>
    <row r="275" spans="1:28" x14ac:dyDescent="0.45">
      <c r="A275" s="2" t="s">
        <v>587</v>
      </c>
      <c r="B275" s="2" t="s">
        <v>588</v>
      </c>
      <c r="C275" s="2" t="s">
        <v>4</v>
      </c>
      <c r="D275" s="2" t="s">
        <v>586</v>
      </c>
      <c r="E275" s="2" t="s">
        <v>6</v>
      </c>
      <c r="F275" s="3">
        <v>14</v>
      </c>
      <c r="G275" s="3">
        <v>22</v>
      </c>
      <c r="H275" s="2" t="s">
        <v>328</v>
      </c>
      <c r="I275" s="19">
        <v>72</v>
      </c>
      <c r="J275" s="34">
        <f t="shared" si="16"/>
        <v>0.62639999999999996</v>
      </c>
      <c r="K275" s="34">
        <f t="shared" si="17"/>
        <v>0.94</v>
      </c>
      <c r="L275" s="34">
        <f t="shared" si="18"/>
        <v>3.76</v>
      </c>
      <c r="M275" s="20" t="s">
        <v>3770</v>
      </c>
      <c r="N275" s="20" t="s">
        <v>3719</v>
      </c>
      <c r="O275" s="20" t="s">
        <v>3711</v>
      </c>
      <c r="P275" s="20" t="s">
        <v>3720</v>
      </c>
      <c r="Q275" s="21">
        <v>14</v>
      </c>
      <c r="R275" s="21">
        <v>22</v>
      </c>
      <c r="S275" s="21">
        <v>4</v>
      </c>
      <c r="T275" s="22">
        <v>9.43</v>
      </c>
      <c r="U275" s="13">
        <f t="shared" si="19"/>
        <v>5.67</v>
      </c>
      <c r="V275" s="23">
        <v>1155.18</v>
      </c>
      <c r="W275" s="23">
        <v>1155.18</v>
      </c>
      <c r="X275" s="20">
        <v>7</v>
      </c>
      <c r="Y275" s="24" t="s">
        <v>3713</v>
      </c>
      <c r="Z275" s="16">
        <v>1083.18</v>
      </c>
      <c r="AA275" s="17">
        <v>1504.4</v>
      </c>
      <c r="AB275" s="25" t="s">
        <v>3714</v>
      </c>
    </row>
    <row r="276" spans="1:28" x14ac:dyDescent="0.45">
      <c r="A276" s="4" t="s">
        <v>589</v>
      </c>
      <c r="B276" s="4" t="s">
        <v>590</v>
      </c>
      <c r="C276" s="4" t="s">
        <v>4</v>
      </c>
      <c r="D276" s="4" t="s">
        <v>586</v>
      </c>
      <c r="E276" s="4" t="s">
        <v>6</v>
      </c>
      <c r="F276" s="5">
        <v>16</v>
      </c>
      <c r="G276" s="5">
        <v>24</v>
      </c>
      <c r="H276" s="4" t="s">
        <v>328</v>
      </c>
      <c r="I276" s="10">
        <v>72</v>
      </c>
      <c r="J276" s="34">
        <f t="shared" si="16"/>
        <v>0.62639999999999996</v>
      </c>
      <c r="K276" s="34">
        <f t="shared" si="17"/>
        <v>0.94</v>
      </c>
      <c r="L276" s="34">
        <f t="shared" si="18"/>
        <v>3.76</v>
      </c>
      <c r="M276" s="11" t="s">
        <v>3772</v>
      </c>
      <c r="N276" s="11" t="s">
        <v>3719</v>
      </c>
      <c r="O276" s="11" t="s">
        <v>3711</v>
      </c>
      <c r="P276" s="11" t="s">
        <v>3720</v>
      </c>
      <c r="Q276" s="12">
        <v>16</v>
      </c>
      <c r="R276" s="12">
        <v>24</v>
      </c>
      <c r="S276" s="12">
        <v>4</v>
      </c>
      <c r="T276" s="13">
        <v>12.03</v>
      </c>
      <c r="U276" s="13">
        <f t="shared" si="19"/>
        <v>8.27</v>
      </c>
      <c r="V276" s="14">
        <v>1473.68</v>
      </c>
      <c r="W276" s="14">
        <v>1473.68</v>
      </c>
      <c r="X276" s="11">
        <v>34</v>
      </c>
      <c r="Y276" s="15" t="s">
        <v>3713</v>
      </c>
      <c r="Z276" s="16">
        <v>1401.68</v>
      </c>
      <c r="AA276" s="17">
        <v>1946.8</v>
      </c>
      <c r="AB276" s="18" t="s">
        <v>3714</v>
      </c>
    </row>
    <row r="277" spans="1:28" x14ac:dyDescent="0.45">
      <c r="A277" s="2" t="s">
        <v>591</v>
      </c>
      <c r="B277" s="2" t="s">
        <v>592</v>
      </c>
      <c r="C277" s="2" t="s">
        <v>4</v>
      </c>
      <c r="D277" s="2" t="s">
        <v>586</v>
      </c>
      <c r="E277" s="2" t="s">
        <v>6</v>
      </c>
      <c r="F277" s="3">
        <v>18</v>
      </c>
      <c r="G277" s="3">
        <v>26</v>
      </c>
      <c r="H277" s="2" t="s">
        <v>328</v>
      </c>
      <c r="I277" s="19">
        <v>76</v>
      </c>
      <c r="J277" s="34">
        <f t="shared" si="16"/>
        <v>0.66120000000000001</v>
      </c>
      <c r="K277" s="34">
        <f t="shared" si="17"/>
        <v>0.99</v>
      </c>
      <c r="L277" s="34">
        <f t="shared" si="18"/>
        <v>3.96</v>
      </c>
      <c r="M277" s="20" t="s">
        <v>3718</v>
      </c>
      <c r="N277" s="20" t="s">
        <v>3719</v>
      </c>
      <c r="O277" s="20" t="s">
        <v>3711</v>
      </c>
      <c r="P277" s="20" t="s">
        <v>3720</v>
      </c>
      <c r="Q277" s="21">
        <v>18</v>
      </c>
      <c r="R277" s="21">
        <v>26</v>
      </c>
      <c r="S277" s="21">
        <v>4</v>
      </c>
      <c r="T277" s="22">
        <v>4.1900000000000004</v>
      </c>
      <c r="U277" s="13">
        <f t="shared" si="19"/>
        <v>0.23000000000000043</v>
      </c>
      <c r="V277" s="23">
        <v>513.28</v>
      </c>
      <c r="W277" s="23">
        <v>513.28</v>
      </c>
      <c r="X277" s="20">
        <v>55</v>
      </c>
      <c r="Y277" s="24" t="s">
        <v>3713</v>
      </c>
      <c r="Z277" s="16">
        <v>437.28</v>
      </c>
      <c r="AA277" s="17">
        <v>575.4</v>
      </c>
      <c r="AB277" s="25" t="s">
        <v>3714</v>
      </c>
    </row>
    <row r="278" spans="1:28" x14ac:dyDescent="0.45">
      <c r="A278" s="4" t="s">
        <v>593</v>
      </c>
      <c r="B278" s="4" t="s">
        <v>594</v>
      </c>
      <c r="C278" s="4" t="s">
        <v>4</v>
      </c>
      <c r="D278" s="4" t="s">
        <v>586</v>
      </c>
      <c r="E278" s="4" t="s">
        <v>6</v>
      </c>
      <c r="F278" s="5">
        <v>20</v>
      </c>
      <c r="G278" s="5">
        <v>28</v>
      </c>
      <c r="H278" s="4" t="s">
        <v>328</v>
      </c>
      <c r="I278" s="10">
        <v>81</v>
      </c>
      <c r="J278" s="34">
        <f t="shared" si="16"/>
        <v>0.70469999999999999</v>
      </c>
      <c r="K278" s="34">
        <f t="shared" si="17"/>
        <v>1.06</v>
      </c>
      <c r="L278" s="34">
        <f t="shared" si="18"/>
        <v>4.24</v>
      </c>
      <c r="M278" s="11" t="s">
        <v>3721</v>
      </c>
      <c r="N278" s="11" t="s">
        <v>3719</v>
      </c>
      <c r="O278" s="11" t="s">
        <v>3711</v>
      </c>
      <c r="P278" s="11" t="s">
        <v>3720</v>
      </c>
      <c r="Q278" s="12">
        <v>20</v>
      </c>
      <c r="R278" s="12">
        <v>28</v>
      </c>
      <c r="S278" s="12">
        <v>4</v>
      </c>
      <c r="T278" s="13">
        <v>11.74</v>
      </c>
      <c r="U278" s="13">
        <f t="shared" si="19"/>
        <v>7.5</v>
      </c>
      <c r="V278" s="14">
        <v>1438.15</v>
      </c>
      <c r="W278" s="14">
        <v>1438.15</v>
      </c>
      <c r="X278" s="11" t="s">
        <v>3722</v>
      </c>
      <c r="Y278" s="15" t="s">
        <v>3713</v>
      </c>
      <c r="Z278" s="16">
        <v>1357.15</v>
      </c>
      <c r="AA278" s="17">
        <v>1675.5</v>
      </c>
      <c r="AB278" s="18" t="s">
        <v>3714</v>
      </c>
    </row>
    <row r="279" spans="1:28" x14ac:dyDescent="0.45">
      <c r="A279" s="2" t="s">
        <v>595</v>
      </c>
      <c r="B279" s="2" t="s">
        <v>596</v>
      </c>
      <c r="C279" s="2" t="s">
        <v>4</v>
      </c>
      <c r="D279" s="2" t="s">
        <v>586</v>
      </c>
      <c r="E279" s="2" t="s">
        <v>6</v>
      </c>
      <c r="F279" s="3">
        <v>22</v>
      </c>
      <c r="G279" s="3">
        <v>30</v>
      </c>
      <c r="H279" s="2" t="s">
        <v>328</v>
      </c>
      <c r="I279" s="19">
        <v>84</v>
      </c>
      <c r="J279" s="34">
        <f t="shared" si="16"/>
        <v>0.73079999999999989</v>
      </c>
      <c r="K279" s="34">
        <f t="shared" si="17"/>
        <v>1.1000000000000001</v>
      </c>
      <c r="L279" s="34">
        <f t="shared" si="18"/>
        <v>4.4000000000000004</v>
      </c>
      <c r="M279" s="20" t="s">
        <v>3723</v>
      </c>
      <c r="N279" s="20" t="s">
        <v>3719</v>
      </c>
      <c r="O279" s="20" t="s">
        <v>3711</v>
      </c>
      <c r="P279" s="20" t="s">
        <v>3720</v>
      </c>
      <c r="Q279" s="21">
        <v>22</v>
      </c>
      <c r="R279" s="21">
        <v>30</v>
      </c>
      <c r="S279" s="21">
        <v>4</v>
      </c>
      <c r="T279" s="22">
        <v>7.14</v>
      </c>
      <c r="U279" s="13">
        <f t="shared" si="19"/>
        <v>2.7399999999999993</v>
      </c>
      <c r="V279" s="23">
        <v>874.65</v>
      </c>
      <c r="W279" s="23">
        <v>874.65</v>
      </c>
      <c r="X279" s="20">
        <v>16</v>
      </c>
      <c r="Y279" s="24" t="s">
        <v>3713</v>
      </c>
      <c r="Z279" s="16">
        <v>790.65</v>
      </c>
      <c r="AA279" s="17">
        <v>941.2</v>
      </c>
      <c r="AB279" s="25" t="s">
        <v>3714</v>
      </c>
    </row>
    <row r="280" spans="1:28" x14ac:dyDescent="0.45">
      <c r="A280" s="4" t="s">
        <v>597</v>
      </c>
      <c r="B280" s="4" t="s">
        <v>598</v>
      </c>
      <c r="C280" s="4" t="s">
        <v>4</v>
      </c>
      <c r="D280" s="4" t="s">
        <v>586</v>
      </c>
      <c r="E280" s="4" t="s">
        <v>6</v>
      </c>
      <c r="F280" s="5">
        <v>25</v>
      </c>
      <c r="G280" s="5">
        <v>33</v>
      </c>
      <c r="H280" s="4" t="s">
        <v>328</v>
      </c>
      <c r="I280" s="10">
        <v>87</v>
      </c>
      <c r="J280" s="34">
        <f t="shared" si="16"/>
        <v>0.75689999999999991</v>
      </c>
      <c r="K280" s="34">
        <f t="shared" si="17"/>
        <v>1.1399999999999999</v>
      </c>
      <c r="L280" s="34">
        <f t="shared" si="18"/>
        <v>4.5599999999999996</v>
      </c>
      <c r="M280" s="11" t="s">
        <v>3724</v>
      </c>
      <c r="N280" s="11" t="s">
        <v>3719</v>
      </c>
      <c r="O280" s="11" t="s">
        <v>3711</v>
      </c>
      <c r="P280" s="11" t="s">
        <v>3720</v>
      </c>
      <c r="Q280" s="12">
        <v>25</v>
      </c>
      <c r="R280" s="12">
        <v>33</v>
      </c>
      <c r="S280" s="12">
        <v>4</v>
      </c>
      <c r="T280" s="13">
        <v>7.87</v>
      </c>
      <c r="U280" s="13">
        <f t="shared" si="19"/>
        <v>3.3100000000000005</v>
      </c>
      <c r="V280" s="14">
        <v>964.08</v>
      </c>
      <c r="W280" s="14">
        <v>964.08</v>
      </c>
      <c r="X280" s="11" t="s">
        <v>3722</v>
      </c>
      <c r="Y280" s="15" t="s">
        <v>3713</v>
      </c>
      <c r="Z280" s="16">
        <v>877.08</v>
      </c>
      <c r="AA280" s="17">
        <v>1008.1</v>
      </c>
      <c r="AB280" s="18" t="s">
        <v>3714</v>
      </c>
    </row>
    <row r="281" spans="1:28" x14ac:dyDescent="0.45">
      <c r="A281" s="2" t="s">
        <v>599</v>
      </c>
      <c r="B281" s="2" t="s">
        <v>600</v>
      </c>
      <c r="C281" s="2" t="s">
        <v>4</v>
      </c>
      <c r="D281" s="2" t="s">
        <v>586</v>
      </c>
      <c r="E281" s="2" t="s">
        <v>6</v>
      </c>
      <c r="F281" s="3">
        <v>28</v>
      </c>
      <c r="G281" s="3">
        <v>36</v>
      </c>
      <c r="H281" s="2" t="s">
        <v>328</v>
      </c>
      <c r="I281" s="19">
        <v>96</v>
      </c>
      <c r="J281" s="34">
        <f t="shared" si="16"/>
        <v>0.83519999999999994</v>
      </c>
      <c r="K281" s="34">
        <f t="shared" si="17"/>
        <v>1.25</v>
      </c>
      <c r="L281" s="34">
        <f t="shared" si="18"/>
        <v>5</v>
      </c>
      <c r="M281" s="20" t="s">
        <v>3725</v>
      </c>
      <c r="N281" s="20" t="s">
        <v>3716</v>
      </c>
      <c r="O281" s="20" t="s">
        <v>3711</v>
      </c>
      <c r="P281" s="20" t="s">
        <v>3717</v>
      </c>
      <c r="Q281" s="21">
        <v>28</v>
      </c>
      <c r="R281" s="21">
        <v>36</v>
      </c>
      <c r="S281" s="21">
        <v>5</v>
      </c>
      <c r="T281" s="22">
        <v>5.53</v>
      </c>
      <c r="U281" s="13">
        <f t="shared" si="19"/>
        <v>0.53000000000000025</v>
      </c>
      <c r="V281" s="23">
        <v>677.42</v>
      </c>
      <c r="W281" s="23">
        <v>677.42</v>
      </c>
      <c r="X281" s="20">
        <v>381</v>
      </c>
      <c r="Y281" s="24" t="s">
        <v>3713</v>
      </c>
      <c r="Z281" s="16">
        <v>581.41999999999996</v>
      </c>
      <c r="AA281" s="17">
        <v>605.6</v>
      </c>
      <c r="AB281" s="25" t="s">
        <v>3714</v>
      </c>
    </row>
    <row r="282" spans="1:28" x14ac:dyDescent="0.45">
      <c r="A282" s="4" t="s">
        <v>601</v>
      </c>
      <c r="B282" s="4" t="s">
        <v>602</v>
      </c>
      <c r="C282" s="4" t="s">
        <v>4</v>
      </c>
      <c r="D282" s="4" t="s">
        <v>586</v>
      </c>
      <c r="E282" s="4" t="s">
        <v>6</v>
      </c>
      <c r="F282" s="5">
        <v>30</v>
      </c>
      <c r="G282" s="5">
        <v>38</v>
      </c>
      <c r="H282" s="4" t="s">
        <v>328</v>
      </c>
      <c r="I282" s="10">
        <v>101</v>
      </c>
      <c r="J282" s="34">
        <f t="shared" si="16"/>
        <v>0.87869999999999993</v>
      </c>
      <c r="K282" s="34">
        <f t="shared" si="17"/>
        <v>1.32</v>
      </c>
      <c r="L282" s="34">
        <f t="shared" si="18"/>
        <v>5.28</v>
      </c>
      <c r="M282" s="11" t="s">
        <v>3726</v>
      </c>
      <c r="N282" s="11" t="s">
        <v>3716</v>
      </c>
      <c r="O282" s="11" t="s">
        <v>3711</v>
      </c>
      <c r="P282" s="11" t="s">
        <v>3717</v>
      </c>
      <c r="Q282" s="12">
        <v>30</v>
      </c>
      <c r="R282" s="12">
        <v>38</v>
      </c>
      <c r="S282" s="12">
        <v>5</v>
      </c>
      <c r="T282" s="13">
        <v>5.98</v>
      </c>
      <c r="U282" s="13">
        <f t="shared" si="19"/>
        <v>0.70000000000000018</v>
      </c>
      <c r="V282" s="14">
        <v>732.55</v>
      </c>
      <c r="W282" s="14">
        <v>732.55</v>
      </c>
      <c r="X282" s="11">
        <v>138</v>
      </c>
      <c r="Y282" s="15" t="s">
        <v>3713</v>
      </c>
      <c r="Z282" s="16">
        <v>631.54999999999995</v>
      </c>
      <c r="AA282" s="17">
        <v>625.29999999999995</v>
      </c>
      <c r="AB282" s="18" t="s">
        <v>3714</v>
      </c>
    </row>
    <row r="283" spans="1:28" x14ac:dyDescent="0.45">
      <c r="A283" s="2" t="s">
        <v>603</v>
      </c>
      <c r="B283" s="2" t="s">
        <v>604</v>
      </c>
      <c r="C283" s="2" t="s">
        <v>4</v>
      </c>
      <c r="D283" s="2" t="s">
        <v>586</v>
      </c>
      <c r="E283" s="2" t="s">
        <v>6</v>
      </c>
      <c r="F283" s="3">
        <v>32</v>
      </c>
      <c r="G283" s="3">
        <v>40</v>
      </c>
      <c r="H283" s="2" t="s">
        <v>328</v>
      </c>
      <c r="I283" s="19">
        <v>104</v>
      </c>
      <c r="J283" s="34">
        <f t="shared" si="16"/>
        <v>0.90479999999999994</v>
      </c>
      <c r="K283" s="34">
        <f t="shared" si="17"/>
        <v>1.36</v>
      </c>
      <c r="L283" s="34">
        <f t="shared" si="18"/>
        <v>5.44</v>
      </c>
      <c r="M283" s="20" t="s">
        <v>3727</v>
      </c>
      <c r="N283" s="20" t="s">
        <v>3719</v>
      </c>
      <c r="O283" s="20" t="s">
        <v>3711</v>
      </c>
      <c r="P283" s="20" t="s">
        <v>3720</v>
      </c>
      <c r="Q283" s="21">
        <v>32</v>
      </c>
      <c r="R283" s="21">
        <v>40</v>
      </c>
      <c r="S283" s="21">
        <v>5</v>
      </c>
      <c r="T283" s="22">
        <v>7.49</v>
      </c>
      <c r="U283" s="13">
        <f t="shared" si="19"/>
        <v>2.0499999999999998</v>
      </c>
      <c r="V283" s="23">
        <v>917.52</v>
      </c>
      <c r="W283" s="23">
        <v>917.52</v>
      </c>
      <c r="X283" s="20">
        <v>11</v>
      </c>
      <c r="Y283" s="24" t="s">
        <v>3713</v>
      </c>
      <c r="Z283" s="16">
        <v>813.52</v>
      </c>
      <c r="AA283" s="17">
        <v>782.2</v>
      </c>
      <c r="AB283" s="25" t="s">
        <v>3714</v>
      </c>
    </row>
    <row r="284" spans="1:28" x14ac:dyDescent="0.45">
      <c r="A284" s="4" t="s">
        <v>605</v>
      </c>
      <c r="B284" s="4" t="s">
        <v>606</v>
      </c>
      <c r="C284" s="4" t="s">
        <v>4</v>
      </c>
      <c r="D284" s="4" t="s">
        <v>586</v>
      </c>
      <c r="E284" s="4" t="s">
        <v>6</v>
      </c>
      <c r="F284" s="5">
        <v>35</v>
      </c>
      <c r="G284" s="5">
        <v>43</v>
      </c>
      <c r="H284" s="4" t="s">
        <v>328</v>
      </c>
      <c r="I284" s="10">
        <v>113</v>
      </c>
      <c r="J284" s="34">
        <f t="shared" si="16"/>
        <v>0.98309999999999997</v>
      </c>
      <c r="K284" s="34">
        <f t="shared" si="17"/>
        <v>1.47</v>
      </c>
      <c r="L284" s="34">
        <f t="shared" si="18"/>
        <v>5.88</v>
      </c>
      <c r="M284" s="11" t="s">
        <v>3728</v>
      </c>
      <c r="N284" s="11" t="s">
        <v>3716</v>
      </c>
      <c r="O284" s="11" t="s">
        <v>3711</v>
      </c>
      <c r="P284" s="11" t="s">
        <v>3717</v>
      </c>
      <c r="Q284" s="12">
        <v>35</v>
      </c>
      <c r="R284" s="12">
        <v>43</v>
      </c>
      <c r="S284" s="12">
        <v>5</v>
      </c>
      <c r="T284" s="13">
        <v>6.64</v>
      </c>
      <c r="U284" s="13">
        <f t="shared" si="19"/>
        <v>0.75999999999999979</v>
      </c>
      <c r="V284" s="14">
        <v>813.4</v>
      </c>
      <c r="W284" s="14">
        <v>813.4</v>
      </c>
      <c r="X284" s="11">
        <v>102</v>
      </c>
      <c r="Y284" s="15" t="s">
        <v>3713</v>
      </c>
      <c r="Z284" s="16">
        <v>700.4</v>
      </c>
      <c r="AA284" s="17">
        <v>619.79999999999995</v>
      </c>
      <c r="AB284" s="18" t="s">
        <v>3714</v>
      </c>
    </row>
    <row r="285" spans="1:28" x14ac:dyDescent="0.45">
      <c r="A285" s="2" t="s">
        <v>607</v>
      </c>
      <c r="B285" s="2" t="s">
        <v>608</v>
      </c>
      <c r="C285" s="2" t="s">
        <v>4</v>
      </c>
      <c r="D285" s="2" t="s">
        <v>586</v>
      </c>
      <c r="E285" s="2" t="s">
        <v>6</v>
      </c>
      <c r="F285" s="3">
        <v>36</v>
      </c>
      <c r="G285" s="3">
        <v>44</v>
      </c>
      <c r="H285" s="2" t="s">
        <v>328</v>
      </c>
      <c r="I285" s="19">
        <v>119</v>
      </c>
      <c r="J285" s="34">
        <f t="shared" si="16"/>
        <v>1.0352999999999999</v>
      </c>
      <c r="K285" s="34">
        <f t="shared" si="17"/>
        <v>1.55</v>
      </c>
      <c r="L285" s="34">
        <f t="shared" si="18"/>
        <v>6.2</v>
      </c>
      <c r="M285" s="20" t="s">
        <v>3729</v>
      </c>
      <c r="N285" s="20" t="s">
        <v>3716</v>
      </c>
      <c r="O285" s="20" t="s">
        <v>3711</v>
      </c>
      <c r="P285" s="20" t="s">
        <v>3717</v>
      </c>
      <c r="Q285" s="21">
        <v>36</v>
      </c>
      <c r="R285" s="21">
        <v>44</v>
      </c>
      <c r="S285" s="21">
        <v>5</v>
      </c>
      <c r="T285" s="22">
        <v>6.87</v>
      </c>
      <c r="U285" s="13">
        <f t="shared" si="19"/>
        <v>0.66999999999999993</v>
      </c>
      <c r="V285" s="23">
        <v>841.58</v>
      </c>
      <c r="W285" s="23">
        <v>841.58</v>
      </c>
      <c r="X285" s="20">
        <v>103</v>
      </c>
      <c r="Y285" s="24" t="s">
        <v>3713</v>
      </c>
      <c r="Z285" s="16">
        <v>722.58</v>
      </c>
      <c r="AA285" s="17">
        <v>607.20000000000005</v>
      </c>
      <c r="AB285" s="25" t="s">
        <v>3714</v>
      </c>
    </row>
    <row r="286" spans="1:28" x14ac:dyDescent="0.45">
      <c r="A286" s="4" t="s">
        <v>609</v>
      </c>
      <c r="B286" s="4" t="s">
        <v>610</v>
      </c>
      <c r="C286" s="4" t="s">
        <v>4</v>
      </c>
      <c r="D286" s="4" t="s">
        <v>586</v>
      </c>
      <c r="E286" s="4" t="s">
        <v>6</v>
      </c>
      <c r="F286" s="5">
        <v>38</v>
      </c>
      <c r="G286" s="5">
        <v>46</v>
      </c>
      <c r="H286" s="4" t="s">
        <v>328</v>
      </c>
      <c r="I286" s="10">
        <v>128</v>
      </c>
      <c r="J286" s="34">
        <f t="shared" si="16"/>
        <v>1.1135999999999999</v>
      </c>
      <c r="K286" s="34">
        <f t="shared" si="17"/>
        <v>1.67</v>
      </c>
      <c r="L286" s="34">
        <f t="shared" si="18"/>
        <v>6.68</v>
      </c>
      <c r="M286" s="11" t="s">
        <v>3730</v>
      </c>
      <c r="N286" s="11" t="s">
        <v>3731</v>
      </c>
      <c r="O286" s="11" t="s">
        <v>3711</v>
      </c>
      <c r="P286" s="11" t="s">
        <v>3732</v>
      </c>
      <c r="Q286" s="12">
        <v>38</v>
      </c>
      <c r="R286" s="12">
        <v>46</v>
      </c>
      <c r="S286" s="12">
        <v>5</v>
      </c>
      <c r="T286" s="13">
        <v>20.05</v>
      </c>
      <c r="U286" s="13">
        <f t="shared" si="19"/>
        <v>13.370000000000001</v>
      </c>
      <c r="V286" s="14">
        <v>2456.12</v>
      </c>
      <c r="W286" s="14">
        <v>2456.12</v>
      </c>
      <c r="X286" s="11">
        <v>47</v>
      </c>
      <c r="Y286" s="15" t="s">
        <v>3713</v>
      </c>
      <c r="Z286" s="16">
        <v>2328.12</v>
      </c>
      <c r="AA286" s="17">
        <v>1818.8</v>
      </c>
      <c r="AB286" s="18" t="s">
        <v>3714</v>
      </c>
    </row>
    <row r="287" spans="1:28" x14ac:dyDescent="0.45">
      <c r="A287" s="2" t="s">
        <v>611</v>
      </c>
      <c r="B287" s="2" t="s">
        <v>612</v>
      </c>
      <c r="C287" s="2" t="s">
        <v>4</v>
      </c>
      <c r="D287" s="2" t="s">
        <v>586</v>
      </c>
      <c r="E287" s="2" t="s">
        <v>6</v>
      </c>
      <c r="F287" s="3">
        <v>40</v>
      </c>
      <c r="G287" s="3">
        <v>48</v>
      </c>
      <c r="H287" s="2" t="s">
        <v>328</v>
      </c>
      <c r="I287" s="19">
        <v>128</v>
      </c>
      <c r="J287" s="34">
        <f t="shared" si="16"/>
        <v>1.1135999999999999</v>
      </c>
      <c r="K287" s="34">
        <f t="shared" si="17"/>
        <v>1.67</v>
      </c>
      <c r="L287" s="34">
        <f t="shared" si="18"/>
        <v>6.68</v>
      </c>
      <c r="M287" s="20" t="s">
        <v>3733</v>
      </c>
      <c r="N287" s="20" t="s">
        <v>3716</v>
      </c>
      <c r="O287" s="20" t="s">
        <v>3711</v>
      </c>
      <c r="P287" s="20" t="s">
        <v>3717</v>
      </c>
      <c r="Q287" s="21">
        <v>40</v>
      </c>
      <c r="R287" s="21">
        <v>48</v>
      </c>
      <c r="S287" s="21">
        <v>5</v>
      </c>
      <c r="T287" s="22">
        <v>6.87</v>
      </c>
      <c r="U287" s="13">
        <f t="shared" si="19"/>
        <v>0.19000000000000039</v>
      </c>
      <c r="V287" s="23">
        <v>841.58</v>
      </c>
      <c r="W287" s="23">
        <v>841.58</v>
      </c>
      <c r="X287" s="20">
        <v>254</v>
      </c>
      <c r="Y287" s="24" t="s">
        <v>3713</v>
      </c>
      <c r="Z287" s="16">
        <v>713.58</v>
      </c>
      <c r="AA287" s="17">
        <v>557.5</v>
      </c>
      <c r="AB287" s="25" t="s">
        <v>3714</v>
      </c>
    </row>
    <row r="288" spans="1:28" x14ac:dyDescent="0.45">
      <c r="A288" s="4" t="s">
        <v>613</v>
      </c>
      <c r="B288" s="4" t="s">
        <v>614</v>
      </c>
      <c r="C288" s="4" t="s">
        <v>4</v>
      </c>
      <c r="D288" s="4" t="s">
        <v>586</v>
      </c>
      <c r="E288" s="4" t="s">
        <v>6</v>
      </c>
      <c r="F288" s="5">
        <v>45</v>
      </c>
      <c r="G288" s="5">
        <v>53</v>
      </c>
      <c r="H288" s="4" t="s">
        <v>328</v>
      </c>
      <c r="I288" s="10">
        <v>145</v>
      </c>
      <c r="J288" s="34">
        <f t="shared" si="16"/>
        <v>1.2614999999999998</v>
      </c>
      <c r="K288" s="34">
        <f t="shared" si="17"/>
        <v>1.89</v>
      </c>
      <c r="L288" s="34">
        <f t="shared" si="18"/>
        <v>7.56</v>
      </c>
      <c r="M288" s="11" t="s">
        <v>3739</v>
      </c>
      <c r="N288" s="11" t="s">
        <v>3716</v>
      </c>
      <c r="O288" s="11" t="s">
        <v>3711</v>
      </c>
      <c r="P288" s="11" t="s">
        <v>3717</v>
      </c>
      <c r="Q288" s="12">
        <v>45</v>
      </c>
      <c r="R288" s="12">
        <v>53</v>
      </c>
      <c r="S288" s="12">
        <v>5</v>
      </c>
      <c r="T288" s="13">
        <v>7.1</v>
      </c>
      <c r="U288" s="13">
        <f t="shared" si="19"/>
        <v>-0.45999999999999996</v>
      </c>
      <c r="V288" s="14">
        <v>869.75</v>
      </c>
      <c r="W288" s="14">
        <v>869.75</v>
      </c>
      <c r="X288" s="11">
        <v>124</v>
      </c>
      <c r="Y288" s="15" t="s">
        <v>3713</v>
      </c>
      <c r="Z288" s="16">
        <v>724.75</v>
      </c>
      <c r="AA288" s="17">
        <v>499.8</v>
      </c>
      <c r="AB288" s="18" t="s">
        <v>3714</v>
      </c>
    </row>
    <row r="289" spans="1:28" x14ac:dyDescent="0.45">
      <c r="A289" s="2" t="s">
        <v>615</v>
      </c>
      <c r="B289" s="2" t="s">
        <v>616</v>
      </c>
      <c r="C289" s="2" t="s">
        <v>4</v>
      </c>
      <c r="D289" s="2" t="s">
        <v>586</v>
      </c>
      <c r="E289" s="2" t="s">
        <v>6</v>
      </c>
      <c r="F289" s="3">
        <v>50</v>
      </c>
      <c r="G289" s="3">
        <v>58</v>
      </c>
      <c r="H289" s="2" t="s">
        <v>328</v>
      </c>
      <c r="I289" s="19">
        <v>160</v>
      </c>
      <c r="J289" s="34">
        <f t="shared" si="16"/>
        <v>1.3919999999999999</v>
      </c>
      <c r="K289" s="34">
        <f t="shared" si="17"/>
        <v>2.09</v>
      </c>
      <c r="L289" s="34">
        <f t="shared" si="18"/>
        <v>8.36</v>
      </c>
      <c r="M289" s="20" t="s">
        <v>3741</v>
      </c>
      <c r="N289" s="20" t="s">
        <v>3719</v>
      </c>
      <c r="O289" s="20" t="s">
        <v>3711</v>
      </c>
      <c r="P289" s="20" t="s">
        <v>3720</v>
      </c>
      <c r="Q289" s="21">
        <v>50</v>
      </c>
      <c r="R289" s="21">
        <v>58</v>
      </c>
      <c r="S289" s="21">
        <v>5</v>
      </c>
      <c r="T289" s="22">
        <v>10.98</v>
      </c>
      <c r="U289" s="13">
        <f t="shared" si="19"/>
        <v>2.620000000000001</v>
      </c>
      <c r="V289" s="23">
        <v>1345.05</v>
      </c>
      <c r="W289" s="23">
        <v>1345.05</v>
      </c>
      <c r="X289" s="20">
        <v>81</v>
      </c>
      <c r="Y289" s="24" t="s">
        <v>3713</v>
      </c>
      <c r="Z289" s="16">
        <v>1185.05</v>
      </c>
      <c r="AA289" s="17">
        <v>740.7</v>
      </c>
      <c r="AB289" s="25" t="s">
        <v>3714</v>
      </c>
    </row>
    <row r="290" spans="1:28" x14ac:dyDescent="0.45">
      <c r="A290" s="4" t="s">
        <v>617</v>
      </c>
      <c r="B290" s="4" t="s">
        <v>618</v>
      </c>
      <c r="C290" s="4" t="s">
        <v>4</v>
      </c>
      <c r="D290" s="4" t="s">
        <v>586</v>
      </c>
      <c r="E290" s="4" t="s">
        <v>6</v>
      </c>
      <c r="F290" s="5">
        <v>55</v>
      </c>
      <c r="G290" s="5">
        <v>63</v>
      </c>
      <c r="H290" s="4" t="s">
        <v>328</v>
      </c>
      <c r="I290" s="10">
        <v>168</v>
      </c>
      <c r="J290" s="34">
        <f t="shared" si="16"/>
        <v>1.4615999999999998</v>
      </c>
      <c r="K290" s="34">
        <f t="shared" si="17"/>
        <v>2.19</v>
      </c>
      <c r="L290" s="34">
        <f t="shared" si="18"/>
        <v>8.76</v>
      </c>
      <c r="M290" s="11" t="s">
        <v>3860</v>
      </c>
      <c r="N290" s="11" t="s">
        <v>3750</v>
      </c>
      <c r="O290" s="11" t="s">
        <v>3711</v>
      </c>
      <c r="P290" s="11" t="s">
        <v>3751</v>
      </c>
      <c r="Q290" s="12">
        <v>56</v>
      </c>
      <c r="R290" s="12">
        <v>64</v>
      </c>
      <c r="S290" s="12">
        <v>4</v>
      </c>
      <c r="T290" s="13">
        <v>12.2</v>
      </c>
      <c r="U290" s="13">
        <f t="shared" si="19"/>
        <v>3.4399999999999995</v>
      </c>
      <c r="V290" s="14">
        <v>1494.5</v>
      </c>
      <c r="W290" s="14">
        <v>1494.5</v>
      </c>
      <c r="X290" s="11" t="s">
        <v>3722</v>
      </c>
      <c r="Y290" s="15" t="s">
        <v>3713</v>
      </c>
      <c r="Z290" s="16">
        <v>1326.5</v>
      </c>
      <c r="AA290" s="17">
        <v>789.6</v>
      </c>
      <c r="AB290" s="18" t="s">
        <v>3783</v>
      </c>
    </row>
    <row r="291" spans="1:28" x14ac:dyDescent="0.45">
      <c r="A291" s="2" t="s">
        <v>619</v>
      </c>
      <c r="B291" s="2" t="s">
        <v>620</v>
      </c>
      <c r="C291" s="2" t="s">
        <v>4</v>
      </c>
      <c r="D291" s="2" t="s">
        <v>586</v>
      </c>
      <c r="E291" s="2" t="s">
        <v>6</v>
      </c>
      <c r="F291" s="3">
        <v>56</v>
      </c>
      <c r="G291" s="3">
        <v>64</v>
      </c>
      <c r="H291" s="2" t="s">
        <v>328</v>
      </c>
      <c r="I291" s="19">
        <v>175</v>
      </c>
      <c r="J291" s="34">
        <f t="shared" si="16"/>
        <v>1.5225</v>
      </c>
      <c r="K291" s="34">
        <f t="shared" si="17"/>
        <v>2.2799999999999998</v>
      </c>
      <c r="L291" s="34">
        <f t="shared" si="18"/>
        <v>9.1199999999999992</v>
      </c>
      <c r="M291" s="20" t="s">
        <v>3860</v>
      </c>
      <c r="N291" s="20" t="s">
        <v>3750</v>
      </c>
      <c r="O291" s="20" t="s">
        <v>3711</v>
      </c>
      <c r="P291" s="20" t="s">
        <v>3751</v>
      </c>
      <c r="Q291" s="21">
        <v>56</v>
      </c>
      <c r="R291" s="21">
        <v>64</v>
      </c>
      <c r="S291" s="21">
        <v>4</v>
      </c>
      <c r="T291" s="22">
        <v>12.2</v>
      </c>
      <c r="U291" s="13">
        <f t="shared" si="19"/>
        <v>3.08</v>
      </c>
      <c r="V291" s="23">
        <v>1494.5</v>
      </c>
      <c r="W291" s="23">
        <v>1494.5</v>
      </c>
      <c r="X291" s="20" t="s">
        <v>3722</v>
      </c>
      <c r="Y291" s="24" t="s">
        <v>3713</v>
      </c>
      <c r="Z291" s="16">
        <v>1319.5</v>
      </c>
      <c r="AA291" s="17">
        <v>754</v>
      </c>
      <c r="AB291" s="25" t="s">
        <v>3714</v>
      </c>
    </row>
    <row r="292" spans="1:28" x14ac:dyDescent="0.45">
      <c r="A292" s="4" t="s">
        <v>621</v>
      </c>
      <c r="B292" s="4" t="s">
        <v>622</v>
      </c>
      <c r="C292" s="4" t="s">
        <v>4</v>
      </c>
      <c r="D292" s="4" t="s">
        <v>586</v>
      </c>
      <c r="E292" s="4" t="s">
        <v>6</v>
      </c>
      <c r="F292" s="5">
        <v>60</v>
      </c>
      <c r="G292" s="5">
        <v>68</v>
      </c>
      <c r="H292" s="4" t="s">
        <v>328</v>
      </c>
      <c r="I292" s="10">
        <v>183</v>
      </c>
      <c r="J292" s="34">
        <f t="shared" si="16"/>
        <v>1.5920999999999998</v>
      </c>
      <c r="K292" s="34">
        <f t="shared" si="17"/>
        <v>2.39</v>
      </c>
      <c r="L292" s="34">
        <f t="shared" si="18"/>
        <v>9.56</v>
      </c>
      <c r="M292" s="11" t="s">
        <v>3815</v>
      </c>
      <c r="N292" s="11" t="s">
        <v>3791</v>
      </c>
      <c r="O292" s="11" t="s">
        <v>3711</v>
      </c>
      <c r="P292" s="11" t="s">
        <v>3792</v>
      </c>
      <c r="Q292" s="12">
        <v>60</v>
      </c>
      <c r="R292" s="12">
        <v>68</v>
      </c>
      <c r="S292" s="12">
        <v>5</v>
      </c>
      <c r="T292" s="13">
        <v>8.59</v>
      </c>
      <c r="U292" s="13">
        <f t="shared" si="19"/>
        <v>-0.97000000000000064</v>
      </c>
      <c r="V292" s="14">
        <v>1052.28</v>
      </c>
      <c r="W292" s="14">
        <v>1052.28</v>
      </c>
      <c r="X292" s="11">
        <v>10</v>
      </c>
      <c r="Y292" s="15" t="s">
        <v>3713</v>
      </c>
      <c r="Z292" s="16">
        <v>869.28</v>
      </c>
      <c r="AA292" s="17">
        <v>475</v>
      </c>
      <c r="AB292" s="18" t="s">
        <v>3714</v>
      </c>
    </row>
    <row r="293" spans="1:28" x14ac:dyDescent="0.45">
      <c r="A293" s="2" t="s">
        <v>623</v>
      </c>
      <c r="B293" s="2" t="s">
        <v>624</v>
      </c>
      <c r="C293" s="2" t="s">
        <v>4</v>
      </c>
      <c r="D293" s="2" t="s">
        <v>586</v>
      </c>
      <c r="E293" s="2" t="s">
        <v>6</v>
      </c>
      <c r="F293" s="3">
        <v>63</v>
      </c>
      <c r="G293" s="3">
        <v>71</v>
      </c>
      <c r="H293" s="2" t="s">
        <v>328</v>
      </c>
      <c r="I293" s="19">
        <v>192</v>
      </c>
      <c r="J293" s="34">
        <f t="shared" si="16"/>
        <v>1.6703999999999999</v>
      </c>
      <c r="K293" s="34">
        <f t="shared" si="17"/>
        <v>2.5099999999999998</v>
      </c>
      <c r="L293" s="34">
        <f t="shared" si="18"/>
        <v>10.039999999999999</v>
      </c>
      <c r="M293" s="20" t="s">
        <v>3861</v>
      </c>
      <c r="N293" s="20" t="s">
        <v>3750</v>
      </c>
      <c r="O293" s="20" t="s">
        <v>3711</v>
      </c>
      <c r="P293" s="20" t="s">
        <v>3751</v>
      </c>
      <c r="Q293" s="21">
        <v>63</v>
      </c>
      <c r="R293" s="21">
        <v>71</v>
      </c>
      <c r="S293" s="21">
        <v>4</v>
      </c>
      <c r="T293" s="22">
        <v>15.53</v>
      </c>
      <c r="U293" s="13">
        <f t="shared" si="19"/>
        <v>5.49</v>
      </c>
      <c r="V293" s="23">
        <v>1902.42</v>
      </c>
      <c r="W293" s="23">
        <v>1902.42</v>
      </c>
      <c r="X293" s="20">
        <v>151</v>
      </c>
      <c r="Y293" s="24" t="s">
        <v>3713</v>
      </c>
      <c r="Z293" s="16">
        <v>1710.42</v>
      </c>
      <c r="AA293" s="17">
        <v>890.8</v>
      </c>
      <c r="AB293" s="25" t="s">
        <v>3714</v>
      </c>
    </row>
    <row r="294" spans="1:28" x14ac:dyDescent="0.45">
      <c r="A294" s="4" t="s">
        <v>625</v>
      </c>
      <c r="B294" s="4" t="s">
        <v>626</v>
      </c>
      <c r="C294" s="4" t="s">
        <v>4</v>
      </c>
      <c r="D294" s="4" t="s">
        <v>586</v>
      </c>
      <c r="E294" s="4" t="s">
        <v>6</v>
      </c>
      <c r="F294" s="5">
        <v>70</v>
      </c>
      <c r="G294" s="5">
        <v>78</v>
      </c>
      <c r="H294" s="4" t="s">
        <v>328</v>
      </c>
      <c r="I294" s="10">
        <v>215</v>
      </c>
      <c r="J294" s="34">
        <f t="shared" si="16"/>
        <v>1.8704999999999998</v>
      </c>
      <c r="K294" s="34">
        <f t="shared" si="17"/>
        <v>2.81</v>
      </c>
      <c r="L294" s="34">
        <f t="shared" si="18"/>
        <v>11.24</v>
      </c>
      <c r="M294" s="11" t="s">
        <v>3749</v>
      </c>
      <c r="N294" s="11" t="s">
        <v>3750</v>
      </c>
      <c r="O294" s="11" t="s">
        <v>3711</v>
      </c>
      <c r="P294" s="11" t="s">
        <v>3751</v>
      </c>
      <c r="Q294" s="12">
        <v>70</v>
      </c>
      <c r="R294" s="12">
        <v>78</v>
      </c>
      <c r="S294" s="12">
        <v>4</v>
      </c>
      <c r="T294" s="13">
        <v>17.29</v>
      </c>
      <c r="U294" s="13">
        <f t="shared" si="19"/>
        <v>6.0499999999999989</v>
      </c>
      <c r="V294" s="14">
        <v>2118.02</v>
      </c>
      <c r="W294" s="14">
        <v>2118.02</v>
      </c>
      <c r="X294" s="11">
        <v>7</v>
      </c>
      <c r="Y294" s="15" t="s">
        <v>3713</v>
      </c>
      <c r="Z294" s="16">
        <v>1903.02</v>
      </c>
      <c r="AA294" s="17">
        <v>885.1</v>
      </c>
      <c r="AB294" s="18" t="s">
        <v>3714</v>
      </c>
    </row>
    <row r="295" spans="1:28" x14ac:dyDescent="0.45">
      <c r="A295" s="2" t="s">
        <v>627</v>
      </c>
      <c r="B295" s="2" t="s">
        <v>628</v>
      </c>
      <c r="C295" s="2" t="s">
        <v>4</v>
      </c>
      <c r="D295" s="2" t="s">
        <v>586</v>
      </c>
      <c r="E295" s="2" t="s">
        <v>6</v>
      </c>
      <c r="F295" s="3">
        <v>75</v>
      </c>
      <c r="G295" s="3">
        <v>83</v>
      </c>
      <c r="H295" s="2" t="s">
        <v>328</v>
      </c>
      <c r="I295" s="19">
        <v>232</v>
      </c>
      <c r="J295" s="34">
        <f t="shared" si="16"/>
        <v>2.0183999999999997</v>
      </c>
      <c r="K295" s="34">
        <f t="shared" si="17"/>
        <v>3.03</v>
      </c>
      <c r="L295" s="34">
        <f t="shared" si="18"/>
        <v>12.12</v>
      </c>
      <c r="M295" s="20" t="s">
        <v>3788</v>
      </c>
      <c r="N295" s="20" t="s">
        <v>3716</v>
      </c>
      <c r="O295" s="20" t="s">
        <v>3711</v>
      </c>
      <c r="P295" s="20" t="s">
        <v>3717</v>
      </c>
      <c r="Q295" s="21">
        <v>75</v>
      </c>
      <c r="R295" s="21">
        <v>83</v>
      </c>
      <c r="S295" s="21">
        <v>5</v>
      </c>
      <c r="T295" s="22">
        <v>20.010000000000002</v>
      </c>
      <c r="U295" s="13">
        <f t="shared" si="19"/>
        <v>7.8900000000000023</v>
      </c>
      <c r="V295" s="23">
        <v>2451.23</v>
      </c>
      <c r="W295" s="23">
        <v>2451.23</v>
      </c>
      <c r="X295" s="20">
        <v>10</v>
      </c>
      <c r="Y295" s="24" t="s">
        <v>3713</v>
      </c>
      <c r="Z295" s="16">
        <v>2219.23</v>
      </c>
      <c r="AA295" s="17">
        <v>956.6</v>
      </c>
      <c r="AB295" s="25" t="s">
        <v>3714</v>
      </c>
    </row>
    <row r="296" spans="1:28" x14ac:dyDescent="0.45">
      <c r="A296" s="4" t="s">
        <v>629</v>
      </c>
      <c r="B296" s="4" t="s">
        <v>630</v>
      </c>
      <c r="C296" s="4" t="s">
        <v>4</v>
      </c>
      <c r="D296" s="4" t="s">
        <v>586</v>
      </c>
      <c r="E296" s="4" t="s">
        <v>6</v>
      </c>
      <c r="F296" s="5">
        <v>80</v>
      </c>
      <c r="G296" s="5">
        <v>88</v>
      </c>
      <c r="H296" s="4" t="s">
        <v>328</v>
      </c>
      <c r="I296" s="10">
        <v>239</v>
      </c>
      <c r="J296" s="34">
        <f t="shared" si="16"/>
        <v>2.0792999999999999</v>
      </c>
      <c r="K296" s="34">
        <f t="shared" si="17"/>
        <v>3.12</v>
      </c>
      <c r="L296" s="34">
        <f t="shared" si="18"/>
        <v>12.48</v>
      </c>
      <c r="M296" s="11" t="s">
        <v>3862</v>
      </c>
      <c r="N296" s="11" t="s">
        <v>3791</v>
      </c>
      <c r="O296" s="11" t="s">
        <v>3711</v>
      </c>
      <c r="P296" s="11" t="s">
        <v>3792</v>
      </c>
      <c r="Q296" s="12">
        <v>80</v>
      </c>
      <c r="R296" s="12">
        <v>88</v>
      </c>
      <c r="S296" s="12">
        <v>5</v>
      </c>
      <c r="T296" s="13">
        <v>11.5</v>
      </c>
      <c r="U296" s="13">
        <f t="shared" si="19"/>
        <v>-0.98000000000000043</v>
      </c>
      <c r="V296" s="14">
        <v>1408.75</v>
      </c>
      <c r="W296" s="14">
        <v>1408.75</v>
      </c>
      <c r="X296" s="11">
        <v>16</v>
      </c>
      <c r="Y296" s="15" t="s">
        <v>3713</v>
      </c>
      <c r="Z296" s="16">
        <v>1169.75</v>
      </c>
      <c r="AA296" s="17">
        <v>489.4</v>
      </c>
      <c r="AB296" s="18" t="s">
        <v>3714</v>
      </c>
    </row>
    <row r="297" spans="1:28" x14ac:dyDescent="0.45">
      <c r="A297" s="2" t="s">
        <v>631</v>
      </c>
      <c r="B297" s="2" t="s">
        <v>632</v>
      </c>
      <c r="C297" s="2" t="s">
        <v>4</v>
      </c>
      <c r="D297" s="2" t="s">
        <v>586</v>
      </c>
      <c r="E297" s="2" t="s">
        <v>6</v>
      </c>
      <c r="F297" s="3">
        <v>85</v>
      </c>
      <c r="G297" s="3">
        <v>93</v>
      </c>
      <c r="H297" s="2" t="s">
        <v>328</v>
      </c>
      <c r="I297" s="19">
        <v>256</v>
      </c>
      <c r="J297" s="34">
        <f t="shared" si="16"/>
        <v>2.2271999999999998</v>
      </c>
      <c r="K297" s="34">
        <f t="shared" si="17"/>
        <v>3.34</v>
      </c>
      <c r="L297" s="34">
        <f t="shared" si="18"/>
        <v>13.36</v>
      </c>
      <c r="M297" s="20" t="s">
        <v>3863</v>
      </c>
      <c r="N297" s="20" t="s">
        <v>3716</v>
      </c>
      <c r="O297" s="20" t="s">
        <v>3711</v>
      </c>
      <c r="P297" s="20" t="s">
        <v>3717</v>
      </c>
      <c r="Q297" s="21">
        <v>85</v>
      </c>
      <c r="R297" s="21">
        <v>93</v>
      </c>
      <c r="S297" s="21">
        <v>5</v>
      </c>
      <c r="T297" s="22">
        <v>12.52</v>
      </c>
      <c r="U297" s="13">
        <f t="shared" si="19"/>
        <v>-0.83999999999999986</v>
      </c>
      <c r="V297" s="23">
        <v>1533.7</v>
      </c>
      <c r="W297" s="23">
        <v>1533.7</v>
      </c>
      <c r="X297" s="20">
        <v>22</v>
      </c>
      <c r="Y297" s="24" t="s">
        <v>3713</v>
      </c>
      <c r="Z297" s="16">
        <v>1277.7</v>
      </c>
      <c r="AA297" s="17">
        <v>499.1</v>
      </c>
      <c r="AB297" s="25" t="s">
        <v>3714</v>
      </c>
    </row>
    <row r="298" spans="1:28" x14ac:dyDescent="0.45">
      <c r="A298" s="4" t="s">
        <v>633</v>
      </c>
      <c r="B298" s="4" t="s">
        <v>634</v>
      </c>
      <c r="C298" s="4" t="s">
        <v>4</v>
      </c>
      <c r="D298" s="4" t="s">
        <v>586</v>
      </c>
      <c r="E298" s="4" t="s">
        <v>6</v>
      </c>
      <c r="F298" s="5">
        <v>95</v>
      </c>
      <c r="G298" s="5">
        <v>103</v>
      </c>
      <c r="H298" s="4" t="s">
        <v>328</v>
      </c>
      <c r="I298" s="10">
        <v>288</v>
      </c>
      <c r="J298" s="34">
        <f t="shared" si="16"/>
        <v>2.5055999999999998</v>
      </c>
      <c r="K298" s="34">
        <f t="shared" si="17"/>
        <v>3.76</v>
      </c>
      <c r="L298" s="34">
        <f t="shared" si="18"/>
        <v>15.04</v>
      </c>
      <c r="M298" s="11" t="s">
        <v>3834</v>
      </c>
      <c r="N298" s="11" t="s">
        <v>3716</v>
      </c>
      <c r="O298" s="11" t="s">
        <v>3711</v>
      </c>
      <c r="P298" s="11" t="s">
        <v>3717</v>
      </c>
      <c r="Q298" s="12">
        <v>96</v>
      </c>
      <c r="R298" s="12">
        <v>104</v>
      </c>
      <c r="S298" s="12">
        <v>7.6</v>
      </c>
      <c r="T298" s="13">
        <v>16.57</v>
      </c>
      <c r="U298" s="13">
        <f t="shared" si="19"/>
        <v>1.5300000000000011</v>
      </c>
      <c r="V298" s="14">
        <v>2029.82</v>
      </c>
      <c r="W298" s="14">
        <v>2029.82</v>
      </c>
      <c r="X298" s="11" t="s">
        <v>3722</v>
      </c>
      <c r="Y298" s="15" t="s">
        <v>3713</v>
      </c>
      <c r="Z298" s="16">
        <v>1741.82</v>
      </c>
      <c r="AA298" s="17">
        <v>604.79999999999995</v>
      </c>
      <c r="AB298" s="18" t="s">
        <v>3783</v>
      </c>
    </row>
    <row r="299" spans="1:28" x14ac:dyDescent="0.45">
      <c r="A299" s="2" t="s">
        <v>635</v>
      </c>
      <c r="B299" s="2" t="s">
        <v>636</v>
      </c>
      <c r="C299" s="2" t="s">
        <v>4</v>
      </c>
      <c r="D299" s="2" t="s">
        <v>586</v>
      </c>
      <c r="E299" s="2" t="s">
        <v>6</v>
      </c>
      <c r="F299" s="3">
        <v>100</v>
      </c>
      <c r="G299" s="3">
        <v>108</v>
      </c>
      <c r="H299" s="2" t="s">
        <v>328</v>
      </c>
      <c r="I299" s="19">
        <v>303</v>
      </c>
      <c r="J299" s="34">
        <f t="shared" si="16"/>
        <v>2.6360999999999999</v>
      </c>
      <c r="K299" s="34">
        <f t="shared" si="17"/>
        <v>3.95</v>
      </c>
      <c r="L299" s="34">
        <f t="shared" si="18"/>
        <v>15.8</v>
      </c>
      <c r="M299" s="20" t="s">
        <v>3864</v>
      </c>
      <c r="N299" s="20" t="s">
        <v>3731</v>
      </c>
      <c r="O299" s="20" t="s">
        <v>3711</v>
      </c>
      <c r="P299" s="20" t="s">
        <v>3732</v>
      </c>
      <c r="Q299" s="21">
        <v>98.298000000000002</v>
      </c>
      <c r="R299" s="21">
        <v>107.95</v>
      </c>
      <c r="S299" s="21">
        <v>4.5720000000000001</v>
      </c>
      <c r="T299" s="22">
        <v>19.809999999999999</v>
      </c>
      <c r="U299" s="13">
        <f t="shared" si="19"/>
        <v>4.009999999999998</v>
      </c>
      <c r="V299" s="23">
        <v>2426.7199999999998</v>
      </c>
      <c r="W299" s="23">
        <v>2426.7199999999998</v>
      </c>
      <c r="X299" s="20">
        <v>121</v>
      </c>
      <c r="Y299" s="24" t="s">
        <v>3737</v>
      </c>
      <c r="Z299" s="16">
        <v>2123.7199999999998</v>
      </c>
      <c r="AA299" s="17">
        <v>700.9</v>
      </c>
      <c r="AB299" s="25" t="s">
        <v>3865</v>
      </c>
    </row>
    <row r="300" spans="1:28" x14ac:dyDescent="0.45">
      <c r="A300" s="4" t="s">
        <v>637</v>
      </c>
      <c r="B300" s="4" t="s">
        <v>638</v>
      </c>
      <c r="C300" s="4" t="s">
        <v>4</v>
      </c>
      <c r="D300" s="4" t="s">
        <v>586</v>
      </c>
      <c r="E300" s="4" t="s">
        <v>6</v>
      </c>
      <c r="F300" s="5">
        <v>110</v>
      </c>
      <c r="G300" s="5">
        <v>122</v>
      </c>
      <c r="H300" s="4" t="s">
        <v>380</v>
      </c>
      <c r="I300" s="10">
        <v>550</v>
      </c>
      <c r="J300" s="34">
        <f t="shared" si="16"/>
        <v>4.7849999999999993</v>
      </c>
      <c r="K300" s="34">
        <f t="shared" si="17"/>
        <v>7.18</v>
      </c>
      <c r="L300" s="34">
        <f t="shared" si="18"/>
        <v>28.72</v>
      </c>
      <c r="M300" s="11" t="s">
        <v>3759</v>
      </c>
      <c r="N300" s="11" t="s">
        <v>3716</v>
      </c>
      <c r="O300" s="11" t="s">
        <v>3711</v>
      </c>
      <c r="P300" s="11" t="s">
        <v>3717</v>
      </c>
      <c r="Q300" s="12">
        <v>110</v>
      </c>
      <c r="R300" s="12">
        <v>122</v>
      </c>
      <c r="S300" s="12">
        <v>7.2</v>
      </c>
      <c r="T300" s="13">
        <v>14.89</v>
      </c>
      <c r="U300" s="13">
        <f t="shared" si="19"/>
        <v>-13.829999999999998</v>
      </c>
      <c r="V300" s="14">
        <v>1824.02</v>
      </c>
      <c r="W300" s="14">
        <v>1824.02</v>
      </c>
      <c r="X300" s="11">
        <v>8</v>
      </c>
      <c r="Y300" s="15" t="s">
        <v>3713</v>
      </c>
      <c r="Z300" s="16">
        <v>1274.02</v>
      </c>
      <c r="AA300" s="17">
        <v>231.6</v>
      </c>
      <c r="AB300" s="18" t="s">
        <v>3714</v>
      </c>
    </row>
    <row r="301" spans="1:28" x14ac:dyDescent="0.45">
      <c r="A301" s="2" t="s">
        <v>639</v>
      </c>
      <c r="B301" s="2" t="s">
        <v>640</v>
      </c>
      <c r="C301" s="2" t="s">
        <v>4</v>
      </c>
      <c r="D301" s="2" t="s">
        <v>586</v>
      </c>
      <c r="E301" s="2" t="s">
        <v>6</v>
      </c>
      <c r="F301" s="3">
        <v>120</v>
      </c>
      <c r="G301" s="3">
        <v>132</v>
      </c>
      <c r="H301" s="2" t="s">
        <v>380</v>
      </c>
      <c r="I301" s="19">
        <v>597</v>
      </c>
      <c r="J301" s="34">
        <f t="shared" si="16"/>
        <v>5.1938999999999993</v>
      </c>
      <c r="K301" s="34">
        <f t="shared" si="17"/>
        <v>7.79</v>
      </c>
      <c r="L301" s="34">
        <f t="shared" si="18"/>
        <v>31.16</v>
      </c>
      <c r="M301" s="20" t="s">
        <v>3760</v>
      </c>
      <c r="N301" s="20" t="s">
        <v>3716</v>
      </c>
      <c r="O301" s="20" t="s">
        <v>3711</v>
      </c>
      <c r="P301" s="20" t="s">
        <v>3717</v>
      </c>
      <c r="Q301" s="21">
        <v>120</v>
      </c>
      <c r="R301" s="21">
        <v>132</v>
      </c>
      <c r="S301" s="21">
        <v>7</v>
      </c>
      <c r="T301" s="22">
        <v>34.64</v>
      </c>
      <c r="U301" s="13">
        <f t="shared" si="19"/>
        <v>3.4800000000000004</v>
      </c>
      <c r="V301" s="23">
        <v>4243.3999999999996</v>
      </c>
      <c r="W301" s="23">
        <v>4243.3999999999996</v>
      </c>
      <c r="X301" s="20">
        <v>47</v>
      </c>
      <c r="Y301" s="24" t="s">
        <v>3713</v>
      </c>
      <c r="Z301" s="16">
        <v>3646.4</v>
      </c>
      <c r="AA301" s="17">
        <v>610.79999999999995</v>
      </c>
      <c r="AB301" s="25" t="s">
        <v>3714</v>
      </c>
    </row>
    <row r="302" spans="1:28" x14ac:dyDescent="0.45">
      <c r="A302" s="4" t="s">
        <v>641</v>
      </c>
      <c r="B302" s="4" t="s">
        <v>642</v>
      </c>
      <c r="C302" s="4" t="s">
        <v>4</v>
      </c>
      <c r="D302" s="4" t="s">
        <v>586</v>
      </c>
      <c r="E302" s="4" t="s">
        <v>6</v>
      </c>
      <c r="F302" s="5">
        <v>125</v>
      </c>
      <c r="G302" s="5">
        <v>137</v>
      </c>
      <c r="H302" s="4" t="s">
        <v>380</v>
      </c>
      <c r="I302" s="10">
        <v>636</v>
      </c>
      <c r="J302" s="34">
        <f t="shared" si="16"/>
        <v>5.5331999999999999</v>
      </c>
      <c r="K302" s="34">
        <f t="shared" si="17"/>
        <v>8.3000000000000007</v>
      </c>
      <c r="L302" s="34">
        <f t="shared" si="18"/>
        <v>33.200000000000003</v>
      </c>
      <c r="M302" s="11" t="s">
        <v>3761</v>
      </c>
      <c r="N302" s="11" t="s">
        <v>3716</v>
      </c>
      <c r="O302" s="11" t="s">
        <v>3711</v>
      </c>
      <c r="P302" s="11" t="s">
        <v>3717</v>
      </c>
      <c r="Q302" s="12">
        <v>125</v>
      </c>
      <c r="R302" s="12">
        <v>137</v>
      </c>
      <c r="S302" s="12">
        <v>7.7</v>
      </c>
      <c r="T302" s="13">
        <v>35.78</v>
      </c>
      <c r="U302" s="13">
        <f t="shared" si="19"/>
        <v>2.5799999999999983</v>
      </c>
      <c r="V302" s="14">
        <v>4383.05</v>
      </c>
      <c r="W302" s="14">
        <v>4383.05</v>
      </c>
      <c r="X302" s="11">
        <v>72</v>
      </c>
      <c r="Y302" s="15" t="s">
        <v>3713</v>
      </c>
      <c r="Z302" s="16">
        <v>3747.05</v>
      </c>
      <c r="AA302" s="17">
        <v>589.20000000000005</v>
      </c>
      <c r="AB302" s="18" t="s">
        <v>3714</v>
      </c>
    </row>
    <row r="303" spans="1:28" x14ac:dyDescent="0.45">
      <c r="A303" s="2" t="s">
        <v>643</v>
      </c>
      <c r="B303" s="2" t="s">
        <v>644</v>
      </c>
      <c r="C303" s="2" t="s">
        <v>4</v>
      </c>
      <c r="D303" s="2" t="s">
        <v>586</v>
      </c>
      <c r="E303" s="2" t="s">
        <v>6</v>
      </c>
      <c r="F303" s="3">
        <v>130</v>
      </c>
      <c r="G303" s="3">
        <v>142</v>
      </c>
      <c r="H303" s="2" t="s">
        <v>380</v>
      </c>
      <c r="I303" s="19">
        <v>661</v>
      </c>
      <c r="J303" s="34">
        <f t="shared" si="16"/>
        <v>5.7506999999999993</v>
      </c>
      <c r="K303" s="34">
        <f t="shared" si="17"/>
        <v>8.6300000000000008</v>
      </c>
      <c r="L303" s="34">
        <f t="shared" si="18"/>
        <v>34.520000000000003</v>
      </c>
      <c r="M303" s="20" t="s">
        <v>3763</v>
      </c>
      <c r="N303" s="20" t="s">
        <v>3716</v>
      </c>
      <c r="O303" s="20" t="s">
        <v>3711</v>
      </c>
      <c r="P303" s="20" t="s">
        <v>3717</v>
      </c>
      <c r="Q303" s="21">
        <v>130</v>
      </c>
      <c r="R303" s="21">
        <v>142</v>
      </c>
      <c r="S303" s="21">
        <v>7.2</v>
      </c>
      <c r="T303" s="22">
        <v>17.97</v>
      </c>
      <c r="U303" s="13">
        <f t="shared" si="19"/>
        <v>-16.550000000000004</v>
      </c>
      <c r="V303" s="23">
        <v>2201.3200000000002</v>
      </c>
      <c r="W303" s="23">
        <v>2201.3200000000002</v>
      </c>
      <c r="X303" s="20">
        <v>26</v>
      </c>
      <c r="Y303" s="24" t="s">
        <v>3713</v>
      </c>
      <c r="Z303" s="16">
        <v>1540.32</v>
      </c>
      <c r="AA303" s="17">
        <v>233</v>
      </c>
      <c r="AB303" s="25" t="s">
        <v>3714</v>
      </c>
    </row>
    <row r="304" spans="1:28" x14ac:dyDescent="0.45">
      <c r="A304" s="4" t="s">
        <v>645</v>
      </c>
      <c r="B304" s="4" t="s">
        <v>646</v>
      </c>
      <c r="C304" s="4" t="s">
        <v>4</v>
      </c>
      <c r="D304" s="4" t="s">
        <v>586</v>
      </c>
      <c r="E304" s="4" t="s">
        <v>6</v>
      </c>
      <c r="F304" s="5">
        <v>140</v>
      </c>
      <c r="G304" s="5">
        <v>152</v>
      </c>
      <c r="H304" s="4" t="s">
        <v>380</v>
      </c>
      <c r="I304" s="10">
        <v>717</v>
      </c>
      <c r="J304" s="34">
        <f t="shared" si="16"/>
        <v>6.2378999999999998</v>
      </c>
      <c r="K304" s="34">
        <f t="shared" si="17"/>
        <v>9.36</v>
      </c>
      <c r="L304" s="34">
        <f t="shared" si="18"/>
        <v>37.44</v>
      </c>
      <c r="M304" s="11" t="s">
        <v>3764</v>
      </c>
      <c r="N304" s="11" t="s">
        <v>3716</v>
      </c>
      <c r="O304" s="11" t="s">
        <v>3711</v>
      </c>
      <c r="P304" s="11" t="s">
        <v>3717</v>
      </c>
      <c r="Q304" s="12">
        <v>140</v>
      </c>
      <c r="R304" s="12">
        <v>152</v>
      </c>
      <c r="S304" s="12">
        <v>7.7</v>
      </c>
      <c r="T304" s="13">
        <v>41.68</v>
      </c>
      <c r="U304" s="13">
        <f t="shared" si="19"/>
        <v>4.240000000000002</v>
      </c>
      <c r="V304" s="14">
        <v>5105.8</v>
      </c>
      <c r="W304" s="14">
        <v>5105.8</v>
      </c>
      <c r="X304" s="11">
        <v>5</v>
      </c>
      <c r="Y304" s="15" t="s">
        <v>3713</v>
      </c>
      <c r="Z304" s="16">
        <v>4388.8</v>
      </c>
      <c r="AA304" s="17">
        <v>612.1</v>
      </c>
      <c r="AB304" s="18" t="s">
        <v>3714</v>
      </c>
    </row>
    <row r="305" spans="1:28" x14ac:dyDescent="0.45">
      <c r="A305" s="2" t="s">
        <v>647</v>
      </c>
      <c r="B305" s="2" t="s">
        <v>648</v>
      </c>
      <c r="C305" s="2" t="s">
        <v>4</v>
      </c>
      <c r="D305" s="2" t="s">
        <v>586</v>
      </c>
      <c r="E305" s="2" t="s">
        <v>6</v>
      </c>
      <c r="F305" s="3">
        <v>150</v>
      </c>
      <c r="G305" s="3">
        <v>162</v>
      </c>
      <c r="H305" s="2" t="s">
        <v>380</v>
      </c>
      <c r="I305" s="19">
        <v>756</v>
      </c>
      <c r="J305" s="34">
        <f t="shared" si="16"/>
        <v>6.5771999999999995</v>
      </c>
      <c r="K305" s="34">
        <f t="shared" si="17"/>
        <v>9.8699999999999992</v>
      </c>
      <c r="L305" s="34">
        <f t="shared" si="18"/>
        <v>39.479999999999997</v>
      </c>
      <c r="M305" s="20" t="s">
        <v>3766</v>
      </c>
      <c r="N305" s="20" t="s">
        <v>3716</v>
      </c>
      <c r="O305" s="20" t="s">
        <v>3711</v>
      </c>
      <c r="P305" s="20" t="s">
        <v>3717</v>
      </c>
      <c r="Q305" s="21">
        <v>150</v>
      </c>
      <c r="R305" s="21">
        <v>162</v>
      </c>
      <c r="S305" s="21">
        <v>7</v>
      </c>
      <c r="T305" s="22">
        <v>23.02</v>
      </c>
      <c r="U305" s="13">
        <f t="shared" si="19"/>
        <v>-16.459999999999997</v>
      </c>
      <c r="V305" s="23">
        <v>2819.95</v>
      </c>
      <c r="W305" s="23">
        <v>2819.95</v>
      </c>
      <c r="X305" s="20">
        <v>25</v>
      </c>
      <c r="Y305" s="24" t="s">
        <v>3713</v>
      </c>
      <c r="Z305" s="16">
        <v>2063.9499999999998</v>
      </c>
      <c r="AA305" s="17">
        <v>273</v>
      </c>
      <c r="AB305" s="25" t="s">
        <v>3714</v>
      </c>
    </row>
    <row r="306" spans="1:28" x14ac:dyDescent="0.45">
      <c r="A306" s="4" t="s">
        <v>649</v>
      </c>
      <c r="B306" s="4" t="s">
        <v>650</v>
      </c>
      <c r="C306" s="4" t="s">
        <v>4</v>
      </c>
      <c r="D306" s="4" t="s">
        <v>586</v>
      </c>
      <c r="E306" s="4" t="s">
        <v>6</v>
      </c>
      <c r="F306" s="5">
        <v>170</v>
      </c>
      <c r="G306" s="5">
        <v>182</v>
      </c>
      <c r="H306" s="4" t="s">
        <v>380</v>
      </c>
      <c r="I306" s="10">
        <v>836</v>
      </c>
      <c r="J306" s="34">
        <f t="shared" si="16"/>
        <v>7.2731999999999992</v>
      </c>
      <c r="K306" s="34">
        <f t="shared" si="17"/>
        <v>10.91</v>
      </c>
      <c r="L306" s="34">
        <f t="shared" si="18"/>
        <v>43.64</v>
      </c>
      <c r="M306" s="11" t="s">
        <v>3794</v>
      </c>
      <c r="N306" s="11" t="s">
        <v>3716</v>
      </c>
      <c r="O306" s="11" t="s">
        <v>3711</v>
      </c>
      <c r="P306" s="11" t="s">
        <v>3717</v>
      </c>
      <c r="Q306" s="12">
        <v>170</v>
      </c>
      <c r="R306" s="12">
        <v>182</v>
      </c>
      <c r="S306" s="12">
        <v>7.5</v>
      </c>
      <c r="T306" s="13">
        <v>26.98</v>
      </c>
      <c r="U306" s="13">
        <f t="shared" si="19"/>
        <v>-16.66</v>
      </c>
      <c r="V306" s="14">
        <v>3305.05</v>
      </c>
      <c r="W306" s="14">
        <v>3305.05</v>
      </c>
      <c r="X306" s="11">
        <v>41</v>
      </c>
      <c r="Y306" s="15" t="s">
        <v>3713</v>
      </c>
      <c r="Z306" s="16">
        <v>2469.0500000000002</v>
      </c>
      <c r="AA306" s="17">
        <v>295.3</v>
      </c>
      <c r="AB306" s="18" t="s">
        <v>3714</v>
      </c>
    </row>
    <row r="307" spans="1:28" x14ac:dyDescent="0.45">
      <c r="A307" s="2" t="s">
        <v>651</v>
      </c>
      <c r="B307" s="2" t="s">
        <v>652</v>
      </c>
      <c r="C307" s="2" t="s">
        <v>4</v>
      </c>
      <c r="D307" s="2" t="s">
        <v>586</v>
      </c>
      <c r="E307" s="2" t="s">
        <v>6</v>
      </c>
      <c r="F307" s="3">
        <v>220</v>
      </c>
      <c r="G307" s="3">
        <v>235</v>
      </c>
      <c r="H307" s="2" t="s">
        <v>653</v>
      </c>
      <c r="I307" s="19">
        <v>1750</v>
      </c>
      <c r="J307" s="34">
        <f t="shared" si="16"/>
        <v>15.225</v>
      </c>
      <c r="K307" s="34">
        <f t="shared" si="17"/>
        <v>22.84</v>
      </c>
      <c r="L307" s="34">
        <f t="shared" si="18"/>
        <v>91.36</v>
      </c>
      <c r="M307" s="20" t="s">
        <v>3866</v>
      </c>
      <c r="N307" s="20" t="s">
        <v>3716</v>
      </c>
      <c r="O307" s="20" t="s">
        <v>3711</v>
      </c>
      <c r="P307" s="20" t="s">
        <v>3717</v>
      </c>
      <c r="Q307" s="21">
        <v>220</v>
      </c>
      <c r="R307" s="21">
        <v>235</v>
      </c>
      <c r="S307" s="21">
        <v>10.199999999999999</v>
      </c>
      <c r="T307" s="22">
        <v>84.83</v>
      </c>
      <c r="U307" s="13">
        <f t="shared" si="19"/>
        <v>-6.5300000000000011</v>
      </c>
      <c r="V307" s="23">
        <v>10391.67</v>
      </c>
      <c r="W307" s="23">
        <v>10391.67</v>
      </c>
      <c r="X307" s="20" t="s">
        <v>3722</v>
      </c>
      <c r="Y307" s="24" t="s">
        <v>3713</v>
      </c>
      <c r="Z307" s="16">
        <v>8641.67</v>
      </c>
      <c r="AA307" s="17">
        <v>493.8</v>
      </c>
      <c r="AB307" s="25" t="s">
        <v>3714</v>
      </c>
    </row>
    <row r="308" spans="1:28" x14ac:dyDescent="0.45">
      <c r="A308" s="4" t="s">
        <v>654</v>
      </c>
      <c r="B308" s="4" t="s">
        <v>655</v>
      </c>
      <c r="C308" s="4" t="s">
        <v>4</v>
      </c>
      <c r="D308" s="4" t="s">
        <v>586</v>
      </c>
      <c r="E308" s="4" t="s">
        <v>6</v>
      </c>
      <c r="F308" s="5">
        <v>280</v>
      </c>
      <c r="G308" s="5">
        <v>295</v>
      </c>
      <c r="H308" s="4" t="s">
        <v>656</v>
      </c>
      <c r="I308" s="10">
        <v>2250</v>
      </c>
      <c r="J308" s="34">
        <f t="shared" si="16"/>
        <v>19.574999999999999</v>
      </c>
      <c r="K308" s="34">
        <f t="shared" si="17"/>
        <v>29.36</v>
      </c>
      <c r="L308" s="34">
        <f t="shared" si="18"/>
        <v>117.44</v>
      </c>
      <c r="M308" s="11" t="s">
        <v>3867</v>
      </c>
      <c r="N308" s="11" t="s">
        <v>3716</v>
      </c>
      <c r="O308" s="11" t="s">
        <v>3711</v>
      </c>
      <c r="P308" s="11" t="s">
        <v>3717</v>
      </c>
      <c r="Q308" s="12">
        <v>280</v>
      </c>
      <c r="R308" s="12">
        <v>295</v>
      </c>
      <c r="S308" s="12">
        <v>9.5</v>
      </c>
      <c r="T308" s="13">
        <v>47.79</v>
      </c>
      <c r="U308" s="13">
        <f t="shared" si="19"/>
        <v>-69.650000000000006</v>
      </c>
      <c r="V308" s="14">
        <v>5854.28</v>
      </c>
      <c r="W308" s="14">
        <v>5854.28</v>
      </c>
      <c r="X308" s="11">
        <v>7</v>
      </c>
      <c r="Y308" s="15" t="s">
        <v>3713</v>
      </c>
      <c r="Z308" s="16">
        <v>3604.28</v>
      </c>
      <c r="AA308" s="17">
        <v>160.19999999999999</v>
      </c>
      <c r="AB308" s="18" t="s">
        <v>3714</v>
      </c>
    </row>
    <row r="309" spans="1:28" x14ac:dyDescent="0.45">
      <c r="A309" s="2" t="s">
        <v>657</v>
      </c>
      <c r="B309" s="2" t="s">
        <v>658</v>
      </c>
      <c r="C309" s="2" t="s">
        <v>4</v>
      </c>
      <c r="D309" s="2" t="s">
        <v>586</v>
      </c>
      <c r="E309" s="2" t="s">
        <v>96</v>
      </c>
      <c r="F309" s="3">
        <v>12</v>
      </c>
      <c r="G309" s="3">
        <v>18</v>
      </c>
      <c r="H309" s="2" t="s">
        <v>328</v>
      </c>
      <c r="I309" s="19">
        <v>29</v>
      </c>
      <c r="J309" s="34">
        <f t="shared" si="16"/>
        <v>0.25229999999999997</v>
      </c>
      <c r="K309" s="34">
        <f t="shared" si="17"/>
        <v>0.38</v>
      </c>
      <c r="L309" s="34">
        <f t="shared" si="18"/>
        <v>1.52</v>
      </c>
      <c r="M309" s="20" t="s">
        <v>3709</v>
      </c>
      <c r="N309" s="20" t="s">
        <v>3710</v>
      </c>
      <c r="O309" s="20" t="s">
        <v>3711</v>
      </c>
      <c r="P309" s="20" t="s">
        <v>3712</v>
      </c>
      <c r="Q309" s="21">
        <v>12</v>
      </c>
      <c r="R309" s="21">
        <v>18</v>
      </c>
      <c r="S309" s="21">
        <v>4</v>
      </c>
      <c r="T309" s="22">
        <v>4.28</v>
      </c>
      <c r="U309" s="13">
        <f t="shared" si="19"/>
        <v>2.7600000000000002</v>
      </c>
      <c r="V309" s="23">
        <v>524.29999999999995</v>
      </c>
      <c r="W309" s="23">
        <v>524.29999999999995</v>
      </c>
      <c r="X309" s="20">
        <v>20</v>
      </c>
      <c r="Y309" s="24" t="s">
        <v>3713</v>
      </c>
      <c r="Z309" s="16">
        <v>495.3</v>
      </c>
      <c r="AA309" s="17">
        <v>1707.9</v>
      </c>
      <c r="AB309" s="25" t="s">
        <v>3714</v>
      </c>
    </row>
    <row r="310" spans="1:28" x14ac:dyDescent="0.45">
      <c r="A310" s="4" t="s">
        <v>659</v>
      </c>
      <c r="B310" s="4" t="s">
        <v>660</v>
      </c>
      <c r="C310" s="4" t="s">
        <v>4</v>
      </c>
      <c r="D310" s="4" t="s">
        <v>586</v>
      </c>
      <c r="E310" s="4" t="s">
        <v>96</v>
      </c>
      <c r="F310" s="5">
        <v>12</v>
      </c>
      <c r="G310" s="5">
        <v>20</v>
      </c>
      <c r="H310" s="4" t="s">
        <v>328</v>
      </c>
      <c r="I310" s="10">
        <v>29</v>
      </c>
      <c r="J310" s="34">
        <f t="shared" si="16"/>
        <v>0.25229999999999997</v>
      </c>
      <c r="K310" s="34">
        <f t="shared" si="17"/>
        <v>0.38</v>
      </c>
      <c r="L310" s="34">
        <f t="shared" si="18"/>
        <v>1.52</v>
      </c>
      <c r="M310" s="11" t="s">
        <v>3769</v>
      </c>
      <c r="N310" s="11" t="s">
        <v>3719</v>
      </c>
      <c r="O310" s="11" t="s">
        <v>3711</v>
      </c>
      <c r="P310" s="11" t="s">
        <v>3720</v>
      </c>
      <c r="Q310" s="12">
        <v>12</v>
      </c>
      <c r="R310" s="12">
        <v>20</v>
      </c>
      <c r="S310" s="12">
        <v>4</v>
      </c>
      <c r="T310" s="13">
        <v>11.23</v>
      </c>
      <c r="U310" s="13">
        <f t="shared" si="19"/>
        <v>9.7100000000000009</v>
      </c>
      <c r="V310" s="14">
        <v>1375.68</v>
      </c>
      <c r="W310" s="14">
        <v>1375.68</v>
      </c>
      <c r="X310" s="11">
        <v>24</v>
      </c>
      <c r="Y310" s="15" t="s">
        <v>3713</v>
      </c>
      <c r="Z310" s="16">
        <v>1346.68</v>
      </c>
      <c r="AA310" s="17">
        <v>4643.7</v>
      </c>
      <c r="AB310" s="18" t="s">
        <v>3714</v>
      </c>
    </row>
    <row r="311" spans="1:28" x14ac:dyDescent="0.45">
      <c r="A311" s="2" t="s">
        <v>661</v>
      </c>
      <c r="B311" s="2" t="s">
        <v>662</v>
      </c>
      <c r="C311" s="2" t="s">
        <v>4</v>
      </c>
      <c r="D311" s="2" t="s">
        <v>586</v>
      </c>
      <c r="E311" s="2" t="s">
        <v>96</v>
      </c>
      <c r="F311" s="3">
        <v>14</v>
      </c>
      <c r="G311" s="3">
        <v>22</v>
      </c>
      <c r="H311" s="2" t="s">
        <v>328</v>
      </c>
      <c r="I311" s="19">
        <v>30</v>
      </c>
      <c r="J311" s="34">
        <f t="shared" si="16"/>
        <v>0.26100000000000001</v>
      </c>
      <c r="K311" s="34">
        <f t="shared" si="17"/>
        <v>0.39</v>
      </c>
      <c r="L311" s="34">
        <f t="shared" si="18"/>
        <v>1.56</v>
      </c>
      <c r="M311" s="20" t="s">
        <v>3770</v>
      </c>
      <c r="N311" s="20" t="s">
        <v>3719</v>
      </c>
      <c r="O311" s="20" t="s">
        <v>3711</v>
      </c>
      <c r="P311" s="20" t="s">
        <v>3720</v>
      </c>
      <c r="Q311" s="21">
        <v>14</v>
      </c>
      <c r="R311" s="21">
        <v>22</v>
      </c>
      <c r="S311" s="21">
        <v>4</v>
      </c>
      <c r="T311" s="22">
        <v>9.43</v>
      </c>
      <c r="U311" s="13">
        <f t="shared" si="19"/>
        <v>7.8699999999999992</v>
      </c>
      <c r="V311" s="23">
        <v>1155.18</v>
      </c>
      <c r="W311" s="23">
        <v>1155.18</v>
      </c>
      <c r="X311" s="20">
        <v>7</v>
      </c>
      <c r="Y311" s="24" t="s">
        <v>3713</v>
      </c>
      <c r="Z311" s="16">
        <v>1125.18</v>
      </c>
      <c r="AA311" s="17">
        <v>3750.6</v>
      </c>
      <c r="AB311" s="25" t="s">
        <v>3714</v>
      </c>
    </row>
    <row r="312" spans="1:28" x14ac:dyDescent="0.45">
      <c r="A312" s="4" t="s">
        <v>663</v>
      </c>
      <c r="B312" s="4" t="s">
        <v>664</v>
      </c>
      <c r="C312" s="4" t="s">
        <v>4</v>
      </c>
      <c r="D312" s="4" t="s">
        <v>586</v>
      </c>
      <c r="E312" s="4" t="s">
        <v>96</v>
      </c>
      <c r="F312" s="5">
        <v>15</v>
      </c>
      <c r="G312" s="5">
        <v>23</v>
      </c>
      <c r="H312" s="4" t="s">
        <v>328</v>
      </c>
      <c r="I312" s="10">
        <v>30</v>
      </c>
      <c r="J312" s="34">
        <f t="shared" si="16"/>
        <v>0.26100000000000001</v>
      </c>
      <c r="K312" s="34">
        <f t="shared" si="17"/>
        <v>0.39</v>
      </c>
      <c r="L312" s="34">
        <f t="shared" si="18"/>
        <v>1.56</v>
      </c>
      <c r="M312" s="11" t="s">
        <v>3770</v>
      </c>
      <c r="N312" s="11" t="s">
        <v>3719</v>
      </c>
      <c r="O312" s="11" t="s">
        <v>3711</v>
      </c>
      <c r="P312" s="11" t="s">
        <v>3720</v>
      </c>
      <c r="Q312" s="12">
        <v>14</v>
      </c>
      <c r="R312" s="12">
        <v>22</v>
      </c>
      <c r="S312" s="12">
        <v>4</v>
      </c>
      <c r="T312" s="13">
        <v>9.43</v>
      </c>
      <c r="U312" s="13">
        <f t="shared" si="19"/>
        <v>7.8699999999999992</v>
      </c>
      <c r="V312" s="14">
        <v>1155.18</v>
      </c>
      <c r="W312" s="14">
        <v>1155.18</v>
      </c>
      <c r="X312" s="11">
        <v>7</v>
      </c>
      <c r="Y312" s="15" t="s">
        <v>3713</v>
      </c>
      <c r="Z312" s="16">
        <v>1125.18</v>
      </c>
      <c r="AA312" s="17">
        <v>3750.6</v>
      </c>
      <c r="AB312" s="18" t="s">
        <v>3783</v>
      </c>
    </row>
    <row r="313" spans="1:28" x14ac:dyDescent="0.45">
      <c r="A313" s="2" t="s">
        <v>665</v>
      </c>
      <c r="B313" s="2" t="s">
        <v>666</v>
      </c>
      <c r="C313" s="2" t="s">
        <v>4</v>
      </c>
      <c r="D313" s="2" t="s">
        <v>586</v>
      </c>
      <c r="E313" s="2" t="s">
        <v>96</v>
      </c>
      <c r="F313" s="3">
        <v>16</v>
      </c>
      <c r="G313" s="3">
        <v>24</v>
      </c>
      <c r="H313" s="2" t="s">
        <v>328</v>
      </c>
      <c r="I313" s="19">
        <v>30</v>
      </c>
      <c r="J313" s="34">
        <f t="shared" si="16"/>
        <v>0.26100000000000001</v>
      </c>
      <c r="K313" s="34">
        <f t="shared" si="17"/>
        <v>0.39</v>
      </c>
      <c r="L313" s="34">
        <f t="shared" si="18"/>
        <v>1.56</v>
      </c>
      <c r="M313" s="20" t="s">
        <v>3772</v>
      </c>
      <c r="N313" s="20" t="s">
        <v>3719</v>
      </c>
      <c r="O313" s="20" t="s">
        <v>3711</v>
      </c>
      <c r="P313" s="20" t="s">
        <v>3720</v>
      </c>
      <c r="Q313" s="21">
        <v>16</v>
      </c>
      <c r="R313" s="21">
        <v>24</v>
      </c>
      <c r="S313" s="21">
        <v>4</v>
      </c>
      <c r="T313" s="22">
        <v>12.03</v>
      </c>
      <c r="U313" s="13">
        <f t="shared" si="19"/>
        <v>10.469999999999999</v>
      </c>
      <c r="V313" s="23">
        <v>1473.68</v>
      </c>
      <c r="W313" s="23">
        <v>1473.68</v>
      </c>
      <c r="X313" s="20">
        <v>34</v>
      </c>
      <c r="Y313" s="24" t="s">
        <v>3713</v>
      </c>
      <c r="Z313" s="16">
        <v>1443.68</v>
      </c>
      <c r="AA313" s="17">
        <v>4812.3</v>
      </c>
      <c r="AB313" s="25" t="s">
        <v>3714</v>
      </c>
    </row>
    <row r="314" spans="1:28" x14ac:dyDescent="0.45">
      <c r="A314" s="4" t="s">
        <v>667</v>
      </c>
      <c r="B314" s="4" t="s">
        <v>668</v>
      </c>
      <c r="C314" s="4" t="s">
        <v>4</v>
      </c>
      <c r="D314" s="4" t="s">
        <v>586</v>
      </c>
      <c r="E314" s="4" t="s">
        <v>96</v>
      </c>
      <c r="F314" s="5">
        <v>18</v>
      </c>
      <c r="G314" s="5">
        <v>26</v>
      </c>
      <c r="H314" s="4" t="s">
        <v>328</v>
      </c>
      <c r="I314" s="10">
        <v>30</v>
      </c>
      <c r="J314" s="34">
        <f t="shared" si="16"/>
        <v>0.26100000000000001</v>
      </c>
      <c r="K314" s="34">
        <f t="shared" si="17"/>
        <v>0.39</v>
      </c>
      <c r="L314" s="34">
        <f t="shared" si="18"/>
        <v>1.56</v>
      </c>
      <c r="M314" s="11" t="s">
        <v>3718</v>
      </c>
      <c r="N314" s="11" t="s">
        <v>3719</v>
      </c>
      <c r="O314" s="11" t="s">
        <v>3711</v>
      </c>
      <c r="P314" s="11" t="s">
        <v>3720</v>
      </c>
      <c r="Q314" s="12">
        <v>18</v>
      </c>
      <c r="R314" s="12">
        <v>26</v>
      </c>
      <c r="S314" s="12">
        <v>4</v>
      </c>
      <c r="T314" s="13">
        <v>4.1900000000000004</v>
      </c>
      <c r="U314" s="13">
        <f t="shared" si="19"/>
        <v>2.6300000000000003</v>
      </c>
      <c r="V314" s="14">
        <v>513.28</v>
      </c>
      <c r="W314" s="14">
        <v>513.28</v>
      </c>
      <c r="X314" s="11">
        <v>55</v>
      </c>
      <c r="Y314" s="15" t="s">
        <v>3713</v>
      </c>
      <c r="Z314" s="16">
        <v>483.28</v>
      </c>
      <c r="AA314" s="17">
        <v>1610.9</v>
      </c>
      <c r="AB314" s="18" t="s">
        <v>3714</v>
      </c>
    </row>
    <row r="315" spans="1:28" x14ac:dyDescent="0.45">
      <c r="A315" s="2" t="s">
        <v>669</v>
      </c>
      <c r="B315" s="2" t="s">
        <v>670</v>
      </c>
      <c r="C315" s="2" t="s">
        <v>4</v>
      </c>
      <c r="D315" s="2" t="s">
        <v>586</v>
      </c>
      <c r="E315" s="2" t="s">
        <v>96</v>
      </c>
      <c r="F315" s="3">
        <v>20</v>
      </c>
      <c r="G315" s="3">
        <v>28</v>
      </c>
      <c r="H315" s="2" t="s">
        <v>328</v>
      </c>
      <c r="I315" s="19">
        <v>32</v>
      </c>
      <c r="J315" s="34">
        <f t="shared" si="16"/>
        <v>0.27839999999999998</v>
      </c>
      <c r="K315" s="34">
        <f t="shared" si="17"/>
        <v>0.42</v>
      </c>
      <c r="L315" s="34">
        <f t="shared" si="18"/>
        <v>1.68</v>
      </c>
      <c r="M315" s="20" t="s">
        <v>3721</v>
      </c>
      <c r="N315" s="20" t="s">
        <v>3719</v>
      </c>
      <c r="O315" s="20" t="s">
        <v>3711</v>
      </c>
      <c r="P315" s="20" t="s">
        <v>3720</v>
      </c>
      <c r="Q315" s="21">
        <v>20</v>
      </c>
      <c r="R315" s="21">
        <v>28</v>
      </c>
      <c r="S315" s="21">
        <v>4</v>
      </c>
      <c r="T315" s="22">
        <v>11.74</v>
      </c>
      <c r="U315" s="13">
        <f t="shared" si="19"/>
        <v>10.06</v>
      </c>
      <c r="V315" s="23">
        <v>1438.15</v>
      </c>
      <c r="W315" s="23">
        <v>1438.15</v>
      </c>
      <c r="X315" s="20" t="s">
        <v>3722</v>
      </c>
      <c r="Y315" s="24" t="s">
        <v>3713</v>
      </c>
      <c r="Z315" s="16">
        <v>1406.15</v>
      </c>
      <c r="AA315" s="17">
        <v>4394.2</v>
      </c>
      <c r="AB315" s="25" t="s">
        <v>3714</v>
      </c>
    </row>
    <row r="316" spans="1:28" x14ac:dyDescent="0.45">
      <c r="A316" s="4" t="s">
        <v>671</v>
      </c>
      <c r="B316" s="4" t="s">
        <v>672</v>
      </c>
      <c r="C316" s="4" t="s">
        <v>4</v>
      </c>
      <c r="D316" s="4" t="s">
        <v>586</v>
      </c>
      <c r="E316" s="4" t="s">
        <v>96</v>
      </c>
      <c r="F316" s="5">
        <v>22</v>
      </c>
      <c r="G316" s="5">
        <v>30</v>
      </c>
      <c r="H316" s="4" t="s">
        <v>328</v>
      </c>
      <c r="I316" s="10">
        <v>32</v>
      </c>
      <c r="J316" s="34">
        <f t="shared" si="16"/>
        <v>0.27839999999999998</v>
      </c>
      <c r="K316" s="34">
        <f t="shared" si="17"/>
        <v>0.42</v>
      </c>
      <c r="L316" s="34">
        <f t="shared" si="18"/>
        <v>1.68</v>
      </c>
      <c r="M316" s="11" t="s">
        <v>3723</v>
      </c>
      <c r="N316" s="11" t="s">
        <v>3719</v>
      </c>
      <c r="O316" s="11" t="s">
        <v>3711</v>
      </c>
      <c r="P316" s="11" t="s">
        <v>3720</v>
      </c>
      <c r="Q316" s="12">
        <v>22</v>
      </c>
      <c r="R316" s="12">
        <v>30</v>
      </c>
      <c r="S316" s="12">
        <v>4</v>
      </c>
      <c r="T316" s="13">
        <v>7.14</v>
      </c>
      <c r="U316" s="13">
        <f t="shared" si="19"/>
        <v>5.46</v>
      </c>
      <c r="V316" s="14">
        <v>874.65</v>
      </c>
      <c r="W316" s="14">
        <v>874.65</v>
      </c>
      <c r="X316" s="11">
        <v>16</v>
      </c>
      <c r="Y316" s="15" t="s">
        <v>3713</v>
      </c>
      <c r="Z316" s="16">
        <v>842.65</v>
      </c>
      <c r="AA316" s="17">
        <v>2633.3</v>
      </c>
      <c r="AB316" s="18" t="s">
        <v>3714</v>
      </c>
    </row>
    <row r="317" spans="1:28" x14ac:dyDescent="0.45">
      <c r="A317" s="2" t="s">
        <v>673</v>
      </c>
      <c r="B317" s="2" t="s">
        <v>674</v>
      </c>
      <c r="C317" s="2" t="s">
        <v>4</v>
      </c>
      <c r="D317" s="2" t="s">
        <v>586</v>
      </c>
      <c r="E317" s="2" t="s">
        <v>96</v>
      </c>
      <c r="F317" s="3">
        <v>25</v>
      </c>
      <c r="G317" s="3">
        <v>33</v>
      </c>
      <c r="H317" s="2" t="s">
        <v>328</v>
      </c>
      <c r="I317" s="19">
        <v>34</v>
      </c>
      <c r="J317" s="34">
        <f t="shared" si="16"/>
        <v>0.29579999999999995</v>
      </c>
      <c r="K317" s="34">
        <f t="shared" si="17"/>
        <v>0.44</v>
      </c>
      <c r="L317" s="34">
        <f t="shared" si="18"/>
        <v>1.76</v>
      </c>
      <c r="M317" s="20" t="s">
        <v>3724</v>
      </c>
      <c r="N317" s="20" t="s">
        <v>3719</v>
      </c>
      <c r="O317" s="20" t="s">
        <v>3711</v>
      </c>
      <c r="P317" s="20" t="s">
        <v>3720</v>
      </c>
      <c r="Q317" s="21">
        <v>25</v>
      </c>
      <c r="R317" s="21">
        <v>33</v>
      </c>
      <c r="S317" s="21">
        <v>4</v>
      </c>
      <c r="T317" s="22">
        <v>7.87</v>
      </c>
      <c r="U317" s="13">
        <f t="shared" si="19"/>
        <v>6.11</v>
      </c>
      <c r="V317" s="23">
        <v>964.08</v>
      </c>
      <c r="W317" s="23">
        <v>964.08</v>
      </c>
      <c r="X317" s="20" t="s">
        <v>3722</v>
      </c>
      <c r="Y317" s="24" t="s">
        <v>3713</v>
      </c>
      <c r="Z317" s="16">
        <v>930.08</v>
      </c>
      <c r="AA317" s="17">
        <v>2735.5</v>
      </c>
      <c r="AB317" s="25" t="s">
        <v>3714</v>
      </c>
    </row>
    <row r="318" spans="1:28" x14ac:dyDescent="0.45">
      <c r="A318" s="4" t="s">
        <v>675</v>
      </c>
      <c r="B318" s="4" t="s">
        <v>676</v>
      </c>
      <c r="C318" s="4" t="s">
        <v>4</v>
      </c>
      <c r="D318" s="4" t="s">
        <v>586</v>
      </c>
      <c r="E318" s="4" t="s">
        <v>96</v>
      </c>
      <c r="F318" s="5">
        <v>28</v>
      </c>
      <c r="G318" s="5">
        <v>36</v>
      </c>
      <c r="H318" s="4" t="s">
        <v>328</v>
      </c>
      <c r="I318" s="10">
        <v>35</v>
      </c>
      <c r="J318" s="34">
        <f t="shared" si="16"/>
        <v>0.30449999999999999</v>
      </c>
      <c r="K318" s="34">
        <f t="shared" si="17"/>
        <v>0.46</v>
      </c>
      <c r="L318" s="34">
        <f t="shared" si="18"/>
        <v>1.84</v>
      </c>
      <c r="M318" s="11" t="s">
        <v>3725</v>
      </c>
      <c r="N318" s="11" t="s">
        <v>3716</v>
      </c>
      <c r="O318" s="11" t="s">
        <v>3711</v>
      </c>
      <c r="P318" s="11" t="s">
        <v>3717</v>
      </c>
      <c r="Q318" s="12">
        <v>28</v>
      </c>
      <c r="R318" s="12">
        <v>36</v>
      </c>
      <c r="S318" s="12">
        <v>5</v>
      </c>
      <c r="T318" s="13">
        <v>5.53</v>
      </c>
      <c r="U318" s="13">
        <f t="shared" si="19"/>
        <v>3.6900000000000004</v>
      </c>
      <c r="V318" s="14">
        <v>677.42</v>
      </c>
      <c r="W318" s="14">
        <v>677.42</v>
      </c>
      <c r="X318" s="11">
        <v>381</v>
      </c>
      <c r="Y318" s="15" t="s">
        <v>3713</v>
      </c>
      <c r="Z318" s="16">
        <v>642.41999999999996</v>
      </c>
      <c r="AA318" s="17">
        <v>1835.5</v>
      </c>
      <c r="AB318" s="18" t="s">
        <v>3714</v>
      </c>
    </row>
    <row r="319" spans="1:28" x14ac:dyDescent="0.45">
      <c r="A319" s="2" t="s">
        <v>677</v>
      </c>
      <c r="B319" s="2" t="s">
        <v>678</v>
      </c>
      <c r="C319" s="2" t="s">
        <v>4</v>
      </c>
      <c r="D319" s="2" t="s">
        <v>586</v>
      </c>
      <c r="E319" s="2" t="s">
        <v>96</v>
      </c>
      <c r="F319" s="3">
        <v>30</v>
      </c>
      <c r="G319" s="3">
        <v>38</v>
      </c>
      <c r="H319" s="2" t="s">
        <v>328</v>
      </c>
      <c r="I319" s="19">
        <v>35</v>
      </c>
      <c r="J319" s="34">
        <f t="shared" si="16"/>
        <v>0.30449999999999999</v>
      </c>
      <c r="K319" s="34">
        <f t="shared" si="17"/>
        <v>0.46</v>
      </c>
      <c r="L319" s="34">
        <f t="shared" si="18"/>
        <v>1.84</v>
      </c>
      <c r="M319" s="20" t="s">
        <v>3726</v>
      </c>
      <c r="N319" s="20" t="s">
        <v>3716</v>
      </c>
      <c r="O319" s="20" t="s">
        <v>3711</v>
      </c>
      <c r="P319" s="20" t="s">
        <v>3717</v>
      </c>
      <c r="Q319" s="21">
        <v>30</v>
      </c>
      <c r="R319" s="21">
        <v>38</v>
      </c>
      <c r="S319" s="21">
        <v>5</v>
      </c>
      <c r="T319" s="22">
        <v>5.98</v>
      </c>
      <c r="U319" s="13">
        <f t="shared" si="19"/>
        <v>4.1400000000000006</v>
      </c>
      <c r="V319" s="23">
        <v>732.55</v>
      </c>
      <c r="W319" s="23">
        <v>732.55</v>
      </c>
      <c r="X319" s="20">
        <v>138</v>
      </c>
      <c r="Y319" s="24" t="s">
        <v>3713</v>
      </c>
      <c r="Z319" s="16">
        <v>697.55</v>
      </c>
      <c r="AA319" s="17">
        <v>1993</v>
      </c>
      <c r="AB319" s="25" t="s">
        <v>3714</v>
      </c>
    </row>
    <row r="320" spans="1:28" x14ac:dyDescent="0.45">
      <c r="A320" s="4" t="s">
        <v>679</v>
      </c>
      <c r="B320" s="4" t="s">
        <v>680</v>
      </c>
      <c r="C320" s="4" t="s">
        <v>4</v>
      </c>
      <c r="D320" s="4" t="s">
        <v>586</v>
      </c>
      <c r="E320" s="4" t="s">
        <v>96</v>
      </c>
      <c r="F320" s="5">
        <v>32</v>
      </c>
      <c r="G320" s="5">
        <v>40</v>
      </c>
      <c r="H320" s="4" t="s">
        <v>328</v>
      </c>
      <c r="I320" s="10">
        <v>37</v>
      </c>
      <c r="J320" s="34">
        <f t="shared" si="16"/>
        <v>0.32189999999999996</v>
      </c>
      <c r="K320" s="34">
        <f t="shared" si="17"/>
        <v>0.48</v>
      </c>
      <c r="L320" s="34">
        <f t="shared" si="18"/>
        <v>1.92</v>
      </c>
      <c r="M320" s="11" t="s">
        <v>3727</v>
      </c>
      <c r="N320" s="11" t="s">
        <v>3719</v>
      </c>
      <c r="O320" s="11" t="s">
        <v>3711</v>
      </c>
      <c r="P320" s="11" t="s">
        <v>3720</v>
      </c>
      <c r="Q320" s="12">
        <v>32</v>
      </c>
      <c r="R320" s="12">
        <v>40</v>
      </c>
      <c r="S320" s="12">
        <v>5</v>
      </c>
      <c r="T320" s="13">
        <v>7.49</v>
      </c>
      <c r="U320" s="13">
        <f t="shared" si="19"/>
        <v>5.57</v>
      </c>
      <c r="V320" s="14">
        <v>917.52</v>
      </c>
      <c r="W320" s="14">
        <v>917.52</v>
      </c>
      <c r="X320" s="11">
        <v>11</v>
      </c>
      <c r="Y320" s="15" t="s">
        <v>3713</v>
      </c>
      <c r="Z320" s="16">
        <v>880.52</v>
      </c>
      <c r="AA320" s="17">
        <v>2379.8000000000002</v>
      </c>
      <c r="AB320" s="18" t="s">
        <v>3714</v>
      </c>
    </row>
    <row r="321" spans="1:28" x14ac:dyDescent="0.45">
      <c r="A321" s="2" t="s">
        <v>681</v>
      </c>
      <c r="B321" s="2" t="s">
        <v>682</v>
      </c>
      <c r="C321" s="2" t="s">
        <v>4</v>
      </c>
      <c r="D321" s="2" t="s">
        <v>586</v>
      </c>
      <c r="E321" s="2" t="s">
        <v>96</v>
      </c>
      <c r="F321" s="3">
        <v>35</v>
      </c>
      <c r="G321" s="3">
        <v>43</v>
      </c>
      <c r="H321" s="2" t="s">
        <v>328</v>
      </c>
      <c r="I321" s="19">
        <v>37</v>
      </c>
      <c r="J321" s="34">
        <f t="shared" si="16"/>
        <v>0.32189999999999996</v>
      </c>
      <c r="K321" s="34">
        <f t="shared" si="17"/>
        <v>0.48</v>
      </c>
      <c r="L321" s="34">
        <f t="shared" si="18"/>
        <v>1.92</v>
      </c>
      <c r="M321" s="20" t="s">
        <v>3728</v>
      </c>
      <c r="N321" s="20" t="s">
        <v>3716</v>
      </c>
      <c r="O321" s="20" t="s">
        <v>3711</v>
      </c>
      <c r="P321" s="20" t="s">
        <v>3717</v>
      </c>
      <c r="Q321" s="21">
        <v>35</v>
      </c>
      <c r="R321" s="21">
        <v>43</v>
      </c>
      <c r="S321" s="21">
        <v>5</v>
      </c>
      <c r="T321" s="22">
        <v>6.64</v>
      </c>
      <c r="U321" s="13">
        <f t="shared" si="19"/>
        <v>4.72</v>
      </c>
      <c r="V321" s="23">
        <v>813.4</v>
      </c>
      <c r="W321" s="23">
        <v>813.4</v>
      </c>
      <c r="X321" s="20">
        <v>102</v>
      </c>
      <c r="Y321" s="24" t="s">
        <v>3713</v>
      </c>
      <c r="Z321" s="16">
        <v>776.4</v>
      </c>
      <c r="AA321" s="17">
        <v>2098.4</v>
      </c>
      <c r="AB321" s="25" t="s">
        <v>3714</v>
      </c>
    </row>
    <row r="322" spans="1:28" x14ac:dyDescent="0.45">
      <c r="A322" s="4" t="s">
        <v>683</v>
      </c>
      <c r="B322" s="4" t="s">
        <v>684</v>
      </c>
      <c r="C322" s="4" t="s">
        <v>4</v>
      </c>
      <c r="D322" s="4" t="s">
        <v>586</v>
      </c>
      <c r="E322" s="4" t="s">
        <v>96</v>
      </c>
      <c r="F322" s="5">
        <v>36</v>
      </c>
      <c r="G322" s="5">
        <v>44</v>
      </c>
      <c r="H322" s="4" t="s">
        <v>328</v>
      </c>
      <c r="I322" s="10">
        <v>39</v>
      </c>
      <c r="J322" s="34">
        <f t="shared" si="16"/>
        <v>0.33929999999999999</v>
      </c>
      <c r="K322" s="34">
        <f t="shared" si="17"/>
        <v>0.51</v>
      </c>
      <c r="L322" s="34">
        <f t="shared" si="18"/>
        <v>2.04</v>
      </c>
      <c r="M322" s="11" t="s">
        <v>3729</v>
      </c>
      <c r="N322" s="11" t="s">
        <v>3716</v>
      </c>
      <c r="O322" s="11" t="s">
        <v>3711</v>
      </c>
      <c r="P322" s="11" t="s">
        <v>3717</v>
      </c>
      <c r="Q322" s="12">
        <v>36</v>
      </c>
      <c r="R322" s="12">
        <v>44</v>
      </c>
      <c r="S322" s="12">
        <v>5</v>
      </c>
      <c r="T322" s="13">
        <v>6.87</v>
      </c>
      <c r="U322" s="13">
        <f t="shared" si="19"/>
        <v>4.83</v>
      </c>
      <c r="V322" s="14">
        <v>841.58</v>
      </c>
      <c r="W322" s="14">
        <v>841.58</v>
      </c>
      <c r="X322" s="11">
        <v>103</v>
      </c>
      <c r="Y322" s="15" t="s">
        <v>3713</v>
      </c>
      <c r="Z322" s="16">
        <v>802.58</v>
      </c>
      <c r="AA322" s="17">
        <v>2057.9</v>
      </c>
      <c r="AB322" s="18" t="s">
        <v>3714</v>
      </c>
    </row>
    <row r="323" spans="1:28" x14ac:dyDescent="0.45">
      <c r="A323" s="2" t="s">
        <v>685</v>
      </c>
      <c r="B323" s="2" t="s">
        <v>686</v>
      </c>
      <c r="C323" s="2" t="s">
        <v>4</v>
      </c>
      <c r="D323" s="2" t="s">
        <v>586</v>
      </c>
      <c r="E323" s="2" t="s">
        <v>96</v>
      </c>
      <c r="F323" s="3">
        <v>38</v>
      </c>
      <c r="G323" s="3">
        <v>46</v>
      </c>
      <c r="H323" s="2" t="s">
        <v>328</v>
      </c>
      <c r="I323" s="19">
        <v>40</v>
      </c>
      <c r="J323" s="34">
        <f t="shared" si="16"/>
        <v>0.34799999999999998</v>
      </c>
      <c r="K323" s="34">
        <f t="shared" si="17"/>
        <v>0.52</v>
      </c>
      <c r="L323" s="34">
        <f t="shared" si="18"/>
        <v>2.08</v>
      </c>
      <c r="M323" s="20" t="s">
        <v>3730</v>
      </c>
      <c r="N323" s="20" t="s">
        <v>3731</v>
      </c>
      <c r="O323" s="20" t="s">
        <v>3711</v>
      </c>
      <c r="P323" s="20" t="s">
        <v>3732</v>
      </c>
      <c r="Q323" s="21">
        <v>38</v>
      </c>
      <c r="R323" s="21">
        <v>46</v>
      </c>
      <c r="S323" s="21">
        <v>5</v>
      </c>
      <c r="T323" s="22">
        <v>20.05</v>
      </c>
      <c r="U323" s="13">
        <f t="shared" si="19"/>
        <v>17.97</v>
      </c>
      <c r="V323" s="23">
        <v>2456.12</v>
      </c>
      <c r="W323" s="23">
        <v>2456.12</v>
      </c>
      <c r="X323" s="20">
        <v>47</v>
      </c>
      <c r="Y323" s="24" t="s">
        <v>3713</v>
      </c>
      <c r="Z323" s="16">
        <v>2416.12</v>
      </c>
      <c r="AA323" s="17">
        <v>6040.3</v>
      </c>
      <c r="AB323" s="25" t="s">
        <v>3714</v>
      </c>
    </row>
    <row r="324" spans="1:28" x14ac:dyDescent="0.45">
      <c r="A324" s="4" t="s">
        <v>687</v>
      </c>
      <c r="B324" s="4" t="s">
        <v>688</v>
      </c>
      <c r="C324" s="4" t="s">
        <v>4</v>
      </c>
      <c r="D324" s="4" t="s">
        <v>586</v>
      </c>
      <c r="E324" s="4" t="s">
        <v>96</v>
      </c>
      <c r="F324" s="5">
        <v>40</v>
      </c>
      <c r="G324" s="5">
        <v>48</v>
      </c>
      <c r="H324" s="4" t="s">
        <v>328</v>
      </c>
      <c r="I324" s="10">
        <v>40</v>
      </c>
      <c r="J324" s="34">
        <f t="shared" si="16"/>
        <v>0.34799999999999998</v>
      </c>
      <c r="K324" s="34">
        <f t="shared" si="17"/>
        <v>0.52</v>
      </c>
      <c r="L324" s="34">
        <f t="shared" si="18"/>
        <v>2.08</v>
      </c>
      <c r="M324" s="11" t="s">
        <v>3733</v>
      </c>
      <c r="N324" s="11" t="s">
        <v>3716</v>
      </c>
      <c r="O324" s="11" t="s">
        <v>3711</v>
      </c>
      <c r="P324" s="11" t="s">
        <v>3717</v>
      </c>
      <c r="Q324" s="12">
        <v>40</v>
      </c>
      <c r="R324" s="12">
        <v>48</v>
      </c>
      <c r="S324" s="12">
        <v>5</v>
      </c>
      <c r="T324" s="13">
        <v>6.87</v>
      </c>
      <c r="U324" s="13">
        <f t="shared" si="19"/>
        <v>4.79</v>
      </c>
      <c r="V324" s="14">
        <v>841.58</v>
      </c>
      <c r="W324" s="14">
        <v>841.58</v>
      </c>
      <c r="X324" s="11">
        <v>254</v>
      </c>
      <c r="Y324" s="15" t="s">
        <v>3713</v>
      </c>
      <c r="Z324" s="16">
        <v>801.58</v>
      </c>
      <c r="AA324" s="17">
        <v>2004</v>
      </c>
      <c r="AB324" s="18" t="s">
        <v>3714</v>
      </c>
    </row>
    <row r="325" spans="1:28" x14ac:dyDescent="0.45">
      <c r="A325" s="2" t="s">
        <v>689</v>
      </c>
      <c r="B325" s="2" t="s">
        <v>690</v>
      </c>
      <c r="C325" s="2" t="s">
        <v>4</v>
      </c>
      <c r="D325" s="2" t="s">
        <v>586</v>
      </c>
      <c r="E325" s="2" t="s">
        <v>96</v>
      </c>
      <c r="F325" s="3">
        <v>42</v>
      </c>
      <c r="G325" s="3">
        <v>50</v>
      </c>
      <c r="H325" s="2" t="s">
        <v>328</v>
      </c>
      <c r="I325" s="19">
        <v>49</v>
      </c>
      <c r="J325" s="34">
        <f t="shared" ref="J325:J388" si="20">I325*0.0087</f>
        <v>0.42629999999999996</v>
      </c>
      <c r="K325" s="34">
        <f t="shared" ref="K325:K388" si="21">ROUND(J325*1.5,2)</f>
        <v>0.64</v>
      </c>
      <c r="L325" s="34">
        <f t="shared" ref="L325:L388" si="22">K325*4</f>
        <v>2.56</v>
      </c>
      <c r="M325" s="20" t="s">
        <v>3734</v>
      </c>
      <c r="N325" s="20" t="s">
        <v>3735</v>
      </c>
      <c r="O325" s="20" t="s">
        <v>3711</v>
      </c>
      <c r="P325" s="20" t="s">
        <v>3736</v>
      </c>
      <c r="Q325" s="21">
        <v>41.148000000000003</v>
      </c>
      <c r="R325" s="21">
        <v>50.8</v>
      </c>
      <c r="S325" s="21">
        <v>4.5720000000000001</v>
      </c>
      <c r="T325" s="22">
        <v>3.44</v>
      </c>
      <c r="U325" s="13">
        <f t="shared" ref="U325:U388" si="23">T325-L325</f>
        <v>0.87999999999999989</v>
      </c>
      <c r="V325" s="23">
        <v>421.4</v>
      </c>
      <c r="W325" s="23">
        <v>421.4</v>
      </c>
      <c r="X325" s="20">
        <v>99</v>
      </c>
      <c r="Y325" s="24" t="s">
        <v>3737</v>
      </c>
      <c r="Z325" s="16">
        <v>372.4</v>
      </c>
      <c r="AA325" s="17">
        <v>760</v>
      </c>
      <c r="AB325" s="25" t="s">
        <v>3738</v>
      </c>
    </row>
    <row r="326" spans="1:28" x14ac:dyDescent="0.45">
      <c r="A326" s="4" t="s">
        <v>691</v>
      </c>
      <c r="B326" s="4" t="s">
        <v>692</v>
      </c>
      <c r="C326" s="4" t="s">
        <v>4</v>
      </c>
      <c r="D326" s="4" t="s">
        <v>586</v>
      </c>
      <c r="E326" s="4" t="s">
        <v>96</v>
      </c>
      <c r="F326" s="5">
        <v>45</v>
      </c>
      <c r="G326" s="5">
        <v>53</v>
      </c>
      <c r="H326" s="4" t="s">
        <v>328</v>
      </c>
      <c r="I326" s="10">
        <v>44</v>
      </c>
      <c r="J326" s="34">
        <f t="shared" si="20"/>
        <v>0.38279999999999997</v>
      </c>
      <c r="K326" s="34">
        <f t="shared" si="21"/>
        <v>0.56999999999999995</v>
      </c>
      <c r="L326" s="34">
        <f t="shared" si="22"/>
        <v>2.2799999999999998</v>
      </c>
      <c r="M326" s="11" t="s">
        <v>3739</v>
      </c>
      <c r="N326" s="11" t="s">
        <v>3716</v>
      </c>
      <c r="O326" s="11" t="s">
        <v>3711</v>
      </c>
      <c r="P326" s="11" t="s">
        <v>3717</v>
      </c>
      <c r="Q326" s="12">
        <v>45</v>
      </c>
      <c r="R326" s="12">
        <v>53</v>
      </c>
      <c r="S326" s="12">
        <v>5</v>
      </c>
      <c r="T326" s="13">
        <v>7.1</v>
      </c>
      <c r="U326" s="13">
        <f t="shared" si="23"/>
        <v>4.82</v>
      </c>
      <c r="V326" s="14">
        <v>869.75</v>
      </c>
      <c r="W326" s="14">
        <v>869.75</v>
      </c>
      <c r="X326" s="11">
        <v>124</v>
      </c>
      <c r="Y326" s="15" t="s">
        <v>3713</v>
      </c>
      <c r="Z326" s="16">
        <v>825.75</v>
      </c>
      <c r="AA326" s="17">
        <v>1876.7</v>
      </c>
      <c r="AB326" s="18" t="s">
        <v>3714</v>
      </c>
    </row>
    <row r="327" spans="1:28" x14ac:dyDescent="0.45">
      <c r="A327" s="2" t="s">
        <v>693</v>
      </c>
      <c r="B327" s="2" t="s">
        <v>694</v>
      </c>
      <c r="C327" s="2" t="s">
        <v>4</v>
      </c>
      <c r="D327" s="2" t="s">
        <v>586</v>
      </c>
      <c r="E327" s="2" t="s">
        <v>96</v>
      </c>
      <c r="F327" s="3">
        <v>50</v>
      </c>
      <c r="G327" s="3">
        <v>58</v>
      </c>
      <c r="H327" s="2" t="s">
        <v>328</v>
      </c>
      <c r="I327" s="19">
        <v>45</v>
      </c>
      <c r="J327" s="34">
        <f t="shared" si="20"/>
        <v>0.39149999999999996</v>
      </c>
      <c r="K327" s="34">
        <f t="shared" si="21"/>
        <v>0.59</v>
      </c>
      <c r="L327" s="34">
        <f t="shared" si="22"/>
        <v>2.36</v>
      </c>
      <c r="M327" s="20" t="s">
        <v>3741</v>
      </c>
      <c r="N327" s="20" t="s">
        <v>3719</v>
      </c>
      <c r="O327" s="20" t="s">
        <v>3711</v>
      </c>
      <c r="P327" s="20" t="s">
        <v>3720</v>
      </c>
      <c r="Q327" s="21">
        <v>50</v>
      </c>
      <c r="R327" s="21">
        <v>58</v>
      </c>
      <c r="S327" s="21">
        <v>5</v>
      </c>
      <c r="T327" s="22">
        <v>10.98</v>
      </c>
      <c r="U327" s="13">
        <f t="shared" si="23"/>
        <v>8.620000000000001</v>
      </c>
      <c r="V327" s="23">
        <v>1345.05</v>
      </c>
      <c r="W327" s="23">
        <v>1345.05</v>
      </c>
      <c r="X327" s="20">
        <v>81</v>
      </c>
      <c r="Y327" s="24" t="s">
        <v>3713</v>
      </c>
      <c r="Z327" s="16">
        <v>1300.05</v>
      </c>
      <c r="AA327" s="17">
        <v>2889</v>
      </c>
      <c r="AB327" s="25" t="s">
        <v>3714</v>
      </c>
    </row>
    <row r="328" spans="1:28" x14ac:dyDescent="0.45">
      <c r="A328" s="4" t="s">
        <v>695</v>
      </c>
      <c r="B328" s="4" t="s">
        <v>696</v>
      </c>
      <c r="C328" s="4" t="s">
        <v>4</v>
      </c>
      <c r="D328" s="4" t="s">
        <v>586</v>
      </c>
      <c r="E328" s="4" t="s">
        <v>96</v>
      </c>
      <c r="F328" s="5">
        <v>55</v>
      </c>
      <c r="G328" s="5">
        <v>63</v>
      </c>
      <c r="H328" s="4" t="s">
        <v>328</v>
      </c>
      <c r="I328" s="10">
        <v>49</v>
      </c>
      <c r="J328" s="34">
        <f t="shared" si="20"/>
        <v>0.42629999999999996</v>
      </c>
      <c r="K328" s="34">
        <f t="shared" si="21"/>
        <v>0.64</v>
      </c>
      <c r="L328" s="34">
        <f t="shared" si="22"/>
        <v>2.56</v>
      </c>
      <c r="M328" s="11" t="s">
        <v>3860</v>
      </c>
      <c r="N328" s="11" t="s">
        <v>3750</v>
      </c>
      <c r="O328" s="11" t="s">
        <v>3711</v>
      </c>
      <c r="P328" s="11" t="s">
        <v>3751</v>
      </c>
      <c r="Q328" s="12">
        <v>56</v>
      </c>
      <c r="R328" s="12">
        <v>64</v>
      </c>
      <c r="S328" s="12">
        <v>4</v>
      </c>
      <c r="T328" s="13">
        <v>12.2</v>
      </c>
      <c r="U328" s="13">
        <f t="shared" si="23"/>
        <v>9.6399999999999988</v>
      </c>
      <c r="V328" s="14">
        <v>1494.5</v>
      </c>
      <c r="W328" s="14">
        <v>1494.5</v>
      </c>
      <c r="X328" s="11" t="s">
        <v>3722</v>
      </c>
      <c r="Y328" s="15" t="s">
        <v>3713</v>
      </c>
      <c r="Z328" s="16">
        <v>1445.5</v>
      </c>
      <c r="AA328" s="17">
        <v>2950</v>
      </c>
      <c r="AB328" s="18" t="s">
        <v>3783</v>
      </c>
    </row>
    <row r="329" spans="1:28" x14ac:dyDescent="0.45">
      <c r="A329" s="2" t="s">
        <v>697</v>
      </c>
      <c r="B329" s="2" t="s">
        <v>698</v>
      </c>
      <c r="C329" s="2" t="s">
        <v>4</v>
      </c>
      <c r="D329" s="2" t="s">
        <v>586</v>
      </c>
      <c r="E329" s="2" t="s">
        <v>96</v>
      </c>
      <c r="F329" s="3">
        <v>56</v>
      </c>
      <c r="G329" s="3">
        <v>64</v>
      </c>
      <c r="H329" s="2" t="s">
        <v>328</v>
      </c>
      <c r="I329" s="19">
        <v>50</v>
      </c>
      <c r="J329" s="34">
        <f t="shared" si="20"/>
        <v>0.43499999999999994</v>
      </c>
      <c r="K329" s="34">
        <f t="shared" si="21"/>
        <v>0.65</v>
      </c>
      <c r="L329" s="34">
        <f t="shared" si="22"/>
        <v>2.6</v>
      </c>
      <c r="M329" s="20" t="s">
        <v>3860</v>
      </c>
      <c r="N329" s="20" t="s">
        <v>3750</v>
      </c>
      <c r="O329" s="20" t="s">
        <v>3711</v>
      </c>
      <c r="P329" s="20" t="s">
        <v>3751</v>
      </c>
      <c r="Q329" s="21">
        <v>56</v>
      </c>
      <c r="R329" s="21">
        <v>64</v>
      </c>
      <c r="S329" s="21">
        <v>4</v>
      </c>
      <c r="T329" s="22">
        <v>12.2</v>
      </c>
      <c r="U329" s="13">
        <f t="shared" si="23"/>
        <v>9.6</v>
      </c>
      <c r="V329" s="23">
        <v>1494.5</v>
      </c>
      <c r="W329" s="23">
        <v>1494.5</v>
      </c>
      <c r="X329" s="20" t="s">
        <v>3722</v>
      </c>
      <c r="Y329" s="24" t="s">
        <v>3713</v>
      </c>
      <c r="Z329" s="16">
        <v>1444.5</v>
      </c>
      <c r="AA329" s="17">
        <v>2889</v>
      </c>
      <c r="AB329" s="25" t="s">
        <v>3714</v>
      </c>
    </row>
    <row r="330" spans="1:28" x14ac:dyDescent="0.45">
      <c r="A330" s="4" t="s">
        <v>699</v>
      </c>
      <c r="B330" s="4" t="s">
        <v>700</v>
      </c>
      <c r="C330" s="4" t="s">
        <v>4</v>
      </c>
      <c r="D330" s="4" t="s">
        <v>586</v>
      </c>
      <c r="E330" s="4" t="s">
        <v>96</v>
      </c>
      <c r="F330" s="5">
        <v>60</v>
      </c>
      <c r="G330" s="5">
        <v>68</v>
      </c>
      <c r="H330" s="4" t="s">
        <v>328</v>
      </c>
      <c r="I330" s="10">
        <v>54</v>
      </c>
      <c r="J330" s="34">
        <f t="shared" si="20"/>
        <v>0.4698</v>
      </c>
      <c r="K330" s="34">
        <f t="shared" si="21"/>
        <v>0.7</v>
      </c>
      <c r="L330" s="34">
        <f t="shared" si="22"/>
        <v>2.8</v>
      </c>
      <c r="M330" s="11" t="s">
        <v>3815</v>
      </c>
      <c r="N330" s="11" t="s">
        <v>3791</v>
      </c>
      <c r="O330" s="11" t="s">
        <v>3711</v>
      </c>
      <c r="P330" s="11" t="s">
        <v>3792</v>
      </c>
      <c r="Q330" s="12">
        <v>60</v>
      </c>
      <c r="R330" s="12">
        <v>68</v>
      </c>
      <c r="S330" s="12">
        <v>5</v>
      </c>
      <c r="T330" s="13">
        <v>8.59</v>
      </c>
      <c r="U330" s="13">
        <f t="shared" si="23"/>
        <v>5.79</v>
      </c>
      <c r="V330" s="14">
        <v>1052.28</v>
      </c>
      <c r="W330" s="14">
        <v>1052.28</v>
      </c>
      <c r="X330" s="11">
        <v>10</v>
      </c>
      <c r="Y330" s="15" t="s">
        <v>3713</v>
      </c>
      <c r="Z330" s="16">
        <v>998.28</v>
      </c>
      <c r="AA330" s="17">
        <v>1848.7</v>
      </c>
      <c r="AB330" s="18" t="s">
        <v>3714</v>
      </c>
    </row>
    <row r="331" spans="1:28" x14ac:dyDescent="0.45">
      <c r="A331" s="2" t="s">
        <v>701</v>
      </c>
      <c r="B331" s="2" t="s">
        <v>702</v>
      </c>
      <c r="C331" s="2" t="s">
        <v>4</v>
      </c>
      <c r="D331" s="2" t="s">
        <v>586</v>
      </c>
      <c r="E331" s="2" t="s">
        <v>96</v>
      </c>
      <c r="F331" s="3">
        <v>63</v>
      </c>
      <c r="G331" s="3">
        <v>71</v>
      </c>
      <c r="H331" s="2" t="s">
        <v>328</v>
      </c>
      <c r="I331" s="19">
        <v>56</v>
      </c>
      <c r="J331" s="34">
        <f t="shared" si="20"/>
        <v>0.48719999999999997</v>
      </c>
      <c r="K331" s="34">
        <f t="shared" si="21"/>
        <v>0.73</v>
      </c>
      <c r="L331" s="34">
        <f t="shared" si="22"/>
        <v>2.92</v>
      </c>
      <c r="M331" s="20" t="s">
        <v>3861</v>
      </c>
      <c r="N331" s="20" t="s">
        <v>3750</v>
      </c>
      <c r="O331" s="20" t="s">
        <v>3711</v>
      </c>
      <c r="P331" s="20" t="s">
        <v>3751</v>
      </c>
      <c r="Q331" s="21">
        <v>63</v>
      </c>
      <c r="R331" s="21">
        <v>71</v>
      </c>
      <c r="S331" s="21">
        <v>4</v>
      </c>
      <c r="T331" s="22">
        <v>15.53</v>
      </c>
      <c r="U331" s="13">
        <f t="shared" si="23"/>
        <v>12.61</v>
      </c>
      <c r="V331" s="23">
        <v>1902.42</v>
      </c>
      <c r="W331" s="23">
        <v>1902.42</v>
      </c>
      <c r="X331" s="20">
        <v>151</v>
      </c>
      <c r="Y331" s="24" t="s">
        <v>3713</v>
      </c>
      <c r="Z331" s="16">
        <v>1846.42</v>
      </c>
      <c r="AA331" s="17">
        <v>3297.2</v>
      </c>
      <c r="AB331" s="25" t="s">
        <v>3714</v>
      </c>
    </row>
    <row r="332" spans="1:28" x14ac:dyDescent="0.45">
      <c r="A332" s="4" t="s">
        <v>703</v>
      </c>
      <c r="B332" s="4" t="s">
        <v>704</v>
      </c>
      <c r="C332" s="4" t="s">
        <v>4</v>
      </c>
      <c r="D332" s="4" t="s">
        <v>586</v>
      </c>
      <c r="E332" s="4" t="s">
        <v>96</v>
      </c>
      <c r="F332" s="5">
        <v>68</v>
      </c>
      <c r="G332" s="5">
        <v>76</v>
      </c>
      <c r="H332" s="4" t="s">
        <v>328</v>
      </c>
      <c r="I332" s="10">
        <v>64</v>
      </c>
      <c r="J332" s="34">
        <f t="shared" si="20"/>
        <v>0.55679999999999996</v>
      </c>
      <c r="K332" s="34">
        <f t="shared" si="21"/>
        <v>0.84</v>
      </c>
      <c r="L332" s="34">
        <f t="shared" si="22"/>
        <v>3.36</v>
      </c>
      <c r="M332" s="11" t="s">
        <v>3816</v>
      </c>
      <c r="N332" s="11" t="s">
        <v>3731</v>
      </c>
      <c r="O332" s="11" t="s">
        <v>3711</v>
      </c>
      <c r="P332" s="11" t="s">
        <v>3732</v>
      </c>
      <c r="Q332" s="12">
        <v>69.849999999999994</v>
      </c>
      <c r="R332" s="12">
        <v>77.724000000000004</v>
      </c>
      <c r="S332" s="12">
        <v>4.5720000000000001</v>
      </c>
      <c r="T332" s="13">
        <v>15.44</v>
      </c>
      <c r="U332" s="13">
        <f t="shared" si="23"/>
        <v>12.08</v>
      </c>
      <c r="V332" s="14">
        <v>1891.4</v>
      </c>
      <c r="W332" s="14">
        <v>1891.4</v>
      </c>
      <c r="X332" s="11">
        <v>37</v>
      </c>
      <c r="Y332" s="15" t="s">
        <v>3737</v>
      </c>
      <c r="Z332" s="16">
        <v>1827.4</v>
      </c>
      <c r="AA332" s="17">
        <v>2855.3</v>
      </c>
      <c r="AB332" s="18" t="s">
        <v>3817</v>
      </c>
    </row>
    <row r="333" spans="1:28" x14ac:dyDescent="0.45">
      <c r="A333" s="2" t="s">
        <v>705</v>
      </c>
      <c r="B333" s="2" t="s">
        <v>706</v>
      </c>
      <c r="C333" s="2" t="s">
        <v>4</v>
      </c>
      <c r="D333" s="2" t="s">
        <v>586</v>
      </c>
      <c r="E333" s="2" t="s">
        <v>96</v>
      </c>
      <c r="F333" s="3">
        <v>70</v>
      </c>
      <c r="G333" s="3">
        <v>78</v>
      </c>
      <c r="H333" s="2" t="s">
        <v>328</v>
      </c>
      <c r="I333" s="19">
        <v>57</v>
      </c>
      <c r="J333" s="34">
        <f t="shared" si="20"/>
        <v>0.49589999999999995</v>
      </c>
      <c r="K333" s="34">
        <f t="shared" si="21"/>
        <v>0.74</v>
      </c>
      <c r="L333" s="34">
        <f t="shared" si="22"/>
        <v>2.96</v>
      </c>
      <c r="M333" s="20" t="s">
        <v>3749</v>
      </c>
      <c r="N333" s="20" t="s">
        <v>3750</v>
      </c>
      <c r="O333" s="20" t="s">
        <v>3711</v>
      </c>
      <c r="P333" s="20" t="s">
        <v>3751</v>
      </c>
      <c r="Q333" s="21">
        <v>70</v>
      </c>
      <c r="R333" s="21">
        <v>78</v>
      </c>
      <c r="S333" s="21">
        <v>4</v>
      </c>
      <c r="T333" s="22">
        <v>17.29</v>
      </c>
      <c r="U333" s="13">
        <f t="shared" si="23"/>
        <v>14.329999999999998</v>
      </c>
      <c r="V333" s="23">
        <v>2118.02</v>
      </c>
      <c r="W333" s="23">
        <v>2118.02</v>
      </c>
      <c r="X333" s="20">
        <v>7</v>
      </c>
      <c r="Y333" s="24" t="s">
        <v>3713</v>
      </c>
      <c r="Z333" s="16">
        <v>2061.02</v>
      </c>
      <c r="AA333" s="17">
        <v>3615.8</v>
      </c>
      <c r="AB333" s="25" t="s">
        <v>3714</v>
      </c>
    </row>
    <row r="334" spans="1:28" x14ac:dyDescent="0.45">
      <c r="A334" s="4" t="s">
        <v>707</v>
      </c>
      <c r="B334" s="4" t="s">
        <v>708</v>
      </c>
      <c r="C334" s="4" t="s">
        <v>4</v>
      </c>
      <c r="D334" s="4" t="s">
        <v>586</v>
      </c>
      <c r="E334" s="4" t="s">
        <v>96</v>
      </c>
      <c r="F334" s="5">
        <v>75</v>
      </c>
      <c r="G334" s="5">
        <v>83</v>
      </c>
      <c r="H334" s="4" t="s">
        <v>328</v>
      </c>
      <c r="I334" s="10">
        <v>61</v>
      </c>
      <c r="J334" s="34">
        <f t="shared" si="20"/>
        <v>0.53069999999999995</v>
      </c>
      <c r="K334" s="34">
        <f t="shared" si="21"/>
        <v>0.8</v>
      </c>
      <c r="L334" s="34">
        <f t="shared" si="22"/>
        <v>3.2</v>
      </c>
      <c r="M334" s="11" t="s">
        <v>3788</v>
      </c>
      <c r="N334" s="11" t="s">
        <v>3716</v>
      </c>
      <c r="O334" s="11" t="s">
        <v>3711</v>
      </c>
      <c r="P334" s="11" t="s">
        <v>3717</v>
      </c>
      <c r="Q334" s="12">
        <v>75</v>
      </c>
      <c r="R334" s="12">
        <v>83</v>
      </c>
      <c r="S334" s="12">
        <v>5</v>
      </c>
      <c r="T334" s="13">
        <v>20.010000000000002</v>
      </c>
      <c r="U334" s="13">
        <f t="shared" si="23"/>
        <v>16.810000000000002</v>
      </c>
      <c r="V334" s="14">
        <v>2451.23</v>
      </c>
      <c r="W334" s="14">
        <v>2451.23</v>
      </c>
      <c r="X334" s="11">
        <v>10</v>
      </c>
      <c r="Y334" s="15" t="s">
        <v>3713</v>
      </c>
      <c r="Z334" s="16">
        <v>2390.23</v>
      </c>
      <c r="AA334" s="17">
        <v>3918.4</v>
      </c>
      <c r="AB334" s="18" t="s">
        <v>3714</v>
      </c>
    </row>
    <row r="335" spans="1:28" x14ac:dyDescent="0.45">
      <c r="A335" s="2" t="s">
        <v>709</v>
      </c>
      <c r="B335" s="2" t="s">
        <v>710</v>
      </c>
      <c r="C335" s="2" t="s">
        <v>4</v>
      </c>
      <c r="D335" s="2" t="s">
        <v>586</v>
      </c>
      <c r="E335" s="2" t="s">
        <v>96</v>
      </c>
      <c r="F335" s="3">
        <v>80</v>
      </c>
      <c r="G335" s="3">
        <v>88</v>
      </c>
      <c r="H335" s="2" t="s">
        <v>328</v>
      </c>
      <c r="I335" s="19">
        <v>64</v>
      </c>
      <c r="J335" s="34">
        <f t="shared" si="20"/>
        <v>0.55679999999999996</v>
      </c>
      <c r="K335" s="34">
        <f t="shared" si="21"/>
        <v>0.84</v>
      </c>
      <c r="L335" s="34">
        <f t="shared" si="22"/>
        <v>3.36</v>
      </c>
      <c r="M335" s="20" t="s">
        <v>3862</v>
      </c>
      <c r="N335" s="20" t="s">
        <v>3791</v>
      </c>
      <c r="O335" s="20" t="s">
        <v>3711</v>
      </c>
      <c r="P335" s="20" t="s">
        <v>3792</v>
      </c>
      <c r="Q335" s="21">
        <v>80</v>
      </c>
      <c r="R335" s="21">
        <v>88</v>
      </c>
      <c r="S335" s="21">
        <v>5</v>
      </c>
      <c r="T335" s="22">
        <v>11.5</v>
      </c>
      <c r="U335" s="13">
        <f t="shared" si="23"/>
        <v>8.14</v>
      </c>
      <c r="V335" s="23">
        <v>1408.75</v>
      </c>
      <c r="W335" s="23">
        <v>1408.75</v>
      </c>
      <c r="X335" s="20">
        <v>16</v>
      </c>
      <c r="Y335" s="24" t="s">
        <v>3713</v>
      </c>
      <c r="Z335" s="16">
        <v>1344.75</v>
      </c>
      <c r="AA335" s="17">
        <v>2101.1999999999998</v>
      </c>
      <c r="AB335" s="25" t="s">
        <v>3714</v>
      </c>
    </row>
    <row r="336" spans="1:28" x14ac:dyDescent="0.45">
      <c r="A336" s="4" t="s">
        <v>711</v>
      </c>
      <c r="B336" s="4" t="s">
        <v>712</v>
      </c>
      <c r="C336" s="4" t="s">
        <v>4</v>
      </c>
      <c r="D336" s="4" t="s">
        <v>586</v>
      </c>
      <c r="E336" s="4" t="s">
        <v>96</v>
      </c>
      <c r="F336" s="5">
        <v>85</v>
      </c>
      <c r="G336" s="5">
        <v>93</v>
      </c>
      <c r="H336" s="4" t="s">
        <v>328</v>
      </c>
      <c r="I336" s="10">
        <v>72</v>
      </c>
      <c r="J336" s="34">
        <f t="shared" si="20"/>
        <v>0.62639999999999996</v>
      </c>
      <c r="K336" s="34">
        <f t="shared" si="21"/>
        <v>0.94</v>
      </c>
      <c r="L336" s="34">
        <f t="shared" si="22"/>
        <v>3.76</v>
      </c>
      <c r="M336" s="11" t="s">
        <v>3863</v>
      </c>
      <c r="N336" s="11" t="s">
        <v>3716</v>
      </c>
      <c r="O336" s="11" t="s">
        <v>3711</v>
      </c>
      <c r="P336" s="11" t="s">
        <v>3717</v>
      </c>
      <c r="Q336" s="12">
        <v>85</v>
      </c>
      <c r="R336" s="12">
        <v>93</v>
      </c>
      <c r="S336" s="12">
        <v>5</v>
      </c>
      <c r="T336" s="13">
        <v>12.52</v>
      </c>
      <c r="U336" s="13">
        <f t="shared" si="23"/>
        <v>8.76</v>
      </c>
      <c r="V336" s="14">
        <v>1533.7</v>
      </c>
      <c r="W336" s="14">
        <v>1533.7</v>
      </c>
      <c r="X336" s="11">
        <v>22</v>
      </c>
      <c r="Y336" s="15" t="s">
        <v>3713</v>
      </c>
      <c r="Z336" s="16">
        <v>1461.7</v>
      </c>
      <c r="AA336" s="17">
        <v>2030.1</v>
      </c>
      <c r="AB336" s="18" t="s">
        <v>3714</v>
      </c>
    </row>
    <row r="337" spans="1:28" x14ac:dyDescent="0.45">
      <c r="A337" s="2" t="s">
        <v>713</v>
      </c>
      <c r="B337" s="2" t="s">
        <v>714</v>
      </c>
      <c r="C337" s="2" t="s">
        <v>4</v>
      </c>
      <c r="D337" s="2" t="s">
        <v>586</v>
      </c>
      <c r="E337" s="2" t="s">
        <v>96</v>
      </c>
      <c r="F337" s="3">
        <v>86</v>
      </c>
      <c r="G337" s="3">
        <v>94</v>
      </c>
      <c r="H337" s="2" t="s">
        <v>328</v>
      </c>
      <c r="I337" s="19">
        <v>96</v>
      </c>
      <c r="J337" s="34">
        <f t="shared" si="20"/>
        <v>0.83519999999999994</v>
      </c>
      <c r="K337" s="34">
        <f t="shared" si="21"/>
        <v>1.25</v>
      </c>
      <c r="L337" s="34">
        <f t="shared" si="22"/>
        <v>5</v>
      </c>
      <c r="M337" s="20" t="s">
        <v>3868</v>
      </c>
      <c r="N337" s="20" t="s">
        <v>3731</v>
      </c>
      <c r="O337" s="20" t="s">
        <v>3711</v>
      </c>
      <c r="P337" s="20" t="s">
        <v>3732</v>
      </c>
      <c r="Q337" s="21">
        <v>85.597999999999999</v>
      </c>
      <c r="R337" s="21">
        <v>95.25</v>
      </c>
      <c r="S337" s="21">
        <v>4.5720000000000001</v>
      </c>
      <c r="T337" s="22">
        <v>15.7</v>
      </c>
      <c r="U337" s="13">
        <f t="shared" si="23"/>
        <v>10.7</v>
      </c>
      <c r="V337" s="23">
        <v>1923.25</v>
      </c>
      <c r="W337" s="23">
        <v>1923.25</v>
      </c>
      <c r="X337" s="20">
        <v>40</v>
      </c>
      <c r="Y337" s="24" t="s">
        <v>3737</v>
      </c>
      <c r="Z337" s="16">
        <v>1827.25</v>
      </c>
      <c r="AA337" s="17">
        <v>1903.4</v>
      </c>
      <c r="AB337" s="25" t="s">
        <v>3869</v>
      </c>
    </row>
    <row r="338" spans="1:28" x14ac:dyDescent="0.45">
      <c r="A338" s="4" t="s">
        <v>715</v>
      </c>
      <c r="B338" s="4" t="s">
        <v>716</v>
      </c>
      <c r="C338" s="4" t="s">
        <v>4</v>
      </c>
      <c r="D338" s="4" t="s">
        <v>586</v>
      </c>
      <c r="E338" s="4" t="s">
        <v>96</v>
      </c>
      <c r="F338" s="5">
        <v>95</v>
      </c>
      <c r="G338" s="5">
        <v>103</v>
      </c>
      <c r="H338" s="4" t="s">
        <v>328</v>
      </c>
      <c r="I338" s="10">
        <v>72</v>
      </c>
      <c r="J338" s="34">
        <f t="shared" si="20"/>
        <v>0.62639999999999996</v>
      </c>
      <c r="K338" s="34">
        <f t="shared" si="21"/>
        <v>0.94</v>
      </c>
      <c r="L338" s="34">
        <f t="shared" si="22"/>
        <v>3.76</v>
      </c>
      <c r="M338" s="11" t="s">
        <v>3834</v>
      </c>
      <c r="N338" s="11" t="s">
        <v>3716</v>
      </c>
      <c r="O338" s="11" t="s">
        <v>3711</v>
      </c>
      <c r="P338" s="11" t="s">
        <v>3717</v>
      </c>
      <c r="Q338" s="12">
        <v>96</v>
      </c>
      <c r="R338" s="12">
        <v>104</v>
      </c>
      <c r="S338" s="12">
        <v>7.6</v>
      </c>
      <c r="T338" s="13">
        <v>16.57</v>
      </c>
      <c r="U338" s="13">
        <f t="shared" si="23"/>
        <v>12.81</v>
      </c>
      <c r="V338" s="14">
        <v>2029.82</v>
      </c>
      <c r="W338" s="14">
        <v>2029.82</v>
      </c>
      <c r="X338" s="11" t="s">
        <v>3722</v>
      </c>
      <c r="Y338" s="15" t="s">
        <v>3713</v>
      </c>
      <c r="Z338" s="16">
        <v>1957.82</v>
      </c>
      <c r="AA338" s="17">
        <v>2719.2</v>
      </c>
      <c r="AB338" s="18" t="s">
        <v>3783</v>
      </c>
    </row>
    <row r="339" spans="1:28" x14ac:dyDescent="0.45">
      <c r="A339" s="2" t="s">
        <v>717</v>
      </c>
      <c r="B339" s="2" t="s">
        <v>718</v>
      </c>
      <c r="C339" s="2" t="s">
        <v>4</v>
      </c>
      <c r="D339" s="2" t="s">
        <v>586</v>
      </c>
      <c r="E339" s="2" t="s">
        <v>96</v>
      </c>
      <c r="F339" s="3">
        <v>100</v>
      </c>
      <c r="G339" s="3">
        <v>108</v>
      </c>
      <c r="H339" s="2" t="s">
        <v>328</v>
      </c>
      <c r="I339" s="19">
        <v>81</v>
      </c>
      <c r="J339" s="34">
        <f t="shared" si="20"/>
        <v>0.70469999999999999</v>
      </c>
      <c r="K339" s="34">
        <f t="shared" si="21"/>
        <v>1.06</v>
      </c>
      <c r="L339" s="34">
        <f t="shared" si="22"/>
        <v>4.24</v>
      </c>
      <c r="M339" s="20" t="s">
        <v>3864</v>
      </c>
      <c r="N339" s="20" t="s">
        <v>3731</v>
      </c>
      <c r="O339" s="20" t="s">
        <v>3711</v>
      </c>
      <c r="P339" s="20" t="s">
        <v>3732</v>
      </c>
      <c r="Q339" s="21">
        <v>98.298000000000002</v>
      </c>
      <c r="R339" s="21">
        <v>107.95</v>
      </c>
      <c r="S339" s="21">
        <v>4.5720000000000001</v>
      </c>
      <c r="T339" s="22">
        <v>19.809999999999999</v>
      </c>
      <c r="U339" s="13">
        <f t="shared" si="23"/>
        <v>15.569999999999999</v>
      </c>
      <c r="V339" s="23">
        <v>2426.7199999999998</v>
      </c>
      <c r="W339" s="23">
        <v>2426.7199999999998</v>
      </c>
      <c r="X339" s="20">
        <v>121</v>
      </c>
      <c r="Y339" s="24" t="s">
        <v>3737</v>
      </c>
      <c r="Z339" s="16">
        <v>2345.7199999999998</v>
      </c>
      <c r="AA339" s="17">
        <v>2896</v>
      </c>
      <c r="AB339" s="25" t="s">
        <v>3865</v>
      </c>
    </row>
    <row r="340" spans="1:28" x14ac:dyDescent="0.45">
      <c r="A340" s="4" t="s">
        <v>719</v>
      </c>
      <c r="B340" s="4" t="s">
        <v>720</v>
      </c>
      <c r="C340" s="4" t="s">
        <v>4</v>
      </c>
      <c r="D340" s="4" t="s">
        <v>586</v>
      </c>
      <c r="E340" s="4" t="s">
        <v>96</v>
      </c>
      <c r="F340" s="5">
        <v>130</v>
      </c>
      <c r="G340" s="5">
        <v>142</v>
      </c>
      <c r="H340" s="4" t="s">
        <v>380</v>
      </c>
      <c r="I340" s="10">
        <v>168</v>
      </c>
      <c r="J340" s="34">
        <f t="shared" si="20"/>
        <v>1.4615999999999998</v>
      </c>
      <c r="K340" s="34">
        <f t="shared" si="21"/>
        <v>2.19</v>
      </c>
      <c r="L340" s="34">
        <f t="shared" si="22"/>
        <v>8.76</v>
      </c>
      <c r="M340" s="11" t="s">
        <v>3763</v>
      </c>
      <c r="N340" s="11" t="s">
        <v>3716</v>
      </c>
      <c r="O340" s="11" t="s">
        <v>3711</v>
      </c>
      <c r="P340" s="11" t="s">
        <v>3717</v>
      </c>
      <c r="Q340" s="12">
        <v>130</v>
      </c>
      <c r="R340" s="12">
        <v>142</v>
      </c>
      <c r="S340" s="12">
        <v>7.2</v>
      </c>
      <c r="T340" s="13">
        <v>17.97</v>
      </c>
      <c r="U340" s="13">
        <f t="shared" si="23"/>
        <v>9.2099999999999991</v>
      </c>
      <c r="V340" s="14">
        <v>2201.3200000000002</v>
      </c>
      <c r="W340" s="14">
        <v>2201.3200000000002</v>
      </c>
      <c r="X340" s="11">
        <v>26</v>
      </c>
      <c r="Y340" s="15" t="s">
        <v>3713</v>
      </c>
      <c r="Z340" s="16">
        <v>2033.32</v>
      </c>
      <c r="AA340" s="17">
        <v>1210.3</v>
      </c>
      <c r="AB340" s="18" t="s">
        <v>3714</v>
      </c>
    </row>
    <row r="341" spans="1:28" x14ac:dyDescent="0.45">
      <c r="A341" s="2" t="s">
        <v>721</v>
      </c>
      <c r="B341" s="2" t="s">
        <v>722</v>
      </c>
      <c r="C341" s="2" t="s">
        <v>4</v>
      </c>
      <c r="D341" s="2" t="s">
        <v>586</v>
      </c>
      <c r="E341" s="2" t="s">
        <v>96</v>
      </c>
      <c r="F341" s="3">
        <v>135</v>
      </c>
      <c r="G341" s="3">
        <v>147</v>
      </c>
      <c r="H341" s="2" t="s">
        <v>380</v>
      </c>
      <c r="I341" s="19">
        <v>200</v>
      </c>
      <c r="J341" s="34">
        <f t="shared" si="20"/>
        <v>1.7399999999999998</v>
      </c>
      <c r="K341" s="34">
        <f t="shared" si="21"/>
        <v>2.61</v>
      </c>
      <c r="L341" s="34">
        <f t="shared" si="22"/>
        <v>10.44</v>
      </c>
      <c r="M341" s="20" t="s">
        <v>3790</v>
      </c>
      <c r="N341" s="20" t="s">
        <v>3791</v>
      </c>
      <c r="O341" s="20" t="s">
        <v>3711</v>
      </c>
      <c r="P341" s="20" t="s">
        <v>3792</v>
      </c>
      <c r="Q341" s="21">
        <v>135</v>
      </c>
      <c r="R341" s="21">
        <v>147.19999999999999</v>
      </c>
      <c r="S341" s="21">
        <v>7</v>
      </c>
      <c r="T341" s="22">
        <v>13.78</v>
      </c>
      <c r="U341" s="13">
        <f t="shared" si="23"/>
        <v>3.34</v>
      </c>
      <c r="V341" s="23">
        <v>1688.05</v>
      </c>
      <c r="W341" s="23">
        <v>1688.05</v>
      </c>
      <c r="X341" s="20">
        <v>13</v>
      </c>
      <c r="Y341" s="24" t="s">
        <v>3713</v>
      </c>
      <c r="Z341" s="16">
        <v>1488.05</v>
      </c>
      <c r="AA341" s="17">
        <v>744</v>
      </c>
      <c r="AB341" s="25" t="s">
        <v>3793</v>
      </c>
    </row>
    <row r="342" spans="1:28" x14ac:dyDescent="0.45">
      <c r="A342" s="4" t="s">
        <v>723</v>
      </c>
      <c r="B342" s="4" t="s">
        <v>724</v>
      </c>
      <c r="C342" s="4" t="s">
        <v>4</v>
      </c>
      <c r="D342" s="4" t="s">
        <v>586</v>
      </c>
      <c r="E342" s="4" t="s">
        <v>96</v>
      </c>
      <c r="F342" s="5">
        <v>140</v>
      </c>
      <c r="G342" s="5">
        <v>152</v>
      </c>
      <c r="H342" s="4" t="s">
        <v>380</v>
      </c>
      <c r="I342" s="10">
        <v>239</v>
      </c>
      <c r="J342" s="34">
        <f t="shared" si="20"/>
        <v>2.0792999999999999</v>
      </c>
      <c r="K342" s="34">
        <f t="shared" si="21"/>
        <v>3.12</v>
      </c>
      <c r="L342" s="34">
        <f t="shared" si="22"/>
        <v>12.48</v>
      </c>
      <c r="M342" s="11" t="s">
        <v>3764</v>
      </c>
      <c r="N342" s="11" t="s">
        <v>3716</v>
      </c>
      <c r="O342" s="11" t="s">
        <v>3711</v>
      </c>
      <c r="P342" s="11" t="s">
        <v>3717</v>
      </c>
      <c r="Q342" s="12">
        <v>140</v>
      </c>
      <c r="R342" s="12">
        <v>152</v>
      </c>
      <c r="S342" s="12">
        <v>7.7</v>
      </c>
      <c r="T342" s="13">
        <v>41.68</v>
      </c>
      <c r="U342" s="13">
        <f t="shared" si="23"/>
        <v>29.2</v>
      </c>
      <c r="V342" s="14">
        <v>5105.8</v>
      </c>
      <c r="W342" s="14">
        <v>5105.8</v>
      </c>
      <c r="X342" s="11">
        <v>5</v>
      </c>
      <c r="Y342" s="15" t="s">
        <v>3713</v>
      </c>
      <c r="Z342" s="16">
        <v>4866.8</v>
      </c>
      <c r="AA342" s="17">
        <v>2036.3</v>
      </c>
      <c r="AB342" s="18" t="s">
        <v>3714</v>
      </c>
    </row>
    <row r="343" spans="1:28" x14ac:dyDescent="0.45">
      <c r="A343" s="2" t="s">
        <v>725</v>
      </c>
      <c r="B343" s="2" t="s">
        <v>726</v>
      </c>
      <c r="C343" s="2" t="s">
        <v>4</v>
      </c>
      <c r="D343" s="2" t="s">
        <v>586</v>
      </c>
      <c r="E343" s="2" t="s">
        <v>96</v>
      </c>
      <c r="F343" s="3">
        <v>170</v>
      </c>
      <c r="G343" s="3">
        <v>182</v>
      </c>
      <c r="H343" s="2" t="s">
        <v>380</v>
      </c>
      <c r="I343" s="19">
        <v>311</v>
      </c>
      <c r="J343" s="34">
        <f t="shared" si="20"/>
        <v>2.7056999999999998</v>
      </c>
      <c r="K343" s="34">
        <f t="shared" si="21"/>
        <v>4.0599999999999996</v>
      </c>
      <c r="L343" s="34">
        <f t="shared" si="22"/>
        <v>16.239999999999998</v>
      </c>
      <c r="M343" s="20" t="s">
        <v>3794</v>
      </c>
      <c r="N343" s="20" t="s">
        <v>3716</v>
      </c>
      <c r="O343" s="20" t="s">
        <v>3711</v>
      </c>
      <c r="P343" s="20" t="s">
        <v>3717</v>
      </c>
      <c r="Q343" s="21">
        <v>170</v>
      </c>
      <c r="R343" s="21">
        <v>182</v>
      </c>
      <c r="S343" s="21">
        <v>7.5</v>
      </c>
      <c r="T343" s="22">
        <v>26.98</v>
      </c>
      <c r="U343" s="13">
        <f t="shared" si="23"/>
        <v>10.740000000000002</v>
      </c>
      <c r="V343" s="23">
        <v>3305.05</v>
      </c>
      <c r="W343" s="23">
        <v>3305.05</v>
      </c>
      <c r="X343" s="20">
        <v>41</v>
      </c>
      <c r="Y343" s="24" t="s">
        <v>3713</v>
      </c>
      <c r="Z343" s="16">
        <v>2994.05</v>
      </c>
      <c r="AA343" s="17">
        <v>962.7</v>
      </c>
      <c r="AB343" s="25" t="s">
        <v>3714</v>
      </c>
    </row>
    <row r="344" spans="1:28" x14ac:dyDescent="0.45">
      <c r="A344" s="4" t="s">
        <v>727</v>
      </c>
      <c r="B344" s="4" t="s">
        <v>728</v>
      </c>
      <c r="C344" s="4" t="s">
        <v>4</v>
      </c>
      <c r="D344" s="4" t="s">
        <v>586</v>
      </c>
      <c r="E344" s="4" t="s">
        <v>96</v>
      </c>
      <c r="F344" s="5">
        <v>210</v>
      </c>
      <c r="G344" s="5">
        <v>225</v>
      </c>
      <c r="H344" s="4" t="s">
        <v>656</v>
      </c>
      <c r="I344" s="10">
        <v>459</v>
      </c>
      <c r="J344" s="34">
        <f t="shared" si="20"/>
        <v>3.9932999999999996</v>
      </c>
      <c r="K344" s="34">
        <f t="shared" si="21"/>
        <v>5.99</v>
      </c>
      <c r="L344" s="34">
        <f t="shared" si="22"/>
        <v>23.96</v>
      </c>
      <c r="M344" s="11" t="s">
        <v>3870</v>
      </c>
      <c r="N344" s="11" t="s">
        <v>3716</v>
      </c>
      <c r="O344" s="11" t="s">
        <v>3711</v>
      </c>
      <c r="P344" s="11" t="s">
        <v>3717</v>
      </c>
      <c r="Q344" s="12">
        <v>210</v>
      </c>
      <c r="R344" s="12">
        <v>226</v>
      </c>
      <c r="S344" s="12">
        <v>8</v>
      </c>
      <c r="T344" s="13">
        <v>59.57</v>
      </c>
      <c r="U344" s="13">
        <f t="shared" si="23"/>
        <v>35.61</v>
      </c>
      <c r="V344" s="14">
        <v>7297.32</v>
      </c>
      <c r="W344" s="14">
        <v>7297.32</v>
      </c>
      <c r="X344" s="11" t="s">
        <v>3722</v>
      </c>
      <c r="Y344" s="15" t="s">
        <v>3713</v>
      </c>
      <c r="Z344" s="16">
        <v>6838.32</v>
      </c>
      <c r="AA344" s="17">
        <v>1489.8</v>
      </c>
      <c r="AB344" s="18" t="s">
        <v>3786</v>
      </c>
    </row>
    <row r="345" spans="1:28" x14ac:dyDescent="0.45">
      <c r="A345" s="2" t="s">
        <v>729</v>
      </c>
      <c r="B345" s="2" t="s">
        <v>730</v>
      </c>
      <c r="C345" s="2" t="s">
        <v>4</v>
      </c>
      <c r="D345" s="2" t="s">
        <v>586</v>
      </c>
      <c r="E345" s="2" t="s">
        <v>96</v>
      </c>
      <c r="F345" s="3">
        <v>220</v>
      </c>
      <c r="G345" s="3">
        <v>235</v>
      </c>
      <c r="H345" s="2" t="s">
        <v>656</v>
      </c>
      <c r="I345" s="19">
        <v>485</v>
      </c>
      <c r="J345" s="34">
        <f t="shared" si="20"/>
        <v>4.2195</v>
      </c>
      <c r="K345" s="34">
        <f t="shared" si="21"/>
        <v>6.33</v>
      </c>
      <c r="L345" s="34">
        <f t="shared" si="22"/>
        <v>25.32</v>
      </c>
      <c r="M345" s="20" t="s">
        <v>3866</v>
      </c>
      <c r="N345" s="20" t="s">
        <v>3716</v>
      </c>
      <c r="O345" s="20" t="s">
        <v>3711</v>
      </c>
      <c r="P345" s="20" t="s">
        <v>3717</v>
      </c>
      <c r="Q345" s="21">
        <v>220</v>
      </c>
      <c r="R345" s="21">
        <v>235</v>
      </c>
      <c r="S345" s="21">
        <v>10.199999999999999</v>
      </c>
      <c r="T345" s="22">
        <v>84.83</v>
      </c>
      <c r="U345" s="13">
        <f t="shared" si="23"/>
        <v>59.51</v>
      </c>
      <c r="V345" s="23">
        <v>10391.67</v>
      </c>
      <c r="W345" s="23">
        <v>10391.67</v>
      </c>
      <c r="X345" s="20" t="s">
        <v>3722</v>
      </c>
      <c r="Y345" s="24" t="s">
        <v>3713</v>
      </c>
      <c r="Z345" s="16">
        <v>9906.67</v>
      </c>
      <c r="AA345" s="17">
        <v>2042.6</v>
      </c>
      <c r="AB345" s="25" t="s">
        <v>3714</v>
      </c>
    </row>
    <row r="346" spans="1:28" x14ac:dyDescent="0.45">
      <c r="A346" s="4" t="s">
        <v>731</v>
      </c>
      <c r="B346" s="4" t="s">
        <v>732</v>
      </c>
      <c r="C346" s="4" t="s">
        <v>4</v>
      </c>
      <c r="D346" s="4" t="s">
        <v>586</v>
      </c>
      <c r="E346" s="4" t="s">
        <v>96</v>
      </c>
      <c r="F346" s="5">
        <v>225</v>
      </c>
      <c r="G346" s="5">
        <v>240</v>
      </c>
      <c r="H346" s="4" t="s">
        <v>656</v>
      </c>
      <c r="I346" s="10">
        <v>493</v>
      </c>
      <c r="J346" s="34">
        <f t="shared" si="20"/>
        <v>4.2890999999999995</v>
      </c>
      <c r="K346" s="34">
        <f t="shared" si="21"/>
        <v>6.43</v>
      </c>
      <c r="L346" s="34">
        <f t="shared" si="22"/>
        <v>25.72</v>
      </c>
      <c r="M346" s="11" t="s">
        <v>3871</v>
      </c>
      <c r="N346" s="11" t="s">
        <v>3716</v>
      </c>
      <c r="O346" s="11" t="s">
        <v>3711</v>
      </c>
      <c r="P346" s="11" t="s">
        <v>3717</v>
      </c>
      <c r="Q346" s="12">
        <v>225</v>
      </c>
      <c r="R346" s="12">
        <v>240</v>
      </c>
      <c r="S346" s="12">
        <v>9.5</v>
      </c>
      <c r="T346" s="13">
        <v>41.97</v>
      </c>
      <c r="U346" s="13">
        <f t="shared" si="23"/>
        <v>16.25</v>
      </c>
      <c r="V346" s="14">
        <v>5141.32</v>
      </c>
      <c r="W346" s="14">
        <v>5141.32</v>
      </c>
      <c r="X346" s="11">
        <v>15</v>
      </c>
      <c r="Y346" s="15" t="s">
        <v>3713</v>
      </c>
      <c r="Z346" s="16">
        <v>4648.32</v>
      </c>
      <c r="AA346" s="17">
        <v>942.9</v>
      </c>
      <c r="AB346" s="18" t="s">
        <v>3714</v>
      </c>
    </row>
    <row r="347" spans="1:28" x14ac:dyDescent="0.45">
      <c r="A347" s="2" t="s">
        <v>733</v>
      </c>
      <c r="B347" s="2" t="s">
        <v>734</v>
      </c>
      <c r="C347" s="2" t="s">
        <v>4</v>
      </c>
      <c r="D347" s="2" t="s">
        <v>586</v>
      </c>
      <c r="E347" s="2" t="s">
        <v>96</v>
      </c>
      <c r="F347" s="3">
        <v>230</v>
      </c>
      <c r="G347" s="3">
        <v>245</v>
      </c>
      <c r="H347" s="2" t="s">
        <v>656</v>
      </c>
      <c r="I347" s="19">
        <v>508</v>
      </c>
      <c r="J347" s="34">
        <f t="shared" si="20"/>
        <v>4.4196</v>
      </c>
      <c r="K347" s="34">
        <f t="shared" si="21"/>
        <v>6.63</v>
      </c>
      <c r="L347" s="34">
        <f t="shared" si="22"/>
        <v>26.52</v>
      </c>
      <c r="M347" s="20" t="s">
        <v>3872</v>
      </c>
      <c r="N347" s="20" t="s">
        <v>3716</v>
      </c>
      <c r="O347" s="20" t="s">
        <v>3711</v>
      </c>
      <c r="P347" s="20" t="s">
        <v>3717</v>
      </c>
      <c r="Q347" s="21">
        <v>230</v>
      </c>
      <c r="R347" s="21">
        <v>246</v>
      </c>
      <c r="S347" s="21">
        <v>7.5</v>
      </c>
      <c r="T347" s="22">
        <v>42.44</v>
      </c>
      <c r="U347" s="13">
        <f t="shared" si="23"/>
        <v>15.919999999999998</v>
      </c>
      <c r="V347" s="23">
        <v>5198.8999999999996</v>
      </c>
      <c r="W347" s="23">
        <v>5198.8999999999996</v>
      </c>
      <c r="X347" s="20">
        <v>5</v>
      </c>
      <c r="Y347" s="24" t="s">
        <v>3713</v>
      </c>
      <c r="Z347" s="16">
        <v>4690.8999999999996</v>
      </c>
      <c r="AA347" s="17">
        <v>923.4</v>
      </c>
      <c r="AB347" s="25" t="s">
        <v>3786</v>
      </c>
    </row>
    <row r="348" spans="1:28" x14ac:dyDescent="0.45">
      <c r="A348" s="4" t="s">
        <v>735</v>
      </c>
      <c r="B348" s="4" t="s">
        <v>736</v>
      </c>
      <c r="C348" s="4" t="s">
        <v>4</v>
      </c>
      <c r="D348" s="4" t="s">
        <v>586</v>
      </c>
      <c r="E348" s="4" t="s">
        <v>96</v>
      </c>
      <c r="F348" s="5">
        <v>260</v>
      </c>
      <c r="G348" s="5">
        <v>275</v>
      </c>
      <c r="H348" s="4" t="s">
        <v>656</v>
      </c>
      <c r="I348" s="10">
        <v>576</v>
      </c>
      <c r="J348" s="34">
        <f t="shared" si="20"/>
        <v>5.0111999999999997</v>
      </c>
      <c r="K348" s="34">
        <f t="shared" si="21"/>
        <v>7.52</v>
      </c>
      <c r="L348" s="34">
        <f t="shared" si="22"/>
        <v>30.08</v>
      </c>
      <c r="M348" s="11" t="s">
        <v>3873</v>
      </c>
      <c r="N348" s="11" t="s">
        <v>3716</v>
      </c>
      <c r="O348" s="11" t="s">
        <v>3711</v>
      </c>
      <c r="P348" s="11" t="s">
        <v>3717</v>
      </c>
      <c r="Q348" s="12">
        <v>260</v>
      </c>
      <c r="R348" s="12">
        <v>275</v>
      </c>
      <c r="S348" s="12">
        <v>9.5</v>
      </c>
      <c r="T348" s="13">
        <v>89.24</v>
      </c>
      <c r="U348" s="13">
        <f t="shared" si="23"/>
        <v>59.16</v>
      </c>
      <c r="V348" s="14">
        <v>10931.9</v>
      </c>
      <c r="W348" s="14">
        <v>10931.9</v>
      </c>
      <c r="X348" s="11" t="s">
        <v>3722</v>
      </c>
      <c r="Y348" s="15" t="s">
        <v>3713</v>
      </c>
      <c r="Z348" s="16">
        <v>10355.9</v>
      </c>
      <c r="AA348" s="17">
        <v>1797.9</v>
      </c>
      <c r="AB348" s="18" t="s">
        <v>3714</v>
      </c>
    </row>
    <row r="349" spans="1:28" x14ac:dyDescent="0.45">
      <c r="A349" s="2" t="s">
        <v>737</v>
      </c>
      <c r="B349" s="2" t="s">
        <v>738</v>
      </c>
      <c r="C349" s="2" t="s">
        <v>4</v>
      </c>
      <c r="D349" s="2" t="s">
        <v>586</v>
      </c>
      <c r="E349" s="2" t="s">
        <v>96</v>
      </c>
      <c r="F349" s="3">
        <v>270</v>
      </c>
      <c r="G349" s="3">
        <v>285</v>
      </c>
      <c r="H349" s="2" t="s">
        <v>656</v>
      </c>
      <c r="I349" s="19">
        <v>592</v>
      </c>
      <c r="J349" s="34">
        <f t="shared" si="20"/>
        <v>5.1503999999999994</v>
      </c>
      <c r="K349" s="34">
        <f t="shared" si="21"/>
        <v>7.73</v>
      </c>
      <c r="L349" s="34">
        <f t="shared" si="22"/>
        <v>30.92</v>
      </c>
      <c r="M349" s="20" t="s">
        <v>3874</v>
      </c>
      <c r="N349" s="20" t="s">
        <v>3716</v>
      </c>
      <c r="O349" s="20" t="s">
        <v>3711</v>
      </c>
      <c r="P349" s="20" t="s">
        <v>3717</v>
      </c>
      <c r="Q349" s="21">
        <v>270</v>
      </c>
      <c r="R349" s="21">
        <v>286</v>
      </c>
      <c r="S349" s="21">
        <v>7.5</v>
      </c>
      <c r="T349" s="22">
        <v>73.8</v>
      </c>
      <c r="U349" s="13">
        <f t="shared" si="23"/>
        <v>42.879999999999995</v>
      </c>
      <c r="V349" s="23">
        <v>9040.5</v>
      </c>
      <c r="W349" s="23">
        <v>9040.5</v>
      </c>
      <c r="X349" s="20">
        <v>19</v>
      </c>
      <c r="Y349" s="24" t="s">
        <v>3713</v>
      </c>
      <c r="Z349" s="16">
        <v>8448.5</v>
      </c>
      <c r="AA349" s="17">
        <v>1427.1</v>
      </c>
      <c r="AB349" s="25" t="s">
        <v>3786</v>
      </c>
    </row>
    <row r="350" spans="1:28" x14ac:dyDescent="0.45">
      <c r="A350" s="4" t="s">
        <v>739</v>
      </c>
      <c r="B350" s="4" t="s">
        <v>740</v>
      </c>
      <c r="C350" s="4" t="s">
        <v>4</v>
      </c>
      <c r="D350" s="4" t="s">
        <v>586</v>
      </c>
      <c r="E350" s="4" t="s">
        <v>96</v>
      </c>
      <c r="F350" s="5">
        <v>280</v>
      </c>
      <c r="G350" s="5">
        <v>295</v>
      </c>
      <c r="H350" s="4" t="s">
        <v>656</v>
      </c>
      <c r="I350" s="10">
        <v>618</v>
      </c>
      <c r="J350" s="34">
        <f t="shared" si="20"/>
        <v>5.3765999999999998</v>
      </c>
      <c r="K350" s="34">
        <f t="shared" si="21"/>
        <v>8.06</v>
      </c>
      <c r="L350" s="34">
        <f t="shared" si="22"/>
        <v>32.24</v>
      </c>
      <c r="M350" s="11" t="s">
        <v>3867</v>
      </c>
      <c r="N350" s="11" t="s">
        <v>3716</v>
      </c>
      <c r="O350" s="11" t="s">
        <v>3711</v>
      </c>
      <c r="P350" s="11" t="s">
        <v>3717</v>
      </c>
      <c r="Q350" s="12">
        <v>280</v>
      </c>
      <c r="R350" s="12">
        <v>295</v>
      </c>
      <c r="S350" s="12">
        <v>9.5</v>
      </c>
      <c r="T350" s="13">
        <v>47.79</v>
      </c>
      <c r="U350" s="13">
        <f t="shared" si="23"/>
        <v>15.549999999999997</v>
      </c>
      <c r="V350" s="14">
        <v>5854.28</v>
      </c>
      <c r="W350" s="14">
        <v>5854.28</v>
      </c>
      <c r="X350" s="11">
        <v>7</v>
      </c>
      <c r="Y350" s="15" t="s">
        <v>3713</v>
      </c>
      <c r="Z350" s="16">
        <v>5236.28</v>
      </c>
      <c r="AA350" s="17">
        <v>847.3</v>
      </c>
      <c r="AB350" s="18" t="s">
        <v>3714</v>
      </c>
    </row>
    <row r="351" spans="1:28" x14ac:dyDescent="0.45">
      <c r="A351" s="2" t="s">
        <v>741</v>
      </c>
      <c r="B351" s="2" t="s">
        <v>742</v>
      </c>
      <c r="C351" s="2" t="s">
        <v>4</v>
      </c>
      <c r="D351" s="2" t="s">
        <v>586</v>
      </c>
      <c r="E351" s="2" t="s">
        <v>96</v>
      </c>
      <c r="F351" s="3">
        <v>300</v>
      </c>
      <c r="G351" s="3">
        <v>315</v>
      </c>
      <c r="H351" s="2" t="s">
        <v>656</v>
      </c>
      <c r="I351" s="19">
        <v>666</v>
      </c>
      <c r="J351" s="34">
        <f t="shared" si="20"/>
        <v>5.7942</v>
      </c>
      <c r="K351" s="34">
        <f t="shared" si="21"/>
        <v>8.69</v>
      </c>
      <c r="L351" s="34">
        <f t="shared" si="22"/>
        <v>34.76</v>
      </c>
      <c r="M351" s="20" t="s">
        <v>3875</v>
      </c>
      <c r="N351" s="20" t="s">
        <v>3716</v>
      </c>
      <c r="O351" s="20" t="s">
        <v>3711</v>
      </c>
      <c r="P351" s="20" t="s">
        <v>3717</v>
      </c>
      <c r="Q351" s="21">
        <v>300</v>
      </c>
      <c r="R351" s="21">
        <v>316</v>
      </c>
      <c r="S351" s="21">
        <v>7.5</v>
      </c>
      <c r="T351" s="22">
        <v>63.65</v>
      </c>
      <c r="U351" s="13">
        <f t="shared" si="23"/>
        <v>28.89</v>
      </c>
      <c r="V351" s="23">
        <v>7797.12</v>
      </c>
      <c r="W351" s="23">
        <v>7797.12</v>
      </c>
      <c r="X351" s="20">
        <v>3</v>
      </c>
      <c r="Y351" s="24" t="s">
        <v>3713</v>
      </c>
      <c r="Z351" s="16">
        <v>7131.12</v>
      </c>
      <c r="AA351" s="17">
        <v>1070.7</v>
      </c>
      <c r="AB351" s="25" t="s">
        <v>3786</v>
      </c>
    </row>
    <row r="352" spans="1:28" x14ac:dyDescent="0.45">
      <c r="A352" s="4" t="s">
        <v>743</v>
      </c>
      <c r="B352" s="4" t="s">
        <v>744</v>
      </c>
      <c r="C352" s="4" t="s">
        <v>4</v>
      </c>
      <c r="D352" s="4" t="s">
        <v>586</v>
      </c>
      <c r="E352" s="4" t="s">
        <v>256</v>
      </c>
      <c r="F352" s="5">
        <v>12</v>
      </c>
      <c r="G352" s="5">
        <v>20</v>
      </c>
      <c r="H352" s="4" t="s">
        <v>328</v>
      </c>
      <c r="I352" s="10">
        <v>50</v>
      </c>
      <c r="J352" s="34">
        <f t="shared" si="20"/>
        <v>0.43499999999999994</v>
      </c>
      <c r="K352" s="34">
        <f t="shared" si="21"/>
        <v>0.65</v>
      </c>
      <c r="L352" s="34">
        <f t="shared" si="22"/>
        <v>2.6</v>
      </c>
      <c r="M352" s="11" t="s">
        <v>3769</v>
      </c>
      <c r="N352" s="11" t="s">
        <v>3719</v>
      </c>
      <c r="O352" s="11" t="s">
        <v>3711</v>
      </c>
      <c r="P352" s="11" t="s">
        <v>3720</v>
      </c>
      <c r="Q352" s="12">
        <v>12</v>
      </c>
      <c r="R352" s="12">
        <v>20</v>
      </c>
      <c r="S352" s="12">
        <v>4</v>
      </c>
      <c r="T352" s="13">
        <v>11.23</v>
      </c>
      <c r="U352" s="13">
        <f t="shared" si="23"/>
        <v>8.6300000000000008</v>
      </c>
      <c r="V352" s="14">
        <v>1375.68</v>
      </c>
      <c r="W352" s="14">
        <v>1375.68</v>
      </c>
      <c r="X352" s="11">
        <v>24</v>
      </c>
      <c r="Y352" s="15" t="s">
        <v>3713</v>
      </c>
      <c r="Z352" s="16">
        <v>1325.68</v>
      </c>
      <c r="AA352" s="17">
        <v>2651.4</v>
      </c>
      <c r="AB352" s="18" t="s">
        <v>3714</v>
      </c>
    </row>
    <row r="353" spans="1:28" x14ac:dyDescent="0.45">
      <c r="A353" s="2" t="s">
        <v>745</v>
      </c>
      <c r="B353" s="2" t="s">
        <v>746</v>
      </c>
      <c r="C353" s="2" t="s">
        <v>4</v>
      </c>
      <c r="D353" s="2" t="s">
        <v>586</v>
      </c>
      <c r="E353" s="2" t="s">
        <v>256</v>
      </c>
      <c r="F353" s="3">
        <v>14</v>
      </c>
      <c r="G353" s="3">
        <v>22</v>
      </c>
      <c r="H353" s="2" t="s">
        <v>328</v>
      </c>
      <c r="I353" s="19">
        <v>50</v>
      </c>
      <c r="J353" s="34">
        <f t="shared" si="20"/>
        <v>0.43499999999999994</v>
      </c>
      <c r="K353" s="34">
        <f t="shared" si="21"/>
        <v>0.65</v>
      </c>
      <c r="L353" s="34">
        <f t="shared" si="22"/>
        <v>2.6</v>
      </c>
      <c r="M353" s="20" t="s">
        <v>3770</v>
      </c>
      <c r="N353" s="20" t="s">
        <v>3719</v>
      </c>
      <c r="O353" s="20" t="s">
        <v>3711</v>
      </c>
      <c r="P353" s="20" t="s">
        <v>3720</v>
      </c>
      <c r="Q353" s="21">
        <v>14</v>
      </c>
      <c r="R353" s="21">
        <v>22</v>
      </c>
      <c r="S353" s="21">
        <v>4</v>
      </c>
      <c r="T353" s="22">
        <v>9.43</v>
      </c>
      <c r="U353" s="13">
        <f t="shared" si="23"/>
        <v>6.83</v>
      </c>
      <c r="V353" s="23">
        <v>1155.18</v>
      </c>
      <c r="W353" s="23">
        <v>1155.18</v>
      </c>
      <c r="X353" s="20">
        <v>7</v>
      </c>
      <c r="Y353" s="24" t="s">
        <v>3713</v>
      </c>
      <c r="Z353" s="16">
        <v>1105.18</v>
      </c>
      <c r="AA353" s="17">
        <v>2210.4</v>
      </c>
      <c r="AB353" s="25" t="s">
        <v>3714</v>
      </c>
    </row>
    <row r="354" spans="1:28" x14ac:dyDescent="0.45">
      <c r="A354" s="4" t="s">
        <v>747</v>
      </c>
      <c r="B354" s="4" t="s">
        <v>748</v>
      </c>
      <c r="C354" s="4" t="s">
        <v>4</v>
      </c>
      <c r="D354" s="4" t="s">
        <v>586</v>
      </c>
      <c r="E354" s="4" t="s">
        <v>256</v>
      </c>
      <c r="F354" s="5">
        <v>15</v>
      </c>
      <c r="G354" s="5">
        <v>23</v>
      </c>
      <c r="H354" s="4" t="s">
        <v>328</v>
      </c>
      <c r="I354" s="10">
        <v>50</v>
      </c>
      <c r="J354" s="34">
        <f t="shared" si="20"/>
        <v>0.43499999999999994</v>
      </c>
      <c r="K354" s="34">
        <f t="shared" si="21"/>
        <v>0.65</v>
      </c>
      <c r="L354" s="34">
        <f t="shared" si="22"/>
        <v>2.6</v>
      </c>
      <c r="M354" s="11" t="s">
        <v>3770</v>
      </c>
      <c r="N354" s="11" t="s">
        <v>3719</v>
      </c>
      <c r="O354" s="11" t="s">
        <v>3711</v>
      </c>
      <c r="P354" s="11" t="s">
        <v>3720</v>
      </c>
      <c r="Q354" s="12">
        <v>14</v>
      </c>
      <c r="R354" s="12">
        <v>22</v>
      </c>
      <c r="S354" s="12">
        <v>4</v>
      </c>
      <c r="T354" s="13">
        <v>9.43</v>
      </c>
      <c r="U354" s="13">
        <f t="shared" si="23"/>
        <v>6.83</v>
      </c>
      <c r="V354" s="14">
        <v>1155.18</v>
      </c>
      <c r="W354" s="14">
        <v>1155.18</v>
      </c>
      <c r="X354" s="11">
        <v>7</v>
      </c>
      <c r="Y354" s="15" t="s">
        <v>3713</v>
      </c>
      <c r="Z354" s="16">
        <v>1105.18</v>
      </c>
      <c r="AA354" s="17">
        <v>2210.4</v>
      </c>
      <c r="AB354" s="18" t="s">
        <v>3783</v>
      </c>
    </row>
    <row r="355" spans="1:28" x14ac:dyDescent="0.45">
      <c r="A355" s="2" t="s">
        <v>749</v>
      </c>
      <c r="B355" s="2" t="s">
        <v>750</v>
      </c>
      <c r="C355" s="2" t="s">
        <v>4</v>
      </c>
      <c r="D355" s="2" t="s">
        <v>586</v>
      </c>
      <c r="E355" s="2" t="s">
        <v>256</v>
      </c>
      <c r="F355" s="3">
        <v>16</v>
      </c>
      <c r="G355" s="3">
        <v>24</v>
      </c>
      <c r="H355" s="2" t="s">
        <v>328</v>
      </c>
      <c r="I355" s="19">
        <v>42</v>
      </c>
      <c r="J355" s="34">
        <f t="shared" si="20"/>
        <v>0.36539999999999995</v>
      </c>
      <c r="K355" s="34">
        <f t="shared" si="21"/>
        <v>0.55000000000000004</v>
      </c>
      <c r="L355" s="34">
        <f t="shared" si="22"/>
        <v>2.2000000000000002</v>
      </c>
      <c r="M355" s="20" t="s">
        <v>3772</v>
      </c>
      <c r="N355" s="20" t="s">
        <v>3719</v>
      </c>
      <c r="O355" s="20" t="s">
        <v>3711</v>
      </c>
      <c r="P355" s="20" t="s">
        <v>3720</v>
      </c>
      <c r="Q355" s="21">
        <v>16</v>
      </c>
      <c r="R355" s="21">
        <v>24</v>
      </c>
      <c r="S355" s="21">
        <v>4</v>
      </c>
      <c r="T355" s="22">
        <v>12.03</v>
      </c>
      <c r="U355" s="13">
        <f t="shared" si="23"/>
        <v>9.8299999999999983</v>
      </c>
      <c r="V355" s="23">
        <v>1473.68</v>
      </c>
      <c r="W355" s="23">
        <v>1473.68</v>
      </c>
      <c r="X355" s="20">
        <v>34</v>
      </c>
      <c r="Y355" s="24" t="s">
        <v>3713</v>
      </c>
      <c r="Z355" s="16">
        <v>1431.68</v>
      </c>
      <c r="AA355" s="17">
        <v>3408.8</v>
      </c>
      <c r="AB355" s="25" t="s">
        <v>3714</v>
      </c>
    </row>
    <row r="356" spans="1:28" x14ac:dyDescent="0.45">
      <c r="A356" s="4" t="s">
        <v>751</v>
      </c>
      <c r="B356" s="4" t="s">
        <v>752</v>
      </c>
      <c r="C356" s="4" t="s">
        <v>4</v>
      </c>
      <c r="D356" s="4" t="s">
        <v>586</v>
      </c>
      <c r="E356" s="4" t="s">
        <v>256</v>
      </c>
      <c r="F356" s="5">
        <v>18</v>
      </c>
      <c r="G356" s="5">
        <v>26</v>
      </c>
      <c r="H356" s="4" t="s">
        <v>328</v>
      </c>
      <c r="I356" s="10">
        <v>42</v>
      </c>
      <c r="J356" s="34">
        <f t="shared" si="20"/>
        <v>0.36539999999999995</v>
      </c>
      <c r="K356" s="34">
        <f t="shared" si="21"/>
        <v>0.55000000000000004</v>
      </c>
      <c r="L356" s="34">
        <f t="shared" si="22"/>
        <v>2.2000000000000002</v>
      </c>
      <c r="M356" s="11" t="s">
        <v>3718</v>
      </c>
      <c r="N356" s="11" t="s">
        <v>3719</v>
      </c>
      <c r="O356" s="11" t="s">
        <v>3711</v>
      </c>
      <c r="P356" s="11" t="s">
        <v>3720</v>
      </c>
      <c r="Q356" s="12">
        <v>18</v>
      </c>
      <c r="R356" s="12">
        <v>26</v>
      </c>
      <c r="S356" s="12">
        <v>4</v>
      </c>
      <c r="T356" s="13">
        <v>4.1900000000000004</v>
      </c>
      <c r="U356" s="13">
        <f t="shared" si="23"/>
        <v>1.9900000000000002</v>
      </c>
      <c r="V356" s="14">
        <v>513.28</v>
      </c>
      <c r="W356" s="14">
        <v>513.28</v>
      </c>
      <c r="X356" s="11">
        <v>55</v>
      </c>
      <c r="Y356" s="15" t="s">
        <v>3713</v>
      </c>
      <c r="Z356" s="16">
        <v>471.28</v>
      </c>
      <c r="AA356" s="17">
        <v>1122.0999999999999</v>
      </c>
      <c r="AB356" s="18" t="s">
        <v>3714</v>
      </c>
    </row>
    <row r="357" spans="1:28" x14ac:dyDescent="0.45">
      <c r="A357" s="2" t="s">
        <v>753</v>
      </c>
      <c r="B357" s="2" t="s">
        <v>754</v>
      </c>
      <c r="C357" s="2" t="s">
        <v>4</v>
      </c>
      <c r="D357" s="2" t="s">
        <v>586</v>
      </c>
      <c r="E357" s="2" t="s">
        <v>256</v>
      </c>
      <c r="F357" s="3">
        <v>20</v>
      </c>
      <c r="G357" s="3">
        <v>28</v>
      </c>
      <c r="H357" s="2" t="s">
        <v>328</v>
      </c>
      <c r="I357" s="19">
        <v>42</v>
      </c>
      <c r="J357" s="34">
        <f t="shared" si="20"/>
        <v>0.36539999999999995</v>
      </c>
      <c r="K357" s="34">
        <f t="shared" si="21"/>
        <v>0.55000000000000004</v>
      </c>
      <c r="L357" s="34">
        <f t="shared" si="22"/>
        <v>2.2000000000000002</v>
      </c>
      <c r="M357" s="20" t="s">
        <v>3721</v>
      </c>
      <c r="N357" s="20" t="s">
        <v>3719</v>
      </c>
      <c r="O357" s="20" t="s">
        <v>3711</v>
      </c>
      <c r="P357" s="20" t="s">
        <v>3720</v>
      </c>
      <c r="Q357" s="21">
        <v>20</v>
      </c>
      <c r="R357" s="21">
        <v>28</v>
      </c>
      <c r="S357" s="21">
        <v>4</v>
      </c>
      <c r="T357" s="22">
        <v>11.74</v>
      </c>
      <c r="U357" s="13">
        <f t="shared" si="23"/>
        <v>9.5399999999999991</v>
      </c>
      <c r="V357" s="23">
        <v>1438.15</v>
      </c>
      <c r="W357" s="23">
        <v>1438.15</v>
      </c>
      <c r="X357" s="20" t="s">
        <v>3722</v>
      </c>
      <c r="Y357" s="24" t="s">
        <v>3713</v>
      </c>
      <c r="Z357" s="16">
        <v>1396.15</v>
      </c>
      <c r="AA357" s="17">
        <v>3324.2</v>
      </c>
      <c r="AB357" s="25" t="s">
        <v>3714</v>
      </c>
    </row>
    <row r="358" spans="1:28" x14ac:dyDescent="0.45">
      <c r="A358" s="4" t="s">
        <v>755</v>
      </c>
      <c r="B358" s="4" t="s">
        <v>756</v>
      </c>
      <c r="C358" s="4" t="s">
        <v>4</v>
      </c>
      <c r="D358" s="4" t="s">
        <v>586</v>
      </c>
      <c r="E358" s="4" t="s">
        <v>256</v>
      </c>
      <c r="F358" s="5">
        <v>22</v>
      </c>
      <c r="G358" s="5">
        <v>30</v>
      </c>
      <c r="H358" s="4" t="s">
        <v>328</v>
      </c>
      <c r="I358" s="10">
        <v>42</v>
      </c>
      <c r="J358" s="34">
        <f t="shared" si="20"/>
        <v>0.36539999999999995</v>
      </c>
      <c r="K358" s="34">
        <f t="shared" si="21"/>
        <v>0.55000000000000004</v>
      </c>
      <c r="L358" s="34">
        <f t="shared" si="22"/>
        <v>2.2000000000000002</v>
      </c>
      <c r="M358" s="11" t="s">
        <v>3723</v>
      </c>
      <c r="N358" s="11" t="s">
        <v>3719</v>
      </c>
      <c r="O358" s="11" t="s">
        <v>3711</v>
      </c>
      <c r="P358" s="11" t="s">
        <v>3720</v>
      </c>
      <c r="Q358" s="12">
        <v>22</v>
      </c>
      <c r="R358" s="12">
        <v>30</v>
      </c>
      <c r="S358" s="12">
        <v>4</v>
      </c>
      <c r="T358" s="13">
        <v>7.14</v>
      </c>
      <c r="U358" s="13">
        <f t="shared" si="23"/>
        <v>4.9399999999999995</v>
      </c>
      <c r="V358" s="14">
        <v>874.65</v>
      </c>
      <c r="W358" s="14">
        <v>874.65</v>
      </c>
      <c r="X358" s="11">
        <v>16</v>
      </c>
      <c r="Y358" s="15" t="s">
        <v>3713</v>
      </c>
      <c r="Z358" s="16">
        <v>832.65</v>
      </c>
      <c r="AA358" s="17">
        <v>1982.5</v>
      </c>
      <c r="AB358" s="18" t="s">
        <v>3714</v>
      </c>
    </row>
    <row r="359" spans="1:28" x14ac:dyDescent="0.45">
      <c r="A359" s="2" t="s">
        <v>757</v>
      </c>
      <c r="B359" s="2" t="s">
        <v>758</v>
      </c>
      <c r="C359" s="2" t="s">
        <v>4</v>
      </c>
      <c r="D359" s="2" t="s">
        <v>586</v>
      </c>
      <c r="E359" s="2" t="s">
        <v>256</v>
      </c>
      <c r="F359" s="3">
        <v>25</v>
      </c>
      <c r="G359" s="3">
        <v>33</v>
      </c>
      <c r="H359" s="2" t="s">
        <v>328</v>
      </c>
      <c r="I359" s="19">
        <v>42</v>
      </c>
      <c r="J359" s="34">
        <f t="shared" si="20"/>
        <v>0.36539999999999995</v>
      </c>
      <c r="K359" s="34">
        <f t="shared" si="21"/>
        <v>0.55000000000000004</v>
      </c>
      <c r="L359" s="34">
        <f t="shared" si="22"/>
        <v>2.2000000000000002</v>
      </c>
      <c r="M359" s="20" t="s">
        <v>3724</v>
      </c>
      <c r="N359" s="20" t="s">
        <v>3719</v>
      </c>
      <c r="O359" s="20" t="s">
        <v>3711</v>
      </c>
      <c r="P359" s="20" t="s">
        <v>3720</v>
      </c>
      <c r="Q359" s="21">
        <v>25</v>
      </c>
      <c r="R359" s="21">
        <v>33</v>
      </c>
      <c r="S359" s="21">
        <v>4</v>
      </c>
      <c r="T359" s="22">
        <v>7.87</v>
      </c>
      <c r="U359" s="13">
        <f t="shared" si="23"/>
        <v>5.67</v>
      </c>
      <c r="V359" s="23">
        <v>964.08</v>
      </c>
      <c r="W359" s="23">
        <v>964.08</v>
      </c>
      <c r="X359" s="20" t="s">
        <v>3722</v>
      </c>
      <c r="Y359" s="24" t="s">
        <v>3713</v>
      </c>
      <c r="Z359" s="16">
        <v>922.08</v>
      </c>
      <c r="AA359" s="17">
        <v>2195.4</v>
      </c>
      <c r="AB359" s="25" t="s">
        <v>3714</v>
      </c>
    </row>
    <row r="360" spans="1:28" x14ac:dyDescent="0.45">
      <c r="A360" s="4" t="s">
        <v>759</v>
      </c>
      <c r="B360" s="4" t="s">
        <v>760</v>
      </c>
      <c r="C360" s="4" t="s">
        <v>4</v>
      </c>
      <c r="D360" s="4" t="s">
        <v>586</v>
      </c>
      <c r="E360" s="4" t="s">
        <v>256</v>
      </c>
      <c r="F360" s="5">
        <v>28</v>
      </c>
      <c r="G360" s="5">
        <v>36</v>
      </c>
      <c r="H360" s="4" t="s">
        <v>328</v>
      </c>
      <c r="I360" s="10">
        <v>42</v>
      </c>
      <c r="J360" s="34">
        <f t="shared" si="20"/>
        <v>0.36539999999999995</v>
      </c>
      <c r="K360" s="34">
        <f t="shared" si="21"/>
        <v>0.55000000000000004</v>
      </c>
      <c r="L360" s="34">
        <f t="shared" si="22"/>
        <v>2.2000000000000002</v>
      </c>
      <c r="M360" s="11" t="s">
        <v>3725</v>
      </c>
      <c r="N360" s="11" t="s">
        <v>3716</v>
      </c>
      <c r="O360" s="11" t="s">
        <v>3711</v>
      </c>
      <c r="P360" s="11" t="s">
        <v>3717</v>
      </c>
      <c r="Q360" s="12">
        <v>28</v>
      </c>
      <c r="R360" s="12">
        <v>36</v>
      </c>
      <c r="S360" s="12">
        <v>5</v>
      </c>
      <c r="T360" s="13">
        <v>5.53</v>
      </c>
      <c r="U360" s="13">
        <f t="shared" si="23"/>
        <v>3.33</v>
      </c>
      <c r="V360" s="14">
        <v>677.42</v>
      </c>
      <c r="W360" s="14">
        <v>677.42</v>
      </c>
      <c r="X360" s="11">
        <v>381</v>
      </c>
      <c r="Y360" s="15" t="s">
        <v>3713</v>
      </c>
      <c r="Z360" s="16">
        <v>635.41999999999996</v>
      </c>
      <c r="AA360" s="17">
        <v>1512.9</v>
      </c>
      <c r="AB360" s="18" t="s">
        <v>3714</v>
      </c>
    </row>
    <row r="361" spans="1:28" x14ac:dyDescent="0.45">
      <c r="A361" s="2" t="s">
        <v>761</v>
      </c>
      <c r="B361" s="2" t="s">
        <v>762</v>
      </c>
      <c r="C361" s="2" t="s">
        <v>4</v>
      </c>
      <c r="D361" s="2" t="s">
        <v>586</v>
      </c>
      <c r="E361" s="2" t="s">
        <v>256</v>
      </c>
      <c r="F361" s="3">
        <v>30</v>
      </c>
      <c r="G361" s="3">
        <v>38</v>
      </c>
      <c r="H361" s="2" t="s">
        <v>328</v>
      </c>
      <c r="I361" s="19">
        <v>42</v>
      </c>
      <c r="J361" s="34">
        <f t="shared" si="20"/>
        <v>0.36539999999999995</v>
      </c>
      <c r="K361" s="34">
        <f t="shared" si="21"/>
        <v>0.55000000000000004</v>
      </c>
      <c r="L361" s="34">
        <f t="shared" si="22"/>
        <v>2.2000000000000002</v>
      </c>
      <c r="M361" s="20" t="s">
        <v>3726</v>
      </c>
      <c r="N361" s="20" t="s">
        <v>3716</v>
      </c>
      <c r="O361" s="20" t="s">
        <v>3711</v>
      </c>
      <c r="P361" s="20" t="s">
        <v>3717</v>
      </c>
      <c r="Q361" s="21">
        <v>30</v>
      </c>
      <c r="R361" s="21">
        <v>38</v>
      </c>
      <c r="S361" s="21">
        <v>5</v>
      </c>
      <c r="T361" s="22">
        <v>5.98</v>
      </c>
      <c r="U361" s="13">
        <f t="shared" si="23"/>
        <v>3.7800000000000002</v>
      </c>
      <c r="V361" s="23">
        <v>732.55</v>
      </c>
      <c r="W361" s="23">
        <v>732.55</v>
      </c>
      <c r="X361" s="20">
        <v>138</v>
      </c>
      <c r="Y361" s="24" t="s">
        <v>3713</v>
      </c>
      <c r="Z361" s="16">
        <v>690.55</v>
      </c>
      <c r="AA361" s="17">
        <v>1644.2</v>
      </c>
      <c r="AB361" s="25" t="s">
        <v>3714</v>
      </c>
    </row>
    <row r="362" spans="1:28" x14ac:dyDescent="0.45">
      <c r="A362" s="4" t="s">
        <v>763</v>
      </c>
      <c r="B362" s="4" t="s">
        <v>764</v>
      </c>
      <c r="C362" s="4" t="s">
        <v>4</v>
      </c>
      <c r="D362" s="4" t="s">
        <v>586</v>
      </c>
      <c r="E362" s="4" t="s">
        <v>256</v>
      </c>
      <c r="F362" s="5">
        <v>32</v>
      </c>
      <c r="G362" s="5">
        <v>40</v>
      </c>
      <c r="H362" s="4" t="s">
        <v>328</v>
      </c>
      <c r="I362" s="10">
        <v>42</v>
      </c>
      <c r="J362" s="34">
        <f t="shared" si="20"/>
        <v>0.36539999999999995</v>
      </c>
      <c r="K362" s="34">
        <f t="shared" si="21"/>
        <v>0.55000000000000004</v>
      </c>
      <c r="L362" s="34">
        <f t="shared" si="22"/>
        <v>2.2000000000000002</v>
      </c>
      <c r="M362" s="11" t="s">
        <v>3727</v>
      </c>
      <c r="N362" s="11" t="s">
        <v>3719</v>
      </c>
      <c r="O362" s="11" t="s">
        <v>3711</v>
      </c>
      <c r="P362" s="11" t="s">
        <v>3720</v>
      </c>
      <c r="Q362" s="12">
        <v>32</v>
      </c>
      <c r="R362" s="12">
        <v>40</v>
      </c>
      <c r="S362" s="12">
        <v>5</v>
      </c>
      <c r="T362" s="13">
        <v>7.49</v>
      </c>
      <c r="U362" s="13">
        <f t="shared" si="23"/>
        <v>5.29</v>
      </c>
      <c r="V362" s="14">
        <v>917.52</v>
      </c>
      <c r="W362" s="14">
        <v>917.52</v>
      </c>
      <c r="X362" s="11">
        <v>11</v>
      </c>
      <c r="Y362" s="15" t="s">
        <v>3713</v>
      </c>
      <c r="Z362" s="16">
        <v>875.52</v>
      </c>
      <c r="AA362" s="17">
        <v>2084.6</v>
      </c>
      <c r="AB362" s="18" t="s">
        <v>3714</v>
      </c>
    </row>
    <row r="363" spans="1:28" x14ac:dyDescent="0.45">
      <c r="A363" s="2" t="s">
        <v>765</v>
      </c>
      <c r="B363" s="2" t="s">
        <v>766</v>
      </c>
      <c r="C363" s="2" t="s">
        <v>4</v>
      </c>
      <c r="D363" s="2" t="s">
        <v>586</v>
      </c>
      <c r="E363" s="2" t="s">
        <v>256</v>
      </c>
      <c r="F363" s="3">
        <v>35</v>
      </c>
      <c r="G363" s="3">
        <v>43</v>
      </c>
      <c r="H363" s="2" t="s">
        <v>328</v>
      </c>
      <c r="I363" s="19">
        <v>42</v>
      </c>
      <c r="J363" s="34">
        <f t="shared" si="20"/>
        <v>0.36539999999999995</v>
      </c>
      <c r="K363" s="34">
        <f t="shared" si="21"/>
        <v>0.55000000000000004</v>
      </c>
      <c r="L363" s="34">
        <f t="shared" si="22"/>
        <v>2.2000000000000002</v>
      </c>
      <c r="M363" s="20" t="s">
        <v>3728</v>
      </c>
      <c r="N363" s="20" t="s">
        <v>3716</v>
      </c>
      <c r="O363" s="20" t="s">
        <v>3711</v>
      </c>
      <c r="P363" s="20" t="s">
        <v>3717</v>
      </c>
      <c r="Q363" s="21">
        <v>35</v>
      </c>
      <c r="R363" s="21">
        <v>43</v>
      </c>
      <c r="S363" s="21">
        <v>5</v>
      </c>
      <c r="T363" s="22">
        <v>6.64</v>
      </c>
      <c r="U363" s="13">
        <f t="shared" si="23"/>
        <v>4.4399999999999995</v>
      </c>
      <c r="V363" s="23">
        <v>813.4</v>
      </c>
      <c r="W363" s="23">
        <v>813.4</v>
      </c>
      <c r="X363" s="20">
        <v>102</v>
      </c>
      <c r="Y363" s="24" t="s">
        <v>3713</v>
      </c>
      <c r="Z363" s="16">
        <v>771.4</v>
      </c>
      <c r="AA363" s="17">
        <v>1836.7</v>
      </c>
      <c r="AB363" s="25" t="s">
        <v>3714</v>
      </c>
    </row>
    <row r="364" spans="1:28" x14ac:dyDescent="0.45">
      <c r="A364" s="4" t="s">
        <v>767</v>
      </c>
      <c r="B364" s="4" t="s">
        <v>768</v>
      </c>
      <c r="C364" s="4" t="s">
        <v>4</v>
      </c>
      <c r="D364" s="4" t="s">
        <v>586</v>
      </c>
      <c r="E364" s="4" t="s">
        <v>256</v>
      </c>
      <c r="F364" s="5">
        <v>36</v>
      </c>
      <c r="G364" s="5">
        <v>44</v>
      </c>
      <c r="H364" s="4" t="s">
        <v>328</v>
      </c>
      <c r="I364" s="10">
        <v>37</v>
      </c>
      <c r="J364" s="34">
        <f t="shared" si="20"/>
        <v>0.32189999999999996</v>
      </c>
      <c r="K364" s="34">
        <f t="shared" si="21"/>
        <v>0.48</v>
      </c>
      <c r="L364" s="34">
        <f t="shared" si="22"/>
        <v>1.92</v>
      </c>
      <c r="M364" s="11" t="s">
        <v>3729</v>
      </c>
      <c r="N364" s="11" t="s">
        <v>3716</v>
      </c>
      <c r="O364" s="11" t="s">
        <v>3711</v>
      </c>
      <c r="P364" s="11" t="s">
        <v>3717</v>
      </c>
      <c r="Q364" s="12">
        <v>36</v>
      </c>
      <c r="R364" s="12">
        <v>44</v>
      </c>
      <c r="S364" s="12">
        <v>5</v>
      </c>
      <c r="T364" s="13">
        <v>6.87</v>
      </c>
      <c r="U364" s="13">
        <f t="shared" si="23"/>
        <v>4.95</v>
      </c>
      <c r="V364" s="14">
        <v>841.58</v>
      </c>
      <c r="W364" s="14">
        <v>841.58</v>
      </c>
      <c r="X364" s="11">
        <v>103</v>
      </c>
      <c r="Y364" s="15" t="s">
        <v>3713</v>
      </c>
      <c r="Z364" s="16">
        <v>804.58</v>
      </c>
      <c r="AA364" s="17">
        <v>2174.5</v>
      </c>
      <c r="AB364" s="18" t="s">
        <v>3714</v>
      </c>
    </row>
    <row r="365" spans="1:28" x14ac:dyDescent="0.45">
      <c r="A365" s="2" t="s">
        <v>769</v>
      </c>
      <c r="B365" s="2" t="s">
        <v>770</v>
      </c>
      <c r="C365" s="2" t="s">
        <v>4</v>
      </c>
      <c r="D365" s="2" t="s">
        <v>586</v>
      </c>
      <c r="E365" s="2" t="s">
        <v>256</v>
      </c>
      <c r="F365" s="3">
        <v>38</v>
      </c>
      <c r="G365" s="3">
        <v>46</v>
      </c>
      <c r="H365" s="2" t="s">
        <v>328</v>
      </c>
      <c r="I365" s="19">
        <v>56</v>
      </c>
      <c r="J365" s="34">
        <f t="shared" si="20"/>
        <v>0.48719999999999997</v>
      </c>
      <c r="K365" s="34">
        <f t="shared" si="21"/>
        <v>0.73</v>
      </c>
      <c r="L365" s="34">
        <f t="shared" si="22"/>
        <v>2.92</v>
      </c>
      <c r="M365" s="20" t="s">
        <v>3730</v>
      </c>
      <c r="N365" s="20" t="s">
        <v>3731</v>
      </c>
      <c r="O365" s="20" t="s">
        <v>3711</v>
      </c>
      <c r="P365" s="20" t="s">
        <v>3732</v>
      </c>
      <c r="Q365" s="21">
        <v>38</v>
      </c>
      <c r="R365" s="21">
        <v>46</v>
      </c>
      <c r="S365" s="21">
        <v>5</v>
      </c>
      <c r="T365" s="22">
        <v>20.05</v>
      </c>
      <c r="U365" s="13">
        <f t="shared" si="23"/>
        <v>17.130000000000003</v>
      </c>
      <c r="V365" s="23">
        <v>2456.12</v>
      </c>
      <c r="W365" s="23">
        <v>2456.12</v>
      </c>
      <c r="X365" s="20">
        <v>47</v>
      </c>
      <c r="Y365" s="24" t="s">
        <v>3713</v>
      </c>
      <c r="Z365" s="16">
        <v>2400.12</v>
      </c>
      <c r="AA365" s="17">
        <v>4285.8999999999996</v>
      </c>
      <c r="AB365" s="25" t="s">
        <v>3714</v>
      </c>
    </row>
    <row r="366" spans="1:28" x14ac:dyDescent="0.45">
      <c r="A366" s="4" t="s">
        <v>771</v>
      </c>
      <c r="B366" s="4" t="s">
        <v>772</v>
      </c>
      <c r="C366" s="4" t="s">
        <v>4</v>
      </c>
      <c r="D366" s="4" t="s">
        <v>586</v>
      </c>
      <c r="E366" s="4" t="s">
        <v>256</v>
      </c>
      <c r="F366" s="5">
        <v>40</v>
      </c>
      <c r="G366" s="5">
        <v>48</v>
      </c>
      <c r="H366" s="4" t="s">
        <v>328</v>
      </c>
      <c r="I366" s="10">
        <v>42</v>
      </c>
      <c r="J366" s="34">
        <f t="shared" si="20"/>
        <v>0.36539999999999995</v>
      </c>
      <c r="K366" s="34">
        <f t="shared" si="21"/>
        <v>0.55000000000000004</v>
      </c>
      <c r="L366" s="34">
        <f t="shared" si="22"/>
        <v>2.2000000000000002</v>
      </c>
      <c r="M366" s="11" t="s">
        <v>3733</v>
      </c>
      <c r="N366" s="11" t="s">
        <v>3716</v>
      </c>
      <c r="O366" s="11" t="s">
        <v>3711</v>
      </c>
      <c r="P366" s="11" t="s">
        <v>3717</v>
      </c>
      <c r="Q366" s="12">
        <v>40</v>
      </c>
      <c r="R366" s="12">
        <v>48</v>
      </c>
      <c r="S366" s="12">
        <v>5</v>
      </c>
      <c r="T366" s="13">
        <v>6.87</v>
      </c>
      <c r="U366" s="13">
        <f t="shared" si="23"/>
        <v>4.67</v>
      </c>
      <c r="V366" s="14">
        <v>841.58</v>
      </c>
      <c r="W366" s="14">
        <v>841.58</v>
      </c>
      <c r="X366" s="11">
        <v>254</v>
      </c>
      <c r="Y366" s="15" t="s">
        <v>3713</v>
      </c>
      <c r="Z366" s="16">
        <v>799.58</v>
      </c>
      <c r="AA366" s="17">
        <v>1903.8</v>
      </c>
      <c r="AB366" s="18" t="s">
        <v>3714</v>
      </c>
    </row>
    <row r="367" spans="1:28" x14ac:dyDescent="0.45">
      <c r="A367" s="2" t="s">
        <v>773</v>
      </c>
      <c r="B367" s="2" t="s">
        <v>774</v>
      </c>
      <c r="C367" s="2" t="s">
        <v>4</v>
      </c>
      <c r="D367" s="2" t="s">
        <v>586</v>
      </c>
      <c r="E367" s="2" t="s">
        <v>256</v>
      </c>
      <c r="F367" s="3">
        <v>42</v>
      </c>
      <c r="G367" s="3">
        <v>50</v>
      </c>
      <c r="H367" s="2" t="s">
        <v>328</v>
      </c>
      <c r="I367" s="19">
        <v>59</v>
      </c>
      <c r="J367" s="34">
        <f t="shared" si="20"/>
        <v>0.51329999999999998</v>
      </c>
      <c r="K367" s="34">
        <f t="shared" si="21"/>
        <v>0.77</v>
      </c>
      <c r="L367" s="34">
        <f t="shared" si="22"/>
        <v>3.08</v>
      </c>
      <c r="M367" s="20" t="s">
        <v>3734</v>
      </c>
      <c r="N367" s="20" t="s">
        <v>3735</v>
      </c>
      <c r="O367" s="20" t="s">
        <v>3711</v>
      </c>
      <c r="P367" s="20" t="s">
        <v>3736</v>
      </c>
      <c r="Q367" s="21">
        <v>41.148000000000003</v>
      </c>
      <c r="R367" s="21">
        <v>50.8</v>
      </c>
      <c r="S367" s="21">
        <v>4.5720000000000001</v>
      </c>
      <c r="T367" s="22">
        <v>3.44</v>
      </c>
      <c r="U367" s="13">
        <f t="shared" si="23"/>
        <v>0.35999999999999988</v>
      </c>
      <c r="V367" s="23">
        <v>421.4</v>
      </c>
      <c r="W367" s="23">
        <v>421.4</v>
      </c>
      <c r="X367" s="20">
        <v>99</v>
      </c>
      <c r="Y367" s="24" t="s">
        <v>3737</v>
      </c>
      <c r="Z367" s="16">
        <v>362.4</v>
      </c>
      <c r="AA367" s="17">
        <v>614.20000000000005</v>
      </c>
      <c r="AB367" s="25" t="s">
        <v>3738</v>
      </c>
    </row>
    <row r="368" spans="1:28" x14ac:dyDescent="0.45">
      <c r="A368" s="4" t="s">
        <v>775</v>
      </c>
      <c r="B368" s="4" t="s">
        <v>776</v>
      </c>
      <c r="C368" s="4" t="s">
        <v>4</v>
      </c>
      <c r="D368" s="4" t="s">
        <v>586</v>
      </c>
      <c r="E368" s="4" t="s">
        <v>256</v>
      </c>
      <c r="F368" s="5">
        <v>45</v>
      </c>
      <c r="G368" s="5">
        <v>53</v>
      </c>
      <c r="H368" s="4" t="s">
        <v>328</v>
      </c>
      <c r="I368" s="10">
        <v>44</v>
      </c>
      <c r="J368" s="34">
        <f t="shared" si="20"/>
        <v>0.38279999999999997</v>
      </c>
      <c r="K368" s="34">
        <f t="shared" si="21"/>
        <v>0.56999999999999995</v>
      </c>
      <c r="L368" s="34">
        <f t="shared" si="22"/>
        <v>2.2799999999999998</v>
      </c>
      <c r="M368" s="11" t="s">
        <v>3739</v>
      </c>
      <c r="N368" s="11" t="s">
        <v>3716</v>
      </c>
      <c r="O368" s="11" t="s">
        <v>3711</v>
      </c>
      <c r="P368" s="11" t="s">
        <v>3717</v>
      </c>
      <c r="Q368" s="12">
        <v>45</v>
      </c>
      <c r="R368" s="12">
        <v>53</v>
      </c>
      <c r="S368" s="12">
        <v>5</v>
      </c>
      <c r="T368" s="13">
        <v>7.1</v>
      </c>
      <c r="U368" s="13">
        <f t="shared" si="23"/>
        <v>4.82</v>
      </c>
      <c r="V368" s="14">
        <v>869.75</v>
      </c>
      <c r="W368" s="14">
        <v>869.75</v>
      </c>
      <c r="X368" s="11">
        <v>124</v>
      </c>
      <c r="Y368" s="15" t="s">
        <v>3713</v>
      </c>
      <c r="Z368" s="16">
        <v>825.75</v>
      </c>
      <c r="AA368" s="17">
        <v>1876.7</v>
      </c>
      <c r="AB368" s="18" t="s">
        <v>3714</v>
      </c>
    </row>
    <row r="369" spans="1:28" x14ac:dyDescent="0.45">
      <c r="A369" s="2" t="s">
        <v>777</v>
      </c>
      <c r="B369" s="2" t="s">
        <v>778</v>
      </c>
      <c r="C369" s="2" t="s">
        <v>4</v>
      </c>
      <c r="D369" s="2" t="s">
        <v>586</v>
      </c>
      <c r="E369" s="2" t="s">
        <v>256</v>
      </c>
      <c r="F369" s="3">
        <v>50</v>
      </c>
      <c r="G369" s="3">
        <v>58</v>
      </c>
      <c r="H369" s="2" t="s">
        <v>328</v>
      </c>
      <c r="I369" s="19">
        <v>45</v>
      </c>
      <c r="J369" s="34">
        <f t="shared" si="20"/>
        <v>0.39149999999999996</v>
      </c>
      <c r="K369" s="34">
        <f t="shared" si="21"/>
        <v>0.59</v>
      </c>
      <c r="L369" s="34">
        <f t="shared" si="22"/>
        <v>2.36</v>
      </c>
      <c r="M369" s="20" t="s">
        <v>3741</v>
      </c>
      <c r="N369" s="20" t="s">
        <v>3719</v>
      </c>
      <c r="O369" s="20" t="s">
        <v>3711</v>
      </c>
      <c r="P369" s="20" t="s">
        <v>3720</v>
      </c>
      <c r="Q369" s="21">
        <v>50</v>
      </c>
      <c r="R369" s="21">
        <v>58</v>
      </c>
      <c r="S369" s="21">
        <v>5</v>
      </c>
      <c r="T369" s="22">
        <v>10.98</v>
      </c>
      <c r="U369" s="13">
        <f t="shared" si="23"/>
        <v>8.620000000000001</v>
      </c>
      <c r="V369" s="23">
        <v>1345.05</v>
      </c>
      <c r="W369" s="23">
        <v>1345.05</v>
      </c>
      <c r="X369" s="20">
        <v>81</v>
      </c>
      <c r="Y369" s="24" t="s">
        <v>3713</v>
      </c>
      <c r="Z369" s="16">
        <v>1300.05</v>
      </c>
      <c r="AA369" s="17">
        <v>2889</v>
      </c>
      <c r="AB369" s="25" t="s">
        <v>3714</v>
      </c>
    </row>
    <row r="370" spans="1:28" x14ac:dyDescent="0.45">
      <c r="A370" s="4" t="s">
        <v>779</v>
      </c>
      <c r="B370" s="4" t="s">
        <v>780</v>
      </c>
      <c r="C370" s="4" t="s">
        <v>4</v>
      </c>
      <c r="D370" s="4" t="s">
        <v>586</v>
      </c>
      <c r="E370" s="4" t="s">
        <v>256</v>
      </c>
      <c r="F370" s="5">
        <v>55</v>
      </c>
      <c r="G370" s="5">
        <v>63</v>
      </c>
      <c r="H370" s="4" t="s">
        <v>328</v>
      </c>
      <c r="I370" s="10">
        <v>50</v>
      </c>
      <c r="J370" s="34">
        <f t="shared" si="20"/>
        <v>0.43499999999999994</v>
      </c>
      <c r="K370" s="34">
        <f t="shared" si="21"/>
        <v>0.65</v>
      </c>
      <c r="L370" s="34">
        <f t="shared" si="22"/>
        <v>2.6</v>
      </c>
      <c r="M370" s="11" t="s">
        <v>3860</v>
      </c>
      <c r="N370" s="11" t="s">
        <v>3750</v>
      </c>
      <c r="O370" s="11" t="s">
        <v>3711</v>
      </c>
      <c r="P370" s="11" t="s">
        <v>3751</v>
      </c>
      <c r="Q370" s="12">
        <v>56</v>
      </c>
      <c r="R370" s="12">
        <v>64</v>
      </c>
      <c r="S370" s="12">
        <v>4</v>
      </c>
      <c r="T370" s="13">
        <v>12.2</v>
      </c>
      <c r="U370" s="13">
        <f t="shared" si="23"/>
        <v>9.6</v>
      </c>
      <c r="V370" s="14">
        <v>1494.5</v>
      </c>
      <c r="W370" s="14">
        <v>1494.5</v>
      </c>
      <c r="X370" s="11" t="s">
        <v>3722</v>
      </c>
      <c r="Y370" s="15" t="s">
        <v>3713</v>
      </c>
      <c r="Z370" s="16">
        <v>1444.5</v>
      </c>
      <c r="AA370" s="17">
        <v>2889</v>
      </c>
      <c r="AB370" s="18" t="s">
        <v>3783</v>
      </c>
    </row>
    <row r="371" spans="1:28" x14ac:dyDescent="0.45">
      <c r="A371" s="2" t="s">
        <v>781</v>
      </c>
      <c r="B371" s="2" t="s">
        <v>782</v>
      </c>
      <c r="C371" s="2" t="s">
        <v>4</v>
      </c>
      <c r="D371" s="2" t="s">
        <v>586</v>
      </c>
      <c r="E371" s="2" t="s">
        <v>256</v>
      </c>
      <c r="F371" s="3">
        <v>56</v>
      </c>
      <c r="G371" s="3">
        <v>64</v>
      </c>
      <c r="H371" s="2" t="s">
        <v>328</v>
      </c>
      <c r="I371" s="19">
        <v>50</v>
      </c>
      <c r="J371" s="34">
        <f t="shared" si="20"/>
        <v>0.43499999999999994</v>
      </c>
      <c r="K371" s="34">
        <f t="shared" si="21"/>
        <v>0.65</v>
      </c>
      <c r="L371" s="34">
        <f t="shared" si="22"/>
        <v>2.6</v>
      </c>
      <c r="M371" s="20" t="s">
        <v>3860</v>
      </c>
      <c r="N371" s="20" t="s">
        <v>3750</v>
      </c>
      <c r="O371" s="20" t="s">
        <v>3711</v>
      </c>
      <c r="P371" s="20" t="s">
        <v>3751</v>
      </c>
      <c r="Q371" s="21">
        <v>56</v>
      </c>
      <c r="R371" s="21">
        <v>64</v>
      </c>
      <c r="S371" s="21">
        <v>4</v>
      </c>
      <c r="T371" s="22">
        <v>12.2</v>
      </c>
      <c r="U371" s="13">
        <f t="shared" si="23"/>
        <v>9.6</v>
      </c>
      <c r="V371" s="23">
        <v>1494.5</v>
      </c>
      <c r="W371" s="23">
        <v>1494.5</v>
      </c>
      <c r="X371" s="20" t="s">
        <v>3722</v>
      </c>
      <c r="Y371" s="24" t="s">
        <v>3713</v>
      </c>
      <c r="Z371" s="16">
        <v>1444.5</v>
      </c>
      <c r="AA371" s="17">
        <v>2889</v>
      </c>
      <c r="AB371" s="25" t="s">
        <v>3714</v>
      </c>
    </row>
    <row r="372" spans="1:28" x14ac:dyDescent="0.45">
      <c r="A372" s="4" t="s">
        <v>783</v>
      </c>
      <c r="B372" s="4" t="s">
        <v>784</v>
      </c>
      <c r="C372" s="4" t="s">
        <v>4</v>
      </c>
      <c r="D372" s="4" t="s">
        <v>586</v>
      </c>
      <c r="E372" s="4" t="s">
        <v>256</v>
      </c>
      <c r="F372" s="5">
        <v>60</v>
      </c>
      <c r="G372" s="5">
        <v>68</v>
      </c>
      <c r="H372" s="4" t="s">
        <v>328</v>
      </c>
      <c r="I372" s="10">
        <v>50</v>
      </c>
      <c r="J372" s="34">
        <f t="shared" si="20"/>
        <v>0.43499999999999994</v>
      </c>
      <c r="K372" s="34">
        <f t="shared" si="21"/>
        <v>0.65</v>
      </c>
      <c r="L372" s="34">
        <f t="shared" si="22"/>
        <v>2.6</v>
      </c>
      <c r="M372" s="11" t="s">
        <v>3815</v>
      </c>
      <c r="N372" s="11" t="s">
        <v>3791</v>
      </c>
      <c r="O372" s="11" t="s">
        <v>3711</v>
      </c>
      <c r="P372" s="11" t="s">
        <v>3792</v>
      </c>
      <c r="Q372" s="12">
        <v>60</v>
      </c>
      <c r="R372" s="12">
        <v>68</v>
      </c>
      <c r="S372" s="12">
        <v>5</v>
      </c>
      <c r="T372" s="13">
        <v>8.59</v>
      </c>
      <c r="U372" s="13">
        <f t="shared" si="23"/>
        <v>5.99</v>
      </c>
      <c r="V372" s="14">
        <v>1052.28</v>
      </c>
      <c r="W372" s="14">
        <v>1052.28</v>
      </c>
      <c r="X372" s="11">
        <v>10</v>
      </c>
      <c r="Y372" s="15" t="s">
        <v>3713</v>
      </c>
      <c r="Z372" s="16">
        <v>1002.28</v>
      </c>
      <c r="AA372" s="17">
        <v>2004.6</v>
      </c>
      <c r="AB372" s="18" t="s">
        <v>3714</v>
      </c>
    </row>
    <row r="373" spans="1:28" x14ac:dyDescent="0.45">
      <c r="A373" s="2" t="s">
        <v>785</v>
      </c>
      <c r="B373" s="2" t="s">
        <v>786</v>
      </c>
      <c r="C373" s="2" t="s">
        <v>4</v>
      </c>
      <c r="D373" s="2" t="s">
        <v>586</v>
      </c>
      <c r="E373" s="2" t="s">
        <v>256</v>
      </c>
      <c r="F373" s="3">
        <v>63</v>
      </c>
      <c r="G373" s="3">
        <v>71</v>
      </c>
      <c r="H373" s="2" t="s">
        <v>328</v>
      </c>
      <c r="I373" s="19">
        <v>50</v>
      </c>
      <c r="J373" s="34">
        <f t="shared" si="20"/>
        <v>0.43499999999999994</v>
      </c>
      <c r="K373" s="34">
        <f t="shared" si="21"/>
        <v>0.65</v>
      </c>
      <c r="L373" s="34">
        <f t="shared" si="22"/>
        <v>2.6</v>
      </c>
      <c r="M373" s="20" t="s">
        <v>3861</v>
      </c>
      <c r="N373" s="20" t="s">
        <v>3750</v>
      </c>
      <c r="O373" s="20" t="s">
        <v>3711</v>
      </c>
      <c r="P373" s="20" t="s">
        <v>3751</v>
      </c>
      <c r="Q373" s="21">
        <v>63</v>
      </c>
      <c r="R373" s="21">
        <v>71</v>
      </c>
      <c r="S373" s="21">
        <v>4</v>
      </c>
      <c r="T373" s="22">
        <v>15.53</v>
      </c>
      <c r="U373" s="13">
        <f t="shared" si="23"/>
        <v>12.93</v>
      </c>
      <c r="V373" s="23">
        <v>1902.42</v>
      </c>
      <c r="W373" s="23">
        <v>1902.42</v>
      </c>
      <c r="X373" s="20">
        <v>151</v>
      </c>
      <c r="Y373" s="24" t="s">
        <v>3713</v>
      </c>
      <c r="Z373" s="16">
        <v>1852.42</v>
      </c>
      <c r="AA373" s="17">
        <v>3704.8</v>
      </c>
      <c r="AB373" s="25" t="s">
        <v>3714</v>
      </c>
    </row>
    <row r="374" spans="1:28" x14ac:dyDescent="0.45">
      <c r="A374" s="4" t="s">
        <v>787</v>
      </c>
      <c r="B374" s="4" t="s">
        <v>788</v>
      </c>
      <c r="C374" s="4" t="s">
        <v>4</v>
      </c>
      <c r="D374" s="4" t="s">
        <v>586</v>
      </c>
      <c r="E374" s="4" t="s">
        <v>256</v>
      </c>
      <c r="F374" s="5">
        <v>68</v>
      </c>
      <c r="G374" s="5">
        <v>76</v>
      </c>
      <c r="H374" s="4" t="s">
        <v>328</v>
      </c>
      <c r="I374" s="10">
        <v>93</v>
      </c>
      <c r="J374" s="34">
        <f t="shared" si="20"/>
        <v>0.80909999999999993</v>
      </c>
      <c r="K374" s="34">
        <f t="shared" si="21"/>
        <v>1.21</v>
      </c>
      <c r="L374" s="34">
        <f t="shared" si="22"/>
        <v>4.84</v>
      </c>
      <c r="M374" s="11" t="s">
        <v>3816</v>
      </c>
      <c r="N374" s="11" t="s">
        <v>3731</v>
      </c>
      <c r="O374" s="11" t="s">
        <v>3711</v>
      </c>
      <c r="P374" s="11" t="s">
        <v>3732</v>
      </c>
      <c r="Q374" s="12">
        <v>69.849999999999994</v>
      </c>
      <c r="R374" s="12">
        <v>77.724000000000004</v>
      </c>
      <c r="S374" s="12">
        <v>4.5720000000000001</v>
      </c>
      <c r="T374" s="13">
        <v>15.44</v>
      </c>
      <c r="U374" s="13">
        <f t="shared" si="23"/>
        <v>10.6</v>
      </c>
      <c r="V374" s="14">
        <v>1891.4</v>
      </c>
      <c r="W374" s="14">
        <v>1891.4</v>
      </c>
      <c r="X374" s="11">
        <v>37</v>
      </c>
      <c r="Y374" s="15" t="s">
        <v>3737</v>
      </c>
      <c r="Z374" s="16">
        <v>1798.4</v>
      </c>
      <c r="AA374" s="17">
        <v>1933.8</v>
      </c>
      <c r="AB374" s="18" t="s">
        <v>3817</v>
      </c>
    </row>
    <row r="375" spans="1:28" x14ac:dyDescent="0.45">
      <c r="A375" s="2" t="s">
        <v>789</v>
      </c>
      <c r="B375" s="2" t="s">
        <v>790</v>
      </c>
      <c r="C375" s="2" t="s">
        <v>4</v>
      </c>
      <c r="D375" s="2" t="s">
        <v>586</v>
      </c>
      <c r="E375" s="2" t="s">
        <v>256</v>
      </c>
      <c r="F375" s="3">
        <v>70</v>
      </c>
      <c r="G375" s="3">
        <v>78</v>
      </c>
      <c r="H375" s="2" t="s">
        <v>328</v>
      </c>
      <c r="I375" s="19">
        <v>59</v>
      </c>
      <c r="J375" s="34">
        <f t="shared" si="20"/>
        <v>0.51329999999999998</v>
      </c>
      <c r="K375" s="34">
        <f t="shared" si="21"/>
        <v>0.77</v>
      </c>
      <c r="L375" s="34">
        <f t="shared" si="22"/>
        <v>3.08</v>
      </c>
      <c r="M375" s="20" t="s">
        <v>3749</v>
      </c>
      <c r="N375" s="20" t="s">
        <v>3750</v>
      </c>
      <c r="O375" s="20" t="s">
        <v>3711</v>
      </c>
      <c r="P375" s="20" t="s">
        <v>3751</v>
      </c>
      <c r="Q375" s="21">
        <v>70</v>
      </c>
      <c r="R375" s="21">
        <v>78</v>
      </c>
      <c r="S375" s="21">
        <v>4</v>
      </c>
      <c r="T375" s="22">
        <v>17.29</v>
      </c>
      <c r="U375" s="13">
        <f t="shared" si="23"/>
        <v>14.209999999999999</v>
      </c>
      <c r="V375" s="23">
        <v>2118.02</v>
      </c>
      <c r="W375" s="23">
        <v>2118.02</v>
      </c>
      <c r="X375" s="20">
        <v>7</v>
      </c>
      <c r="Y375" s="24" t="s">
        <v>3713</v>
      </c>
      <c r="Z375" s="16">
        <v>2059.02</v>
      </c>
      <c r="AA375" s="17">
        <v>3489.9</v>
      </c>
      <c r="AB375" s="25" t="s">
        <v>3714</v>
      </c>
    </row>
    <row r="376" spans="1:28" x14ac:dyDescent="0.45">
      <c r="A376" s="4" t="s">
        <v>791</v>
      </c>
      <c r="B376" s="4" t="s">
        <v>792</v>
      </c>
      <c r="C376" s="4" t="s">
        <v>4</v>
      </c>
      <c r="D376" s="4" t="s">
        <v>586</v>
      </c>
      <c r="E376" s="4" t="s">
        <v>256</v>
      </c>
      <c r="F376" s="5">
        <v>75</v>
      </c>
      <c r="G376" s="5">
        <v>83</v>
      </c>
      <c r="H376" s="4" t="s">
        <v>328</v>
      </c>
      <c r="I376" s="10">
        <v>76</v>
      </c>
      <c r="J376" s="34">
        <f t="shared" si="20"/>
        <v>0.66120000000000001</v>
      </c>
      <c r="K376" s="34">
        <f t="shared" si="21"/>
        <v>0.99</v>
      </c>
      <c r="L376" s="34">
        <f t="shared" si="22"/>
        <v>3.96</v>
      </c>
      <c r="M376" s="11" t="s">
        <v>3788</v>
      </c>
      <c r="N376" s="11" t="s">
        <v>3716</v>
      </c>
      <c r="O376" s="11" t="s">
        <v>3711</v>
      </c>
      <c r="P376" s="11" t="s">
        <v>3717</v>
      </c>
      <c r="Q376" s="12">
        <v>75</v>
      </c>
      <c r="R376" s="12">
        <v>83</v>
      </c>
      <c r="S376" s="12">
        <v>5</v>
      </c>
      <c r="T376" s="13">
        <v>20.010000000000002</v>
      </c>
      <c r="U376" s="13">
        <f t="shared" si="23"/>
        <v>16.05</v>
      </c>
      <c r="V376" s="14">
        <v>2451.23</v>
      </c>
      <c r="W376" s="14">
        <v>2451.23</v>
      </c>
      <c r="X376" s="11">
        <v>10</v>
      </c>
      <c r="Y376" s="15" t="s">
        <v>3713</v>
      </c>
      <c r="Z376" s="16">
        <v>2375.23</v>
      </c>
      <c r="AA376" s="17">
        <v>3125.3</v>
      </c>
      <c r="AB376" s="18" t="s">
        <v>3714</v>
      </c>
    </row>
    <row r="377" spans="1:28" x14ac:dyDescent="0.45">
      <c r="A377" s="2" t="s">
        <v>793</v>
      </c>
      <c r="B377" s="2" t="s">
        <v>794</v>
      </c>
      <c r="C377" s="2" t="s">
        <v>4</v>
      </c>
      <c r="D377" s="2" t="s">
        <v>586</v>
      </c>
      <c r="E377" s="2" t="s">
        <v>256</v>
      </c>
      <c r="F377" s="3">
        <v>80</v>
      </c>
      <c r="G377" s="3">
        <v>88</v>
      </c>
      <c r="H377" s="2" t="s">
        <v>328</v>
      </c>
      <c r="I377" s="19">
        <v>76</v>
      </c>
      <c r="J377" s="34">
        <f t="shared" si="20"/>
        <v>0.66120000000000001</v>
      </c>
      <c r="K377" s="34">
        <f t="shared" si="21"/>
        <v>0.99</v>
      </c>
      <c r="L377" s="34">
        <f t="shared" si="22"/>
        <v>3.96</v>
      </c>
      <c r="M377" s="20" t="s">
        <v>3862</v>
      </c>
      <c r="N377" s="20" t="s">
        <v>3791</v>
      </c>
      <c r="O377" s="20" t="s">
        <v>3711</v>
      </c>
      <c r="P377" s="20" t="s">
        <v>3792</v>
      </c>
      <c r="Q377" s="21">
        <v>80</v>
      </c>
      <c r="R377" s="21">
        <v>88</v>
      </c>
      <c r="S377" s="21">
        <v>5</v>
      </c>
      <c r="T377" s="22">
        <v>11.5</v>
      </c>
      <c r="U377" s="13">
        <f t="shared" si="23"/>
        <v>7.54</v>
      </c>
      <c r="V377" s="23">
        <v>1408.75</v>
      </c>
      <c r="W377" s="23">
        <v>1408.75</v>
      </c>
      <c r="X377" s="20">
        <v>16</v>
      </c>
      <c r="Y377" s="24" t="s">
        <v>3713</v>
      </c>
      <c r="Z377" s="16">
        <v>1332.75</v>
      </c>
      <c r="AA377" s="17">
        <v>1753.6</v>
      </c>
      <c r="AB377" s="25" t="s">
        <v>3714</v>
      </c>
    </row>
    <row r="378" spans="1:28" x14ac:dyDescent="0.45">
      <c r="A378" s="4" t="s">
        <v>795</v>
      </c>
      <c r="B378" s="4" t="s">
        <v>796</v>
      </c>
      <c r="C378" s="4" t="s">
        <v>4</v>
      </c>
      <c r="D378" s="4" t="s">
        <v>586</v>
      </c>
      <c r="E378" s="4" t="s">
        <v>256</v>
      </c>
      <c r="F378" s="5">
        <v>85</v>
      </c>
      <c r="G378" s="5">
        <v>93</v>
      </c>
      <c r="H378" s="4" t="s">
        <v>328</v>
      </c>
      <c r="I378" s="10">
        <v>84</v>
      </c>
      <c r="J378" s="34">
        <f t="shared" si="20"/>
        <v>0.73079999999999989</v>
      </c>
      <c r="K378" s="34">
        <f t="shared" si="21"/>
        <v>1.1000000000000001</v>
      </c>
      <c r="L378" s="34">
        <f t="shared" si="22"/>
        <v>4.4000000000000004</v>
      </c>
      <c r="M378" s="11" t="s">
        <v>3863</v>
      </c>
      <c r="N378" s="11" t="s">
        <v>3716</v>
      </c>
      <c r="O378" s="11" t="s">
        <v>3711</v>
      </c>
      <c r="P378" s="11" t="s">
        <v>3717</v>
      </c>
      <c r="Q378" s="12">
        <v>85</v>
      </c>
      <c r="R378" s="12">
        <v>93</v>
      </c>
      <c r="S378" s="12">
        <v>5</v>
      </c>
      <c r="T378" s="13">
        <v>12.52</v>
      </c>
      <c r="U378" s="13">
        <f t="shared" si="23"/>
        <v>8.1199999999999992</v>
      </c>
      <c r="V378" s="14">
        <v>1533.7</v>
      </c>
      <c r="W378" s="14">
        <v>1533.7</v>
      </c>
      <c r="X378" s="11">
        <v>22</v>
      </c>
      <c r="Y378" s="15" t="s">
        <v>3713</v>
      </c>
      <c r="Z378" s="16">
        <v>1449.7</v>
      </c>
      <c r="AA378" s="17">
        <v>1725.8</v>
      </c>
      <c r="AB378" s="18" t="s">
        <v>3714</v>
      </c>
    </row>
    <row r="379" spans="1:28" x14ac:dyDescent="0.45">
      <c r="A379" s="2" t="s">
        <v>797</v>
      </c>
      <c r="B379" s="2" t="s">
        <v>798</v>
      </c>
      <c r="C379" s="2" t="s">
        <v>4</v>
      </c>
      <c r="D379" s="2" t="s">
        <v>586</v>
      </c>
      <c r="E379" s="2" t="s">
        <v>256</v>
      </c>
      <c r="F379" s="3">
        <v>95</v>
      </c>
      <c r="G379" s="3">
        <v>103</v>
      </c>
      <c r="H379" s="2" t="s">
        <v>328</v>
      </c>
      <c r="I379" s="19">
        <v>126</v>
      </c>
      <c r="J379" s="34">
        <f t="shared" si="20"/>
        <v>1.0961999999999998</v>
      </c>
      <c r="K379" s="34">
        <f t="shared" si="21"/>
        <v>1.64</v>
      </c>
      <c r="L379" s="34">
        <f t="shared" si="22"/>
        <v>6.56</v>
      </c>
      <c r="M379" s="20" t="s">
        <v>3834</v>
      </c>
      <c r="N379" s="20" t="s">
        <v>3716</v>
      </c>
      <c r="O379" s="20" t="s">
        <v>3711</v>
      </c>
      <c r="P379" s="20" t="s">
        <v>3717</v>
      </c>
      <c r="Q379" s="21">
        <v>96</v>
      </c>
      <c r="R379" s="21">
        <v>104</v>
      </c>
      <c r="S379" s="21">
        <v>7.6</v>
      </c>
      <c r="T379" s="22">
        <v>16.57</v>
      </c>
      <c r="U379" s="13">
        <f t="shared" si="23"/>
        <v>10.010000000000002</v>
      </c>
      <c r="V379" s="23">
        <v>2029.82</v>
      </c>
      <c r="W379" s="23">
        <v>2029.82</v>
      </c>
      <c r="X379" s="20" t="s">
        <v>3722</v>
      </c>
      <c r="Y379" s="24" t="s">
        <v>3713</v>
      </c>
      <c r="Z379" s="16">
        <v>1903.82</v>
      </c>
      <c r="AA379" s="17">
        <v>1511</v>
      </c>
      <c r="AB379" s="25" t="s">
        <v>3783</v>
      </c>
    </row>
    <row r="380" spans="1:28" x14ac:dyDescent="0.45">
      <c r="A380" s="4" t="s">
        <v>799</v>
      </c>
      <c r="B380" s="4" t="s">
        <v>800</v>
      </c>
      <c r="C380" s="4" t="s">
        <v>4</v>
      </c>
      <c r="D380" s="4" t="s">
        <v>586</v>
      </c>
      <c r="E380" s="4" t="s">
        <v>256</v>
      </c>
      <c r="F380" s="5">
        <v>100</v>
      </c>
      <c r="G380" s="5">
        <v>108</v>
      </c>
      <c r="H380" s="4" t="s">
        <v>328</v>
      </c>
      <c r="I380" s="10">
        <v>118</v>
      </c>
      <c r="J380" s="34">
        <f t="shared" si="20"/>
        <v>1.0266</v>
      </c>
      <c r="K380" s="34">
        <f t="shared" si="21"/>
        <v>1.54</v>
      </c>
      <c r="L380" s="34">
        <f t="shared" si="22"/>
        <v>6.16</v>
      </c>
      <c r="M380" s="11" t="s">
        <v>3864</v>
      </c>
      <c r="N380" s="11" t="s">
        <v>3731</v>
      </c>
      <c r="O380" s="11" t="s">
        <v>3711</v>
      </c>
      <c r="P380" s="11" t="s">
        <v>3732</v>
      </c>
      <c r="Q380" s="12">
        <v>98.298000000000002</v>
      </c>
      <c r="R380" s="12">
        <v>107.95</v>
      </c>
      <c r="S380" s="12">
        <v>4.5720000000000001</v>
      </c>
      <c r="T380" s="13">
        <v>19.809999999999999</v>
      </c>
      <c r="U380" s="13">
        <f t="shared" si="23"/>
        <v>13.649999999999999</v>
      </c>
      <c r="V380" s="14">
        <v>2426.7199999999998</v>
      </c>
      <c r="W380" s="14">
        <v>2426.7199999999998</v>
      </c>
      <c r="X380" s="11">
        <v>121</v>
      </c>
      <c r="Y380" s="15" t="s">
        <v>3737</v>
      </c>
      <c r="Z380" s="16">
        <v>2308.7199999999998</v>
      </c>
      <c r="AA380" s="17">
        <v>1956.5</v>
      </c>
      <c r="AB380" s="18" t="s">
        <v>3865</v>
      </c>
    </row>
    <row r="381" spans="1:28" x14ac:dyDescent="0.45">
      <c r="A381" s="2" t="s">
        <v>801</v>
      </c>
      <c r="B381" s="2" t="s">
        <v>802</v>
      </c>
      <c r="C381" s="2" t="s">
        <v>4</v>
      </c>
      <c r="D381" s="2" t="s">
        <v>586</v>
      </c>
      <c r="E381" s="2" t="s">
        <v>256</v>
      </c>
      <c r="F381" s="3">
        <v>120</v>
      </c>
      <c r="G381" s="3">
        <v>132</v>
      </c>
      <c r="H381" s="2" t="s">
        <v>380</v>
      </c>
      <c r="I381" s="19">
        <v>192</v>
      </c>
      <c r="J381" s="34">
        <f t="shared" si="20"/>
        <v>1.6703999999999999</v>
      </c>
      <c r="K381" s="34">
        <f t="shared" si="21"/>
        <v>2.5099999999999998</v>
      </c>
      <c r="L381" s="34">
        <f t="shared" si="22"/>
        <v>10.039999999999999</v>
      </c>
      <c r="M381" s="20" t="s">
        <v>3760</v>
      </c>
      <c r="N381" s="20" t="s">
        <v>3716</v>
      </c>
      <c r="O381" s="20" t="s">
        <v>3711</v>
      </c>
      <c r="P381" s="20" t="s">
        <v>3717</v>
      </c>
      <c r="Q381" s="21">
        <v>120</v>
      </c>
      <c r="R381" s="21">
        <v>132</v>
      </c>
      <c r="S381" s="21">
        <v>7</v>
      </c>
      <c r="T381" s="22">
        <v>34.64</v>
      </c>
      <c r="U381" s="13">
        <f t="shared" si="23"/>
        <v>24.6</v>
      </c>
      <c r="V381" s="23">
        <v>4243.3999999999996</v>
      </c>
      <c r="W381" s="23">
        <v>4243.3999999999996</v>
      </c>
      <c r="X381" s="20">
        <v>47</v>
      </c>
      <c r="Y381" s="24" t="s">
        <v>3713</v>
      </c>
      <c r="Z381" s="16">
        <v>4051.4</v>
      </c>
      <c r="AA381" s="17">
        <v>2110.1</v>
      </c>
      <c r="AB381" s="25" t="s">
        <v>3714</v>
      </c>
    </row>
    <row r="382" spans="1:28" x14ac:dyDescent="0.45">
      <c r="A382" s="4" t="s">
        <v>803</v>
      </c>
      <c r="B382" s="4" t="s">
        <v>804</v>
      </c>
      <c r="C382" s="4" t="s">
        <v>4</v>
      </c>
      <c r="D382" s="4" t="s">
        <v>586</v>
      </c>
      <c r="E382" s="4" t="s">
        <v>256</v>
      </c>
      <c r="F382" s="5">
        <v>125</v>
      </c>
      <c r="G382" s="5">
        <v>137</v>
      </c>
      <c r="H382" s="4" t="s">
        <v>380</v>
      </c>
      <c r="I382" s="10">
        <v>200</v>
      </c>
      <c r="J382" s="34">
        <f t="shared" si="20"/>
        <v>1.7399999999999998</v>
      </c>
      <c r="K382" s="34">
        <f t="shared" si="21"/>
        <v>2.61</v>
      </c>
      <c r="L382" s="34">
        <f t="shared" si="22"/>
        <v>10.44</v>
      </c>
      <c r="M382" s="11" t="s">
        <v>3761</v>
      </c>
      <c r="N382" s="11" t="s">
        <v>3716</v>
      </c>
      <c r="O382" s="11" t="s">
        <v>3711</v>
      </c>
      <c r="P382" s="11" t="s">
        <v>3717</v>
      </c>
      <c r="Q382" s="12">
        <v>125</v>
      </c>
      <c r="R382" s="12">
        <v>137</v>
      </c>
      <c r="S382" s="12">
        <v>7.7</v>
      </c>
      <c r="T382" s="13">
        <v>35.78</v>
      </c>
      <c r="U382" s="13">
        <f t="shared" si="23"/>
        <v>25.340000000000003</v>
      </c>
      <c r="V382" s="14">
        <v>4383.05</v>
      </c>
      <c r="W382" s="14">
        <v>4383.05</v>
      </c>
      <c r="X382" s="11">
        <v>72</v>
      </c>
      <c r="Y382" s="15" t="s">
        <v>3713</v>
      </c>
      <c r="Z382" s="16">
        <v>4183.05</v>
      </c>
      <c r="AA382" s="17">
        <v>2091.5</v>
      </c>
      <c r="AB382" s="18" t="s">
        <v>3714</v>
      </c>
    </row>
    <row r="383" spans="1:28" x14ac:dyDescent="0.45">
      <c r="A383" s="2" t="s">
        <v>805</v>
      </c>
      <c r="B383" s="2" t="s">
        <v>806</v>
      </c>
      <c r="C383" s="2" t="s">
        <v>4</v>
      </c>
      <c r="D383" s="2" t="s">
        <v>586</v>
      </c>
      <c r="E383" s="2" t="s">
        <v>256</v>
      </c>
      <c r="F383" s="3">
        <v>130</v>
      </c>
      <c r="G383" s="3">
        <v>142</v>
      </c>
      <c r="H383" s="2" t="s">
        <v>380</v>
      </c>
      <c r="I383" s="19">
        <v>209</v>
      </c>
      <c r="J383" s="34">
        <f t="shared" si="20"/>
        <v>1.8182999999999998</v>
      </c>
      <c r="K383" s="34">
        <f t="shared" si="21"/>
        <v>2.73</v>
      </c>
      <c r="L383" s="34">
        <f t="shared" si="22"/>
        <v>10.92</v>
      </c>
      <c r="M383" s="20" t="s">
        <v>3763</v>
      </c>
      <c r="N383" s="20" t="s">
        <v>3716</v>
      </c>
      <c r="O383" s="20" t="s">
        <v>3711</v>
      </c>
      <c r="P383" s="20" t="s">
        <v>3717</v>
      </c>
      <c r="Q383" s="21">
        <v>130</v>
      </c>
      <c r="R383" s="21">
        <v>142</v>
      </c>
      <c r="S383" s="21">
        <v>7.2</v>
      </c>
      <c r="T383" s="22">
        <v>17.97</v>
      </c>
      <c r="U383" s="13">
        <f t="shared" si="23"/>
        <v>7.0499999999999989</v>
      </c>
      <c r="V383" s="23">
        <v>2201.3200000000002</v>
      </c>
      <c r="W383" s="23">
        <v>2201.3200000000002</v>
      </c>
      <c r="X383" s="20">
        <v>26</v>
      </c>
      <c r="Y383" s="24" t="s">
        <v>3713</v>
      </c>
      <c r="Z383" s="16">
        <v>1992.32</v>
      </c>
      <c r="AA383" s="17">
        <v>953.3</v>
      </c>
      <c r="AB383" s="25" t="s">
        <v>3714</v>
      </c>
    </row>
    <row r="384" spans="1:28" x14ac:dyDescent="0.45">
      <c r="A384" s="4" t="s">
        <v>807</v>
      </c>
      <c r="B384" s="4" t="s">
        <v>808</v>
      </c>
      <c r="C384" s="4" t="s">
        <v>4</v>
      </c>
      <c r="D384" s="4" t="s">
        <v>586</v>
      </c>
      <c r="E384" s="4" t="s">
        <v>256</v>
      </c>
      <c r="F384" s="5">
        <v>135</v>
      </c>
      <c r="G384" s="5">
        <v>147</v>
      </c>
      <c r="H384" s="4" t="s">
        <v>380</v>
      </c>
      <c r="I384" s="10">
        <v>251</v>
      </c>
      <c r="J384" s="34">
        <f t="shared" si="20"/>
        <v>2.1837</v>
      </c>
      <c r="K384" s="34">
        <f t="shared" si="21"/>
        <v>3.28</v>
      </c>
      <c r="L384" s="34">
        <f t="shared" si="22"/>
        <v>13.12</v>
      </c>
      <c r="M384" s="11" t="s">
        <v>3790</v>
      </c>
      <c r="N384" s="11" t="s">
        <v>3791</v>
      </c>
      <c r="O384" s="11" t="s">
        <v>3711</v>
      </c>
      <c r="P384" s="11" t="s">
        <v>3792</v>
      </c>
      <c r="Q384" s="12">
        <v>135</v>
      </c>
      <c r="R384" s="12">
        <v>147.19999999999999</v>
      </c>
      <c r="S384" s="12">
        <v>7</v>
      </c>
      <c r="T384" s="13">
        <v>13.78</v>
      </c>
      <c r="U384" s="13">
        <f t="shared" si="23"/>
        <v>0.66000000000000014</v>
      </c>
      <c r="V384" s="14">
        <v>1688.05</v>
      </c>
      <c r="W384" s="14">
        <v>1688.05</v>
      </c>
      <c r="X384" s="11">
        <v>13</v>
      </c>
      <c r="Y384" s="15" t="s">
        <v>3713</v>
      </c>
      <c r="Z384" s="16">
        <v>1437.05</v>
      </c>
      <c r="AA384" s="17">
        <v>572.5</v>
      </c>
      <c r="AB384" s="18" t="s">
        <v>3793</v>
      </c>
    </row>
    <row r="385" spans="1:28" x14ac:dyDescent="0.45">
      <c r="A385" s="2" t="s">
        <v>809</v>
      </c>
      <c r="B385" s="2" t="s">
        <v>810</v>
      </c>
      <c r="C385" s="2" t="s">
        <v>4</v>
      </c>
      <c r="D385" s="2" t="s">
        <v>586</v>
      </c>
      <c r="E385" s="2" t="s">
        <v>256</v>
      </c>
      <c r="F385" s="3">
        <v>140</v>
      </c>
      <c r="G385" s="3">
        <v>152</v>
      </c>
      <c r="H385" s="2" t="s">
        <v>380</v>
      </c>
      <c r="I385" s="19">
        <v>251</v>
      </c>
      <c r="J385" s="34">
        <f t="shared" si="20"/>
        <v>2.1837</v>
      </c>
      <c r="K385" s="34">
        <f t="shared" si="21"/>
        <v>3.28</v>
      </c>
      <c r="L385" s="34">
        <f t="shared" si="22"/>
        <v>13.12</v>
      </c>
      <c r="M385" s="20" t="s">
        <v>3764</v>
      </c>
      <c r="N385" s="20" t="s">
        <v>3716</v>
      </c>
      <c r="O385" s="20" t="s">
        <v>3711</v>
      </c>
      <c r="P385" s="20" t="s">
        <v>3717</v>
      </c>
      <c r="Q385" s="21">
        <v>140</v>
      </c>
      <c r="R385" s="21">
        <v>152</v>
      </c>
      <c r="S385" s="21">
        <v>7.7</v>
      </c>
      <c r="T385" s="22">
        <v>41.68</v>
      </c>
      <c r="U385" s="13">
        <f t="shared" si="23"/>
        <v>28.560000000000002</v>
      </c>
      <c r="V385" s="23">
        <v>5105.8</v>
      </c>
      <c r="W385" s="23">
        <v>5105.8</v>
      </c>
      <c r="X385" s="20">
        <v>5</v>
      </c>
      <c r="Y385" s="24" t="s">
        <v>3713</v>
      </c>
      <c r="Z385" s="16">
        <v>4854.8</v>
      </c>
      <c r="AA385" s="17">
        <v>1934.2</v>
      </c>
      <c r="AB385" s="25" t="s">
        <v>3714</v>
      </c>
    </row>
    <row r="386" spans="1:28" x14ac:dyDescent="0.45">
      <c r="A386" s="4" t="s">
        <v>811</v>
      </c>
      <c r="B386" s="4" t="s">
        <v>812</v>
      </c>
      <c r="C386" s="4" t="s">
        <v>4</v>
      </c>
      <c r="D386" s="4" t="s">
        <v>586</v>
      </c>
      <c r="E386" s="4" t="s">
        <v>256</v>
      </c>
      <c r="F386" s="5">
        <v>150</v>
      </c>
      <c r="G386" s="5">
        <v>162</v>
      </c>
      <c r="H386" s="4" t="s">
        <v>380</v>
      </c>
      <c r="I386" s="10">
        <v>293</v>
      </c>
      <c r="J386" s="34">
        <f t="shared" si="20"/>
        <v>2.5490999999999997</v>
      </c>
      <c r="K386" s="34">
        <f t="shared" si="21"/>
        <v>3.82</v>
      </c>
      <c r="L386" s="34">
        <f t="shared" si="22"/>
        <v>15.28</v>
      </c>
      <c r="M386" s="11" t="s">
        <v>3766</v>
      </c>
      <c r="N386" s="11" t="s">
        <v>3716</v>
      </c>
      <c r="O386" s="11" t="s">
        <v>3711</v>
      </c>
      <c r="P386" s="11" t="s">
        <v>3717</v>
      </c>
      <c r="Q386" s="12">
        <v>150</v>
      </c>
      <c r="R386" s="12">
        <v>162</v>
      </c>
      <c r="S386" s="12">
        <v>7</v>
      </c>
      <c r="T386" s="13">
        <v>23.02</v>
      </c>
      <c r="U386" s="13">
        <f t="shared" si="23"/>
        <v>7.74</v>
      </c>
      <c r="V386" s="14">
        <v>2819.95</v>
      </c>
      <c r="W386" s="14">
        <v>2819.95</v>
      </c>
      <c r="X386" s="11">
        <v>25</v>
      </c>
      <c r="Y386" s="15" t="s">
        <v>3713</v>
      </c>
      <c r="Z386" s="16">
        <v>2526.9499999999998</v>
      </c>
      <c r="AA386" s="17">
        <v>862.4</v>
      </c>
      <c r="AB386" s="18" t="s">
        <v>3714</v>
      </c>
    </row>
    <row r="387" spans="1:28" x14ac:dyDescent="0.45">
      <c r="A387" s="2" t="s">
        <v>813</v>
      </c>
      <c r="B387" s="2" t="s">
        <v>814</v>
      </c>
      <c r="C387" s="2" t="s">
        <v>4</v>
      </c>
      <c r="D387" s="2" t="s">
        <v>586</v>
      </c>
      <c r="E387" s="2" t="s">
        <v>256</v>
      </c>
      <c r="F387" s="3">
        <v>170</v>
      </c>
      <c r="G387" s="3">
        <v>182</v>
      </c>
      <c r="H387" s="2" t="s">
        <v>380</v>
      </c>
      <c r="I387" s="19">
        <v>417</v>
      </c>
      <c r="J387" s="34">
        <f t="shared" si="20"/>
        <v>3.6278999999999999</v>
      </c>
      <c r="K387" s="34">
        <f t="shared" si="21"/>
        <v>5.44</v>
      </c>
      <c r="L387" s="34">
        <f t="shared" si="22"/>
        <v>21.76</v>
      </c>
      <c r="M387" s="20" t="s">
        <v>3794</v>
      </c>
      <c r="N387" s="20" t="s">
        <v>3716</v>
      </c>
      <c r="O387" s="20" t="s">
        <v>3711</v>
      </c>
      <c r="P387" s="20" t="s">
        <v>3717</v>
      </c>
      <c r="Q387" s="21">
        <v>170</v>
      </c>
      <c r="R387" s="21">
        <v>182</v>
      </c>
      <c r="S387" s="21">
        <v>7.5</v>
      </c>
      <c r="T387" s="22">
        <v>26.98</v>
      </c>
      <c r="U387" s="13">
        <f t="shared" si="23"/>
        <v>5.2199999999999989</v>
      </c>
      <c r="V387" s="23">
        <v>3305.05</v>
      </c>
      <c r="W387" s="23">
        <v>3305.05</v>
      </c>
      <c r="X387" s="20">
        <v>41</v>
      </c>
      <c r="Y387" s="24" t="s">
        <v>3713</v>
      </c>
      <c r="Z387" s="16">
        <v>2888.05</v>
      </c>
      <c r="AA387" s="17">
        <v>692.6</v>
      </c>
      <c r="AB387" s="25" t="s">
        <v>3714</v>
      </c>
    </row>
    <row r="388" spans="1:28" x14ac:dyDescent="0.45">
      <c r="A388" s="4" t="s">
        <v>815</v>
      </c>
      <c r="B388" s="4" t="s">
        <v>816</v>
      </c>
      <c r="C388" s="4" t="s">
        <v>4</v>
      </c>
      <c r="D388" s="4" t="s">
        <v>586</v>
      </c>
      <c r="E388" s="4" t="s">
        <v>256</v>
      </c>
      <c r="F388" s="5">
        <v>210</v>
      </c>
      <c r="G388" s="5">
        <v>225</v>
      </c>
      <c r="H388" s="4" t="s">
        <v>817</v>
      </c>
      <c r="I388" s="10">
        <v>584</v>
      </c>
      <c r="J388" s="34">
        <f t="shared" si="20"/>
        <v>5.0808</v>
      </c>
      <c r="K388" s="34">
        <f t="shared" si="21"/>
        <v>7.62</v>
      </c>
      <c r="L388" s="34">
        <f t="shared" si="22"/>
        <v>30.48</v>
      </c>
      <c r="M388" s="11" t="s">
        <v>3870</v>
      </c>
      <c r="N388" s="11" t="s">
        <v>3716</v>
      </c>
      <c r="O388" s="11" t="s">
        <v>3711</v>
      </c>
      <c r="P388" s="11" t="s">
        <v>3717</v>
      </c>
      <c r="Q388" s="12">
        <v>210</v>
      </c>
      <c r="R388" s="12">
        <v>226</v>
      </c>
      <c r="S388" s="12">
        <v>8</v>
      </c>
      <c r="T388" s="13">
        <v>59.57</v>
      </c>
      <c r="U388" s="13">
        <f t="shared" si="23"/>
        <v>29.09</v>
      </c>
      <c r="V388" s="14">
        <v>7297.32</v>
      </c>
      <c r="W388" s="14">
        <v>7297.32</v>
      </c>
      <c r="X388" s="11" t="s">
        <v>3722</v>
      </c>
      <c r="Y388" s="15" t="s">
        <v>3713</v>
      </c>
      <c r="Z388" s="16">
        <v>6713.32</v>
      </c>
      <c r="AA388" s="17">
        <v>1149.5</v>
      </c>
      <c r="AB388" s="18" t="s">
        <v>3786</v>
      </c>
    </row>
    <row r="389" spans="1:28" x14ac:dyDescent="0.45">
      <c r="A389" s="2" t="s">
        <v>818</v>
      </c>
      <c r="B389" s="2" t="s">
        <v>819</v>
      </c>
      <c r="C389" s="2" t="s">
        <v>4</v>
      </c>
      <c r="D389" s="2" t="s">
        <v>820</v>
      </c>
      <c r="E389" s="2" t="s">
        <v>6</v>
      </c>
      <c r="F389" s="3">
        <v>12</v>
      </c>
      <c r="G389" s="3">
        <v>18.8</v>
      </c>
      <c r="H389" s="2" t="s">
        <v>414</v>
      </c>
      <c r="I389" s="19">
        <v>69</v>
      </c>
      <c r="J389" s="34">
        <f t="shared" ref="J389:J452" si="24">I389*0.0087</f>
        <v>0.60029999999999994</v>
      </c>
      <c r="K389" s="34">
        <f t="shared" ref="K389:K452" si="25">ROUND(J389*1.5,2)</f>
        <v>0.9</v>
      </c>
      <c r="L389" s="34">
        <f t="shared" ref="L389:L452" si="26">K389*4</f>
        <v>3.6</v>
      </c>
      <c r="M389" s="20" t="s">
        <v>3709</v>
      </c>
      <c r="N389" s="20" t="s">
        <v>3710</v>
      </c>
      <c r="O389" s="20" t="s">
        <v>3711</v>
      </c>
      <c r="P389" s="20" t="s">
        <v>3712</v>
      </c>
      <c r="Q389" s="21">
        <v>12</v>
      </c>
      <c r="R389" s="21">
        <v>18</v>
      </c>
      <c r="S389" s="21">
        <v>4</v>
      </c>
      <c r="T389" s="22">
        <v>4.28</v>
      </c>
      <c r="U389" s="13">
        <f t="shared" ref="U389:U452" si="27">T389-L389</f>
        <v>0.68000000000000016</v>
      </c>
      <c r="V389" s="23">
        <v>524.29999999999995</v>
      </c>
      <c r="W389" s="23">
        <v>524.29999999999995</v>
      </c>
      <c r="X389" s="20">
        <v>20</v>
      </c>
      <c r="Y389" s="24" t="s">
        <v>3713</v>
      </c>
      <c r="Z389" s="16">
        <v>455.3</v>
      </c>
      <c r="AA389" s="17">
        <v>659.9</v>
      </c>
      <c r="AB389" s="25" t="s">
        <v>3876</v>
      </c>
    </row>
    <row r="390" spans="1:28" x14ac:dyDescent="0.45">
      <c r="A390" s="4" t="s">
        <v>821</v>
      </c>
      <c r="B390" s="4" t="s">
        <v>822</v>
      </c>
      <c r="C390" s="4" t="s">
        <v>4</v>
      </c>
      <c r="D390" s="4" t="s">
        <v>820</v>
      </c>
      <c r="E390" s="4" t="s">
        <v>6</v>
      </c>
      <c r="F390" s="5">
        <v>14</v>
      </c>
      <c r="G390" s="5">
        <v>20.8</v>
      </c>
      <c r="H390" s="4" t="s">
        <v>414</v>
      </c>
      <c r="I390" s="10">
        <v>69</v>
      </c>
      <c r="J390" s="34">
        <f t="shared" si="24"/>
        <v>0.60029999999999994</v>
      </c>
      <c r="K390" s="34">
        <f t="shared" si="25"/>
        <v>0.9</v>
      </c>
      <c r="L390" s="34">
        <f t="shared" si="26"/>
        <v>3.6</v>
      </c>
      <c r="M390" s="11" t="s">
        <v>3770</v>
      </c>
      <c r="N390" s="11" t="s">
        <v>3719</v>
      </c>
      <c r="O390" s="11" t="s">
        <v>3711</v>
      </c>
      <c r="P390" s="11" t="s">
        <v>3720</v>
      </c>
      <c r="Q390" s="12">
        <v>14</v>
      </c>
      <c r="R390" s="12">
        <v>22</v>
      </c>
      <c r="S390" s="12">
        <v>4</v>
      </c>
      <c r="T390" s="13">
        <v>9.43</v>
      </c>
      <c r="U390" s="13">
        <f t="shared" si="27"/>
        <v>5.83</v>
      </c>
      <c r="V390" s="14">
        <v>1155.18</v>
      </c>
      <c r="W390" s="14">
        <v>1155.18</v>
      </c>
      <c r="X390" s="11">
        <v>7</v>
      </c>
      <c r="Y390" s="15" t="s">
        <v>3713</v>
      </c>
      <c r="Z390" s="16">
        <v>1086.18</v>
      </c>
      <c r="AA390" s="17">
        <v>1574.2</v>
      </c>
      <c r="AB390" s="18" t="s">
        <v>3877</v>
      </c>
    </row>
    <row r="391" spans="1:28" x14ac:dyDescent="0.45">
      <c r="A391" s="2" t="s">
        <v>823</v>
      </c>
      <c r="B391" s="2" t="s">
        <v>824</v>
      </c>
      <c r="C391" s="2" t="s">
        <v>4</v>
      </c>
      <c r="D391" s="2" t="s">
        <v>820</v>
      </c>
      <c r="E391" s="2" t="s">
        <v>6</v>
      </c>
      <c r="F391" s="3">
        <v>15</v>
      </c>
      <c r="G391" s="3">
        <v>21.8</v>
      </c>
      <c r="H391" s="2" t="s">
        <v>414</v>
      </c>
      <c r="I391" s="19">
        <v>69</v>
      </c>
      <c r="J391" s="34">
        <f t="shared" si="24"/>
        <v>0.60029999999999994</v>
      </c>
      <c r="K391" s="34">
        <f t="shared" si="25"/>
        <v>0.9</v>
      </c>
      <c r="L391" s="34">
        <f t="shared" si="26"/>
        <v>3.6</v>
      </c>
      <c r="M391" s="20" t="s">
        <v>3770</v>
      </c>
      <c r="N391" s="20" t="s">
        <v>3719</v>
      </c>
      <c r="O391" s="20" t="s">
        <v>3711</v>
      </c>
      <c r="P391" s="20" t="s">
        <v>3720</v>
      </c>
      <c r="Q391" s="21">
        <v>14</v>
      </c>
      <c r="R391" s="21">
        <v>22</v>
      </c>
      <c r="S391" s="21">
        <v>4</v>
      </c>
      <c r="T391" s="22">
        <v>9.43</v>
      </c>
      <c r="U391" s="13">
        <f t="shared" si="27"/>
        <v>5.83</v>
      </c>
      <c r="V391" s="23">
        <v>1155.18</v>
      </c>
      <c r="W391" s="23">
        <v>1155.18</v>
      </c>
      <c r="X391" s="20">
        <v>7</v>
      </c>
      <c r="Y391" s="24" t="s">
        <v>3713</v>
      </c>
      <c r="Z391" s="16">
        <v>1086.18</v>
      </c>
      <c r="AA391" s="17">
        <v>1574.2</v>
      </c>
      <c r="AB391" s="25" t="s">
        <v>3878</v>
      </c>
    </row>
    <row r="392" spans="1:28" x14ac:dyDescent="0.45">
      <c r="A392" s="4" t="s">
        <v>825</v>
      </c>
      <c r="B392" s="4" t="s">
        <v>826</v>
      </c>
      <c r="C392" s="4" t="s">
        <v>4</v>
      </c>
      <c r="D392" s="4" t="s">
        <v>820</v>
      </c>
      <c r="E392" s="4" t="s">
        <v>6</v>
      </c>
      <c r="F392" s="5">
        <v>16</v>
      </c>
      <c r="G392" s="5">
        <v>22.8</v>
      </c>
      <c r="H392" s="4" t="s">
        <v>414</v>
      </c>
      <c r="I392" s="10">
        <v>69</v>
      </c>
      <c r="J392" s="34">
        <f t="shared" si="24"/>
        <v>0.60029999999999994</v>
      </c>
      <c r="K392" s="34">
        <f t="shared" si="25"/>
        <v>0.9</v>
      </c>
      <c r="L392" s="34">
        <f t="shared" si="26"/>
        <v>3.6</v>
      </c>
      <c r="M392" s="11" t="s">
        <v>3772</v>
      </c>
      <c r="N392" s="11" t="s">
        <v>3719</v>
      </c>
      <c r="O392" s="11" t="s">
        <v>3711</v>
      </c>
      <c r="P392" s="11" t="s">
        <v>3720</v>
      </c>
      <c r="Q392" s="12">
        <v>16</v>
      </c>
      <c r="R392" s="12">
        <v>24</v>
      </c>
      <c r="S392" s="12">
        <v>4</v>
      </c>
      <c r="T392" s="13">
        <v>12.03</v>
      </c>
      <c r="U392" s="13">
        <f t="shared" si="27"/>
        <v>8.43</v>
      </c>
      <c r="V392" s="14">
        <v>1473.68</v>
      </c>
      <c r="W392" s="14">
        <v>1473.68</v>
      </c>
      <c r="X392" s="11">
        <v>34</v>
      </c>
      <c r="Y392" s="15" t="s">
        <v>3713</v>
      </c>
      <c r="Z392" s="16">
        <v>1404.68</v>
      </c>
      <c r="AA392" s="17">
        <v>2035.8</v>
      </c>
      <c r="AB392" s="18" t="s">
        <v>3877</v>
      </c>
    </row>
    <row r="393" spans="1:28" x14ac:dyDescent="0.45">
      <c r="A393" s="2" t="s">
        <v>827</v>
      </c>
      <c r="B393" s="2" t="s">
        <v>828</v>
      </c>
      <c r="C393" s="2" t="s">
        <v>4</v>
      </c>
      <c r="D393" s="2" t="s">
        <v>820</v>
      </c>
      <c r="E393" s="2" t="s">
        <v>6</v>
      </c>
      <c r="F393" s="3">
        <v>18</v>
      </c>
      <c r="G393" s="3">
        <v>24.8</v>
      </c>
      <c r="H393" s="2" t="s">
        <v>414</v>
      </c>
      <c r="I393" s="19">
        <v>81</v>
      </c>
      <c r="J393" s="34">
        <f t="shared" si="24"/>
        <v>0.70469999999999999</v>
      </c>
      <c r="K393" s="34">
        <f t="shared" si="25"/>
        <v>1.06</v>
      </c>
      <c r="L393" s="34">
        <f t="shared" si="26"/>
        <v>4.24</v>
      </c>
      <c r="M393" s="20" t="s">
        <v>3715</v>
      </c>
      <c r="N393" s="20" t="s">
        <v>3716</v>
      </c>
      <c r="O393" s="20" t="s">
        <v>3711</v>
      </c>
      <c r="P393" s="20" t="s">
        <v>3717</v>
      </c>
      <c r="Q393" s="21">
        <v>18</v>
      </c>
      <c r="R393" s="21">
        <v>24</v>
      </c>
      <c r="S393" s="21">
        <v>5</v>
      </c>
      <c r="T393" s="22">
        <v>4.1500000000000004</v>
      </c>
      <c r="U393" s="13">
        <f t="shared" si="27"/>
        <v>-8.9999999999999858E-2</v>
      </c>
      <c r="V393" s="23">
        <v>508.38</v>
      </c>
      <c r="W393" s="23">
        <v>508.38</v>
      </c>
      <c r="X393" s="20">
        <v>127</v>
      </c>
      <c r="Y393" s="24" t="s">
        <v>3713</v>
      </c>
      <c r="Z393" s="16">
        <v>427.38</v>
      </c>
      <c r="AA393" s="17">
        <v>527.6</v>
      </c>
      <c r="AB393" s="25" t="s">
        <v>3876</v>
      </c>
    </row>
    <row r="394" spans="1:28" x14ac:dyDescent="0.45">
      <c r="A394" s="4" t="s">
        <v>829</v>
      </c>
      <c r="B394" s="4" t="s">
        <v>830</v>
      </c>
      <c r="C394" s="4" t="s">
        <v>4</v>
      </c>
      <c r="D394" s="4" t="s">
        <v>820</v>
      </c>
      <c r="E394" s="4" t="s">
        <v>6</v>
      </c>
      <c r="F394" s="5">
        <v>20</v>
      </c>
      <c r="G394" s="5">
        <v>26.8</v>
      </c>
      <c r="H394" s="4" t="s">
        <v>414</v>
      </c>
      <c r="I394" s="10">
        <v>91</v>
      </c>
      <c r="J394" s="34">
        <f t="shared" si="24"/>
        <v>0.79169999999999996</v>
      </c>
      <c r="K394" s="34">
        <f t="shared" si="25"/>
        <v>1.19</v>
      </c>
      <c r="L394" s="34">
        <f t="shared" si="26"/>
        <v>4.76</v>
      </c>
      <c r="M394" s="11" t="s">
        <v>3721</v>
      </c>
      <c r="N394" s="11" t="s">
        <v>3719</v>
      </c>
      <c r="O394" s="11" t="s">
        <v>3711</v>
      </c>
      <c r="P394" s="11" t="s">
        <v>3720</v>
      </c>
      <c r="Q394" s="12">
        <v>20</v>
      </c>
      <c r="R394" s="12">
        <v>28</v>
      </c>
      <c r="S394" s="12">
        <v>4</v>
      </c>
      <c r="T394" s="13">
        <v>11.74</v>
      </c>
      <c r="U394" s="13">
        <f t="shared" si="27"/>
        <v>6.98</v>
      </c>
      <c r="V394" s="14">
        <v>1438.15</v>
      </c>
      <c r="W394" s="14">
        <v>1438.15</v>
      </c>
      <c r="X394" s="11" t="s">
        <v>3722</v>
      </c>
      <c r="Y394" s="15" t="s">
        <v>3713</v>
      </c>
      <c r="Z394" s="16">
        <v>1347.15</v>
      </c>
      <c r="AA394" s="17">
        <v>1480.4</v>
      </c>
      <c r="AB394" s="18" t="s">
        <v>3877</v>
      </c>
    </row>
    <row r="395" spans="1:28" x14ac:dyDescent="0.45">
      <c r="A395" s="2" t="s">
        <v>831</v>
      </c>
      <c r="B395" s="2" t="s">
        <v>832</v>
      </c>
      <c r="C395" s="2" t="s">
        <v>4</v>
      </c>
      <c r="D395" s="2" t="s">
        <v>820</v>
      </c>
      <c r="E395" s="2" t="s">
        <v>6</v>
      </c>
      <c r="F395" s="3">
        <v>22</v>
      </c>
      <c r="G395" s="3">
        <v>28.8</v>
      </c>
      <c r="H395" s="2" t="s">
        <v>414</v>
      </c>
      <c r="I395" s="19">
        <v>103</v>
      </c>
      <c r="J395" s="34">
        <f t="shared" si="24"/>
        <v>0.8960999999999999</v>
      </c>
      <c r="K395" s="34">
        <f t="shared" si="25"/>
        <v>1.34</v>
      </c>
      <c r="L395" s="34">
        <f t="shared" si="26"/>
        <v>5.36</v>
      </c>
      <c r="M395" s="20" t="s">
        <v>3879</v>
      </c>
      <c r="N395" s="20" t="s">
        <v>3710</v>
      </c>
      <c r="O395" s="20" t="s">
        <v>3711</v>
      </c>
      <c r="P395" s="20" t="s">
        <v>3712</v>
      </c>
      <c r="Q395" s="21">
        <v>22</v>
      </c>
      <c r="R395" s="21">
        <v>28</v>
      </c>
      <c r="S395" s="21">
        <v>4</v>
      </c>
      <c r="T395" s="22">
        <v>8.7100000000000009</v>
      </c>
      <c r="U395" s="13">
        <f t="shared" si="27"/>
        <v>3.3500000000000005</v>
      </c>
      <c r="V395" s="23">
        <v>1066.98</v>
      </c>
      <c r="W395" s="23">
        <v>1066.98</v>
      </c>
      <c r="X395" s="20">
        <v>293</v>
      </c>
      <c r="Y395" s="24" t="s">
        <v>3713</v>
      </c>
      <c r="Z395" s="16">
        <v>963.98</v>
      </c>
      <c r="AA395" s="17">
        <v>935.9</v>
      </c>
      <c r="AB395" s="25" t="s">
        <v>3876</v>
      </c>
    </row>
    <row r="396" spans="1:28" x14ac:dyDescent="0.45">
      <c r="A396" s="4" t="s">
        <v>833</v>
      </c>
      <c r="B396" s="4" t="s">
        <v>834</v>
      </c>
      <c r="C396" s="4" t="s">
        <v>4</v>
      </c>
      <c r="D396" s="4" t="s">
        <v>820</v>
      </c>
      <c r="E396" s="4" t="s">
        <v>6</v>
      </c>
      <c r="F396" s="5">
        <v>25</v>
      </c>
      <c r="G396" s="5">
        <v>31.8</v>
      </c>
      <c r="H396" s="4" t="s">
        <v>414</v>
      </c>
      <c r="I396" s="10">
        <v>114</v>
      </c>
      <c r="J396" s="34">
        <f t="shared" si="24"/>
        <v>0.9917999999999999</v>
      </c>
      <c r="K396" s="34">
        <f t="shared" si="25"/>
        <v>1.49</v>
      </c>
      <c r="L396" s="34">
        <f t="shared" si="26"/>
        <v>5.96</v>
      </c>
      <c r="M396" s="11" t="s">
        <v>3880</v>
      </c>
      <c r="N396" s="11" t="s">
        <v>3881</v>
      </c>
      <c r="O396" s="11" t="s">
        <v>3711</v>
      </c>
      <c r="P396" s="11" t="s">
        <v>3882</v>
      </c>
      <c r="Q396" s="12">
        <v>25</v>
      </c>
      <c r="R396" s="12">
        <v>31</v>
      </c>
      <c r="S396" s="12">
        <v>4</v>
      </c>
      <c r="T396" s="13">
        <v>7.88</v>
      </c>
      <c r="U396" s="13">
        <f t="shared" si="27"/>
        <v>1.92</v>
      </c>
      <c r="V396" s="14">
        <v>965.3</v>
      </c>
      <c r="W396" s="14">
        <v>965.3</v>
      </c>
      <c r="X396" s="11">
        <v>103</v>
      </c>
      <c r="Y396" s="15" t="s">
        <v>3713</v>
      </c>
      <c r="Z396" s="16">
        <v>851.3</v>
      </c>
      <c r="AA396" s="17">
        <v>746.8</v>
      </c>
      <c r="AB396" s="18" t="s">
        <v>3876</v>
      </c>
    </row>
    <row r="397" spans="1:28" x14ac:dyDescent="0.45">
      <c r="A397" s="2" t="s">
        <v>835</v>
      </c>
      <c r="B397" s="2" t="s">
        <v>836</v>
      </c>
      <c r="C397" s="2" t="s">
        <v>4</v>
      </c>
      <c r="D397" s="2" t="s">
        <v>820</v>
      </c>
      <c r="E397" s="2" t="s">
        <v>6</v>
      </c>
      <c r="F397" s="3">
        <v>28</v>
      </c>
      <c r="G397" s="3">
        <v>34.799999999999997</v>
      </c>
      <c r="H397" s="2" t="s">
        <v>414</v>
      </c>
      <c r="I397" s="19">
        <v>126</v>
      </c>
      <c r="J397" s="34">
        <f t="shared" si="24"/>
        <v>1.0961999999999998</v>
      </c>
      <c r="K397" s="34">
        <f t="shared" si="25"/>
        <v>1.64</v>
      </c>
      <c r="L397" s="34">
        <f t="shared" si="26"/>
        <v>6.56</v>
      </c>
      <c r="M397" s="20" t="s">
        <v>3725</v>
      </c>
      <c r="N397" s="20" t="s">
        <v>3716</v>
      </c>
      <c r="O397" s="20" t="s">
        <v>3711</v>
      </c>
      <c r="P397" s="20" t="s">
        <v>3717</v>
      </c>
      <c r="Q397" s="21">
        <v>28</v>
      </c>
      <c r="R397" s="21">
        <v>36</v>
      </c>
      <c r="S397" s="21">
        <v>5</v>
      </c>
      <c r="T397" s="22">
        <v>5.53</v>
      </c>
      <c r="U397" s="13">
        <f t="shared" si="27"/>
        <v>-1.0299999999999994</v>
      </c>
      <c r="V397" s="23">
        <v>677.42</v>
      </c>
      <c r="W397" s="23">
        <v>677.42</v>
      </c>
      <c r="X397" s="20">
        <v>381</v>
      </c>
      <c r="Y397" s="24" t="s">
        <v>3713</v>
      </c>
      <c r="Z397" s="16">
        <v>551.41999999999996</v>
      </c>
      <c r="AA397" s="17">
        <v>437.6</v>
      </c>
      <c r="AB397" s="25" t="s">
        <v>3877</v>
      </c>
    </row>
    <row r="398" spans="1:28" x14ac:dyDescent="0.45">
      <c r="A398" s="4" t="s">
        <v>837</v>
      </c>
      <c r="B398" s="4" t="s">
        <v>838</v>
      </c>
      <c r="C398" s="4" t="s">
        <v>4</v>
      </c>
      <c r="D398" s="4" t="s">
        <v>820</v>
      </c>
      <c r="E398" s="4" t="s">
        <v>6</v>
      </c>
      <c r="F398" s="5">
        <v>30</v>
      </c>
      <c r="G398" s="5">
        <v>36.799999999999997</v>
      </c>
      <c r="H398" s="4" t="s">
        <v>414</v>
      </c>
      <c r="I398" s="10">
        <v>136</v>
      </c>
      <c r="J398" s="34">
        <f t="shared" si="24"/>
        <v>1.1831999999999998</v>
      </c>
      <c r="K398" s="34">
        <f t="shared" si="25"/>
        <v>1.77</v>
      </c>
      <c r="L398" s="34">
        <f t="shared" si="26"/>
        <v>7.08</v>
      </c>
      <c r="M398" s="11" t="s">
        <v>3726</v>
      </c>
      <c r="N398" s="11" t="s">
        <v>3716</v>
      </c>
      <c r="O398" s="11" t="s">
        <v>3711</v>
      </c>
      <c r="P398" s="11" t="s">
        <v>3717</v>
      </c>
      <c r="Q398" s="12">
        <v>30</v>
      </c>
      <c r="R398" s="12">
        <v>38</v>
      </c>
      <c r="S398" s="12">
        <v>5</v>
      </c>
      <c r="T398" s="13">
        <v>5.98</v>
      </c>
      <c r="U398" s="13">
        <f t="shared" si="27"/>
        <v>-1.0999999999999996</v>
      </c>
      <c r="V398" s="14">
        <v>732.55</v>
      </c>
      <c r="W398" s="14">
        <v>732.55</v>
      </c>
      <c r="X398" s="11">
        <v>138</v>
      </c>
      <c r="Y398" s="15" t="s">
        <v>3713</v>
      </c>
      <c r="Z398" s="16">
        <v>596.54999999999995</v>
      </c>
      <c r="AA398" s="17">
        <v>438.6</v>
      </c>
      <c r="AB398" s="18" t="s">
        <v>3877</v>
      </c>
    </row>
    <row r="399" spans="1:28" x14ac:dyDescent="0.45">
      <c r="A399" s="2" t="s">
        <v>839</v>
      </c>
      <c r="B399" s="2" t="s">
        <v>840</v>
      </c>
      <c r="C399" s="2" t="s">
        <v>4</v>
      </c>
      <c r="D399" s="2" t="s">
        <v>820</v>
      </c>
      <c r="E399" s="2" t="s">
        <v>6</v>
      </c>
      <c r="F399" s="3">
        <v>32</v>
      </c>
      <c r="G399" s="3">
        <v>38.799999999999997</v>
      </c>
      <c r="H399" s="2" t="s">
        <v>414</v>
      </c>
      <c r="I399" s="19">
        <v>148</v>
      </c>
      <c r="J399" s="34">
        <f t="shared" si="24"/>
        <v>1.2875999999999999</v>
      </c>
      <c r="K399" s="34">
        <f t="shared" si="25"/>
        <v>1.93</v>
      </c>
      <c r="L399" s="34">
        <f t="shared" si="26"/>
        <v>7.72</v>
      </c>
      <c r="M399" s="20" t="s">
        <v>3727</v>
      </c>
      <c r="N399" s="20" t="s">
        <v>3719</v>
      </c>
      <c r="O399" s="20" t="s">
        <v>3711</v>
      </c>
      <c r="P399" s="20" t="s">
        <v>3720</v>
      </c>
      <c r="Q399" s="21">
        <v>32</v>
      </c>
      <c r="R399" s="21">
        <v>40</v>
      </c>
      <c r="S399" s="21">
        <v>5</v>
      </c>
      <c r="T399" s="22">
        <v>7.49</v>
      </c>
      <c r="U399" s="13">
        <f t="shared" si="27"/>
        <v>-0.22999999999999954</v>
      </c>
      <c r="V399" s="23">
        <v>917.52</v>
      </c>
      <c r="W399" s="23">
        <v>917.52</v>
      </c>
      <c r="X399" s="20">
        <v>11</v>
      </c>
      <c r="Y399" s="24" t="s">
        <v>3713</v>
      </c>
      <c r="Z399" s="16">
        <v>769.52</v>
      </c>
      <c r="AA399" s="17">
        <v>519.9</v>
      </c>
      <c r="AB399" s="25" t="s">
        <v>3877</v>
      </c>
    </row>
    <row r="400" spans="1:28" x14ac:dyDescent="0.45">
      <c r="A400" s="4" t="s">
        <v>841</v>
      </c>
      <c r="B400" s="4" t="s">
        <v>842</v>
      </c>
      <c r="C400" s="4" t="s">
        <v>4</v>
      </c>
      <c r="D400" s="4" t="s">
        <v>820</v>
      </c>
      <c r="E400" s="4" t="s">
        <v>6</v>
      </c>
      <c r="F400" s="5">
        <v>35</v>
      </c>
      <c r="G400" s="5">
        <v>41.8</v>
      </c>
      <c r="H400" s="4" t="s">
        <v>414</v>
      </c>
      <c r="I400" s="10">
        <v>160</v>
      </c>
      <c r="J400" s="34">
        <f t="shared" si="24"/>
        <v>1.3919999999999999</v>
      </c>
      <c r="K400" s="34">
        <f t="shared" si="25"/>
        <v>2.09</v>
      </c>
      <c r="L400" s="34">
        <f t="shared" si="26"/>
        <v>8.36</v>
      </c>
      <c r="M400" s="11" t="s">
        <v>3728</v>
      </c>
      <c r="N400" s="11" t="s">
        <v>3716</v>
      </c>
      <c r="O400" s="11" t="s">
        <v>3711</v>
      </c>
      <c r="P400" s="11" t="s">
        <v>3717</v>
      </c>
      <c r="Q400" s="12">
        <v>35</v>
      </c>
      <c r="R400" s="12">
        <v>43</v>
      </c>
      <c r="S400" s="12">
        <v>5</v>
      </c>
      <c r="T400" s="13">
        <v>6.64</v>
      </c>
      <c r="U400" s="13">
        <f t="shared" si="27"/>
        <v>-1.7199999999999998</v>
      </c>
      <c r="V400" s="14">
        <v>813.4</v>
      </c>
      <c r="W400" s="14">
        <v>813.4</v>
      </c>
      <c r="X400" s="11">
        <v>102</v>
      </c>
      <c r="Y400" s="15" t="s">
        <v>3713</v>
      </c>
      <c r="Z400" s="16">
        <v>653.4</v>
      </c>
      <c r="AA400" s="17">
        <v>408.4</v>
      </c>
      <c r="AB400" s="18" t="s">
        <v>3877</v>
      </c>
    </row>
    <row r="401" spans="1:28" x14ac:dyDescent="0.45">
      <c r="A401" s="2" t="s">
        <v>843</v>
      </c>
      <c r="B401" s="2" t="s">
        <v>844</v>
      </c>
      <c r="C401" s="2" t="s">
        <v>4</v>
      </c>
      <c r="D401" s="2" t="s">
        <v>820</v>
      </c>
      <c r="E401" s="2" t="s">
        <v>6</v>
      </c>
      <c r="F401" s="3">
        <v>36</v>
      </c>
      <c r="G401" s="3">
        <v>42.8</v>
      </c>
      <c r="H401" s="2" t="s">
        <v>414</v>
      </c>
      <c r="I401" s="19">
        <v>160</v>
      </c>
      <c r="J401" s="34">
        <f t="shared" si="24"/>
        <v>1.3919999999999999</v>
      </c>
      <c r="K401" s="34">
        <f t="shared" si="25"/>
        <v>2.09</v>
      </c>
      <c r="L401" s="34">
        <f t="shared" si="26"/>
        <v>8.36</v>
      </c>
      <c r="M401" s="20" t="s">
        <v>3728</v>
      </c>
      <c r="N401" s="20" t="s">
        <v>3716</v>
      </c>
      <c r="O401" s="20" t="s">
        <v>3711</v>
      </c>
      <c r="P401" s="20" t="s">
        <v>3717</v>
      </c>
      <c r="Q401" s="21">
        <v>35</v>
      </c>
      <c r="R401" s="21">
        <v>43</v>
      </c>
      <c r="S401" s="21">
        <v>5</v>
      </c>
      <c r="T401" s="22">
        <v>6.64</v>
      </c>
      <c r="U401" s="13">
        <f t="shared" si="27"/>
        <v>-1.7199999999999998</v>
      </c>
      <c r="V401" s="23">
        <v>813.4</v>
      </c>
      <c r="W401" s="23">
        <v>813.4</v>
      </c>
      <c r="X401" s="20">
        <v>102</v>
      </c>
      <c r="Y401" s="24" t="s">
        <v>3713</v>
      </c>
      <c r="Z401" s="16">
        <v>653.4</v>
      </c>
      <c r="AA401" s="17">
        <v>408.4</v>
      </c>
      <c r="AB401" s="25" t="s">
        <v>3878</v>
      </c>
    </row>
    <row r="402" spans="1:28" x14ac:dyDescent="0.45">
      <c r="A402" s="4" t="s">
        <v>845</v>
      </c>
      <c r="B402" s="4" t="s">
        <v>846</v>
      </c>
      <c r="C402" s="4" t="s">
        <v>4</v>
      </c>
      <c r="D402" s="4" t="s">
        <v>820</v>
      </c>
      <c r="E402" s="4" t="s">
        <v>6</v>
      </c>
      <c r="F402" s="5">
        <v>38</v>
      </c>
      <c r="G402" s="5">
        <v>44.8</v>
      </c>
      <c r="H402" s="4" t="s">
        <v>414</v>
      </c>
      <c r="I402" s="10">
        <v>182</v>
      </c>
      <c r="J402" s="34">
        <f t="shared" si="24"/>
        <v>1.5833999999999999</v>
      </c>
      <c r="K402" s="34">
        <f t="shared" si="25"/>
        <v>2.38</v>
      </c>
      <c r="L402" s="34">
        <f t="shared" si="26"/>
        <v>9.52</v>
      </c>
      <c r="M402" s="11" t="s">
        <v>3730</v>
      </c>
      <c r="N402" s="11" t="s">
        <v>3731</v>
      </c>
      <c r="O402" s="11" t="s">
        <v>3711</v>
      </c>
      <c r="P402" s="11" t="s">
        <v>3732</v>
      </c>
      <c r="Q402" s="12">
        <v>38</v>
      </c>
      <c r="R402" s="12">
        <v>46</v>
      </c>
      <c r="S402" s="12">
        <v>5</v>
      </c>
      <c r="T402" s="13">
        <v>20.05</v>
      </c>
      <c r="U402" s="13">
        <f t="shared" si="27"/>
        <v>10.530000000000001</v>
      </c>
      <c r="V402" s="14">
        <v>2456.12</v>
      </c>
      <c r="W402" s="14">
        <v>2456.12</v>
      </c>
      <c r="X402" s="11">
        <v>47</v>
      </c>
      <c r="Y402" s="15" t="s">
        <v>3713</v>
      </c>
      <c r="Z402" s="16">
        <v>2274.12</v>
      </c>
      <c r="AA402" s="17">
        <v>1249.5</v>
      </c>
      <c r="AB402" s="18" t="s">
        <v>3877</v>
      </c>
    </row>
    <row r="403" spans="1:28" x14ac:dyDescent="0.45">
      <c r="A403" s="2" t="s">
        <v>847</v>
      </c>
      <c r="B403" s="2" t="s">
        <v>848</v>
      </c>
      <c r="C403" s="2" t="s">
        <v>4</v>
      </c>
      <c r="D403" s="2" t="s">
        <v>820</v>
      </c>
      <c r="E403" s="2" t="s">
        <v>6</v>
      </c>
      <c r="F403" s="3">
        <v>40</v>
      </c>
      <c r="G403" s="3">
        <v>46.8</v>
      </c>
      <c r="H403" s="2" t="s">
        <v>414</v>
      </c>
      <c r="I403" s="19">
        <v>182</v>
      </c>
      <c r="J403" s="34">
        <f t="shared" si="24"/>
        <v>1.5833999999999999</v>
      </c>
      <c r="K403" s="34">
        <f t="shared" si="25"/>
        <v>2.38</v>
      </c>
      <c r="L403" s="34">
        <f t="shared" si="26"/>
        <v>9.52</v>
      </c>
      <c r="M403" s="20" t="s">
        <v>3733</v>
      </c>
      <c r="N403" s="20" t="s">
        <v>3716</v>
      </c>
      <c r="O403" s="20" t="s">
        <v>3711</v>
      </c>
      <c r="P403" s="20" t="s">
        <v>3717</v>
      </c>
      <c r="Q403" s="21">
        <v>40</v>
      </c>
      <c r="R403" s="21">
        <v>48</v>
      </c>
      <c r="S403" s="21">
        <v>5</v>
      </c>
      <c r="T403" s="22">
        <v>6.87</v>
      </c>
      <c r="U403" s="13">
        <f t="shared" si="27"/>
        <v>-2.6499999999999995</v>
      </c>
      <c r="V403" s="23">
        <v>841.58</v>
      </c>
      <c r="W403" s="23">
        <v>841.58</v>
      </c>
      <c r="X403" s="20">
        <v>254</v>
      </c>
      <c r="Y403" s="24" t="s">
        <v>3713</v>
      </c>
      <c r="Z403" s="16">
        <v>659.58</v>
      </c>
      <c r="AA403" s="17">
        <v>362.4</v>
      </c>
      <c r="AB403" s="25" t="s">
        <v>3877</v>
      </c>
    </row>
    <row r="404" spans="1:28" x14ac:dyDescent="0.45">
      <c r="A404" s="4" t="s">
        <v>849</v>
      </c>
      <c r="B404" s="4" t="s">
        <v>850</v>
      </c>
      <c r="C404" s="4" t="s">
        <v>4</v>
      </c>
      <c r="D404" s="4" t="s">
        <v>820</v>
      </c>
      <c r="E404" s="4" t="s">
        <v>6</v>
      </c>
      <c r="F404" s="5">
        <v>40</v>
      </c>
      <c r="G404" s="5">
        <v>48.8</v>
      </c>
      <c r="H404" s="4" t="s">
        <v>851</v>
      </c>
      <c r="I404" s="10">
        <v>217</v>
      </c>
      <c r="J404" s="34">
        <f t="shared" si="24"/>
        <v>1.8878999999999999</v>
      </c>
      <c r="K404" s="34">
        <f t="shared" si="25"/>
        <v>2.83</v>
      </c>
      <c r="L404" s="34">
        <f t="shared" si="26"/>
        <v>11.32</v>
      </c>
      <c r="M404" s="11" t="s">
        <v>3733</v>
      </c>
      <c r="N404" s="11" t="s">
        <v>3716</v>
      </c>
      <c r="O404" s="11" t="s">
        <v>3711</v>
      </c>
      <c r="P404" s="11" t="s">
        <v>3717</v>
      </c>
      <c r="Q404" s="12">
        <v>40</v>
      </c>
      <c r="R404" s="12">
        <v>48</v>
      </c>
      <c r="S404" s="12">
        <v>5</v>
      </c>
      <c r="T404" s="13">
        <v>6.87</v>
      </c>
      <c r="U404" s="13">
        <f t="shared" si="27"/>
        <v>-4.45</v>
      </c>
      <c r="V404" s="14">
        <v>841.58</v>
      </c>
      <c r="W404" s="14">
        <v>841.58</v>
      </c>
      <c r="X404" s="11">
        <v>254</v>
      </c>
      <c r="Y404" s="15" t="s">
        <v>3713</v>
      </c>
      <c r="Z404" s="16">
        <v>624.58000000000004</v>
      </c>
      <c r="AA404" s="17">
        <v>287.8</v>
      </c>
      <c r="AB404" s="18" t="s">
        <v>3876</v>
      </c>
    </row>
    <row r="405" spans="1:28" x14ac:dyDescent="0.45">
      <c r="A405" s="2" t="s">
        <v>852</v>
      </c>
      <c r="B405" s="2" t="s">
        <v>853</v>
      </c>
      <c r="C405" s="2" t="s">
        <v>4</v>
      </c>
      <c r="D405" s="2" t="s">
        <v>820</v>
      </c>
      <c r="E405" s="2" t="s">
        <v>6</v>
      </c>
      <c r="F405" s="3">
        <v>45</v>
      </c>
      <c r="G405" s="3">
        <v>51.8</v>
      </c>
      <c r="H405" s="2" t="s">
        <v>414</v>
      </c>
      <c r="I405" s="19">
        <v>205</v>
      </c>
      <c r="J405" s="34">
        <f t="shared" si="24"/>
        <v>1.7834999999999999</v>
      </c>
      <c r="K405" s="34">
        <f t="shared" si="25"/>
        <v>2.68</v>
      </c>
      <c r="L405" s="34">
        <f t="shared" si="26"/>
        <v>10.72</v>
      </c>
      <c r="M405" s="20" t="s">
        <v>3739</v>
      </c>
      <c r="N405" s="20" t="s">
        <v>3716</v>
      </c>
      <c r="O405" s="20" t="s">
        <v>3711</v>
      </c>
      <c r="P405" s="20" t="s">
        <v>3717</v>
      </c>
      <c r="Q405" s="21">
        <v>45</v>
      </c>
      <c r="R405" s="21">
        <v>53</v>
      </c>
      <c r="S405" s="21">
        <v>5</v>
      </c>
      <c r="T405" s="22">
        <v>7.1</v>
      </c>
      <c r="U405" s="13">
        <f t="shared" si="27"/>
        <v>-3.620000000000001</v>
      </c>
      <c r="V405" s="23">
        <v>869.75</v>
      </c>
      <c r="W405" s="23">
        <v>869.75</v>
      </c>
      <c r="X405" s="20">
        <v>124</v>
      </c>
      <c r="Y405" s="24" t="s">
        <v>3713</v>
      </c>
      <c r="Z405" s="16">
        <v>664.75</v>
      </c>
      <c r="AA405" s="17">
        <v>324.3</v>
      </c>
      <c r="AB405" s="25" t="s">
        <v>3877</v>
      </c>
    </row>
    <row r="406" spans="1:28" x14ac:dyDescent="0.45">
      <c r="A406" s="4" t="s">
        <v>854</v>
      </c>
      <c r="B406" s="4" t="s">
        <v>855</v>
      </c>
      <c r="C406" s="4" t="s">
        <v>4</v>
      </c>
      <c r="D406" s="4" t="s">
        <v>820</v>
      </c>
      <c r="E406" s="4" t="s">
        <v>6</v>
      </c>
      <c r="F406" s="5">
        <v>45</v>
      </c>
      <c r="G406" s="5">
        <v>53.8</v>
      </c>
      <c r="H406" s="4" t="s">
        <v>851</v>
      </c>
      <c r="I406" s="10">
        <v>239</v>
      </c>
      <c r="J406" s="34">
        <f t="shared" si="24"/>
        <v>2.0792999999999999</v>
      </c>
      <c r="K406" s="34">
        <f t="shared" si="25"/>
        <v>3.12</v>
      </c>
      <c r="L406" s="34">
        <f t="shared" si="26"/>
        <v>12.48</v>
      </c>
      <c r="M406" s="11" t="s">
        <v>3739</v>
      </c>
      <c r="N406" s="11" t="s">
        <v>3716</v>
      </c>
      <c r="O406" s="11" t="s">
        <v>3711</v>
      </c>
      <c r="P406" s="11" t="s">
        <v>3717</v>
      </c>
      <c r="Q406" s="12">
        <v>45</v>
      </c>
      <c r="R406" s="12">
        <v>53</v>
      </c>
      <c r="S406" s="12">
        <v>5</v>
      </c>
      <c r="T406" s="13">
        <v>7.1</v>
      </c>
      <c r="U406" s="13">
        <f t="shared" si="27"/>
        <v>-5.3800000000000008</v>
      </c>
      <c r="V406" s="14">
        <v>869.75</v>
      </c>
      <c r="W406" s="14">
        <v>869.75</v>
      </c>
      <c r="X406" s="11">
        <v>124</v>
      </c>
      <c r="Y406" s="15" t="s">
        <v>3713</v>
      </c>
      <c r="Z406" s="16">
        <v>630.75</v>
      </c>
      <c r="AA406" s="17">
        <v>263.89999999999998</v>
      </c>
      <c r="AB406" s="18" t="s">
        <v>3876</v>
      </c>
    </row>
    <row r="407" spans="1:28" x14ac:dyDescent="0.45">
      <c r="A407" s="2" t="s">
        <v>856</v>
      </c>
      <c r="B407" s="2" t="s">
        <v>857</v>
      </c>
      <c r="C407" s="2" t="s">
        <v>4</v>
      </c>
      <c r="D407" s="2" t="s">
        <v>820</v>
      </c>
      <c r="E407" s="2" t="s">
        <v>6</v>
      </c>
      <c r="F407" s="3">
        <v>50</v>
      </c>
      <c r="G407" s="3">
        <v>56.8</v>
      </c>
      <c r="H407" s="2" t="s">
        <v>414</v>
      </c>
      <c r="I407" s="19">
        <v>227</v>
      </c>
      <c r="J407" s="34">
        <f t="shared" si="24"/>
        <v>1.9748999999999999</v>
      </c>
      <c r="K407" s="34">
        <f t="shared" si="25"/>
        <v>2.96</v>
      </c>
      <c r="L407" s="34">
        <f t="shared" si="26"/>
        <v>11.84</v>
      </c>
      <c r="M407" s="20" t="s">
        <v>3741</v>
      </c>
      <c r="N407" s="20" t="s">
        <v>3719</v>
      </c>
      <c r="O407" s="20" t="s">
        <v>3711</v>
      </c>
      <c r="P407" s="20" t="s">
        <v>3720</v>
      </c>
      <c r="Q407" s="21">
        <v>50</v>
      </c>
      <c r="R407" s="21">
        <v>58</v>
      </c>
      <c r="S407" s="21">
        <v>5</v>
      </c>
      <c r="T407" s="22">
        <v>10.98</v>
      </c>
      <c r="U407" s="13">
        <f t="shared" si="27"/>
        <v>-0.85999999999999943</v>
      </c>
      <c r="V407" s="23">
        <v>1345.05</v>
      </c>
      <c r="W407" s="23">
        <v>1345.05</v>
      </c>
      <c r="X407" s="20">
        <v>81</v>
      </c>
      <c r="Y407" s="24" t="s">
        <v>3713</v>
      </c>
      <c r="Z407" s="16">
        <v>1118.05</v>
      </c>
      <c r="AA407" s="17">
        <v>492.5</v>
      </c>
      <c r="AB407" s="25" t="s">
        <v>3877</v>
      </c>
    </row>
    <row r="408" spans="1:28" x14ac:dyDescent="0.45">
      <c r="A408" s="4" t="s">
        <v>858</v>
      </c>
      <c r="B408" s="4" t="s">
        <v>859</v>
      </c>
      <c r="C408" s="4" t="s">
        <v>4</v>
      </c>
      <c r="D408" s="4" t="s">
        <v>820</v>
      </c>
      <c r="E408" s="4" t="s">
        <v>6</v>
      </c>
      <c r="F408" s="5">
        <v>56</v>
      </c>
      <c r="G408" s="5">
        <v>62.8</v>
      </c>
      <c r="H408" s="4" t="s">
        <v>414</v>
      </c>
      <c r="I408" s="10">
        <v>251</v>
      </c>
      <c r="J408" s="34">
        <f t="shared" si="24"/>
        <v>2.1837</v>
      </c>
      <c r="K408" s="34">
        <f t="shared" si="25"/>
        <v>3.28</v>
      </c>
      <c r="L408" s="34">
        <f t="shared" si="26"/>
        <v>13.12</v>
      </c>
      <c r="M408" s="11" t="s">
        <v>3860</v>
      </c>
      <c r="N408" s="11" t="s">
        <v>3750</v>
      </c>
      <c r="O408" s="11" t="s">
        <v>3711</v>
      </c>
      <c r="P408" s="11" t="s">
        <v>3751</v>
      </c>
      <c r="Q408" s="12">
        <v>56</v>
      </c>
      <c r="R408" s="12">
        <v>64</v>
      </c>
      <c r="S408" s="12">
        <v>4</v>
      </c>
      <c r="T408" s="13">
        <v>12.2</v>
      </c>
      <c r="U408" s="13">
        <f t="shared" si="27"/>
        <v>-0.91999999999999993</v>
      </c>
      <c r="V408" s="14">
        <v>1494.5</v>
      </c>
      <c r="W408" s="14">
        <v>1494.5</v>
      </c>
      <c r="X408" s="11" t="s">
        <v>3722</v>
      </c>
      <c r="Y408" s="15" t="s">
        <v>3713</v>
      </c>
      <c r="Z408" s="16">
        <v>1243.5</v>
      </c>
      <c r="AA408" s="17">
        <v>495.4</v>
      </c>
      <c r="AB408" s="18" t="s">
        <v>3877</v>
      </c>
    </row>
    <row r="409" spans="1:28" x14ac:dyDescent="0.45">
      <c r="A409" s="2" t="s">
        <v>860</v>
      </c>
      <c r="B409" s="2" t="s">
        <v>861</v>
      </c>
      <c r="C409" s="2" t="s">
        <v>4</v>
      </c>
      <c r="D409" s="2" t="s">
        <v>820</v>
      </c>
      <c r="E409" s="2" t="s">
        <v>6</v>
      </c>
      <c r="F409" s="3">
        <v>56</v>
      </c>
      <c r="G409" s="3">
        <v>64.8</v>
      </c>
      <c r="H409" s="2" t="s">
        <v>851</v>
      </c>
      <c r="I409" s="19">
        <v>318</v>
      </c>
      <c r="J409" s="34">
        <f t="shared" si="24"/>
        <v>2.7665999999999999</v>
      </c>
      <c r="K409" s="34">
        <f t="shared" si="25"/>
        <v>4.1500000000000004</v>
      </c>
      <c r="L409" s="34">
        <f t="shared" si="26"/>
        <v>16.600000000000001</v>
      </c>
      <c r="M409" s="20" t="s">
        <v>3860</v>
      </c>
      <c r="N409" s="20" t="s">
        <v>3750</v>
      </c>
      <c r="O409" s="20" t="s">
        <v>3711</v>
      </c>
      <c r="P409" s="20" t="s">
        <v>3751</v>
      </c>
      <c r="Q409" s="21">
        <v>56</v>
      </c>
      <c r="R409" s="21">
        <v>64</v>
      </c>
      <c r="S409" s="21">
        <v>4</v>
      </c>
      <c r="T409" s="22">
        <v>12.2</v>
      </c>
      <c r="U409" s="13">
        <f t="shared" si="27"/>
        <v>-4.4000000000000021</v>
      </c>
      <c r="V409" s="23">
        <v>1494.5</v>
      </c>
      <c r="W409" s="23">
        <v>1494.5</v>
      </c>
      <c r="X409" s="20" t="s">
        <v>3722</v>
      </c>
      <c r="Y409" s="24" t="s">
        <v>3713</v>
      </c>
      <c r="Z409" s="16">
        <v>1176.5</v>
      </c>
      <c r="AA409" s="17">
        <v>370</v>
      </c>
      <c r="AB409" s="25" t="s">
        <v>3876</v>
      </c>
    </row>
    <row r="410" spans="1:28" x14ac:dyDescent="0.45">
      <c r="A410" s="4" t="s">
        <v>862</v>
      </c>
      <c r="B410" s="4" t="s">
        <v>863</v>
      </c>
      <c r="C410" s="4" t="s">
        <v>4</v>
      </c>
      <c r="D410" s="4" t="s">
        <v>820</v>
      </c>
      <c r="E410" s="4" t="s">
        <v>6</v>
      </c>
      <c r="F410" s="5">
        <v>60</v>
      </c>
      <c r="G410" s="5">
        <v>66.8</v>
      </c>
      <c r="H410" s="4" t="s">
        <v>414</v>
      </c>
      <c r="I410" s="10">
        <v>273</v>
      </c>
      <c r="J410" s="34">
        <f t="shared" si="24"/>
        <v>2.3750999999999998</v>
      </c>
      <c r="K410" s="34">
        <f t="shared" si="25"/>
        <v>3.56</v>
      </c>
      <c r="L410" s="34">
        <f t="shared" si="26"/>
        <v>14.24</v>
      </c>
      <c r="M410" s="11" t="s">
        <v>3815</v>
      </c>
      <c r="N410" s="11" t="s">
        <v>3791</v>
      </c>
      <c r="O410" s="11" t="s">
        <v>3711</v>
      </c>
      <c r="P410" s="11" t="s">
        <v>3792</v>
      </c>
      <c r="Q410" s="12">
        <v>60</v>
      </c>
      <c r="R410" s="12">
        <v>68</v>
      </c>
      <c r="S410" s="12">
        <v>5</v>
      </c>
      <c r="T410" s="13">
        <v>8.59</v>
      </c>
      <c r="U410" s="13">
        <f t="shared" si="27"/>
        <v>-5.65</v>
      </c>
      <c r="V410" s="14">
        <v>1052.28</v>
      </c>
      <c r="W410" s="14">
        <v>1052.28</v>
      </c>
      <c r="X410" s="11">
        <v>10</v>
      </c>
      <c r="Y410" s="15" t="s">
        <v>3713</v>
      </c>
      <c r="Z410" s="16">
        <v>779.28</v>
      </c>
      <c r="AA410" s="17">
        <v>285.5</v>
      </c>
      <c r="AB410" s="18" t="s">
        <v>3877</v>
      </c>
    </row>
    <row r="411" spans="1:28" x14ac:dyDescent="0.45">
      <c r="A411" s="2" t="s">
        <v>864</v>
      </c>
      <c r="B411" s="2" t="s">
        <v>865</v>
      </c>
      <c r="C411" s="2" t="s">
        <v>4</v>
      </c>
      <c r="D411" s="2" t="s">
        <v>820</v>
      </c>
      <c r="E411" s="2" t="s">
        <v>6</v>
      </c>
      <c r="F411" s="3">
        <v>60</v>
      </c>
      <c r="G411" s="3">
        <v>68.8</v>
      </c>
      <c r="H411" s="2" t="s">
        <v>169</v>
      </c>
      <c r="I411" s="19">
        <v>342</v>
      </c>
      <c r="J411" s="34">
        <f t="shared" si="24"/>
        <v>2.9753999999999996</v>
      </c>
      <c r="K411" s="34">
        <f t="shared" si="25"/>
        <v>4.46</v>
      </c>
      <c r="L411" s="34">
        <f t="shared" si="26"/>
        <v>17.84</v>
      </c>
      <c r="M411" s="20" t="s">
        <v>3815</v>
      </c>
      <c r="N411" s="20" t="s">
        <v>3791</v>
      </c>
      <c r="O411" s="20" t="s">
        <v>3711</v>
      </c>
      <c r="P411" s="20" t="s">
        <v>3792</v>
      </c>
      <c r="Q411" s="21">
        <v>60</v>
      </c>
      <c r="R411" s="21">
        <v>68</v>
      </c>
      <c r="S411" s="21">
        <v>5</v>
      </c>
      <c r="T411" s="22">
        <v>8.59</v>
      </c>
      <c r="U411" s="13">
        <f t="shared" si="27"/>
        <v>-9.25</v>
      </c>
      <c r="V411" s="23">
        <v>1052.28</v>
      </c>
      <c r="W411" s="23">
        <v>1052.28</v>
      </c>
      <c r="X411" s="20">
        <v>10</v>
      </c>
      <c r="Y411" s="24" t="s">
        <v>3713</v>
      </c>
      <c r="Z411" s="16">
        <v>710.28</v>
      </c>
      <c r="AA411" s="17">
        <v>207.7</v>
      </c>
      <c r="AB411" s="25" t="s">
        <v>3876</v>
      </c>
    </row>
    <row r="412" spans="1:28" x14ac:dyDescent="0.45">
      <c r="A412" s="4" t="s">
        <v>866</v>
      </c>
      <c r="B412" s="4" t="s">
        <v>867</v>
      </c>
      <c r="C412" s="4" t="s">
        <v>4</v>
      </c>
      <c r="D412" s="4" t="s">
        <v>820</v>
      </c>
      <c r="E412" s="4" t="s">
        <v>6</v>
      </c>
      <c r="F412" s="5">
        <v>63</v>
      </c>
      <c r="G412" s="5">
        <v>69.8</v>
      </c>
      <c r="H412" s="4" t="s">
        <v>414</v>
      </c>
      <c r="I412" s="10">
        <v>284</v>
      </c>
      <c r="J412" s="34">
        <f t="shared" si="24"/>
        <v>2.4707999999999997</v>
      </c>
      <c r="K412" s="34">
        <f t="shared" si="25"/>
        <v>3.71</v>
      </c>
      <c r="L412" s="34">
        <f t="shared" si="26"/>
        <v>14.84</v>
      </c>
      <c r="M412" s="11" t="s">
        <v>3861</v>
      </c>
      <c r="N412" s="11" t="s">
        <v>3750</v>
      </c>
      <c r="O412" s="11" t="s">
        <v>3711</v>
      </c>
      <c r="P412" s="11" t="s">
        <v>3751</v>
      </c>
      <c r="Q412" s="12">
        <v>63</v>
      </c>
      <c r="R412" s="12">
        <v>71</v>
      </c>
      <c r="S412" s="12">
        <v>4</v>
      </c>
      <c r="T412" s="13">
        <v>15.53</v>
      </c>
      <c r="U412" s="13">
        <f t="shared" si="27"/>
        <v>0.6899999999999995</v>
      </c>
      <c r="V412" s="14">
        <v>1902.42</v>
      </c>
      <c r="W412" s="14">
        <v>1902.42</v>
      </c>
      <c r="X412" s="11">
        <v>151</v>
      </c>
      <c r="Y412" s="15" t="s">
        <v>3713</v>
      </c>
      <c r="Z412" s="16">
        <v>1618.42</v>
      </c>
      <c r="AA412" s="17">
        <v>569.9</v>
      </c>
      <c r="AB412" s="18" t="s">
        <v>3877</v>
      </c>
    </row>
    <row r="413" spans="1:28" x14ac:dyDescent="0.45">
      <c r="A413" s="2" t="s">
        <v>868</v>
      </c>
      <c r="B413" s="2" t="s">
        <v>869</v>
      </c>
      <c r="C413" s="2" t="s">
        <v>4</v>
      </c>
      <c r="D413" s="2" t="s">
        <v>820</v>
      </c>
      <c r="E413" s="2" t="s">
        <v>6</v>
      </c>
      <c r="F413" s="3">
        <v>63</v>
      </c>
      <c r="G413" s="3">
        <v>71.8</v>
      </c>
      <c r="H413" s="2" t="s">
        <v>169</v>
      </c>
      <c r="I413" s="19">
        <v>342</v>
      </c>
      <c r="J413" s="34">
        <f t="shared" si="24"/>
        <v>2.9753999999999996</v>
      </c>
      <c r="K413" s="34">
        <f t="shared" si="25"/>
        <v>4.46</v>
      </c>
      <c r="L413" s="34">
        <f t="shared" si="26"/>
        <v>17.84</v>
      </c>
      <c r="M413" s="20" t="s">
        <v>3861</v>
      </c>
      <c r="N413" s="20" t="s">
        <v>3750</v>
      </c>
      <c r="O413" s="20" t="s">
        <v>3711</v>
      </c>
      <c r="P413" s="20" t="s">
        <v>3751</v>
      </c>
      <c r="Q413" s="21">
        <v>63</v>
      </c>
      <c r="R413" s="21">
        <v>71</v>
      </c>
      <c r="S413" s="21">
        <v>4</v>
      </c>
      <c r="T413" s="22">
        <v>15.53</v>
      </c>
      <c r="U413" s="13">
        <f t="shared" si="27"/>
        <v>-2.3100000000000005</v>
      </c>
      <c r="V413" s="23">
        <v>1902.42</v>
      </c>
      <c r="W413" s="23">
        <v>1902.42</v>
      </c>
      <c r="X413" s="20">
        <v>151</v>
      </c>
      <c r="Y413" s="24" t="s">
        <v>3713</v>
      </c>
      <c r="Z413" s="16">
        <v>1560.42</v>
      </c>
      <c r="AA413" s="17">
        <v>456.3</v>
      </c>
      <c r="AB413" s="25" t="s">
        <v>3876</v>
      </c>
    </row>
    <row r="414" spans="1:28" x14ac:dyDescent="0.45">
      <c r="A414" s="4" t="s">
        <v>870</v>
      </c>
      <c r="B414" s="4" t="s">
        <v>871</v>
      </c>
      <c r="C414" s="4" t="s">
        <v>4</v>
      </c>
      <c r="D414" s="4" t="s">
        <v>820</v>
      </c>
      <c r="E414" s="4" t="s">
        <v>6</v>
      </c>
      <c r="F414" s="5">
        <v>65</v>
      </c>
      <c r="G414" s="5">
        <v>73.8</v>
      </c>
      <c r="H414" s="4" t="s">
        <v>169</v>
      </c>
      <c r="I414" s="10">
        <v>353</v>
      </c>
      <c r="J414" s="34">
        <f t="shared" si="24"/>
        <v>3.0710999999999999</v>
      </c>
      <c r="K414" s="34">
        <f t="shared" si="25"/>
        <v>4.6100000000000003</v>
      </c>
      <c r="L414" s="34">
        <f t="shared" si="26"/>
        <v>18.440000000000001</v>
      </c>
      <c r="M414" s="11" t="s">
        <v>3747</v>
      </c>
      <c r="N414" s="11" t="s">
        <v>3716</v>
      </c>
      <c r="O414" s="11" t="s">
        <v>3711</v>
      </c>
      <c r="P414" s="11" t="s">
        <v>3717</v>
      </c>
      <c r="Q414" s="12">
        <v>65</v>
      </c>
      <c r="R414" s="12">
        <v>75</v>
      </c>
      <c r="S414" s="12">
        <v>6</v>
      </c>
      <c r="T414" s="13">
        <v>17.170000000000002</v>
      </c>
      <c r="U414" s="13">
        <f t="shared" si="27"/>
        <v>-1.2699999999999996</v>
      </c>
      <c r="V414" s="14">
        <v>2103.33</v>
      </c>
      <c r="W414" s="14">
        <v>2103.33</v>
      </c>
      <c r="X414" s="11">
        <v>21</v>
      </c>
      <c r="Y414" s="15" t="s">
        <v>3713</v>
      </c>
      <c r="Z414" s="16">
        <v>1750.33</v>
      </c>
      <c r="AA414" s="17">
        <v>495.8</v>
      </c>
      <c r="AB414" s="18" t="s">
        <v>3877</v>
      </c>
    </row>
    <row r="415" spans="1:28" x14ac:dyDescent="0.45">
      <c r="A415" s="2" t="s">
        <v>872</v>
      </c>
      <c r="B415" s="2" t="s">
        <v>873</v>
      </c>
      <c r="C415" s="2" t="s">
        <v>4</v>
      </c>
      <c r="D415" s="2" t="s">
        <v>820</v>
      </c>
      <c r="E415" s="2" t="s">
        <v>6</v>
      </c>
      <c r="F415" s="3">
        <v>70</v>
      </c>
      <c r="G415" s="3">
        <v>78.8</v>
      </c>
      <c r="H415" s="2" t="s">
        <v>169</v>
      </c>
      <c r="I415" s="19">
        <v>387</v>
      </c>
      <c r="J415" s="34">
        <f t="shared" si="24"/>
        <v>3.3668999999999998</v>
      </c>
      <c r="K415" s="34">
        <f t="shared" si="25"/>
        <v>5.05</v>
      </c>
      <c r="L415" s="34">
        <f t="shared" si="26"/>
        <v>20.2</v>
      </c>
      <c r="M415" s="20" t="s">
        <v>3749</v>
      </c>
      <c r="N415" s="20" t="s">
        <v>3750</v>
      </c>
      <c r="O415" s="20" t="s">
        <v>3711</v>
      </c>
      <c r="P415" s="20" t="s">
        <v>3751</v>
      </c>
      <c r="Q415" s="21">
        <v>70</v>
      </c>
      <c r="R415" s="21">
        <v>78</v>
      </c>
      <c r="S415" s="21">
        <v>4</v>
      </c>
      <c r="T415" s="22">
        <v>17.29</v>
      </c>
      <c r="U415" s="13">
        <f t="shared" si="27"/>
        <v>-2.91</v>
      </c>
      <c r="V415" s="23">
        <v>2118.02</v>
      </c>
      <c r="W415" s="23">
        <v>2118.02</v>
      </c>
      <c r="X415" s="20">
        <v>7</v>
      </c>
      <c r="Y415" s="24" t="s">
        <v>3713</v>
      </c>
      <c r="Z415" s="16">
        <v>1731.02</v>
      </c>
      <c r="AA415" s="17">
        <v>447.3</v>
      </c>
      <c r="AB415" s="25" t="s">
        <v>3876</v>
      </c>
    </row>
    <row r="416" spans="1:28" x14ac:dyDescent="0.45">
      <c r="A416" s="4" t="s">
        <v>874</v>
      </c>
      <c r="B416" s="4" t="s">
        <v>875</v>
      </c>
      <c r="C416" s="4" t="s">
        <v>4</v>
      </c>
      <c r="D416" s="4" t="s">
        <v>820</v>
      </c>
      <c r="E416" s="4" t="s">
        <v>6</v>
      </c>
      <c r="F416" s="5">
        <v>70</v>
      </c>
      <c r="G416" s="5">
        <v>82.2</v>
      </c>
      <c r="H416" s="4" t="s">
        <v>876</v>
      </c>
      <c r="I416" s="10">
        <v>648</v>
      </c>
      <c r="J416" s="34">
        <f t="shared" si="24"/>
        <v>5.6375999999999999</v>
      </c>
      <c r="K416" s="34">
        <f t="shared" si="25"/>
        <v>8.4600000000000009</v>
      </c>
      <c r="L416" s="34">
        <f t="shared" si="26"/>
        <v>33.840000000000003</v>
      </c>
      <c r="M416" s="11" t="s">
        <v>3752</v>
      </c>
      <c r="N416" s="11" t="s">
        <v>3716</v>
      </c>
      <c r="O416" s="11" t="s">
        <v>3711</v>
      </c>
      <c r="P416" s="11" t="s">
        <v>3717</v>
      </c>
      <c r="Q416" s="12">
        <v>70</v>
      </c>
      <c r="R416" s="12">
        <v>82</v>
      </c>
      <c r="S416" s="12">
        <v>7</v>
      </c>
      <c r="T416" s="13">
        <v>19.12</v>
      </c>
      <c r="U416" s="13">
        <f t="shared" si="27"/>
        <v>-14.720000000000002</v>
      </c>
      <c r="V416" s="14">
        <v>2342.1999999999998</v>
      </c>
      <c r="W416" s="14">
        <v>2342.1999999999998</v>
      </c>
      <c r="X416" s="11">
        <v>25</v>
      </c>
      <c r="Y416" s="15" t="s">
        <v>3713</v>
      </c>
      <c r="Z416" s="16">
        <v>1694.2</v>
      </c>
      <c r="AA416" s="17">
        <v>261.5</v>
      </c>
      <c r="AB416" s="18" t="s">
        <v>3793</v>
      </c>
    </row>
    <row r="417" spans="1:28" x14ac:dyDescent="0.45">
      <c r="A417" s="2" t="s">
        <v>877</v>
      </c>
      <c r="B417" s="2" t="s">
        <v>878</v>
      </c>
      <c r="C417" s="2" t="s">
        <v>4</v>
      </c>
      <c r="D417" s="2" t="s">
        <v>820</v>
      </c>
      <c r="E417" s="2" t="s">
        <v>6</v>
      </c>
      <c r="F417" s="3">
        <v>75</v>
      </c>
      <c r="G417" s="3">
        <v>83.8</v>
      </c>
      <c r="H417" s="2" t="s">
        <v>169</v>
      </c>
      <c r="I417" s="19">
        <v>409</v>
      </c>
      <c r="J417" s="34">
        <f t="shared" si="24"/>
        <v>3.5582999999999996</v>
      </c>
      <c r="K417" s="34">
        <f t="shared" si="25"/>
        <v>5.34</v>
      </c>
      <c r="L417" s="34">
        <f t="shared" si="26"/>
        <v>21.36</v>
      </c>
      <c r="M417" s="20" t="s">
        <v>3788</v>
      </c>
      <c r="N417" s="20" t="s">
        <v>3716</v>
      </c>
      <c r="O417" s="20" t="s">
        <v>3711</v>
      </c>
      <c r="P417" s="20" t="s">
        <v>3717</v>
      </c>
      <c r="Q417" s="21">
        <v>75</v>
      </c>
      <c r="R417" s="21">
        <v>83</v>
      </c>
      <c r="S417" s="21">
        <v>5</v>
      </c>
      <c r="T417" s="22">
        <v>20.010000000000002</v>
      </c>
      <c r="U417" s="13">
        <f t="shared" si="27"/>
        <v>-1.3499999999999979</v>
      </c>
      <c r="V417" s="23">
        <v>2451.23</v>
      </c>
      <c r="W417" s="23">
        <v>2451.23</v>
      </c>
      <c r="X417" s="20">
        <v>10</v>
      </c>
      <c r="Y417" s="24" t="s">
        <v>3713</v>
      </c>
      <c r="Z417" s="16">
        <v>2042.23</v>
      </c>
      <c r="AA417" s="17">
        <v>499.3</v>
      </c>
      <c r="AB417" s="25" t="s">
        <v>3876</v>
      </c>
    </row>
    <row r="418" spans="1:28" x14ac:dyDescent="0.45">
      <c r="A418" s="4" t="s">
        <v>879</v>
      </c>
      <c r="B418" s="4" t="s">
        <v>880</v>
      </c>
      <c r="C418" s="4" t="s">
        <v>4</v>
      </c>
      <c r="D418" s="4" t="s">
        <v>820</v>
      </c>
      <c r="E418" s="4" t="s">
        <v>6</v>
      </c>
      <c r="F418" s="5">
        <v>80</v>
      </c>
      <c r="G418" s="5">
        <v>88.8</v>
      </c>
      <c r="H418" s="4" t="s">
        <v>169</v>
      </c>
      <c r="I418" s="10">
        <v>432</v>
      </c>
      <c r="J418" s="34">
        <f t="shared" si="24"/>
        <v>3.7584</v>
      </c>
      <c r="K418" s="34">
        <f t="shared" si="25"/>
        <v>5.64</v>
      </c>
      <c r="L418" s="34">
        <f t="shared" si="26"/>
        <v>22.56</v>
      </c>
      <c r="M418" s="11" t="s">
        <v>3862</v>
      </c>
      <c r="N418" s="11" t="s">
        <v>3791</v>
      </c>
      <c r="O418" s="11" t="s">
        <v>3711</v>
      </c>
      <c r="P418" s="11" t="s">
        <v>3792</v>
      </c>
      <c r="Q418" s="12">
        <v>80</v>
      </c>
      <c r="R418" s="12">
        <v>88</v>
      </c>
      <c r="S418" s="12">
        <v>5</v>
      </c>
      <c r="T418" s="13">
        <v>11.5</v>
      </c>
      <c r="U418" s="13">
        <f t="shared" si="27"/>
        <v>-11.059999999999999</v>
      </c>
      <c r="V418" s="14">
        <v>1408.75</v>
      </c>
      <c r="W418" s="14">
        <v>1408.75</v>
      </c>
      <c r="X418" s="11">
        <v>16</v>
      </c>
      <c r="Y418" s="15" t="s">
        <v>3713</v>
      </c>
      <c r="Z418" s="16">
        <v>976.75</v>
      </c>
      <c r="AA418" s="17">
        <v>226.1</v>
      </c>
      <c r="AB418" s="18" t="s">
        <v>3876</v>
      </c>
    </row>
    <row r="419" spans="1:28" x14ac:dyDescent="0.45">
      <c r="A419" s="2" t="s">
        <v>881</v>
      </c>
      <c r="B419" s="2" t="s">
        <v>882</v>
      </c>
      <c r="C419" s="2" t="s">
        <v>4</v>
      </c>
      <c r="D419" s="2" t="s">
        <v>820</v>
      </c>
      <c r="E419" s="2" t="s">
        <v>6</v>
      </c>
      <c r="F419" s="3">
        <v>85</v>
      </c>
      <c r="G419" s="3">
        <v>93.8</v>
      </c>
      <c r="H419" s="2" t="s">
        <v>169</v>
      </c>
      <c r="I419" s="19">
        <v>466</v>
      </c>
      <c r="J419" s="34">
        <f t="shared" si="24"/>
        <v>4.0541999999999998</v>
      </c>
      <c r="K419" s="34">
        <f t="shared" si="25"/>
        <v>6.08</v>
      </c>
      <c r="L419" s="34">
        <f t="shared" si="26"/>
        <v>24.32</v>
      </c>
      <c r="M419" s="20" t="s">
        <v>3863</v>
      </c>
      <c r="N419" s="20" t="s">
        <v>3716</v>
      </c>
      <c r="O419" s="20" t="s">
        <v>3711</v>
      </c>
      <c r="P419" s="20" t="s">
        <v>3717</v>
      </c>
      <c r="Q419" s="21">
        <v>85</v>
      </c>
      <c r="R419" s="21">
        <v>93</v>
      </c>
      <c r="S419" s="21">
        <v>5</v>
      </c>
      <c r="T419" s="22">
        <v>12.52</v>
      </c>
      <c r="U419" s="13">
        <f t="shared" si="27"/>
        <v>-11.8</v>
      </c>
      <c r="V419" s="23">
        <v>1533.7</v>
      </c>
      <c r="W419" s="23">
        <v>1533.7</v>
      </c>
      <c r="X419" s="20">
        <v>22</v>
      </c>
      <c r="Y419" s="24" t="s">
        <v>3713</v>
      </c>
      <c r="Z419" s="16">
        <v>1067.7</v>
      </c>
      <c r="AA419" s="17">
        <v>229.1</v>
      </c>
      <c r="AB419" s="25" t="s">
        <v>3876</v>
      </c>
    </row>
    <row r="420" spans="1:28" x14ac:dyDescent="0.45">
      <c r="A420" s="4" t="s">
        <v>883</v>
      </c>
      <c r="B420" s="4" t="s">
        <v>884</v>
      </c>
      <c r="C420" s="4" t="s">
        <v>4</v>
      </c>
      <c r="D420" s="4" t="s">
        <v>820</v>
      </c>
      <c r="E420" s="4" t="s">
        <v>6</v>
      </c>
      <c r="F420" s="5">
        <v>90</v>
      </c>
      <c r="G420" s="5">
        <v>98.8</v>
      </c>
      <c r="H420" s="4" t="s">
        <v>169</v>
      </c>
      <c r="I420" s="10">
        <v>490</v>
      </c>
      <c r="J420" s="34">
        <f t="shared" si="24"/>
        <v>4.2629999999999999</v>
      </c>
      <c r="K420" s="34">
        <f t="shared" si="25"/>
        <v>6.39</v>
      </c>
      <c r="L420" s="34">
        <f t="shared" si="26"/>
        <v>25.56</v>
      </c>
      <c r="M420" s="11" t="s">
        <v>3833</v>
      </c>
      <c r="N420" s="11" t="s">
        <v>3716</v>
      </c>
      <c r="O420" s="11" t="s">
        <v>3711</v>
      </c>
      <c r="P420" s="11" t="s">
        <v>3717</v>
      </c>
      <c r="Q420" s="12">
        <v>90</v>
      </c>
      <c r="R420" s="12">
        <v>100</v>
      </c>
      <c r="S420" s="12">
        <v>6</v>
      </c>
      <c r="T420" s="13">
        <v>10.94</v>
      </c>
      <c r="U420" s="13">
        <f t="shared" si="27"/>
        <v>-14.62</v>
      </c>
      <c r="V420" s="14">
        <v>1340.15</v>
      </c>
      <c r="W420" s="14">
        <v>1340.15</v>
      </c>
      <c r="X420" s="11">
        <v>106</v>
      </c>
      <c r="Y420" s="15" t="s">
        <v>3713</v>
      </c>
      <c r="Z420" s="16">
        <v>850.15000000000009</v>
      </c>
      <c r="AA420" s="17">
        <v>173.5</v>
      </c>
      <c r="AB420" s="18" t="s">
        <v>3877</v>
      </c>
    </row>
    <row r="421" spans="1:28" x14ac:dyDescent="0.45">
      <c r="A421" s="2" t="s">
        <v>885</v>
      </c>
      <c r="B421" s="2" t="s">
        <v>886</v>
      </c>
      <c r="C421" s="2" t="s">
        <v>4</v>
      </c>
      <c r="D421" s="2" t="s">
        <v>820</v>
      </c>
      <c r="E421" s="2" t="s">
        <v>6</v>
      </c>
      <c r="F421" s="3">
        <v>90</v>
      </c>
      <c r="G421" s="3">
        <v>102</v>
      </c>
      <c r="H421" s="2" t="s">
        <v>158</v>
      </c>
      <c r="I421" s="19">
        <v>830</v>
      </c>
      <c r="J421" s="34">
        <f t="shared" si="24"/>
        <v>7.2209999999999992</v>
      </c>
      <c r="K421" s="34">
        <f t="shared" si="25"/>
        <v>10.83</v>
      </c>
      <c r="L421" s="34">
        <f t="shared" si="26"/>
        <v>43.32</v>
      </c>
      <c r="M421" s="20" t="s">
        <v>3756</v>
      </c>
      <c r="N421" s="20" t="s">
        <v>3716</v>
      </c>
      <c r="O421" s="20" t="s">
        <v>3711</v>
      </c>
      <c r="P421" s="20" t="s">
        <v>3717</v>
      </c>
      <c r="Q421" s="21">
        <v>90</v>
      </c>
      <c r="R421" s="21">
        <v>102</v>
      </c>
      <c r="S421" s="21">
        <v>7</v>
      </c>
      <c r="T421" s="22">
        <v>12.47</v>
      </c>
      <c r="U421" s="13">
        <f t="shared" si="27"/>
        <v>-30.85</v>
      </c>
      <c r="V421" s="23">
        <v>1527.58</v>
      </c>
      <c r="W421" s="23">
        <v>1527.58</v>
      </c>
      <c r="X421" s="20">
        <v>143</v>
      </c>
      <c r="Y421" s="24" t="s">
        <v>3713</v>
      </c>
      <c r="Z421" s="16">
        <v>697.57999999999993</v>
      </c>
      <c r="AA421" s="17">
        <v>84</v>
      </c>
      <c r="AB421" s="25" t="s">
        <v>3714</v>
      </c>
    </row>
    <row r="422" spans="1:28" x14ac:dyDescent="0.45">
      <c r="A422" s="4" t="s">
        <v>887</v>
      </c>
      <c r="B422" s="4" t="s">
        <v>888</v>
      </c>
      <c r="C422" s="4" t="s">
        <v>4</v>
      </c>
      <c r="D422" s="4" t="s">
        <v>820</v>
      </c>
      <c r="E422" s="4" t="s">
        <v>6</v>
      </c>
      <c r="F422" s="5">
        <v>95</v>
      </c>
      <c r="G422" s="5">
        <v>103.8</v>
      </c>
      <c r="H422" s="4" t="s">
        <v>169</v>
      </c>
      <c r="I422" s="10">
        <v>523</v>
      </c>
      <c r="J422" s="34">
        <f t="shared" si="24"/>
        <v>4.5500999999999996</v>
      </c>
      <c r="K422" s="34">
        <f t="shared" si="25"/>
        <v>6.83</v>
      </c>
      <c r="L422" s="34">
        <f t="shared" si="26"/>
        <v>27.32</v>
      </c>
      <c r="M422" s="11" t="s">
        <v>3834</v>
      </c>
      <c r="N422" s="11" t="s">
        <v>3716</v>
      </c>
      <c r="O422" s="11" t="s">
        <v>3711</v>
      </c>
      <c r="P422" s="11" t="s">
        <v>3717</v>
      </c>
      <c r="Q422" s="12">
        <v>96</v>
      </c>
      <c r="R422" s="12">
        <v>104</v>
      </c>
      <c r="S422" s="12">
        <v>7.6</v>
      </c>
      <c r="T422" s="13">
        <v>16.57</v>
      </c>
      <c r="U422" s="13">
        <f t="shared" si="27"/>
        <v>-10.75</v>
      </c>
      <c r="V422" s="14">
        <v>2029.82</v>
      </c>
      <c r="W422" s="14">
        <v>2029.82</v>
      </c>
      <c r="X422" s="11" t="s">
        <v>3722</v>
      </c>
      <c r="Y422" s="15" t="s">
        <v>3713</v>
      </c>
      <c r="Z422" s="16">
        <v>1506.82</v>
      </c>
      <c r="AA422" s="17">
        <v>288.10000000000002</v>
      </c>
      <c r="AB422" s="18" t="s">
        <v>3878</v>
      </c>
    </row>
    <row r="423" spans="1:28" x14ac:dyDescent="0.45">
      <c r="A423" s="2" t="s">
        <v>889</v>
      </c>
      <c r="B423" s="2" t="s">
        <v>890</v>
      </c>
      <c r="C423" s="2" t="s">
        <v>4</v>
      </c>
      <c r="D423" s="2" t="s">
        <v>820</v>
      </c>
      <c r="E423" s="2" t="s">
        <v>6</v>
      </c>
      <c r="F423" s="3">
        <v>100</v>
      </c>
      <c r="G423" s="3">
        <v>108.8</v>
      </c>
      <c r="H423" s="2" t="s">
        <v>169</v>
      </c>
      <c r="I423" s="19">
        <v>545</v>
      </c>
      <c r="J423" s="34">
        <f t="shared" si="24"/>
        <v>4.7414999999999994</v>
      </c>
      <c r="K423" s="34">
        <f t="shared" si="25"/>
        <v>7.11</v>
      </c>
      <c r="L423" s="34">
        <f t="shared" si="26"/>
        <v>28.44</v>
      </c>
      <c r="M423" s="20" t="s">
        <v>3835</v>
      </c>
      <c r="N423" s="20" t="s">
        <v>3716</v>
      </c>
      <c r="O423" s="20" t="s">
        <v>3711</v>
      </c>
      <c r="P423" s="20" t="s">
        <v>3717</v>
      </c>
      <c r="Q423" s="21">
        <v>100</v>
      </c>
      <c r="R423" s="21">
        <v>110</v>
      </c>
      <c r="S423" s="21">
        <v>5.3</v>
      </c>
      <c r="T423" s="22">
        <v>14.88</v>
      </c>
      <c r="U423" s="13">
        <f t="shared" si="27"/>
        <v>-13.56</v>
      </c>
      <c r="V423" s="23">
        <v>1822.8</v>
      </c>
      <c r="W423" s="23">
        <v>1822.8</v>
      </c>
      <c r="X423" s="20">
        <v>35</v>
      </c>
      <c r="Y423" s="24" t="s">
        <v>3713</v>
      </c>
      <c r="Z423" s="16">
        <v>1277.8</v>
      </c>
      <c r="AA423" s="17">
        <v>234.5</v>
      </c>
      <c r="AB423" s="25" t="s">
        <v>3877</v>
      </c>
    </row>
    <row r="424" spans="1:28" x14ac:dyDescent="0.45">
      <c r="A424" s="4" t="s">
        <v>891</v>
      </c>
      <c r="B424" s="4" t="s">
        <v>892</v>
      </c>
      <c r="C424" s="4" t="s">
        <v>4</v>
      </c>
      <c r="D424" s="4" t="s">
        <v>820</v>
      </c>
      <c r="E424" s="4" t="s">
        <v>6</v>
      </c>
      <c r="F424" s="5">
        <v>100</v>
      </c>
      <c r="G424" s="5">
        <v>112</v>
      </c>
      <c r="H424" s="4" t="s">
        <v>158</v>
      </c>
      <c r="I424" s="10">
        <v>921</v>
      </c>
      <c r="J424" s="34">
        <f t="shared" si="24"/>
        <v>8.0126999999999988</v>
      </c>
      <c r="K424" s="34">
        <f t="shared" si="25"/>
        <v>12.02</v>
      </c>
      <c r="L424" s="34">
        <f t="shared" si="26"/>
        <v>48.08</v>
      </c>
      <c r="M424" s="11" t="s">
        <v>3758</v>
      </c>
      <c r="N424" s="11" t="s">
        <v>3716</v>
      </c>
      <c r="O424" s="11" t="s">
        <v>3711</v>
      </c>
      <c r="P424" s="11" t="s">
        <v>3717</v>
      </c>
      <c r="Q424" s="12">
        <v>100</v>
      </c>
      <c r="R424" s="12">
        <v>112</v>
      </c>
      <c r="S424" s="12">
        <v>7.2</v>
      </c>
      <c r="T424" s="13">
        <v>24.31</v>
      </c>
      <c r="U424" s="13">
        <f t="shared" si="27"/>
        <v>-23.77</v>
      </c>
      <c r="V424" s="14">
        <v>2977.98</v>
      </c>
      <c r="W424" s="14">
        <v>2977.98</v>
      </c>
      <c r="X424" s="11">
        <v>131</v>
      </c>
      <c r="Y424" s="15" t="s">
        <v>3713</v>
      </c>
      <c r="Z424" s="16">
        <v>2056.98</v>
      </c>
      <c r="AA424" s="17">
        <v>223.3</v>
      </c>
      <c r="AB424" s="18" t="s">
        <v>3714</v>
      </c>
    </row>
    <row r="425" spans="1:28" x14ac:dyDescent="0.45">
      <c r="A425" s="2" t="s">
        <v>893</v>
      </c>
      <c r="B425" s="2" t="s">
        <v>894</v>
      </c>
      <c r="C425" s="2" t="s">
        <v>4</v>
      </c>
      <c r="D425" s="2" t="s">
        <v>820</v>
      </c>
      <c r="E425" s="2" t="s">
        <v>6</v>
      </c>
      <c r="F425" s="3">
        <v>105</v>
      </c>
      <c r="G425" s="3">
        <v>113.8</v>
      </c>
      <c r="H425" s="2" t="s">
        <v>169</v>
      </c>
      <c r="I425" s="19">
        <v>569</v>
      </c>
      <c r="J425" s="34">
        <f t="shared" si="24"/>
        <v>4.9502999999999995</v>
      </c>
      <c r="K425" s="34">
        <f t="shared" si="25"/>
        <v>7.43</v>
      </c>
      <c r="L425" s="34">
        <f t="shared" si="26"/>
        <v>29.72</v>
      </c>
      <c r="M425" s="20" t="s">
        <v>3883</v>
      </c>
      <c r="N425" s="20" t="s">
        <v>3716</v>
      </c>
      <c r="O425" s="20" t="s">
        <v>3711</v>
      </c>
      <c r="P425" s="20" t="s">
        <v>3717</v>
      </c>
      <c r="Q425" s="21">
        <v>105</v>
      </c>
      <c r="R425" s="21">
        <v>113</v>
      </c>
      <c r="S425" s="21">
        <v>5</v>
      </c>
      <c r="T425" s="22">
        <v>15.8</v>
      </c>
      <c r="U425" s="13">
        <f t="shared" si="27"/>
        <v>-13.919999999999998</v>
      </c>
      <c r="V425" s="23">
        <v>1935.5</v>
      </c>
      <c r="W425" s="23">
        <v>1935.5</v>
      </c>
      <c r="X425" s="20">
        <v>11</v>
      </c>
      <c r="Y425" s="24" t="s">
        <v>3713</v>
      </c>
      <c r="Z425" s="16">
        <v>1366.5</v>
      </c>
      <c r="AA425" s="17">
        <v>240.2</v>
      </c>
      <c r="AB425" s="25" t="s">
        <v>3876</v>
      </c>
    </row>
    <row r="426" spans="1:28" x14ac:dyDescent="0.45">
      <c r="A426" s="4" t="s">
        <v>895</v>
      </c>
      <c r="B426" s="4" t="s">
        <v>896</v>
      </c>
      <c r="C426" s="4" t="s">
        <v>4</v>
      </c>
      <c r="D426" s="4" t="s">
        <v>820</v>
      </c>
      <c r="E426" s="4" t="s">
        <v>6</v>
      </c>
      <c r="F426" s="5">
        <v>110</v>
      </c>
      <c r="G426" s="5">
        <v>118.8</v>
      </c>
      <c r="H426" s="4" t="s">
        <v>169</v>
      </c>
      <c r="I426" s="10">
        <v>602</v>
      </c>
      <c r="J426" s="34">
        <f t="shared" si="24"/>
        <v>5.2374000000000001</v>
      </c>
      <c r="K426" s="34">
        <f t="shared" si="25"/>
        <v>7.86</v>
      </c>
      <c r="L426" s="34">
        <f t="shared" si="26"/>
        <v>31.44</v>
      </c>
      <c r="M426" s="11" t="s">
        <v>3823</v>
      </c>
      <c r="N426" s="11" t="s">
        <v>3775</v>
      </c>
      <c r="O426" s="11" t="s">
        <v>3711</v>
      </c>
      <c r="P426" s="11" t="s">
        <v>3776</v>
      </c>
      <c r="Q426" s="12">
        <v>110</v>
      </c>
      <c r="R426" s="12">
        <v>120</v>
      </c>
      <c r="S426" s="12">
        <v>7</v>
      </c>
      <c r="T426" s="13">
        <v>33.67</v>
      </c>
      <c r="U426" s="13">
        <f t="shared" si="27"/>
        <v>2.2300000000000004</v>
      </c>
      <c r="V426" s="14">
        <v>4124.58</v>
      </c>
      <c r="W426" s="14">
        <v>4124.58</v>
      </c>
      <c r="X426" s="11">
        <v>24</v>
      </c>
      <c r="Y426" s="15" t="s">
        <v>3713</v>
      </c>
      <c r="Z426" s="16">
        <v>3522.58</v>
      </c>
      <c r="AA426" s="17">
        <v>585.1</v>
      </c>
      <c r="AB426" s="18" t="s">
        <v>3877</v>
      </c>
    </row>
    <row r="427" spans="1:28" x14ac:dyDescent="0.45">
      <c r="A427" s="2" t="s">
        <v>897</v>
      </c>
      <c r="B427" s="2" t="s">
        <v>898</v>
      </c>
      <c r="C427" s="2" t="s">
        <v>4</v>
      </c>
      <c r="D427" s="2" t="s">
        <v>820</v>
      </c>
      <c r="E427" s="2" t="s">
        <v>6</v>
      </c>
      <c r="F427" s="3">
        <v>110</v>
      </c>
      <c r="G427" s="3">
        <v>122.2</v>
      </c>
      <c r="H427" s="2" t="s">
        <v>876</v>
      </c>
      <c r="I427" s="19">
        <v>1011</v>
      </c>
      <c r="J427" s="34">
        <f t="shared" si="24"/>
        <v>8.7957000000000001</v>
      </c>
      <c r="K427" s="34">
        <f t="shared" si="25"/>
        <v>13.19</v>
      </c>
      <c r="L427" s="34">
        <f t="shared" si="26"/>
        <v>52.76</v>
      </c>
      <c r="M427" s="20" t="s">
        <v>3759</v>
      </c>
      <c r="N427" s="20" t="s">
        <v>3716</v>
      </c>
      <c r="O427" s="20" t="s">
        <v>3711</v>
      </c>
      <c r="P427" s="20" t="s">
        <v>3717</v>
      </c>
      <c r="Q427" s="21">
        <v>110</v>
      </c>
      <c r="R427" s="21">
        <v>122</v>
      </c>
      <c r="S427" s="21">
        <v>7.2</v>
      </c>
      <c r="T427" s="22">
        <v>14.89</v>
      </c>
      <c r="U427" s="13">
        <f t="shared" si="27"/>
        <v>-37.869999999999997</v>
      </c>
      <c r="V427" s="23">
        <v>1824.02</v>
      </c>
      <c r="W427" s="23">
        <v>1824.02</v>
      </c>
      <c r="X427" s="20">
        <v>8</v>
      </c>
      <c r="Y427" s="24" t="s">
        <v>3713</v>
      </c>
      <c r="Z427" s="16">
        <v>813.02</v>
      </c>
      <c r="AA427" s="17">
        <v>80.400000000000006</v>
      </c>
      <c r="AB427" s="25" t="s">
        <v>3793</v>
      </c>
    </row>
    <row r="428" spans="1:28" x14ac:dyDescent="0.45">
      <c r="A428" s="4" t="s">
        <v>899</v>
      </c>
      <c r="B428" s="4" t="s">
        <v>900</v>
      </c>
      <c r="C428" s="4" t="s">
        <v>4</v>
      </c>
      <c r="D428" s="4" t="s">
        <v>820</v>
      </c>
      <c r="E428" s="4" t="s">
        <v>6</v>
      </c>
      <c r="F428" s="5">
        <v>130</v>
      </c>
      <c r="G428" s="5">
        <v>142.19999999999999</v>
      </c>
      <c r="H428" s="4" t="s">
        <v>158</v>
      </c>
      <c r="I428" s="10">
        <v>1193</v>
      </c>
      <c r="J428" s="34">
        <f t="shared" si="24"/>
        <v>10.379099999999999</v>
      </c>
      <c r="K428" s="34">
        <f t="shared" si="25"/>
        <v>15.57</v>
      </c>
      <c r="L428" s="34">
        <f t="shared" si="26"/>
        <v>62.28</v>
      </c>
      <c r="M428" s="11" t="s">
        <v>3763</v>
      </c>
      <c r="N428" s="11" t="s">
        <v>3716</v>
      </c>
      <c r="O428" s="11" t="s">
        <v>3711</v>
      </c>
      <c r="P428" s="11" t="s">
        <v>3717</v>
      </c>
      <c r="Q428" s="12">
        <v>130</v>
      </c>
      <c r="R428" s="12">
        <v>142</v>
      </c>
      <c r="S428" s="12">
        <v>7.2</v>
      </c>
      <c r="T428" s="13">
        <v>17.97</v>
      </c>
      <c r="U428" s="13">
        <f t="shared" si="27"/>
        <v>-44.31</v>
      </c>
      <c r="V428" s="14">
        <v>2201.3200000000002</v>
      </c>
      <c r="W428" s="14">
        <v>2201.3200000000002</v>
      </c>
      <c r="X428" s="11">
        <v>26</v>
      </c>
      <c r="Y428" s="15" t="s">
        <v>3713</v>
      </c>
      <c r="Z428" s="16">
        <v>1008.32</v>
      </c>
      <c r="AA428" s="17">
        <v>84.5</v>
      </c>
      <c r="AB428" s="18" t="s">
        <v>3793</v>
      </c>
    </row>
    <row r="429" spans="1:28" x14ac:dyDescent="0.45">
      <c r="A429" s="2" t="s">
        <v>901</v>
      </c>
      <c r="B429" s="2" t="s">
        <v>902</v>
      </c>
      <c r="C429" s="2" t="s">
        <v>4</v>
      </c>
      <c r="D429" s="2" t="s">
        <v>820</v>
      </c>
      <c r="E429" s="2" t="s">
        <v>6</v>
      </c>
      <c r="F429" s="3">
        <v>140</v>
      </c>
      <c r="G429" s="3">
        <v>156.80000000000001</v>
      </c>
      <c r="H429" s="2" t="s">
        <v>61</v>
      </c>
      <c r="I429" s="19">
        <v>3068</v>
      </c>
      <c r="J429" s="34">
        <f t="shared" si="24"/>
        <v>26.691599999999998</v>
      </c>
      <c r="K429" s="34">
        <f t="shared" si="25"/>
        <v>40.04</v>
      </c>
      <c r="L429" s="34">
        <f t="shared" si="26"/>
        <v>160.16</v>
      </c>
      <c r="M429" s="20" t="s">
        <v>3884</v>
      </c>
      <c r="N429" s="20" t="s">
        <v>3719</v>
      </c>
      <c r="O429" s="20" t="s">
        <v>3711</v>
      </c>
      <c r="P429" s="20" t="s">
        <v>3720</v>
      </c>
      <c r="Q429" s="21">
        <v>140</v>
      </c>
      <c r="R429" s="21">
        <v>156</v>
      </c>
      <c r="S429" s="21">
        <v>8</v>
      </c>
      <c r="T429" s="22">
        <v>36.619999999999997</v>
      </c>
      <c r="U429" s="13">
        <f t="shared" si="27"/>
        <v>-123.53999999999999</v>
      </c>
      <c r="V429" s="23">
        <v>4485.95</v>
      </c>
      <c r="W429" s="23">
        <v>4485.95</v>
      </c>
      <c r="X429" s="20">
        <v>3</v>
      </c>
      <c r="Y429" s="24" t="s">
        <v>3713</v>
      </c>
      <c r="Z429" s="16">
        <v>1417.95</v>
      </c>
      <c r="AA429" s="17">
        <v>46.2</v>
      </c>
      <c r="AB429" s="25" t="s">
        <v>3876</v>
      </c>
    </row>
    <row r="430" spans="1:28" x14ac:dyDescent="0.45">
      <c r="A430" s="4" t="s">
        <v>903</v>
      </c>
      <c r="B430" s="4" t="s">
        <v>904</v>
      </c>
      <c r="C430" s="4" t="s">
        <v>4</v>
      </c>
      <c r="D430" s="4" t="s">
        <v>820</v>
      </c>
      <c r="E430" s="4" t="s">
        <v>6</v>
      </c>
      <c r="F430" s="5">
        <v>180</v>
      </c>
      <c r="G430" s="5">
        <v>196</v>
      </c>
      <c r="H430" s="4" t="s">
        <v>61</v>
      </c>
      <c r="I430" s="10">
        <v>3977</v>
      </c>
      <c r="J430" s="34">
        <f t="shared" si="24"/>
        <v>34.599899999999998</v>
      </c>
      <c r="K430" s="34">
        <f t="shared" si="25"/>
        <v>51.9</v>
      </c>
      <c r="L430" s="34">
        <f t="shared" si="26"/>
        <v>207.6</v>
      </c>
      <c r="M430" s="11" t="s">
        <v>3824</v>
      </c>
      <c r="N430" s="11" t="s">
        <v>3716</v>
      </c>
      <c r="O430" s="11" t="s">
        <v>3711</v>
      </c>
      <c r="P430" s="11" t="s">
        <v>3717</v>
      </c>
      <c r="Q430" s="12">
        <v>180</v>
      </c>
      <c r="R430" s="12">
        <v>195</v>
      </c>
      <c r="S430" s="12">
        <v>9.5</v>
      </c>
      <c r="T430" s="13">
        <v>27.6</v>
      </c>
      <c r="U430" s="13">
        <f t="shared" si="27"/>
        <v>-180</v>
      </c>
      <c r="V430" s="14">
        <v>3381</v>
      </c>
      <c r="W430" s="14">
        <v>3381</v>
      </c>
      <c r="X430" s="11">
        <v>107</v>
      </c>
      <c r="Y430" s="15" t="s">
        <v>3713</v>
      </c>
      <c r="Z430" s="26">
        <v>-596</v>
      </c>
      <c r="AA430" s="27">
        <v>-15</v>
      </c>
      <c r="AB430" s="18" t="s">
        <v>3786</v>
      </c>
    </row>
    <row r="431" spans="1:28" x14ac:dyDescent="0.45">
      <c r="A431" s="2" t="s">
        <v>905</v>
      </c>
      <c r="B431" s="2" t="s">
        <v>906</v>
      </c>
      <c r="C431" s="2" t="s">
        <v>4</v>
      </c>
      <c r="D431" s="2" t="s">
        <v>820</v>
      </c>
      <c r="E431" s="2" t="s">
        <v>6</v>
      </c>
      <c r="F431" s="3">
        <v>230</v>
      </c>
      <c r="G431" s="3">
        <v>246</v>
      </c>
      <c r="H431" s="2" t="s">
        <v>61</v>
      </c>
      <c r="I431" s="19">
        <v>4999</v>
      </c>
      <c r="J431" s="34">
        <f t="shared" si="24"/>
        <v>43.491299999999995</v>
      </c>
      <c r="K431" s="34">
        <f t="shared" si="25"/>
        <v>65.239999999999995</v>
      </c>
      <c r="L431" s="34">
        <f t="shared" si="26"/>
        <v>260.95999999999998</v>
      </c>
      <c r="M431" s="20" t="s">
        <v>3872</v>
      </c>
      <c r="N431" s="20" t="s">
        <v>3716</v>
      </c>
      <c r="O431" s="20" t="s">
        <v>3711</v>
      </c>
      <c r="P431" s="20" t="s">
        <v>3717</v>
      </c>
      <c r="Q431" s="21">
        <v>230</v>
      </c>
      <c r="R431" s="21">
        <v>246</v>
      </c>
      <c r="S431" s="21">
        <v>7.5</v>
      </c>
      <c r="T431" s="22">
        <v>42.44</v>
      </c>
      <c r="U431" s="13">
        <f t="shared" si="27"/>
        <v>-218.51999999999998</v>
      </c>
      <c r="V431" s="23">
        <v>5198.8999999999996</v>
      </c>
      <c r="W431" s="23">
        <v>5198.8999999999996</v>
      </c>
      <c r="X431" s="20">
        <v>5</v>
      </c>
      <c r="Y431" s="24" t="s">
        <v>3713</v>
      </c>
      <c r="Z431" s="16">
        <v>199.89999999999961</v>
      </c>
      <c r="AA431" s="17">
        <v>4</v>
      </c>
      <c r="AB431" s="25" t="s">
        <v>3714</v>
      </c>
    </row>
    <row r="432" spans="1:28" x14ac:dyDescent="0.45">
      <c r="A432" s="4" t="s">
        <v>907</v>
      </c>
      <c r="B432" s="4" t="s">
        <v>908</v>
      </c>
      <c r="C432" s="4" t="s">
        <v>4</v>
      </c>
      <c r="D432" s="4" t="s">
        <v>820</v>
      </c>
      <c r="E432" s="4" t="s">
        <v>96</v>
      </c>
      <c r="F432" s="5">
        <v>12</v>
      </c>
      <c r="G432" s="5">
        <v>18.8</v>
      </c>
      <c r="H432" s="4" t="s">
        <v>414</v>
      </c>
      <c r="I432" s="10">
        <v>50</v>
      </c>
      <c r="J432" s="34">
        <f t="shared" si="24"/>
        <v>0.43499999999999994</v>
      </c>
      <c r="K432" s="34">
        <f t="shared" si="25"/>
        <v>0.65</v>
      </c>
      <c r="L432" s="34">
        <f t="shared" si="26"/>
        <v>2.6</v>
      </c>
      <c r="M432" s="11" t="s">
        <v>3709</v>
      </c>
      <c r="N432" s="11" t="s">
        <v>3710</v>
      </c>
      <c r="O432" s="11" t="s">
        <v>3711</v>
      </c>
      <c r="P432" s="11" t="s">
        <v>3712</v>
      </c>
      <c r="Q432" s="12">
        <v>12</v>
      </c>
      <c r="R432" s="12">
        <v>18</v>
      </c>
      <c r="S432" s="12">
        <v>4</v>
      </c>
      <c r="T432" s="13">
        <v>4.28</v>
      </c>
      <c r="U432" s="13">
        <f t="shared" si="27"/>
        <v>1.6800000000000002</v>
      </c>
      <c r="V432" s="14">
        <v>524.29999999999995</v>
      </c>
      <c r="W432" s="14">
        <v>524.29999999999995</v>
      </c>
      <c r="X432" s="11">
        <v>20</v>
      </c>
      <c r="Y432" s="15" t="s">
        <v>3713</v>
      </c>
      <c r="Z432" s="16">
        <v>474.3</v>
      </c>
      <c r="AA432" s="17">
        <v>948.6</v>
      </c>
      <c r="AB432" s="18" t="s">
        <v>3876</v>
      </c>
    </row>
    <row r="433" spans="1:28" x14ac:dyDescent="0.45">
      <c r="A433" s="2" t="s">
        <v>909</v>
      </c>
      <c r="B433" s="2" t="s">
        <v>910</v>
      </c>
      <c r="C433" s="2" t="s">
        <v>4</v>
      </c>
      <c r="D433" s="2" t="s">
        <v>820</v>
      </c>
      <c r="E433" s="2" t="s">
        <v>96</v>
      </c>
      <c r="F433" s="3">
        <v>14</v>
      </c>
      <c r="G433" s="3">
        <v>20.8</v>
      </c>
      <c r="H433" s="2" t="s">
        <v>414</v>
      </c>
      <c r="I433" s="19">
        <v>50</v>
      </c>
      <c r="J433" s="34">
        <f t="shared" si="24"/>
        <v>0.43499999999999994</v>
      </c>
      <c r="K433" s="34">
        <f t="shared" si="25"/>
        <v>0.65</v>
      </c>
      <c r="L433" s="34">
        <f t="shared" si="26"/>
        <v>2.6</v>
      </c>
      <c r="M433" s="20" t="s">
        <v>3770</v>
      </c>
      <c r="N433" s="20" t="s">
        <v>3719</v>
      </c>
      <c r="O433" s="20" t="s">
        <v>3711</v>
      </c>
      <c r="P433" s="20" t="s">
        <v>3720</v>
      </c>
      <c r="Q433" s="21">
        <v>14</v>
      </c>
      <c r="R433" s="21">
        <v>22</v>
      </c>
      <c r="S433" s="21">
        <v>4</v>
      </c>
      <c r="T433" s="22">
        <v>9.43</v>
      </c>
      <c r="U433" s="13">
        <f t="shared" si="27"/>
        <v>6.83</v>
      </c>
      <c r="V433" s="23">
        <v>1155.18</v>
      </c>
      <c r="W433" s="23">
        <v>1155.18</v>
      </c>
      <c r="X433" s="20">
        <v>7</v>
      </c>
      <c r="Y433" s="24" t="s">
        <v>3713</v>
      </c>
      <c r="Z433" s="16">
        <v>1105.18</v>
      </c>
      <c r="AA433" s="17">
        <v>2210.4</v>
      </c>
      <c r="AB433" s="25" t="s">
        <v>3877</v>
      </c>
    </row>
    <row r="434" spans="1:28" x14ac:dyDescent="0.45">
      <c r="A434" s="4" t="s">
        <v>911</v>
      </c>
      <c r="B434" s="4" t="s">
        <v>912</v>
      </c>
      <c r="C434" s="4" t="s">
        <v>4</v>
      </c>
      <c r="D434" s="4" t="s">
        <v>820</v>
      </c>
      <c r="E434" s="4" t="s">
        <v>96</v>
      </c>
      <c r="F434" s="5">
        <v>15</v>
      </c>
      <c r="G434" s="5">
        <v>21.8</v>
      </c>
      <c r="H434" s="4" t="s">
        <v>414</v>
      </c>
      <c r="I434" s="10">
        <v>50</v>
      </c>
      <c r="J434" s="34">
        <f t="shared" si="24"/>
        <v>0.43499999999999994</v>
      </c>
      <c r="K434" s="34">
        <f t="shared" si="25"/>
        <v>0.65</v>
      </c>
      <c r="L434" s="34">
        <f t="shared" si="26"/>
        <v>2.6</v>
      </c>
      <c r="M434" s="11" t="s">
        <v>3770</v>
      </c>
      <c r="N434" s="11" t="s">
        <v>3719</v>
      </c>
      <c r="O434" s="11" t="s">
        <v>3711</v>
      </c>
      <c r="P434" s="11" t="s">
        <v>3720</v>
      </c>
      <c r="Q434" s="12">
        <v>14</v>
      </c>
      <c r="R434" s="12">
        <v>22</v>
      </c>
      <c r="S434" s="12">
        <v>4</v>
      </c>
      <c r="T434" s="13">
        <v>9.43</v>
      </c>
      <c r="U434" s="13">
        <f t="shared" si="27"/>
        <v>6.83</v>
      </c>
      <c r="V434" s="14">
        <v>1155.18</v>
      </c>
      <c r="W434" s="14">
        <v>1155.18</v>
      </c>
      <c r="X434" s="11">
        <v>7</v>
      </c>
      <c r="Y434" s="15" t="s">
        <v>3713</v>
      </c>
      <c r="Z434" s="16">
        <v>1105.18</v>
      </c>
      <c r="AA434" s="17">
        <v>2210.4</v>
      </c>
      <c r="AB434" s="18" t="s">
        <v>3878</v>
      </c>
    </row>
    <row r="435" spans="1:28" x14ac:dyDescent="0.45">
      <c r="A435" s="2" t="s">
        <v>913</v>
      </c>
      <c r="B435" s="2" t="s">
        <v>914</v>
      </c>
      <c r="C435" s="2" t="s">
        <v>4</v>
      </c>
      <c r="D435" s="2" t="s">
        <v>820</v>
      </c>
      <c r="E435" s="2" t="s">
        <v>96</v>
      </c>
      <c r="F435" s="3">
        <v>16</v>
      </c>
      <c r="G435" s="3">
        <v>22.8</v>
      </c>
      <c r="H435" s="2" t="s">
        <v>414</v>
      </c>
      <c r="I435" s="19">
        <v>50</v>
      </c>
      <c r="J435" s="34">
        <f t="shared" si="24"/>
        <v>0.43499999999999994</v>
      </c>
      <c r="K435" s="34">
        <f t="shared" si="25"/>
        <v>0.65</v>
      </c>
      <c r="L435" s="34">
        <f t="shared" si="26"/>
        <v>2.6</v>
      </c>
      <c r="M435" s="20" t="s">
        <v>3772</v>
      </c>
      <c r="N435" s="20" t="s">
        <v>3719</v>
      </c>
      <c r="O435" s="20" t="s">
        <v>3711</v>
      </c>
      <c r="P435" s="20" t="s">
        <v>3720</v>
      </c>
      <c r="Q435" s="21">
        <v>16</v>
      </c>
      <c r="R435" s="21">
        <v>24</v>
      </c>
      <c r="S435" s="21">
        <v>4</v>
      </c>
      <c r="T435" s="22">
        <v>12.03</v>
      </c>
      <c r="U435" s="13">
        <f t="shared" si="27"/>
        <v>9.43</v>
      </c>
      <c r="V435" s="23">
        <v>1473.68</v>
      </c>
      <c r="W435" s="23">
        <v>1473.68</v>
      </c>
      <c r="X435" s="20">
        <v>34</v>
      </c>
      <c r="Y435" s="24" t="s">
        <v>3713</v>
      </c>
      <c r="Z435" s="16">
        <v>1423.68</v>
      </c>
      <c r="AA435" s="17">
        <v>2847.4</v>
      </c>
      <c r="AB435" s="25" t="s">
        <v>3877</v>
      </c>
    </row>
    <row r="436" spans="1:28" x14ac:dyDescent="0.45">
      <c r="A436" s="4" t="s">
        <v>915</v>
      </c>
      <c r="B436" s="4" t="s">
        <v>916</v>
      </c>
      <c r="C436" s="4" t="s">
        <v>4</v>
      </c>
      <c r="D436" s="4" t="s">
        <v>820</v>
      </c>
      <c r="E436" s="4" t="s">
        <v>96</v>
      </c>
      <c r="F436" s="5">
        <v>18</v>
      </c>
      <c r="G436" s="5">
        <v>24.8</v>
      </c>
      <c r="H436" s="4" t="s">
        <v>414</v>
      </c>
      <c r="I436" s="10">
        <v>59</v>
      </c>
      <c r="J436" s="34">
        <f t="shared" si="24"/>
        <v>0.51329999999999998</v>
      </c>
      <c r="K436" s="34">
        <f t="shared" si="25"/>
        <v>0.77</v>
      </c>
      <c r="L436" s="34">
        <f t="shared" si="26"/>
        <v>3.08</v>
      </c>
      <c r="M436" s="11" t="s">
        <v>3715</v>
      </c>
      <c r="N436" s="11" t="s">
        <v>3716</v>
      </c>
      <c r="O436" s="11" t="s">
        <v>3711</v>
      </c>
      <c r="P436" s="11" t="s">
        <v>3717</v>
      </c>
      <c r="Q436" s="12">
        <v>18</v>
      </c>
      <c r="R436" s="12">
        <v>24</v>
      </c>
      <c r="S436" s="12">
        <v>5</v>
      </c>
      <c r="T436" s="13">
        <v>4.1500000000000004</v>
      </c>
      <c r="U436" s="13">
        <f t="shared" si="27"/>
        <v>1.0700000000000003</v>
      </c>
      <c r="V436" s="14">
        <v>508.38</v>
      </c>
      <c r="W436" s="14">
        <v>508.38</v>
      </c>
      <c r="X436" s="11">
        <v>127</v>
      </c>
      <c r="Y436" s="15" t="s">
        <v>3713</v>
      </c>
      <c r="Z436" s="16">
        <v>449.38</v>
      </c>
      <c r="AA436" s="17">
        <v>761.7</v>
      </c>
      <c r="AB436" s="18" t="s">
        <v>3876</v>
      </c>
    </row>
    <row r="437" spans="1:28" x14ac:dyDescent="0.45">
      <c r="A437" s="2" t="s">
        <v>917</v>
      </c>
      <c r="B437" s="2" t="s">
        <v>918</v>
      </c>
      <c r="C437" s="2" t="s">
        <v>4</v>
      </c>
      <c r="D437" s="2" t="s">
        <v>820</v>
      </c>
      <c r="E437" s="2" t="s">
        <v>96</v>
      </c>
      <c r="F437" s="3">
        <v>20</v>
      </c>
      <c r="G437" s="3">
        <v>26.8</v>
      </c>
      <c r="H437" s="2" t="s">
        <v>414</v>
      </c>
      <c r="I437" s="19">
        <v>67</v>
      </c>
      <c r="J437" s="34">
        <f t="shared" si="24"/>
        <v>0.58289999999999997</v>
      </c>
      <c r="K437" s="34">
        <f t="shared" si="25"/>
        <v>0.87</v>
      </c>
      <c r="L437" s="34">
        <f t="shared" si="26"/>
        <v>3.48</v>
      </c>
      <c r="M437" s="20" t="s">
        <v>3721</v>
      </c>
      <c r="N437" s="20" t="s">
        <v>3719</v>
      </c>
      <c r="O437" s="20" t="s">
        <v>3711</v>
      </c>
      <c r="P437" s="20" t="s">
        <v>3720</v>
      </c>
      <c r="Q437" s="21">
        <v>20</v>
      </c>
      <c r="R437" s="21">
        <v>28</v>
      </c>
      <c r="S437" s="21">
        <v>4</v>
      </c>
      <c r="T437" s="22">
        <v>11.74</v>
      </c>
      <c r="U437" s="13">
        <f t="shared" si="27"/>
        <v>8.26</v>
      </c>
      <c r="V437" s="23">
        <v>1438.15</v>
      </c>
      <c r="W437" s="23">
        <v>1438.15</v>
      </c>
      <c r="X437" s="20" t="s">
        <v>3722</v>
      </c>
      <c r="Y437" s="24" t="s">
        <v>3713</v>
      </c>
      <c r="Z437" s="16">
        <v>1371.15</v>
      </c>
      <c r="AA437" s="17">
        <v>2046.5</v>
      </c>
      <c r="AB437" s="25" t="s">
        <v>3877</v>
      </c>
    </row>
    <row r="438" spans="1:28" x14ac:dyDescent="0.45">
      <c r="A438" s="4" t="s">
        <v>919</v>
      </c>
      <c r="B438" s="4" t="s">
        <v>920</v>
      </c>
      <c r="C438" s="4" t="s">
        <v>4</v>
      </c>
      <c r="D438" s="4" t="s">
        <v>820</v>
      </c>
      <c r="E438" s="4" t="s">
        <v>96</v>
      </c>
      <c r="F438" s="5">
        <v>22</v>
      </c>
      <c r="G438" s="5">
        <v>28.8</v>
      </c>
      <c r="H438" s="4" t="s">
        <v>414</v>
      </c>
      <c r="I438" s="10">
        <v>76</v>
      </c>
      <c r="J438" s="34">
        <f t="shared" si="24"/>
        <v>0.66120000000000001</v>
      </c>
      <c r="K438" s="34">
        <f t="shared" si="25"/>
        <v>0.99</v>
      </c>
      <c r="L438" s="34">
        <f t="shared" si="26"/>
        <v>3.96</v>
      </c>
      <c r="M438" s="11" t="s">
        <v>3879</v>
      </c>
      <c r="N438" s="11" t="s">
        <v>3710</v>
      </c>
      <c r="O438" s="11" t="s">
        <v>3711</v>
      </c>
      <c r="P438" s="11" t="s">
        <v>3712</v>
      </c>
      <c r="Q438" s="12">
        <v>22</v>
      </c>
      <c r="R438" s="12">
        <v>28</v>
      </c>
      <c r="S438" s="12">
        <v>4</v>
      </c>
      <c r="T438" s="13">
        <v>8.7100000000000009</v>
      </c>
      <c r="U438" s="13">
        <f t="shared" si="27"/>
        <v>4.7500000000000009</v>
      </c>
      <c r="V438" s="14">
        <v>1066.98</v>
      </c>
      <c r="W438" s="14">
        <v>1066.98</v>
      </c>
      <c r="X438" s="11">
        <v>293</v>
      </c>
      <c r="Y438" s="15" t="s">
        <v>3713</v>
      </c>
      <c r="Z438" s="16">
        <v>990.98</v>
      </c>
      <c r="AA438" s="17">
        <v>1303.9000000000001</v>
      </c>
      <c r="AB438" s="18" t="s">
        <v>3876</v>
      </c>
    </row>
    <row r="439" spans="1:28" x14ac:dyDescent="0.45">
      <c r="A439" s="2" t="s">
        <v>921</v>
      </c>
      <c r="B439" s="2" t="s">
        <v>922</v>
      </c>
      <c r="C439" s="2" t="s">
        <v>4</v>
      </c>
      <c r="D439" s="2" t="s">
        <v>820</v>
      </c>
      <c r="E439" s="2" t="s">
        <v>96</v>
      </c>
      <c r="F439" s="3">
        <v>25</v>
      </c>
      <c r="G439" s="3">
        <v>31.8</v>
      </c>
      <c r="H439" s="2" t="s">
        <v>414</v>
      </c>
      <c r="I439" s="19">
        <v>84</v>
      </c>
      <c r="J439" s="34">
        <f t="shared" si="24"/>
        <v>0.73079999999999989</v>
      </c>
      <c r="K439" s="34">
        <f t="shared" si="25"/>
        <v>1.1000000000000001</v>
      </c>
      <c r="L439" s="34">
        <f t="shared" si="26"/>
        <v>4.4000000000000004</v>
      </c>
      <c r="M439" s="20" t="s">
        <v>3880</v>
      </c>
      <c r="N439" s="20" t="s">
        <v>3881</v>
      </c>
      <c r="O439" s="20" t="s">
        <v>3711</v>
      </c>
      <c r="P439" s="20" t="s">
        <v>3882</v>
      </c>
      <c r="Q439" s="21">
        <v>25</v>
      </c>
      <c r="R439" s="21">
        <v>31</v>
      </c>
      <c r="S439" s="21">
        <v>4</v>
      </c>
      <c r="T439" s="22">
        <v>7.88</v>
      </c>
      <c r="U439" s="13">
        <f t="shared" si="27"/>
        <v>3.4799999999999995</v>
      </c>
      <c r="V439" s="23">
        <v>965.3</v>
      </c>
      <c r="W439" s="23">
        <v>965.3</v>
      </c>
      <c r="X439" s="20">
        <v>103</v>
      </c>
      <c r="Y439" s="24" t="s">
        <v>3713</v>
      </c>
      <c r="Z439" s="16">
        <v>881.3</v>
      </c>
      <c r="AA439" s="17">
        <v>1049.2</v>
      </c>
      <c r="AB439" s="25" t="s">
        <v>3876</v>
      </c>
    </row>
    <row r="440" spans="1:28" x14ac:dyDescent="0.45">
      <c r="A440" s="4" t="s">
        <v>923</v>
      </c>
      <c r="B440" s="4" t="s">
        <v>924</v>
      </c>
      <c r="C440" s="4" t="s">
        <v>4</v>
      </c>
      <c r="D440" s="4" t="s">
        <v>820</v>
      </c>
      <c r="E440" s="4" t="s">
        <v>96</v>
      </c>
      <c r="F440" s="5">
        <v>28</v>
      </c>
      <c r="G440" s="5">
        <v>34.799999999999997</v>
      </c>
      <c r="H440" s="4" t="s">
        <v>414</v>
      </c>
      <c r="I440" s="10">
        <v>93</v>
      </c>
      <c r="J440" s="34">
        <f t="shared" si="24"/>
        <v>0.80909999999999993</v>
      </c>
      <c r="K440" s="34">
        <f t="shared" si="25"/>
        <v>1.21</v>
      </c>
      <c r="L440" s="34">
        <f t="shared" si="26"/>
        <v>4.84</v>
      </c>
      <c r="M440" s="11" t="s">
        <v>3725</v>
      </c>
      <c r="N440" s="11" t="s">
        <v>3716</v>
      </c>
      <c r="O440" s="11" t="s">
        <v>3711</v>
      </c>
      <c r="P440" s="11" t="s">
        <v>3717</v>
      </c>
      <c r="Q440" s="12">
        <v>28</v>
      </c>
      <c r="R440" s="12">
        <v>36</v>
      </c>
      <c r="S440" s="12">
        <v>5</v>
      </c>
      <c r="T440" s="13">
        <v>5.53</v>
      </c>
      <c r="U440" s="13">
        <f t="shared" si="27"/>
        <v>0.69000000000000039</v>
      </c>
      <c r="V440" s="14">
        <v>677.42</v>
      </c>
      <c r="W440" s="14">
        <v>677.42</v>
      </c>
      <c r="X440" s="11">
        <v>381</v>
      </c>
      <c r="Y440" s="15" t="s">
        <v>3713</v>
      </c>
      <c r="Z440" s="16">
        <v>584.41999999999996</v>
      </c>
      <c r="AA440" s="17">
        <v>628.4</v>
      </c>
      <c r="AB440" s="18" t="s">
        <v>3877</v>
      </c>
    </row>
    <row r="441" spans="1:28" x14ac:dyDescent="0.45">
      <c r="A441" s="2" t="s">
        <v>925</v>
      </c>
      <c r="B441" s="2" t="s">
        <v>926</v>
      </c>
      <c r="C441" s="2" t="s">
        <v>4</v>
      </c>
      <c r="D441" s="2" t="s">
        <v>820</v>
      </c>
      <c r="E441" s="2" t="s">
        <v>96</v>
      </c>
      <c r="F441" s="3">
        <v>30</v>
      </c>
      <c r="G441" s="3">
        <v>36.799999999999997</v>
      </c>
      <c r="H441" s="2" t="s">
        <v>414</v>
      </c>
      <c r="I441" s="19">
        <v>101</v>
      </c>
      <c r="J441" s="34">
        <f t="shared" si="24"/>
        <v>0.87869999999999993</v>
      </c>
      <c r="K441" s="34">
        <f t="shared" si="25"/>
        <v>1.32</v>
      </c>
      <c r="L441" s="34">
        <f t="shared" si="26"/>
        <v>5.28</v>
      </c>
      <c r="M441" s="20" t="s">
        <v>3726</v>
      </c>
      <c r="N441" s="20" t="s">
        <v>3716</v>
      </c>
      <c r="O441" s="20" t="s">
        <v>3711</v>
      </c>
      <c r="P441" s="20" t="s">
        <v>3717</v>
      </c>
      <c r="Q441" s="21">
        <v>30</v>
      </c>
      <c r="R441" s="21">
        <v>38</v>
      </c>
      <c r="S441" s="21">
        <v>5</v>
      </c>
      <c r="T441" s="22">
        <v>5.98</v>
      </c>
      <c r="U441" s="13">
        <f t="shared" si="27"/>
        <v>0.70000000000000018</v>
      </c>
      <c r="V441" s="23">
        <v>732.55</v>
      </c>
      <c r="W441" s="23">
        <v>732.55</v>
      </c>
      <c r="X441" s="20">
        <v>138</v>
      </c>
      <c r="Y441" s="24" t="s">
        <v>3713</v>
      </c>
      <c r="Z441" s="16">
        <v>631.54999999999995</v>
      </c>
      <c r="AA441" s="17">
        <v>625.29999999999995</v>
      </c>
      <c r="AB441" s="25" t="s">
        <v>3877</v>
      </c>
    </row>
    <row r="442" spans="1:28" x14ac:dyDescent="0.45">
      <c r="A442" s="4" t="s">
        <v>927</v>
      </c>
      <c r="B442" s="4" t="s">
        <v>928</v>
      </c>
      <c r="C442" s="4" t="s">
        <v>4</v>
      </c>
      <c r="D442" s="4" t="s">
        <v>820</v>
      </c>
      <c r="E442" s="4" t="s">
        <v>96</v>
      </c>
      <c r="F442" s="5">
        <v>32</v>
      </c>
      <c r="G442" s="5">
        <v>38.799999999999997</v>
      </c>
      <c r="H442" s="4" t="s">
        <v>414</v>
      </c>
      <c r="I442" s="10">
        <v>109</v>
      </c>
      <c r="J442" s="34">
        <f t="shared" si="24"/>
        <v>0.94829999999999992</v>
      </c>
      <c r="K442" s="34">
        <f t="shared" si="25"/>
        <v>1.42</v>
      </c>
      <c r="L442" s="34">
        <f t="shared" si="26"/>
        <v>5.68</v>
      </c>
      <c r="M442" s="11" t="s">
        <v>3727</v>
      </c>
      <c r="N442" s="11" t="s">
        <v>3719</v>
      </c>
      <c r="O442" s="11" t="s">
        <v>3711</v>
      </c>
      <c r="P442" s="11" t="s">
        <v>3720</v>
      </c>
      <c r="Q442" s="12">
        <v>32</v>
      </c>
      <c r="R442" s="12">
        <v>40</v>
      </c>
      <c r="S442" s="12">
        <v>5</v>
      </c>
      <c r="T442" s="13">
        <v>7.49</v>
      </c>
      <c r="U442" s="13">
        <f t="shared" si="27"/>
        <v>1.8100000000000005</v>
      </c>
      <c r="V442" s="14">
        <v>917.52</v>
      </c>
      <c r="W442" s="14">
        <v>917.52</v>
      </c>
      <c r="X442" s="11">
        <v>11</v>
      </c>
      <c r="Y442" s="15" t="s">
        <v>3713</v>
      </c>
      <c r="Z442" s="16">
        <v>808.52</v>
      </c>
      <c r="AA442" s="17">
        <v>741.8</v>
      </c>
      <c r="AB442" s="18" t="s">
        <v>3877</v>
      </c>
    </row>
    <row r="443" spans="1:28" x14ac:dyDescent="0.45">
      <c r="A443" s="2" t="s">
        <v>929</v>
      </c>
      <c r="B443" s="2" t="s">
        <v>930</v>
      </c>
      <c r="C443" s="2" t="s">
        <v>4</v>
      </c>
      <c r="D443" s="2" t="s">
        <v>820</v>
      </c>
      <c r="E443" s="2" t="s">
        <v>96</v>
      </c>
      <c r="F443" s="3">
        <v>35</v>
      </c>
      <c r="G443" s="3">
        <v>41.8</v>
      </c>
      <c r="H443" s="2" t="s">
        <v>414</v>
      </c>
      <c r="I443" s="19">
        <v>118</v>
      </c>
      <c r="J443" s="34">
        <f t="shared" si="24"/>
        <v>1.0266</v>
      </c>
      <c r="K443" s="34">
        <f t="shared" si="25"/>
        <v>1.54</v>
      </c>
      <c r="L443" s="34">
        <f t="shared" si="26"/>
        <v>6.16</v>
      </c>
      <c r="M443" s="20" t="s">
        <v>3728</v>
      </c>
      <c r="N443" s="20" t="s">
        <v>3716</v>
      </c>
      <c r="O443" s="20" t="s">
        <v>3711</v>
      </c>
      <c r="P443" s="20" t="s">
        <v>3717</v>
      </c>
      <c r="Q443" s="21">
        <v>35</v>
      </c>
      <c r="R443" s="21">
        <v>43</v>
      </c>
      <c r="S443" s="21">
        <v>5</v>
      </c>
      <c r="T443" s="22">
        <v>6.64</v>
      </c>
      <c r="U443" s="13">
        <f t="shared" si="27"/>
        <v>0.47999999999999954</v>
      </c>
      <c r="V443" s="23">
        <v>813.4</v>
      </c>
      <c r="W443" s="23">
        <v>813.4</v>
      </c>
      <c r="X443" s="20">
        <v>102</v>
      </c>
      <c r="Y443" s="24" t="s">
        <v>3713</v>
      </c>
      <c r="Z443" s="16">
        <v>695.4</v>
      </c>
      <c r="AA443" s="17">
        <v>589.29999999999995</v>
      </c>
      <c r="AB443" s="25" t="s">
        <v>3877</v>
      </c>
    </row>
    <row r="444" spans="1:28" x14ac:dyDescent="0.45">
      <c r="A444" s="4" t="s">
        <v>931</v>
      </c>
      <c r="B444" s="4" t="s">
        <v>932</v>
      </c>
      <c r="C444" s="4" t="s">
        <v>4</v>
      </c>
      <c r="D444" s="4" t="s">
        <v>820</v>
      </c>
      <c r="E444" s="4" t="s">
        <v>96</v>
      </c>
      <c r="F444" s="5">
        <v>36</v>
      </c>
      <c r="G444" s="5">
        <v>42.8</v>
      </c>
      <c r="H444" s="4" t="s">
        <v>414</v>
      </c>
      <c r="I444" s="10">
        <v>118</v>
      </c>
      <c r="J444" s="34">
        <f t="shared" si="24"/>
        <v>1.0266</v>
      </c>
      <c r="K444" s="34">
        <f t="shared" si="25"/>
        <v>1.54</v>
      </c>
      <c r="L444" s="34">
        <f t="shared" si="26"/>
        <v>6.16</v>
      </c>
      <c r="M444" s="11" t="s">
        <v>3728</v>
      </c>
      <c r="N444" s="11" t="s">
        <v>3716</v>
      </c>
      <c r="O444" s="11" t="s">
        <v>3711</v>
      </c>
      <c r="P444" s="11" t="s">
        <v>3717</v>
      </c>
      <c r="Q444" s="12">
        <v>35</v>
      </c>
      <c r="R444" s="12">
        <v>43</v>
      </c>
      <c r="S444" s="12">
        <v>5</v>
      </c>
      <c r="T444" s="13">
        <v>6.64</v>
      </c>
      <c r="U444" s="13">
        <f t="shared" si="27"/>
        <v>0.47999999999999954</v>
      </c>
      <c r="V444" s="14">
        <v>813.4</v>
      </c>
      <c r="W444" s="14">
        <v>813.4</v>
      </c>
      <c r="X444" s="11">
        <v>102</v>
      </c>
      <c r="Y444" s="15" t="s">
        <v>3713</v>
      </c>
      <c r="Z444" s="16">
        <v>695.4</v>
      </c>
      <c r="AA444" s="17">
        <v>589.29999999999995</v>
      </c>
      <c r="AB444" s="18" t="s">
        <v>3878</v>
      </c>
    </row>
    <row r="445" spans="1:28" x14ac:dyDescent="0.45">
      <c r="A445" s="2" t="s">
        <v>933</v>
      </c>
      <c r="B445" s="2" t="s">
        <v>934</v>
      </c>
      <c r="C445" s="2" t="s">
        <v>4</v>
      </c>
      <c r="D445" s="2" t="s">
        <v>820</v>
      </c>
      <c r="E445" s="2" t="s">
        <v>96</v>
      </c>
      <c r="F445" s="3">
        <v>38</v>
      </c>
      <c r="G445" s="3">
        <v>44.8</v>
      </c>
      <c r="H445" s="2" t="s">
        <v>414</v>
      </c>
      <c r="I445" s="19">
        <v>135</v>
      </c>
      <c r="J445" s="34">
        <f t="shared" si="24"/>
        <v>1.1744999999999999</v>
      </c>
      <c r="K445" s="34">
        <f t="shared" si="25"/>
        <v>1.76</v>
      </c>
      <c r="L445" s="34">
        <f t="shared" si="26"/>
        <v>7.04</v>
      </c>
      <c r="M445" s="20" t="s">
        <v>3730</v>
      </c>
      <c r="N445" s="20" t="s">
        <v>3731</v>
      </c>
      <c r="O445" s="20" t="s">
        <v>3711</v>
      </c>
      <c r="P445" s="20" t="s">
        <v>3732</v>
      </c>
      <c r="Q445" s="21">
        <v>38</v>
      </c>
      <c r="R445" s="21">
        <v>46</v>
      </c>
      <c r="S445" s="21">
        <v>5</v>
      </c>
      <c r="T445" s="22">
        <v>20.05</v>
      </c>
      <c r="U445" s="13">
        <f t="shared" si="27"/>
        <v>13.010000000000002</v>
      </c>
      <c r="V445" s="23">
        <v>2456.12</v>
      </c>
      <c r="W445" s="23">
        <v>2456.12</v>
      </c>
      <c r="X445" s="20">
        <v>47</v>
      </c>
      <c r="Y445" s="24" t="s">
        <v>3713</v>
      </c>
      <c r="Z445" s="16">
        <v>2321.12</v>
      </c>
      <c r="AA445" s="17">
        <v>1719.3</v>
      </c>
      <c r="AB445" s="25" t="s">
        <v>3877</v>
      </c>
    </row>
    <row r="446" spans="1:28" x14ac:dyDescent="0.45">
      <c r="A446" s="4" t="s">
        <v>935</v>
      </c>
      <c r="B446" s="4" t="s">
        <v>936</v>
      </c>
      <c r="C446" s="4" t="s">
        <v>4</v>
      </c>
      <c r="D446" s="4" t="s">
        <v>820</v>
      </c>
      <c r="E446" s="4" t="s">
        <v>96</v>
      </c>
      <c r="F446" s="5">
        <v>40</v>
      </c>
      <c r="G446" s="5">
        <v>46.8</v>
      </c>
      <c r="H446" s="4" t="s">
        <v>414</v>
      </c>
      <c r="I446" s="10">
        <v>135</v>
      </c>
      <c r="J446" s="34">
        <f t="shared" si="24"/>
        <v>1.1744999999999999</v>
      </c>
      <c r="K446" s="34">
        <f t="shared" si="25"/>
        <v>1.76</v>
      </c>
      <c r="L446" s="34">
        <f t="shared" si="26"/>
        <v>7.04</v>
      </c>
      <c r="M446" s="11" t="s">
        <v>3733</v>
      </c>
      <c r="N446" s="11" t="s">
        <v>3716</v>
      </c>
      <c r="O446" s="11" t="s">
        <v>3711</v>
      </c>
      <c r="P446" s="11" t="s">
        <v>3717</v>
      </c>
      <c r="Q446" s="12">
        <v>40</v>
      </c>
      <c r="R446" s="12">
        <v>48</v>
      </c>
      <c r="S446" s="12">
        <v>5</v>
      </c>
      <c r="T446" s="13">
        <v>6.87</v>
      </c>
      <c r="U446" s="13">
        <f t="shared" si="27"/>
        <v>-0.16999999999999993</v>
      </c>
      <c r="V446" s="14">
        <v>841.58</v>
      </c>
      <c r="W446" s="14">
        <v>841.58</v>
      </c>
      <c r="X446" s="11">
        <v>254</v>
      </c>
      <c r="Y446" s="15" t="s">
        <v>3713</v>
      </c>
      <c r="Z446" s="16">
        <v>706.58</v>
      </c>
      <c r="AA446" s="17">
        <v>523.4</v>
      </c>
      <c r="AB446" s="18" t="s">
        <v>3877</v>
      </c>
    </row>
    <row r="447" spans="1:28" x14ac:dyDescent="0.45">
      <c r="A447" s="2" t="s">
        <v>937</v>
      </c>
      <c r="B447" s="2" t="s">
        <v>938</v>
      </c>
      <c r="C447" s="2" t="s">
        <v>4</v>
      </c>
      <c r="D447" s="2" t="s">
        <v>820</v>
      </c>
      <c r="E447" s="2" t="s">
        <v>96</v>
      </c>
      <c r="F447" s="3">
        <v>40</v>
      </c>
      <c r="G447" s="3">
        <v>48.8</v>
      </c>
      <c r="H447" s="2" t="s">
        <v>851</v>
      </c>
      <c r="I447" s="19">
        <v>160</v>
      </c>
      <c r="J447" s="34">
        <f t="shared" si="24"/>
        <v>1.3919999999999999</v>
      </c>
      <c r="K447" s="34">
        <f t="shared" si="25"/>
        <v>2.09</v>
      </c>
      <c r="L447" s="34">
        <f t="shared" si="26"/>
        <v>8.36</v>
      </c>
      <c r="M447" s="20" t="s">
        <v>3733</v>
      </c>
      <c r="N447" s="20" t="s">
        <v>3716</v>
      </c>
      <c r="O447" s="20" t="s">
        <v>3711</v>
      </c>
      <c r="P447" s="20" t="s">
        <v>3717</v>
      </c>
      <c r="Q447" s="21">
        <v>40</v>
      </c>
      <c r="R447" s="21">
        <v>48</v>
      </c>
      <c r="S447" s="21">
        <v>5</v>
      </c>
      <c r="T447" s="22">
        <v>6.87</v>
      </c>
      <c r="U447" s="13">
        <f t="shared" si="27"/>
        <v>-1.4899999999999993</v>
      </c>
      <c r="V447" s="23">
        <v>841.58</v>
      </c>
      <c r="W447" s="23">
        <v>841.58</v>
      </c>
      <c r="X447" s="20">
        <v>254</v>
      </c>
      <c r="Y447" s="24" t="s">
        <v>3713</v>
      </c>
      <c r="Z447" s="16">
        <v>681.58</v>
      </c>
      <c r="AA447" s="17">
        <v>426</v>
      </c>
      <c r="AB447" s="25" t="s">
        <v>3876</v>
      </c>
    </row>
    <row r="448" spans="1:28" x14ac:dyDescent="0.45">
      <c r="A448" s="4" t="s">
        <v>939</v>
      </c>
      <c r="B448" s="4" t="s">
        <v>940</v>
      </c>
      <c r="C448" s="4" t="s">
        <v>4</v>
      </c>
      <c r="D448" s="4" t="s">
        <v>820</v>
      </c>
      <c r="E448" s="4" t="s">
        <v>96</v>
      </c>
      <c r="F448" s="5">
        <v>45</v>
      </c>
      <c r="G448" s="5">
        <v>51.8</v>
      </c>
      <c r="H448" s="4" t="s">
        <v>414</v>
      </c>
      <c r="I448" s="10">
        <v>151</v>
      </c>
      <c r="J448" s="34">
        <f t="shared" si="24"/>
        <v>1.3136999999999999</v>
      </c>
      <c r="K448" s="34">
        <f t="shared" si="25"/>
        <v>1.97</v>
      </c>
      <c r="L448" s="34">
        <f t="shared" si="26"/>
        <v>7.88</v>
      </c>
      <c r="M448" s="11" t="s">
        <v>3739</v>
      </c>
      <c r="N448" s="11" t="s">
        <v>3716</v>
      </c>
      <c r="O448" s="11" t="s">
        <v>3711</v>
      </c>
      <c r="P448" s="11" t="s">
        <v>3717</v>
      </c>
      <c r="Q448" s="12">
        <v>45</v>
      </c>
      <c r="R448" s="12">
        <v>53</v>
      </c>
      <c r="S448" s="12">
        <v>5</v>
      </c>
      <c r="T448" s="13">
        <v>7.1</v>
      </c>
      <c r="U448" s="13">
        <f t="shared" si="27"/>
        <v>-0.78000000000000025</v>
      </c>
      <c r="V448" s="14">
        <v>869.75</v>
      </c>
      <c r="W448" s="14">
        <v>869.75</v>
      </c>
      <c r="X448" s="11">
        <v>124</v>
      </c>
      <c r="Y448" s="15" t="s">
        <v>3713</v>
      </c>
      <c r="Z448" s="16">
        <v>718.75</v>
      </c>
      <c r="AA448" s="17">
        <v>476</v>
      </c>
      <c r="AB448" s="18" t="s">
        <v>3877</v>
      </c>
    </row>
    <row r="449" spans="1:28" x14ac:dyDescent="0.45">
      <c r="A449" s="2" t="s">
        <v>941</v>
      </c>
      <c r="B449" s="2" t="s">
        <v>942</v>
      </c>
      <c r="C449" s="2" t="s">
        <v>4</v>
      </c>
      <c r="D449" s="2" t="s">
        <v>820</v>
      </c>
      <c r="E449" s="2" t="s">
        <v>96</v>
      </c>
      <c r="F449" s="3">
        <v>50</v>
      </c>
      <c r="G449" s="3">
        <v>56.8</v>
      </c>
      <c r="H449" s="2" t="s">
        <v>414</v>
      </c>
      <c r="I449" s="19">
        <v>167</v>
      </c>
      <c r="J449" s="34">
        <f t="shared" si="24"/>
        <v>1.4528999999999999</v>
      </c>
      <c r="K449" s="34">
        <f t="shared" si="25"/>
        <v>2.1800000000000002</v>
      </c>
      <c r="L449" s="34">
        <f t="shared" si="26"/>
        <v>8.7200000000000006</v>
      </c>
      <c r="M449" s="20" t="s">
        <v>3741</v>
      </c>
      <c r="N449" s="20" t="s">
        <v>3719</v>
      </c>
      <c r="O449" s="20" t="s">
        <v>3711</v>
      </c>
      <c r="P449" s="20" t="s">
        <v>3720</v>
      </c>
      <c r="Q449" s="21">
        <v>50</v>
      </c>
      <c r="R449" s="21">
        <v>58</v>
      </c>
      <c r="S449" s="21">
        <v>5</v>
      </c>
      <c r="T449" s="22">
        <v>10.98</v>
      </c>
      <c r="U449" s="13">
        <f t="shared" si="27"/>
        <v>2.2599999999999998</v>
      </c>
      <c r="V449" s="23">
        <v>1345.05</v>
      </c>
      <c r="W449" s="23">
        <v>1345.05</v>
      </c>
      <c r="X449" s="20">
        <v>81</v>
      </c>
      <c r="Y449" s="24" t="s">
        <v>3713</v>
      </c>
      <c r="Z449" s="16">
        <v>1178.05</v>
      </c>
      <c r="AA449" s="17">
        <v>705.4</v>
      </c>
      <c r="AB449" s="25" t="s">
        <v>3877</v>
      </c>
    </row>
    <row r="450" spans="1:28" x14ac:dyDescent="0.45">
      <c r="A450" s="4" t="s">
        <v>943</v>
      </c>
      <c r="B450" s="4" t="s">
        <v>944</v>
      </c>
      <c r="C450" s="4" t="s">
        <v>4</v>
      </c>
      <c r="D450" s="4" t="s">
        <v>820</v>
      </c>
      <c r="E450" s="4" t="s">
        <v>96</v>
      </c>
      <c r="F450" s="5">
        <v>50</v>
      </c>
      <c r="G450" s="5">
        <v>58.8</v>
      </c>
      <c r="H450" s="4" t="s">
        <v>851</v>
      </c>
      <c r="I450" s="10">
        <v>209</v>
      </c>
      <c r="J450" s="34">
        <f t="shared" si="24"/>
        <v>1.8182999999999998</v>
      </c>
      <c r="K450" s="34">
        <f t="shared" si="25"/>
        <v>2.73</v>
      </c>
      <c r="L450" s="34">
        <f t="shared" si="26"/>
        <v>10.92</v>
      </c>
      <c r="M450" s="11" t="s">
        <v>3885</v>
      </c>
      <c r="N450" s="11" t="s">
        <v>3791</v>
      </c>
      <c r="O450" s="11" t="s">
        <v>3711</v>
      </c>
      <c r="P450" s="11" t="s">
        <v>3792</v>
      </c>
      <c r="Q450" s="12">
        <v>50</v>
      </c>
      <c r="R450" s="12">
        <v>58.6</v>
      </c>
      <c r="S450" s="12">
        <v>5.3</v>
      </c>
      <c r="T450" s="13">
        <v>6.75</v>
      </c>
      <c r="U450" s="13">
        <f t="shared" si="27"/>
        <v>-4.17</v>
      </c>
      <c r="V450" s="14">
        <v>826.88</v>
      </c>
      <c r="W450" s="14">
        <v>826.88</v>
      </c>
      <c r="X450" s="11">
        <v>35</v>
      </c>
      <c r="Y450" s="15" t="s">
        <v>3713</v>
      </c>
      <c r="Z450" s="16">
        <v>617.88</v>
      </c>
      <c r="AA450" s="17">
        <v>295.60000000000002</v>
      </c>
      <c r="AB450" s="18" t="s">
        <v>3793</v>
      </c>
    </row>
    <row r="451" spans="1:28" x14ac:dyDescent="0.45">
      <c r="A451" s="2" t="s">
        <v>945</v>
      </c>
      <c r="B451" s="2" t="s">
        <v>946</v>
      </c>
      <c r="C451" s="2" t="s">
        <v>4</v>
      </c>
      <c r="D451" s="2" t="s">
        <v>820</v>
      </c>
      <c r="E451" s="2" t="s">
        <v>96</v>
      </c>
      <c r="F451" s="3">
        <v>56</v>
      </c>
      <c r="G451" s="3">
        <v>62.8</v>
      </c>
      <c r="H451" s="2" t="s">
        <v>414</v>
      </c>
      <c r="I451" s="19">
        <v>183</v>
      </c>
      <c r="J451" s="34">
        <f t="shared" si="24"/>
        <v>1.5920999999999998</v>
      </c>
      <c r="K451" s="34">
        <f t="shared" si="25"/>
        <v>2.39</v>
      </c>
      <c r="L451" s="34">
        <f t="shared" si="26"/>
        <v>9.56</v>
      </c>
      <c r="M451" s="20" t="s">
        <v>3860</v>
      </c>
      <c r="N451" s="20" t="s">
        <v>3750</v>
      </c>
      <c r="O451" s="20" t="s">
        <v>3711</v>
      </c>
      <c r="P451" s="20" t="s">
        <v>3751</v>
      </c>
      <c r="Q451" s="21">
        <v>56</v>
      </c>
      <c r="R451" s="21">
        <v>64</v>
      </c>
      <c r="S451" s="21">
        <v>4</v>
      </c>
      <c r="T451" s="22">
        <v>12.2</v>
      </c>
      <c r="U451" s="13">
        <f t="shared" si="27"/>
        <v>2.6399999999999988</v>
      </c>
      <c r="V451" s="23">
        <v>1494.5</v>
      </c>
      <c r="W451" s="23">
        <v>1494.5</v>
      </c>
      <c r="X451" s="20" t="s">
        <v>3722</v>
      </c>
      <c r="Y451" s="24" t="s">
        <v>3713</v>
      </c>
      <c r="Z451" s="16">
        <v>1311.5</v>
      </c>
      <c r="AA451" s="17">
        <v>716.7</v>
      </c>
      <c r="AB451" s="25" t="s">
        <v>3877</v>
      </c>
    </row>
    <row r="452" spans="1:28" x14ac:dyDescent="0.45">
      <c r="A452" s="4" t="s">
        <v>947</v>
      </c>
      <c r="B452" s="4" t="s">
        <v>948</v>
      </c>
      <c r="C452" s="4" t="s">
        <v>4</v>
      </c>
      <c r="D452" s="4" t="s">
        <v>820</v>
      </c>
      <c r="E452" s="4" t="s">
        <v>96</v>
      </c>
      <c r="F452" s="5">
        <v>56</v>
      </c>
      <c r="G452" s="5">
        <v>64.8</v>
      </c>
      <c r="H452" s="4" t="s">
        <v>851</v>
      </c>
      <c r="I452" s="10">
        <v>234</v>
      </c>
      <c r="J452" s="34">
        <f t="shared" si="24"/>
        <v>2.0358000000000001</v>
      </c>
      <c r="K452" s="34">
        <f t="shared" si="25"/>
        <v>3.05</v>
      </c>
      <c r="L452" s="34">
        <f t="shared" si="26"/>
        <v>12.2</v>
      </c>
      <c r="M452" s="11" t="s">
        <v>3860</v>
      </c>
      <c r="N452" s="11" t="s">
        <v>3750</v>
      </c>
      <c r="O452" s="11" t="s">
        <v>3711</v>
      </c>
      <c r="P452" s="11" t="s">
        <v>3751</v>
      </c>
      <c r="Q452" s="12">
        <v>56</v>
      </c>
      <c r="R452" s="12">
        <v>64</v>
      </c>
      <c r="S452" s="12">
        <v>4</v>
      </c>
      <c r="T452" s="13">
        <v>12.2</v>
      </c>
      <c r="U452" s="13">
        <f t="shared" si="27"/>
        <v>0</v>
      </c>
      <c r="V452" s="14">
        <v>1494.5</v>
      </c>
      <c r="W452" s="14">
        <v>1494.5</v>
      </c>
      <c r="X452" s="11" t="s">
        <v>3722</v>
      </c>
      <c r="Y452" s="15" t="s">
        <v>3713</v>
      </c>
      <c r="Z452" s="16">
        <v>1260.5</v>
      </c>
      <c r="AA452" s="17">
        <v>538.70000000000005</v>
      </c>
      <c r="AB452" s="18" t="s">
        <v>3876</v>
      </c>
    </row>
    <row r="453" spans="1:28" x14ac:dyDescent="0.45">
      <c r="A453" s="2" t="s">
        <v>949</v>
      </c>
      <c r="B453" s="2" t="s">
        <v>950</v>
      </c>
      <c r="C453" s="2" t="s">
        <v>4</v>
      </c>
      <c r="D453" s="2" t="s">
        <v>820</v>
      </c>
      <c r="E453" s="2" t="s">
        <v>96</v>
      </c>
      <c r="F453" s="3">
        <v>60</v>
      </c>
      <c r="G453" s="3">
        <v>66.8</v>
      </c>
      <c r="H453" s="2" t="s">
        <v>414</v>
      </c>
      <c r="I453" s="19">
        <v>200</v>
      </c>
      <c r="J453" s="34">
        <f t="shared" ref="J453:J516" si="28">I453*0.0087</f>
        <v>1.7399999999999998</v>
      </c>
      <c r="K453" s="34">
        <f t="shared" ref="K453:K516" si="29">ROUND(J453*1.5,2)</f>
        <v>2.61</v>
      </c>
      <c r="L453" s="34">
        <f t="shared" ref="L453:L516" si="30">K453*4</f>
        <v>10.44</v>
      </c>
      <c r="M453" s="20" t="s">
        <v>3815</v>
      </c>
      <c r="N453" s="20" t="s">
        <v>3791</v>
      </c>
      <c r="O453" s="20" t="s">
        <v>3711</v>
      </c>
      <c r="P453" s="20" t="s">
        <v>3792</v>
      </c>
      <c r="Q453" s="21">
        <v>60</v>
      </c>
      <c r="R453" s="21">
        <v>68</v>
      </c>
      <c r="S453" s="21">
        <v>5</v>
      </c>
      <c r="T453" s="22">
        <v>8.59</v>
      </c>
      <c r="U453" s="13">
        <f t="shared" ref="U453:U516" si="31">T453-L453</f>
        <v>-1.8499999999999996</v>
      </c>
      <c r="V453" s="23">
        <v>1052.28</v>
      </c>
      <c r="W453" s="23">
        <v>1052.28</v>
      </c>
      <c r="X453" s="20">
        <v>10</v>
      </c>
      <c r="Y453" s="24" t="s">
        <v>3713</v>
      </c>
      <c r="Z453" s="16">
        <v>852.28</v>
      </c>
      <c r="AA453" s="17">
        <v>426.1</v>
      </c>
      <c r="AB453" s="25" t="s">
        <v>3877</v>
      </c>
    </row>
    <row r="454" spans="1:28" x14ac:dyDescent="0.45">
      <c r="A454" s="4" t="s">
        <v>951</v>
      </c>
      <c r="B454" s="4" t="s">
        <v>952</v>
      </c>
      <c r="C454" s="4" t="s">
        <v>4</v>
      </c>
      <c r="D454" s="4" t="s">
        <v>820</v>
      </c>
      <c r="E454" s="4" t="s">
        <v>96</v>
      </c>
      <c r="F454" s="5">
        <v>60</v>
      </c>
      <c r="G454" s="5">
        <v>68.8</v>
      </c>
      <c r="H454" s="4" t="s">
        <v>169</v>
      </c>
      <c r="I454" s="10">
        <v>251</v>
      </c>
      <c r="J454" s="34">
        <f t="shared" si="28"/>
        <v>2.1837</v>
      </c>
      <c r="K454" s="34">
        <f t="shared" si="29"/>
        <v>3.28</v>
      </c>
      <c r="L454" s="34">
        <f t="shared" si="30"/>
        <v>13.12</v>
      </c>
      <c r="M454" s="11" t="s">
        <v>3815</v>
      </c>
      <c r="N454" s="11" t="s">
        <v>3791</v>
      </c>
      <c r="O454" s="11" t="s">
        <v>3711</v>
      </c>
      <c r="P454" s="11" t="s">
        <v>3792</v>
      </c>
      <c r="Q454" s="12">
        <v>60</v>
      </c>
      <c r="R454" s="12">
        <v>68</v>
      </c>
      <c r="S454" s="12">
        <v>5</v>
      </c>
      <c r="T454" s="13">
        <v>8.59</v>
      </c>
      <c r="U454" s="13">
        <f t="shared" si="31"/>
        <v>-4.5299999999999994</v>
      </c>
      <c r="V454" s="14">
        <v>1052.28</v>
      </c>
      <c r="W454" s="14">
        <v>1052.28</v>
      </c>
      <c r="X454" s="11">
        <v>10</v>
      </c>
      <c r="Y454" s="15" t="s">
        <v>3713</v>
      </c>
      <c r="Z454" s="16">
        <v>801.28</v>
      </c>
      <c r="AA454" s="17">
        <v>319.2</v>
      </c>
      <c r="AB454" s="18" t="s">
        <v>3876</v>
      </c>
    </row>
    <row r="455" spans="1:28" x14ac:dyDescent="0.45">
      <c r="A455" s="2" t="s">
        <v>953</v>
      </c>
      <c r="B455" s="2" t="s">
        <v>954</v>
      </c>
      <c r="C455" s="2" t="s">
        <v>4</v>
      </c>
      <c r="D455" s="2" t="s">
        <v>820</v>
      </c>
      <c r="E455" s="2" t="s">
        <v>96</v>
      </c>
      <c r="F455" s="3">
        <v>63</v>
      </c>
      <c r="G455" s="3">
        <v>69.8</v>
      </c>
      <c r="H455" s="2" t="s">
        <v>414</v>
      </c>
      <c r="I455" s="19">
        <v>209</v>
      </c>
      <c r="J455" s="34">
        <f t="shared" si="28"/>
        <v>1.8182999999999998</v>
      </c>
      <c r="K455" s="34">
        <f t="shared" si="29"/>
        <v>2.73</v>
      </c>
      <c r="L455" s="34">
        <f t="shared" si="30"/>
        <v>10.92</v>
      </c>
      <c r="M455" s="20" t="s">
        <v>3861</v>
      </c>
      <c r="N455" s="20" t="s">
        <v>3750</v>
      </c>
      <c r="O455" s="20" t="s">
        <v>3711</v>
      </c>
      <c r="P455" s="20" t="s">
        <v>3751</v>
      </c>
      <c r="Q455" s="21">
        <v>63</v>
      </c>
      <c r="R455" s="21">
        <v>71</v>
      </c>
      <c r="S455" s="21">
        <v>4</v>
      </c>
      <c r="T455" s="22">
        <v>15.53</v>
      </c>
      <c r="U455" s="13">
        <f t="shared" si="31"/>
        <v>4.6099999999999994</v>
      </c>
      <c r="V455" s="23">
        <v>1902.42</v>
      </c>
      <c r="W455" s="23">
        <v>1902.42</v>
      </c>
      <c r="X455" s="20">
        <v>151</v>
      </c>
      <c r="Y455" s="24" t="s">
        <v>3713</v>
      </c>
      <c r="Z455" s="16">
        <v>1693.42</v>
      </c>
      <c r="AA455" s="17">
        <v>810.2</v>
      </c>
      <c r="AB455" s="25" t="s">
        <v>3877</v>
      </c>
    </row>
    <row r="456" spans="1:28" x14ac:dyDescent="0.45">
      <c r="A456" s="4" t="s">
        <v>955</v>
      </c>
      <c r="B456" s="4" t="s">
        <v>956</v>
      </c>
      <c r="C456" s="4" t="s">
        <v>4</v>
      </c>
      <c r="D456" s="4" t="s">
        <v>820</v>
      </c>
      <c r="E456" s="4" t="s">
        <v>96</v>
      </c>
      <c r="F456" s="5">
        <v>63</v>
      </c>
      <c r="G456" s="5">
        <v>71.8</v>
      </c>
      <c r="H456" s="4" t="s">
        <v>169</v>
      </c>
      <c r="I456" s="10">
        <v>251</v>
      </c>
      <c r="J456" s="34">
        <f t="shared" si="28"/>
        <v>2.1837</v>
      </c>
      <c r="K456" s="34">
        <f t="shared" si="29"/>
        <v>3.28</v>
      </c>
      <c r="L456" s="34">
        <f t="shared" si="30"/>
        <v>13.12</v>
      </c>
      <c r="M456" s="11" t="s">
        <v>3861</v>
      </c>
      <c r="N456" s="11" t="s">
        <v>3750</v>
      </c>
      <c r="O456" s="11" t="s">
        <v>3711</v>
      </c>
      <c r="P456" s="11" t="s">
        <v>3751</v>
      </c>
      <c r="Q456" s="12">
        <v>63</v>
      </c>
      <c r="R456" s="12">
        <v>71</v>
      </c>
      <c r="S456" s="12">
        <v>4</v>
      </c>
      <c r="T456" s="13">
        <v>15.53</v>
      </c>
      <c r="U456" s="13">
        <f t="shared" si="31"/>
        <v>2.41</v>
      </c>
      <c r="V456" s="14">
        <v>1902.42</v>
      </c>
      <c r="W456" s="14">
        <v>1902.42</v>
      </c>
      <c r="X456" s="11">
        <v>151</v>
      </c>
      <c r="Y456" s="15" t="s">
        <v>3713</v>
      </c>
      <c r="Z456" s="16">
        <v>1651.42</v>
      </c>
      <c r="AA456" s="17">
        <v>657.9</v>
      </c>
      <c r="AB456" s="18" t="s">
        <v>3876</v>
      </c>
    </row>
    <row r="457" spans="1:28" x14ac:dyDescent="0.45">
      <c r="A457" s="2" t="s">
        <v>957</v>
      </c>
      <c r="B457" s="2" t="s">
        <v>958</v>
      </c>
      <c r="C457" s="2" t="s">
        <v>4</v>
      </c>
      <c r="D457" s="2" t="s">
        <v>820</v>
      </c>
      <c r="E457" s="2" t="s">
        <v>96</v>
      </c>
      <c r="F457" s="3">
        <v>65</v>
      </c>
      <c r="G457" s="3">
        <v>73.8</v>
      </c>
      <c r="H457" s="2" t="s">
        <v>169</v>
      </c>
      <c r="I457" s="19">
        <v>259</v>
      </c>
      <c r="J457" s="34">
        <f t="shared" si="28"/>
        <v>2.2532999999999999</v>
      </c>
      <c r="K457" s="34">
        <f t="shared" si="29"/>
        <v>3.38</v>
      </c>
      <c r="L457" s="34">
        <f t="shared" si="30"/>
        <v>13.52</v>
      </c>
      <c r="M457" s="20" t="s">
        <v>3747</v>
      </c>
      <c r="N457" s="20" t="s">
        <v>3716</v>
      </c>
      <c r="O457" s="20" t="s">
        <v>3711</v>
      </c>
      <c r="P457" s="20" t="s">
        <v>3717</v>
      </c>
      <c r="Q457" s="21">
        <v>65</v>
      </c>
      <c r="R457" s="21">
        <v>75</v>
      </c>
      <c r="S457" s="21">
        <v>6</v>
      </c>
      <c r="T457" s="22">
        <v>17.170000000000002</v>
      </c>
      <c r="U457" s="13">
        <f t="shared" si="31"/>
        <v>3.6500000000000021</v>
      </c>
      <c r="V457" s="23">
        <v>2103.33</v>
      </c>
      <c r="W457" s="23">
        <v>2103.33</v>
      </c>
      <c r="X457" s="20">
        <v>21</v>
      </c>
      <c r="Y457" s="24" t="s">
        <v>3713</v>
      </c>
      <c r="Z457" s="16">
        <v>1844.33</v>
      </c>
      <c r="AA457" s="17">
        <v>712.1</v>
      </c>
      <c r="AB457" s="25" t="s">
        <v>3877</v>
      </c>
    </row>
    <row r="458" spans="1:28" x14ac:dyDescent="0.45">
      <c r="A458" s="4" t="s">
        <v>959</v>
      </c>
      <c r="B458" s="4" t="s">
        <v>960</v>
      </c>
      <c r="C458" s="4" t="s">
        <v>4</v>
      </c>
      <c r="D458" s="4" t="s">
        <v>820</v>
      </c>
      <c r="E458" s="4" t="s">
        <v>96</v>
      </c>
      <c r="F458" s="5">
        <v>70</v>
      </c>
      <c r="G458" s="5">
        <v>78.8</v>
      </c>
      <c r="H458" s="4" t="s">
        <v>169</v>
      </c>
      <c r="I458" s="10">
        <v>284</v>
      </c>
      <c r="J458" s="34">
        <f t="shared" si="28"/>
        <v>2.4707999999999997</v>
      </c>
      <c r="K458" s="34">
        <f t="shared" si="29"/>
        <v>3.71</v>
      </c>
      <c r="L458" s="34">
        <f t="shared" si="30"/>
        <v>14.84</v>
      </c>
      <c r="M458" s="11" t="s">
        <v>3749</v>
      </c>
      <c r="N458" s="11" t="s">
        <v>3750</v>
      </c>
      <c r="O458" s="11" t="s">
        <v>3711</v>
      </c>
      <c r="P458" s="11" t="s">
        <v>3751</v>
      </c>
      <c r="Q458" s="12">
        <v>70</v>
      </c>
      <c r="R458" s="12">
        <v>78</v>
      </c>
      <c r="S458" s="12">
        <v>4</v>
      </c>
      <c r="T458" s="13">
        <v>17.29</v>
      </c>
      <c r="U458" s="13">
        <f t="shared" si="31"/>
        <v>2.4499999999999993</v>
      </c>
      <c r="V458" s="14">
        <v>2118.02</v>
      </c>
      <c r="W458" s="14">
        <v>2118.02</v>
      </c>
      <c r="X458" s="11">
        <v>7</v>
      </c>
      <c r="Y458" s="15" t="s">
        <v>3713</v>
      </c>
      <c r="Z458" s="16">
        <v>1834.02</v>
      </c>
      <c r="AA458" s="17">
        <v>645.79999999999995</v>
      </c>
      <c r="AB458" s="18" t="s">
        <v>3876</v>
      </c>
    </row>
    <row r="459" spans="1:28" x14ac:dyDescent="0.45">
      <c r="A459" s="2" t="s">
        <v>961</v>
      </c>
      <c r="B459" s="2" t="s">
        <v>962</v>
      </c>
      <c r="C459" s="2" t="s">
        <v>4</v>
      </c>
      <c r="D459" s="2" t="s">
        <v>820</v>
      </c>
      <c r="E459" s="2" t="s">
        <v>96</v>
      </c>
      <c r="F459" s="3">
        <v>70</v>
      </c>
      <c r="G459" s="3">
        <v>82.2</v>
      </c>
      <c r="H459" s="2" t="s">
        <v>876</v>
      </c>
      <c r="I459" s="19">
        <v>476</v>
      </c>
      <c r="J459" s="34">
        <f t="shared" si="28"/>
        <v>4.1411999999999995</v>
      </c>
      <c r="K459" s="34">
        <f t="shared" si="29"/>
        <v>6.21</v>
      </c>
      <c r="L459" s="34">
        <f t="shared" si="30"/>
        <v>24.84</v>
      </c>
      <c r="M459" s="20" t="s">
        <v>3752</v>
      </c>
      <c r="N459" s="20" t="s">
        <v>3716</v>
      </c>
      <c r="O459" s="20" t="s">
        <v>3711</v>
      </c>
      <c r="P459" s="20" t="s">
        <v>3717</v>
      </c>
      <c r="Q459" s="21">
        <v>70</v>
      </c>
      <c r="R459" s="21">
        <v>82</v>
      </c>
      <c r="S459" s="21">
        <v>7</v>
      </c>
      <c r="T459" s="22">
        <v>19.12</v>
      </c>
      <c r="U459" s="13">
        <f t="shared" si="31"/>
        <v>-5.7199999999999989</v>
      </c>
      <c r="V459" s="23">
        <v>2342.1999999999998</v>
      </c>
      <c r="W459" s="23">
        <v>2342.1999999999998</v>
      </c>
      <c r="X459" s="20">
        <v>25</v>
      </c>
      <c r="Y459" s="24" t="s">
        <v>3713</v>
      </c>
      <c r="Z459" s="16">
        <v>1866.2</v>
      </c>
      <c r="AA459" s="17">
        <v>392.1</v>
      </c>
      <c r="AB459" s="25" t="s">
        <v>3793</v>
      </c>
    </row>
    <row r="460" spans="1:28" x14ac:dyDescent="0.45">
      <c r="A460" s="4" t="s">
        <v>963</v>
      </c>
      <c r="B460" s="4" t="s">
        <v>964</v>
      </c>
      <c r="C460" s="4" t="s">
        <v>4</v>
      </c>
      <c r="D460" s="4" t="s">
        <v>820</v>
      </c>
      <c r="E460" s="4" t="s">
        <v>96</v>
      </c>
      <c r="F460" s="5">
        <v>75</v>
      </c>
      <c r="G460" s="5">
        <v>83.8</v>
      </c>
      <c r="H460" s="4" t="s">
        <v>169</v>
      </c>
      <c r="I460" s="10">
        <v>301</v>
      </c>
      <c r="J460" s="34">
        <f t="shared" si="28"/>
        <v>2.6187</v>
      </c>
      <c r="K460" s="34">
        <f t="shared" si="29"/>
        <v>3.93</v>
      </c>
      <c r="L460" s="34">
        <f t="shared" si="30"/>
        <v>15.72</v>
      </c>
      <c r="M460" s="11" t="s">
        <v>3788</v>
      </c>
      <c r="N460" s="11" t="s">
        <v>3716</v>
      </c>
      <c r="O460" s="11" t="s">
        <v>3711</v>
      </c>
      <c r="P460" s="11" t="s">
        <v>3717</v>
      </c>
      <c r="Q460" s="12">
        <v>75</v>
      </c>
      <c r="R460" s="12">
        <v>83</v>
      </c>
      <c r="S460" s="12">
        <v>5</v>
      </c>
      <c r="T460" s="13">
        <v>20.010000000000002</v>
      </c>
      <c r="U460" s="13">
        <f t="shared" si="31"/>
        <v>4.2900000000000009</v>
      </c>
      <c r="V460" s="14">
        <v>2451.23</v>
      </c>
      <c r="W460" s="14">
        <v>2451.23</v>
      </c>
      <c r="X460" s="11">
        <v>10</v>
      </c>
      <c r="Y460" s="15" t="s">
        <v>3713</v>
      </c>
      <c r="Z460" s="16">
        <v>2150.23</v>
      </c>
      <c r="AA460" s="17">
        <v>714.4</v>
      </c>
      <c r="AB460" s="18" t="s">
        <v>3876</v>
      </c>
    </row>
    <row r="461" spans="1:28" x14ac:dyDescent="0.45">
      <c r="A461" s="2" t="s">
        <v>965</v>
      </c>
      <c r="B461" s="2" t="s">
        <v>966</v>
      </c>
      <c r="C461" s="2" t="s">
        <v>4</v>
      </c>
      <c r="D461" s="2" t="s">
        <v>820</v>
      </c>
      <c r="E461" s="2" t="s">
        <v>96</v>
      </c>
      <c r="F461" s="3">
        <v>75</v>
      </c>
      <c r="G461" s="3">
        <v>87.2</v>
      </c>
      <c r="H461" s="2" t="s">
        <v>876</v>
      </c>
      <c r="I461" s="19">
        <v>508</v>
      </c>
      <c r="J461" s="34">
        <f t="shared" si="28"/>
        <v>4.4196</v>
      </c>
      <c r="K461" s="34">
        <f t="shared" si="29"/>
        <v>6.63</v>
      </c>
      <c r="L461" s="34">
        <f t="shared" si="30"/>
        <v>26.52</v>
      </c>
      <c r="M461" s="20" t="s">
        <v>3753</v>
      </c>
      <c r="N461" s="20" t="s">
        <v>3719</v>
      </c>
      <c r="O461" s="20" t="s">
        <v>3711</v>
      </c>
      <c r="P461" s="20" t="s">
        <v>3720</v>
      </c>
      <c r="Q461" s="21">
        <v>75</v>
      </c>
      <c r="R461" s="21">
        <v>87</v>
      </c>
      <c r="S461" s="21">
        <v>6</v>
      </c>
      <c r="T461" s="22">
        <v>15.46</v>
      </c>
      <c r="U461" s="13">
        <f t="shared" si="31"/>
        <v>-11.059999999999999</v>
      </c>
      <c r="V461" s="23">
        <v>1893.85</v>
      </c>
      <c r="W461" s="23">
        <v>1893.85</v>
      </c>
      <c r="X461" s="20">
        <v>18</v>
      </c>
      <c r="Y461" s="24" t="s">
        <v>3713</v>
      </c>
      <c r="Z461" s="16">
        <v>1385.85</v>
      </c>
      <c r="AA461" s="17">
        <v>272.8</v>
      </c>
      <c r="AB461" s="25" t="s">
        <v>3793</v>
      </c>
    </row>
    <row r="462" spans="1:28" x14ac:dyDescent="0.45">
      <c r="A462" s="4" t="s">
        <v>967</v>
      </c>
      <c r="B462" s="4" t="s">
        <v>968</v>
      </c>
      <c r="C462" s="4" t="s">
        <v>4</v>
      </c>
      <c r="D462" s="4" t="s">
        <v>820</v>
      </c>
      <c r="E462" s="4" t="s">
        <v>96</v>
      </c>
      <c r="F462" s="5">
        <v>80</v>
      </c>
      <c r="G462" s="5">
        <v>88.8</v>
      </c>
      <c r="H462" s="4" t="s">
        <v>169</v>
      </c>
      <c r="I462" s="10">
        <v>318</v>
      </c>
      <c r="J462" s="34">
        <f t="shared" si="28"/>
        <v>2.7665999999999999</v>
      </c>
      <c r="K462" s="34">
        <f t="shared" si="29"/>
        <v>4.1500000000000004</v>
      </c>
      <c r="L462" s="34">
        <f t="shared" si="30"/>
        <v>16.600000000000001</v>
      </c>
      <c r="M462" s="11" t="s">
        <v>3862</v>
      </c>
      <c r="N462" s="11" t="s">
        <v>3791</v>
      </c>
      <c r="O462" s="11" t="s">
        <v>3711</v>
      </c>
      <c r="P462" s="11" t="s">
        <v>3792</v>
      </c>
      <c r="Q462" s="12">
        <v>80</v>
      </c>
      <c r="R462" s="12">
        <v>88</v>
      </c>
      <c r="S462" s="12">
        <v>5</v>
      </c>
      <c r="T462" s="13">
        <v>11.5</v>
      </c>
      <c r="U462" s="13">
        <f t="shared" si="31"/>
        <v>-5.1000000000000014</v>
      </c>
      <c r="V462" s="14">
        <v>1408.75</v>
      </c>
      <c r="W462" s="14">
        <v>1408.75</v>
      </c>
      <c r="X462" s="11">
        <v>16</v>
      </c>
      <c r="Y462" s="15" t="s">
        <v>3713</v>
      </c>
      <c r="Z462" s="16">
        <v>1090.75</v>
      </c>
      <c r="AA462" s="17">
        <v>343</v>
      </c>
      <c r="AB462" s="18" t="s">
        <v>3876</v>
      </c>
    </row>
    <row r="463" spans="1:28" x14ac:dyDescent="0.45">
      <c r="A463" s="2" t="s">
        <v>969</v>
      </c>
      <c r="B463" s="2" t="s">
        <v>970</v>
      </c>
      <c r="C463" s="2" t="s">
        <v>4</v>
      </c>
      <c r="D463" s="2" t="s">
        <v>820</v>
      </c>
      <c r="E463" s="2" t="s">
        <v>96</v>
      </c>
      <c r="F463" s="3">
        <v>80</v>
      </c>
      <c r="G463" s="3">
        <v>92.2</v>
      </c>
      <c r="H463" s="2" t="s">
        <v>876</v>
      </c>
      <c r="I463" s="19">
        <v>542</v>
      </c>
      <c r="J463" s="34">
        <f t="shared" si="28"/>
        <v>4.7153999999999998</v>
      </c>
      <c r="K463" s="34">
        <f t="shared" si="29"/>
        <v>7.07</v>
      </c>
      <c r="L463" s="34">
        <f t="shared" si="30"/>
        <v>28.28</v>
      </c>
      <c r="M463" s="20" t="s">
        <v>3754</v>
      </c>
      <c r="N463" s="20" t="s">
        <v>3716</v>
      </c>
      <c r="O463" s="20" t="s">
        <v>3711</v>
      </c>
      <c r="P463" s="20" t="s">
        <v>3717</v>
      </c>
      <c r="Q463" s="21">
        <v>80</v>
      </c>
      <c r="R463" s="21">
        <v>92</v>
      </c>
      <c r="S463" s="21">
        <v>7.2</v>
      </c>
      <c r="T463" s="22">
        <v>21.06</v>
      </c>
      <c r="U463" s="13">
        <f t="shared" si="31"/>
        <v>-7.2200000000000024</v>
      </c>
      <c r="V463" s="23">
        <v>2579.85</v>
      </c>
      <c r="W463" s="23">
        <v>2579.85</v>
      </c>
      <c r="X463" s="20" t="s">
        <v>3722</v>
      </c>
      <c r="Y463" s="24" t="s">
        <v>3713</v>
      </c>
      <c r="Z463" s="16">
        <v>2037.85</v>
      </c>
      <c r="AA463" s="17">
        <v>376</v>
      </c>
      <c r="AB463" s="25" t="s">
        <v>3793</v>
      </c>
    </row>
    <row r="464" spans="1:28" x14ac:dyDescent="0.45">
      <c r="A464" s="4" t="s">
        <v>971</v>
      </c>
      <c r="B464" s="4" t="s">
        <v>972</v>
      </c>
      <c r="C464" s="4" t="s">
        <v>4</v>
      </c>
      <c r="D464" s="4" t="s">
        <v>820</v>
      </c>
      <c r="E464" s="4" t="s">
        <v>96</v>
      </c>
      <c r="F464" s="5">
        <v>85</v>
      </c>
      <c r="G464" s="5">
        <v>93.8</v>
      </c>
      <c r="H464" s="4" t="s">
        <v>169</v>
      </c>
      <c r="I464" s="10">
        <v>342</v>
      </c>
      <c r="J464" s="34">
        <f t="shared" si="28"/>
        <v>2.9753999999999996</v>
      </c>
      <c r="K464" s="34">
        <f t="shared" si="29"/>
        <v>4.46</v>
      </c>
      <c r="L464" s="34">
        <f t="shared" si="30"/>
        <v>17.84</v>
      </c>
      <c r="M464" s="11" t="s">
        <v>3863</v>
      </c>
      <c r="N464" s="11" t="s">
        <v>3716</v>
      </c>
      <c r="O464" s="11" t="s">
        <v>3711</v>
      </c>
      <c r="P464" s="11" t="s">
        <v>3717</v>
      </c>
      <c r="Q464" s="12">
        <v>85</v>
      </c>
      <c r="R464" s="12">
        <v>93</v>
      </c>
      <c r="S464" s="12">
        <v>5</v>
      </c>
      <c r="T464" s="13">
        <v>12.52</v>
      </c>
      <c r="U464" s="13">
        <f t="shared" si="31"/>
        <v>-5.32</v>
      </c>
      <c r="V464" s="14">
        <v>1533.7</v>
      </c>
      <c r="W464" s="14">
        <v>1533.7</v>
      </c>
      <c r="X464" s="11">
        <v>22</v>
      </c>
      <c r="Y464" s="15" t="s">
        <v>3713</v>
      </c>
      <c r="Z464" s="16">
        <v>1191.7</v>
      </c>
      <c r="AA464" s="17">
        <v>348.5</v>
      </c>
      <c r="AB464" s="18" t="s">
        <v>3876</v>
      </c>
    </row>
    <row r="465" spans="1:28" x14ac:dyDescent="0.45">
      <c r="A465" s="2" t="s">
        <v>973</v>
      </c>
      <c r="B465" s="2" t="s">
        <v>974</v>
      </c>
      <c r="C465" s="2" t="s">
        <v>4</v>
      </c>
      <c r="D465" s="2" t="s">
        <v>820</v>
      </c>
      <c r="E465" s="2" t="s">
        <v>96</v>
      </c>
      <c r="F465" s="3">
        <v>85</v>
      </c>
      <c r="G465" s="3">
        <v>97</v>
      </c>
      <c r="H465" s="2" t="s">
        <v>876</v>
      </c>
      <c r="I465" s="19">
        <v>576</v>
      </c>
      <c r="J465" s="34">
        <f t="shared" si="28"/>
        <v>5.0111999999999997</v>
      </c>
      <c r="K465" s="34">
        <f t="shared" si="29"/>
        <v>7.52</v>
      </c>
      <c r="L465" s="34">
        <f t="shared" si="30"/>
        <v>30.08</v>
      </c>
      <c r="M465" s="20" t="s">
        <v>3755</v>
      </c>
      <c r="N465" s="20" t="s">
        <v>3731</v>
      </c>
      <c r="O465" s="20" t="s">
        <v>3711</v>
      </c>
      <c r="P465" s="20" t="s">
        <v>3732</v>
      </c>
      <c r="Q465" s="21">
        <v>85</v>
      </c>
      <c r="R465" s="21">
        <v>97</v>
      </c>
      <c r="S465" s="21">
        <v>8</v>
      </c>
      <c r="T465" s="22">
        <v>27.43</v>
      </c>
      <c r="U465" s="13">
        <f t="shared" si="31"/>
        <v>-2.6499999999999986</v>
      </c>
      <c r="V465" s="23">
        <v>3360.18</v>
      </c>
      <c r="W465" s="23">
        <v>3360.18</v>
      </c>
      <c r="X465" s="20">
        <v>5</v>
      </c>
      <c r="Y465" s="24" t="s">
        <v>3713</v>
      </c>
      <c r="Z465" s="16">
        <v>2784.18</v>
      </c>
      <c r="AA465" s="17">
        <v>483.4</v>
      </c>
      <c r="AB465" s="25" t="s">
        <v>3714</v>
      </c>
    </row>
    <row r="466" spans="1:28" x14ac:dyDescent="0.45">
      <c r="A466" s="4" t="s">
        <v>975</v>
      </c>
      <c r="B466" s="4" t="s">
        <v>976</v>
      </c>
      <c r="C466" s="4" t="s">
        <v>4</v>
      </c>
      <c r="D466" s="4" t="s">
        <v>820</v>
      </c>
      <c r="E466" s="4" t="s">
        <v>96</v>
      </c>
      <c r="F466" s="5">
        <v>90</v>
      </c>
      <c r="G466" s="5">
        <v>98.8</v>
      </c>
      <c r="H466" s="4" t="s">
        <v>169</v>
      </c>
      <c r="I466" s="10">
        <v>358</v>
      </c>
      <c r="J466" s="34">
        <f t="shared" si="28"/>
        <v>3.1145999999999998</v>
      </c>
      <c r="K466" s="34">
        <f t="shared" si="29"/>
        <v>4.67</v>
      </c>
      <c r="L466" s="34">
        <f t="shared" si="30"/>
        <v>18.68</v>
      </c>
      <c r="M466" s="11" t="s">
        <v>3833</v>
      </c>
      <c r="N466" s="11" t="s">
        <v>3716</v>
      </c>
      <c r="O466" s="11" t="s">
        <v>3711</v>
      </c>
      <c r="P466" s="11" t="s">
        <v>3717</v>
      </c>
      <c r="Q466" s="12">
        <v>90</v>
      </c>
      <c r="R466" s="12">
        <v>100</v>
      </c>
      <c r="S466" s="12">
        <v>6</v>
      </c>
      <c r="T466" s="13">
        <v>10.94</v>
      </c>
      <c r="U466" s="13">
        <f t="shared" si="31"/>
        <v>-7.74</v>
      </c>
      <c r="V466" s="14">
        <v>1340.15</v>
      </c>
      <c r="W466" s="14">
        <v>1340.15</v>
      </c>
      <c r="X466" s="11">
        <v>106</v>
      </c>
      <c r="Y466" s="15" t="s">
        <v>3713</v>
      </c>
      <c r="Z466" s="16">
        <v>982.15000000000009</v>
      </c>
      <c r="AA466" s="17">
        <v>274.3</v>
      </c>
      <c r="AB466" s="18" t="s">
        <v>3877</v>
      </c>
    </row>
    <row r="467" spans="1:28" x14ac:dyDescent="0.45">
      <c r="A467" s="2" t="s">
        <v>977</v>
      </c>
      <c r="B467" s="2" t="s">
        <v>978</v>
      </c>
      <c r="C467" s="2" t="s">
        <v>4</v>
      </c>
      <c r="D467" s="2" t="s">
        <v>820</v>
      </c>
      <c r="E467" s="2" t="s">
        <v>96</v>
      </c>
      <c r="F467" s="3">
        <v>90</v>
      </c>
      <c r="G467" s="3">
        <v>102.2</v>
      </c>
      <c r="H467" s="2" t="s">
        <v>876</v>
      </c>
      <c r="I467" s="19">
        <v>609</v>
      </c>
      <c r="J467" s="34">
        <f t="shared" si="28"/>
        <v>5.2982999999999993</v>
      </c>
      <c r="K467" s="34">
        <f t="shared" si="29"/>
        <v>7.95</v>
      </c>
      <c r="L467" s="34">
        <f t="shared" si="30"/>
        <v>31.8</v>
      </c>
      <c r="M467" s="20" t="s">
        <v>3756</v>
      </c>
      <c r="N467" s="20" t="s">
        <v>3716</v>
      </c>
      <c r="O467" s="20" t="s">
        <v>3711</v>
      </c>
      <c r="P467" s="20" t="s">
        <v>3717</v>
      </c>
      <c r="Q467" s="21">
        <v>90</v>
      </c>
      <c r="R467" s="21">
        <v>102</v>
      </c>
      <c r="S467" s="21">
        <v>7</v>
      </c>
      <c r="T467" s="22">
        <v>12.47</v>
      </c>
      <c r="U467" s="13">
        <f t="shared" si="31"/>
        <v>-19.329999999999998</v>
      </c>
      <c r="V467" s="23">
        <v>1527.58</v>
      </c>
      <c r="W467" s="23">
        <v>1527.58</v>
      </c>
      <c r="X467" s="20">
        <v>143</v>
      </c>
      <c r="Y467" s="24" t="s">
        <v>3713</v>
      </c>
      <c r="Z467" s="16">
        <v>918.57999999999993</v>
      </c>
      <c r="AA467" s="17">
        <v>150.80000000000001</v>
      </c>
      <c r="AB467" s="25" t="s">
        <v>3793</v>
      </c>
    </row>
    <row r="468" spans="1:28" x14ac:dyDescent="0.45">
      <c r="A468" s="4" t="s">
        <v>979</v>
      </c>
      <c r="B468" s="4" t="s">
        <v>980</v>
      </c>
      <c r="C468" s="4" t="s">
        <v>4</v>
      </c>
      <c r="D468" s="4" t="s">
        <v>820</v>
      </c>
      <c r="E468" s="4" t="s">
        <v>96</v>
      </c>
      <c r="F468" s="5">
        <v>95</v>
      </c>
      <c r="G468" s="5">
        <v>103.8</v>
      </c>
      <c r="H468" s="4" t="s">
        <v>169</v>
      </c>
      <c r="I468" s="10">
        <v>384</v>
      </c>
      <c r="J468" s="34">
        <f t="shared" si="28"/>
        <v>3.3407999999999998</v>
      </c>
      <c r="K468" s="34">
        <f t="shared" si="29"/>
        <v>5.01</v>
      </c>
      <c r="L468" s="34">
        <f t="shared" si="30"/>
        <v>20.04</v>
      </c>
      <c r="M468" s="11" t="s">
        <v>3834</v>
      </c>
      <c r="N468" s="11" t="s">
        <v>3716</v>
      </c>
      <c r="O468" s="11" t="s">
        <v>3711</v>
      </c>
      <c r="P468" s="11" t="s">
        <v>3717</v>
      </c>
      <c r="Q468" s="12">
        <v>96</v>
      </c>
      <c r="R468" s="12">
        <v>104</v>
      </c>
      <c r="S468" s="12">
        <v>7.6</v>
      </c>
      <c r="T468" s="13">
        <v>16.57</v>
      </c>
      <c r="U468" s="13">
        <f t="shared" si="31"/>
        <v>-3.4699999999999989</v>
      </c>
      <c r="V468" s="14">
        <v>2029.82</v>
      </c>
      <c r="W468" s="14">
        <v>2029.82</v>
      </c>
      <c r="X468" s="11" t="s">
        <v>3722</v>
      </c>
      <c r="Y468" s="15" t="s">
        <v>3713</v>
      </c>
      <c r="Z468" s="16">
        <v>1645.82</v>
      </c>
      <c r="AA468" s="17">
        <v>428.6</v>
      </c>
      <c r="AB468" s="18" t="s">
        <v>3878</v>
      </c>
    </row>
    <row r="469" spans="1:28" x14ac:dyDescent="0.45">
      <c r="A469" s="2" t="s">
        <v>981</v>
      </c>
      <c r="B469" s="2" t="s">
        <v>982</v>
      </c>
      <c r="C469" s="2" t="s">
        <v>4</v>
      </c>
      <c r="D469" s="2" t="s">
        <v>820</v>
      </c>
      <c r="E469" s="2" t="s">
        <v>96</v>
      </c>
      <c r="F469" s="3">
        <v>95</v>
      </c>
      <c r="G469" s="3">
        <v>107.2</v>
      </c>
      <c r="H469" s="2" t="s">
        <v>876</v>
      </c>
      <c r="I469" s="19">
        <v>643</v>
      </c>
      <c r="J469" s="34">
        <f t="shared" si="28"/>
        <v>5.5940999999999992</v>
      </c>
      <c r="K469" s="34">
        <f t="shared" si="29"/>
        <v>8.39</v>
      </c>
      <c r="L469" s="34">
        <f t="shared" si="30"/>
        <v>33.56</v>
      </c>
      <c r="M469" s="20" t="s">
        <v>3757</v>
      </c>
      <c r="N469" s="20" t="s">
        <v>3716</v>
      </c>
      <c r="O469" s="20" t="s">
        <v>3711</v>
      </c>
      <c r="P469" s="20" t="s">
        <v>3717</v>
      </c>
      <c r="Q469" s="21">
        <v>95</v>
      </c>
      <c r="R469" s="21">
        <v>107</v>
      </c>
      <c r="S469" s="21">
        <v>7</v>
      </c>
      <c r="T469" s="22">
        <v>22.9</v>
      </c>
      <c r="U469" s="13">
        <f t="shared" si="31"/>
        <v>-10.660000000000004</v>
      </c>
      <c r="V469" s="23">
        <v>2805.25</v>
      </c>
      <c r="W469" s="23">
        <v>2805.25</v>
      </c>
      <c r="X469" s="20">
        <v>31</v>
      </c>
      <c r="Y469" s="24" t="s">
        <v>3713</v>
      </c>
      <c r="Z469" s="16">
        <v>2162.25</v>
      </c>
      <c r="AA469" s="17">
        <v>336.3</v>
      </c>
      <c r="AB469" s="25" t="s">
        <v>3793</v>
      </c>
    </row>
    <row r="470" spans="1:28" x14ac:dyDescent="0.45">
      <c r="A470" s="4" t="s">
        <v>983</v>
      </c>
      <c r="B470" s="4" t="s">
        <v>984</v>
      </c>
      <c r="C470" s="4" t="s">
        <v>4</v>
      </c>
      <c r="D470" s="4" t="s">
        <v>820</v>
      </c>
      <c r="E470" s="4" t="s">
        <v>96</v>
      </c>
      <c r="F470" s="5">
        <v>100</v>
      </c>
      <c r="G470" s="5">
        <v>108.8</v>
      </c>
      <c r="H470" s="4" t="s">
        <v>169</v>
      </c>
      <c r="I470" s="10">
        <v>401</v>
      </c>
      <c r="J470" s="34">
        <f t="shared" si="28"/>
        <v>3.4886999999999997</v>
      </c>
      <c r="K470" s="34">
        <f t="shared" si="29"/>
        <v>5.23</v>
      </c>
      <c r="L470" s="34">
        <f t="shared" si="30"/>
        <v>20.92</v>
      </c>
      <c r="M470" s="11" t="s">
        <v>3835</v>
      </c>
      <c r="N470" s="11" t="s">
        <v>3716</v>
      </c>
      <c r="O470" s="11" t="s">
        <v>3711</v>
      </c>
      <c r="P470" s="11" t="s">
        <v>3717</v>
      </c>
      <c r="Q470" s="12">
        <v>100</v>
      </c>
      <c r="R470" s="12">
        <v>110</v>
      </c>
      <c r="S470" s="12">
        <v>5.3</v>
      </c>
      <c r="T470" s="13">
        <v>14.88</v>
      </c>
      <c r="U470" s="13">
        <f t="shared" si="31"/>
        <v>-6.0400000000000009</v>
      </c>
      <c r="V470" s="14">
        <v>1822.8</v>
      </c>
      <c r="W470" s="14">
        <v>1822.8</v>
      </c>
      <c r="X470" s="11">
        <v>35</v>
      </c>
      <c r="Y470" s="15" t="s">
        <v>3713</v>
      </c>
      <c r="Z470" s="16">
        <v>1421.8</v>
      </c>
      <c r="AA470" s="17">
        <v>354.6</v>
      </c>
      <c r="AB470" s="18" t="s">
        <v>3877</v>
      </c>
    </row>
    <row r="471" spans="1:28" x14ac:dyDescent="0.45">
      <c r="A471" s="2" t="s">
        <v>985</v>
      </c>
      <c r="B471" s="2" t="s">
        <v>986</v>
      </c>
      <c r="C471" s="2" t="s">
        <v>4</v>
      </c>
      <c r="D471" s="2" t="s">
        <v>820</v>
      </c>
      <c r="E471" s="2" t="s">
        <v>96</v>
      </c>
      <c r="F471" s="3">
        <v>100</v>
      </c>
      <c r="G471" s="3">
        <v>112.2</v>
      </c>
      <c r="H471" s="2" t="s">
        <v>876</v>
      </c>
      <c r="I471" s="19">
        <v>675</v>
      </c>
      <c r="J471" s="34">
        <f t="shared" si="28"/>
        <v>5.8724999999999996</v>
      </c>
      <c r="K471" s="34">
        <f t="shared" si="29"/>
        <v>8.81</v>
      </c>
      <c r="L471" s="34">
        <f t="shared" si="30"/>
        <v>35.24</v>
      </c>
      <c r="M471" s="20" t="s">
        <v>3758</v>
      </c>
      <c r="N471" s="20" t="s">
        <v>3716</v>
      </c>
      <c r="O471" s="20" t="s">
        <v>3711</v>
      </c>
      <c r="P471" s="20" t="s">
        <v>3717</v>
      </c>
      <c r="Q471" s="21">
        <v>100</v>
      </c>
      <c r="R471" s="21">
        <v>112</v>
      </c>
      <c r="S471" s="21">
        <v>7.2</v>
      </c>
      <c r="T471" s="22">
        <v>24.31</v>
      </c>
      <c r="U471" s="13">
        <f t="shared" si="31"/>
        <v>-10.930000000000003</v>
      </c>
      <c r="V471" s="23">
        <v>2977.98</v>
      </c>
      <c r="W471" s="23">
        <v>2977.98</v>
      </c>
      <c r="X471" s="20">
        <v>131</v>
      </c>
      <c r="Y471" s="24" t="s">
        <v>3713</v>
      </c>
      <c r="Z471" s="16">
        <v>2302.98</v>
      </c>
      <c r="AA471" s="17">
        <v>341.2</v>
      </c>
      <c r="AB471" s="25" t="s">
        <v>3793</v>
      </c>
    </row>
    <row r="472" spans="1:28" x14ac:dyDescent="0.45">
      <c r="A472" s="4" t="s">
        <v>987</v>
      </c>
      <c r="B472" s="4" t="s">
        <v>988</v>
      </c>
      <c r="C472" s="4" t="s">
        <v>4</v>
      </c>
      <c r="D472" s="4" t="s">
        <v>820</v>
      </c>
      <c r="E472" s="4" t="s">
        <v>96</v>
      </c>
      <c r="F472" s="5">
        <v>105</v>
      </c>
      <c r="G472" s="5">
        <v>113.8</v>
      </c>
      <c r="H472" s="4" t="s">
        <v>169</v>
      </c>
      <c r="I472" s="10">
        <v>417</v>
      </c>
      <c r="J472" s="34">
        <f t="shared" si="28"/>
        <v>3.6278999999999999</v>
      </c>
      <c r="K472" s="34">
        <f t="shared" si="29"/>
        <v>5.44</v>
      </c>
      <c r="L472" s="34">
        <f t="shared" si="30"/>
        <v>21.76</v>
      </c>
      <c r="M472" s="11" t="s">
        <v>3883</v>
      </c>
      <c r="N472" s="11" t="s">
        <v>3716</v>
      </c>
      <c r="O472" s="11" t="s">
        <v>3711</v>
      </c>
      <c r="P472" s="11" t="s">
        <v>3717</v>
      </c>
      <c r="Q472" s="12">
        <v>105</v>
      </c>
      <c r="R472" s="12">
        <v>113</v>
      </c>
      <c r="S472" s="12">
        <v>5</v>
      </c>
      <c r="T472" s="13">
        <v>15.8</v>
      </c>
      <c r="U472" s="13">
        <f t="shared" si="31"/>
        <v>-5.9600000000000009</v>
      </c>
      <c r="V472" s="14">
        <v>1935.5</v>
      </c>
      <c r="W472" s="14">
        <v>1935.5</v>
      </c>
      <c r="X472" s="11">
        <v>11</v>
      </c>
      <c r="Y472" s="15" t="s">
        <v>3713</v>
      </c>
      <c r="Z472" s="16">
        <v>1518.5</v>
      </c>
      <c r="AA472" s="17">
        <v>364.1</v>
      </c>
      <c r="AB472" s="18" t="s">
        <v>3876</v>
      </c>
    </row>
    <row r="473" spans="1:28" x14ac:dyDescent="0.45">
      <c r="A473" s="2" t="s">
        <v>989</v>
      </c>
      <c r="B473" s="2" t="s">
        <v>990</v>
      </c>
      <c r="C473" s="2" t="s">
        <v>4</v>
      </c>
      <c r="D473" s="2" t="s">
        <v>820</v>
      </c>
      <c r="E473" s="2" t="s">
        <v>96</v>
      </c>
      <c r="F473" s="3">
        <v>110</v>
      </c>
      <c r="G473" s="3">
        <v>118.8</v>
      </c>
      <c r="H473" s="2" t="s">
        <v>169</v>
      </c>
      <c r="I473" s="19">
        <v>443</v>
      </c>
      <c r="J473" s="34">
        <f t="shared" si="28"/>
        <v>3.8540999999999999</v>
      </c>
      <c r="K473" s="34">
        <f t="shared" si="29"/>
        <v>5.78</v>
      </c>
      <c r="L473" s="34">
        <f t="shared" si="30"/>
        <v>23.12</v>
      </c>
      <c r="M473" s="20" t="s">
        <v>3823</v>
      </c>
      <c r="N473" s="20" t="s">
        <v>3775</v>
      </c>
      <c r="O473" s="20" t="s">
        <v>3711</v>
      </c>
      <c r="P473" s="20" t="s">
        <v>3776</v>
      </c>
      <c r="Q473" s="21">
        <v>110</v>
      </c>
      <c r="R473" s="21">
        <v>120</v>
      </c>
      <c r="S473" s="21">
        <v>7</v>
      </c>
      <c r="T473" s="22">
        <v>33.67</v>
      </c>
      <c r="U473" s="13">
        <f t="shared" si="31"/>
        <v>10.55</v>
      </c>
      <c r="V473" s="23">
        <v>4124.58</v>
      </c>
      <c r="W473" s="23">
        <v>4124.58</v>
      </c>
      <c r="X473" s="20">
        <v>24</v>
      </c>
      <c r="Y473" s="24" t="s">
        <v>3713</v>
      </c>
      <c r="Z473" s="16">
        <v>3681.58</v>
      </c>
      <c r="AA473" s="17">
        <v>831.1</v>
      </c>
      <c r="AB473" s="25" t="s">
        <v>3877</v>
      </c>
    </row>
    <row r="474" spans="1:28" x14ac:dyDescent="0.45">
      <c r="A474" s="4" t="s">
        <v>991</v>
      </c>
      <c r="B474" s="4" t="s">
        <v>992</v>
      </c>
      <c r="C474" s="4" t="s">
        <v>4</v>
      </c>
      <c r="D474" s="4" t="s">
        <v>820</v>
      </c>
      <c r="E474" s="4" t="s">
        <v>96</v>
      </c>
      <c r="F474" s="5">
        <v>110</v>
      </c>
      <c r="G474" s="5">
        <v>122.2</v>
      </c>
      <c r="H474" s="4" t="s">
        <v>876</v>
      </c>
      <c r="I474" s="10">
        <v>742</v>
      </c>
      <c r="J474" s="34">
        <f t="shared" si="28"/>
        <v>6.4553999999999991</v>
      </c>
      <c r="K474" s="34">
        <f t="shared" si="29"/>
        <v>9.68</v>
      </c>
      <c r="L474" s="34">
        <f t="shared" si="30"/>
        <v>38.72</v>
      </c>
      <c r="M474" s="11" t="s">
        <v>3759</v>
      </c>
      <c r="N474" s="11" t="s">
        <v>3716</v>
      </c>
      <c r="O474" s="11" t="s">
        <v>3711</v>
      </c>
      <c r="P474" s="11" t="s">
        <v>3717</v>
      </c>
      <c r="Q474" s="12">
        <v>110</v>
      </c>
      <c r="R474" s="12">
        <v>122</v>
      </c>
      <c r="S474" s="12">
        <v>7.2</v>
      </c>
      <c r="T474" s="13">
        <v>14.89</v>
      </c>
      <c r="U474" s="13">
        <f t="shared" si="31"/>
        <v>-23.83</v>
      </c>
      <c r="V474" s="14">
        <v>1824.02</v>
      </c>
      <c r="W474" s="14">
        <v>1824.02</v>
      </c>
      <c r="X474" s="11">
        <v>8</v>
      </c>
      <c r="Y474" s="15" t="s">
        <v>3713</v>
      </c>
      <c r="Z474" s="16">
        <v>1082.02</v>
      </c>
      <c r="AA474" s="17">
        <v>145.80000000000001</v>
      </c>
      <c r="AB474" s="18" t="s">
        <v>3793</v>
      </c>
    </row>
    <row r="475" spans="1:28" x14ac:dyDescent="0.45">
      <c r="A475" s="2" t="s">
        <v>993</v>
      </c>
      <c r="B475" s="2" t="s">
        <v>994</v>
      </c>
      <c r="C475" s="2" t="s">
        <v>4</v>
      </c>
      <c r="D475" s="2" t="s">
        <v>820</v>
      </c>
      <c r="E475" s="2" t="s">
        <v>96</v>
      </c>
      <c r="F475" s="3">
        <v>140</v>
      </c>
      <c r="G475" s="3">
        <v>156</v>
      </c>
      <c r="H475" s="2" t="s">
        <v>61</v>
      </c>
      <c r="I475" s="19">
        <v>2250</v>
      </c>
      <c r="J475" s="34">
        <f t="shared" si="28"/>
        <v>19.574999999999999</v>
      </c>
      <c r="K475" s="34">
        <f t="shared" si="29"/>
        <v>29.36</v>
      </c>
      <c r="L475" s="34">
        <f t="shared" si="30"/>
        <v>117.44</v>
      </c>
      <c r="M475" s="20" t="s">
        <v>3884</v>
      </c>
      <c r="N475" s="20" t="s">
        <v>3719</v>
      </c>
      <c r="O475" s="20" t="s">
        <v>3711</v>
      </c>
      <c r="P475" s="20" t="s">
        <v>3720</v>
      </c>
      <c r="Q475" s="21">
        <v>140</v>
      </c>
      <c r="R475" s="21">
        <v>156</v>
      </c>
      <c r="S475" s="21">
        <v>8</v>
      </c>
      <c r="T475" s="22">
        <v>36.619999999999997</v>
      </c>
      <c r="U475" s="13">
        <f t="shared" si="31"/>
        <v>-80.819999999999993</v>
      </c>
      <c r="V475" s="23">
        <v>4485.95</v>
      </c>
      <c r="W475" s="23">
        <v>4485.95</v>
      </c>
      <c r="X475" s="20">
        <v>3</v>
      </c>
      <c r="Y475" s="24" t="s">
        <v>3713</v>
      </c>
      <c r="Z475" s="16">
        <v>2235.9499999999998</v>
      </c>
      <c r="AA475" s="17">
        <v>99.4</v>
      </c>
      <c r="AB475" s="25" t="s">
        <v>3714</v>
      </c>
    </row>
    <row r="476" spans="1:28" x14ac:dyDescent="0.45">
      <c r="A476" s="4" t="s">
        <v>995</v>
      </c>
      <c r="B476" s="4" t="s">
        <v>996</v>
      </c>
      <c r="C476" s="4" t="s">
        <v>4</v>
      </c>
      <c r="D476" s="4" t="s">
        <v>820</v>
      </c>
      <c r="E476" s="4" t="s">
        <v>96</v>
      </c>
      <c r="F476" s="5">
        <v>200</v>
      </c>
      <c r="G476" s="5">
        <v>216</v>
      </c>
      <c r="H476" s="4" t="s">
        <v>61</v>
      </c>
      <c r="I476" s="10">
        <v>3166</v>
      </c>
      <c r="J476" s="34">
        <f t="shared" si="28"/>
        <v>27.544199999999996</v>
      </c>
      <c r="K476" s="34">
        <f t="shared" si="29"/>
        <v>41.32</v>
      </c>
      <c r="L476" s="34">
        <f t="shared" si="30"/>
        <v>165.28</v>
      </c>
      <c r="M476" s="11" t="s">
        <v>3859</v>
      </c>
      <c r="N476" s="11" t="s">
        <v>3716</v>
      </c>
      <c r="O476" s="11" t="s">
        <v>3711</v>
      </c>
      <c r="P476" s="11" t="s">
        <v>3717</v>
      </c>
      <c r="Q476" s="12">
        <v>200</v>
      </c>
      <c r="R476" s="12">
        <v>215</v>
      </c>
      <c r="S476" s="12">
        <v>9.5</v>
      </c>
      <c r="T476" s="13">
        <v>33.67</v>
      </c>
      <c r="U476" s="13">
        <f t="shared" si="31"/>
        <v>-131.61000000000001</v>
      </c>
      <c r="V476" s="14">
        <v>4124.58</v>
      </c>
      <c r="W476" s="14">
        <v>4124.58</v>
      </c>
      <c r="X476" s="11">
        <v>58</v>
      </c>
      <c r="Y476" s="15" t="s">
        <v>3713</v>
      </c>
      <c r="Z476" s="16">
        <v>958.57999999999993</v>
      </c>
      <c r="AA476" s="17">
        <v>30.3</v>
      </c>
      <c r="AB476" s="18" t="s">
        <v>3786</v>
      </c>
    </row>
    <row r="477" spans="1:28" x14ac:dyDescent="0.45">
      <c r="A477" s="2" t="s">
        <v>998</v>
      </c>
      <c r="B477" s="2" t="s">
        <v>999</v>
      </c>
      <c r="C477" s="2" t="s">
        <v>4</v>
      </c>
      <c r="D477" s="2" t="s">
        <v>997</v>
      </c>
      <c r="E477" s="2" t="s">
        <v>256</v>
      </c>
      <c r="F477" s="3">
        <v>12</v>
      </c>
      <c r="G477" s="3">
        <v>20</v>
      </c>
      <c r="H477" s="2" t="s">
        <v>321</v>
      </c>
      <c r="I477" s="19">
        <v>35</v>
      </c>
      <c r="J477" s="34">
        <f t="shared" si="28"/>
        <v>0.30449999999999999</v>
      </c>
      <c r="K477" s="34">
        <f t="shared" si="29"/>
        <v>0.46</v>
      </c>
      <c r="L477" s="34">
        <f t="shared" si="30"/>
        <v>1.84</v>
      </c>
      <c r="M477" s="20" t="s">
        <v>3769</v>
      </c>
      <c r="N477" s="20" t="s">
        <v>3719</v>
      </c>
      <c r="O477" s="20" t="s">
        <v>3711</v>
      </c>
      <c r="P477" s="20" t="s">
        <v>3720</v>
      </c>
      <c r="Q477" s="21">
        <v>12</v>
      </c>
      <c r="R477" s="21">
        <v>20</v>
      </c>
      <c r="S477" s="21">
        <v>4</v>
      </c>
      <c r="T477" s="22">
        <v>11.23</v>
      </c>
      <c r="U477" s="13">
        <f t="shared" si="31"/>
        <v>9.39</v>
      </c>
      <c r="V477" s="23">
        <v>1375.68</v>
      </c>
      <c r="W477" s="23">
        <v>1375.68</v>
      </c>
      <c r="X477" s="20">
        <v>24</v>
      </c>
      <c r="Y477" s="24" t="s">
        <v>3713</v>
      </c>
      <c r="Z477" s="16">
        <v>1340.68</v>
      </c>
      <c r="AA477" s="17">
        <v>3830.5</v>
      </c>
      <c r="AB477" s="25" t="s">
        <v>3714</v>
      </c>
    </row>
    <row r="478" spans="1:28" x14ac:dyDescent="0.45">
      <c r="A478" s="4" t="s">
        <v>1000</v>
      </c>
      <c r="B478" s="4" t="s">
        <v>1001</v>
      </c>
      <c r="C478" s="4" t="s">
        <v>4</v>
      </c>
      <c r="D478" s="4" t="s">
        <v>997</v>
      </c>
      <c r="E478" s="4" t="s">
        <v>256</v>
      </c>
      <c r="F478" s="5">
        <v>14</v>
      </c>
      <c r="G478" s="5">
        <v>22</v>
      </c>
      <c r="H478" s="4" t="s">
        <v>321</v>
      </c>
      <c r="I478" s="10">
        <v>35</v>
      </c>
      <c r="J478" s="34">
        <f t="shared" si="28"/>
        <v>0.30449999999999999</v>
      </c>
      <c r="K478" s="34">
        <f t="shared" si="29"/>
        <v>0.46</v>
      </c>
      <c r="L478" s="34">
        <f t="shared" si="30"/>
        <v>1.84</v>
      </c>
      <c r="M478" s="11" t="s">
        <v>3770</v>
      </c>
      <c r="N478" s="11" t="s">
        <v>3719</v>
      </c>
      <c r="O478" s="11" t="s">
        <v>3711</v>
      </c>
      <c r="P478" s="11" t="s">
        <v>3720</v>
      </c>
      <c r="Q478" s="12">
        <v>14</v>
      </c>
      <c r="R478" s="12">
        <v>22</v>
      </c>
      <c r="S478" s="12">
        <v>4</v>
      </c>
      <c r="T478" s="13">
        <v>9.43</v>
      </c>
      <c r="U478" s="13">
        <f t="shared" si="31"/>
        <v>7.59</v>
      </c>
      <c r="V478" s="14">
        <v>1155.18</v>
      </c>
      <c r="W478" s="14">
        <v>1155.18</v>
      </c>
      <c r="X478" s="11">
        <v>7</v>
      </c>
      <c r="Y478" s="15" t="s">
        <v>3713</v>
      </c>
      <c r="Z478" s="16">
        <v>1120.18</v>
      </c>
      <c r="AA478" s="17">
        <v>3200.5</v>
      </c>
      <c r="AB478" s="18" t="s">
        <v>3714</v>
      </c>
    </row>
    <row r="479" spans="1:28" x14ac:dyDescent="0.45">
      <c r="A479" s="2" t="s">
        <v>1002</v>
      </c>
      <c r="B479" s="2" t="s">
        <v>1003</v>
      </c>
      <c r="C479" s="2" t="s">
        <v>4</v>
      </c>
      <c r="D479" s="2" t="s">
        <v>997</v>
      </c>
      <c r="E479" s="2" t="s">
        <v>256</v>
      </c>
      <c r="F479" s="3">
        <v>15</v>
      </c>
      <c r="G479" s="3">
        <v>23</v>
      </c>
      <c r="H479" s="2" t="s">
        <v>321</v>
      </c>
      <c r="I479" s="19">
        <v>35</v>
      </c>
      <c r="J479" s="34">
        <f t="shared" si="28"/>
        <v>0.30449999999999999</v>
      </c>
      <c r="K479" s="34">
        <f t="shared" si="29"/>
        <v>0.46</v>
      </c>
      <c r="L479" s="34">
        <f t="shared" si="30"/>
        <v>1.84</v>
      </c>
      <c r="M479" s="20" t="s">
        <v>3770</v>
      </c>
      <c r="N479" s="20" t="s">
        <v>3719</v>
      </c>
      <c r="O479" s="20" t="s">
        <v>3711</v>
      </c>
      <c r="P479" s="20" t="s">
        <v>3720</v>
      </c>
      <c r="Q479" s="21">
        <v>14</v>
      </c>
      <c r="R479" s="21">
        <v>22</v>
      </c>
      <c r="S479" s="21">
        <v>4</v>
      </c>
      <c r="T479" s="22">
        <v>9.43</v>
      </c>
      <c r="U479" s="13">
        <f t="shared" si="31"/>
        <v>7.59</v>
      </c>
      <c r="V479" s="23">
        <v>1155.18</v>
      </c>
      <c r="W479" s="23">
        <v>1155.18</v>
      </c>
      <c r="X479" s="20">
        <v>7</v>
      </c>
      <c r="Y479" s="24" t="s">
        <v>3713</v>
      </c>
      <c r="Z479" s="16">
        <v>1120.18</v>
      </c>
      <c r="AA479" s="17">
        <v>3200.5</v>
      </c>
      <c r="AB479" s="25" t="s">
        <v>3783</v>
      </c>
    </row>
    <row r="480" spans="1:28" x14ac:dyDescent="0.45">
      <c r="A480" s="4" t="s">
        <v>1004</v>
      </c>
      <c r="B480" s="4" t="s">
        <v>1005</v>
      </c>
      <c r="C480" s="4" t="s">
        <v>4</v>
      </c>
      <c r="D480" s="4" t="s">
        <v>997</v>
      </c>
      <c r="E480" s="4" t="s">
        <v>256</v>
      </c>
      <c r="F480" s="5">
        <v>16</v>
      </c>
      <c r="G480" s="5">
        <v>24</v>
      </c>
      <c r="H480" s="4" t="s">
        <v>321</v>
      </c>
      <c r="I480" s="10">
        <v>37</v>
      </c>
      <c r="J480" s="34">
        <f t="shared" si="28"/>
        <v>0.32189999999999996</v>
      </c>
      <c r="K480" s="34">
        <f t="shared" si="29"/>
        <v>0.48</v>
      </c>
      <c r="L480" s="34">
        <f t="shared" si="30"/>
        <v>1.92</v>
      </c>
      <c r="M480" s="11" t="s">
        <v>3772</v>
      </c>
      <c r="N480" s="11" t="s">
        <v>3719</v>
      </c>
      <c r="O480" s="11" t="s">
        <v>3711</v>
      </c>
      <c r="P480" s="11" t="s">
        <v>3720</v>
      </c>
      <c r="Q480" s="12">
        <v>16</v>
      </c>
      <c r="R480" s="12">
        <v>24</v>
      </c>
      <c r="S480" s="12">
        <v>4</v>
      </c>
      <c r="T480" s="13">
        <v>12.03</v>
      </c>
      <c r="U480" s="13">
        <f t="shared" si="31"/>
        <v>10.11</v>
      </c>
      <c r="V480" s="14">
        <v>1473.68</v>
      </c>
      <c r="W480" s="14">
        <v>1473.68</v>
      </c>
      <c r="X480" s="11">
        <v>34</v>
      </c>
      <c r="Y480" s="15" t="s">
        <v>3713</v>
      </c>
      <c r="Z480" s="16">
        <v>1436.68</v>
      </c>
      <c r="AA480" s="17">
        <v>3882.9</v>
      </c>
      <c r="AB480" s="18" t="s">
        <v>3714</v>
      </c>
    </row>
    <row r="481" spans="1:28" x14ac:dyDescent="0.45">
      <c r="A481" s="2" t="s">
        <v>1006</v>
      </c>
      <c r="B481" s="2" t="s">
        <v>1007</v>
      </c>
      <c r="C481" s="2" t="s">
        <v>4</v>
      </c>
      <c r="D481" s="2" t="s">
        <v>997</v>
      </c>
      <c r="E481" s="2" t="s">
        <v>256</v>
      </c>
      <c r="F481" s="3">
        <v>18</v>
      </c>
      <c r="G481" s="3">
        <v>26</v>
      </c>
      <c r="H481" s="2" t="s">
        <v>321</v>
      </c>
      <c r="I481" s="19">
        <v>37</v>
      </c>
      <c r="J481" s="34">
        <f t="shared" si="28"/>
        <v>0.32189999999999996</v>
      </c>
      <c r="K481" s="34">
        <f t="shared" si="29"/>
        <v>0.48</v>
      </c>
      <c r="L481" s="34">
        <f t="shared" si="30"/>
        <v>1.92</v>
      </c>
      <c r="M481" s="20" t="s">
        <v>3718</v>
      </c>
      <c r="N481" s="20" t="s">
        <v>3719</v>
      </c>
      <c r="O481" s="20" t="s">
        <v>3711</v>
      </c>
      <c r="P481" s="20" t="s">
        <v>3720</v>
      </c>
      <c r="Q481" s="21">
        <v>18</v>
      </c>
      <c r="R481" s="21">
        <v>26</v>
      </c>
      <c r="S481" s="21">
        <v>4</v>
      </c>
      <c r="T481" s="22">
        <v>4.1900000000000004</v>
      </c>
      <c r="U481" s="13">
        <f t="shared" si="31"/>
        <v>2.2700000000000005</v>
      </c>
      <c r="V481" s="23">
        <v>513.28</v>
      </c>
      <c r="W481" s="23">
        <v>513.28</v>
      </c>
      <c r="X481" s="20">
        <v>55</v>
      </c>
      <c r="Y481" s="24" t="s">
        <v>3713</v>
      </c>
      <c r="Z481" s="16">
        <v>476.28</v>
      </c>
      <c r="AA481" s="17">
        <v>1287.2</v>
      </c>
      <c r="AB481" s="25" t="s">
        <v>3714</v>
      </c>
    </row>
    <row r="482" spans="1:28" x14ac:dyDescent="0.45">
      <c r="A482" s="4" t="s">
        <v>1008</v>
      </c>
      <c r="B482" s="4" t="s">
        <v>1009</v>
      </c>
      <c r="C482" s="4" t="s">
        <v>4</v>
      </c>
      <c r="D482" s="4" t="s">
        <v>997</v>
      </c>
      <c r="E482" s="4" t="s">
        <v>256</v>
      </c>
      <c r="F482" s="5">
        <v>20</v>
      </c>
      <c r="G482" s="5">
        <v>28</v>
      </c>
      <c r="H482" s="4" t="s">
        <v>321</v>
      </c>
      <c r="I482" s="10">
        <v>37</v>
      </c>
      <c r="J482" s="34">
        <f t="shared" si="28"/>
        <v>0.32189999999999996</v>
      </c>
      <c r="K482" s="34">
        <f t="shared" si="29"/>
        <v>0.48</v>
      </c>
      <c r="L482" s="34">
        <f t="shared" si="30"/>
        <v>1.92</v>
      </c>
      <c r="M482" s="11" t="s">
        <v>3721</v>
      </c>
      <c r="N482" s="11" t="s">
        <v>3719</v>
      </c>
      <c r="O482" s="11" t="s">
        <v>3711</v>
      </c>
      <c r="P482" s="11" t="s">
        <v>3720</v>
      </c>
      <c r="Q482" s="12">
        <v>20</v>
      </c>
      <c r="R482" s="12">
        <v>28</v>
      </c>
      <c r="S482" s="12">
        <v>4</v>
      </c>
      <c r="T482" s="13">
        <v>11.74</v>
      </c>
      <c r="U482" s="13">
        <f t="shared" si="31"/>
        <v>9.82</v>
      </c>
      <c r="V482" s="14">
        <v>1438.15</v>
      </c>
      <c r="W482" s="14">
        <v>1438.15</v>
      </c>
      <c r="X482" s="11" t="s">
        <v>3722</v>
      </c>
      <c r="Y482" s="15" t="s">
        <v>3713</v>
      </c>
      <c r="Z482" s="16">
        <v>1401.15</v>
      </c>
      <c r="AA482" s="17">
        <v>3786.9</v>
      </c>
      <c r="AB482" s="18" t="s">
        <v>3714</v>
      </c>
    </row>
    <row r="483" spans="1:28" x14ac:dyDescent="0.45">
      <c r="A483" s="2" t="s">
        <v>1010</v>
      </c>
      <c r="B483" s="2" t="s">
        <v>1011</v>
      </c>
      <c r="C483" s="2" t="s">
        <v>4</v>
      </c>
      <c r="D483" s="2" t="s">
        <v>997</v>
      </c>
      <c r="E483" s="2" t="s">
        <v>256</v>
      </c>
      <c r="F483" s="3">
        <v>22</v>
      </c>
      <c r="G483" s="3">
        <v>30</v>
      </c>
      <c r="H483" s="2" t="s">
        <v>321</v>
      </c>
      <c r="I483" s="19">
        <v>37</v>
      </c>
      <c r="J483" s="34">
        <f t="shared" si="28"/>
        <v>0.32189999999999996</v>
      </c>
      <c r="K483" s="34">
        <f t="shared" si="29"/>
        <v>0.48</v>
      </c>
      <c r="L483" s="34">
        <f t="shared" si="30"/>
        <v>1.92</v>
      </c>
      <c r="M483" s="20" t="s">
        <v>3723</v>
      </c>
      <c r="N483" s="20" t="s">
        <v>3719</v>
      </c>
      <c r="O483" s="20" t="s">
        <v>3711</v>
      </c>
      <c r="P483" s="20" t="s">
        <v>3720</v>
      </c>
      <c r="Q483" s="21">
        <v>22</v>
      </c>
      <c r="R483" s="21">
        <v>30</v>
      </c>
      <c r="S483" s="21">
        <v>4</v>
      </c>
      <c r="T483" s="22">
        <v>7.14</v>
      </c>
      <c r="U483" s="13">
        <f t="shared" si="31"/>
        <v>5.22</v>
      </c>
      <c r="V483" s="23">
        <v>874.65</v>
      </c>
      <c r="W483" s="23">
        <v>874.65</v>
      </c>
      <c r="X483" s="20">
        <v>16</v>
      </c>
      <c r="Y483" s="24" t="s">
        <v>3713</v>
      </c>
      <c r="Z483" s="16">
        <v>837.65</v>
      </c>
      <c r="AA483" s="17">
        <v>2263.9</v>
      </c>
      <c r="AB483" s="25" t="s">
        <v>3714</v>
      </c>
    </row>
    <row r="484" spans="1:28" x14ac:dyDescent="0.45">
      <c r="A484" s="4" t="s">
        <v>1012</v>
      </c>
      <c r="B484" s="4" t="s">
        <v>1013</v>
      </c>
      <c r="C484" s="4" t="s">
        <v>4</v>
      </c>
      <c r="D484" s="4" t="s">
        <v>997</v>
      </c>
      <c r="E484" s="4" t="s">
        <v>256</v>
      </c>
      <c r="F484" s="5">
        <v>25</v>
      </c>
      <c r="G484" s="5">
        <v>33</v>
      </c>
      <c r="H484" s="4" t="s">
        <v>321</v>
      </c>
      <c r="I484" s="10">
        <v>39</v>
      </c>
      <c r="J484" s="34">
        <f t="shared" si="28"/>
        <v>0.33929999999999999</v>
      </c>
      <c r="K484" s="34">
        <f t="shared" si="29"/>
        <v>0.51</v>
      </c>
      <c r="L484" s="34">
        <f t="shared" si="30"/>
        <v>2.04</v>
      </c>
      <c r="M484" s="11" t="s">
        <v>3724</v>
      </c>
      <c r="N484" s="11" t="s">
        <v>3719</v>
      </c>
      <c r="O484" s="11" t="s">
        <v>3711</v>
      </c>
      <c r="P484" s="11" t="s">
        <v>3720</v>
      </c>
      <c r="Q484" s="12">
        <v>25</v>
      </c>
      <c r="R484" s="12">
        <v>33</v>
      </c>
      <c r="S484" s="12">
        <v>4</v>
      </c>
      <c r="T484" s="13">
        <v>7.87</v>
      </c>
      <c r="U484" s="13">
        <f t="shared" si="31"/>
        <v>5.83</v>
      </c>
      <c r="V484" s="14">
        <v>964.08</v>
      </c>
      <c r="W484" s="14">
        <v>964.08</v>
      </c>
      <c r="X484" s="11" t="s">
        <v>3722</v>
      </c>
      <c r="Y484" s="15" t="s">
        <v>3713</v>
      </c>
      <c r="Z484" s="16">
        <v>925.08</v>
      </c>
      <c r="AA484" s="17">
        <v>2372</v>
      </c>
      <c r="AB484" s="18" t="s">
        <v>3714</v>
      </c>
    </row>
    <row r="485" spans="1:28" x14ac:dyDescent="0.45">
      <c r="A485" s="2" t="s">
        <v>1014</v>
      </c>
      <c r="B485" s="2" t="s">
        <v>1015</v>
      </c>
      <c r="C485" s="2" t="s">
        <v>4</v>
      </c>
      <c r="D485" s="2" t="s">
        <v>997</v>
      </c>
      <c r="E485" s="2" t="s">
        <v>256</v>
      </c>
      <c r="F485" s="3">
        <v>28</v>
      </c>
      <c r="G485" s="3">
        <v>36</v>
      </c>
      <c r="H485" s="2" t="s">
        <v>321</v>
      </c>
      <c r="I485" s="19">
        <v>39</v>
      </c>
      <c r="J485" s="34">
        <f t="shared" si="28"/>
        <v>0.33929999999999999</v>
      </c>
      <c r="K485" s="34">
        <f t="shared" si="29"/>
        <v>0.51</v>
      </c>
      <c r="L485" s="34">
        <f t="shared" si="30"/>
        <v>2.04</v>
      </c>
      <c r="M485" s="20" t="s">
        <v>3725</v>
      </c>
      <c r="N485" s="20" t="s">
        <v>3716</v>
      </c>
      <c r="O485" s="20" t="s">
        <v>3711</v>
      </c>
      <c r="P485" s="20" t="s">
        <v>3717</v>
      </c>
      <c r="Q485" s="21">
        <v>28</v>
      </c>
      <c r="R485" s="21">
        <v>36</v>
      </c>
      <c r="S485" s="21">
        <v>5</v>
      </c>
      <c r="T485" s="22">
        <v>5.53</v>
      </c>
      <c r="U485" s="13">
        <f t="shared" si="31"/>
        <v>3.49</v>
      </c>
      <c r="V485" s="23">
        <v>677.42</v>
      </c>
      <c r="W485" s="23">
        <v>677.42</v>
      </c>
      <c r="X485" s="20">
        <v>381</v>
      </c>
      <c r="Y485" s="24" t="s">
        <v>3713</v>
      </c>
      <c r="Z485" s="16">
        <v>638.41999999999996</v>
      </c>
      <c r="AA485" s="17">
        <v>1637</v>
      </c>
      <c r="AB485" s="25" t="s">
        <v>3714</v>
      </c>
    </row>
    <row r="486" spans="1:28" x14ac:dyDescent="0.45">
      <c r="A486" s="4" t="s">
        <v>1016</v>
      </c>
      <c r="B486" s="4" t="s">
        <v>1017</v>
      </c>
      <c r="C486" s="4" t="s">
        <v>4</v>
      </c>
      <c r="D486" s="4" t="s">
        <v>997</v>
      </c>
      <c r="E486" s="4" t="s">
        <v>256</v>
      </c>
      <c r="F486" s="5">
        <v>30</v>
      </c>
      <c r="G486" s="5">
        <v>38</v>
      </c>
      <c r="H486" s="4" t="s">
        <v>321</v>
      </c>
      <c r="I486" s="10">
        <v>39</v>
      </c>
      <c r="J486" s="34">
        <f t="shared" si="28"/>
        <v>0.33929999999999999</v>
      </c>
      <c r="K486" s="34">
        <f t="shared" si="29"/>
        <v>0.51</v>
      </c>
      <c r="L486" s="34">
        <f t="shared" si="30"/>
        <v>2.04</v>
      </c>
      <c r="M486" s="11" t="s">
        <v>3726</v>
      </c>
      <c r="N486" s="11" t="s">
        <v>3716</v>
      </c>
      <c r="O486" s="11" t="s">
        <v>3711</v>
      </c>
      <c r="P486" s="11" t="s">
        <v>3717</v>
      </c>
      <c r="Q486" s="12">
        <v>30</v>
      </c>
      <c r="R486" s="12">
        <v>38</v>
      </c>
      <c r="S486" s="12">
        <v>5</v>
      </c>
      <c r="T486" s="13">
        <v>5.98</v>
      </c>
      <c r="U486" s="13">
        <f t="shared" si="31"/>
        <v>3.9400000000000004</v>
      </c>
      <c r="V486" s="14">
        <v>732.55</v>
      </c>
      <c r="W486" s="14">
        <v>732.55</v>
      </c>
      <c r="X486" s="11">
        <v>138</v>
      </c>
      <c r="Y486" s="15" t="s">
        <v>3713</v>
      </c>
      <c r="Z486" s="16">
        <v>693.55</v>
      </c>
      <c r="AA486" s="17">
        <v>1778.3</v>
      </c>
      <c r="AB486" s="18" t="s">
        <v>3714</v>
      </c>
    </row>
    <row r="487" spans="1:28" x14ac:dyDescent="0.45">
      <c r="A487" s="2" t="s">
        <v>1018</v>
      </c>
      <c r="B487" s="2" t="s">
        <v>1019</v>
      </c>
      <c r="C487" s="2" t="s">
        <v>4</v>
      </c>
      <c r="D487" s="2" t="s">
        <v>997</v>
      </c>
      <c r="E487" s="2" t="s">
        <v>256</v>
      </c>
      <c r="F487" s="3">
        <v>32</v>
      </c>
      <c r="G487" s="3">
        <v>40</v>
      </c>
      <c r="H487" s="2" t="s">
        <v>321</v>
      </c>
      <c r="I487" s="19">
        <v>39</v>
      </c>
      <c r="J487" s="34">
        <f t="shared" si="28"/>
        <v>0.33929999999999999</v>
      </c>
      <c r="K487" s="34">
        <f t="shared" si="29"/>
        <v>0.51</v>
      </c>
      <c r="L487" s="34">
        <f t="shared" si="30"/>
        <v>2.04</v>
      </c>
      <c r="M487" s="20" t="s">
        <v>3727</v>
      </c>
      <c r="N487" s="20" t="s">
        <v>3719</v>
      </c>
      <c r="O487" s="20" t="s">
        <v>3711</v>
      </c>
      <c r="P487" s="20" t="s">
        <v>3720</v>
      </c>
      <c r="Q487" s="21">
        <v>32</v>
      </c>
      <c r="R487" s="21">
        <v>40</v>
      </c>
      <c r="S487" s="21">
        <v>5</v>
      </c>
      <c r="T487" s="22">
        <v>7.49</v>
      </c>
      <c r="U487" s="13">
        <f t="shared" si="31"/>
        <v>5.45</v>
      </c>
      <c r="V487" s="23">
        <v>917.52</v>
      </c>
      <c r="W487" s="23">
        <v>917.52</v>
      </c>
      <c r="X487" s="20">
        <v>11</v>
      </c>
      <c r="Y487" s="24" t="s">
        <v>3713</v>
      </c>
      <c r="Z487" s="16">
        <v>878.52</v>
      </c>
      <c r="AA487" s="17">
        <v>2252.6</v>
      </c>
      <c r="AB487" s="25" t="s">
        <v>3714</v>
      </c>
    </row>
    <row r="488" spans="1:28" x14ac:dyDescent="0.45">
      <c r="A488" s="4" t="s">
        <v>1020</v>
      </c>
      <c r="B488" s="4" t="s">
        <v>1021</v>
      </c>
      <c r="C488" s="4" t="s">
        <v>4</v>
      </c>
      <c r="D488" s="4" t="s">
        <v>997</v>
      </c>
      <c r="E488" s="4" t="s">
        <v>256</v>
      </c>
      <c r="F488" s="5">
        <v>33</v>
      </c>
      <c r="G488" s="5">
        <v>41</v>
      </c>
      <c r="H488" s="4" t="s">
        <v>321</v>
      </c>
      <c r="I488" s="10">
        <v>49</v>
      </c>
      <c r="J488" s="34">
        <f t="shared" si="28"/>
        <v>0.42629999999999996</v>
      </c>
      <c r="K488" s="34">
        <f t="shared" si="29"/>
        <v>0.64</v>
      </c>
      <c r="L488" s="34">
        <f t="shared" si="30"/>
        <v>2.56</v>
      </c>
      <c r="M488" s="11" t="s">
        <v>3827</v>
      </c>
      <c r="N488" s="11" t="s">
        <v>3735</v>
      </c>
      <c r="O488" s="11" t="s">
        <v>3711</v>
      </c>
      <c r="P488" s="11" t="s">
        <v>3736</v>
      </c>
      <c r="Q488" s="12">
        <v>31.75</v>
      </c>
      <c r="R488" s="12">
        <v>41.148000000000003</v>
      </c>
      <c r="S488" s="12">
        <v>4.5720000000000001</v>
      </c>
      <c r="T488" s="13">
        <v>2.29</v>
      </c>
      <c r="U488" s="13">
        <f t="shared" si="31"/>
        <v>-0.27</v>
      </c>
      <c r="V488" s="14">
        <v>280.52</v>
      </c>
      <c r="W488" s="14">
        <v>280.52</v>
      </c>
      <c r="X488" s="11">
        <v>242</v>
      </c>
      <c r="Y488" s="15" t="s">
        <v>3737</v>
      </c>
      <c r="Z488" s="16">
        <v>231.52</v>
      </c>
      <c r="AA488" s="17">
        <v>472.5</v>
      </c>
      <c r="AB488" s="18" t="s">
        <v>3886</v>
      </c>
    </row>
    <row r="489" spans="1:28" x14ac:dyDescent="0.45">
      <c r="A489" s="2" t="s">
        <v>1022</v>
      </c>
      <c r="B489" s="2" t="s">
        <v>1023</v>
      </c>
      <c r="C489" s="2" t="s">
        <v>4</v>
      </c>
      <c r="D489" s="2" t="s">
        <v>997</v>
      </c>
      <c r="E489" s="2" t="s">
        <v>256</v>
      </c>
      <c r="F489" s="3">
        <v>35</v>
      </c>
      <c r="G489" s="3">
        <v>43</v>
      </c>
      <c r="H489" s="2" t="s">
        <v>321</v>
      </c>
      <c r="I489" s="19">
        <v>42</v>
      </c>
      <c r="J489" s="34">
        <f t="shared" si="28"/>
        <v>0.36539999999999995</v>
      </c>
      <c r="K489" s="34">
        <f t="shared" si="29"/>
        <v>0.55000000000000004</v>
      </c>
      <c r="L489" s="34">
        <f t="shared" si="30"/>
        <v>2.2000000000000002</v>
      </c>
      <c r="M489" s="20" t="s">
        <v>3728</v>
      </c>
      <c r="N489" s="20" t="s">
        <v>3716</v>
      </c>
      <c r="O489" s="20" t="s">
        <v>3711</v>
      </c>
      <c r="P489" s="20" t="s">
        <v>3717</v>
      </c>
      <c r="Q489" s="21">
        <v>35</v>
      </c>
      <c r="R489" s="21">
        <v>43</v>
      </c>
      <c r="S489" s="21">
        <v>5</v>
      </c>
      <c r="T489" s="22">
        <v>6.64</v>
      </c>
      <c r="U489" s="13">
        <f t="shared" si="31"/>
        <v>4.4399999999999995</v>
      </c>
      <c r="V489" s="23">
        <v>813.4</v>
      </c>
      <c r="W489" s="23">
        <v>813.4</v>
      </c>
      <c r="X489" s="20">
        <v>102</v>
      </c>
      <c r="Y489" s="24" t="s">
        <v>3713</v>
      </c>
      <c r="Z489" s="16">
        <v>771.4</v>
      </c>
      <c r="AA489" s="17">
        <v>1836.7</v>
      </c>
      <c r="AB489" s="25" t="s">
        <v>3714</v>
      </c>
    </row>
    <row r="490" spans="1:28" x14ac:dyDescent="0.45">
      <c r="A490" s="4" t="s">
        <v>1024</v>
      </c>
      <c r="B490" s="4" t="s">
        <v>1025</v>
      </c>
      <c r="C490" s="4" t="s">
        <v>4</v>
      </c>
      <c r="D490" s="4" t="s">
        <v>997</v>
      </c>
      <c r="E490" s="4" t="s">
        <v>256</v>
      </c>
      <c r="F490" s="5">
        <v>36</v>
      </c>
      <c r="G490" s="5">
        <v>44</v>
      </c>
      <c r="H490" s="4" t="s">
        <v>321</v>
      </c>
      <c r="I490" s="10">
        <v>39</v>
      </c>
      <c r="J490" s="34">
        <f t="shared" si="28"/>
        <v>0.33929999999999999</v>
      </c>
      <c r="K490" s="34">
        <f t="shared" si="29"/>
        <v>0.51</v>
      </c>
      <c r="L490" s="34">
        <f t="shared" si="30"/>
        <v>2.04</v>
      </c>
      <c r="M490" s="11" t="s">
        <v>3729</v>
      </c>
      <c r="N490" s="11" t="s">
        <v>3716</v>
      </c>
      <c r="O490" s="11" t="s">
        <v>3711</v>
      </c>
      <c r="P490" s="11" t="s">
        <v>3717</v>
      </c>
      <c r="Q490" s="12">
        <v>36</v>
      </c>
      <c r="R490" s="12">
        <v>44</v>
      </c>
      <c r="S490" s="12">
        <v>5</v>
      </c>
      <c r="T490" s="13">
        <v>6.87</v>
      </c>
      <c r="U490" s="13">
        <f t="shared" si="31"/>
        <v>4.83</v>
      </c>
      <c r="V490" s="14">
        <v>841.58</v>
      </c>
      <c r="W490" s="14">
        <v>841.58</v>
      </c>
      <c r="X490" s="11">
        <v>103</v>
      </c>
      <c r="Y490" s="15" t="s">
        <v>3713</v>
      </c>
      <c r="Z490" s="16">
        <v>802.58</v>
      </c>
      <c r="AA490" s="17">
        <v>2057.9</v>
      </c>
      <c r="AB490" s="18" t="s">
        <v>3714</v>
      </c>
    </row>
    <row r="491" spans="1:28" x14ac:dyDescent="0.45">
      <c r="A491" s="2" t="s">
        <v>1026</v>
      </c>
      <c r="B491" s="2" t="s">
        <v>1027</v>
      </c>
      <c r="C491" s="2" t="s">
        <v>4</v>
      </c>
      <c r="D491" s="2" t="s">
        <v>997</v>
      </c>
      <c r="E491" s="2" t="s">
        <v>256</v>
      </c>
      <c r="F491" s="3">
        <v>38</v>
      </c>
      <c r="G491" s="3">
        <v>46</v>
      </c>
      <c r="H491" s="2" t="s">
        <v>321</v>
      </c>
      <c r="I491" s="19">
        <v>52</v>
      </c>
      <c r="J491" s="34">
        <f t="shared" si="28"/>
        <v>0.45239999999999997</v>
      </c>
      <c r="K491" s="34">
        <f t="shared" si="29"/>
        <v>0.68</v>
      </c>
      <c r="L491" s="34">
        <f t="shared" si="30"/>
        <v>2.72</v>
      </c>
      <c r="M491" s="20" t="s">
        <v>3730</v>
      </c>
      <c r="N491" s="20" t="s">
        <v>3731</v>
      </c>
      <c r="O491" s="20" t="s">
        <v>3711</v>
      </c>
      <c r="P491" s="20" t="s">
        <v>3732</v>
      </c>
      <c r="Q491" s="21">
        <v>38</v>
      </c>
      <c r="R491" s="21">
        <v>46</v>
      </c>
      <c r="S491" s="21">
        <v>5</v>
      </c>
      <c r="T491" s="22">
        <v>20.05</v>
      </c>
      <c r="U491" s="13">
        <f t="shared" si="31"/>
        <v>17.330000000000002</v>
      </c>
      <c r="V491" s="23">
        <v>2456.12</v>
      </c>
      <c r="W491" s="23">
        <v>2456.12</v>
      </c>
      <c r="X491" s="20">
        <v>47</v>
      </c>
      <c r="Y491" s="24" t="s">
        <v>3713</v>
      </c>
      <c r="Z491" s="16">
        <v>2404.12</v>
      </c>
      <c r="AA491" s="17">
        <v>4623.3</v>
      </c>
      <c r="AB491" s="25" t="s">
        <v>3714</v>
      </c>
    </row>
    <row r="492" spans="1:28" x14ac:dyDescent="0.45">
      <c r="A492" s="4" t="s">
        <v>1028</v>
      </c>
      <c r="B492" s="4" t="s">
        <v>1029</v>
      </c>
      <c r="C492" s="4" t="s">
        <v>4</v>
      </c>
      <c r="D492" s="4" t="s">
        <v>997</v>
      </c>
      <c r="E492" s="4" t="s">
        <v>256</v>
      </c>
      <c r="F492" s="5">
        <v>40</v>
      </c>
      <c r="G492" s="5">
        <v>48</v>
      </c>
      <c r="H492" s="4" t="s">
        <v>321</v>
      </c>
      <c r="I492" s="10">
        <v>39</v>
      </c>
      <c r="J492" s="34">
        <f t="shared" si="28"/>
        <v>0.33929999999999999</v>
      </c>
      <c r="K492" s="34">
        <f t="shared" si="29"/>
        <v>0.51</v>
      </c>
      <c r="L492" s="34">
        <f t="shared" si="30"/>
        <v>2.04</v>
      </c>
      <c r="M492" s="11" t="s">
        <v>3733</v>
      </c>
      <c r="N492" s="11" t="s">
        <v>3716</v>
      </c>
      <c r="O492" s="11" t="s">
        <v>3711</v>
      </c>
      <c r="P492" s="11" t="s">
        <v>3717</v>
      </c>
      <c r="Q492" s="12">
        <v>40</v>
      </c>
      <c r="R492" s="12">
        <v>48</v>
      </c>
      <c r="S492" s="12">
        <v>5</v>
      </c>
      <c r="T492" s="13">
        <v>6.87</v>
      </c>
      <c r="U492" s="13">
        <f t="shared" si="31"/>
        <v>4.83</v>
      </c>
      <c r="V492" s="14">
        <v>841.58</v>
      </c>
      <c r="W492" s="14">
        <v>841.58</v>
      </c>
      <c r="X492" s="11">
        <v>254</v>
      </c>
      <c r="Y492" s="15" t="s">
        <v>3713</v>
      </c>
      <c r="Z492" s="16">
        <v>802.58</v>
      </c>
      <c r="AA492" s="17">
        <v>2057.9</v>
      </c>
      <c r="AB492" s="18" t="s">
        <v>3714</v>
      </c>
    </row>
    <row r="493" spans="1:28" x14ac:dyDescent="0.45">
      <c r="A493" s="2" t="s">
        <v>1030</v>
      </c>
      <c r="B493" s="2" t="s">
        <v>1031</v>
      </c>
      <c r="C493" s="2" t="s">
        <v>4</v>
      </c>
      <c r="D493" s="2" t="s">
        <v>997</v>
      </c>
      <c r="E493" s="2" t="s">
        <v>256</v>
      </c>
      <c r="F493" s="3">
        <v>42</v>
      </c>
      <c r="G493" s="3">
        <v>50</v>
      </c>
      <c r="H493" s="2" t="s">
        <v>321</v>
      </c>
      <c r="I493" s="19">
        <v>59</v>
      </c>
      <c r="J493" s="34">
        <f t="shared" si="28"/>
        <v>0.51329999999999998</v>
      </c>
      <c r="K493" s="34">
        <f t="shared" si="29"/>
        <v>0.77</v>
      </c>
      <c r="L493" s="34">
        <f t="shared" si="30"/>
        <v>3.08</v>
      </c>
      <c r="M493" s="20" t="s">
        <v>3734</v>
      </c>
      <c r="N493" s="20" t="s">
        <v>3735</v>
      </c>
      <c r="O493" s="20" t="s">
        <v>3711</v>
      </c>
      <c r="P493" s="20" t="s">
        <v>3736</v>
      </c>
      <c r="Q493" s="21">
        <v>41.148000000000003</v>
      </c>
      <c r="R493" s="21">
        <v>50.8</v>
      </c>
      <c r="S493" s="21">
        <v>4.5720000000000001</v>
      </c>
      <c r="T493" s="22">
        <v>3.44</v>
      </c>
      <c r="U493" s="13">
        <f t="shared" si="31"/>
        <v>0.35999999999999988</v>
      </c>
      <c r="V493" s="23">
        <v>421.4</v>
      </c>
      <c r="W493" s="23">
        <v>421.4</v>
      </c>
      <c r="X493" s="20">
        <v>99</v>
      </c>
      <c r="Y493" s="24" t="s">
        <v>3737</v>
      </c>
      <c r="Z493" s="16">
        <v>362.4</v>
      </c>
      <c r="AA493" s="17">
        <v>614.20000000000005</v>
      </c>
      <c r="AB493" s="25" t="s">
        <v>3738</v>
      </c>
    </row>
    <row r="494" spans="1:28" x14ac:dyDescent="0.45">
      <c r="A494" s="4" t="s">
        <v>1032</v>
      </c>
      <c r="B494" s="4" t="s">
        <v>1033</v>
      </c>
      <c r="C494" s="4" t="s">
        <v>4</v>
      </c>
      <c r="D494" s="4" t="s">
        <v>997</v>
      </c>
      <c r="E494" s="4" t="s">
        <v>256</v>
      </c>
      <c r="F494" s="5">
        <v>45</v>
      </c>
      <c r="G494" s="5">
        <v>53</v>
      </c>
      <c r="H494" s="4" t="s">
        <v>321</v>
      </c>
      <c r="I494" s="10">
        <v>49</v>
      </c>
      <c r="J494" s="34">
        <f t="shared" si="28"/>
        <v>0.42629999999999996</v>
      </c>
      <c r="K494" s="34">
        <f t="shared" si="29"/>
        <v>0.64</v>
      </c>
      <c r="L494" s="34">
        <f t="shared" si="30"/>
        <v>2.56</v>
      </c>
      <c r="M494" s="11" t="s">
        <v>3739</v>
      </c>
      <c r="N494" s="11" t="s">
        <v>3716</v>
      </c>
      <c r="O494" s="11" t="s">
        <v>3711</v>
      </c>
      <c r="P494" s="11" t="s">
        <v>3717</v>
      </c>
      <c r="Q494" s="12">
        <v>45</v>
      </c>
      <c r="R494" s="12">
        <v>53</v>
      </c>
      <c r="S494" s="12">
        <v>5</v>
      </c>
      <c r="T494" s="13">
        <v>7.1</v>
      </c>
      <c r="U494" s="13">
        <f t="shared" si="31"/>
        <v>4.5399999999999991</v>
      </c>
      <c r="V494" s="14">
        <v>869.75</v>
      </c>
      <c r="W494" s="14">
        <v>869.75</v>
      </c>
      <c r="X494" s="11">
        <v>124</v>
      </c>
      <c r="Y494" s="15" t="s">
        <v>3713</v>
      </c>
      <c r="Z494" s="16">
        <v>820.75</v>
      </c>
      <c r="AA494" s="17">
        <v>1675</v>
      </c>
      <c r="AB494" s="18" t="s">
        <v>3714</v>
      </c>
    </row>
    <row r="495" spans="1:28" x14ac:dyDescent="0.45">
      <c r="A495" s="2" t="s">
        <v>1034</v>
      </c>
      <c r="B495" s="2" t="s">
        <v>1035</v>
      </c>
      <c r="C495" s="2" t="s">
        <v>4</v>
      </c>
      <c r="D495" s="2" t="s">
        <v>997</v>
      </c>
      <c r="E495" s="2" t="s">
        <v>256</v>
      </c>
      <c r="F495" s="3">
        <v>50</v>
      </c>
      <c r="G495" s="3">
        <v>58</v>
      </c>
      <c r="H495" s="2" t="s">
        <v>321</v>
      </c>
      <c r="I495" s="19">
        <v>49</v>
      </c>
      <c r="J495" s="34">
        <f t="shared" si="28"/>
        <v>0.42629999999999996</v>
      </c>
      <c r="K495" s="34">
        <f t="shared" si="29"/>
        <v>0.64</v>
      </c>
      <c r="L495" s="34">
        <f t="shared" si="30"/>
        <v>2.56</v>
      </c>
      <c r="M495" s="20" t="s">
        <v>3741</v>
      </c>
      <c r="N495" s="20" t="s">
        <v>3719</v>
      </c>
      <c r="O495" s="20" t="s">
        <v>3711</v>
      </c>
      <c r="P495" s="20" t="s">
        <v>3720</v>
      </c>
      <c r="Q495" s="21">
        <v>50</v>
      </c>
      <c r="R495" s="21">
        <v>58</v>
      </c>
      <c r="S495" s="21">
        <v>5</v>
      </c>
      <c r="T495" s="22">
        <v>10.98</v>
      </c>
      <c r="U495" s="13">
        <f t="shared" si="31"/>
        <v>8.42</v>
      </c>
      <c r="V495" s="23">
        <v>1345.05</v>
      </c>
      <c r="W495" s="23">
        <v>1345.05</v>
      </c>
      <c r="X495" s="20">
        <v>81</v>
      </c>
      <c r="Y495" s="24" t="s">
        <v>3713</v>
      </c>
      <c r="Z495" s="16">
        <v>1296.05</v>
      </c>
      <c r="AA495" s="17">
        <v>2645</v>
      </c>
      <c r="AB495" s="25" t="s">
        <v>3714</v>
      </c>
    </row>
    <row r="496" spans="1:28" x14ac:dyDescent="0.45">
      <c r="A496" s="4" t="s">
        <v>1036</v>
      </c>
      <c r="B496" s="4" t="s">
        <v>1037</v>
      </c>
      <c r="C496" s="4" t="s">
        <v>4</v>
      </c>
      <c r="D496" s="4" t="s">
        <v>997</v>
      </c>
      <c r="E496" s="4" t="s">
        <v>256</v>
      </c>
      <c r="F496" s="5">
        <v>55</v>
      </c>
      <c r="G496" s="5">
        <v>63</v>
      </c>
      <c r="H496" s="4" t="s">
        <v>321</v>
      </c>
      <c r="I496" s="10">
        <v>69</v>
      </c>
      <c r="J496" s="34">
        <f t="shared" si="28"/>
        <v>0.60029999999999994</v>
      </c>
      <c r="K496" s="34">
        <f t="shared" si="29"/>
        <v>0.9</v>
      </c>
      <c r="L496" s="34">
        <f t="shared" si="30"/>
        <v>3.6</v>
      </c>
      <c r="M496" s="11" t="s">
        <v>3860</v>
      </c>
      <c r="N496" s="11" t="s">
        <v>3750</v>
      </c>
      <c r="O496" s="11" t="s">
        <v>3711</v>
      </c>
      <c r="P496" s="11" t="s">
        <v>3751</v>
      </c>
      <c r="Q496" s="12">
        <v>56</v>
      </c>
      <c r="R496" s="12">
        <v>64</v>
      </c>
      <c r="S496" s="12">
        <v>4</v>
      </c>
      <c r="T496" s="13">
        <v>12.2</v>
      </c>
      <c r="U496" s="13">
        <f t="shared" si="31"/>
        <v>8.6</v>
      </c>
      <c r="V496" s="14">
        <v>1494.5</v>
      </c>
      <c r="W496" s="14">
        <v>1494.5</v>
      </c>
      <c r="X496" s="11" t="s">
        <v>3722</v>
      </c>
      <c r="Y496" s="15" t="s">
        <v>3713</v>
      </c>
      <c r="Z496" s="16">
        <v>1425.5</v>
      </c>
      <c r="AA496" s="17">
        <v>2065.9</v>
      </c>
      <c r="AB496" s="18" t="s">
        <v>3783</v>
      </c>
    </row>
    <row r="497" spans="1:28" x14ac:dyDescent="0.45">
      <c r="A497" s="2" t="s">
        <v>1038</v>
      </c>
      <c r="B497" s="2" t="s">
        <v>1039</v>
      </c>
      <c r="C497" s="2" t="s">
        <v>4</v>
      </c>
      <c r="D497" s="2" t="s">
        <v>997</v>
      </c>
      <c r="E497" s="2" t="s">
        <v>256</v>
      </c>
      <c r="F497" s="3">
        <v>56</v>
      </c>
      <c r="G497" s="3">
        <v>64</v>
      </c>
      <c r="H497" s="2" t="s">
        <v>321</v>
      </c>
      <c r="I497" s="19">
        <v>69</v>
      </c>
      <c r="J497" s="34">
        <f t="shared" si="28"/>
        <v>0.60029999999999994</v>
      </c>
      <c r="K497" s="34">
        <f t="shared" si="29"/>
        <v>0.9</v>
      </c>
      <c r="L497" s="34">
        <f t="shared" si="30"/>
        <v>3.6</v>
      </c>
      <c r="M497" s="20" t="s">
        <v>3860</v>
      </c>
      <c r="N497" s="20" t="s">
        <v>3750</v>
      </c>
      <c r="O497" s="20" t="s">
        <v>3711</v>
      </c>
      <c r="P497" s="20" t="s">
        <v>3751</v>
      </c>
      <c r="Q497" s="21">
        <v>56</v>
      </c>
      <c r="R497" s="21">
        <v>64</v>
      </c>
      <c r="S497" s="21">
        <v>4</v>
      </c>
      <c r="T497" s="22">
        <v>12.2</v>
      </c>
      <c r="U497" s="13">
        <f t="shared" si="31"/>
        <v>8.6</v>
      </c>
      <c r="V497" s="23">
        <v>1494.5</v>
      </c>
      <c r="W497" s="23">
        <v>1494.5</v>
      </c>
      <c r="X497" s="20" t="s">
        <v>3722</v>
      </c>
      <c r="Y497" s="24" t="s">
        <v>3713</v>
      </c>
      <c r="Z497" s="16">
        <v>1425.5</v>
      </c>
      <c r="AA497" s="17">
        <v>2065.9</v>
      </c>
      <c r="AB497" s="25" t="s">
        <v>3714</v>
      </c>
    </row>
    <row r="498" spans="1:28" x14ac:dyDescent="0.45">
      <c r="A498" s="4" t="s">
        <v>1040</v>
      </c>
      <c r="B498" s="4" t="s">
        <v>1041</v>
      </c>
      <c r="C498" s="4" t="s">
        <v>4</v>
      </c>
      <c r="D498" s="4" t="s">
        <v>997</v>
      </c>
      <c r="E498" s="4" t="s">
        <v>256</v>
      </c>
      <c r="F498" s="5">
        <v>60</v>
      </c>
      <c r="G498" s="5">
        <v>68</v>
      </c>
      <c r="H498" s="4" t="s">
        <v>321</v>
      </c>
      <c r="I498" s="10">
        <v>59</v>
      </c>
      <c r="J498" s="34">
        <f t="shared" si="28"/>
        <v>0.51329999999999998</v>
      </c>
      <c r="K498" s="34">
        <f t="shared" si="29"/>
        <v>0.77</v>
      </c>
      <c r="L498" s="34">
        <f t="shared" si="30"/>
        <v>3.08</v>
      </c>
      <c r="M498" s="11" t="s">
        <v>3815</v>
      </c>
      <c r="N498" s="11" t="s">
        <v>3791</v>
      </c>
      <c r="O498" s="11" t="s">
        <v>3711</v>
      </c>
      <c r="P498" s="11" t="s">
        <v>3792</v>
      </c>
      <c r="Q498" s="12">
        <v>60</v>
      </c>
      <c r="R498" s="12">
        <v>68</v>
      </c>
      <c r="S498" s="12">
        <v>5</v>
      </c>
      <c r="T498" s="13">
        <v>8.59</v>
      </c>
      <c r="U498" s="13">
        <f t="shared" si="31"/>
        <v>5.51</v>
      </c>
      <c r="V498" s="14">
        <v>1052.28</v>
      </c>
      <c r="W498" s="14">
        <v>1052.28</v>
      </c>
      <c r="X498" s="11">
        <v>10</v>
      </c>
      <c r="Y498" s="15" t="s">
        <v>3713</v>
      </c>
      <c r="Z498" s="16">
        <v>993.28</v>
      </c>
      <c r="AA498" s="17">
        <v>1683.5</v>
      </c>
      <c r="AB498" s="18" t="s">
        <v>3714</v>
      </c>
    </row>
    <row r="499" spans="1:28" x14ac:dyDescent="0.45">
      <c r="A499" s="2" t="s">
        <v>1042</v>
      </c>
      <c r="B499" s="2" t="s">
        <v>1043</v>
      </c>
      <c r="C499" s="2" t="s">
        <v>4</v>
      </c>
      <c r="D499" s="2" t="s">
        <v>997</v>
      </c>
      <c r="E499" s="2" t="s">
        <v>256</v>
      </c>
      <c r="F499" s="3">
        <v>62</v>
      </c>
      <c r="G499" s="3">
        <v>70</v>
      </c>
      <c r="H499" s="2" t="s">
        <v>321</v>
      </c>
      <c r="I499" s="19">
        <v>86</v>
      </c>
      <c r="J499" s="34">
        <f t="shared" si="28"/>
        <v>0.74819999999999998</v>
      </c>
      <c r="K499" s="34">
        <f t="shared" si="29"/>
        <v>1.1200000000000001</v>
      </c>
      <c r="L499" s="34">
        <f t="shared" si="30"/>
        <v>4.4800000000000004</v>
      </c>
      <c r="M499" s="20" t="s">
        <v>3861</v>
      </c>
      <c r="N499" s="20" t="s">
        <v>3750</v>
      </c>
      <c r="O499" s="20" t="s">
        <v>3711</v>
      </c>
      <c r="P499" s="20" t="s">
        <v>3751</v>
      </c>
      <c r="Q499" s="21">
        <v>63</v>
      </c>
      <c r="R499" s="21">
        <v>71</v>
      </c>
      <c r="S499" s="21">
        <v>4</v>
      </c>
      <c r="T499" s="22">
        <v>15.53</v>
      </c>
      <c r="U499" s="13">
        <f t="shared" si="31"/>
        <v>11.049999999999999</v>
      </c>
      <c r="V499" s="23">
        <v>1902.42</v>
      </c>
      <c r="W499" s="23">
        <v>1902.42</v>
      </c>
      <c r="X499" s="20">
        <v>151</v>
      </c>
      <c r="Y499" s="24" t="s">
        <v>3713</v>
      </c>
      <c r="Z499" s="16">
        <v>1816.42</v>
      </c>
      <c r="AA499" s="17">
        <v>2112.1</v>
      </c>
      <c r="AB499" s="25" t="s">
        <v>3783</v>
      </c>
    </row>
    <row r="500" spans="1:28" x14ac:dyDescent="0.45">
      <c r="A500" s="4" t="s">
        <v>1044</v>
      </c>
      <c r="B500" s="4" t="s">
        <v>1045</v>
      </c>
      <c r="C500" s="4" t="s">
        <v>4</v>
      </c>
      <c r="D500" s="4" t="s">
        <v>997</v>
      </c>
      <c r="E500" s="4" t="s">
        <v>256</v>
      </c>
      <c r="F500" s="5">
        <v>63</v>
      </c>
      <c r="G500" s="5">
        <v>71</v>
      </c>
      <c r="H500" s="4" t="s">
        <v>321</v>
      </c>
      <c r="I500" s="10">
        <v>66</v>
      </c>
      <c r="J500" s="34">
        <f t="shared" si="28"/>
        <v>0.57419999999999993</v>
      </c>
      <c r="K500" s="34">
        <f t="shared" si="29"/>
        <v>0.86</v>
      </c>
      <c r="L500" s="34">
        <f t="shared" si="30"/>
        <v>3.44</v>
      </c>
      <c r="M500" s="11" t="s">
        <v>3861</v>
      </c>
      <c r="N500" s="11" t="s">
        <v>3750</v>
      </c>
      <c r="O500" s="11" t="s">
        <v>3711</v>
      </c>
      <c r="P500" s="11" t="s">
        <v>3751</v>
      </c>
      <c r="Q500" s="12">
        <v>63</v>
      </c>
      <c r="R500" s="12">
        <v>71</v>
      </c>
      <c r="S500" s="12">
        <v>4</v>
      </c>
      <c r="T500" s="13">
        <v>15.53</v>
      </c>
      <c r="U500" s="13">
        <f t="shared" si="31"/>
        <v>12.09</v>
      </c>
      <c r="V500" s="14">
        <v>1902.42</v>
      </c>
      <c r="W500" s="14">
        <v>1902.42</v>
      </c>
      <c r="X500" s="11">
        <v>151</v>
      </c>
      <c r="Y500" s="15" t="s">
        <v>3713</v>
      </c>
      <c r="Z500" s="16">
        <v>1836.42</v>
      </c>
      <c r="AA500" s="17">
        <v>2782.5</v>
      </c>
      <c r="AB500" s="18" t="s">
        <v>3714</v>
      </c>
    </row>
    <row r="501" spans="1:28" x14ac:dyDescent="0.45">
      <c r="A501" s="2" t="s">
        <v>1046</v>
      </c>
      <c r="B501" s="2" t="s">
        <v>1047</v>
      </c>
      <c r="C501" s="2" t="s">
        <v>4</v>
      </c>
      <c r="D501" s="2" t="s">
        <v>997</v>
      </c>
      <c r="E501" s="2" t="s">
        <v>256</v>
      </c>
      <c r="F501" s="3">
        <v>70</v>
      </c>
      <c r="G501" s="3">
        <v>78</v>
      </c>
      <c r="H501" s="2" t="s">
        <v>321</v>
      </c>
      <c r="I501" s="19">
        <v>69</v>
      </c>
      <c r="J501" s="34">
        <f t="shared" si="28"/>
        <v>0.60029999999999994</v>
      </c>
      <c r="K501" s="34">
        <f t="shared" si="29"/>
        <v>0.9</v>
      </c>
      <c r="L501" s="34">
        <f t="shared" si="30"/>
        <v>3.6</v>
      </c>
      <c r="M501" s="20" t="s">
        <v>3749</v>
      </c>
      <c r="N501" s="20" t="s">
        <v>3750</v>
      </c>
      <c r="O501" s="20" t="s">
        <v>3711</v>
      </c>
      <c r="P501" s="20" t="s">
        <v>3751</v>
      </c>
      <c r="Q501" s="21">
        <v>70</v>
      </c>
      <c r="R501" s="21">
        <v>78</v>
      </c>
      <c r="S501" s="21">
        <v>4</v>
      </c>
      <c r="T501" s="22">
        <v>17.29</v>
      </c>
      <c r="U501" s="13">
        <f t="shared" si="31"/>
        <v>13.69</v>
      </c>
      <c r="V501" s="23">
        <v>2118.02</v>
      </c>
      <c r="W501" s="23">
        <v>2118.02</v>
      </c>
      <c r="X501" s="20">
        <v>7</v>
      </c>
      <c r="Y501" s="24" t="s">
        <v>3713</v>
      </c>
      <c r="Z501" s="16">
        <v>2049.02</v>
      </c>
      <c r="AA501" s="17">
        <v>2969.6</v>
      </c>
      <c r="AB501" s="25" t="s">
        <v>3714</v>
      </c>
    </row>
    <row r="502" spans="1:28" x14ac:dyDescent="0.45">
      <c r="A502" s="4" t="s">
        <v>1048</v>
      </c>
      <c r="B502" s="4" t="s">
        <v>1049</v>
      </c>
      <c r="C502" s="4" t="s">
        <v>4</v>
      </c>
      <c r="D502" s="4" t="s">
        <v>997</v>
      </c>
      <c r="E502" s="4" t="s">
        <v>256</v>
      </c>
      <c r="F502" s="5">
        <v>75</v>
      </c>
      <c r="G502" s="5">
        <v>83</v>
      </c>
      <c r="H502" s="4" t="s">
        <v>321</v>
      </c>
      <c r="I502" s="10">
        <v>77</v>
      </c>
      <c r="J502" s="34">
        <f t="shared" si="28"/>
        <v>0.66989999999999994</v>
      </c>
      <c r="K502" s="34">
        <f t="shared" si="29"/>
        <v>1</v>
      </c>
      <c r="L502" s="34">
        <f t="shared" si="30"/>
        <v>4</v>
      </c>
      <c r="M502" s="11" t="s">
        <v>3788</v>
      </c>
      <c r="N502" s="11" t="s">
        <v>3716</v>
      </c>
      <c r="O502" s="11" t="s">
        <v>3711</v>
      </c>
      <c r="P502" s="11" t="s">
        <v>3717</v>
      </c>
      <c r="Q502" s="12">
        <v>75</v>
      </c>
      <c r="R502" s="12">
        <v>83</v>
      </c>
      <c r="S502" s="12">
        <v>5</v>
      </c>
      <c r="T502" s="13">
        <v>20.010000000000002</v>
      </c>
      <c r="U502" s="13">
        <f t="shared" si="31"/>
        <v>16.010000000000002</v>
      </c>
      <c r="V502" s="14">
        <v>2451.23</v>
      </c>
      <c r="W502" s="14">
        <v>2451.23</v>
      </c>
      <c r="X502" s="11">
        <v>10</v>
      </c>
      <c r="Y502" s="15" t="s">
        <v>3713</v>
      </c>
      <c r="Z502" s="16">
        <v>2374.23</v>
      </c>
      <c r="AA502" s="17">
        <v>3083.4</v>
      </c>
      <c r="AB502" s="18" t="s">
        <v>3714</v>
      </c>
    </row>
    <row r="503" spans="1:28" x14ac:dyDescent="0.45">
      <c r="A503" s="2" t="s">
        <v>1050</v>
      </c>
      <c r="B503" s="2" t="s">
        <v>1051</v>
      </c>
      <c r="C503" s="2" t="s">
        <v>4</v>
      </c>
      <c r="D503" s="2" t="s">
        <v>997</v>
      </c>
      <c r="E503" s="2" t="s">
        <v>256</v>
      </c>
      <c r="F503" s="3">
        <v>80</v>
      </c>
      <c r="G503" s="3">
        <v>88</v>
      </c>
      <c r="H503" s="2" t="s">
        <v>321</v>
      </c>
      <c r="I503" s="19">
        <v>77</v>
      </c>
      <c r="J503" s="34">
        <f t="shared" si="28"/>
        <v>0.66989999999999994</v>
      </c>
      <c r="K503" s="34">
        <f t="shared" si="29"/>
        <v>1</v>
      </c>
      <c r="L503" s="34">
        <f t="shared" si="30"/>
        <v>4</v>
      </c>
      <c r="M503" s="20" t="s">
        <v>3862</v>
      </c>
      <c r="N503" s="20" t="s">
        <v>3791</v>
      </c>
      <c r="O503" s="20" t="s">
        <v>3711</v>
      </c>
      <c r="P503" s="20" t="s">
        <v>3792</v>
      </c>
      <c r="Q503" s="21">
        <v>80</v>
      </c>
      <c r="R503" s="21">
        <v>88</v>
      </c>
      <c r="S503" s="21">
        <v>5</v>
      </c>
      <c r="T503" s="22">
        <v>11.5</v>
      </c>
      <c r="U503" s="13">
        <f t="shared" si="31"/>
        <v>7.5</v>
      </c>
      <c r="V503" s="23">
        <v>1408.75</v>
      </c>
      <c r="W503" s="23">
        <v>1408.75</v>
      </c>
      <c r="X503" s="20">
        <v>16</v>
      </c>
      <c r="Y503" s="24" t="s">
        <v>3713</v>
      </c>
      <c r="Z503" s="16">
        <v>1331.75</v>
      </c>
      <c r="AA503" s="17">
        <v>1729.5</v>
      </c>
      <c r="AB503" s="25" t="s">
        <v>3714</v>
      </c>
    </row>
    <row r="504" spans="1:28" x14ac:dyDescent="0.45">
      <c r="A504" s="4" t="s">
        <v>1052</v>
      </c>
      <c r="B504" s="4" t="s">
        <v>1053</v>
      </c>
      <c r="C504" s="4" t="s">
        <v>4</v>
      </c>
      <c r="D504" s="4" t="s">
        <v>997</v>
      </c>
      <c r="E504" s="4" t="s">
        <v>256</v>
      </c>
      <c r="F504" s="5">
        <v>85</v>
      </c>
      <c r="G504" s="5">
        <v>93</v>
      </c>
      <c r="H504" s="4" t="s">
        <v>321</v>
      </c>
      <c r="I504" s="10">
        <v>119</v>
      </c>
      <c r="J504" s="34">
        <f t="shared" si="28"/>
        <v>1.0352999999999999</v>
      </c>
      <c r="K504" s="34">
        <f t="shared" si="29"/>
        <v>1.55</v>
      </c>
      <c r="L504" s="34">
        <f t="shared" si="30"/>
        <v>6.2</v>
      </c>
      <c r="M504" s="11" t="s">
        <v>3863</v>
      </c>
      <c r="N504" s="11" t="s">
        <v>3716</v>
      </c>
      <c r="O504" s="11" t="s">
        <v>3711</v>
      </c>
      <c r="P504" s="11" t="s">
        <v>3717</v>
      </c>
      <c r="Q504" s="12">
        <v>85</v>
      </c>
      <c r="R504" s="12">
        <v>93</v>
      </c>
      <c r="S504" s="12">
        <v>5</v>
      </c>
      <c r="T504" s="13">
        <v>12.52</v>
      </c>
      <c r="U504" s="13">
        <f t="shared" si="31"/>
        <v>6.3199999999999994</v>
      </c>
      <c r="V504" s="14">
        <v>1533.7</v>
      </c>
      <c r="W504" s="14">
        <v>1533.7</v>
      </c>
      <c r="X504" s="11">
        <v>22</v>
      </c>
      <c r="Y504" s="15" t="s">
        <v>3713</v>
      </c>
      <c r="Z504" s="16">
        <v>1414.7</v>
      </c>
      <c r="AA504" s="17">
        <v>1188.8</v>
      </c>
      <c r="AB504" s="18" t="s">
        <v>3714</v>
      </c>
    </row>
    <row r="505" spans="1:28" x14ac:dyDescent="0.45">
      <c r="A505" s="2" t="s">
        <v>1054</v>
      </c>
      <c r="B505" s="2" t="s">
        <v>1055</v>
      </c>
      <c r="C505" s="2" t="s">
        <v>4</v>
      </c>
      <c r="D505" s="2" t="s">
        <v>997</v>
      </c>
      <c r="E505" s="2" t="s">
        <v>256</v>
      </c>
      <c r="F505" s="3">
        <v>90</v>
      </c>
      <c r="G505" s="3">
        <v>102.2</v>
      </c>
      <c r="H505" s="2" t="s">
        <v>1056</v>
      </c>
      <c r="I505" s="19">
        <v>128</v>
      </c>
      <c r="J505" s="34">
        <f t="shared" si="28"/>
        <v>1.1135999999999999</v>
      </c>
      <c r="K505" s="34">
        <f t="shared" si="29"/>
        <v>1.67</v>
      </c>
      <c r="L505" s="34">
        <f t="shared" si="30"/>
        <v>6.68</v>
      </c>
      <c r="M505" s="20" t="s">
        <v>3756</v>
      </c>
      <c r="N505" s="20" t="s">
        <v>3716</v>
      </c>
      <c r="O505" s="20" t="s">
        <v>3711</v>
      </c>
      <c r="P505" s="20" t="s">
        <v>3717</v>
      </c>
      <c r="Q505" s="21">
        <v>90</v>
      </c>
      <c r="R505" s="21">
        <v>102</v>
      </c>
      <c r="S505" s="21">
        <v>7</v>
      </c>
      <c r="T505" s="22">
        <v>12.47</v>
      </c>
      <c r="U505" s="13">
        <f t="shared" si="31"/>
        <v>5.7900000000000009</v>
      </c>
      <c r="V505" s="23">
        <v>1527.58</v>
      </c>
      <c r="W505" s="23">
        <v>1527.58</v>
      </c>
      <c r="X505" s="20">
        <v>143</v>
      </c>
      <c r="Y505" s="24" t="s">
        <v>3713</v>
      </c>
      <c r="Z505" s="16">
        <v>1399.58</v>
      </c>
      <c r="AA505" s="17">
        <v>1093.4000000000001</v>
      </c>
      <c r="AB505" s="25" t="s">
        <v>3793</v>
      </c>
    </row>
    <row r="506" spans="1:28" x14ac:dyDescent="0.45">
      <c r="A506" s="4" t="s">
        <v>1057</v>
      </c>
      <c r="B506" s="4" t="s">
        <v>1058</v>
      </c>
      <c r="C506" s="4" t="s">
        <v>4</v>
      </c>
      <c r="D506" s="4" t="s">
        <v>997</v>
      </c>
      <c r="E506" s="4" t="s">
        <v>256</v>
      </c>
      <c r="F506" s="5">
        <v>95</v>
      </c>
      <c r="G506" s="5">
        <v>103</v>
      </c>
      <c r="H506" s="4" t="s">
        <v>321</v>
      </c>
      <c r="I506" s="10">
        <v>128</v>
      </c>
      <c r="J506" s="34">
        <f t="shared" si="28"/>
        <v>1.1135999999999999</v>
      </c>
      <c r="K506" s="34">
        <f t="shared" si="29"/>
        <v>1.67</v>
      </c>
      <c r="L506" s="34">
        <f t="shared" si="30"/>
        <v>6.68</v>
      </c>
      <c r="M506" s="11" t="s">
        <v>3834</v>
      </c>
      <c r="N506" s="11" t="s">
        <v>3716</v>
      </c>
      <c r="O506" s="11" t="s">
        <v>3711</v>
      </c>
      <c r="P506" s="11" t="s">
        <v>3717</v>
      </c>
      <c r="Q506" s="12">
        <v>96</v>
      </c>
      <c r="R506" s="12">
        <v>104</v>
      </c>
      <c r="S506" s="12">
        <v>7.6</v>
      </c>
      <c r="T506" s="13">
        <v>16.57</v>
      </c>
      <c r="U506" s="13">
        <f t="shared" si="31"/>
        <v>9.89</v>
      </c>
      <c r="V506" s="14">
        <v>2029.82</v>
      </c>
      <c r="W506" s="14">
        <v>2029.82</v>
      </c>
      <c r="X506" s="11" t="s">
        <v>3722</v>
      </c>
      <c r="Y506" s="15" t="s">
        <v>3713</v>
      </c>
      <c r="Z506" s="16">
        <v>1901.82</v>
      </c>
      <c r="AA506" s="17">
        <v>1485.8</v>
      </c>
      <c r="AB506" s="18" t="s">
        <v>3783</v>
      </c>
    </row>
    <row r="507" spans="1:28" x14ac:dyDescent="0.45">
      <c r="A507" s="2" t="s">
        <v>1059</v>
      </c>
      <c r="B507" s="2" t="s">
        <v>1060</v>
      </c>
      <c r="C507" s="2" t="s">
        <v>4</v>
      </c>
      <c r="D507" s="2" t="s">
        <v>997</v>
      </c>
      <c r="E507" s="2" t="s">
        <v>256</v>
      </c>
      <c r="F507" s="3">
        <v>100</v>
      </c>
      <c r="G507" s="3">
        <v>108</v>
      </c>
      <c r="H507" s="2" t="s">
        <v>321</v>
      </c>
      <c r="I507" s="19">
        <v>128</v>
      </c>
      <c r="J507" s="34">
        <f t="shared" si="28"/>
        <v>1.1135999999999999</v>
      </c>
      <c r="K507" s="34">
        <f t="shared" si="29"/>
        <v>1.67</v>
      </c>
      <c r="L507" s="34">
        <f t="shared" si="30"/>
        <v>6.68</v>
      </c>
      <c r="M507" s="20" t="s">
        <v>3864</v>
      </c>
      <c r="N507" s="20" t="s">
        <v>3731</v>
      </c>
      <c r="O507" s="20" t="s">
        <v>3711</v>
      </c>
      <c r="P507" s="20" t="s">
        <v>3732</v>
      </c>
      <c r="Q507" s="21">
        <v>98.298000000000002</v>
      </c>
      <c r="R507" s="21">
        <v>107.95</v>
      </c>
      <c r="S507" s="21">
        <v>4.5720000000000001</v>
      </c>
      <c r="T507" s="22">
        <v>19.809999999999999</v>
      </c>
      <c r="U507" s="13">
        <f t="shared" si="31"/>
        <v>13.129999999999999</v>
      </c>
      <c r="V507" s="23">
        <v>2426.7199999999998</v>
      </c>
      <c r="W507" s="23">
        <v>2426.7199999999998</v>
      </c>
      <c r="X507" s="20">
        <v>121</v>
      </c>
      <c r="Y507" s="24" t="s">
        <v>3737</v>
      </c>
      <c r="Z507" s="16">
        <v>2298.7199999999998</v>
      </c>
      <c r="AA507" s="17">
        <v>1795.9</v>
      </c>
      <c r="AB507" s="25" t="s">
        <v>3865</v>
      </c>
    </row>
    <row r="508" spans="1:28" x14ac:dyDescent="0.45">
      <c r="A508" s="4" t="s">
        <v>1062</v>
      </c>
      <c r="B508" s="4" t="s">
        <v>1063</v>
      </c>
      <c r="C508" s="4" t="s">
        <v>4</v>
      </c>
      <c r="D508" s="4" t="s">
        <v>997</v>
      </c>
      <c r="E508" s="4" t="s">
        <v>256</v>
      </c>
      <c r="F508" s="5">
        <v>110</v>
      </c>
      <c r="G508" s="5">
        <v>122</v>
      </c>
      <c r="H508" s="4" t="s">
        <v>1061</v>
      </c>
      <c r="I508" s="10">
        <v>212</v>
      </c>
      <c r="J508" s="34">
        <f t="shared" si="28"/>
        <v>1.8443999999999998</v>
      </c>
      <c r="K508" s="34">
        <f t="shared" si="29"/>
        <v>2.77</v>
      </c>
      <c r="L508" s="34">
        <f t="shared" si="30"/>
        <v>11.08</v>
      </c>
      <c r="M508" s="11" t="s">
        <v>3759</v>
      </c>
      <c r="N508" s="11" t="s">
        <v>3716</v>
      </c>
      <c r="O508" s="11" t="s">
        <v>3711</v>
      </c>
      <c r="P508" s="11" t="s">
        <v>3717</v>
      </c>
      <c r="Q508" s="12">
        <v>110</v>
      </c>
      <c r="R508" s="12">
        <v>122</v>
      </c>
      <c r="S508" s="12">
        <v>7.2</v>
      </c>
      <c r="T508" s="13">
        <v>14.89</v>
      </c>
      <c r="U508" s="13">
        <f t="shared" si="31"/>
        <v>3.8100000000000005</v>
      </c>
      <c r="V508" s="14">
        <v>1824.02</v>
      </c>
      <c r="W508" s="14">
        <v>1824.02</v>
      </c>
      <c r="X508" s="11">
        <v>8</v>
      </c>
      <c r="Y508" s="15" t="s">
        <v>3713</v>
      </c>
      <c r="Z508" s="16">
        <v>1612.02</v>
      </c>
      <c r="AA508" s="17">
        <v>760.4</v>
      </c>
      <c r="AB508" s="18" t="s">
        <v>3714</v>
      </c>
    </row>
    <row r="509" spans="1:28" x14ac:dyDescent="0.45">
      <c r="A509" s="2" t="s">
        <v>1064</v>
      </c>
      <c r="B509" s="2" t="s">
        <v>1065</v>
      </c>
      <c r="C509" s="2" t="s">
        <v>4</v>
      </c>
      <c r="D509" s="2" t="s">
        <v>997</v>
      </c>
      <c r="E509" s="2" t="s">
        <v>256</v>
      </c>
      <c r="F509" s="3">
        <v>120</v>
      </c>
      <c r="G509" s="3">
        <v>132</v>
      </c>
      <c r="H509" s="2" t="s">
        <v>1061</v>
      </c>
      <c r="I509" s="19">
        <v>230</v>
      </c>
      <c r="J509" s="34">
        <f t="shared" si="28"/>
        <v>2.0009999999999999</v>
      </c>
      <c r="K509" s="34">
        <f t="shared" si="29"/>
        <v>3</v>
      </c>
      <c r="L509" s="34">
        <f t="shared" si="30"/>
        <v>12</v>
      </c>
      <c r="M509" s="20" t="s">
        <v>3760</v>
      </c>
      <c r="N509" s="20" t="s">
        <v>3716</v>
      </c>
      <c r="O509" s="20" t="s">
        <v>3711</v>
      </c>
      <c r="P509" s="20" t="s">
        <v>3717</v>
      </c>
      <c r="Q509" s="21">
        <v>120</v>
      </c>
      <c r="R509" s="21">
        <v>132</v>
      </c>
      <c r="S509" s="21">
        <v>7</v>
      </c>
      <c r="T509" s="22">
        <v>34.64</v>
      </c>
      <c r="U509" s="13">
        <f t="shared" si="31"/>
        <v>22.64</v>
      </c>
      <c r="V509" s="23">
        <v>4243.3999999999996</v>
      </c>
      <c r="W509" s="23">
        <v>4243.3999999999996</v>
      </c>
      <c r="X509" s="20">
        <v>47</v>
      </c>
      <c r="Y509" s="24" t="s">
        <v>3713</v>
      </c>
      <c r="Z509" s="16">
        <v>4013.4</v>
      </c>
      <c r="AA509" s="17">
        <v>1745</v>
      </c>
      <c r="AB509" s="25" t="s">
        <v>3714</v>
      </c>
    </row>
    <row r="510" spans="1:28" x14ac:dyDescent="0.45">
      <c r="A510" s="4" t="s">
        <v>1066</v>
      </c>
      <c r="B510" s="4" t="s">
        <v>1067</v>
      </c>
      <c r="C510" s="4" t="s">
        <v>4</v>
      </c>
      <c r="D510" s="4" t="s">
        <v>997</v>
      </c>
      <c r="E510" s="4" t="s">
        <v>256</v>
      </c>
      <c r="F510" s="5">
        <v>125</v>
      </c>
      <c r="G510" s="5">
        <v>137</v>
      </c>
      <c r="H510" s="4" t="s">
        <v>1061</v>
      </c>
      <c r="I510" s="10">
        <v>256</v>
      </c>
      <c r="J510" s="34">
        <f t="shared" si="28"/>
        <v>2.2271999999999998</v>
      </c>
      <c r="K510" s="34">
        <f t="shared" si="29"/>
        <v>3.34</v>
      </c>
      <c r="L510" s="34">
        <f t="shared" si="30"/>
        <v>13.36</v>
      </c>
      <c r="M510" s="11" t="s">
        <v>3761</v>
      </c>
      <c r="N510" s="11" t="s">
        <v>3716</v>
      </c>
      <c r="O510" s="11" t="s">
        <v>3711</v>
      </c>
      <c r="P510" s="11" t="s">
        <v>3717</v>
      </c>
      <c r="Q510" s="12">
        <v>125</v>
      </c>
      <c r="R510" s="12">
        <v>137</v>
      </c>
      <c r="S510" s="12">
        <v>7.7</v>
      </c>
      <c r="T510" s="13">
        <v>35.78</v>
      </c>
      <c r="U510" s="13">
        <f t="shared" si="31"/>
        <v>22.42</v>
      </c>
      <c r="V510" s="14">
        <v>4383.05</v>
      </c>
      <c r="W510" s="14">
        <v>4383.05</v>
      </c>
      <c r="X510" s="11">
        <v>72</v>
      </c>
      <c r="Y510" s="15" t="s">
        <v>3713</v>
      </c>
      <c r="Z510" s="16">
        <v>4127.05</v>
      </c>
      <c r="AA510" s="17">
        <v>1612.1</v>
      </c>
      <c r="AB510" s="18" t="s">
        <v>3714</v>
      </c>
    </row>
    <row r="511" spans="1:28" x14ac:dyDescent="0.45">
      <c r="A511" s="2" t="s">
        <v>1068</v>
      </c>
      <c r="B511" s="2" t="s">
        <v>1069</v>
      </c>
      <c r="C511" s="2" t="s">
        <v>4</v>
      </c>
      <c r="D511" s="2" t="s">
        <v>997</v>
      </c>
      <c r="E511" s="2" t="s">
        <v>256</v>
      </c>
      <c r="F511" s="3">
        <v>130</v>
      </c>
      <c r="G511" s="3">
        <v>142</v>
      </c>
      <c r="H511" s="2" t="s">
        <v>1061</v>
      </c>
      <c r="I511" s="19">
        <v>298</v>
      </c>
      <c r="J511" s="34">
        <f t="shared" si="28"/>
        <v>2.5926</v>
      </c>
      <c r="K511" s="34">
        <f t="shared" si="29"/>
        <v>3.89</v>
      </c>
      <c r="L511" s="34">
        <f t="shared" si="30"/>
        <v>15.56</v>
      </c>
      <c r="M511" s="20" t="s">
        <v>3763</v>
      </c>
      <c r="N511" s="20" t="s">
        <v>3716</v>
      </c>
      <c r="O511" s="20" t="s">
        <v>3711</v>
      </c>
      <c r="P511" s="20" t="s">
        <v>3717</v>
      </c>
      <c r="Q511" s="21">
        <v>130</v>
      </c>
      <c r="R511" s="21">
        <v>142</v>
      </c>
      <c r="S511" s="21">
        <v>7.2</v>
      </c>
      <c r="T511" s="22">
        <v>17.97</v>
      </c>
      <c r="U511" s="13">
        <f t="shared" si="31"/>
        <v>2.4099999999999984</v>
      </c>
      <c r="V511" s="23">
        <v>2201.3200000000002</v>
      </c>
      <c r="W511" s="23">
        <v>2201.3200000000002</v>
      </c>
      <c r="X511" s="20">
        <v>26</v>
      </c>
      <c r="Y511" s="24" t="s">
        <v>3713</v>
      </c>
      <c r="Z511" s="16">
        <v>1903.32</v>
      </c>
      <c r="AA511" s="17">
        <v>638.70000000000005</v>
      </c>
      <c r="AB511" s="25" t="s">
        <v>3714</v>
      </c>
    </row>
    <row r="512" spans="1:28" x14ac:dyDescent="0.45">
      <c r="A512" s="4" t="s">
        <v>1070</v>
      </c>
      <c r="B512" s="4" t="s">
        <v>1071</v>
      </c>
      <c r="C512" s="4" t="s">
        <v>4</v>
      </c>
      <c r="D512" s="4" t="s">
        <v>997</v>
      </c>
      <c r="E512" s="4" t="s">
        <v>256</v>
      </c>
      <c r="F512" s="5">
        <v>135</v>
      </c>
      <c r="G512" s="5">
        <v>147</v>
      </c>
      <c r="H512" s="4" t="s">
        <v>1061</v>
      </c>
      <c r="I512" s="10">
        <v>340</v>
      </c>
      <c r="J512" s="34">
        <f t="shared" si="28"/>
        <v>2.9579999999999997</v>
      </c>
      <c r="K512" s="34">
        <f t="shared" si="29"/>
        <v>4.4400000000000004</v>
      </c>
      <c r="L512" s="34">
        <f t="shared" si="30"/>
        <v>17.760000000000002</v>
      </c>
      <c r="M512" s="11" t="s">
        <v>3790</v>
      </c>
      <c r="N512" s="11" t="s">
        <v>3791</v>
      </c>
      <c r="O512" s="11" t="s">
        <v>3711</v>
      </c>
      <c r="P512" s="11" t="s">
        <v>3792</v>
      </c>
      <c r="Q512" s="12">
        <v>135</v>
      </c>
      <c r="R512" s="12">
        <v>147.19999999999999</v>
      </c>
      <c r="S512" s="12">
        <v>7</v>
      </c>
      <c r="T512" s="13">
        <v>13.78</v>
      </c>
      <c r="U512" s="13">
        <f t="shared" si="31"/>
        <v>-3.9800000000000022</v>
      </c>
      <c r="V512" s="14">
        <v>1688.05</v>
      </c>
      <c r="W512" s="14">
        <v>1688.05</v>
      </c>
      <c r="X512" s="11">
        <v>13</v>
      </c>
      <c r="Y512" s="15" t="s">
        <v>3713</v>
      </c>
      <c r="Z512" s="16">
        <v>1348.05</v>
      </c>
      <c r="AA512" s="17">
        <v>396.5</v>
      </c>
      <c r="AB512" s="18" t="s">
        <v>3793</v>
      </c>
    </row>
    <row r="513" spans="1:28" x14ac:dyDescent="0.45">
      <c r="A513" s="2" t="s">
        <v>1072</v>
      </c>
      <c r="B513" s="2" t="s">
        <v>1073</v>
      </c>
      <c r="C513" s="2" t="s">
        <v>4</v>
      </c>
      <c r="D513" s="2" t="s">
        <v>997</v>
      </c>
      <c r="E513" s="2" t="s">
        <v>256</v>
      </c>
      <c r="F513" s="3">
        <v>140</v>
      </c>
      <c r="G513" s="3">
        <v>152</v>
      </c>
      <c r="H513" s="2" t="s">
        <v>1061</v>
      </c>
      <c r="I513" s="19">
        <v>340</v>
      </c>
      <c r="J513" s="34">
        <f t="shared" si="28"/>
        <v>2.9579999999999997</v>
      </c>
      <c r="K513" s="34">
        <f t="shared" si="29"/>
        <v>4.4400000000000004</v>
      </c>
      <c r="L513" s="34">
        <f t="shared" si="30"/>
        <v>17.760000000000002</v>
      </c>
      <c r="M513" s="20" t="s">
        <v>3764</v>
      </c>
      <c r="N513" s="20" t="s">
        <v>3716</v>
      </c>
      <c r="O513" s="20" t="s">
        <v>3711</v>
      </c>
      <c r="P513" s="20" t="s">
        <v>3717</v>
      </c>
      <c r="Q513" s="21">
        <v>140</v>
      </c>
      <c r="R513" s="21">
        <v>152</v>
      </c>
      <c r="S513" s="21">
        <v>7.7</v>
      </c>
      <c r="T513" s="22">
        <v>41.68</v>
      </c>
      <c r="U513" s="13">
        <f t="shared" si="31"/>
        <v>23.919999999999998</v>
      </c>
      <c r="V513" s="23">
        <v>5105.8</v>
      </c>
      <c r="W513" s="23">
        <v>5105.8</v>
      </c>
      <c r="X513" s="20">
        <v>5</v>
      </c>
      <c r="Y513" s="24" t="s">
        <v>3713</v>
      </c>
      <c r="Z513" s="16">
        <v>4765.8</v>
      </c>
      <c r="AA513" s="17">
        <v>1401.7</v>
      </c>
      <c r="AB513" s="25" t="s">
        <v>3714</v>
      </c>
    </row>
    <row r="514" spans="1:28" x14ac:dyDescent="0.45">
      <c r="A514" s="4" t="s">
        <v>1074</v>
      </c>
      <c r="B514" s="4" t="s">
        <v>1075</v>
      </c>
      <c r="C514" s="4" t="s">
        <v>4</v>
      </c>
      <c r="D514" s="4" t="s">
        <v>997</v>
      </c>
      <c r="E514" s="4" t="s">
        <v>256</v>
      </c>
      <c r="F514" s="5">
        <v>150</v>
      </c>
      <c r="G514" s="5">
        <v>162</v>
      </c>
      <c r="H514" s="4" t="s">
        <v>1061</v>
      </c>
      <c r="I514" s="10">
        <v>382</v>
      </c>
      <c r="J514" s="34">
        <f t="shared" si="28"/>
        <v>3.3233999999999999</v>
      </c>
      <c r="K514" s="34">
        <f t="shared" si="29"/>
        <v>4.99</v>
      </c>
      <c r="L514" s="34">
        <f t="shared" si="30"/>
        <v>19.96</v>
      </c>
      <c r="M514" s="11" t="s">
        <v>3766</v>
      </c>
      <c r="N514" s="11" t="s">
        <v>3716</v>
      </c>
      <c r="O514" s="11" t="s">
        <v>3711</v>
      </c>
      <c r="P514" s="11" t="s">
        <v>3717</v>
      </c>
      <c r="Q514" s="12">
        <v>150</v>
      </c>
      <c r="R514" s="12">
        <v>162</v>
      </c>
      <c r="S514" s="12">
        <v>7</v>
      </c>
      <c r="T514" s="13">
        <v>23.02</v>
      </c>
      <c r="U514" s="13">
        <f t="shared" si="31"/>
        <v>3.0599999999999987</v>
      </c>
      <c r="V514" s="14">
        <v>2819.95</v>
      </c>
      <c r="W514" s="14">
        <v>2819.95</v>
      </c>
      <c r="X514" s="11">
        <v>25</v>
      </c>
      <c r="Y514" s="15" t="s">
        <v>3713</v>
      </c>
      <c r="Z514" s="16">
        <v>2437.9499999999998</v>
      </c>
      <c r="AA514" s="17">
        <v>638.20000000000005</v>
      </c>
      <c r="AB514" s="18" t="s">
        <v>3714</v>
      </c>
    </row>
    <row r="515" spans="1:28" x14ac:dyDescent="0.45">
      <c r="A515" s="2" t="s">
        <v>1076</v>
      </c>
      <c r="B515" s="2" t="s">
        <v>1077</v>
      </c>
      <c r="C515" s="2" t="s">
        <v>4</v>
      </c>
      <c r="D515" s="2" t="s">
        <v>997</v>
      </c>
      <c r="E515" s="2" t="s">
        <v>256</v>
      </c>
      <c r="F515" s="3">
        <v>170</v>
      </c>
      <c r="G515" s="3">
        <v>182</v>
      </c>
      <c r="H515" s="2" t="s">
        <v>1061</v>
      </c>
      <c r="I515" s="19">
        <v>510</v>
      </c>
      <c r="J515" s="34">
        <f t="shared" si="28"/>
        <v>4.4369999999999994</v>
      </c>
      <c r="K515" s="34">
        <f t="shared" si="29"/>
        <v>6.66</v>
      </c>
      <c r="L515" s="34">
        <f t="shared" si="30"/>
        <v>26.64</v>
      </c>
      <c r="M515" s="20" t="s">
        <v>3794</v>
      </c>
      <c r="N515" s="20" t="s">
        <v>3716</v>
      </c>
      <c r="O515" s="20" t="s">
        <v>3711</v>
      </c>
      <c r="P515" s="20" t="s">
        <v>3717</v>
      </c>
      <c r="Q515" s="21">
        <v>170</v>
      </c>
      <c r="R515" s="21">
        <v>182</v>
      </c>
      <c r="S515" s="21">
        <v>7.5</v>
      </c>
      <c r="T515" s="22">
        <v>26.98</v>
      </c>
      <c r="U515" s="13">
        <f t="shared" si="31"/>
        <v>0.33999999999999986</v>
      </c>
      <c r="V515" s="23">
        <v>3305.05</v>
      </c>
      <c r="W515" s="23">
        <v>3305.05</v>
      </c>
      <c r="X515" s="20">
        <v>41</v>
      </c>
      <c r="Y515" s="24" t="s">
        <v>3713</v>
      </c>
      <c r="Z515" s="16">
        <v>2795.05</v>
      </c>
      <c r="AA515" s="17">
        <v>548</v>
      </c>
      <c r="AB515" s="25" t="s">
        <v>3714</v>
      </c>
    </row>
    <row r="516" spans="1:28" x14ac:dyDescent="0.45">
      <c r="A516" s="4" t="s">
        <v>1078</v>
      </c>
      <c r="B516" s="4" t="s">
        <v>5612</v>
      </c>
      <c r="C516" s="4" t="s">
        <v>4</v>
      </c>
      <c r="D516" s="4" t="s">
        <v>1079</v>
      </c>
      <c r="E516" s="4" t="s">
        <v>256</v>
      </c>
      <c r="F516" s="5">
        <v>25</v>
      </c>
      <c r="G516" s="5">
        <v>32</v>
      </c>
      <c r="H516" s="4" t="s">
        <v>262</v>
      </c>
      <c r="I516" s="10">
        <v>67</v>
      </c>
      <c r="J516" s="34">
        <f t="shared" si="28"/>
        <v>0.58289999999999997</v>
      </c>
      <c r="K516" s="34">
        <f t="shared" si="29"/>
        <v>0.87</v>
      </c>
      <c r="L516" s="34">
        <f t="shared" si="30"/>
        <v>3.48</v>
      </c>
      <c r="M516" s="11" t="s">
        <v>3724</v>
      </c>
      <c r="N516" s="11" t="s">
        <v>3719</v>
      </c>
      <c r="O516" s="11" t="s">
        <v>3711</v>
      </c>
      <c r="P516" s="11" t="s">
        <v>3720</v>
      </c>
      <c r="Q516" s="12">
        <v>25</v>
      </c>
      <c r="R516" s="12">
        <v>33</v>
      </c>
      <c r="S516" s="12">
        <v>4</v>
      </c>
      <c r="T516" s="13">
        <v>7.87</v>
      </c>
      <c r="U516" s="13">
        <f t="shared" si="31"/>
        <v>4.3900000000000006</v>
      </c>
      <c r="V516" s="14">
        <v>964.08</v>
      </c>
      <c r="W516" s="14">
        <v>964.08</v>
      </c>
      <c r="X516" s="11" t="s">
        <v>3722</v>
      </c>
      <c r="Y516" s="15" t="s">
        <v>3713</v>
      </c>
      <c r="Z516" s="16">
        <v>897.08</v>
      </c>
      <c r="AA516" s="17">
        <v>1338.9</v>
      </c>
      <c r="AB516" s="18" t="s">
        <v>3786</v>
      </c>
    </row>
    <row r="517" spans="1:28" x14ac:dyDescent="0.45">
      <c r="A517" s="2" t="s">
        <v>1080</v>
      </c>
      <c r="B517" s="2" t="s">
        <v>5613</v>
      </c>
      <c r="C517" s="2" t="s">
        <v>4</v>
      </c>
      <c r="D517" s="2" t="s">
        <v>1079</v>
      </c>
      <c r="E517" s="2" t="s">
        <v>256</v>
      </c>
      <c r="F517" s="3">
        <v>25</v>
      </c>
      <c r="G517" s="3">
        <v>35</v>
      </c>
      <c r="H517" s="2" t="s">
        <v>262</v>
      </c>
      <c r="I517" s="19">
        <v>52</v>
      </c>
      <c r="J517" s="34">
        <f t="shared" ref="J517:J580" si="32">I517*0.0087</f>
        <v>0.45239999999999997</v>
      </c>
      <c r="K517" s="34">
        <f t="shared" ref="K517:K580" si="33">ROUND(J517*1.5,2)</f>
        <v>0.68</v>
      </c>
      <c r="L517" s="34">
        <f t="shared" ref="L517:L580" si="34">K517*4</f>
        <v>2.72</v>
      </c>
      <c r="M517" s="20" t="s">
        <v>3806</v>
      </c>
      <c r="N517" s="20" t="s">
        <v>3775</v>
      </c>
      <c r="O517" s="20" t="s">
        <v>3711</v>
      </c>
      <c r="P517" s="20" t="s">
        <v>3776</v>
      </c>
      <c r="Q517" s="21">
        <v>25</v>
      </c>
      <c r="R517" s="21">
        <v>35</v>
      </c>
      <c r="S517" s="21">
        <v>5</v>
      </c>
      <c r="T517" s="22">
        <v>6.98</v>
      </c>
      <c r="U517" s="13">
        <f t="shared" ref="U517:U580" si="35">T517-L517</f>
        <v>4.26</v>
      </c>
      <c r="V517" s="23">
        <v>855.05</v>
      </c>
      <c r="W517" s="23">
        <v>855.05</v>
      </c>
      <c r="X517" s="20" t="s">
        <v>3722</v>
      </c>
      <c r="Y517" s="24" t="s">
        <v>3713</v>
      </c>
      <c r="Z517" s="16">
        <v>803.05</v>
      </c>
      <c r="AA517" s="17">
        <v>1544.3</v>
      </c>
      <c r="AB517" s="25" t="s">
        <v>3714</v>
      </c>
    </row>
    <row r="518" spans="1:28" x14ac:dyDescent="0.45">
      <c r="A518" s="4" t="s">
        <v>1081</v>
      </c>
      <c r="B518" s="4" t="s">
        <v>5614</v>
      </c>
      <c r="C518" s="4" t="s">
        <v>4</v>
      </c>
      <c r="D518" s="4" t="s">
        <v>1079</v>
      </c>
      <c r="E518" s="4" t="s">
        <v>256</v>
      </c>
      <c r="F518" s="5">
        <v>25</v>
      </c>
      <c r="G518" s="5">
        <v>35</v>
      </c>
      <c r="H518" s="4" t="s">
        <v>262</v>
      </c>
      <c r="I518" s="10">
        <v>57</v>
      </c>
      <c r="J518" s="34">
        <f t="shared" si="32"/>
        <v>0.49589999999999995</v>
      </c>
      <c r="K518" s="34">
        <f t="shared" si="33"/>
        <v>0.74</v>
      </c>
      <c r="L518" s="34">
        <f t="shared" si="34"/>
        <v>2.96</v>
      </c>
      <c r="M518" s="11" t="s">
        <v>3806</v>
      </c>
      <c r="N518" s="11" t="s">
        <v>3775</v>
      </c>
      <c r="O518" s="11" t="s">
        <v>3711</v>
      </c>
      <c r="P518" s="11" t="s">
        <v>3776</v>
      </c>
      <c r="Q518" s="12">
        <v>25</v>
      </c>
      <c r="R518" s="12">
        <v>35</v>
      </c>
      <c r="S518" s="12">
        <v>5</v>
      </c>
      <c r="T518" s="13">
        <v>6.98</v>
      </c>
      <c r="U518" s="13">
        <f t="shared" si="35"/>
        <v>4.0200000000000005</v>
      </c>
      <c r="V518" s="14">
        <v>855.05</v>
      </c>
      <c r="W518" s="14">
        <v>855.05</v>
      </c>
      <c r="X518" s="11" t="s">
        <v>3722</v>
      </c>
      <c r="Y518" s="15" t="s">
        <v>3713</v>
      </c>
      <c r="Z518" s="16">
        <v>798.05</v>
      </c>
      <c r="AA518" s="17">
        <v>1400.1</v>
      </c>
      <c r="AB518" s="18" t="s">
        <v>3714</v>
      </c>
    </row>
    <row r="519" spans="1:28" x14ac:dyDescent="0.45">
      <c r="A519" s="2" t="s">
        <v>1082</v>
      </c>
      <c r="B519" s="2" t="s">
        <v>5615</v>
      </c>
      <c r="C519" s="2" t="s">
        <v>4</v>
      </c>
      <c r="D519" s="2" t="s">
        <v>1079</v>
      </c>
      <c r="E519" s="2" t="s">
        <v>256</v>
      </c>
      <c r="F519" s="3">
        <v>32</v>
      </c>
      <c r="G519" s="3">
        <v>42</v>
      </c>
      <c r="H519" s="2" t="s">
        <v>262</v>
      </c>
      <c r="I519" s="19">
        <v>61</v>
      </c>
      <c r="J519" s="34">
        <f t="shared" si="32"/>
        <v>0.53069999999999995</v>
      </c>
      <c r="K519" s="34">
        <f t="shared" si="33"/>
        <v>0.8</v>
      </c>
      <c r="L519" s="34">
        <f t="shared" si="34"/>
        <v>3.2</v>
      </c>
      <c r="M519" s="20" t="s">
        <v>3827</v>
      </c>
      <c r="N519" s="20" t="s">
        <v>3735</v>
      </c>
      <c r="O519" s="20" t="s">
        <v>3711</v>
      </c>
      <c r="P519" s="20" t="s">
        <v>3736</v>
      </c>
      <c r="Q519" s="21">
        <v>31.75</v>
      </c>
      <c r="R519" s="21">
        <v>41.148000000000003</v>
      </c>
      <c r="S519" s="21">
        <v>4.5720000000000001</v>
      </c>
      <c r="T519" s="22">
        <v>2.29</v>
      </c>
      <c r="U519" s="13">
        <f t="shared" si="35"/>
        <v>-0.91000000000000014</v>
      </c>
      <c r="V519" s="23">
        <v>280.52</v>
      </c>
      <c r="W519" s="23">
        <v>280.52</v>
      </c>
      <c r="X519" s="20">
        <v>242</v>
      </c>
      <c r="Y519" s="24" t="s">
        <v>3737</v>
      </c>
      <c r="Z519" s="16">
        <v>219.52</v>
      </c>
      <c r="AA519" s="17">
        <v>359.9</v>
      </c>
      <c r="AB519" s="25" t="s">
        <v>3828</v>
      </c>
    </row>
    <row r="520" spans="1:28" x14ac:dyDescent="0.45">
      <c r="A520" s="4" t="s">
        <v>1083</v>
      </c>
      <c r="B520" s="4" t="s">
        <v>5616</v>
      </c>
      <c r="C520" s="4" t="s">
        <v>4</v>
      </c>
      <c r="D520" s="4" t="s">
        <v>1079</v>
      </c>
      <c r="E520" s="4" t="s">
        <v>256</v>
      </c>
      <c r="F520" s="5">
        <v>35</v>
      </c>
      <c r="G520" s="5">
        <v>45</v>
      </c>
      <c r="H520" s="4" t="s">
        <v>262</v>
      </c>
      <c r="I520" s="10">
        <v>62</v>
      </c>
      <c r="J520" s="34">
        <f t="shared" si="32"/>
        <v>0.53939999999999999</v>
      </c>
      <c r="K520" s="34">
        <f t="shared" si="33"/>
        <v>0.81</v>
      </c>
      <c r="L520" s="34">
        <f t="shared" si="34"/>
        <v>3.24</v>
      </c>
      <c r="M520" s="11" t="s">
        <v>3781</v>
      </c>
      <c r="N520" s="11" t="s">
        <v>3775</v>
      </c>
      <c r="O520" s="11" t="s">
        <v>3711</v>
      </c>
      <c r="P520" s="11" t="s">
        <v>3776</v>
      </c>
      <c r="Q520" s="12">
        <v>35</v>
      </c>
      <c r="R520" s="12">
        <v>45</v>
      </c>
      <c r="S520" s="12">
        <v>7</v>
      </c>
      <c r="T520" s="13">
        <v>8.2899999999999991</v>
      </c>
      <c r="U520" s="13">
        <f t="shared" si="35"/>
        <v>5.0499999999999989</v>
      </c>
      <c r="V520" s="14">
        <v>1015.52</v>
      </c>
      <c r="W520" s="14">
        <v>1015.52</v>
      </c>
      <c r="X520" s="11">
        <v>25</v>
      </c>
      <c r="Y520" s="15" t="s">
        <v>3713</v>
      </c>
      <c r="Z520" s="16">
        <v>953.52</v>
      </c>
      <c r="AA520" s="17">
        <v>1537.9</v>
      </c>
      <c r="AB520" s="18" t="s">
        <v>3714</v>
      </c>
    </row>
    <row r="521" spans="1:28" x14ac:dyDescent="0.45">
      <c r="A521" s="2" t="s">
        <v>1084</v>
      </c>
      <c r="B521" s="2" t="s">
        <v>5617</v>
      </c>
      <c r="C521" s="2" t="s">
        <v>4</v>
      </c>
      <c r="D521" s="2" t="s">
        <v>1079</v>
      </c>
      <c r="E521" s="2" t="s">
        <v>256</v>
      </c>
      <c r="F521" s="3">
        <v>40</v>
      </c>
      <c r="G521" s="3">
        <v>50</v>
      </c>
      <c r="H521" s="2" t="s">
        <v>262</v>
      </c>
      <c r="I521" s="19">
        <v>69</v>
      </c>
      <c r="J521" s="34">
        <f t="shared" si="32"/>
        <v>0.60029999999999994</v>
      </c>
      <c r="K521" s="34">
        <f t="shared" si="33"/>
        <v>0.9</v>
      </c>
      <c r="L521" s="34">
        <f t="shared" si="34"/>
        <v>3.6</v>
      </c>
      <c r="M521" s="20" t="s">
        <v>3811</v>
      </c>
      <c r="N521" s="20" t="s">
        <v>3775</v>
      </c>
      <c r="O521" s="20" t="s">
        <v>3711</v>
      </c>
      <c r="P521" s="20" t="s">
        <v>3776</v>
      </c>
      <c r="Q521" s="21">
        <v>40</v>
      </c>
      <c r="R521" s="21">
        <v>50</v>
      </c>
      <c r="S521" s="21">
        <v>7</v>
      </c>
      <c r="T521" s="22">
        <v>10.130000000000001</v>
      </c>
      <c r="U521" s="13">
        <f t="shared" si="35"/>
        <v>6.5300000000000011</v>
      </c>
      <c r="V521" s="23">
        <v>1240.93</v>
      </c>
      <c r="W521" s="23">
        <v>1240.93</v>
      </c>
      <c r="X521" s="20">
        <v>55</v>
      </c>
      <c r="Y521" s="24" t="s">
        <v>3713</v>
      </c>
      <c r="Z521" s="16">
        <v>1171.93</v>
      </c>
      <c r="AA521" s="17">
        <v>1698.4</v>
      </c>
      <c r="AB521" s="25" t="s">
        <v>3714</v>
      </c>
    </row>
    <row r="522" spans="1:28" x14ac:dyDescent="0.45">
      <c r="A522" s="4" t="s">
        <v>1085</v>
      </c>
      <c r="B522" s="4" t="s">
        <v>5618</v>
      </c>
      <c r="C522" s="4" t="s">
        <v>4</v>
      </c>
      <c r="D522" s="4" t="s">
        <v>1079</v>
      </c>
      <c r="E522" s="4" t="s">
        <v>256</v>
      </c>
      <c r="F522" s="5">
        <v>40</v>
      </c>
      <c r="G522" s="5">
        <v>50</v>
      </c>
      <c r="H522" s="4" t="s">
        <v>415</v>
      </c>
      <c r="I522" s="10">
        <v>86</v>
      </c>
      <c r="J522" s="34">
        <f t="shared" si="32"/>
        <v>0.74819999999999998</v>
      </c>
      <c r="K522" s="34">
        <f t="shared" si="33"/>
        <v>1.1200000000000001</v>
      </c>
      <c r="L522" s="34">
        <f t="shared" si="34"/>
        <v>4.4800000000000004</v>
      </c>
      <c r="M522" s="11" t="s">
        <v>3811</v>
      </c>
      <c r="N522" s="11" t="s">
        <v>3775</v>
      </c>
      <c r="O522" s="11" t="s">
        <v>3711</v>
      </c>
      <c r="P522" s="11" t="s">
        <v>3776</v>
      </c>
      <c r="Q522" s="12">
        <v>40</v>
      </c>
      <c r="R522" s="12">
        <v>50</v>
      </c>
      <c r="S522" s="12">
        <v>7</v>
      </c>
      <c r="T522" s="13">
        <v>10.130000000000001</v>
      </c>
      <c r="U522" s="13">
        <f t="shared" si="35"/>
        <v>5.65</v>
      </c>
      <c r="V522" s="14">
        <v>1240.93</v>
      </c>
      <c r="W522" s="14">
        <v>1240.93</v>
      </c>
      <c r="X522" s="11">
        <v>55</v>
      </c>
      <c r="Y522" s="15" t="s">
        <v>3713</v>
      </c>
      <c r="Z522" s="16">
        <v>1154.93</v>
      </c>
      <c r="AA522" s="17">
        <v>1342.9</v>
      </c>
      <c r="AB522" s="18" t="s">
        <v>3714</v>
      </c>
    </row>
    <row r="523" spans="1:28" x14ac:dyDescent="0.45">
      <c r="A523" s="2" t="s">
        <v>1086</v>
      </c>
      <c r="B523" s="2" t="s">
        <v>5619</v>
      </c>
      <c r="C523" s="2" t="s">
        <v>4</v>
      </c>
      <c r="D523" s="2" t="s">
        <v>1079</v>
      </c>
      <c r="E523" s="2" t="s">
        <v>256</v>
      </c>
      <c r="F523" s="3">
        <v>45</v>
      </c>
      <c r="G523" s="3">
        <v>55</v>
      </c>
      <c r="H523" s="2" t="s">
        <v>262</v>
      </c>
      <c r="I523" s="19">
        <v>71</v>
      </c>
      <c r="J523" s="34">
        <f t="shared" si="32"/>
        <v>0.61769999999999992</v>
      </c>
      <c r="K523" s="34">
        <f t="shared" si="33"/>
        <v>0.93</v>
      </c>
      <c r="L523" s="34">
        <f t="shared" si="34"/>
        <v>3.72</v>
      </c>
      <c r="M523" s="20" t="s">
        <v>3740</v>
      </c>
      <c r="N523" s="20" t="s">
        <v>3716</v>
      </c>
      <c r="O523" s="20" t="s">
        <v>3711</v>
      </c>
      <c r="P523" s="20" t="s">
        <v>3717</v>
      </c>
      <c r="Q523" s="21">
        <v>45</v>
      </c>
      <c r="R523" s="21">
        <v>55</v>
      </c>
      <c r="S523" s="21">
        <v>5</v>
      </c>
      <c r="T523" s="22">
        <v>10.53</v>
      </c>
      <c r="U523" s="13">
        <f t="shared" si="35"/>
        <v>6.8099999999999987</v>
      </c>
      <c r="V523" s="23">
        <v>1289.92</v>
      </c>
      <c r="W523" s="23">
        <v>1289.92</v>
      </c>
      <c r="X523" s="20">
        <v>89</v>
      </c>
      <c r="Y523" s="24" t="s">
        <v>3713</v>
      </c>
      <c r="Z523" s="16">
        <v>1218.92</v>
      </c>
      <c r="AA523" s="17">
        <v>1716.8</v>
      </c>
      <c r="AB523" s="25" t="s">
        <v>3714</v>
      </c>
    </row>
    <row r="524" spans="1:28" x14ac:dyDescent="0.45">
      <c r="A524" s="4" t="s">
        <v>1087</v>
      </c>
      <c r="B524" s="4" t="s">
        <v>5620</v>
      </c>
      <c r="C524" s="4" t="s">
        <v>4</v>
      </c>
      <c r="D524" s="4" t="s">
        <v>1079</v>
      </c>
      <c r="E524" s="4" t="s">
        <v>256</v>
      </c>
      <c r="F524" s="5">
        <v>45</v>
      </c>
      <c r="G524" s="5">
        <v>55</v>
      </c>
      <c r="H524" s="4" t="s">
        <v>262</v>
      </c>
      <c r="I524" s="10">
        <v>74</v>
      </c>
      <c r="J524" s="34">
        <f t="shared" si="32"/>
        <v>0.64379999999999993</v>
      </c>
      <c r="K524" s="34">
        <f t="shared" si="33"/>
        <v>0.97</v>
      </c>
      <c r="L524" s="34">
        <f t="shared" si="34"/>
        <v>3.88</v>
      </c>
      <c r="M524" s="11" t="s">
        <v>3740</v>
      </c>
      <c r="N524" s="11" t="s">
        <v>3716</v>
      </c>
      <c r="O524" s="11" t="s">
        <v>3711</v>
      </c>
      <c r="P524" s="11" t="s">
        <v>3717</v>
      </c>
      <c r="Q524" s="12">
        <v>45</v>
      </c>
      <c r="R524" s="12">
        <v>55</v>
      </c>
      <c r="S524" s="12">
        <v>5</v>
      </c>
      <c r="T524" s="13">
        <v>10.53</v>
      </c>
      <c r="U524" s="13">
        <f t="shared" si="35"/>
        <v>6.6499999999999995</v>
      </c>
      <c r="V524" s="14">
        <v>1289.92</v>
      </c>
      <c r="W524" s="14">
        <v>1289.92</v>
      </c>
      <c r="X524" s="11">
        <v>89</v>
      </c>
      <c r="Y524" s="15" t="s">
        <v>3713</v>
      </c>
      <c r="Z524" s="16">
        <v>1215.92</v>
      </c>
      <c r="AA524" s="17">
        <v>1643.1</v>
      </c>
      <c r="AB524" s="18" t="s">
        <v>3714</v>
      </c>
    </row>
    <row r="525" spans="1:28" x14ac:dyDescent="0.45">
      <c r="A525" s="2" t="s">
        <v>1088</v>
      </c>
      <c r="B525" s="2" t="s">
        <v>5621</v>
      </c>
      <c r="C525" s="2" t="s">
        <v>4</v>
      </c>
      <c r="D525" s="2" t="s">
        <v>1079</v>
      </c>
      <c r="E525" s="2" t="s">
        <v>256</v>
      </c>
      <c r="F525" s="3">
        <v>45</v>
      </c>
      <c r="G525" s="3">
        <v>55</v>
      </c>
      <c r="H525" s="2" t="s">
        <v>169</v>
      </c>
      <c r="I525" s="19">
        <v>89</v>
      </c>
      <c r="J525" s="34">
        <f t="shared" si="32"/>
        <v>0.77429999999999999</v>
      </c>
      <c r="K525" s="34">
        <f t="shared" si="33"/>
        <v>1.1599999999999999</v>
      </c>
      <c r="L525" s="34">
        <f t="shared" si="34"/>
        <v>4.6399999999999997</v>
      </c>
      <c r="M525" s="20" t="s">
        <v>3740</v>
      </c>
      <c r="N525" s="20" t="s">
        <v>3716</v>
      </c>
      <c r="O525" s="20" t="s">
        <v>3711</v>
      </c>
      <c r="P525" s="20" t="s">
        <v>3717</v>
      </c>
      <c r="Q525" s="21">
        <v>45</v>
      </c>
      <c r="R525" s="21">
        <v>55</v>
      </c>
      <c r="S525" s="21">
        <v>5</v>
      </c>
      <c r="T525" s="22">
        <v>10.53</v>
      </c>
      <c r="U525" s="13">
        <f t="shared" si="35"/>
        <v>5.89</v>
      </c>
      <c r="V525" s="23">
        <v>1289.92</v>
      </c>
      <c r="W525" s="23">
        <v>1289.92</v>
      </c>
      <c r="X525" s="20">
        <v>89</v>
      </c>
      <c r="Y525" s="24" t="s">
        <v>3713</v>
      </c>
      <c r="Z525" s="16">
        <v>1200.92</v>
      </c>
      <c r="AA525" s="17">
        <v>1349.3</v>
      </c>
      <c r="AB525" s="25" t="s">
        <v>3714</v>
      </c>
    </row>
    <row r="526" spans="1:28" x14ac:dyDescent="0.45">
      <c r="A526" s="4" t="s">
        <v>1089</v>
      </c>
      <c r="B526" s="4" t="s">
        <v>5622</v>
      </c>
      <c r="C526" s="4" t="s">
        <v>4</v>
      </c>
      <c r="D526" s="4" t="s">
        <v>1079</v>
      </c>
      <c r="E526" s="4" t="s">
        <v>256</v>
      </c>
      <c r="F526" s="5">
        <v>45</v>
      </c>
      <c r="G526" s="5">
        <v>56</v>
      </c>
      <c r="H526" s="4" t="s">
        <v>262</v>
      </c>
      <c r="I526" s="10">
        <v>96</v>
      </c>
      <c r="J526" s="34">
        <f t="shared" si="32"/>
        <v>0.83519999999999994</v>
      </c>
      <c r="K526" s="34">
        <f t="shared" si="33"/>
        <v>1.25</v>
      </c>
      <c r="L526" s="34">
        <f t="shared" si="34"/>
        <v>5</v>
      </c>
      <c r="M526" s="11" t="s">
        <v>3814</v>
      </c>
      <c r="N526" s="11" t="s">
        <v>3719</v>
      </c>
      <c r="O526" s="11" t="s">
        <v>3711</v>
      </c>
      <c r="P526" s="11" t="s">
        <v>3720</v>
      </c>
      <c r="Q526" s="12">
        <v>45</v>
      </c>
      <c r="R526" s="12">
        <v>57</v>
      </c>
      <c r="S526" s="12">
        <v>6</v>
      </c>
      <c r="T526" s="13">
        <v>11.23</v>
      </c>
      <c r="U526" s="13">
        <f t="shared" si="35"/>
        <v>6.23</v>
      </c>
      <c r="V526" s="14">
        <v>1375.68</v>
      </c>
      <c r="W526" s="14">
        <v>1375.68</v>
      </c>
      <c r="X526" s="11">
        <v>3</v>
      </c>
      <c r="Y526" s="15" t="s">
        <v>3713</v>
      </c>
      <c r="Z526" s="16">
        <v>1279.68</v>
      </c>
      <c r="AA526" s="17">
        <v>1333</v>
      </c>
      <c r="AB526" s="18" t="s">
        <v>3786</v>
      </c>
    </row>
    <row r="527" spans="1:28" x14ac:dyDescent="0.45">
      <c r="A527" s="2" t="s">
        <v>1090</v>
      </c>
      <c r="B527" s="2" t="s">
        <v>5623</v>
      </c>
      <c r="C527" s="2" t="s">
        <v>4</v>
      </c>
      <c r="D527" s="2" t="s">
        <v>1079</v>
      </c>
      <c r="E527" s="2" t="s">
        <v>256</v>
      </c>
      <c r="F527" s="3">
        <v>50</v>
      </c>
      <c r="G527" s="3">
        <v>60</v>
      </c>
      <c r="H527" s="2" t="s">
        <v>262</v>
      </c>
      <c r="I527" s="19">
        <v>74</v>
      </c>
      <c r="J527" s="34">
        <f t="shared" si="32"/>
        <v>0.64379999999999993</v>
      </c>
      <c r="K527" s="34">
        <f t="shared" si="33"/>
        <v>0.97</v>
      </c>
      <c r="L527" s="34">
        <f t="shared" si="34"/>
        <v>3.88</v>
      </c>
      <c r="M527" s="20" t="s">
        <v>3742</v>
      </c>
      <c r="N527" s="20" t="s">
        <v>3716</v>
      </c>
      <c r="O527" s="20" t="s">
        <v>3711</v>
      </c>
      <c r="P527" s="20" t="s">
        <v>3717</v>
      </c>
      <c r="Q527" s="21">
        <v>50</v>
      </c>
      <c r="R527" s="21">
        <v>60</v>
      </c>
      <c r="S527" s="21">
        <v>5</v>
      </c>
      <c r="T527" s="22">
        <v>8.36</v>
      </c>
      <c r="U527" s="13">
        <f t="shared" si="35"/>
        <v>4.4799999999999995</v>
      </c>
      <c r="V527" s="23">
        <v>1024.0999999999999</v>
      </c>
      <c r="W527" s="23">
        <v>1024.0999999999999</v>
      </c>
      <c r="X527" s="20">
        <v>83</v>
      </c>
      <c r="Y527" s="24" t="s">
        <v>3713</v>
      </c>
      <c r="Z527" s="16">
        <v>950.09999999999991</v>
      </c>
      <c r="AA527" s="17">
        <v>1283.9000000000001</v>
      </c>
      <c r="AB527" s="25" t="s">
        <v>3714</v>
      </c>
    </row>
    <row r="528" spans="1:28" x14ac:dyDescent="0.45">
      <c r="A528" s="4" t="s">
        <v>1091</v>
      </c>
      <c r="B528" s="4" t="s">
        <v>5624</v>
      </c>
      <c r="C528" s="4" t="s">
        <v>4</v>
      </c>
      <c r="D528" s="4" t="s">
        <v>1079</v>
      </c>
      <c r="E528" s="4" t="s">
        <v>256</v>
      </c>
      <c r="F528" s="5">
        <v>50</v>
      </c>
      <c r="G528" s="5">
        <v>60</v>
      </c>
      <c r="H528" s="4" t="s">
        <v>262</v>
      </c>
      <c r="I528" s="10">
        <v>79</v>
      </c>
      <c r="J528" s="34">
        <f t="shared" si="32"/>
        <v>0.68729999999999991</v>
      </c>
      <c r="K528" s="34">
        <f t="shared" si="33"/>
        <v>1.03</v>
      </c>
      <c r="L528" s="34">
        <f t="shared" si="34"/>
        <v>4.12</v>
      </c>
      <c r="M528" s="11" t="s">
        <v>3742</v>
      </c>
      <c r="N528" s="11" t="s">
        <v>3716</v>
      </c>
      <c r="O528" s="11" t="s">
        <v>3711</v>
      </c>
      <c r="P528" s="11" t="s">
        <v>3717</v>
      </c>
      <c r="Q528" s="12">
        <v>50</v>
      </c>
      <c r="R528" s="12">
        <v>60</v>
      </c>
      <c r="S528" s="12">
        <v>5</v>
      </c>
      <c r="T528" s="13">
        <v>8.36</v>
      </c>
      <c r="U528" s="13">
        <f t="shared" si="35"/>
        <v>4.2399999999999993</v>
      </c>
      <c r="V528" s="14">
        <v>1024.0999999999999</v>
      </c>
      <c r="W528" s="14">
        <v>1024.0999999999999</v>
      </c>
      <c r="X528" s="11">
        <v>83</v>
      </c>
      <c r="Y528" s="15" t="s">
        <v>3713</v>
      </c>
      <c r="Z528" s="16">
        <v>945.09999999999991</v>
      </c>
      <c r="AA528" s="17">
        <v>1196.3</v>
      </c>
      <c r="AB528" s="18" t="s">
        <v>3714</v>
      </c>
    </row>
    <row r="529" spans="1:28" x14ac:dyDescent="0.45">
      <c r="A529" s="2" t="s">
        <v>1092</v>
      </c>
      <c r="B529" s="2" t="s">
        <v>5625</v>
      </c>
      <c r="C529" s="2" t="s">
        <v>4</v>
      </c>
      <c r="D529" s="2" t="s">
        <v>1079</v>
      </c>
      <c r="E529" s="2" t="s">
        <v>256</v>
      </c>
      <c r="F529" s="3">
        <v>50</v>
      </c>
      <c r="G529" s="3">
        <v>60</v>
      </c>
      <c r="H529" s="2" t="s">
        <v>415</v>
      </c>
      <c r="I529" s="19">
        <v>99</v>
      </c>
      <c r="J529" s="34">
        <f t="shared" si="32"/>
        <v>0.86129999999999995</v>
      </c>
      <c r="K529" s="34">
        <f t="shared" si="33"/>
        <v>1.29</v>
      </c>
      <c r="L529" s="34">
        <f t="shared" si="34"/>
        <v>5.16</v>
      </c>
      <c r="M529" s="20" t="s">
        <v>3742</v>
      </c>
      <c r="N529" s="20" t="s">
        <v>3716</v>
      </c>
      <c r="O529" s="20" t="s">
        <v>3711</v>
      </c>
      <c r="P529" s="20" t="s">
        <v>3717</v>
      </c>
      <c r="Q529" s="21">
        <v>50</v>
      </c>
      <c r="R529" s="21">
        <v>60</v>
      </c>
      <c r="S529" s="21">
        <v>5</v>
      </c>
      <c r="T529" s="22">
        <v>8.36</v>
      </c>
      <c r="U529" s="13">
        <f t="shared" si="35"/>
        <v>3.1999999999999993</v>
      </c>
      <c r="V529" s="23">
        <v>1024.0999999999999</v>
      </c>
      <c r="W529" s="23">
        <v>1024.0999999999999</v>
      </c>
      <c r="X529" s="20">
        <v>83</v>
      </c>
      <c r="Y529" s="24" t="s">
        <v>3713</v>
      </c>
      <c r="Z529" s="16">
        <v>925.09999999999991</v>
      </c>
      <c r="AA529" s="17">
        <v>934.4</v>
      </c>
      <c r="AB529" s="25" t="s">
        <v>3714</v>
      </c>
    </row>
    <row r="530" spans="1:28" x14ac:dyDescent="0.45">
      <c r="A530" s="4" t="s">
        <v>1093</v>
      </c>
      <c r="B530" s="4" t="s">
        <v>5626</v>
      </c>
      <c r="C530" s="4" t="s">
        <v>4</v>
      </c>
      <c r="D530" s="4" t="s">
        <v>1079</v>
      </c>
      <c r="E530" s="4" t="s">
        <v>256</v>
      </c>
      <c r="F530" s="5">
        <v>55</v>
      </c>
      <c r="G530" s="5">
        <v>65</v>
      </c>
      <c r="H530" s="4" t="s">
        <v>262</v>
      </c>
      <c r="I530" s="10">
        <v>82</v>
      </c>
      <c r="J530" s="34">
        <f t="shared" si="32"/>
        <v>0.71339999999999992</v>
      </c>
      <c r="K530" s="34">
        <f t="shared" si="33"/>
        <v>1.07</v>
      </c>
      <c r="L530" s="34">
        <f t="shared" si="34"/>
        <v>4.28</v>
      </c>
      <c r="M530" s="11" t="s">
        <v>3743</v>
      </c>
      <c r="N530" s="11" t="s">
        <v>3710</v>
      </c>
      <c r="O530" s="11" t="s">
        <v>3711</v>
      </c>
      <c r="P530" s="11" t="s">
        <v>3712</v>
      </c>
      <c r="Q530" s="12">
        <v>55</v>
      </c>
      <c r="R530" s="12">
        <v>65</v>
      </c>
      <c r="S530" s="12">
        <v>5.3</v>
      </c>
      <c r="T530" s="13">
        <v>15.58</v>
      </c>
      <c r="U530" s="13">
        <f t="shared" si="35"/>
        <v>11.3</v>
      </c>
      <c r="V530" s="14">
        <v>1908.55</v>
      </c>
      <c r="W530" s="14">
        <v>1908.55</v>
      </c>
      <c r="X530" s="11">
        <v>23</v>
      </c>
      <c r="Y530" s="15" t="s">
        <v>3713</v>
      </c>
      <c r="Z530" s="16">
        <v>1826.55</v>
      </c>
      <c r="AA530" s="17">
        <v>2227.5</v>
      </c>
      <c r="AB530" s="18" t="s">
        <v>3714</v>
      </c>
    </row>
    <row r="531" spans="1:28" x14ac:dyDescent="0.45">
      <c r="A531" s="2" t="s">
        <v>1094</v>
      </c>
      <c r="B531" s="2" t="s">
        <v>5627</v>
      </c>
      <c r="C531" s="2" t="s">
        <v>4</v>
      </c>
      <c r="D531" s="2" t="s">
        <v>1079</v>
      </c>
      <c r="E531" s="2" t="s">
        <v>256</v>
      </c>
      <c r="F531" s="3">
        <v>56</v>
      </c>
      <c r="G531" s="3">
        <v>68</v>
      </c>
      <c r="H531" s="2" t="s">
        <v>415</v>
      </c>
      <c r="I531" s="19">
        <v>118</v>
      </c>
      <c r="J531" s="34">
        <f t="shared" si="32"/>
        <v>1.0266</v>
      </c>
      <c r="K531" s="34">
        <f t="shared" si="33"/>
        <v>1.54</v>
      </c>
      <c r="L531" s="34">
        <f t="shared" si="34"/>
        <v>6.16</v>
      </c>
      <c r="M531" s="20" t="s">
        <v>3842</v>
      </c>
      <c r="N531" s="20" t="s">
        <v>3719</v>
      </c>
      <c r="O531" s="20" t="s">
        <v>3711</v>
      </c>
      <c r="P531" s="20" t="s">
        <v>3720</v>
      </c>
      <c r="Q531" s="21">
        <v>56</v>
      </c>
      <c r="R531" s="21">
        <v>68</v>
      </c>
      <c r="S531" s="21">
        <v>6</v>
      </c>
      <c r="T531" s="22">
        <v>16.72</v>
      </c>
      <c r="U531" s="13">
        <f t="shared" si="35"/>
        <v>10.559999999999999</v>
      </c>
      <c r="V531" s="23">
        <v>2048.1999999999998</v>
      </c>
      <c r="W531" s="23">
        <v>2048.1999999999998</v>
      </c>
      <c r="X531" s="20">
        <v>11</v>
      </c>
      <c r="Y531" s="24" t="s">
        <v>3713</v>
      </c>
      <c r="Z531" s="16">
        <v>1930.2</v>
      </c>
      <c r="AA531" s="17">
        <v>1635.8</v>
      </c>
      <c r="AB531" s="25" t="s">
        <v>3714</v>
      </c>
    </row>
    <row r="532" spans="1:28" x14ac:dyDescent="0.45">
      <c r="A532" s="4" t="s">
        <v>1095</v>
      </c>
      <c r="B532" s="4" t="s">
        <v>5628</v>
      </c>
      <c r="C532" s="4" t="s">
        <v>4</v>
      </c>
      <c r="D532" s="4" t="s">
        <v>1079</v>
      </c>
      <c r="E532" s="4" t="s">
        <v>256</v>
      </c>
      <c r="F532" s="5">
        <v>60</v>
      </c>
      <c r="G532" s="5">
        <v>70</v>
      </c>
      <c r="H532" s="4" t="s">
        <v>262</v>
      </c>
      <c r="I532" s="10">
        <v>93</v>
      </c>
      <c r="J532" s="34">
        <f t="shared" si="32"/>
        <v>0.80909999999999993</v>
      </c>
      <c r="K532" s="34">
        <f t="shared" si="33"/>
        <v>1.21</v>
      </c>
      <c r="L532" s="34">
        <f t="shared" si="34"/>
        <v>4.84</v>
      </c>
      <c r="M532" s="11" t="s">
        <v>3745</v>
      </c>
      <c r="N532" s="11" t="s">
        <v>3716</v>
      </c>
      <c r="O532" s="11" t="s">
        <v>3711</v>
      </c>
      <c r="P532" s="11" t="s">
        <v>3717</v>
      </c>
      <c r="Q532" s="12">
        <v>60</v>
      </c>
      <c r="R532" s="12">
        <v>70</v>
      </c>
      <c r="S532" s="12">
        <v>6</v>
      </c>
      <c r="T532" s="13">
        <v>9.49</v>
      </c>
      <c r="U532" s="13">
        <f t="shared" si="35"/>
        <v>4.6500000000000004</v>
      </c>
      <c r="V532" s="14">
        <v>1162.53</v>
      </c>
      <c r="W532" s="14">
        <v>1162.53</v>
      </c>
      <c r="X532" s="11">
        <v>213</v>
      </c>
      <c r="Y532" s="15" t="s">
        <v>3713</v>
      </c>
      <c r="Z532" s="16">
        <v>1069.53</v>
      </c>
      <c r="AA532" s="17">
        <v>1150</v>
      </c>
      <c r="AB532" s="18" t="s">
        <v>3714</v>
      </c>
    </row>
    <row r="533" spans="1:28" x14ac:dyDescent="0.45">
      <c r="A533" s="2" t="s">
        <v>1096</v>
      </c>
      <c r="B533" s="2" t="s">
        <v>5629</v>
      </c>
      <c r="C533" s="2" t="s">
        <v>4</v>
      </c>
      <c r="D533" s="2" t="s">
        <v>1079</v>
      </c>
      <c r="E533" s="2" t="s">
        <v>256</v>
      </c>
      <c r="F533" s="3">
        <v>70</v>
      </c>
      <c r="G533" s="3">
        <v>80</v>
      </c>
      <c r="H533" s="2" t="s">
        <v>415</v>
      </c>
      <c r="I533" s="19">
        <v>133</v>
      </c>
      <c r="J533" s="34">
        <f t="shared" si="32"/>
        <v>1.1571</v>
      </c>
      <c r="K533" s="34">
        <f t="shared" si="33"/>
        <v>1.74</v>
      </c>
      <c r="L533" s="34">
        <f t="shared" si="34"/>
        <v>6.96</v>
      </c>
      <c r="M533" s="20" t="s">
        <v>3748</v>
      </c>
      <c r="N533" s="20" t="s">
        <v>3716</v>
      </c>
      <c r="O533" s="20" t="s">
        <v>3711</v>
      </c>
      <c r="P533" s="20" t="s">
        <v>3717</v>
      </c>
      <c r="Q533" s="21">
        <v>70</v>
      </c>
      <c r="R533" s="21">
        <v>80</v>
      </c>
      <c r="S533" s="21">
        <v>5</v>
      </c>
      <c r="T533" s="22">
        <v>10.3</v>
      </c>
      <c r="U533" s="13">
        <f t="shared" si="35"/>
        <v>3.3400000000000007</v>
      </c>
      <c r="V533" s="23">
        <v>1261.75</v>
      </c>
      <c r="W533" s="23">
        <v>1261.75</v>
      </c>
      <c r="X533" s="20">
        <v>37</v>
      </c>
      <c r="Y533" s="24" t="s">
        <v>3713</v>
      </c>
      <c r="Z533" s="16">
        <v>1128.75</v>
      </c>
      <c r="AA533" s="17">
        <v>848.7</v>
      </c>
      <c r="AB533" s="25" t="s">
        <v>3714</v>
      </c>
    </row>
    <row r="534" spans="1:28" x14ac:dyDescent="0.45">
      <c r="A534" s="4" t="s">
        <v>1097</v>
      </c>
      <c r="B534" s="4" t="s">
        <v>5630</v>
      </c>
      <c r="C534" s="4" t="s">
        <v>4</v>
      </c>
      <c r="D534" s="4" t="s">
        <v>1079</v>
      </c>
      <c r="E534" s="4" t="s">
        <v>256</v>
      </c>
      <c r="F534" s="5">
        <v>70</v>
      </c>
      <c r="G534" s="5">
        <v>83.5</v>
      </c>
      <c r="H534" s="4" t="s">
        <v>169</v>
      </c>
      <c r="I534" s="10">
        <v>143</v>
      </c>
      <c r="J534" s="34">
        <f t="shared" si="32"/>
        <v>1.2441</v>
      </c>
      <c r="K534" s="34">
        <f t="shared" si="33"/>
        <v>1.87</v>
      </c>
      <c r="L534" s="34">
        <f t="shared" si="34"/>
        <v>7.48</v>
      </c>
      <c r="M534" s="11" t="s">
        <v>3846</v>
      </c>
      <c r="N534" s="11" t="s">
        <v>3735</v>
      </c>
      <c r="O534" s="11" t="s">
        <v>3711</v>
      </c>
      <c r="P534" s="11" t="s">
        <v>3736</v>
      </c>
      <c r="Q534" s="12">
        <v>69.849999999999994</v>
      </c>
      <c r="R534" s="12">
        <v>82.55</v>
      </c>
      <c r="S534" s="12">
        <v>6.35</v>
      </c>
      <c r="T534" s="13">
        <v>5.55</v>
      </c>
      <c r="U534" s="13">
        <f t="shared" si="35"/>
        <v>-1.9300000000000006</v>
      </c>
      <c r="V534" s="14">
        <v>679.88</v>
      </c>
      <c r="W534" s="14">
        <v>679.88</v>
      </c>
      <c r="X534" s="11">
        <v>6</v>
      </c>
      <c r="Y534" s="15" t="s">
        <v>3737</v>
      </c>
      <c r="Z534" s="16">
        <v>536.88</v>
      </c>
      <c r="AA534" s="17">
        <v>375.4</v>
      </c>
      <c r="AB534" s="18" t="s">
        <v>3887</v>
      </c>
    </row>
    <row r="535" spans="1:28" x14ac:dyDescent="0.45">
      <c r="A535" s="2" t="s">
        <v>1099</v>
      </c>
      <c r="B535" s="2" t="s">
        <v>5631</v>
      </c>
      <c r="C535" s="2" t="s">
        <v>4</v>
      </c>
      <c r="D535" s="2" t="s">
        <v>1079</v>
      </c>
      <c r="E535" s="2" t="s">
        <v>256</v>
      </c>
      <c r="F535" s="3">
        <v>75</v>
      </c>
      <c r="G535" s="3">
        <v>90</v>
      </c>
      <c r="H535" s="2" t="s">
        <v>158</v>
      </c>
      <c r="I535" s="19">
        <v>175</v>
      </c>
      <c r="J535" s="34">
        <f t="shared" si="32"/>
        <v>1.5225</v>
      </c>
      <c r="K535" s="34">
        <f t="shared" si="33"/>
        <v>2.2799999999999998</v>
      </c>
      <c r="L535" s="34">
        <f t="shared" si="34"/>
        <v>9.1199999999999992</v>
      </c>
      <c r="M535" s="20" t="s">
        <v>3848</v>
      </c>
      <c r="N535" s="20" t="s">
        <v>3735</v>
      </c>
      <c r="O535" s="20" t="s">
        <v>3711</v>
      </c>
      <c r="P535" s="20" t="s">
        <v>3736</v>
      </c>
      <c r="Q535" s="21">
        <v>76.2</v>
      </c>
      <c r="R535" s="21">
        <v>88.9</v>
      </c>
      <c r="S535" s="21">
        <v>6.35</v>
      </c>
      <c r="T535" s="22">
        <v>4.46</v>
      </c>
      <c r="U535" s="13">
        <f t="shared" si="35"/>
        <v>-4.6599999999999993</v>
      </c>
      <c r="V535" s="23">
        <v>546.35</v>
      </c>
      <c r="W535" s="23">
        <v>546.35</v>
      </c>
      <c r="X535" s="20">
        <v>7</v>
      </c>
      <c r="Y535" s="24" t="s">
        <v>3737</v>
      </c>
      <c r="Z535" s="16">
        <v>371.35</v>
      </c>
      <c r="AA535" s="17">
        <v>212.2</v>
      </c>
      <c r="AB535" s="25" t="s">
        <v>3888</v>
      </c>
    </row>
    <row r="536" spans="1:28" x14ac:dyDescent="0.45">
      <c r="A536" s="4" t="s">
        <v>1100</v>
      </c>
      <c r="B536" s="4" t="s">
        <v>5632</v>
      </c>
      <c r="C536" s="4" t="s">
        <v>4</v>
      </c>
      <c r="D536" s="4" t="s">
        <v>1079</v>
      </c>
      <c r="E536" s="4" t="s">
        <v>256</v>
      </c>
      <c r="F536" s="5">
        <v>80</v>
      </c>
      <c r="G536" s="5">
        <v>90</v>
      </c>
      <c r="H536" s="4" t="s">
        <v>1101</v>
      </c>
      <c r="I536" s="10">
        <v>119</v>
      </c>
      <c r="J536" s="34">
        <f t="shared" si="32"/>
        <v>1.0352999999999999</v>
      </c>
      <c r="K536" s="34">
        <f t="shared" si="33"/>
        <v>1.55</v>
      </c>
      <c r="L536" s="34">
        <f t="shared" si="34"/>
        <v>6.2</v>
      </c>
      <c r="M536" s="11" t="s">
        <v>3789</v>
      </c>
      <c r="N536" s="11" t="s">
        <v>3719</v>
      </c>
      <c r="O536" s="11" t="s">
        <v>3711</v>
      </c>
      <c r="P536" s="11" t="s">
        <v>3720</v>
      </c>
      <c r="Q536" s="12">
        <v>80</v>
      </c>
      <c r="R536" s="12">
        <v>90</v>
      </c>
      <c r="S536" s="12">
        <v>6</v>
      </c>
      <c r="T536" s="13">
        <v>11.89</v>
      </c>
      <c r="U536" s="13">
        <f t="shared" si="35"/>
        <v>5.69</v>
      </c>
      <c r="V536" s="14">
        <v>1456.52</v>
      </c>
      <c r="W536" s="14">
        <v>1456.52</v>
      </c>
      <c r="X536" s="11">
        <v>26</v>
      </c>
      <c r="Y536" s="15" t="s">
        <v>3713</v>
      </c>
      <c r="Z536" s="16">
        <v>1337.52</v>
      </c>
      <c r="AA536" s="17">
        <v>1124</v>
      </c>
      <c r="AB536" s="18" t="s">
        <v>3714</v>
      </c>
    </row>
    <row r="537" spans="1:28" x14ac:dyDescent="0.45">
      <c r="A537" s="2" t="s">
        <v>1102</v>
      </c>
      <c r="B537" s="2" t="s">
        <v>5633</v>
      </c>
      <c r="C537" s="2" t="s">
        <v>4</v>
      </c>
      <c r="D537" s="2" t="s">
        <v>1079</v>
      </c>
      <c r="E537" s="2" t="s">
        <v>256</v>
      </c>
      <c r="F537" s="3">
        <v>80</v>
      </c>
      <c r="G537" s="3">
        <v>90</v>
      </c>
      <c r="H537" s="2" t="s">
        <v>262</v>
      </c>
      <c r="I537" s="19">
        <v>153</v>
      </c>
      <c r="J537" s="34">
        <f t="shared" si="32"/>
        <v>1.3310999999999999</v>
      </c>
      <c r="K537" s="34">
        <f t="shared" si="33"/>
        <v>2</v>
      </c>
      <c r="L537" s="34">
        <f t="shared" si="34"/>
        <v>8</v>
      </c>
      <c r="M537" s="20" t="s">
        <v>3789</v>
      </c>
      <c r="N537" s="20" t="s">
        <v>3719</v>
      </c>
      <c r="O537" s="20" t="s">
        <v>3711</v>
      </c>
      <c r="P537" s="20" t="s">
        <v>3720</v>
      </c>
      <c r="Q537" s="21">
        <v>80</v>
      </c>
      <c r="R537" s="21">
        <v>90</v>
      </c>
      <c r="S537" s="21">
        <v>6</v>
      </c>
      <c r="T537" s="22">
        <v>11.89</v>
      </c>
      <c r="U537" s="13">
        <f t="shared" si="35"/>
        <v>3.8900000000000006</v>
      </c>
      <c r="V537" s="23">
        <v>1456.52</v>
      </c>
      <c r="W537" s="23">
        <v>1456.52</v>
      </c>
      <c r="X537" s="20">
        <v>26</v>
      </c>
      <c r="Y537" s="24" t="s">
        <v>3713</v>
      </c>
      <c r="Z537" s="16">
        <v>1303.52</v>
      </c>
      <c r="AA537" s="17">
        <v>852</v>
      </c>
      <c r="AB537" s="25" t="s">
        <v>3714</v>
      </c>
    </row>
    <row r="538" spans="1:28" x14ac:dyDescent="0.45">
      <c r="A538" s="4" t="s">
        <v>1103</v>
      </c>
      <c r="B538" s="4" t="s">
        <v>5634</v>
      </c>
      <c r="C538" s="4" t="s">
        <v>4</v>
      </c>
      <c r="D538" s="4" t="s">
        <v>1079</v>
      </c>
      <c r="E538" s="4" t="s">
        <v>256</v>
      </c>
      <c r="F538" s="5">
        <v>90</v>
      </c>
      <c r="G538" s="5">
        <v>100</v>
      </c>
      <c r="H538" s="4" t="s">
        <v>1104</v>
      </c>
      <c r="I538" s="10">
        <v>225</v>
      </c>
      <c r="J538" s="34">
        <f t="shared" si="32"/>
        <v>1.9574999999999998</v>
      </c>
      <c r="K538" s="34">
        <f t="shared" si="33"/>
        <v>2.94</v>
      </c>
      <c r="L538" s="34">
        <f t="shared" si="34"/>
        <v>11.76</v>
      </c>
      <c r="M538" s="11" t="s">
        <v>3833</v>
      </c>
      <c r="N538" s="11" t="s">
        <v>3716</v>
      </c>
      <c r="O538" s="11" t="s">
        <v>3711</v>
      </c>
      <c r="P538" s="11" t="s">
        <v>3717</v>
      </c>
      <c r="Q538" s="12">
        <v>90</v>
      </c>
      <c r="R538" s="12">
        <v>100</v>
      </c>
      <c r="S538" s="12">
        <v>6</v>
      </c>
      <c r="T538" s="13">
        <v>10.94</v>
      </c>
      <c r="U538" s="13">
        <f t="shared" si="35"/>
        <v>-0.82000000000000028</v>
      </c>
      <c r="V538" s="14">
        <v>1340.15</v>
      </c>
      <c r="W538" s="14">
        <v>1340.15</v>
      </c>
      <c r="X538" s="11">
        <v>106</v>
      </c>
      <c r="Y538" s="15" t="s">
        <v>3713</v>
      </c>
      <c r="Z538" s="16">
        <v>1115.1500000000001</v>
      </c>
      <c r="AA538" s="17">
        <v>495.6</v>
      </c>
      <c r="AB538" s="18" t="s">
        <v>3714</v>
      </c>
    </row>
    <row r="539" spans="1:28" x14ac:dyDescent="0.45">
      <c r="A539" s="2" t="s">
        <v>1105</v>
      </c>
      <c r="B539" s="2" t="s">
        <v>5635</v>
      </c>
      <c r="C539" s="2" t="s">
        <v>4</v>
      </c>
      <c r="D539" s="2" t="s">
        <v>1079</v>
      </c>
      <c r="E539" s="2" t="s">
        <v>256</v>
      </c>
      <c r="F539" s="3">
        <v>110</v>
      </c>
      <c r="G539" s="3">
        <v>125</v>
      </c>
      <c r="H539" s="2" t="s">
        <v>158</v>
      </c>
      <c r="I539" s="19">
        <v>284</v>
      </c>
      <c r="J539" s="34">
        <f t="shared" si="32"/>
        <v>2.4707999999999997</v>
      </c>
      <c r="K539" s="34">
        <f t="shared" si="33"/>
        <v>3.71</v>
      </c>
      <c r="L539" s="34">
        <f t="shared" si="34"/>
        <v>14.84</v>
      </c>
      <c r="M539" s="20" t="s">
        <v>3889</v>
      </c>
      <c r="N539" s="20" t="s">
        <v>3716</v>
      </c>
      <c r="O539" s="20" t="s">
        <v>3711</v>
      </c>
      <c r="P539" s="20" t="s">
        <v>3717</v>
      </c>
      <c r="Q539" s="21">
        <v>110</v>
      </c>
      <c r="R539" s="21">
        <v>125</v>
      </c>
      <c r="S539" s="21">
        <v>9.5</v>
      </c>
      <c r="T539" s="22">
        <v>15.68</v>
      </c>
      <c r="U539" s="13">
        <f t="shared" si="35"/>
        <v>0.83999999999999986</v>
      </c>
      <c r="V539" s="23">
        <v>1920.8</v>
      </c>
      <c r="W539" s="23">
        <v>1920.8</v>
      </c>
      <c r="X539" s="20">
        <v>29</v>
      </c>
      <c r="Y539" s="24" t="s">
        <v>3713</v>
      </c>
      <c r="Z539" s="16">
        <v>1636.8</v>
      </c>
      <c r="AA539" s="17">
        <v>576.29999999999995</v>
      </c>
      <c r="AB539" s="25" t="s">
        <v>3714</v>
      </c>
    </row>
    <row r="540" spans="1:28" x14ac:dyDescent="0.45">
      <c r="A540" s="4" t="s">
        <v>1106</v>
      </c>
      <c r="B540" s="4" t="s">
        <v>5636</v>
      </c>
      <c r="C540" s="4" t="s">
        <v>4</v>
      </c>
      <c r="D540" s="4" t="s">
        <v>1079</v>
      </c>
      <c r="E540" s="4" t="s">
        <v>256</v>
      </c>
      <c r="F540" s="5">
        <v>110</v>
      </c>
      <c r="G540" s="5">
        <v>126</v>
      </c>
      <c r="H540" s="4" t="s">
        <v>421</v>
      </c>
      <c r="I540" s="10">
        <v>308</v>
      </c>
      <c r="J540" s="34">
        <f t="shared" si="32"/>
        <v>2.6795999999999998</v>
      </c>
      <c r="K540" s="34">
        <f t="shared" si="33"/>
        <v>4.0199999999999996</v>
      </c>
      <c r="L540" s="34">
        <f t="shared" si="34"/>
        <v>16.079999999999998</v>
      </c>
      <c r="M540" s="11" t="s">
        <v>3855</v>
      </c>
      <c r="N540" s="11" t="s">
        <v>3719</v>
      </c>
      <c r="O540" s="11" t="s">
        <v>3711</v>
      </c>
      <c r="P540" s="11" t="s">
        <v>3720</v>
      </c>
      <c r="Q540" s="12">
        <v>110</v>
      </c>
      <c r="R540" s="12">
        <v>126</v>
      </c>
      <c r="S540" s="12">
        <v>8</v>
      </c>
      <c r="T540" s="13">
        <v>24.05</v>
      </c>
      <c r="U540" s="13">
        <f t="shared" si="35"/>
        <v>7.9700000000000024</v>
      </c>
      <c r="V540" s="14">
        <v>2946.12</v>
      </c>
      <c r="W540" s="14">
        <v>2946.12</v>
      </c>
      <c r="X540" s="11">
        <v>25</v>
      </c>
      <c r="Y540" s="15" t="s">
        <v>3713</v>
      </c>
      <c r="Z540" s="16">
        <v>2638.12</v>
      </c>
      <c r="AA540" s="17">
        <v>856.5</v>
      </c>
      <c r="AB540" s="18" t="s">
        <v>3714</v>
      </c>
    </row>
    <row r="541" spans="1:28" x14ac:dyDescent="0.45">
      <c r="A541" s="2" t="s">
        <v>1107</v>
      </c>
      <c r="B541" s="2" t="s">
        <v>5637</v>
      </c>
      <c r="C541" s="2" t="s">
        <v>4</v>
      </c>
      <c r="D541" s="2" t="s">
        <v>1079</v>
      </c>
      <c r="E541" s="2" t="s">
        <v>256</v>
      </c>
      <c r="F541" s="3">
        <v>125</v>
      </c>
      <c r="G541" s="3">
        <v>140</v>
      </c>
      <c r="H541" s="2" t="s">
        <v>415</v>
      </c>
      <c r="I541" s="19">
        <v>375</v>
      </c>
      <c r="J541" s="34">
        <f t="shared" si="32"/>
        <v>3.2624999999999997</v>
      </c>
      <c r="K541" s="34">
        <f t="shared" si="33"/>
        <v>4.8899999999999997</v>
      </c>
      <c r="L541" s="34">
        <f t="shared" si="34"/>
        <v>19.559999999999999</v>
      </c>
      <c r="M541" s="20" t="s">
        <v>3762</v>
      </c>
      <c r="N541" s="20" t="s">
        <v>3716</v>
      </c>
      <c r="O541" s="20" t="s">
        <v>3711</v>
      </c>
      <c r="P541" s="20" t="s">
        <v>3717</v>
      </c>
      <c r="Q541" s="21">
        <v>125</v>
      </c>
      <c r="R541" s="21">
        <v>140</v>
      </c>
      <c r="S541" s="21">
        <v>9.5</v>
      </c>
      <c r="T541" s="22">
        <v>18.98</v>
      </c>
      <c r="U541" s="13">
        <f t="shared" si="35"/>
        <v>-0.57999999999999829</v>
      </c>
      <c r="V541" s="23">
        <v>2325.0500000000002</v>
      </c>
      <c r="W541" s="23">
        <v>2325.0500000000002</v>
      </c>
      <c r="X541" s="20">
        <v>213</v>
      </c>
      <c r="Y541" s="24" t="s">
        <v>3713</v>
      </c>
      <c r="Z541" s="16">
        <v>1950.05</v>
      </c>
      <c r="AA541" s="17">
        <v>520</v>
      </c>
      <c r="AB541" s="25" t="s">
        <v>3714</v>
      </c>
    </row>
    <row r="542" spans="1:28" x14ac:dyDescent="0.45">
      <c r="A542" s="4" t="s">
        <v>1108</v>
      </c>
      <c r="B542" s="4" t="s">
        <v>5638</v>
      </c>
      <c r="C542" s="4" t="s">
        <v>4</v>
      </c>
      <c r="D542" s="4" t="s">
        <v>1079</v>
      </c>
      <c r="E542" s="4" t="s">
        <v>256</v>
      </c>
      <c r="F542" s="5">
        <v>130</v>
      </c>
      <c r="G542" s="5">
        <v>146</v>
      </c>
      <c r="H542" s="4" t="s">
        <v>421</v>
      </c>
      <c r="I542" s="10">
        <v>434</v>
      </c>
      <c r="J542" s="34">
        <f t="shared" si="32"/>
        <v>3.7757999999999998</v>
      </c>
      <c r="K542" s="34">
        <f t="shared" si="33"/>
        <v>5.66</v>
      </c>
      <c r="L542" s="34">
        <f t="shared" si="34"/>
        <v>22.64</v>
      </c>
      <c r="M542" s="11" t="s">
        <v>3836</v>
      </c>
      <c r="N542" s="11" t="s">
        <v>3716</v>
      </c>
      <c r="O542" s="11" t="s">
        <v>3711</v>
      </c>
      <c r="P542" s="11" t="s">
        <v>3717</v>
      </c>
      <c r="Q542" s="12">
        <v>130</v>
      </c>
      <c r="R542" s="12">
        <v>145</v>
      </c>
      <c r="S542" s="12">
        <v>10</v>
      </c>
      <c r="T542" s="13">
        <v>37.799999999999997</v>
      </c>
      <c r="U542" s="13">
        <f t="shared" si="35"/>
        <v>15.159999999999997</v>
      </c>
      <c r="V542" s="14">
        <v>4630.5</v>
      </c>
      <c r="W542" s="14">
        <v>4630.5</v>
      </c>
      <c r="X542" s="11">
        <v>4</v>
      </c>
      <c r="Y542" s="15" t="s">
        <v>3713</v>
      </c>
      <c r="Z542" s="16">
        <v>4196.5</v>
      </c>
      <c r="AA542" s="17">
        <v>966.9</v>
      </c>
      <c r="AB542" s="18" t="s">
        <v>3786</v>
      </c>
    </row>
    <row r="543" spans="1:28" x14ac:dyDescent="0.45">
      <c r="A543" s="2" t="s">
        <v>1109</v>
      </c>
      <c r="B543" s="2" t="s">
        <v>5639</v>
      </c>
      <c r="C543" s="2" t="s">
        <v>1110</v>
      </c>
      <c r="D543" s="2" t="s">
        <v>1111</v>
      </c>
      <c r="E543" s="2" t="s">
        <v>96</v>
      </c>
      <c r="F543" s="3">
        <v>3.8</v>
      </c>
      <c r="G543" s="3">
        <v>7.6</v>
      </c>
      <c r="H543" s="2" t="s">
        <v>1112</v>
      </c>
      <c r="I543" s="19">
        <v>2</v>
      </c>
      <c r="J543" s="34">
        <f t="shared" si="32"/>
        <v>1.7399999999999999E-2</v>
      </c>
      <c r="K543" s="34">
        <f t="shared" si="33"/>
        <v>0.03</v>
      </c>
      <c r="L543" s="34">
        <f t="shared" si="34"/>
        <v>0.12</v>
      </c>
      <c r="M543" s="20" t="s">
        <v>3890</v>
      </c>
      <c r="N543" s="20" t="s">
        <v>3891</v>
      </c>
      <c r="O543" s="20" t="s">
        <v>3892</v>
      </c>
      <c r="P543" s="20" t="s">
        <v>3893</v>
      </c>
      <c r="Q543" s="21">
        <v>3.8</v>
      </c>
      <c r="R543" s="21">
        <v>7.6</v>
      </c>
      <c r="S543" s="21">
        <v>1.9</v>
      </c>
      <c r="T543" s="22">
        <v>0.2</v>
      </c>
      <c r="U543" s="13">
        <f t="shared" si="35"/>
        <v>8.0000000000000016E-2</v>
      </c>
      <c r="V543" s="23">
        <v>24.5</v>
      </c>
      <c r="W543" s="23">
        <v>24.5</v>
      </c>
      <c r="X543" s="20">
        <v>1</v>
      </c>
      <c r="Y543" s="24" t="s">
        <v>3713</v>
      </c>
      <c r="Z543" s="16">
        <v>22.5</v>
      </c>
      <c r="AA543" s="17">
        <v>1125</v>
      </c>
      <c r="AB543" s="25" t="s">
        <v>3714</v>
      </c>
    </row>
    <row r="544" spans="1:28" x14ac:dyDescent="0.45">
      <c r="A544" s="4" t="s">
        <v>1113</v>
      </c>
      <c r="B544" s="4" t="s">
        <v>5640</v>
      </c>
      <c r="C544" s="4" t="s">
        <v>1110</v>
      </c>
      <c r="D544" s="4" t="s">
        <v>1111</v>
      </c>
      <c r="E544" s="4" t="s">
        <v>96</v>
      </c>
      <c r="F544" s="5">
        <v>4.47</v>
      </c>
      <c r="G544" s="5">
        <v>8.0299999999999994</v>
      </c>
      <c r="H544" s="4" t="s">
        <v>1114</v>
      </c>
      <c r="I544" s="10">
        <v>2</v>
      </c>
      <c r="J544" s="34">
        <f t="shared" si="32"/>
        <v>1.7399999999999999E-2</v>
      </c>
      <c r="K544" s="34">
        <f t="shared" si="33"/>
        <v>0.03</v>
      </c>
      <c r="L544" s="34">
        <f t="shared" si="34"/>
        <v>0.12</v>
      </c>
      <c r="M544" s="11" t="s">
        <v>3894</v>
      </c>
      <c r="N544" s="11" t="s">
        <v>3891</v>
      </c>
      <c r="O544" s="11" t="s">
        <v>3892</v>
      </c>
      <c r="P544" s="11" t="s">
        <v>3893</v>
      </c>
      <c r="Q544" s="12">
        <v>4.7</v>
      </c>
      <c r="R544" s="12">
        <v>7.9</v>
      </c>
      <c r="S544" s="12">
        <v>1.6</v>
      </c>
      <c r="T544" s="13">
        <v>0.26</v>
      </c>
      <c r="U544" s="13">
        <f t="shared" si="35"/>
        <v>0.14000000000000001</v>
      </c>
      <c r="V544" s="14">
        <v>31.85</v>
      </c>
      <c r="W544" s="14">
        <v>31.85</v>
      </c>
      <c r="X544" s="11">
        <v>1094</v>
      </c>
      <c r="Y544" s="15" t="s">
        <v>3713</v>
      </c>
      <c r="Z544" s="16">
        <v>29.85</v>
      </c>
      <c r="AA544" s="17">
        <v>1492.5</v>
      </c>
      <c r="AB544" s="18" t="s">
        <v>3895</v>
      </c>
    </row>
    <row r="545" spans="1:28" x14ac:dyDescent="0.45">
      <c r="A545" s="2" t="s">
        <v>1115</v>
      </c>
      <c r="B545" s="2" t="s">
        <v>5641</v>
      </c>
      <c r="C545" s="2" t="s">
        <v>1110</v>
      </c>
      <c r="D545" s="2" t="s">
        <v>1111</v>
      </c>
      <c r="E545" s="2" t="s">
        <v>96</v>
      </c>
      <c r="F545" s="3">
        <v>4.8</v>
      </c>
      <c r="G545" s="3">
        <v>8.6</v>
      </c>
      <c r="H545" s="2" t="s">
        <v>1112</v>
      </c>
      <c r="I545" s="19">
        <v>2</v>
      </c>
      <c r="J545" s="34">
        <f t="shared" si="32"/>
        <v>1.7399999999999999E-2</v>
      </c>
      <c r="K545" s="34">
        <f t="shared" si="33"/>
        <v>0.03</v>
      </c>
      <c r="L545" s="34">
        <f t="shared" si="34"/>
        <v>0.12</v>
      </c>
      <c r="M545" s="20" t="s">
        <v>3896</v>
      </c>
      <c r="N545" s="20" t="s">
        <v>3891</v>
      </c>
      <c r="O545" s="20" t="s">
        <v>3892</v>
      </c>
      <c r="P545" s="20" t="s">
        <v>3893</v>
      </c>
      <c r="Q545" s="21">
        <v>4.8</v>
      </c>
      <c r="R545" s="21">
        <v>8.6</v>
      </c>
      <c r="S545" s="21">
        <v>1.9</v>
      </c>
      <c r="T545" s="22">
        <v>0.2</v>
      </c>
      <c r="U545" s="13">
        <f t="shared" si="35"/>
        <v>8.0000000000000016E-2</v>
      </c>
      <c r="V545" s="23">
        <v>24.5</v>
      </c>
      <c r="W545" s="23">
        <v>24.5</v>
      </c>
      <c r="X545" s="20">
        <v>22</v>
      </c>
      <c r="Y545" s="24" t="s">
        <v>3713</v>
      </c>
      <c r="Z545" s="16">
        <v>22.5</v>
      </c>
      <c r="AA545" s="17">
        <v>1125</v>
      </c>
      <c r="AB545" s="25" t="s">
        <v>3714</v>
      </c>
    </row>
    <row r="546" spans="1:28" x14ac:dyDescent="0.45">
      <c r="A546" s="4" t="s">
        <v>1116</v>
      </c>
      <c r="B546" s="4" t="s">
        <v>5642</v>
      </c>
      <c r="C546" s="4" t="s">
        <v>1110</v>
      </c>
      <c r="D546" s="4" t="s">
        <v>1111</v>
      </c>
      <c r="E546" s="4" t="s">
        <v>96</v>
      </c>
      <c r="F546" s="5">
        <v>4</v>
      </c>
      <c r="G546" s="5">
        <v>6</v>
      </c>
      <c r="H546" s="4" t="s">
        <v>1117</v>
      </c>
      <c r="I546" s="10">
        <v>3</v>
      </c>
      <c r="J546" s="34">
        <f t="shared" si="32"/>
        <v>2.6099999999999998E-2</v>
      </c>
      <c r="K546" s="34">
        <f t="shared" si="33"/>
        <v>0.04</v>
      </c>
      <c r="L546" s="34">
        <f t="shared" si="34"/>
        <v>0.16</v>
      </c>
      <c r="M546" s="11" t="s">
        <v>3897</v>
      </c>
      <c r="N546" s="11" t="s">
        <v>3898</v>
      </c>
      <c r="O546" s="11" t="s">
        <v>3892</v>
      </c>
      <c r="P546" s="11" t="s">
        <v>3899</v>
      </c>
      <c r="Q546" s="12">
        <v>4</v>
      </c>
      <c r="R546" s="12">
        <v>6</v>
      </c>
      <c r="S546" s="12">
        <v>1</v>
      </c>
      <c r="T546" s="13">
        <v>0.51</v>
      </c>
      <c r="U546" s="13">
        <f t="shared" si="35"/>
        <v>0.35</v>
      </c>
      <c r="V546" s="14">
        <v>62.48</v>
      </c>
      <c r="W546" s="14">
        <v>62.48</v>
      </c>
      <c r="X546" s="11">
        <v>574</v>
      </c>
      <c r="Y546" s="15" t="s">
        <v>3713</v>
      </c>
      <c r="Z546" s="16">
        <v>59.48</v>
      </c>
      <c r="AA546" s="17">
        <v>1982.7</v>
      </c>
      <c r="AB546" s="18" t="s">
        <v>3714</v>
      </c>
    </row>
    <row r="547" spans="1:28" x14ac:dyDescent="0.45">
      <c r="A547" s="2" t="s">
        <v>1118</v>
      </c>
      <c r="B547" s="2" t="s">
        <v>5643</v>
      </c>
      <c r="C547" s="2" t="s">
        <v>1110</v>
      </c>
      <c r="D547" s="2" t="s">
        <v>1111</v>
      </c>
      <c r="E547" s="2" t="s">
        <v>96</v>
      </c>
      <c r="F547" s="3">
        <v>5.8</v>
      </c>
      <c r="G547" s="3">
        <v>9.6</v>
      </c>
      <c r="H547" s="2" t="s">
        <v>1112</v>
      </c>
      <c r="I547" s="19">
        <v>2</v>
      </c>
      <c r="J547" s="34">
        <f t="shared" si="32"/>
        <v>1.7399999999999999E-2</v>
      </c>
      <c r="K547" s="34">
        <f t="shared" si="33"/>
        <v>0.03</v>
      </c>
      <c r="L547" s="34">
        <f t="shared" si="34"/>
        <v>0.12</v>
      </c>
      <c r="M547" s="20" t="s">
        <v>3900</v>
      </c>
      <c r="N547" s="20" t="s">
        <v>3891</v>
      </c>
      <c r="O547" s="20" t="s">
        <v>3892</v>
      </c>
      <c r="P547" s="20" t="s">
        <v>3893</v>
      </c>
      <c r="Q547" s="21">
        <v>5.8</v>
      </c>
      <c r="R547" s="21">
        <v>9.6</v>
      </c>
      <c r="S547" s="21">
        <v>1.9</v>
      </c>
      <c r="T547" s="22">
        <v>0.2</v>
      </c>
      <c r="U547" s="13">
        <f t="shared" si="35"/>
        <v>8.0000000000000016E-2</v>
      </c>
      <c r="V547" s="23">
        <v>24.5</v>
      </c>
      <c r="W547" s="23">
        <v>24.5</v>
      </c>
      <c r="X547" s="20">
        <v>1524</v>
      </c>
      <c r="Y547" s="24" t="s">
        <v>3713</v>
      </c>
      <c r="Z547" s="16">
        <v>22.5</v>
      </c>
      <c r="AA547" s="17">
        <v>1125</v>
      </c>
      <c r="AB547" s="25" t="s">
        <v>3714</v>
      </c>
    </row>
    <row r="548" spans="1:28" x14ac:dyDescent="0.45">
      <c r="A548" s="4" t="s">
        <v>1119</v>
      </c>
      <c r="B548" s="4" t="s">
        <v>5644</v>
      </c>
      <c r="C548" s="4" t="s">
        <v>1110</v>
      </c>
      <c r="D548" s="4" t="s">
        <v>1111</v>
      </c>
      <c r="E548" s="4" t="s">
        <v>96</v>
      </c>
      <c r="F548" s="5">
        <v>5</v>
      </c>
      <c r="G548" s="5">
        <v>8</v>
      </c>
      <c r="H548" s="4" t="s">
        <v>1120</v>
      </c>
      <c r="I548" s="10">
        <v>2</v>
      </c>
      <c r="J548" s="34">
        <f t="shared" si="32"/>
        <v>1.7399999999999999E-2</v>
      </c>
      <c r="K548" s="34">
        <f t="shared" si="33"/>
        <v>0.03</v>
      </c>
      <c r="L548" s="34">
        <f t="shared" si="34"/>
        <v>0.12</v>
      </c>
      <c r="M548" s="11" t="s">
        <v>3901</v>
      </c>
      <c r="N548" s="11" t="s">
        <v>3891</v>
      </c>
      <c r="O548" s="11" t="s">
        <v>3892</v>
      </c>
      <c r="P548" s="11" t="s">
        <v>3893</v>
      </c>
      <c r="Q548" s="12">
        <v>5</v>
      </c>
      <c r="R548" s="12">
        <v>8</v>
      </c>
      <c r="S548" s="12">
        <v>1.5</v>
      </c>
      <c r="T548" s="13">
        <v>0.2</v>
      </c>
      <c r="U548" s="13">
        <f t="shared" si="35"/>
        <v>8.0000000000000016E-2</v>
      </c>
      <c r="V548" s="14">
        <v>24.5</v>
      </c>
      <c r="W548" s="14">
        <v>24.5</v>
      </c>
      <c r="X548" s="11">
        <v>1165</v>
      </c>
      <c r="Y548" s="15" t="s">
        <v>3713</v>
      </c>
      <c r="Z548" s="16">
        <v>22.5</v>
      </c>
      <c r="AA548" s="17">
        <v>1125</v>
      </c>
      <c r="AB548" s="18" t="s">
        <v>3714</v>
      </c>
    </row>
    <row r="549" spans="1:28" x14ac:dyDescent="0.45">
      <c r="A549" s="2" t="s">
        <v>1121</v>
      </c>
      <c r="B549" s="2" t="s">
        <v>5645</v>
      </c>
      <c r="C549" s="2" t="s">
        <v>1110</v>
      </c>
      <c r="D549" s="2" t="s">
        <v>1111</v>
      </c>
      <c r="E549" s="2" t="s">
        <v>96</v>
      </c>
      <c r="F549" s="3">
        <v>5</v>
      </c>
      <c r="G549" s="3">
        <v>9</v>
      </c>
      <c r="H549" s="2" t="s">
        <v>1122</v>
      </c>
      <c r="I549" s="19">
        <v>2</v>
      </c>
      <c r="J549" s="34">
        <f t="shared" si="32"/>
        <v>1.7399999999999999E-2</v>
      </c>
      <c r="K549" s="34">
        <f t="shared" si="33"/>
        <v>0.03</v>
      </c>
      <c r="L549" s="34">
        <f t="shared" si="34"/>
        <v>0.12</v>
      </c>
      <c r="M549" s="20" t="s">
        <v>3902</v>
      </c>
      <c r="N549" s="20" t="s">
        <v>3898</v>
      </c>
      <c r="O549" s="20" t="s">
        <v>3892</v>
      </c>
      <c r="P549" s="20" t="s">
        <v>3899</v>
      </c>
      <c r="Q549" s="21">
        <v>5</v>
      </c>
      <c r="R549" s="21">
        <v>9</v>
      </c>
      <c r="S549" s="21">
        <v>2</v>
      </c>
      <c r="T549" s="22">
        <v>0.37</v>
      </c>
      <c r="U549" s="13">
        <f t="shared" si="35"/>
        <v>0.25</v>
      </c>
      <c r="V549" s="23">
        <v>45.32</v>
      </c>
      <c r="W549" s="23">
        <v>45.32</v>
      </c>
      <c r="X549" s="20" t="s">
        <v>3722</v>
      </c>
      <c r="Y549" s="24" t="s">
        <v>3713</v>
      </c>
      <c r="Z549" s="16">
        <v>43.32</v>
      </c>
      <c r="AA549" s="17">
        <v>2166</v>
      </c>
      <c r="AB549" s="25" t="s">
        <v>3714</v>
      </c>
    </row>
    <row r="550" spans="1:28" x14ac:dyDescent="0.45">
      <c r="A550" s="4" t="s">
        <v>1123</v>
      </c>
      <c r="B550" s="4" t="s">
        <v>5646</v>
      </c>
      <c r="C550" s="4" t="s">
        <v>1110</v>
      </c>
      <c r="D550" s="4" t="s">
        <v>1111</v>
      </c>
      <c r="E550" s="4" t="s">
        <v>96</v>
      </c>
      <c r="F550" s="5">
        <v>6.07</v>
      </c>
      <c r="G550" s="5">
        <v>9.6300000000000008</v>
      </c>
      <c r="H550" s="4" t="s">
        <v>1114</v>
      </c>
      <c r="I550" s="10">
        <v>2</v>
      </c>
      <c r="J550" s="34">
        <f t="shared" si="32"/>
        <v>1.7399999999999999E-2</v>
      </c>
      <c r="K550" s="34">
        <f t="shared" si="33"/>
        <v>0.03</v>
      </c>
      <c r="L550" s="34">
        <f t="shared" si="34"/>
        <v>0.12</v>
      </c>
      <c r="M550" s="11" t="s">
        <v>3903</v>
      </c>
      <c r="N550" s="11" t="s">
        <v>3891</v>
      </c>
      <c r="O550" s="11" t="s">
        <v>3892</v>
      </c>
      <c r="P550" s="11" t="s">
        <v>3893</v>
      </c>
      <c r="Q550" s="12">
        <v>6</v>
      </c>
      <c r="R550" s="12">
        <v>9.6</v>
      </c>
      <c r="S550" s="12">
        <v>1.8</v>
      </c>
      <c r="T550" s="13">
        <v>0.2</v>
      </c>
      <c r="U550" s="13">
        <f t="shared" si="35"/>
        <v>8.0000000000000016E-2</v>
      </c>
      <c r="V550" s="14">
        <v>24.5</v>
      </c>
      <c r="W550" s="14">
        <v>24.5</v>
      </c>
      <c r="X550" s="11">
        <v>3735</v>
      </c>
      <c r="Y550" s="15" t="s">
        <v>3713</v>
      </c>
      <c r="Z550" s="16">
        <v>22.5</v>
      </c>
      <c r="AA550" s="17">
        <v>1125</v>
      </c>
      <c r="AB550" s="18" t="s">
        <v>3904</v>
      </c>
    </row>
    <row r="551" spans="1:28" x14ac:dyDescent="0.45">
      <c r="A551" s="2" t="s">
        <v>1124</v>
      </c>
      <c r="B551" s="2" t="s">
        <v>5647</v>
      </c>
      <c r="C551" s="2" t="s">
        <v>1110</v>
      </c>
      <c r="D551" s="2" t="s">
        <v>1111</v>
      </c>
      <c r="E551" s="2" t="s">
        <v>96</v>
      </c>
      <c r="F551" s="3">
        <v>6.8</v>
      </c>
      <c r="G551" s="3">
        <v>10.6</v>
      </c>
      <c r="H551" s="2" t="s">
        <v>1112</v>
      </c>
      <c r="I551" s="19">
        <v>2</v>
      </c>
      <c r="J551" s="34">
        <f t="shared" si="32"/>
        <v>1.7399999999999999E-2</v>
      </c>
      <c r="K551" s="34">
        <f t="shared" si="33"/>
        <v>0.03</v>
      </c>
      <c r="L551" s="34">
        <f t="shared" si="34"/>
        <v>0.12</v>
      </c>
      <c r="M551" s="20" t="s">
        <v>3905</v>
      </c>
      <c r="N551" s="20" t="s">
        <v>3891</v>
      </c>
      <c r="O551" s="20" t="s">
        <v>3892</v>
      </c>
      <c r="P551" s="20" t="s">
        <v>3893</v>
      </c>
      <c r="Q551" s="21">
        <v>6.8</v>
      </c>
      <c r="R551" s="21">
        <v>10.6</v>
      </c>
      <c r="S551" s="21">
        <v>1.9</v>
      </c>
      <c r="T551" s="22">
        <v>0.2</v>
      </c>
      <c r="U551" s="13">
        <f t="shared" si="35"/>
        <v>8.0000000000000016E-2</v>
      </c>
      <c r="V551" s="23">
        <v>24.5</v>
      </c>
      <c r="W551" s="23">
        <v>24.5</v>
      </c>
      <c r="X551" s="20">
        <v>642</v>
      </c>
      <c r="Y551" s="24" t="s">
        <v>3713</v>
      </c>
      <c r="Z551" s="16">
        <v>22.5</v>
      </c>
      <c r="AA551" s="17">
        <v>1125</v>
      </c>
      <c r="AB551" s="25" t="s">
        <v>3714</v>
      </c>
    </row>
    <row r="552" spans="1:28" x14ac:dyDescent="0.45">
      <c r="A552" s="4" t="s">
        <v>1125</v>
      </c>
      <c r="B552" s="4" t="s">
        <v>5648</v>
      </c>
      <c r="C552" s="4" t="s">
        <v>1110</v>
      </c>
      <c r="D552" s="4" t="s">
        <v>1111</v>
      </c>
      <c r="E552" s="4" t="s">
        <v>96</v>
      </c>
      <c r="F552" s="5">
        <v>6</v>
      </c>
      <c r="G552" s="5">
        <v>10</v>
      </c>
      <c r="H552" s="4" t="s">
        <v>1122</v>
      </c>
      <c r="I552" s="10">
        <v>2</v>
      </c>
      <c r="J552" s="34">
        <f t="shared" si="32"/>
        <v>1.7399999999999999E-2</v>
      </c>
      <c r="K552" s="34">
        <f t="shared" si="33"/>
        <v>0.03</v>
      </c>
      <c r="L552" s="34">
        <f t="shared" si="34"/>
        <v>0.12</v>
      </c>
      <c r="M552" s="11" t="s">
        <v>3906</v>
      </c>
      <c r="N552" s="11" t="s">
        <v>3898</v>
      </c>
      <c r="O552" s="11" t="s">
        <v>3892</v>
      </c>
      <c r="P552" s="11" t="s">
        <v>3899</v>
      </c>
      <c r="Q552" s="12">
        <v>6</v>
      </c>
      <c r="R552" s="12">
        <v>10</v>
      </c>
      <c r="S552" s="12">
        <v>2</v>
      </c>
      <c r="T552" s="13">
        <v>3.81</v>
      </c>
      <c r="U552" s="13">
        <f t="shared" si="35"/>
        <v>3.69</v>
      </c>
      <c r="V552" s="14">
        <v>466.72</v>
      </c>
      <c r="W552" s="14">
        <v>466.72</v>
      </c>
      <c r="X552" s="11">
        <v>123</v>
      </c>
      <c r="Y552" s="15" t="s">
        <v>3713</v>
      </c>
      <c r="Z552" s="16">
        <v>464.72</v>
      </c>
      <c r="AA552" s="17">
        <v>23236</v>
      </c>
      <c r="AB552" s="18" t="s">
        <v>3714</v>
      </c>
    </row>
    <row r="553" spans="1:28" x14ac:dyDescent="0.45">
      <c r="A553" s="2" t="s">
        <v>1126</v>
      </c>
      <c r="B553" s="2" t="s">
        <v>5649</v>
      </c>
      <c r="C553" s="2" t="s">
        <v>1110</v>
      </c>
      <c r="D553" s="2" t="s">
        <v>1111</v>
      </c>
      <c r="E553" s="2" t="s">
        <v>96</v>
      </c>
      <c r="F553" s="3">
        <v>7.59</v>
      </c>
      <c r="G553" s="3">
        <v>12.83</v>
      </c>
      <c r="H553" s="2" t="s">
        <v>1127</v>
      </c>
      <c r="I553" s="19">
        <v>2</v>
      </c>
      <c r="J553" s="34">
        <f t="shared" si="32"/>
        <v>1.7399999999999999E-2</v>
      </c>
      <c r="K553" s="34">
        <f t="shared" si="33"/>
        <v>0.03</v>
      </c>
      <c r="L553" s="34">
        <f t="shared" si="34"/>
        <v>0.12</v>
      </c>
      <c r="M553" s="20" t="s">
        <v>3907</v>
      </c>
      <c r="N553" s="20" t="s">
        <v>3891</v>
      </c>
      <c r="O553" s="20" t="s">
        <v>3892</v>
      </c>
      <c r="P553" s="20" t="s">
        <v>3893</v>
      </c>
      <c r="Q553" s="21">
        <v>7.6</v>
      </c>
      <c r="R553" s="21">
        <v>12.4</v>
      </c>
      <c r="S553" s="21">
        <v>2.4</v>
      </c>
      <c r="T553" s="22">
        <v>0.2</v>
      </c>
      <c r="U553" s="13">
        <f t="shared" si="35"/>
        <v>8.0000000000000016E-2</v>
      </c>
      <c r="V553" s="23">
        <v>24.5</v>
      </c>
      <c r="W553" s="23">
        <v>24.5</v>
      </c>
      <c r="X553" s="20">
        <v>226</v>
      </c>
      <c r="Y553" s="24" t="s">
        <v>3713</v>
      </c>
      <c r="Z553" s="16">
        <v>22.5</v>
      </c>
      <c r="AA553" s="17">
        <v>1125</v>
      </c>
      <c r="AB553" s="25" t="s">
        <v>3908</v>
      </c>
    </row>
    <row r="554" spans="1:28" x14ac:dyDescent="0.45">
      <c r="A554" s="4" t="s">
        <v>1128</v>
      </c>
      <c r="B554" s="4" t="s">
        <v>5650</v>
      </c>
      <c r="C554" s="4" t="s">
        <v>1110</v>
      </c>
      <c r="D554" s="4" t="s">
        <v>1111</v>
      </c>
      <c r="E554" s="4" t="s">
        <v>96</v>
      </c>
      <c r="F554" s="5">
        <v>7.65</v>
      </c>
      <c r="G554" s="5">
        <v>11.21</v>
      </c>
      <c r="H554" s="4" t="s">
        <v>1114</v>
      </c>
      <c r="I554" s="10">
        <v>2</v>
      </c>
      <c r="J554" s="34">
        <f t="shared" si="32"/>
        <v>1.7399999999999999E-2</v>
      </c>
      <c r="K554" s="34">
        <f t="shared" si="33"/>
        <v>0.03</v>
      </c>
      <c r="L554" s="34">
        <f t="shared" si="34"/>
        <v>0.12</v>
      </c>
      <c r="M554" s="11" t="s">
        <v>3909</v>
      </c>
      <c r="N554" s="11" t="s">
        <v>3891</v>
      </c>
      <c r="O554" s="11" t="s">
        <v>3892</v>
      </c>
      <c r="P554" s="11" t="s">
        <v>3893</v>
      </c>
      <c r="Q554" s="12">
        <v>7.6</v>
      </c>
      <c r="R554" s="12">
        <v>11.2</v>
      </c>
      <c r="S554" s="12">
        <v>1.8</v>
      </c>
      <c r="T554" s="13">
        <v>0.21</v>
      </c>
      <c r="U554" s="13">
        <f t="shared" si="35"/>
        <v>0.09</v>
      </c>
      <c r="V554" s="14">
        <v>25.72</v>
      </c>
      <c r="W554" s="14">
        <v>25.72</v>
      </c>
      <c r="X554" s="11">
        <v>958</v>
      </c>
      <c r="Y554" s="15" t="s">
        <v>3713</v>
      </c>
      <c r="Z554" s="16">
        <v>23.72</v>
      </c>
      <c r="AA554" s="17">
        <v>1186</v>
      </c>
      <c r="AB554" s="18" t="s">
        <v>3910</v>
      </c>
    </row>
    <row r="555" spans="1:28" x14ac:dyDescent="0.45">
      <c r="A555" s="2" t="s">
        <v>1129</v>
      </c>
      <c r="B555" s="2" t="s">
        <v>5651</v>
      </c>
      <c r="C555" s="2" t="s">
        <v>1110</v>
      </c>
      <c r="D555" s="2" t="s">
        <v>1111</v>
      </c>
      <c r="E555" s="2" t="s">
        <v>96</v>
      </c>
      <c r="F555" s="3">
        <v>7.8</v>
      </c>
      <c r="G555" s="3">
        <v>11.6</v>
      </c>
      <c r="H555" s="2" t="s">
        <v>1112</v>
      </c>
      <c r="I555" s="19">
        <v>2</v>
      </c>
      <c r="J555" s="34">
        <f t="shared" si="32"/>
        <v>1.7399999999999999E-2</v>
      </c>
      <c r="K555" s="34">
        <f t="shared" si="33"/>
        <v>0.03</v>
      </c>
      <c r="L555" s="34">
        <f t="shared" si="34"/>
        <v>0.12</v>
      </c>
      <c r="M555" s="20" t="s">
        <v>3911</v>
      </c>
      <c r="N555" s="20" t="s">
        <v>3891</v>
      </c>
      <c r="O555" s="20" t="s">
        <v>3892</v>
      </c>
      <c r="P555" s="20" t="s">
        <v>3893</v>
      </c>
      <c r="Q555" s="21">
        <v>7.8</v>
      </c>
      <c r="R555" s="21">
        <v>11.6</v>
      </c>
      <c r="S555" s="21">
        <v>1.9</v>
      </c>
      <c r="T555" s="22">
        <v>0.2</v>
      </c>
      <c r="U555" s="13">
        <f t="shared" si="35"/>
        <v>8.0000000000000016E-2</v>
      </c>
      <c r="V555" s="23">
        <v>24.5</v>
      </c>
      <c r="W555" s="23">
        <v>24.5</v>
      </c>
      <c r="X555" s="20">
        <v>1910</v>
      </c>
      <c r="Y555" s="24" t="s">
        <v>3713</v>
      </c>
      <c r="Z555" s="16">
        <v>22.5</v>
      </c>
      <c r="AA555" s="17">
        <v>1125</v>
      </c>
      <c r="AB555" s="25" t="s">
        <v>3714</v>
      </c>
    </row>
    <row r="556" spans="1:28" x14ac:dyDescent="0.45">
      <c r="A556" s="4" t="s">
        <v>1130</v>
      </c>
      <c r="B556" s="37" t="s">
        <v>7345</v>
      </c>
      <c r="C556" s="4" t="s">
        <v>1110</v>
      </c>
      <c r="D556" s="4" t="s">
        <v>1111</v>
      </c>
      <c r="E556" s="4" t="s">
        <v>96</v>
      </c>
      <c r="F556" s="5">
        <v>7</v>
      </c>
      <c r="G556" s="5">
        <v>10</v>
      </c>
      <c r="H556" s="4" t="s">
        <v>1120</v>
      </c>
      <c r="I556" s="10">
        <v>2</v>
      </c>
      <c r="J556" s="34">
        <f t="shared" si="32"/>
        <v>1.7399999999999999E-2</v>
      </c>
      <c r="K556" s="34">
        <f t="shared" si="33"/>
        <v>0.03</v>
      </c>
      <c r="L556" s="34">
        <f t="shared" si="34"/>
        <v>0.12</v>
      </c>
      <c r="M556" s="11" t="s">
        <v>3912</v>
      </c>
      <c r="N556" s="11" t="s">
        <v>3913</v>
      </c>
      <c r="O556" s="11" t="s">
        <v>3892</v>
      </c>
      <c r="P556" s="11" t="s">
        <v>3914</v>
      </c>
      <c r="Q556" s="12">
        <v>7</v>
      </c>
      <c r="R556" s="12">
        <v>10</v>
      </c>
      <c r="S556" s="12">
        <v>1.5</v>
      </c>
      <c r="T556" s="13">
        <v>0.35</v>
      </c>
      <c r="U556" s="13">
        <f t="shared" si="35"/>
        <v>0.22999999999999998</v>
      </c>
      <c r="V556" s="14">
        <v>42.88</v>
      </c>
      <c r="W556" s="14">
        <v>42.88</v>
      </c>
      <c r="X556" s="11">
        <v>603</v>
      </c>
      <c r="Y556" s="15" t="s">
        <v>3713</v>
      </c>
      <c r="Z556" s="16">
        <v>40.880000000000003</v>
      </c>
      <c r="AA556" s="17">
        <v>2044</v>
      </c>
      <c r="AB556" s="18" t="s">
        <v>3714</v>
      </c>
    </row>
    <row r="557" spans="1:28" x14ac:dyDescent="0.45">
      <c r="A557" s="2" t="s">
        <v>1131</v>
      </c>
      <c r="B557" s="2" t="s">
        <v>5652</v>
      </c>
      <c r="C557" s="2" t="s">
        <v>1110</v>
      </c>
      <c r="D557" s="2" t="s">
        <v>1111</v>
      </c>
      <c r="E557" s="2" t="s">
        <v>96</v>
      </c>
      <c r="F557" s="3">
        <v>7</v>
      </c>
      <c r="G557" s="3">
        <v>11</v>
      </c>
      <c r="H557" s="2" t="s">
        <v>1122</v>
      </c>
      <c r="I557" s="19">
        <v>2</v>
      </c>
      <c r="J557" s="34">
        <f t="shared" si="32"/>
        <v>1.7399999999999999E-2</v>
      </c>
      <c r="K557" s="34">
        <f t="shared" si="33"/>
        <v>0.03</v>
      </c>
      <c r="L557" s="34">
        <f t="shared" si="34"/>
        <v>0.12</v>
      </c>
      <c r="M557" s="20" t="s">
        <v>3915</v>
      </c>
      <c r="N557" s="20" t="s">
        <v>3891</v>
      </c>
      <c r="O557" s="20" t="s">
        <v>3892</v>
      </c>
      <c r="P557" s="20" t="s">
        <v>3893</v>
      </c>
      <c r="Q557" s="21">
        <v>7</v>
      </c>
      <c r="R557" s="21">
        <v>11</v>
      </c>
      <c r="S557" s="21">
        <v>2</v>
      </c>
      <c r="T557" s="22">
        <v>0.2</v>
      </c>
      <c r="U557" s="13">
        <f t="shared" si="35"/>
        <v>8.0000000000000016E-2</v>
      </c>
      <c r="V557" s="23">
        <v>24.5</v>
      </c>
      <c r="W557" s="23">
        <v>24.5</v>
      </c>
      <c r="X557" s="20">
        <v>620</v>
      </c>
      <c r="Y557" s="24" t="s">
        <v>3713</v>
      </c>
      <c r="Z557" s="16">
        <v>22.5</v>
      </c>
      <c r="AA557" s="17">
        <v>1125</v>
      </c>
      <c r="AB557" s="25" t="s">
        <v>3714</v>
      </c>
    </row>
    <row r="558" spans="1:28" x14ac:dyDescent="0.45">
      <c r="A558" s="4" t="s">
        <v>1132</v>
      </c>
      <c r="B558" s="4" t="s">
        <v>5653</v>
      </c>
      <c r="C558" s="4" t="s">
        <v>1110</v>
      </c>
      <c r="D558" s="4" t="s">
        <v>1111</v>
      </c>
      <c r="E558" s="4" t="s">
        <v>96</v>
      </c>
      <c r="F558" s="5">
        <v>8.8000000000000007</v>
      </c>
      <c r="G558" s="5">
        <v>12.6</v>
      </c>
      <c r="H558" s="4" t="s">
        <v>1112</v>
      </c>
      <c r="I558" s="10">
        <v>2</v>
      </c>
      <c r="J558" s="34">
        <f t="shared" si="32"/>
        <v>1.7399999999999999E-2</v>
      </c>
      <c r="K558" s="34">
        <f t="shared" si="33"/>
        <v>0.03</v>
      </c>
      <c r="L558" s="34">
        <f t="shared" si="34"/>
        <v>0.12</v>
      </c>
      <c r="M558" s="11" t="s">
        <v>3916</v>
      </c>
      <c r="N558" s="11" t="s">
        <v>3891</v>
      </c>
      <c r="O558" s="11" t="s">
        <v>3892</v>
      </c>
      <c r="P558" s="11" t="s">
        <v>3893</v>
      </c>
      <c r="Q558" s="12">
        <v>8.8000000000000007</v>
      </c>
      <c r="R558" s="12">
        <v>12.6</v>
      </c>
      <c r="S558" s="12">
        <v>1.9</v>
      </c>
      <c r="T558" s="13">
        <v>0.2</v>
      </c>
      <c r="U558" s="13">
        <f t="shared" si="35"/>
        <v>8.0000000000000016E-2</v>
      </c>
      <c r="V558" s="14">
        <v>24.5</v>
      </c>
      <c r="W558" s="14">
        <v>24.5</v>
      </c>
      <c r="X558" s="11">
        <v>1264</v>
      </c>
      <c r="Y558" s="15" t="s">
        <v>3713</v>
      </c>
      <c r="Z558" s="16">
        <v>22.5</v>
      </c>
      <c r="AA558" s="17">
        <v>1125</v>
      </c>
      <c r="AB558" s="18" t="s">
        <v>3714</v>
      </c>
    </row>
    <row r="559" spans="1:28" x14ac:dyDescent="0.45">
      <c r="A559" s="2" t="s">
        <v>1133</v>
      </c>
      <c r="B559" s="2" t="s">
        <v>5654</v>
      </c>
      <c r="C559" s="2" t="s">
        <v>1110</v>
      </c>
      <c r="D559" s="2" t="s">
        <v>1111</v>
      </c>
      <c r="E559" s="2" t="s">
        <v>96</v>
      </c>
      <c r="F559" s="3">
        <v>8</v>
      </c>
      <c r="G559" s="3">
        <v>12</v>
      </c>
      <c r="H559" s="2" t="s">
        <v>1122</v>
      </c>
      <c r="I559" s="19">
        <v>2</v>
      </c>
      <c r="J559" s="34">
        <f t="shared" si="32"/>
        <v>1.7399999999999999E-2</v>
      </c>
      <c r="K559" s="34">
        <f t="shared" si="33"/>
        <v>0.03</v>
      </c>
      <c r="L559" s="34">
        <f t="shared" si="34"/>
        <v>0.12</v>
      </c>
      <c r="M559" s="20" t="s">
        <v>3917</v>
      </c>
      <c r="N559" s="20" t="s">
        <v>3898</v>
      </c>
      <c r="O559" s="20" t="s">
        <v>3892</v>
      </c>
      <c r="P559" s="20" t="s">
        <v>3899</v>
      </c>
      <c r="Q559" s="21">
        <v>8</v>
      </c>
      <c r="R559" s="21">
        <v>12</v>
      </c>
      <c r="S559" s="21">
        <v>2</v>
      </c>
      <c r="T559" s="22">
        <v>0.2</v>
      </c>
      <c r="U559" s="13">
        <f t="shared" si="35"/>
        <v>8.0000000000000016E-2</v>
      </c>
      <c r="V559" s="23">
        <v>24.5</v>
      </c>
      <c r="W559" s="23">
        <v>24.5</v>
      </c>
      <c r="X559" s="20">
        <v>1537</v>
      </c>
      <c r="Y559" s="24" t="s">
        <v>3713</v>
      </c>
      <c r="Z559" s="16">
        <v>22.5</v>
      </c>
      <c r="AA559" s="17">
        <v>1125</v>
      </c>
      <c r="AB559" s="25" t="s">
        <v>3714</v>
      </c>
    </row>
    <row r="560" spans="1:28" x14ac:dyDescent="0.45">
      <c r="A560" s="4" t="s">
        <v>1134</v>
      </c>
      <c r="B560" s="4" t="s">
        <v>5655</v>
      </c>
      <c r="C560" s="4" t="s">
        <v>1110</v>
      </c>
      <c r="D560" s="4" t="s">
        <v>1111</v>
      </c>
      <c r="E560" s="4" t="s">
        <v>96</v>
      </c>
      <c r="F560" s="5">
        <v>8</v>
      </c>
      <c r="G560" s="5">
        <v>13</v>
      </c>
      <c r="H560" s="4" t="s">
        <v>1135</v>
      </c>
      <c r="I560" s="10">
        <v>2</v>
      </c>
      <c r="J560" s="34">
        <f t="shared" si="32"/>
        <v>1.7399999999999999E-2</v>
      </c>
      <c r="K560" s="34">
        <f t="shared" si="33"/>
        <v>0.03</v>
      </c>
      <c r="L560" s="34">
        <f t="shared" si="34"/>
        <v>0.12</v>
      </c>
      <c r="M560" s="11" t="s">
        <v>3918</v>
      </c>
      <c r="N560" s="11" t="s">
        <v>3898</v>
      </c>
      <c r="O560" s="11" t="s">
        <v>3892</v>
      </c>
      <c r="P560" s="11" t="s">
        <v>3899</v>
      </c>
      <c r="Q560" s="12">
        <v>8</v>
      </c>
      <c r="R560" s="12">
        <v>13</v>
      </c>
      <c r="S560" s="12">
        <v>2.5</v>
      </c>
      <c r="T560" s="13">
        <v>0.32</v>
      </c>
      <c r="U560" s="13">
        <f t="shared" si="35"/>
        <v>0.2</v>
      </c>
      <c r="V560" s="14">
        <v>39.200000000000003</v>
      </c>
      <c r="W560" s="14">
        <v>39.200000000000003</v>
      </c>
      <c r="X560" s="11">
        <v>85</v>
      </c>
      <c r="Y560" s="15" t="s">
        <v>3713</v>
      </c>
      <c r="Z560" s="16">
        <v>37.200000000000003</v>
      </c>
      <c r="AA560" s="17">
        <v>1860</v>
      </c>
      <c r="AB560" s="18" t="s">
        <v>3714</v>
      </c>
    </row>
    <row r="561" spans="1:28" x14ac:dyDescent="0.45">
      <c r="A561" s="2" t="s">
        <v>1136</v>
      </c>
      <c r="B561" s="2" t="s">
        <v>5656</v>
      </c>
      <c r="C561" s="2" t="s">
        <v>1110</v>
      </c>
      <c r="D561" s="2" t="s">
        <v>1111</v>
      </c>
      <c r="E561" s="2" t="s">
        <v>96</v>
      </c>
      <c r="F561" s="3">
        <v>9.19</v>
      </c>
      <c r="G561" s="3">
        <v>14.43</v>
      </c>
      <c r="H561" s="2" t="s">
        <v>1127</v>
      </c>
      <c r="I561" s="19">
        <v>2</v>
      </c>
      <c r="J561" s="34">
        <f t="shared" si="32"/>
        <v>1.7399999999999999E-2</v>
      </c>
      <c r="K561" s="34">
        <f t="shared" si="33"/>
        <v>0.03</v>
      </c>
      <c r="L561" s="34">
        <f t="shared" si="34"/>
        <v>0.12</v>
      </c>
      <c r="M561" s="20" t="s">
        <v>3919</v>
      </c>
      <c r="N561" s="20" t="s">
        <v>3898</v>
      </c>
      <c r="O561" s="20" t="s">
        <v>3892</v>
      </c>
      <c r="P561" s="20" t="s">
        <v>3899</v>
      </c>
      <c r="Q561" s="21">
        <v>9.1440000000000001</v>
      </c>
      <c r="R561" s="21">
        <v>14.478</v>
      </c>
      <c r="S561" s="21">
        <v>2.54</v>
      </c>
      <c r="T561" s="22">
        <v>0.2</v>
      </c>
      <c r="U561" s="13">
        <f t="shared" si="35"/>
        <v>8.0000000000000016E-2</v>
      </c>
      <c r="V561" s="23">
        <v>24.5</v>
      </c>
      <c r="W561" s="23">
        <v>24.5</v>
      </c>
      <c r="X561" s="20" t="s">
        <v>3722</v>
      </c>
      <c r="Y561" s="24" t="s">
        <v>3737</v>
      </c>
      <c r="Z561" s="16">
        <v>22.5</v>
      </c>
      <c r="AA561" s="17">
        <v>1125</v>
      </c>
      <c r="AB561" s="25" t="s">
        <v>3920</v>
      </c>
    </row>
    <row r="562" spans="1:28" x14ac:dyDescent="0.45">
      <c r="A562" s="4" t="s">
        <v>1137</v>
      </c>
      <c r="B562" s="4" t="s">
        <v>5657</v>
      </c>
      <c r="C562" s="4" t="s">
        <v>1110</v>
      </c>
      <c r="D562" s="4" t="s">
        <v>1111</v>
      </c>
      <c r="E562" s="4" t="s">
        <v>96</v>
      </c>
      <c r="F562" s="5">
        <v>9.25</v>
      </c>
      <c r="G562" s="5">
        <v>12.81</v>
      </c>
      <c r="H562" s="4" t="s">
        <v>1114</v>
      </c>
      <c r="I562" s="10">
        <v>2</v>
      </c>
      <c r="J562" s="34">
        <f t="shared" si="32"/>
        <v>1.7399999999999999E-2</v>
      </c>
      <c r="K562" s="34">
        <f t="shared" si="33"/>
        <v>0.03</v>
      </c>
      <c r="L562" s="34">
        <f t="shared" si="34"/>
        <v>0.12</v>
      </c>
      <c r="M562" s="11" t="s">
        <v>3921</v>
      </c>
      <c r="N562" s="11" t="s">
        <v>3891</v>
      </c>
      <c r="O562" s="11" t="s">
        <v>3892</v>
      </c>
      <c r="P562" s="11" t="s">
        <v>3893</v>
      </c>
      <c r="Q562" s="12">
        <v>9.5</v>
      </c>
      <c r="R562" s="12">
        <v>12.7</v>
      </c>
      <c r="S562" s="12">
        <v>1.6</v>
      </c>
      <c r="T562" s="13">
        <v>0.2</v>
      </c>
      <c r="U562" s="13">
        <f t="shared" si="35"/>
        <v>8.0000000000000016E-2</v>
      </c>
      <c r="V562" s="14">
        <v>24.5</v>
      </c>
      <c r="W562" s="14">
        <v>24.5</v>
      </c>
      <c r="X562" s="11">
        <v>87</v>
      </c>
      <c r="Y562" s="15" t="s">
        <v>3713</v>
      </c>
      <c r="Z562" s="16">
        <v>22.5</v>
      </c>
      <c r="AA562" s="17">
        <v>1125</v>
      </c>
      <c r="AB562" s="18" t="s">
        <v>3922</v>
      </c>
    </row>
    <row r="563" spans="1:28" x14ac:dyDescent="0.45">
      <c r="A563" s="2" t="s">
        <v>1138</v>
      </c>
      <c r="B563" s="2" t="s">
        <v>5658</v>
      </c>
      <c r="C563" s="2" t="s">
        <v>1110</v>
      </c>
      <c r="D563" s="2" t="s">
        <v>1111</v>
      </c>
      <c r="E563" s="2" t="s">
        <v>96</v>
      </c>
      <c r="F563" s="3">
        <v>9.8000000000000007</v>
      </c>
      <c r="G563" s="3">
        <v>13.6</v>
      </c>
      <c r="H563" s="2" t="s">
        <v>1112</v>
      </c>
      <c r="I563" s="19">
        <v>2</v>
      </c>
      <c r="J563" s="34">
        <f t="shared" si="32"/>
        <v>1.7399999999999999E-2</v>
      </c>
      <c r="K563" s="34">
        <f t="shared" si="33"/>
        <v>0.03</v>
      </c>
      <c r="L563" s="34">
        <f t="shared" si="34"/>
        <v>0.12</v>
      </c>
      <c r="M563" s="20" t="s">
        <v>3923</v>
      </c>
      <c r="N563" s="20" t="s">
        <v>3913</v>
      </c>
      <c r="O563" s="20" t="s">
        <v>3892</v>
      </c>
      <c r="P563" s="20" t="s">
        <v>3914</v>
      </c>
      <c r="Q563" s="21">
        <v>9.8000000000000007</v>
      </c>
      <c r="R563" s="21">
        <v>13.6</v>
      </c>
      <c r="S563" s="21">
        <v>1.9</v>
      </c>
      <c r="T563" s="22">
        <v>0.28999999999999998</v>
      </c>
      <c r="U563" s="13">
        <f t="shared" si="35"/>
        <v>0.16999999999999998</v>
      </c>
      <c r="V563" s="23">
        <v>35.520000000000003</v>
      </c>
      <c r="W563" s="23">
        <v>35.520000000000003</v>
      </c>
      <c r="X563" s="20">
        <v>4160</v>
      </c>
      <c r="Y563" s="24" t="s">
        <v>3713</v>
      </c>
      <c r="Z563" s="16">
        <v>33.520000000000003</v>
      </c>
      <c r="AA563" s="17">
        <v>1676</v>
      </c>
      <c r="AB563" s="25" t="s">
        <v>3714</v>
      </c>
    </row>
    <row r="564" spans="1:28" x14ac:dyDescent="0.45">
      <c r="A564" s="4" t="s">
        <v>1139</v>
      </c>
      <c r="B564" s="4" t="s">
        <v>5659</v>
      </c>
      <c r="C564" s="4" t="s">
        <v>1110</v>
      </c>
      <c r="D564" s="4" t="s">
        <v>1111</v>
      </c>
      <c r="E564" s="4" t="s">
        <v>96</v>
      </c>
      <c r="F564" s="5">
        <v>9.8000000000000007</v>
      </c>
      <c r="G564" s="5">
        <v>14.6</v>
      </c>
      <c r="H564" s="4" t="s">
        <v>1140</v>
      </c>
      <c r="I564" s="10">
        <v>2</v>
      </c>
      <c r="J564" s="34">
        <f t="shared" si="32"/>
        <v>1.7399999999999999E-2</v>
      </c>
      <c r="K564" s="34">
        <f t="shared" si="33"/>
        <v>0.03</v>
      </c>
      <c r="L564" s="34">
        <f t="shared" si="34"/>
        <v>0.12</v>
      </c>
      <c r="M564" s="11" t="s">
        <v>3924</v>
      </c>
      <c r="N564" s="11" t="s">
        <v>3925</v>
      </c>
      <c r="O564" s="11" t="s">
        <v>3892</v>
      </c>
      <c r="P564" s="11" t="s">
        <v>3926</v>
      </c>
      <c r="Q564" s="12">
        <v>9.8000000000000007</v>
      </c>
      <c r="R564" s="12">
        <v>14.6</v>
      </c>
      <c r="S564" s="12">
        <v>2.4</v>
      </c>
      <c r="T564" s="13">
        <v>0.71</v>
      </c>
      <c r="U564" s="13">
        <f t="shared" si="35"/>
        <v>0.59</v>
      </c>
      <c r="V564" s="14">
        <v>86.98</v>
      </c>
      <c r="W564" s="14">
        <v>86.98</v>
      </c>
      <c r="X564" s="11">
        <v>1485</v>
      </c>
      <c r="Y564" s="15" t="s">
        <v>3713</v>
      </c>
      <c r="Z564" s="16">
        <v>84.98</v>
      </c>
      <c r="AA564" s="17">
        <v>4249</v>
      </c>
      <c r="AB564" s="18" t="s">
        <v>3714</v>
      </c>
    </row>
    <row r="565" spans="1:28" x14ac:dyDescent="0.45">
      <c r="A565" s="2" t="s">
        <v>1141</v>
      </c>
      <c r="B565" s="2" t="s">
        <v>5660</v>
      </c>
      <c r="C565" s="2" t="s">
        <v>1110</v>
      </c>
      <c r="D565" s="2" t="s">
        <v>1111</v>
      </c>
      <c r="E565" s="2" t="s">
        <v>96</v>
      </c>
      <c r="F565" s="3">
        <v>10.77</v>
      </c>
      <c r="G565" s="3">
        <v>16.010000000000002</v>
      </c>
      <c r="H565" s="2" t="s">
        <v>1127</v>
      </c>
      <c r="I565" s="19">
        <v>2</v>
      </c>
      <c r="J565" s="34">
        <f t="shared" si="32"/>
        <v>1.7399999999999999E-2</v>
      </c>
      <c r="K565" s="34">
        <f t="shared" si="33"/>
        <v>0.03</v>
      </c>
      <c r="L565" s="34">
        <f t="shared" si="34"/>
        <v>0.12</v>
      </c>
      <c r="M565" s="20" t="s">
        <v>3927</v>
      </c>
      <c r="N565" s="20" t="s">
        <v>3891</v>
      </c>
      <c r="O565" s="20" t="s">
        <v>3892</v>
      </c>
      <c r="P565" s="20" t="s">
        <v>3893</v>
      </c>
      <c r="Q565" s="21">
        <v>11</v>
      </c>
      <c r="R565" s="21">
        <v>16</v>
      </c>
      <c r="S565" s="21">
        <v>2.5</v>
      </c>
      <c r="T565" s="22">
        <v>0.2</v>
      </c>
      <c r="U565" s="13">
        <f t="shared" si="35"/>
        <v>8.0000000000000016E-2</v>
      </c>
      <c r="V565" s="23">
        <v>24.5</v>
      </c>
      <c r="W565" s="23">
        <v>24.5</v>
      </c>
      <c r="X565" s="20">
        <v>747</v>
      </c>
      <c r="Y565" s="24" t="s">
        <v>3713</v>
      </c>
      <c r="Z565" s="16">
        <v>22.5</v>
      </c>
      <c r="AA565" s="17">
        <v>1125</v>
      </c>
      <c r="AB565" s="25" t="s">
        <v>3928</v>
      </c>
    </row>
    <row r="566" spans="1:28" x14ac:dyDescent="0.45">
      <c r="A566" s="4" t="s">
        <v>1142</v>
      </c>
      <c r="B566" s="4" t="s">
        <v>5661</v>
      </c>
      <c r="C566" s="4" t="s">
        <v>1110</v>
      </c>
      <c r="D566" s="4" t="s">
        <v>1111</v>
      </c>
      <c r="E566" s="4" t="s">
        <v>96</v>
      </c>
      <c r="F566" s="5">
        <v>10.82</v>
      </c>
      <c r="G566" s="5">
        <v>14.38</v>
      </c>
      <c r="H566" s="4" t="s">
        <v>1114</v>
      </c>
      <c r="I566" s="10">
        <v>2</v>
      </c>
      <c r="J566" s="34">
        <f t="shared" si="32"/>
        <v>1.7399999999999999E-2</v>
      </c>
      <c r="K566" s="34">
        <f t="shared" si="33"/>
        <v>0.03</v>
      </c>
      <c r="L566" s="34">
        <f t="shared" si="34"/>
        <v>0.12</v>
      </c>
      <c r="M566" s="11" t="s">
        <v>3929</v>
      </c>
      <c r="N566" s="11" t="s">
        <v>3891</v>
      </c>
      <c r="O566" s="11" t="s">
        <v>3892</v>
      </c>
      <c r="P566" s="11" t="s">
        <v>3893</v>
      </c>
      <c r="Q566" s="12">
        <v>11.1</v>
      </c>
      <c r="R566" s="12">
        <v>14.3</v>
      </c>
      <c r="S566" s="12">
        <v>1.6</v>
      </c>
      <c r="T566" s="13">
        <v>0.2</v>
      </c>
      <c r="U566" s="13">
        <f t="shared" si="35"/>
        <v>8.0000000000000016E-2</v>
      </c>
      <c r="V566" s="14">
        <v>24.5</v>
      </c>
      <c r="W566" s="14">
        <v>24.5</v>
      </c>
      <c r="X566" s="11">
        <v>527</v>
      </c>
      <c r="Y566" s="15" t="s">
        <v>3713</v>
      </c>
      <c r="Z566" s="16">
        <v>22.5</v>
      </c>
      <c r="AA566" s="17">
        <v>1125</v>
      </c>
      <c r="AB566" s="18" t="s">
        <v>3930</v>
      </c>
    </row>
    <row r="567" spans="1:28" x14ac:dyDescent="0.45">
      <c r="A567" s="2" t="s">
        <v>1143</v>
      </c>
      <c r="B567" s="2" t="s">
        <v>5662</v>
      </c>
      <c r="C567" s="2" t="s">
        <v>1110</v>
      </c>
      <c r="D567" s="2" t="s">
        <v>1111</v>
      </c>
      <c r="E567" s="2" t="s">
        <v>96</v>
      </c>
      <c r="F567" s="3">
        <v>10.8</v>
      </c>
      <c r="G567" s="3">
        <v>15.6</v>
      </c>
      <c r="H567" s="2" t="s">
        <v>1140</v>
      </c>
      <c r="I567" s="19">
        <v>2</v>
      </c>
      <c r="J567" s="34">
        <f t="shared" si="32"/>
        <v>1.7399999999999999E-2</v>
      </c>
      <c r="K567" s="34">
        <f t="shared" si="33"/>
        <v>0.03</v>
      </c>
      <c r="L567" s="34">
        <f t="shared" si="34"/>
        <v>0.12</v>
      </c>
      <c r="M567" s="20" t="s">
        <v>3931</v>
      </c>
      <c r="N567" s="20" t="s">
        <v>3891</v>
      </c>
      <c r="O567" s="20" t="s">
        <v>3892</v>
      </c>
      <c r="P567" s="20" t="s">
        <v>3893</v>
      </c>
      <c r="Q567" s="21">
        <v>10.8</v>
      </c>
      <c r="R567" s="21">
        <v>15.6</v>
      </c>
      <c r="S567" s="21">
        <v>2.4</v>
      </c>
      <c r="T567" s="22">
        <v>0.2</v>
      </c>
      <c r="U567" s="13">
        <f t="shared" si="35"/>
        <v>8.0000000000000016E-2</v>
      </c>
      <c r="V567" s="23">
        <v>24.5</v>
      </c>
      <c r="W567" s="23">
        <v>24.5</v>
      </c>
      <c r="X567" s="20">
        <v>1396</v>
      </c>
      <c r="Y567" s="24" t="s">
        <v>3713</v>
      </c>
      <c r="Z567" s="16">
        <v>22.5</v>
      </c>
      <c r="AA567" s="17">
        <v>1125</v>
      </c>
      <c r="AB567" s="25" t="s">
        <v>3714</v>
      </c>
    </row>
    <row r="568" spans="1:28" x14ac:dyDescent="0.45">
      <c r="A568" s="4" t="s">
        <v>1144</v>
      </c>
      <c r="B568" s="4" t="s">
        <v>5663</v>
      </c>
      <c r="C568" s="4" t="s">
        <v>1110</v>
      </c>
      <c r="D568" s="4" t="s">
        <v>1111</v>
      </c>
      <c r="E568" s="4" t="s">
        <v>96</v>
      </c>
      <c r="F568" s="5">
        <v>10</v>
      </c>
      <c r="G568" s="5">
        <v>15</v>
      </c>
      <c r="H568" s="4" t="s">
        <v>1135</v>
      </c>
      <c r="I568" s="10">
        <v>2</v>
      </c>
      <c r="J568" s="34">
        <f t="shared" si="32"/>
        <v>1.7399999999999999E-2</v>
      </c>
      <c r="K568" s="34">
        <f t="shared" si="33"/>
        <v>0.03</v>
      </c>
      <c r="L568" s="34">
        <f t="shared" si="34"/>
        <v>0.12</v>
      </c>
      <c r="M568" s="11" t="s">
        <v>3932</v>
      </c>
      <c r="N568" s="11" t="s">
        <v>3898</v>
      </c>
      <c r="O568" s="11" t="s">
        <v>3892</v>
      </c>
      <c r="P568" s="11" t="s">
        <v>3899</v>
      </c>
      <c r="Q568" s="12">
        <v>10</v>
      </c>
      <c r="R568" s="12">
        <v>15</v>
      </c>
      <c r="S568" s="12">
        <v>2.5</v>
      </c>
      <c r="T568" s="13">
        <v>0.25</v>
      </c>
      <c r="U568" s="13">
        <f t="shared" si="35"/>
        <v>0.13</v>
      </c>
      <c r="V568" s="14">
        <v>30.62</v>
      </c>
      <c r="W568" s="14">
        <v>30.62</v>
      </c>
      <c r="X568" s="11">
        <v>57</v>
      </c>
      <c r="Y568" s="15" t="s">
        <v>3713</v>
      </c>
      <c r="Z568" s="16">
        <v>28.62</v>
      </c>
      <c r="AA568" s="17">
        <v>1431</v>
      </c>
      <c r="AB568" s="18" t="s">
        <v>3714</v>
      </c>
    </row>
    <row r="569" spans="1:28" x14ac:dyDescent="0.45">
      <c r="A569" s="2" t="s">
        <v>1145</v>
      </c>
      <c r="B569" s="2" t="s">
        <v>5664</v>
      </c>
      <c r="C569" s="2" t="s">
        <v>1110</v>
      </c>
      <c r="D569" s="2" t="s">
        <v>1111</v>
      </c>
      <c r="E569" s="2" t="s">
        <v>96</v>
      </c>
      <c r="F569" s="3">
        <v>12.37</v>
      </c>
      <c r="G569" s="3">
        <v>17.61</v>
      </c>
      <c r="H569" s="2" t="s">
        <v>1127</v>
      </c>
      <c r="I569" s="19">
        <v>2</v>
      </c>
      <c r="J569" s="34">
        <f t="shared" si="32"/>
        <v>1.7399999999999999E-2</v>
      </c>
      <c r="K569" s="34">
        <f t="shared" si="33"/>
        <v>0.03</v>
      </c>
      <c r="L569" s="34">
        <f t="shared" si="34"/>
        <v>0.12</v>
      </c>
      <c r="M569" s="20" t="s">
        <v>3933</v>
      </c>
      <c r="N569" s="20" t="s">
        <v>3891</v>
      </c>
      <c r="O569" s="20" t="s">
        <v>3892</v>
      </c>
      <c r="P569" s="20" t="s">
        <v>3893</v>
      </c>
      <c r="Q569" s="21">
        <v>12.5</v>
      </c>
      <c r="R569" s="21">
        <v>17.5</v>
      </c>
      <c r="S569" s="21">
        <v>2.5</v>
      </c>
      <c r="T569" s="22">
        <v>0.2</v>
      </c>
      <c r="U569" s="13">
        <f t="shared" si="35"/>
        <v>8.0000000000000016E-2</v>
      </c>
      <c r="V569" s="23">
        <v>24.5</v>
      </c>
      <c r="W569" s="23">
        <v>24.5</v>
      </c>
      <c r="X569" s="20">
        <v>547</v>
      </c>
      <c r="Y569" s="24" t="s">
        <v>3713</v>
      </c>
      <c r="Z569" s="16">
        <v>22.5</v>
      </c>
      <c r="AA569" s="17">
        <v>1125</v>
      </c>
      <c r="AB569" s="25" t="s">
        <v>3934</v>
      </c>
    </row>
    <row r="570" spans="1:28" x14ac:dyDescent="0.45">
      <c r="A570" s="4" t="s">
        <v>1146</v>
      </c>
      <c r="B570" s="4" t="s">
        <v>5665</v>
      </c>
      <c r="C570" s="4" t="s">
        <v>1110</v>
      </c>
      <c r="D570" s="4" t="s">
        <v>1111</v>
      </c>
      <c r="E570" s="4" t="s">
        <v>96</v>
      </c>
      <c r="F570" s="5">
        <v>12.42</v>
      </c>
      <c r="G570" s="5">
        <v>15.98</v>
      </c>
      <c r="H570" s="4" t="s">
        <v>1114</v>
      </c>
      <c r="I570" s="10">
        <v>2</v>
      </c>
      <c r="J570" s="34">
        <f t="shared" si="32"/>
        <v>1.7399999999999999E-2</v>
      </c>
      <c r="K570" s="34">
        <f t="shared" si="33"/>
        <v>0.03</v>
      </c>
      <c r="L570" s="34">
        <f t="shared" si="34"/>
        <v>0.12</v>
      </c>
      <c r="M570" s="11" t="s">
        <v>3935</v>
      </c>
      <c r="N570" s="11" t="s">
        <v>3891</v>
      </c>
      <c r="O570" s="11" t="s">
        <v>3892</v>
      </c>
      <c r="P570" s="11" t="s">
        <v>3893</v>
      </c>
      <c r="Q570" s="12">
        <v>12.5</v>
      </c>
      <c r="R570" s="12">
        <v>16.100000000000001</v>
      </c>
      <c r="S570" s="12">
        <v>1.8</v>
      </c>
      <c r="T570" s="13">
        <v>0.2</v>
      </c>
      <c r="U570" s="13">
        <f t="shared" si="35"/>
        <v>8.0000000000000016E-2</v>
      </c>
      <c r="V570" s="14">
        <v>24.5</v>
      </c>
      <c r="W570" s="14">
        <v>24.5</v>
      </c>
      <c r="X570" s="11">
        <v>2136</v>
      </c>
      <c r="Y570" s="15" t="s">
        <v>3713</v>
      </c>
      <c r="Z570" s="16">
        <v>22.5</v>
      </c>
      <c r="AA570" s="17">
        <v>1125</v>
      </c>
      <c r="AB570" s="18" t="s">
        <v>3936</v>
      </c>
    </row>
    <row r="571" spans="1:28" x14ac:dyDescent="0.45">
      <c r="A571" s="2" t="s">
        <v>1147</v>
      </c>
      <c r="B571" s="2" t="s">
        <v>5666</v>
      </c>
      <c r="C571" s="2" t="s">
        <v>1110</v>
      </c>
      <c r="D571" s="2" t="s">
        <v>1111</v>
      </c>
      <c r="E571" s="2" t="s">
        <v>96</v>
      </c>
      <c r="F571" s="3">
        <v>12</v>
      </c>
      <c r="G571" s="3">
        <v>16</v>
      </c>
      <c r="H571" s="2" t="s">
        <v>1122</v>
      </c>
      <c r="I571" s="19">
        <v>2</v>
      </c>
      <c r="J571" s="34">
        <f t="shared" si="32"/>
        <v>1.7399999999999999E-2</v>
      </c>
      <c r="K571" s="34">
        <f t="shared" si="33"/>
        <v>0.03</v>
      </c>
      <c r="L571" s="34">
        <f t="shared" si="34"/>
        <v>0.12</v>
      </c>
      <c r="M571" s="20" t="s">
        <v>3937</v>
      </c>
      <c r="N571" s="20" t="s">
        <v>3898</v>
      </c>
      <c r="O571" s="20" t="s">
        <v>3892</v>
      </c>
      <c r="P571" s="20" t="s">
        <v>3899</v>
      </c>
      <c r="Q571" s="21">
        <v>12</v>
      </c>
      <c r="R571" s="21">
        <v>16</v>
      </c>
      <c r="S571" s="21">
        <v>2</v>
      </c>
      <c r="T571" s="22">
        <v>0.2</v>
      </c>
      <c r="U571" s="13">
        <f t="shared" si="35"/>
        <v>8.0000000000000016E-2</v>
      </c>
      <c r="V571" s="23">
        <v>24.5</v>
      </c>
      <c r="W571" s="23">
        <v>24.5</v>
      </c>
      <c r="X571" s="20">
        <v>128</v>
      </c>
      <c r="Y571" s="24" t="s">
        <v>3713</v>
      </c>
      <c r="Z571" s="16">
        <v>22.5</v>
      </c>
      <c r="AA571" s="17">
        <v>1125</v>
      </c>
      <c r="AB571" s="25" t="s">
        <v>3714</v>
      </c>
    </row>
    <row r="572" spans="1:28" x14ac:dyDescent="0.45">
      <c r="A572" s="4" t="s">
        <v>1148</v>
      </c>
      <c r="B572" s="4" t="s">
        <v>5667</v>
      </c>
      <c r="C572" s="4" t="s">
        <v>1110</v>
      </c>
      <c r="D572" s="4" t="s">
        <v>1111</v>
      </c>
      <c r="E572" s="4" t="s">
        <v>96</v>
      </c>
      <c r="F572" s="5">
        <v>12</v>
      </c>
      <c r="G572" s="5">
        <v>18</v>
      </c>
      <c r="H572" s="4" t="s">
        <v>1149</v>
      </c>
      <c r="I572" s="10">
        <v>3</v>
      </c>
      <c r="J572" s="34">
        <f t="shared" si="32"/>
        <v>2.6099999999999998E-2</v>
      </c>
      <c r="K572" s="34">
        <f t="shared" si="33"/>
        <v>0.04</v>
      </c>
      <c r="L572" s="34">
        <f t="shared" si="34"/>
        <v>0.16</v>
      </c>
      <c r="M572" s="11" t="s">
        <v>3938</v>
      </c>
      <c r="N572" s="11" t="s">
        <v>3891</v>
      </c>
      <c r="O572" s="11" t="s">
        <v>3892</v>
      </c>
      <c r="P572" s="11" t="s">
        <v>3893</v>
      </c>
      <c r="Q572" s="12">
        <v>12</v>
      </c>
      <c r="R572" s="12">
        <v>18</v>
      </c>
      <c r="S572" s="12">
        <v>3</v>
      </c>
      <c r="T572" s="13">
        <v>0.2</v>
      </c>
      <c r="U572" s="13">
        <f t="shared" si="35"/>
        <v>4.0000000000000008E-2</v>
      </c>
      <c r="V572" s="14">
        <v>24.5</v>
      </c>
      <c r="W572" s="14">
        <v>24.5</v>
      </c>
      <c r="X572" s="11">
        <v>116</v>
      </c>
      <c r="Y572" s="15" t="s">
        <v>3713</v>
      </c>
      <c r="Z572" s="16">
        <v>21.5</v>
      </c>
      <c r="AA572" s="17">
        <v>716.7</v>
      </c>
      <c r="AB572" s="18" t="s">
        <v>3714</v>
      </c>
    </row>
    <row r="573" spans="1:28" x14ac:dyDescent="0.45">
      <c r="A573" s="2" t="s">
        <v>1150</v>
      </c>
      <c r="B573" s="2" t="s">
        <v>5668</v>
      </c>
      <c r="C573" s="2" t="s">
        <v>1110</v>
      </c>
      <c r="D573" s="2" t="s">
        <v>1111</v>
      </c>
      <c r="E573" s="2" t="s">
        <v>96</v>
      </c>
      <c r="F573" s="3">
        <v>13.8</v>
      </c>
      <c r="G573" s="3">
        <v>18.600000000000001</v>
      </c>
      <c r="H573" s="2" t="s">
        <v>1140</v>
      </c>
      <c r="I573" s="19">
        <v>3</v>
      </c>
      <c r="J573" s="34">
        <f t="shared" si="32"/>
        <v>2.6099999999999998E-2</v>
      </c>
      <c r="K573" s="34">
        <f t="shared" si="33"/>
        <v>0.04</v>
      </c>
      <c r="L573" s="34">
        <f t="shared" si="34"/>
        <v>0.16</v>
      </c>
      <c r="M573" s="20" t="s">
        <v>3939</v>
      </c>
      <c r="N573" s="20" t="s">
        <v>3891</v>
      </c>
      <c r="O573" s="20" t="s">
        <v>3892</v>
      </c>
      <c r="P573" s="20" t="s">
        <v>3893</v>
      </c>
      <c r="Q573" s="21">
        <v>13.8</v>
      </c>
      <c r="R573" s="21">
        <v>18.600000000000001</v>
      </c>
      <c r="S573" s="21">
        <v>2.4</v>
      </c>
      <c r="T573" s="22">
        <v>0.46</v>
      </c>
      <c r="U573" s="13">
        <f t="shared" si="35"/>
        <v>0.30000000000000004</v>
      </c>
      <c r="V573" s="23">
        <v>56.35</v>
      </c>
      <c r="W573" s="23">
        <v>56.35</v>
      </c>
      <c r="X573" s="20">
        <v>103</v>
      </c>
      <c r="Y573" s="24" t="s">
        <v>3713</v>
      </c>
      <c r="Z573" s="16">
        <v>53.35</v>
      </c>
      <c r="AA573" s="17">
        <v>1778.3</v>
      </c>
      <c r="AB573" s="25" t="s">
        <v>3714</v>
      </c>
    </row>
    <row r="574" spans="1:28" x14ac:dyDescent="0.45">
      <c r="A574" s="4" t="s">
        <v>1151</v>
      </c>
      <c r="B574" s="4" t="s">
        <v>5669</v>
      </c>
      <c r="C574" s="4" t="s">
        <v>1110</v>
      </c>
      <c r="D574" s="4" t="s">
        <v>1111</v>
      </c>
      <c r="E574" s="4" t="s">
        <v>96</v>
      </c>
      <c r="F574" s="5">
        <v>13.94</v>
      </c>
      <c r="G574" s="5">
        <v>19.18</v>
      </c>
      <c r="H574" s="4" t="s">
        <v>1127</v>
      </c>
      <c r="I574" s="10">
        <v>3</v>
      </c>
      <c r="J574" s="34">
        <f t="shared" si="32"/>
        <v>2.6099999999999998E-2</v>
      </c>
      <c r="K574" s="34">
        <f t="shared" si="33"/>
        <v>0.04</v>
      </c>
      <c r="L574" s="34">
        <f t="shared" si="34"/>
        <v>0.16</v>
      </c>
      <c r="M574" s="11" t="s">
        <v>3940</v>
      </c>
      <c r="N574" s="11" t="s">
        <v>3891</v>
      </c>
      <c r="O574" s="11" t="s">
        <v>3892</v>
      </c>
      <c r="P574" s="11" t="s">
        <v>3893</v>
      </c>
      <c r="Q574" s="12">
        <v>14</v>
      </c>
      <c r="R574" s="12">
        <v>19</v>
      </c>
      <c r="S574" s="12">
        <v>2.5</v>
      </c>
      <c r="T574" s="13">
        <v>0.2</v>
      </c>
      <c r="U574" s="13">
        <f t="shared" si="35"/>
        <v>4.0000000000000008E-2</v>
      </c>
      <c r="V574" s="14">
        <v>24.5</v>
      </c>
      <c r="W574" s="14">
        <v>24.5</v>
      </c>
      <c r="X574" s="11">
        <v>1508</v>
      </c>
      <c r="Y574" s="15" t="s">
        <v>3713</v>
      </c>
      <c r="Z574" s="16">
        <v>21.5</v>
      </c>
      <c r="AA574" s="17">
        <v>716.7</v>
      </c>
      <c r="AB574" s="18" t="s">
        <v>3941</v>
      </c>
    </row>
    <row r="575" spans="1:28" x14ac:dyDescent="0.45">
      <c r="A575" s="2" t="s">
        <v>1152</v>
      </c>
      <c r="B575" s="2" t="s">
        <v>5670</v>
      </c>
      <c r="C575" s="2" t="s">
        <v>1110</v>
      </c>
      <c r="D575" s="2" t="s">
        <v>1111</v>
      </c>
      <c r="E575" s="2" t="s">
        <v>96</v>
      </c>
      <c r="F575" s="3">
        <v>14</v>
      </c>
      <c r="G575" s="3">
        <v>17</v>
      </c>
      <c r="H575" s="2" t="s">
        <v>1120</v>
      </c>
      <c r="I575" s="19">
        <v>2</v>
      </c>
      <c r="J575" s="34">
        <f t="shared" si="32"/>
        <v>1.7399999999999999E-2</v>
      </c>
      <c r="K575" s="34">
        <f t="shared" si="33"/>
        <v>0.03</v>
      </c>
      <c r="L575" s="34">
        <f t="shared" si="34"/>
        <v>0.12</v>
      </c>
      <c r="M575" s="20" t="s">
        <v>3942</v>
      </c>
      <c r="N575" s="20" t="s">
        <v>3891</v>
      </c>
      <c r="O575" s="20" t="s">
        <v>3892</v>
      </c>
      <c r="P575" s="20" t="s">
        <v>3893</v>
      </c>
      <c r="Q575" s="21">
        <v>14</v>
      </c>
      <c r="R575" s="21">
        <v>17</v>
      </c>
      <c r="S575" s="21">
        <v>1.5</v>
      </c>
      <c r="T575" s="22">
        <v>0.2</v>
      </c>
      <c r="U575" s="13">
        <f t="shared" si="35"/>
        <v>8.0000000000000016E-2</v>
      </c>
      <c r="V575" s="23">
        <v>24.5</v>
      </c>
      <c r="W575" s="23">
        <v>24.5</v>
      </c>
      <c r="X575" s="20">
        <v>595</v>
      </c>
      <c r="Y575" s="24" t="s">
        <v>3713</v>
      </c>
      <c r="Z575" s="16">
        <v>22.5</v>
      </c>
      <c r="AA575" s="17">
        <v>1125</v>
      </c>
      <c r="AB575" s="25" t="s">
        <v>3714</v>
      </c>
    </row>
    <row r="576" spans="1:28" x14ac:dyDescent="0.45">
      <c r="A576" s="4" t="s">
        <v>1153</v>
      </c>
      <c r="B576" s="4" t="s">
        <v>5671</v>
      </c>
      <c r="C576" s="4" t="s">
        <v>1110</v>
      </c>
      <c r="D576" s="4" t="s">
        <v>1111</v>
      </c>
      <c r="E576" s="4" t="s">
        <v>96</v>
      </c>
      <c r="F576" s="5">
        <v>14</v>
      </c>
      <c r="G576" s="5">
        <v>18</v>
      </c>
      <c r="H576" s="4" t="s">
        <v>1122</v>
      </c>
      <c r="I576" s="10">
        <v>2</v>
      </c>
      <c r="J576" s="34">
        <f t="shared" si="32"/>
        <v>1.7399999999999999E-2</v>
      </c>
      <c r="K576" s="34">
        <f t="shared" si="33"/>
        <v>0.03</v>
      </c>
      <c r="L576" s="34">
        <f t="shared" si="34"/>
        <v>0.12</v>
      </c>
      <c r="M576" s="11" t="s">
        <v>3943</v>
      </c>
      <c r="N576" s="11" t="s">
        <v>3898</v>
      </c>
      <c r="O576" s="11" t="s">
        <v>3892</v>
      </c>
      <c r="P576" s="11" t="s">
        <v>3899</v>
      </c>
      <c r="Q576" s="12">
        <v>14</v>
      </c>
      <c r="R576" s="12">
        <v>18</v>
      </c>
      <c r="S576" s="12">
        <v>2</v>
      </c>
      <c r="T576" s="13">
        <v>0.24</v>
      </c>
      <c r="U576" s="13">
        <f t="shared" si="35"/>
        <v>0.12</v>
      </c>
      <c r="V576" s="14">
        <v>29.4</v>
      </c>
      <c r="W576" s="14">
        <v>29.4</v>
      </c>
      <c r="X576" s="11" t="s">
        <v>3722</v>
      </c>
      <c r="Y576" s="15" t="s">
        <v>3713</v>
      </c>
      <c r="Z576" s="16">
        <v>27.4</v>
      </c>
      <c r="AA576" s="17">
        <v>1370</v>
      </c>
      <c r="AB576" s="18" t="s">
        <v>3714</v>
      </c>
    </row>
    <row r="577" spans="1:28" x14ac:dyDescent="0.45">
      <c r="A577" s="2" t="s">
        <v>1154</v>
      </c>
      <c r="B577" s="2" t="s">
        <v>5672</v>
      </c>
      <c r="C577" s="2" t="s">
        <v>1110</v>
      </c>
      <c r="D577" s="2" t="s">
        <v>1111</v>
      </c>
      <c r="E577" s="2" t="s">
        <v>96</v>
      </c>
      <c r="F577" s="3">
        <v>14</v>
      </c>
      <c r="G577" s="3">
        <v>19</v>
      </c>
      <c r="H577" s="2" t="s">
        <v>1135</v>
      </c>
      <c r="I577" s="19">
        <v>3</v>
      </c>
      <c r="J577" s="34">
        <f t="shared" si="32"/>
        <v>2.6099999999999998E-2</v>
      </c>
      <c r="K577" s="34">
        <f t="shared" si="33"/>
        <v>0.04</v>
      </c>
      <c r="L577" s="34">
        <f t="shared" si="34"/>
        <v>0.16</v>
      </c>
      <c r="M577" s="20" t="s">
        <v>3940</v>
      </c>
      <c r="N577" s="20" t="s">
        <v>3891</v>
      </c>
      <c r="O577" s="20" t="s">
        <v>3892</v>
      </c>
      <c r="P577" s="20" t="s">
        <v>3893</v>
      </c>
      <c r="Q577" s="21">
        <v>14</v>
      </c>
      <c r="R577" s="21">
        <v>19</v>
      </c>
      <c r="S577" s="21">
        <v>2.5</v>
      </c>
      <c r="T577" s="22">
        <v>0.2</v>
      </c>
      <c r="U577" s="13">
        <f t="shared" si="35"/>
        <v>4.0000000000000008E-2</v>
      </c>
      <c r="V577" s="23">
        <v>24.5</v>
      </c>
      <c r="W577" s="23">
        <v>24.5</v>
      </c>
      <c r="X577" s="20">
        <v>1508</v>
      </c>
      <c r="Y577" s="24" t="s">
        <v>3713</v>
      </c>
      <c r="Z577" s="16">
        <v>21.5</v>
      </c>
      <c r="AA577" s="17">
        <v>716.7</v>
      </c>
      <c r="AB577" s="25" t="s">
        <v>3714</v>
      </c>
    </row>
    <row r="578" spans="1:28" x14ac:dyDescent="0.45">
      <c r="A578" s="4" t="s">
        <v>1155</v>
      </c>
      <c r="B578" s="4" t="s">
        <v>5673</v>
      </c>
      <c r="C578" s="4" t="s">
        <v>1110</v>
      </c>
      <c r="D578" s="4" t="s">
        <v>1111</v>
      </c>
      <c r="E578" s="4" t="s">
        <v>96</v>
      </c>
      <c r="F578" s="5">
        <v>15.47</v>
      </c>
      <c r="G578" s="5">
        <v>22.53</v>
      </c>
      <c r="H578" s="4" t="s">
        <v>1156</v>
      </c>
      <c r="I578" s="10">
        <v>5</v>
      </c>
      <c r="J578" s="34">
        <f t="shared" si="32"/>
        <v>4.3499999999999997E-2</v>
      </c>
      <c r="K578" s="34">
        <f t="shared" si="33"/>
        <v>7.0000000000000007E-2</v>
      </c>
      <c r="L578" s="34">
        <f t="shared" si="34"/>
        <v>0.28000000000000003</v>
      </c>
      <c r="M578" s="11" t="s">
        <v>3944</v>
      </c>
      <c r="N578" s="11" t="s">
        <v>3891</v>
      </c>
      <c r="O578" s="11" t="s">
        <v>3892</v>
      </c>
      <c r="P578" s="11" t="s">
        <v>3893</v>
      </c>
      <c r="Q578" s="12">
        <v>15.494</v>
      </c>
      <c r="R578" s="12">
        <v>22.606000000000002</v>
      </c>
      <c r="S578" s="12">
        <v>3.556</v>
      </c>
      <c r="T578" s="13">
        <v>0.2</v>
      </c>
      <c r="U578" s="13">
        <f t="shared" si="35"/>
        <v>-8.0000000000000016E-2</v>
      </c>
      <c r="V578" s="14">
        <v>24.5</v>
      </c>
      <c r="W578" s="14">
        <v>24.5</v>
      </c>
      <c r="X578" s="11">
        <v>464</v>
      </c>
      <c r="Y578" s="15" t="s">
        <v>3737</v>
      </c>
      <c r="Z578" s="16">
        <v>19.5</v>
      </c>
      <c r="AA578" s="17">
        <v>390</v>
      </c>
      <c r="AB578" s="18" t="s">
        <v>3945</v>
      </c>
    </row>
    <row r="579" spans="1:28" x14ac:dyDescent="0.45">
      <c r="A579" s="2" t="s">
        <v>1157</v>
      </c>
      <c r="B579" s="2" t="s">
        <v>5674</v>
      </c>
      <c r="C579" s="2" t="s">
        <v>1110</v>
      </c>
      <c r="D579" s="2" t="s">
        <v>1111</v>
      </c>
      <c r="E579" s="2" t="s">
        <v>96</v>
      </c>
      <c r="F579" s="3">
        <v>15.54</v>
      </c>
      <c r="G579" s="3">
        <v>20.78</v>
      </c>
      <c r="H579" s="2" t="s">
        <v>1127</v>
      </c>
      <c r="I579" s="19">
        <v>3</v>
      </c>
      <c r="J579" s="34">
        <f t="shared" si="32"/>
        <v>2.6099999999999998E-2</v>
      </c>
      <c r="K579" s="34">
        <f t="shared" si="33"/>
        <v>0.04</v>
      </c>
      <c r="L579" s="34">
        <f t="shared" si="34"/>
        <v>0.16</v>
      </c>
      <c r="M579" s="20" t="s">
        <v>3946</v>
      </c>
      <c r="N579" s="20" t="s">
        <v>3898</v>
      </c>
      <c r="O579" s="20" t="s">
        <v>3892</v>
      </c>
      <c r="P579" s="20" t="s">
        <v>3899</v>
      </c>
      <c r="Q579" s="21">
        <v>15.494</v>
      </c>
      <c r="R579" s="21">
        <v>20.827999999999999</v>
      </c>
      <c r="S579" s="21">
        <v>2.54</v>
      </c>
      <c r="T579" s="22">
        <v>0.2</v>
      </c>
      <c r="U579" s="13">
        <f t="shared" si="35"/>
        <v>4.0000000000000008E-2</v>
      </c>
      <c r="V579" s="23">
        <v>24.5</v>
      </c>
      <c r="W579" s="23">
        <v>24.5</v>
      </c>
      <c r="X579" s="20">
        <v>220</v>
      </c>
      <c r="Y579" s="24" t="s">
        <v>3737</v>
      </c>
      <c r="Z579" s="16">
        <v>21.5</v>
      </c>
      <c r="AA579" s="17">
        <v>716.7</v>
      </c>
      <c r="AB579" s="25" t="s">
        <v>3920</v>
      </c>
    </row>
    <row r="580" spans="1:28" x14ac:dyDescent="0.45">
      <c r="A580" s="4" t="s">
        <v>1158</v>
      </c>
      <c r="B580" s="4" t="s">
        <v>5675</v>
      </c>
      <c r="C580" s="4" t="s">
        <v>1110</v>
      </c>
      <c r="D580" s="4" t="s">
        <v>1111</v>
      </c>
      <c r="E580" s="4" t="s">
        <v>96</v>
      </c>
      <c r="F580" s="5">
        <v>15.6</v>
      </c>
      <c r="G580" s="5">
        <v>19.16</v>
      </c>
      <c r="H580" s="4" t="s">
        <v>1114</v>
      </c>
      <c r="I580" s="10">
        <v>2</v>
      </c>
      <c r="J580" s="34">
        <f t="shared" si="32"/>
        <v>1.7399999999999999E-2</v>
      </c>
      <c r="K580" s="34">
        <f t="shared" si="33"/>
        <v>0.03</v>
      </c>
      <c r="L580" s="34">
        <f t="shared" si="34"/>
        <v>0.12</v>
      </c>
      <c r="M580" s="11" t="s">
        <v>3947</v>
      </c>
      <c r="N580" s="11" t="s">
        <v>3913</v>
      </c>
      <c r="O580" s="11" t="s">
        <v>3892</v>
      </c>
      <c r="P580" s="11" t="s">
        <v>3914</v>
      </c>
      <c r="Q580" s="12">
        <v>15.5</v>
      </c>
      <c r="R580" s="12">
        <v>19.5</v>
      </c>
      <c r="S580" s="12">
        <v>2</v>
      </c>
      <c r="T580" s="13">
        <v>0.42</v>
      </c>
      <c r="U580" s="13">
        <f t="shared" si="35"/>
        <v>0.3</v>
      </c>
      <c r="V580" s="14">
        <v>51.45</v>
      </c>
      <c r="W580" s="14">
        <v>51.45</v>
      </c>
      <c r="X580" s="11">
        <v>639</v>
      </c>
      <c r="Y580" s="15" t="s">
        <v>3713</v>
      </c>
      <c r="Z580" s="16">
        <v>49.45</v>
      </c>
      <c r="AA580" s="17">
        <v>2472.5</v>
      </c>
      <c r="AB580" s="18" t="s">
        <v>3948</v>
      </c>
    </row>
    <row r="581" spans="1:28" x14ac:dyDescent="0.45">
      <c r="A581" s="2" t="s">
        <v>1159</v>
      </c>
      <c r="B581" s="2" t="s">
        <v>5676</v>
      </c>
      <c r="C581" s="2" t="s">
        <v>1110</v>
      </c>
      <c r="D581" s="2" t="s">
        <v>1111</v>
      </c>
      <c r="E581" s="2" t="s">
        <v>96</v>
      </c>
      <c r="F581" s="3">
        <v>15.8</v>
      </c>
      <c r="G581" s="3">
        <v>20.6</v>
      </c>
      <c r="H581" s="2" t="s">
        <v>1140</v>
      </c>
      <c r="I581" s="19">
        <v>3</v>
      </c>
      <c r="J581" s="34">
        <f t="shared" ref="J581:J644" si="36">I581*0.0087</f>
        <v>2.6099999999999998E-2</v>
      </c>
      <c r="K581" s="34">
        <f t="shared" ref="K581:K644" si="37">ROUND(J581*1.5,2)</f>
        <v>0.04</v>
      </c>
      <c r="L581" s="34">
        <f t="shared" ref="L581:L644" si="38">K581*4</f>
        <v>0.16</v>
      </c>
      <c r="M581" s="20" t="s">
        <v>3949</v>
      </c>
      <c r="N581" s="20" t="s">
        <v>3891</v>
      </c>
      <c r="O581" s="20" t="s">
        <v>3892</v>
      </c>
      <c r="P581" s="20" t="s">
        <v>3893</v>
      </c>
      <c r="Q581" s="21">
        <v>15.8</v>
      </c>
      <c r="R581" s="21">
        <v>20.6</v>
      </c>
      <c r="S581" s="21">
        <v>2.4</v>
      </c>
      <c r="T581" s="22">
        <v>0.4</v>
      </c>
      <c r="U581" s="13">
        <f t="shared" ref="U581:U644" si="39">T581-L581</f>
        <v>0.24000000000000002</v>
      </c>
      <c r="V581" s="23">
        <v>49</v>
      </c>
      <c r="W581" s="23">
        <v>49</v>
      </c>
      <c r="X581" s="20">
        <v>468</v>
      </c>
      <c r="Y581" s="24" t="s">
        <v>3713</v>
      </c>
      <c r="Z581" s="16">
        <v>46</v>
      </c>
      <c r="AA581" s="17">
        <v>1533.3</v>
      </c>
      <c r="AB581" s="25" t="s">
        <v>3714</v>
      </c>
    </row>
    <row r="582" spans="1:28" x14ac:dyDescent="0.45">
      <c r="A582" s="4" t="s">
        <v>1160</v>
      </c>
      <c r="B582" s="4" t="s">
        <v>5677</v>
      </c>
      <c r="C582" s="4" t="s">
        <v>1110</v>
      </c>
      <c r="D582" s="4" t="s">
        <v>1111</v>
      </c>
      <c r="E582" s="4" t="s">
        <v>96</v>
      </c>
      <c r="F582" s="5">
        <v>16.36</v>
      </c>
      <c r="G582" s="5">
        <v>20.78</v>
      </c>
      <c r="H582" s="4" t="s">
        <v>1161</v>
      </c>
      <c r="I582" s="10">
        <v>2</v>
      </c>
      <c r="J582" s="34">
        <f t="shared" si="36"/>
        <v>1.7399999999999999E-2</v>
      </c>
      <c r="K582" s="34">
        <f t="shared" si="37"/>
        <v>0.03</v>
      </c>
      <c r="L582" s="34">
        <f t="shared" si="38"/>
        <v>0.12</v>
      </c>
      <c r="M582" s="11" t="s">
        <v>3950</v>
      </c>
      <c r="N582" s="11" t="s">
        <v>3891</v>
      </c>
      <c r="O582" s="11" t="s">
        <v>3892</v>
      </c>
      <c r="P582" s="11" t="s">
        <v>3893</v>
      </c>
      <c r="Q582" s="12">
        <v>16.3</v>
      </c>
      <c r="R582" s="12">
        <v>20.7</v>
      </c>
      <c r="S582" s="12">
        <v>2.2000000000000002</v>
      </c>
      <c r="T582" s="13">
        <v>0.2</v>
      </c>
      <c r="U582" s="13">
        <f t="shared" si="39"/>
        <v>8.0000000000000016E-2</v>
      </c>
      <c r="V582" s="14">
        <v>24.5</v>
      </c>
      <c r="W582" s="14">
        <v>24.5</v>
      </c>
      <c r="X582" s="11">
        <v>441</v>
      </c>
      <c r="Y582" s="15" t="s">
        <v>3713</v>
      </c>
      <c r="Z582" s="16">
        <v>22.5</v>
      </c>
      <c r="AA582" s="17">
        <v>1125</v>
      </c>
      <c r="AB582" s="18" t="s">
        <v>3951</v>
      </c>
    </row>
    <row r="583" spans="1:28" x14ac:dyDescent="0.45">
      <c r="A583" s="2" t="s">
        <v>1162</v>
      </c>
      <c r="B583" s="2" t="s">
        <v>5678</v>
      </c>
      <c r="C583" s="2" t="s">
        <v>1110</v>
      </c>
      <c r="D583" s="2" t="s">
        <v>1111</v>
      </c>
      <c r="E583" s="2" t="s">
        <v>96</v>
      </c>
      <c r="F583" s="3">
        <v>16</v>
      </c>
      <c r="G583" s="3">
        <v>20</v>
      </c>
      <c r="H583" s="2" t="s">
        <v>1122</v>
      </c>
      <c r="I583" s="19">
        <v>2</v>
      </c>
      <c r="J583" s="34">
        <f t="shared" si="36"/>
        <v>1.7399999999999999E-2</v>
      </c>
      <c r="K583" s="34">
        <f t="shared" si="37"/>
        <v>0.03</v>
      </c>
      <c r="L583" s="34">
        <f t="shared" si="38"/>
        <v>0.12</v>
      </c>
      <c r="M583" s="20" t="s">
        <v>3952</v>
      </c>
      <c r="N583" s="20" t="s">
        <v>3898</v>
      </c>
      <c r="O583" s="20" t="s">
        <v>3892</v>
      </c>
      <c r="P583" s="20" t="s">
        <v>3899</v>
      </c>
      <c r="Q583" s="21">
        <v>16</v>
      </c>
      <c r="R583" s="21">
        <v>20</v>
      </c>
      <c r="S583" s="21">
        <v>2</v>
      </c>
      <c r="T583" s="22">
        <v>0.2</v>
      </c>
      <c r="U583" s="13">
        <f t="shared" si="39"/>
        <v>8.0000000000000016E-2</v>
      </c>
      <c r="V583" s="23">
        <v>24.5</v>
      </c>
      <c r="W583" s="23">
        <v>24.5</v>
      </c>
      <c r="X583" s="20">
        <v>328</v>
      </c>
      <c r="Y583" s="24" t="s">
        <v>3713</v>
      </c>
      <c r="Z583" s="16">
        <v>22.5</v>
      </c>
      <c r="AA583" s="17">
        <v>1125</v>
      </c>
      <c r="AB583" s="25" t="s">
        <v>3714</v>
      </c>
    </row>
    <row r="584" spans="1:28" x14ac:dyDescent="0.45">
      <c r="A584" s="4" t="s">
        <v>1163</v>
      </c>
      <c r="B584" s="4" t="s">
        <v>5679</v>
      </c>
      <c r="C584" s="4" t="s">
        <v>1110</v>
      </c>
      <c r="D584" s="4" t="s">
        <v>1111</v>
      </c>
      <c r="E584" s="4" t="s">
        <v>96</v>
      </c>
      <c r="F584" s="5">
        <v>16</v>
      </c>
      <c r="G584" s="5">
        <v>21</v>
      </c>
      <c r="H584" s="4" t="s">
        <v>1135</v>
      </c>
      <c r="I584" s="10">
        <v>3</v>
      </c>
      <c r="J584" s="34">
        <f t="shared" si="36"/>
        <v>2.6099999999999998E-2</v>
      </c>
      <c r="K584" s="34">
        <f t="shared" si="37"/>
        <v>0.04</v>
      </c>
      <c r="L584" s="34">
        <f t="shared" si="38"/>
        <v>0.16</v>
      </c>
      <c r="M584" s="11" t="s">
        <v>3953</v>
      </c>
      <c r="N584" s="11" t="s">
        <v>3898</v>
      </c>
      <c r="O584" s="11" t="s">
        <v>3892</v>
      </c>
      <c r="P584" s="11" t="s">
        <v>3899</v>
      </c>
      <c r="Q584" s="12">
        <v>16</v>
      </c>
      <c r="R584" s="12">
        <v>21</v>
      </c>
      <c r="S584" s="12">
        <v>2.5</v>
      </c>
      <c r="T584" s="13">
        <v>0.67</v>
      </c>
      <c r="U584" s="13">
        <f t="shared" si="39"/>
        <v>0.51</v>
      </c>
      <c r="V584" s="14">
        <v>82.08</v>
      </c>
      <c r="W584" s="14">
        <v>82.08</v>
      </c>
      <c r="X584" s="11">
        <v>4</v>
      </c>
      <c r="Y584" s="15" t="s">
        <v>3713</v>
      </c>
      <c r="Z584" s="16">
        <v>79.08</v>
      </c>
      <c r="AA584" s="17">
        <v>2636</v>
      </c>
      <c r="AB584" s="18" t="s">
        <v>3714</v>
      </c>
    </row>
    <row r="585" spans="1:28" x14ac:dyDescent="0.45">
      <c r="A585" s="2" t="s">
        <v>1164</v>
      </c>
      <c r="B585" s="2" t="s">
        <v>5680</v>
      </c>
      <c r="C585" s="2" t="s">
        <v>1110</v>
      </c>
      <c r="D585" s="2" t="s">
        <v>1111</v>
      </c>
      <c r="E585" s="2" t="s">
        <v>96</v>
      </c>
      <c r="F585" s="3">
        <v>17.04</v>
      </c>
      <c r="G585" s="3">
        <v>24.1</v>
      </c>
      <c r="H585" s="2" t="s">
        <v>1156</v>
      </c>
      <c r="I585" s="19">
        <v>5</v>
      </c>
      <c r="J585" s="34">
        <f t="shared" si="36"/>
        <v>4.3499999999999997E-2</v>
      </c>
      <c r="K585" s="34">
        <f t="shared" si="37"/>
        <v>7.0000000000000007E-2</v>
      </c>
      <c r="L585" s="34">
        <f t="shared" si="38"/>
        <v>0.28000000000000003</v>
      </c>
      <c r="M585" s="20" t="s">
        <v>3954</v>
      </c>
      <c r="N585" s="20" t="s">
        <v>3891</v>
      </c>
      <c r="O585" s="20" t="s">
        <v>3892</v>
      </c>
      <c r="P585" s="20" t="s">
        <v>3893</v>
      </c>
      <c r="Q585" s="21">
        <v>17</v>
      </c>
      <c r="R585" s="21">
        <v>24</v>
      </c>
      <c r="S585" s="21">
        <v>3.5</v>
      </c>
      <c r="T585" s="22">
        <v>0.2</v>
      </c>
      <c r="U585" s="13">
        <f t="shared" si="39"/>
        <v>-8.0000000000000016E-2</v>
      </c>
      <c r="V585" s="23">
        <v>24.5</v>
      </c>
      <c r="W585" s="23">
        <v>24.5</v>
      </c>
      <c r="X585" s="20">
        <v>986</v>
      </c>
      <c r="Y585" s="24" t="s">
        <v>3713</v>
      </c>
      <c r="Z585" s="16">
        <v>19.5</v>
      </c>
      <c r="AA585" s="17">
        <v>390</v>
      </c>
      <c r="AB585" s="25" t="s">
        <v>3955</v>
      </c>
    </row>
    <row r="586" spans="1:28" x14ac:dyDescent="0.45">
      <c r="A586" s="4" t="s">
        <v>1165</v>
      </c>
      <c r="B586" s="4" t="s">
        <v>5681</v>
      </c>
      <c r="C586" s="4" t="s">
        <v>1110</v>
      </c>
      <c r="D586" s="4" t="s">
        <v>1111</v>
      </c>
      <c r="E586" s="4" t="s">
        <v>96</v>
      </c>
      <c r="F586" s="5">
        <v>17.12</v>
      </c>
      <c r="G586" s="5">
        <v>22.36</v>
      </c>
      <c r="H586" s="4" t="s">
        <v>1127</v>
      </c>
      <c r="I586" s="10">
        <v>3</v>
      </c>
      <c r="J586" s="34">
        <f t="shared" si="36"/>
        <v>2.6099999999999998E-2</v>
      </c>
      <c r="K586" s="34">
        <f t="shared" si="37"/>
        <v>0.04</v>
      </c>
      <c r="L586" s="34">
        <f t="shared" si="38"/>
        <v>0.16</v>
      </c>
      <c r="M586" s="11" t="s">
        <v>3956</v>
      </c>
      <c r="N586" s="11" t="s">
        <v>3891</v>
      </c>
      <c r="O586" s="11" t="s">
        <v>3892</v>
      </c>
      <c r="P586" s="11" t="s">
        <v>3893</v>
      </c>
      <c r="Q586" s="12">
        <v>16.899999999999999</v>
      </c>
      <c r="R586" s="12">
        <v>22.3</v>
      </c>
      <c r="S586" s="12">
        <v>2.7</v>
      </c>
      <c r="T586" s="13">
        <v>0.2</v>
      </c>
      <c r="U586" s="13">
        <f t="shared" si="39"/>
        <v>4.0000000000000008E-2</v>
      </c>
      <c r="V586" s="14">
        <v>24.5</v>
      </c>
      <c r="W586" s="14">
        <v>24.5</v>
      </c>
      <c r="X586" s="11" t="s">
        <v>3722</v>
      </c>
      <c r="Y586" s="15" t="s">
        <v>3713</v>
      </c>
      <c r="Z586" s="16">
        <v>21.5</v>
      </c>
      <c r="AA586" s="17">
        <v>716.7</v>
      </c>
      <c r="AB586" s="18" t="s">
        <v>3957</v>
      </c>
    </row>
    <row r="587" spans="1:28" x14ac:dyDescent="0.45">
      <c r="A587" s="2" t="s">
        <v>1166</v>
      </c>
      <c r="B587" s="2" t="s">
        <v>5682</v>
      </c>
      <c r="C587" s="2" t="s">
        <v>1110</v>
      </c>
      <c r="D587" s="2" t="s">
        <v>1111</v>
      </c>
      <c r="E587" s="2" t="s">
        <v>96</v>
      </c>
      <c r="F587" s="3">
        <v>17.170000000000002</v>
      </c>
      <c r="G587" s="3">
        <v>20.73</v>
      </c>
      <c r="H587" s="2" t="s">
        <v>1114</v>
      </c>
      <c r="I587" s="19">
        <v>2</v>
      </c>
      <c r="J587" s="34">
        <f t="shared" si="36"/>
        <v>1.7399999999999999E-2</v>
      </c>
      <c r="K587" s="34">
        <f t="shared" si="37"/>
        <v>0.03</v>
      </c>
      <c r="L587" s="34">
        <f t="shared" si="38"/>
        <v>0.12</v>
      </c>
      <c r="M587" s="20" t="s">
        <v>3958</v>
      </c>
      <c r="N587" s="20" t="s">
        <v>3898</v>
      </c>
      <c r="O587" s="20" t="s">
        <v>3892</v>
      </c>
      <c r="P587" s="20" t="s">
        <v>3899</v>
      </c>
      <c r="Q587" s="21">
        <v>17</v>
      </c>
      <c r="R587" s="21">
        <v>21</v>
      </c>
      <c r="S587" s="21">
        <v>2</v>
      </c>
      <c r="T587" s="22">
        <v>0.2</v>
      </c>
      <c r="U587" s="13">
        <f t="shared" si="39"/>
        <v>8.0000000000000016E-2</v>
      </c>
      <c r="V587" s="23">
        <v>24.5</v>
      </c>
      <c r="W587" s="23">
        <v>24.5</v>
      </c>
      <c r="X587" s="20">
        <v>220</v>
      </c>
      <c r="Y587" s="24" t="s">
        <v>3713</v>
      </c>
      <c r="Z587" s="16">
        <v>22.5</v>
      </c>
      <c r="AA587" s="17">
        <v>1125</v>
      </c>
      <c r="AB587" s="25" t="s">
        <v>3959</v>
      </c>
    </row>
    <row r="588" spans="1:28" x14ac:dyDescent="0.45">
      <c r="A588" s="4" t="s">
        <v>1167</v>
      </c>
      <c r="B588" s="4" t="s">
        <v>5683</v>
      </c>
      <c r="C588" s="4" t="s">
        <v>1110</v>
      </c>
      <c r="D588" s="4" t="s">
        <v>1111</v>
      </c>
      <c r="E588" s="4" t="s">
        <v>96</v>
      </c>
      <c r="F588" s="5">
        <v>17.8</v>
      </c>
      <c r="G588" s="5">
        <v>22.6</v>
      </c>
      <c r="H588" s="4" t="s">
        <v>1140</v>
      </c>
      <c r="I588" s="10">
        <v>3</v>
      </c>
      <c r="J588" s="34">
        <f t="shared" si="36"/>
        <v>2.6099999999999998E-2</v>
      </c>
      <c r="K588" s="34">
        <f t="shared" si="37"/>
        <v>0.04</v>
      </c>
      <c r="L588" s="34">
        <f t="shared" si="38"/>
        <v>0.16</v>
      </c>
      <c r="M588" s="11" t="s">
        <v>3960</v>
      </c>
      <c r="N588" s="11" t="s">
        <v>3891</v>
      </c>
      <c r="O588" s="11" t="s">
        <v>3892</v>
      </c>
      <c r="P588" s="11" t="s">
        <v>3893</v>
      </c>
      <c r="Q588" s="12">
        <v>17.8</v>
      </c>
      <c r="R588" s="12">
        <v>22.6</v>
      </c>
      <c r="S588" s="12">
        <v>2.4</v>
      </c>
      <c r="T588" s="13">
        <v>0.2</v>
      </c>
      <c r="U588" s="13">
        <f t="shared" si="39"/>
        <v>4.0000000000000008E-2</v>
      </c>
      <c r="V588" s="14">
        <v>24.5</v>
      </c>
      <c r="W588" s="14">
        <v>24.5</v>
      </c>
      <c r="X588" s="11">
        <v>6714</v>
      </c>
      <c r="Y588" s="15" t="s">
        <v>3713</v>
      </c>
      <c r="Z588" s="16">
        <v>21.5</v>
      </c>
      <c r="AA588" s="17">
        <v>716.7</v>
      </c>
      <c r="AB588" s="18" t="s">
        <v>3714</v>
      </c>
    </row>
    <row r="589" spans="1:28" x14ac:dyDescent="0.45">
      <c r="A589" s="2" t="s">
        <v>1168</v>
      </c>
      <c r="B589" s="2" t="s">
        <v>5684</v>
      </c>
      <c r="C589" s="2" t="s">
        <v>1110</v>
      </c>
      <c r="D589" s="2" t="s">
        <v>1111</v>
      </c>
      <c r="E589" s="2" t="s">
        <v>96</v>
      </c>
      <c r="F589" s="3">
        <v>17</v>
      </c>
      <c r="G589" s="3">
        <v>21</v>
      </c>
      <c r="H589" s="2" t="s">
        <v>1122</v>
      </c>
      <c r="I589" s="19">
        <v>2</v>
      </c>
      <c r="J589" s="34">
        <f t="shared" si="36"/>
        <v>1.7399999999999999E-2</v>
      </c>
      <c r="K589" s="34">
        <f t="shared" si="37"/>
        <v>0.03</v>
      </c>
      <c r="L589" s="34">
        <f t="shared" si="38"/>
        <v>0.12</v>
      </c>
      <c r="M589" s="20" t="s">
        <v>3958</v>
      </c>
      <c r="N589" s="20" t="s">
        <v>3898</v>
      </c>
      <c r="O589" s="20" t="s">
        <v>3892</v>
      </c>
      <c r="P589" s="20" t="s">
        <v>3899</v>
      </c>
      <c r="Q589" s="21">
        <v>17</v>
      </c>
      <c r="R589" s="21">
        <v>21</v>
      </c>
      <c r="S589" s="21">
        <v>2</v>
      </c>
      <c r="T589" s="22">
        <v>0.2</v>
      </c>
      <c r="U589" s="13">
        <f t="shared" si="39"/>
        <v>8.0000000000000016E-2</v>
      </c>
      <c r="V589" s="23">
        <v>24.5</v>
      </c>
      <c r="W589" s="23">
        <v>24.5</v>
      </c>
      <c r="X589" s="20">
        <v>220</v>
      </c>
      <c r="Y589" s="24" t="s">
        <v>3713</v>
      </c>
      <c r="Z589" s="16">
        <v>22.5</v>
      </c>
      <c r="AA589" s="17">
        <v>1125</v>
      </c>
      <c r="AB589" s="25" t="s">
        <v>3714</v>
      </c>
    </row>
    <row r="590" spans="1:28" x14ac:dyDescent="0.45">
      <c r="A590" s="4" t="s">
        <v>1169</v>
      </c>
      <c r="B590" s="4" t="s">
        <v>5685</v>
      </c>
      <c r="C590" s="4" t="s">
        <v>1110</v>
      </c>
      <c r="D590" s="4" t="s">
        <v>1111</v>
      </c>
      <c r="E590" s="4" t="s">
        <v>96</v>
      </c>
      <c r="F590" s="5">
        <v>17</v>
      </c>
      <c r="G590" s="5">
        <v>22</v>
      </c>
      <c r="H590" s="4" t="s">
        <v>1135</v>
      </c>
      <c r="I590" s="10">
        <v>3</v>
      </c>
      <c r="J590" s="34">
        <f t="shared" si="36"/>
        <v>2.6099999999999998E-2</v>
      </c>
      <c r="K590" s="34">
        <f t="shared" si="37"/>
        <v>0.04</v>
      </c>
      <c r="L590" s="34">
        <f t="shared" si="38"/>
        <v>0.16</v>
      </c>
      <c r="M590" s="11" t="s">
        <v>3961</v>
      </c>
      <c r="N590" s="11" t="s">
        <v>3891</v>
      </c>
      <c r="O590" s="11" t="s">
        <v>3892</v>
      </c>
      <c r="P590" s="11" t="s">
        <v>3893</v>
      </c>
      <c r="Q590" s="12">
        <v>17</v>
      </c>
      <c r="R590" s="12">
        <v>22</v>
      </c>
      <c r="S590" s="12">
        <v>2.5</v>
      </c>
      <c r="T590" s="13">
        <v>0.2</v>
      </c>
      <c r="U590" s="13">
        <f t="shared" si="39"/>
        <v>4.0000000000000008E-2</v>
      </c>
      <c r="V590" s="14">
        <v>24.5</v>
      </c>
      <c r="W590" s="14">
        <v>24.5</v>
      </c>
      <c r="X590" s="11">
        <v>1615</v>
      </c>
      <c r="Y590" s="15" t="s">
        <v>3713</v>
      </c>
      <c r="Z590" s="16">
        <v>21.5</v>
      </c>
      <c r="AA590" s="17">
        <v>716.7</v>
      </c>
      <c r="AB590" s="18" t="s">
        <v>3714</v>
      </c>
    </row>
    <row r="591" spans="1:28" x14ac:dyDescent="0.45">
      <c r="A591" s="2" t="s">
        <v>1170</v>
      </c>
      <c r="B591" s="2" t="s">
        <v>5686</v>
      </c>
      <c r="C591" s="2" t="s">
        <v>1110</v>
      </c>
      <c r="D591" s="2" t="s">
        <v>1111</v>
      </c>
      <c r="E591" s="2" t="s">
        <v>96</v>
      </c>
      <c r="F591" s="3">
        <v>18.64</v>
      </c>
      <c r="G591" s="3">
        <v>25.7</v>
      </c>
      <c r="H591" s="2" t="s">
        <v>1156</v>
      </c>
      <c r="I591" s="19">
        <v>5</v>
      </c>
      <c r="J591" s="34">
        <f t="shared" si="36"/>
        <v>4.3499999999999997E-2</v>
      </c>
      <c r="K591" s="34">
        <f t="shared" si="37"/>
        <v>7.0000000000000007E-2</v>
      </c>
      <c r="L591" s="34">
        <f t="shared" si="38"/>
        <v>0.28000000000000003</v>
      </c>
      <c r="M591" s="20" t="s">
        <v>3962</v>
      </c>
      <c r="N591" s="20" t="s">
        <v>3891</v>
      </c>
      <c r="O591" s="20" t="s">
        <v>3892</v>
      </c>
      <c r="P591" s="20" t="s">
        <v>3893</v>
      </c>
      <c r="Q591" s="21">
        <v>18.542000000000002</v>
      </c>
      <c r="R591" s="21">
        <v>25.654</v>
      </c>
      <c r="S591" s="21">
        <v>3.556</v>
      </c>
      <c r="T591" s="22">
        <v>0.2</v>
      </c>
      <c r="U591" s="13">
        <f t="shared" si="39"/>
        <v>-8.0000000000000016E-2</v>
      </c>
      <c r="V591" s="23">
        <v>24.5</v>
      </c>
      <c r="W591" s="23">
        <v>24.5</v>
      </c>
      <c r="X591" s="20">
        <v>14</v>
      </c>
      <c r="Y591" s="24" t="s">
        <v>3737</v>
      </c>
      <c r="Z591" s="16">
        <v>19.5</v>
      </c>
      <c r="AA591" s="17">
        <v>390</v>
      </c>
      <c r="AB591" s="25" t="s">
        <v>3963</v>
      </c>
    </row>
    <row r="592" spans="1:28" x14ac:dyDescent="0.45">
      <c r="A592" s="4" t="s">
        <v>1171</v>
      </c>
      <c r="B592" s="4" t="s">
        <v>5687</v>
      </c>
      <c r="C592" s="4" t="s">
        <v>1110</v>
      </c>
      <c r="D592" s="4" t="s">
        <v>1111</v>
      </c>
      <c r="E592" s="4" t="s">
        <v>96</v>
      </c>
      <c r="F592" s="5">
        <v>18.72</v>
      </c>
      <c r="G592" s="5">
        <v>23.96</v>
      </c>
      <c r="H592" s="4" t="s">
        <v>1127</v>
      </c>
      <c r="I592" s="10">
        <v>3</v>
      </c>
      <c r="J592" s="34">
        <f t="shared" si="36"/>
        <v>2.6099999999999998E-2</v>
      </c>
      <c r="K592" s="34">
        <f t="shared" si="37"/>
        <v>0.04</v>
      </c>
      <c r="L592" s="34">
        <f t="shared" si="38"/>
        <v>0.16</v>
      </c>
      <c r="M592" s="11" t="s">
        <v>3964</v>
      </c>
      <c r="N592" s="11" t="s">
        <v>3891</v>
      </c>
      <c r="O592" s="11" t="s">
        <v>3892</v>
      </c>
      <c r="P592" s="11" t="s">
        <v>3893</v>
      </c>
      <c r="Q592" s="12">
        <v>19</v>
      </c>
      <c r="R592" s="12">
        <v>24</v>
      </c>
      <c r="S592" s="12">
        <v>2.5</v>
      </c>
      <c r="T592" s="13">
        <v>0.2</v>
      </c>
      <c r="U592" s="13">
        <f t="shared" si="39"/>
        <v>4.0000000000000008E-2</v>
      </c>
      <c r="V592" s="14">
        <v>24.5</v>
      </c>
      <c r="W592" s="14">
        <v>24.5</v>
      </c>
      <c r="X592" s="11">
        <v>1349</v>
      </c>
      <c r="Y592" s="15" t="s">
        <v>3713</v>
      </c>
      <c r="Z592" s="16">
        <v>21.5</v>
      </c>
      <c r="AA592" s="17">
        <v>716.7</v>
      </c>
      <c r="AB592" s="18" t="s">
        <v>3965</v>
      </c>
    </row>
    <row r="593" spans="1:28" x14ac:dyDescent="0.45">
      <c r="A593" s="2" t="s">
        <v>1172</v>
      </c>
      <c r="B593" s="2" t="s">
        <v>5688</v>
      </c>
      <c r="C593" s="2" t="s">
        <v>1110</v>
      </c>
      <c r="D593" s="2" t="s">
        <v>1111</v>
      </c>
      <c r="E593" s="2" t="s">
        <v>96</v>
      </c>
      <c r="F593" s="3">
        <v>18.77</v>
      </c>
      <c r="G593" s="3">
        <v>22.33</v>
      </c>
      <c r="H593" s="2" t="s">
        <v>1114</v>
      </c>
      <c r="I593" s="19">
        <v>2</v>
      </c>
      <c r="J593" s="34">
        <f t="shared" si="36"/>
        <v>1.7399999999999999E-2</v>
      </c>
      <c r="K593" s="34">
        <f t="shared" si="37"/>
        <v>0.03</v>
      </c>
      <c r="L593" s="34">
        <f t="shared" si="38"/>
        <v>0.12</v>
      </c>
      <c r="M593" s="20" t="s">
        <v>3966</v>
      </c>
      <c r="N593" s="20" t="s">
        <v>3898</v>
      </c>
      <c r="O593" s="20" t="s">
        <v>3892</v>
      </c>
      <c r="P593" s="20" t="s">
        <v>3899</v>
      </c>
      <c r="Q593" s="21">
        <v>18.795999999999999</v>
      </c>
      <c r="R593" s="21">
        <v>22.352</v>
      </c>
      <c r="S593" s="21">
        <v>1.778</v>
      </c>
      <c r="T593" s="22">
        <v>0.2</v>
      </c>
      <c r="U593" s="13">
        <f t="shared" si="39"/>
        <v>8.0000000000000016E-2</v>
      </c>
      <c r="V593" s="23">
        <v>24.5</v>
      </c>
      <c r="W593" s="23">
        <v>24.5</v>
      </c>
      <c r="X593" s="20">
        <v>1927</v>
      </c>
      <c r="Y593" s="24" t="s">
        <v>3737</v>
      </c>
      <c r="Z593" s="16">
        <v>22.5</v>
      </c>
      <c r="AA593" s="17">
        <v>1125</v>
      </c>
      <c r="AB593" s="25" t="s">
        <v>3967</v>
      </c>
    </row>
    <row r="594" spans="1:28" x14ac:dyDescent="0.45">
      <c r="A594" s="4" t="s">
        <v>1173</v>
      </c>
      <c r="B594" s="4" t="s">
        <v>5689</v>
      </c>
      <c r="C594" s="4" t="s">
        <v>1110</v>
      </c>
      <c r="D594" s="4" t="s">
        <v>1111</v>
      </c>
      <c r="E594" s="4" t="s">
        <v>96</v>
      </c>
      <c r="F594" s="5">
        <v>19.8</v>
      </c>
      <c r="G594" s="5">
        <v>24.6</v>
      </c>
      <c r="H594" s="4" t="s">
        <v>1140</v>
      </c>
      <c r="I594" s="10">
        <v>3</v>
      </c>
      <c r="J594" s="34">
        <f t="shared" si="36"/>
        <v>2.6099999999999998E-2</v>
      </c>
      <c r="K594" s="34">
        <f t="shared" si="37"/>
        <v>0.04</v>
      </c>
      <c r="L594" s="34">
        <f t="shared" si="38"/>
        <v>0.16</v>
      </c>
      <c r="M594" s="11" t="s">
        <v>3968</v>
      </c>
      <c r="N594" s="11" t="s">
        <v>3891</v>
      </c>
      <c r="O594" s="11" t="s">
        <v>3892</v>
      </c>
      <c r="P594" s="11" t="s">
        <v>3893</v>
      </c>
      <c r="Q594" s="12">
        <v>19.8</v>
      </c>
      <c r="R594" s="12">
        <v>24.6</v>
      </c>
      <c r="S594" s="12">
        <v>2.4</v>
      </c>
      <c r="T594" s="13">
        <v>0.2</v>
      </c>
      <c r="U594" s="13">
        <f t="shared" si="39"/>
        <v>4.0000000000000008E-2</v>
      </c>
      <c r="V594" s="14">
        <v>24.5</v>
      </c>
      <c r="W594" s="14">
        <v>24.5</v>
      </c>
      <c r="X594" s="11">
        <v>331</v>
      </c>
      <c r="Y594" s="15" t="s">
        <v>3713</v>
      </c>
      <c r="Z594" s="16">
        <v>21.5</v>
      </c>
      <c r="AA594" s="17">
        <v>716.7</v>
      </c>
      <c r="AB594" s="18" t="s">
        <v>3714</v>
      </c>
    </row>
    <row r="595" spans="1:28" x14ac:dyDescent="0.45">
      <c r="A595" s="2" t="s">
        <v>1174</v>
      </c>
      <c r="B595" s="2" t="s">
        <v>5690</v>
      </c>
      <c r="C595" s="2" t="s">
        <v>1110</v>
      </c>
      <c r="D595" s="2" t="s">
        <v>1111</v>
      </c>
      <c r="E595" s="2" t="s">
        <v>96</v>
      </c>
      <c r="F595" s="3">
        <v>20.22</v>
      </c>
      <c r="G595" s="3">
        <v>27.28</v>
      </c>
      <c r="H595" s="2" t="s">
        <v>1156</v>
      </c>
      <c r="I595" s="19">
        <v>5</v>
      </c>
      <c r="J595" s="34">
        <f t="shared" si="36"/>
        <v>4.3499999999999997E-2</v>
      </c>
      <c r="K595" s="34">
        <f t="shared" si="37"/>
        <v>7.0000000000000007E-2</v>
      </c>
      <c r="L595" s="34">
        <f t="shared" si="38"/>
        <v>0.28000000000000003</v>
      </c>
      <c r="M595" s="20" t="s">
        <v>3969</v>
      </c>
      <c r="N595" s="20" t="s">
        <v>3891</v>
      </c>
      <c r="O595" s="20" t="s">
        <v>3892</v>
      </c>
      <c r="P595" s="20" t="s">
        <v>3893</v>
      </c>
      <c r="Q595" s="21">
        <v>20</v>
      </c>
      <c r="R595" s="21">
        <v>27</v>
      </c>
      <c r="S595" s="21">
        <v>3.5</v>
      </c>
      <c r="T595" s="22">
        <v>0.2</v>
      </c>
      <c r="U595" s="13">
        <f t="shared" si="39"/>
        <v>-8.0000000000000016E-2</v>
      </c>
      <c r="V595" s="23">
        <v>24.5</v>
      </c>
      <c r="W595" s="23">
        <v>24.5</v>
      </c>
      <c r="X595" s="20">
        <v>840</v>
      </c>
      <c r="Y595" s="24" t="s">
        <v>3713</v>
      </c>
      <c r="Z595" s="16">
        <v>19.5</v>
      </c>
      <c r="AA595" s="17">
        <v>390</v>
      </c>
      <c r="AB595" s="25" t="s">
        <v>3970</v>
      </c>
    </row>
    <row r="596" spans="1:28" x14ac:dyDescent="0.45">
      <c r="A596" s="4" t="s">
        <v>1175</v>
      </c>
      <c r="B596" s="4" t="s">
        <v>5691</v>
      </c>
      <c r="C596" s="4" t="s">
        <v>1110</v>
      </c>
      <c r="D596" s="4" t="s">
        <v>1111</v>
      </c>
      <c r="E596" s="4" t="s">
        <v>96</v>
      </c>
      <c r="F596" s="5">
        <v>20.29</v>
      </c>
      <c r="G596" s="5">
        <v>25.53</v>
      </c>
      <c r="H596" s="4" t="s">
        <v>1127</v>
      </c>
      <c r="I596" s="10">
        <v>3</v>
      </c>
      <c r="J596" s="34">
        <f t="shared" si="36"/>
        <v>2.6099999999999998E-2</v>
      </c>
      <c r="K596" s="34">
        <f t="shared" si="37"/>
        <v>0.04</v>
      </c>
      <c r="L596" s="34">
        <f t="shared" si="38"/>
        <v>0.16</v>
      </c>
      <c r="M596" s="11" t="s">
        <v>3971</v>
      </c>
      <c r="N596" s="11" t="s">
        <v>3891</v>
      </c>
      <c r="O596" s="11" t="s">
        <v>3892</v>
      </c>
      <c r="P596" s="11" t="s">
        <v>3893</v>
      </c>
      <c r="Q596" s="12">
        <v>20.3</v>
      </c>
      <c r="R596" s="12">
        <v>25.1</v>
      </c>
      <c r="S596" s="12">
        <v>2.4</v>
      </c>
      <c r="T596" s="13">
        <v>0.2</v>
      </c>
      <c r="U596" s="13">
        <f t="shared" si="39"/>
        <v>4.0000000000000008E-2</v>
      </c>
      <c r="V596" s="14">
        <v>24.5</v>
      </c>
      <c r="W596" s="14">
        <v>24.5</v>
      </c>
      <c r="X596" s="11">
        <v>256</v>
      </c>
      <c r="Y596" s="15" t="s">
        <v>3713</v>
      </c>
      <c r="Z596" s="16">
        <v>21.5</v>
      </c>
      <c r="AA596" s="17">
        <v>716.7</v>
      </c>
      <c r="AB596" s="18" t="s">
        <v>3908</v>
      </c>
    </row>
    <row r="597" spans="1:28" x14ac:dyDescent="0.45">
      <c r="A597" s="2" t="s">
        <v>1176</v>
      </c>
      <c r="B597" s="2" t="s">
        <v>5692</v>
      </c>
      <c r="C597" s="2" t="s">
        <v>1110</v>
      </c>
      <c r="D597" s="2" t="s">
        <v>1111</v>
      </c>
      <c r="E597" s="2" t="s">
        <v>96</v>
      </c>
      <c r="F597" s="3">
        <v>20.350000000000001</v>
      </c>
      <c r="G597" s="3">
        <v>23.91</v>
      </c>
      <c r="H597" s="2" t="s">
        <v>1114</v>
      </c>
      <c r="I597" s="19">
        <v>2</v>
      </c>
      <c r="J597" s="34">
        <f t="shared" si="36"/>
        <v>1.7399999999999999E-2</v>
      </c>
      <c r="K597" s="34">
        <f t="shared" si="37"/>
        <v>0.03</v>
      </c>
      <c r="L597" s="34">
        <f t="shared" si="38"/>
        <v>0.12</v>
      </c>
      <c r="M597" s="20" t="s">
        <v>3972</v>
      </c>
      <c r="N597" s="20" t="s">
        <v>3891</v>
      </c>
      <c r="O597" s="20" t="s">
        <v>3892</v>
      </c>
      <c r="P597" s="20" t="s">
        <v>3893</v>
      </c>
      <c r="Q597" s="21">
        <v>20.32</v>
      </c>
      <c r="R597" s="21">
        <v>23.876000000000001</v>
      </c>
      <c r="S597" s="21">
        <v>1.778</v>
      </c>
      <c r="T597" s="22">
        <v>0.2</v>
      </c>
      <c r="U597" s="13">
        <f t="shared" si="39"/>
        <v>8.0000000000000016E-2</v>
      </c>
      <c r="V597" s="23">
        <v>24.5</v>
      </c>
      <c r="W597" s="23">
        <v>24.5</v>
      </c>
      <c r="X597" s="20">
        <v>1293</v>
      </c>
      <c r="Y597" s="24" t="s">
        <v>3737</v>
      </c>
      <c r="Z597" s="16">
        <v>22.5</v>
      </c>
      <c r="AA597" s="17">
        <v>1125</v>
      </c>
      <c r="AB597" s="25" t="s">
        <v>3973</v>
      </c>
    </row>
    <row r="598" spans="1:28" x14ac:dyDescent="0.45">
      <c r="A598" s="4" t="s">
        <v>1177</v>
      </c>
      <c r="B598" s="4" t="s">
        <v>5693</v>
      </c>
      <c r="C598" s="4" t="s">
        <v>1110</v>
      </c>
      <c r="D598" s="4" t="s">
        <v>1111</v>
      </c>
      <c r="E598" s="4" t="s">
        <v>96</v>
      </c>
      <c r="F598" s="5">
        <v>21.82</v>
      </c>
      <c r="G598" s="5">
        <v>28.88</v>
      </c>
      <c r="H598" s="4" t="s">
        <v>1156</v>
      </c>
      <c r="I598" s="10">
        <v>5</v>
      </c>
      <c r="J598" s="34">
        <f t="shared" si="36"/>
        <v>4.3499999999999997E-2</v>
      </c>
      <c r="K598" s="34">
        <f t="shared" si="37"/>
        <v>7.0000000000000007E-2</v>
      </c>
      <c r="L598" s="34">
        <f t="shared" si="38"/>
        <v>0.28000000000000003</v>
      </c>
      <c r="M598" s="11" t="s">
        <v>3974</v>
      </c>
      <c r="N598" s="11" t="s">
        <v>3891</v>
      </c>
      <c r="O598" s="11" t="s">
        <v>3892</v>
      </c>
      <c r="P598" s="11" t="s">
        <v>3893</v>
      </c>
      <c r="Q598" s="12">
        <v>22</v>
      </c>
      <c r="R598" s="12">
        <v>29</v>
      </c>
      <c r="S598" s="12">
        <v>3.5</v>
      </c>
      <c r="T598" s="13">
        <v>0.2</v>
      </c>
      <c r="U598" s="13">
        <f t="shared" si="39"/>
        <v>-8.0000000000000016E-2</v>
      </c>
      <c r="V598" s="14">
        <v>24.5</v>
      </c>
      <c r="W598" s="14">
        <v>24.5</v>
      </c>
      <c r="X598" s="11">
        <v>1188</v>
      </c>
      <c r="Y598" s="15" t="s">
        <v>3713</v>
      </c>
      <c r="Z598" s="16">
        <v>19.5</v>
      </c>
      <c r="AA598" s="17">
        <v>390</v>
      </c>
      <c r="AB598" s="18" t="s">
        <v>3975</v>
      </c>
    </row>
    <row r="599" spans="1:28" x14ac:dyDescent="0.45">
      <c r="A599" s="2" t="s">
        <v>1178</v>
      </c>
      <c r="B599" s="2" t="s">
        <v>5694</v>
      </c>
      <c r="C599" s="2" t="s">
        <v>1110</v>
      </c>
      <c r="D599" s="2" t="s">
        <v>1111</v>
      </c>
      <c r="E599" s="2" t="s">
        <v>96</v>
      </c>
      <c r="F599" s="3">
        <v>21.89</v>
      </c>
      <c r="G599" s="3">
        <v>27.13</v>
      </c>
      <c r="H599" s="2" t="s">
        <v>1127</v>
      </c>
      <c r="I599" s="19">
        <v>3</v>
      </c>
      <c r="J599" s="34">
        <f t="shared" si="36"/>
        <v>2.6099999999999998E-2</v>
      </c>
      <c r="K599" s="34">
        <f t="shared" si="37"/>
        <v>0.04</v>
      </c>
      <c r="L599" s="34">
        <f t="shared" si="38"/>
        <v>0.16</v>
      </c>
      <c r="M599" s="20" t="s">
        <v>3976</v>
      </c>
      <c r="N599" s="20" t="s">
        <v>3898</v>
      </c>
      <c r="O599" s="20" t="s">
        <v>3892</v>
      </c>
      <c r="P599" s="20" t="s">
        <v>3899</v>
      </c>
      <c r="Q599" s="21">
        <v>22</v>
      </c>
      <c r="R599" s="21">
        <v>27</v>
      </c>
      <c r="S599" s="21">
        <v>2.5</v>
      </c>
      <c r="T599" s="22">
        <v>0.2</v>
      </c>
      <c r="U599" s="13">
        <f t="shared" si="39"/>
        <v>4.0000000000000008E-2</v>
      </c>
      <c r="V599" s="23">
        <v>24.5</v>
      </c>
      <c r="W599" s="23">
        <v>24.5</v>
      </c>
      <c r="X599" s="20">
        <v>432</v>
      </c>
      <c r="Y599" s="24" t="s">
        <v>3713</v>
      </c>
      <c r="Z599" s="16">
        <v>21.5</v>
      </c>
      <c r="AA599" s="17">
        <v>716.7</v>
      </c>
      <c r="AB599" s="25" t="s">
        <v>3977</v>
      </c>
    </row>
    <row r="600" spans="1:28" x14ac:dyDescent="0.45">
      <c r="A600" s="4" t="s">
        <v>1179</v>
      </c>
      <c r="B600" s="4" t="s">
        <v>5695</v>
      </c>
      <c r="C600" s="4" t="s">
        <v>1110</v>
      </c>
      <c r="D600" s="4" t="s">
        <v>1111</v>
      </c>
      <c r="E600" s="4" t="s">
        <v>96</v>
      </c>
      <c r="F600" s="5">
        <v>21.8</v>
      </c>
      <c r="G600" s="5">
        <v>26.6</v>
      </c>
      <c r="H600" s="4" t="s">
        <v>1140</v>
      </c>
      <c r="I600" s="10">
        <v>3</v>
      </c>
      <c r="J600" s="34">
        <f t="shared" si="36"/>
        <v>2.6099999999999998E-2</v>
      </c>
      <c r="K600" s="34">
        <f t="shared" si="37"/>
        <v>0.04</v>
      </c>
      <c r="L600" s="34">
        <f t="shared" si="38"/>
        <v>0.16</v>
      </c>
      <c r="M600" s="11" t="s">
        <v>3978</v>
      </c>
      <c r="N600" s="11" t="s">
        <v>3891</v>
      </c>
      <c r="O600" s="11" t="s">
        <v>3892</v>
      </c>
      <c r="P600" s="11" t="s">
        <v>3893</v>
      </c>
      <c r="Q600" s="12">
        <v>21.8</v>
      </c>
      <c r="R600" s="12">
        <v>26.6</v>
      </c>
      <c r="S600" s="12">
        <v>2.4</v>
      </c>
      <c r="T600" s="13">
        <v>0.2</v>
      </c>
      <c r="U600" s="13">
        <f t="shared" si="39"/>
        <v>4.0000000000000008E-2</v>
      </c>
      <c r="V600" s="14">
        <v>24.5</v>
      </c>
      <c r="W600" s="14">
        <v>24.5</v>
      </c>
      <c r="X600" s="11">
        <v>8</v>
      </c>
      <c r="Y600" s="15" t="s">
        <v>3713</v>
      </c>
      <c r="Z600" s="16">
        <v>21.5</v>
      </c>
      <c r="AA600" s="17">
        <v>716.7</v>
      </c>
      <c r="AB600" s="18" t="s">
        <v>3714</v>
      </c>
    </row>
    <row r="601" spans="1:28" x14ac:dyDescent="0.45">
      <c r="A601" s="2" t="s">
        <v>1180</v>
      </c>
      <c r="B601" s="2" t="s">
        <v>5696</v>
      </c>
      <c r="C601" s="2" t="s">
        <v>1110</v>
      </c>
      <c r="D601" s="2" t="s">
        <v>1111</v>
      </c>
      <c r="E601" s="2" t="s">
        <v>96</v>
      </c>
      <c r="F601" s="3">
        <v>21.95</v>
      </c>
      <c r="G601" s="3">
        <v>25.51</v>
      </c>
      <c r="H601" s="2" t="s">
        <v>1114</v>
      </c>
      <c r="I601" s="19">
        <v>3</v>
      </c>
      <c r="J601" s="34">
        <f t="shared" si="36"/>
        <v>2.6099999999999998E-2</v>
      </c>
      <c r="K601" s="34">
        <f t="shared" si="37"/>
        <v>0.04</v>
      </c>
      <c r="L601" s="34">
        <f t="shared" si="38"/>
        <v>0.16</v>
      </c>
      <c r="M601" s="20" t="s">
        <v>3979</v>
      </c>
      <c r="N601" s="20" t="s">
        <v>3891</v>
      </c>
      <c r="O601" s="20" t="s">
        <v>3892</v>
      </c>
      <c r="P601" s="20" t="s">
        <v>3893</v>
      </c>
      <c r="Q601" s="21">
        <v>22</v>
      </c>
      <c r="R601" s="21">
        <v>25.6</v>
      </c>
      <c r="S601" s="21">
        <v>1.8</v>
      </c>
      <c r="T601" s="22">
        <v>0.85</v>
      </c>
      <c r="U601" s="13">
        <f t="shared" si="39"/>
        <v>0.69</v>
      </c>
      <c r="V601" s="23">
        <v>104.12</v>
      </c>
      <c r="W601" s="23">
        <v>104.12</v>
      </c>
      <c r="X601" s="20">
        <v>924</v>
      </c>
      <c r="Y601" s="24" t="s">
        <v>3713</v>
      </c>
      <c r="Z601" s="16">
        <v>101.12</v>
      </c>
      <c r="AA601" s="17">
        <v>3370.7</v>
      </c>
      <c r="AB601" s="25" t="s">
        <v>3980</v>
      </c>
    </row>
    <row r="602" spans="1:28" x14ac:dyDescent="0.45">
      <c r="A602" s="4" t="s">
        <v>1181</v>
      </c>
      <c r="B602" s="4" t="s">
        <v>5697</v>
      </c>
      <c r="C602" s="4" t="s">
        <v>1110</v>
      </c>
      <c r="D602" s="4" t="s">
        <v>1111</v>
      </c>
      <c r="E602" s="4" t="s">
        <v>96</v>
      </c>
      <c r="F602" s="5">
        <v>21</v>
      </c>
      <c r="G602" s="5">
        <v>25</v>
      </c>
      <c r="H602" s="4" t="s">
        <v>1122</v>
      </c>
      <c r="I602" s="10">
        <v>3</v>
      </c>
      <c r="J602" s="34">
        <f t="shared" si="36"/>
        <v>2.6099999999999998E-2</v>
      </c>
      <c r="K602" s="34">
        <f t="shared" si="37"/>
        <v>0.04</v>
      </c>
      <c r="L602" s="34">
        <f t="shared" si="38"/>
        <v>0.16</v>
      </c>
      <c r="M602" s="11" t="s">
        <v>3981</v>
      </c>
      <c r="N602" s="11" t="s">
        <v>3891</v>
      </c>
      <c r="O602" s="11" t="s">
        <v>3892</v>
      </c>
      <c r="P602" s="11" t="s">
        <v>3893</v>
      </c>
      <c r="Q602" s="12">
        <v>21</v>
      </c>
      <c r="R602" s="12">
        <v>25</v>
      </c>
      <c r="S602" s="12">
        <v>2</v>
      </c>
      <c r="T602" s="13">
        <v>0.2</v>
      </c>
      <c r="U602" s="13">
        <f t="shared" si="39"/>
        <v>4.0000000000000008E-2</v>
      </c>
      <c r="V602" s="14">
        <v>24.5</v>
      </c>
      <c r="W602" s="14">
        <v>24.5</v>
      </c>
      <c r="X602" s="11">
        <v>92</v>
      </c>
      <c r="Y602" s="15" t="s">
        <v>3713</v>
      </c>
      <c r="Z602" s="16">
        <v>21.5</v>
      </c>
      <c r="AA602" s="17">
        <v>716.7</v>
      </c>
      <c r="AB602" s="18" t="s">
        <v>3714</v>
      </c>
    </row>
    <row r="603" spans="1:28" x14ac:dyDescent="0.45">
      <c r="A603" s="2" t="s">
        <v>1182</v>
      </c>
      <c r="B603" s="2" t="s">
        <v>5698</v>
      </c>
      <c r="C603" s="2" t="s">
        <v>1110</v>
      </c>
      <c r="D603" s="2" t="s">
        <v>1111</v>
      </c>
      <c r="E603" s="2" t="s">
        <v>96</v>
      </c>
      <c r="F603" s="3">
        <v>23.39</v>
      </c>
      <c r="G603" s="3">
        <v>30.45</v>
      </c>
      <c r="H603" s="2" t="s">
        <v>1156</v>
      </c>
      <c r="I603" s="19">
        <v>5</v>
      </c>
      <c r="J603" s="34">
        <f t="shared" si="36"/>
        <v>4.3499999999999997E-2</v>
      </c>
      <c r="K603" s="34">
        <f t="shared" si="37"/>
        <v>7.0000000000000007E-2</v>
      </c>
      <c r="L603" s="34">
        <f t="shared" si="38"/>
        <v>0.28000000000000003</v>
      </c>
      <c r="M603" s="20" t="s">
        <v>3982</v>
      </c>
      <c r="N603" s="20" t="s">
        <v>3898</v>
      </c>
      <c r="O603" s="20" t="s">
        <v>3892</v>
      </c>
      <c r="P603" s="20" t="s">
        <v>3899</v>
      </c>
      <c r="Q603" s="21">
        <v>23.367999999999999</v>
      </c>
      <c r="R603" s="21">
        <v>30.48</v>
      </c>
      <c r="S603" s="21">
        <v>3.556</v>
      </c>
      <c r="T603" s="22">
        <v>13.81</v>
      </c>
      <c r="U603" s="13">
        <f t="shared" si="39"/>
        <v>13.530000000000001</v>
      </c>
      <c r="V603" s="23">
        <v>1691.72</v>
      </c>
      <c r="W603" s="23">
        <v>1691.72</v>
      </c>
      <c r="X603" s="20" t="s">
        <v>3722</v>
      </c>
      <c r="Y603" s="24" t="s">
        <v>3737</v>
      </c>
      <c r="Z603" s="16">
        <v>1686.72</v>
      </c>
      <c r="AA603" s="17">
        <v>33734.400000000001</v>
      </c>
      <c r="AB603" s="25" t="s">
        <v>3983</v>
      </c>
    </row>
    <row r="604" spans="1:28" x14ac:dyDescent="0.45">
      <c r="A604" s="4" t="s">
        <v>1183</v>
      </c>
      <c r="B604" s="4" t="s">
        <v>5699</v>
      </c>
      <c r="C604" s="4" t="s">
        <v>1110</v>
      </c>
      <c r="D604" s="4" t="s">
        <v>1111</v>
      </c>
      <c r="E604" s="4" t="s">
        <v>96</v>
      </c>
      <c r="F604" s="5">
        <v>23.47</v>
      </c>
      <c r="G604" s="5">
        <v>28.71</v>
      </c>
      <c r="H604" s="4" t="s">
        <v>1127</v>
      </c>
      <c r="I604" s="10">
        <v>3</v>
      </c>
      <c r="J604" s="34">
        <f t="shared" si="36"/>
        <v>2.6099999999999998E-2</v>
      </c>
      <c r="K604" s="34">
        <f t="shared" si="37"/>
        <v>0.04</v>
      </c>
      <c r="L604" s="34">
        <f t="shared" si="38"/>
        <v>0.16</v>
      </c>
      <c r="M604" s="11" t="s">
        <v>3984</v>
      </c>
      <c r="N604" s="11" t="s">
        <v>3898</v>
      </c>
      <c r="O604" s="11" t="s">
        <v>3892</v>
      </c>
      <c r="P604" s="11" t="s">
        <v>3899</v>
      </c>
      <c r="Q604" s="12">
        <v>23.367999999999999</v>
      </c>
      <c r="R604" s="12">
        <v>28.702000000000002</v>
      </c>
      <c r="S604" s="12">
        <v>2.54</v>
      </c>
      <c r="T604" s="13">
        <v>0.2</v>
      </c>
      <c r="U604" s="13">
        <f t="shared" si="39"/>
        <v>4.0000000000000008E-2</v>
      </c>
      <c r="V604" s="14">
        <v>24.5</v>
      </c>
      <c r="W604" s="14">
        <v>24.5</v>
      </c>
      <c r="X604" s="11">
        <v>193</v>
      </c>
      <c r="Y604" s="15" t="s">
        <v>3737</v>
      </c>
      <c r="Z604" s="16">
        <v>21.5</v>
      </c>
      <c r="AA604" s="17">
        <v>716.7</v>
      </c>
      <c r="AB604" s="18" t="s">
        <v>3985</v>
      </c>
    </row>
    <row r="605" spans="1:28" x14ac:dyDescent="0.45">
      <c r="A605" s="2" t="s">
        <v>1184</v>
      </c>
      <c r="B605" s="2" t="s">
        <v>5700</v>
      </c>
      <c r="C605" s="2" t="s">
        <v>1110</v>
      </c>
      <c r="D605" s="2" t="s">
        <v>1111</v>
      </c>
      <c r="E605" s="2" t="s">
        <v>96</v>
      </c>
      <c r="F605" s="3">
        <v>23.52</v>
      </c>
      <c r="G605" s="3">
        <v>27.08</v>
      </c>
      <c r="H605" s="2" t="s">
        <v>1114</v>
      </c>
      <c r="I605" s="19">
        <v>3</v>
      </c>
      <c r="J605" s="34">
        <f t="shared" si="36"/>
        <v>2.6099999999999998E-2</v>
      </c>
      <c r="K605" s="34">
        <f t="shared" si="37"/>
        <v>0.04</v>
      </c>
      <c r="L605" s="34">
        <f t="shared" si="38"/>
        <v>0.16</v>
      </c>
      <c r="M605" s="20" t="s">
        <v>3986</v>
      </c>
      <c r="N605" s="20" t="s">
        <v>3891</v>
      </c>
      <c r="O605" s="20" t="s">
        <v>3892</v>
      </c>
      <c r="P605" s="20" t="s">
        <v>3893</v>
      </c>
      <c r="Q605" s="21">
        <v>23.5</v>
      </c>
      <c r="R605" s="21">
        <v>27.5</v>
      </c>
      <c r="S605" s="21">
        <v>2</v>
      </c>
      <c r="T605" s="22">
        <v>0.2</v>
      </c>
      <c r="U605" s="13">
        <f t="shared" si="39"/>
        <v>4.0000000000000008E-2</v>
      </c>
      <c r="V605" s="23">
        <v>24.5</v>
      </c>
      <c r="W605" s="23">
        <v>24.5</v>
      </c>
      <c r="X605" s="20">
        <v>41</v>
      </c>
      <c r="Y605" s="24" t="s">
        <v>3713</v>
      </c>
      <c r="Z605" s="16">
        <v>21.5</v>
      </c>
      <c r="AA605" s="17">
        <v>716.7</v>
      </c>
      <c r="AB605" s="25" t="s">
        <v>3987</v>
      </c>
    </row>
    <row r="606" spans="1:28" x14ac:dyDescent="0.45">
      <c r="A606" s="4" t="s">
        <v>1185</v>
      </c>
      <c r="B606" s="4" t="s">
        <v>5701</v>
      </c>
      <c r="C606" s="4" t="s">
        <v>1110</v>
      </c>
      <c r="D606" s="4" t="s">
        <v>1111</v>
      </c>
      <c r="E606" s="4" t="s">
        <v>96</v>
      </c>
      <c r="F606" s="5">
        <v>23.5</v>
      </c>
      <c r="G606" s="5">
        <v>29.5</v>
      </c>
      <c r="H606" s="4" t="s">
        <v>1149</v>
      </c>
      <c r="I606" s="10">
        <v>5</v>
      </c>
      <c r="J606" s="34">
        <f t="shared" si="36"/>
        <v>4.3499999999999997E-2</v>
      </c>
      <c r="K606" s="34">
        <f t="shared" si="37"/>
        <v>7.0000000000000007E-2</v>
      </c>
      <c r="L606" s="34">
        <f t="shared" si="38"/>
        <v>0.28000000000000003</v>
      </c>
      <c r="M606" s="11" t="s">
        <v>3988</v>
      </c>
      <c r="N606" s="11" t="s">
        <v>3925</v>
      </c>
      <c r="O606" s="11" t="s">
        <v>3892</v>
      </c>
      <c r="P606" s="11" t="s">
        <v>3926</v>
      </c>
      <c r="Q606" s="12">
        <v>23.5</v>
      </c>
      <c r="R606" s="12">
        <v>29.5</v>
      </c>
      <c r="S606" s="12">
        <v>3</v>
      </c>
      <c r="T606" s="13">
        <v>0.25</v>
      </c>
      <c r="U606" s="13">
        <f t="shared" si="39"/>
        <v>-3.0000000000000027E-2</v>
      </c>
      <c r="V606" s="14">
        <v>30.62</v>
      </c>
      <c r="W606" s="14">
        <v>30.62</v>
      </c>
      <c r="X606" s="11">
        <v>1152</v>
      </c>
      <c r="Y606" s="15" t="s">
        <v>3713</v>
      </c>
      <c r="Z606" s="16">
        <v>25.62</v>
      </c>
      <c r="AA606" s="17">
        <v>512.4</v>
      </c>
      <c r="AB606" s="18" t="s">
        <v>3714</v>
      </c>
    </row>
    <row r="607" spans="1:28" x14ac:dyDescent="0.45">
      <c r="A607" s="2" t="s">
        <v>1186</v>
      </c>
      <c r="B607" s="2" t="s">
        <v>5702</v>
      </c>
      <c r="C607" s="2" t="s">
        <v>1110</v>
      </c>
      <c r="D607" s="2" t="s">
        <v>1111</v>
      </c>
      <c r="E607" s="2" t="s">
        <v>96</v>
      </c>
      <c r="F607" s="3">
        <v>23.7</v>
      </c>
      <c r="G607" s="3">
        <v>30.7</v>
      </c>
      <c r="H607" s="2" t="s">
        <v>1187</v>
      </c>
      <c r="I607" s="19">
        <v>5</v>
      </c>
      <c r="J607" s="34">
        <f t="shared" si="36"/>
        <v>4.3499999999999997E-2</v>
      </c>
      <c r="K607" s="34">
        <f t="shared" si="37"/>
        <v>7.0000000000000007E-2</v>
      </c>
      <c r="L607" s="34">
        <f t="shared" si="38"/>
        <v>0.28000000000000003</v>
      </c>
      <c r="M607" s="20" t="s">
        <v>3989</v>
      </c>
      <c r="N607" s="20" t="s">
        <v>3925</v>
      </c>
      <c r="O607" s="20" t="s">
        <v>3892</v>
      </c>
      <c r="P607" s="20" t="s">
        <v>3926</v>
      </c>
      <c r="Q607" s="21">
        <v>23.7</v>
      </c>
      <c r="R607" s="21">
        <v>30.7</v>
      </c>
      <c r="S607" s="21">
        <v>3.5</v>
      </c>
      <c r="T607" s="22">
        <v>0.25</v>
      </c>
      <c r="U607" s="13">
        <f t="shared" si="39"/>
        <v>-3.0000000000000027E-2</v>
      </c>
      <c r="V607" s="23">
        <v>30.62</v>
      </c>
      <c r="W607" s="23">
        <v>30.62</v>
      </c>
      <c r="X607" s="20">
        <v>74</v>
      </c>
      <c r="Y607" s="24" t="s">
        <v>3713</v>
      </c>
      <c r="Z607" s="16">
        <v>25.62</v>
      </c>
      <c r="AA607" s="17">
        <v>512.4</v>
      </c>
      <c r="AB607" s="25" t="s">
        <v>3714</v>
      </c>
    </row>
    <row r="608" spans="1:28" x14ac:dyDescent="0.45">
      <c r="A608" s="4" t="s">
        <v>1188</v>
      </c>
      <c r="B608" s="4" t="s">
        <v>5703</v>
      </c>
      <c r="C608" s="4" t="s">
        <v>1110</v>
      </c>
      <c r="D608" s="4" t="s">
        <v>1111</v>
      </c>
      <c r="E608" s="4" t="s">
        <v>96</v>
      </c>
      <c r="F608" s="5">
        <v>24.99</v>
      </c>
      <c r="G608" s="5">
        <v>32.049999999999997</v>
      </c>
      <c r="H608" s="4" t="s">
        <v>1156</v>
      </c>
      <c r="I608" s="10">
        <v>5</v>
      </c>
      <c r="J608" s="34">
        <f t="shared" si="36"/>
        <v>4.3499999999999997E-2</v>
      </c>
      <c r="K608" s="34">
        <f t="shared" si="37"/>
        <v>7.0000000000000007E-2</v>
      </c>
      <c r="L608" s="34">
        <f t="shared" si="38"/>
        <v>0.28000000000000003</v>
      </c>
      <c r="M608" s="11" t="s">
        <v>3990</v>
      </c>
      <c r="N608" s="11" t="s">
        <v>3891</v>
      </c>
      <c r="O608" s="11" t="s">
        <v>3892</v>
      </c>
      <c r="P608" s="11" t="s">
        <v>3893</v>
      </c>
      <c r="Q608" s="12">
        <v>25</v>
      </c>
      <c r="R608" s="12">
        <v>32</v>
      </c>
      <c r="S608" s="12">
        <v>3.5</v>
      </c>
      <c r="T608" s="13">
        <v>0.2</v>
      </c>
      <c r="U608" s="13">
        <f t="shared" si="39"/>
        <v>-8.0000000000000016E-2</v>
      </c>
      <c r="V608" s="14">
        <v>24.5</v>
      </c>
      <c r="W608" s="14">
        <v>24.5</v>
      </c>
      <c r="X608" s="11">
        <v>5318</v>
      </c>
      <c r="Y608" s="15" t="s">
        <v>3713</v>
      </c>
      <c r="Z608" s="16">
        <v>19.5</v>
      </c>
      <c r="AA608" s="17">
        <v>390</v>
      </c>
      <c r="AB608" s="18" t="s">
        <v>3991</v>
      </c>
    </row>
    <row r="609" spans="1:28" x14ac:dyDescent="0.45">
      <c r="A609" s="2" t="s">
        <v>1189</v>
      </c>
      <c r="B609" s="2" t="s">
        <v>5704</v>
      </c>
      <c r="C609" s="2" t="s">
        <v>1110</v>
      </c>
      <c r="D609" s="2" t="s">
        <v>1111</v>
      </c>
      <c r="E609" s="2" t="s">
        <v>96</v>
      </c>
      <c r="F609" s="3">
        <v>24</v>
      </c>
      <c r="G609" s="3">
        <v>28</v>
      </c>
      <c r="H609" s="2" t="s">
        <v>1122</v>
      </c>
      <c r="I609" s="19">
        <v>3</v>
      </c>
      <c r="J609" s="34">
        <f t="shared" si="36"/>
        <v>2.6099999999999998E-2</v>
      </c>
      <c r="K609" s="34">
        <f t="shared" si="37"/>
        <v>0.04</v>
      </c>
      <c r="L609" s="34">
        <f t="shared" si="38"/>
        <v>0.16</v>
      </c>
      <c r="M609" s="20" t="s">
        <v>3992</v>
      </c>
      <c r="N609" s="20" t="s">
        <v>3891</v>
      </c>
      <c r="O609" s="20" t="s">
        <v>3892</v>
      </c>
      <c r="P609" s="20" t="s">
        <v>3893</v>
      </c>
      <c r="Q609" s="21">
        <v>24</v>
      </c>
      <c r="R609" s="21">
        <v>28</v>
      </c>
      <c r="S609" s="21">
        <v>2</v>
      </c>
      <c r="T609" s="22">
        <v>0.2</v>
      </c>
      <c r="U609" s="13">
        <f t="shared" si="39"/>
        <v>4.0000000000000008E-2</v>
      </c>
      <c r="V609" s="23">
        <v>24.5</v>
      </c>
      <c r="W609" s="23">
        <v>24.5</v>
      </c>
      <c r="X609" s="20">
        <v>123</v>
      </c>
      <c r="Y609" s="24" t="s">
        <v>3713</v>
      </c>
      <c r="Z609" s="16">
        <v>21.5</v>
      </c>
      <c r="AA609" s="17">
        <v>716.7</v>
      </c>
      <c r="AB609" s="25" t="s">
        <v>3714</v>
      </c>
    </row>
    <row r="610" spans="1:28" x14ac:dyDescent="0.45">
      <c r="A610" s="4" t="s">
        <v>1190</v>
      </c>
      <c r="B610" s="4" t="s">
        <v>5705</v>
      </c>
      <c r="C610" s="4" t="s">
        <v>1110</v>
      </c>
      <c r="D610" s="4" t="s">
        <v>1111</v>
      </c>
      <c r="E610" s="4" t="s">
        <v>96</v>
      </c>
      <c r="F610" s="5">
        <v>25.07</v>
      </c>
      <c r="G610" s="5">
        <v>30.31</v>
      </c>
      <c r="H610" s="4" t="s">
        <v>1127</v>
      </c>
      <c r="I610" s="10">
        <v>3</v>
      </c>
      <c r="J610" s="34">
        <f t="shared" si="36"/>
        <v>2.6099999999999998E-2</v>
      </c>
      <c r="K610" s="34">
        <f t="shared" si="37"/>
        <v>0.04</v>
      </c>
      <c r="L610" s="34">
        <f t="shared" si="38"/>
        <v>0.16</v>
      </c>
      <c r="M610" s="11" t="s">
        <v>3993</v>
      </c>
      <c r="N610" s="11" t="s">
        <v>3891</v>
      </c>
      <c r="O610" s="11" t="s">
        <v>3892</v>
      </c>
      <c r="P610" s="11" t="s">
        <v>3893</v>
      </c>
      <c r="Q610" s="12">
        <v>25</v>
      </c>
      <c r="R610" s="12">
        <v>30</v>
      </c>
      <c r="S610" s="12">
        <v>2.5</v>
      </c>
      <c r="T610" s="13">
        <v>0.2</v>
      </c>
      <c r="U610" s="13">
        <f t="shared" si="39"/>
        <v>4.0000000000000008E-2</v>
      </c>
      <c r="V610" s="14">
        <v>24.5</v>
      </c>
      <c r="W610" s="14">
        <v>24.5</v>
      </c>
      <c r="X610" s="11">
        <v>225</v>
      </c>
      <c r="Y610" s="15" t="s">
        <v>3713</v>
      </c>
      <c r="Z610" s="16">
        <v>21.5</v>
      </c>
      <c r="AA610" s="17">
        <v>716.7</v>
      </c>
      <c r="AB610" s="18" t="s">
        <v>3994</v>
      </c>
    </row>
    <row r="611" spans="1:28" x14ac:dyDescent="0.45">
      <c r="A611" s="2" t="s">
        <v>1191</v>
      </c>
      <c r="B611" s="2" t="s">
        <v>5706</v>
      </c>
      <c r="C611" s="2" t="s">
        <v>1110</v>
      </c>
      <c r="D611" s="2" t="s">
        <v>1111</v>
      </c>
      <c r="E611" s="2" t="s">
        <v>96</v>
      </c>
      <c r="F611" s="3">
        <v>25.12</v>
      </c>
      <c r="G611" s="3">
        <v>28.68</v>
      </c>
      <c r="H611" s="2" t="s">
        <v>1114</v>
      </c>
      <c r="I611" s="19">
        <v>3</v>
      </c>
      <c r="J611" s="34">
        <f t="shared" si="36"/>
        <v>2.6099999999999998E-2</v>
      </c>
      <c r="K611" s="34">
        <f t="shared" si="37"/>
        <v>0.04</v>
      </c>
      <c r="L611" s="34">
        <f t="shared" si="38"/>
        <v>0.16</v>
      </c>
      <c r="M611" s="20" t="s">
        <v>3995</v>
      </c>
      <c r="N611" s="20" t="s">
        <v>3891</v>
      </c>
      <c r="O611" s="20" t="s">
        <v>3892</v>
      </c>
      <c r="P611" s="20" t="s">
        <v>3893</v>
      </c>
      <c r="Q611" s="21">
        <v>25.146000000000001</v>
      </c>
      <c r="R611" s="21">
        <v>28.702000000000002</v>
      </c>
      <c r="S611" s="21">
        <v>1.778</v>
      </c>
      <c r="T611" s="22">
        <v>0.2</v>
      </c>
      <c r="U611" s="13">
        <f t="shared" si="39"/>
        <v>4.0000000000000008E-2</v>
      </c>
      <c r="V611" s="23">
        <v>24.5</v>
      </c>
      <c r="W611" s="23">
        <v>24.5</v>
      </c>
      <c r="X611" s="20">
        <v>692</v>
      </c>
      <c r="Y611" s="24" t="s">
        <v>3737</v>
      </c>
      <c r="Z611" s="16">
        <v>21.5</v>
      </c>
      <c r="AA611" s="17">
        <v>716.7</v>
      </c>
      <c r="AB611" s="25" t="s">
        <v>3967</v>
      </c>
    </row>
    <row r="612" spans="1:28" x14ac:dyDescent="0.45">
      <c r="A612" s="4" t="s">
        <v>1192</v>
      </c>
      <c r="B612" s="4" t="s">
        <v>5707</v>
      </c>
      <c r="C612" s="4" t="s">
        <v>1110</v>
      </c>
      <c r="D612" s="4" t="s">
        <v>1111</v>
      </c>
      <c r="E612" s="4" t="s">
        <v>96</v>
      </c>
      <c r="F612" s="5">
        <v>25.7</v>
      </c>
      <c r="G612" s="5">
        <v>32.700000000000003</v>
      </c>
      <c r="H612" s="4" t="s">
        <v>1187</v>
      </c>
      <c r="I612" s="10">
        <v>7</v>
      </c>
      <c r="J612" s="34">
        <f t="shared" si="36"/>
        <v>6.0899999999999996E-2</v>
      </c>
      <c r="K612" s="34">
        <f t="shared" si="37"/>
        <v>0.09</v>
      </c>
      <c r="L612" s="34">
        <f t="shared" si="38"/>
        <v>0.36</v>
      </c>
      <c r="M612" s="11" t="s">
        <v>3996</v>
      </c>
      <c r="N612" s="11" t="s">
        <v>3925</v>
      </c>
      <c r="O612" s="11" t="s">
        <v>3892</v>
      </c>
      <c r="P612" s="11" t="s">
        <v>3926</v>
      </c>
      <c r="Q612" s="12">
        <v>25.7</v>
      </c>
      <c r="R612" s="12">
        <v>32.700000000000003</v>
      </c>
      <c r="S612" s="12">
        <v>3.5</v>
      </c>
      <c r="T612" s="13">
        <v>0.25</v>
      </c>
      <c r="U612" s="13">
        <f t="shared" si="39"/>
        <v>-0.10999999999999999</v>
      </c>
      <c r="V612" s="14">
        <v>30.62</v>
      </c>
      <c r="W612" s="14">
        <v>30.62</v>
      </c>
      <c r="X612" s="11">
        <v>336</v>
      </c>
      <c r="Y612" s="15" t="s">
        <v>3713</v>
      </c>
      <c r="Z612" s="16">
        <v>23.62</v>
      </c>
      <c r="AA612" s="17">
        <v>337.4</v>
      </c>
      <c r="AB612" s="18" t="s">
        <v>3714</v>
      </c>
    </row>
    <row r="613" spans="1:28" x14ac:dyDescent="0.45">
      <c r="A613" s="2" t="s">
        <v>1193</v>
      </c>
      <c r="B613" s="2" t="s">
        <v>5708</v>
      </c>
      <c r="C613" s="2" t="s">
        <v>1110</v>
      </c>
      <c r="D613" s="2" t="s">
        <v>1111</v>
      </c>
      <c r="E613" s="2" t="s">
        <v>96</v>
      </c>
      <c r="F613" s="3">
        <v>25</v>
      </c>
      <c r="G613" s="3">
        <v>29</v>
      </c>
      <c r="H613" s="2" t="s">
        <v>1122</v>
      </c>
      <c r="I613" s="19">
        <v>3</v>
      </c>
      <c r="J613" s="34">
        <f t="shared" si="36"/>
        <v>2.6099999999999998E-2</v>
      </c>
      <c r="K613" s="34">
        <f t="shared" si="37"/>
        <v>0.04</v>
      </c>
      <c r="L613" s="34">
        <f t="shared" si="38"/>
        <v>0.16</v>
      </c>
      <c r="M613" s="20" t="s">
        <v>3997</v>
      </c>
      <c r="N613" s="20" t="s">
        <v>3891</v>
      </c>
      <c r="O613" s="20" t="s">
        <v>3892</v>
      </c>
      <c r="P613" s="20" t="s">
        <v>3893</v>
      </c>
      <c r="Q613" s="21">
        <v>25</v>
      </c>
      <c r="R613" s="21">
        <v>29</v>
      </c>
      <c r="S613" s="21">
        <v>2</v>
      </c>
      <c r="T613" s="22">
        <v>0.2</v>
      </c>
      <c r="U613" s="13">
        <f t="shared" si="39"/>
        <v>4.0000000000000008E-2</v>
      </c>
      <c r="V613" s="23">
        <v>24.5</v>
      </c>
      <c r="W613" s="23">
        <v>24.5</v>
      </c>
      <c r="X613" s="20">
        <v>318</v>
      </c>
      <c r="Y613" s="24" t="s">
        <v>3713</v>
      </c>
      <c r="Z613" s="16">
        <v>21.5</v>
      </c>
      <c r="AA613" s="17">
        <v>716.7</v>
      </c>
      <c r="AB613" s="25" t="s">
        <v>3714</v>
      </c>
    </row>
    <row r="614" spans="1:28" x14ac:dyDescent="0.45">
      <c r="A614" s="4" t="s">
        <v>1194</v>
      </c>
      <c r="B614" s="4" t="s">
        <v>5709</v>
      </c>
      <c r="C614" s="4" t="s">
        <v>1110</v>
      </c>
      <c r="D614" s="4" t="s">
        <v>1111</v>
      </c>
      <c r="E614" s="4" t="s">
        <v>96</v>
      </c>
      <c r="F614" s="5">
        <v>26.57</v>
      </c>
      <c r="G614" s="5">
        <v>33.630000000000003</v>
      </c>
      <c r="H614" s="4" t="s">
        <v>1156</v>
      </c>
      <c r="I614" s="10">
        <v>7</v>
      </c>
      <c r="J614" s="34">
        <f t="shared" si="36"/>
        <v>6.0899999999999996E-2</v>
      </c>
      <c r="K614" s="34">
        <f t="shared" si="37"/>
        <v>0.09</v>
      </c>
      <c r="L614" s="34">
        <f t="shared" si="38"/>
        <v>0.36</v>
      </c>
      <c r="M614" s="11" t="s">
        <v>3998</v>
      </c>
      <c r="N614" s="11" t="s">
        <v>3898</v>
      </c>
      <c r="O614" s="11" t="s">
        <v>3892</v>
      </c>
      <c r="P614" s="11" t="s">
        <v>3899</v>
      </c>
      <c r="Q614" s="12">
        <v>26.67</v>
      </c>
      <c r="R614" s="12">
        <v>33.527999999999999</v>
      </c>
      <c r="S614" s="12">
        <v>3.556</v>
      </c>
      <c r="T614" s="13">
        <v>1.66</v>
      </c>
      <c r="U614" s="13">
        <f t="shared" si="39"/>
        <v>1.2999999999999998</v>
      </c>
      <c r="V614" s="14">
        <v>203.35</v>
      </c>
      <c r="W614" s="14">
        <v>203.35</v>
      </c>
      <c r="X614" s="11">
        <v>19</v>
      </c>
      <c r="Y614" s="15" t="s">
        <v>3737</v>
      </c>
      <c r="Z614" s="16">
        <v>196.35</v>
      </c>
      <c r="AA614" s="17">
        <v>2805</v>
      </c>
      <c r="AB614" s="18" t="s">
        <v>3999</v>
      </c>
    </row>
    <row r="615" spans="1:28" x14ac:dyDescent="0.45">
      <c r="A615" s="2" t="s">
        <v>1195</v>
      </c>
      <c r="B615" s="2" t="s">
        <v>5710</v>
      </c>
      <c r="C615" s="2" t="s">
        <v>1110</v>
      </c>
      <c r="D615" s="2" t="s">
        <v>1111</v>
      </c>
      <c r="E615" s="2" t="s">
        <v>96</v>
      </c>
      <c r="F615" s="3">
        <v>26.64</v>
      </c>
      <c r="G615" s="3">
        <v>31.88</v>
      </c>
      <c r="H615" s="2" t="s">
        <v>1127</v>
      </c>
      <c r="I615" s="19">
        <v>5</v>
      </c>
      <c r="J615" s="34">
        <f t="shared" si="36"/>
        <v>4.3499999999999997E-2</v>
      </c>
      <c r="K615" s="34">
        <f t="shared" si="37"/>
        <v>7.0000000000000007E-2</v>
      </c>
      <c r="L615" s="34">
        <f t="shared" si="38"/>
        <v>0.28000000000000003</v>
      </c>
      <c r="M615" s="20" t="s">
        <v>4000</v>
      </c>
      <c r="N615" s="20" t="s">
        <v>3898</v>
      </c>
      <c r="O615" s="20" t="s">
        <v>3892</v>
      </c>
      <c r="P615" s="20" t="s">
        <v>3899</v>
      </c>
      <c r="Q615" s="21">
        <v>26.67</v>
      </c>
      <c r="R615" s="21">
        <v>31.75</v>
      </c>
      <c r="S615" s="21">
        <v>2.54</v>
      </c>
      <c r="T615" s="22">
        <v>0.2</v>
      </c>
      <c r="U615" s="13">
        <f t="shared" si="39"/>
        <v>-8.0000000000000016E-2</v>
      </c>
      <c r="V615" s="23">
        <v>24.5</v>
      </c>
      <c r="W615" s="23">
        <v>24.5</v>
      </c>
      <c r="X615" s="20">
        <v>143</v>
      </c>
      <c r="Y615" s="24" t="s">
        <v>3737</v>
      </c>
      <c r="Z615" s="16">
        <v>19.5</v>
      </c>
      <c r="AA615" s="17">
        <v>390</v>
      </c>
      <c r="AB615" s="25" t="s">
        <v>4001</v>
      </c>
    </row>
    <row r="616" spans="1:28" x14ac:dyDescent="0.45">
      <c r="A616" s="4" t="s">
        <v>1196</v>
      </c>
      <c r="B616" s="4" t="s">
        <v>5711</v>
      </c>
      <c r="C616" s="4" t="s">
        <v>1110</v>
      </c>
      <c r="D616" s="4" t="s">
        <v>1111</v>
      </c>
      <c r="E616" s="4" t="s">
        <v>96</v>
      </c>
      <c r="F616" s="5">
        <v>27.7</v>
      </c>
      <c r="G616" s="5">
        <v>34.700000000000003</v>
      </c>
      <c r="H616" s="4" t="s">
        <v>1187</v>
      </c>
      <c r="I616" s="10">
        <v>7</v>
      </c>
      <c r="J616" s="34">
        <f t="shared" si="36"/>
        <v>6.0899999999999996E-2</v>
      </c>
      <c r="K616" s="34">
        <f t="shared" si="37"/>
        <v>0.09</v>
      </c>
      <c r="L616" s="34">
        <f t="shared" si="38"/>
        <v>0.36</v>
      </c>
      <c r="M616" s="11" t="s">
        <v>4002</v>
      </c>
      <c r="N616" s="11" t="s">
        <v>3891</v>
      </c>
      <c r="O616" s="11" t="s">
        <v>3892</v>
      </c>
      <c r="P616" s="11" t="s">
        <v>3893</v>
      </c>
      <c r="Q616" s="12">
        <v>27.7</v>
      </c>
      <c r="R616" s="12">
        <v>34.700000000000003</v>
      </c>
      <c r="S616" s="12">
        <v>3.5</v>
      </c>
      <c r="T616" s="13">
        <v>0.2</v>
      </c>
      <c r="U616" s="13">
        <f t="shared" si="39"/>
        <v>-0.15999999999999998</v>
      </c>
      <c r="V616" s="14">
        <v>24.5</v>
      </c>
      <c r="W616" s="14">
        <v>24.5</v>
      </c>
      <c r="X616" s="11">
        <v>606</v>
      </c>
      <c r="Y616" s="15" t="s">
        <v>3713</v>
      </c>
      <c r="Z616" s="16">
        <v>17.5</v>
      </c>
      <c r="AA616" s="17">
        <v>250</v>
      </c>
      <c r="AB616" s="18" t="s">
        <v>3714</v>
      </c>
    </row>
    <row r="617" spans="1:28" x14ac:dyDescent="0.45">
      <c r="A617" s="2" t="s">
        <v>1197</v>
      </c>
      <c r="B617" s="2" t="s">
        <v>5712</v>
      </c>
      <c r="C617" s="2" t="s">
        <v>1110</v>
      </c>
      <c r="D617" s="2" t="s">
        <v>1111</v>
      </c>
      <c r="E617" s="2" t="s">
        <v>96</v>
      </c>
      <c r="F617" s="3">
        <v>28.17</v>
      </c>
      <c r="G617" s="3">
        <v>35.229999999999997</v>
      </c>
      <c r="H617" s="2" t="s">
        <v>1156</v>
      </c>
      <c r="I617" s="19">
        <v>7</v>
      </c>
      <c r="J617" s="34">
        <f t="shared" si="36"/>
        <v>6.0899999999999996E-2</v>
      </c>
      <c r="K617" s="34">
        <f t="shared" si="37"/>
        <v>0.09</v>
      </c>
      <c r="L617" s="34">
        <f t="shared" si="38"/>
        <v>0.36</v>
      </c>
      <c r="M617" s="20" t="s">
        <v>4003</v>
      </c>
      <c r="N617" s="20" t="s">
        <v>3913</v>
      </c>
      <c r="O617" s="20" t="s">
        <v>3892</v>
      </c>
      <c r="P617" s="20" t="s">
        <v>3914</v>
      </c>
      <c r="Q617" s="21">
        <v>28.193999999999999</v>
      </c>
      <c r="R617" s="21">
        <v>35.305999999999997</v>
      </c>
      <c r="S617" s="21">
        <v>3.556</v>
      </c>
      <c r="T617" s="22">
        <v>4.68</v>
      </c>
      <c r="U617" s="13">
        <f t="shared" si="39"/>
        <v>4.3199999999999994</v>
      </c>
      <c r="V617" s="23">
        <v>573.29999999999995</v>
      </c>
      <c r="W617" s="23">
        <v>573.29999999999995</v>
      </c>
      <c r="X617" s="20">
        <v>8</v>
      </c>
      <c r="Y617" s="24" t="s">
        <v>3737</v>
      </c>
      <c r="Z617" s="16">
        <v>566.29999999999995</v>
      </c>
      <c r="AA617" s="17">
        <v>8090</v>
      </c>
      <c r="AB617" s="25" t="s">
        <v>3945</v>
      </c>
    </row>
    <row r="618" spans="1:28" x14ac:dyDescent="0.45">
      <c r="A618" s="4" t="s">
        <v>1198</v>
      </c>
      <c r="B618" s="4" t="s">
        <v>5713</v>
      </c>
      <c r="C618" s="4" t="s">
        <v>1110</v>
      </c>
      <c r="D618" s="4" t="s">
        <v>1111</v>
      </c>
      <c r="E618" s="4" t="s">
        <v>96</v>
      </c>
      <c r="F618" s="5">
        <v>28.24</v>
      </c>
      <c r="G618" s="5">
        <v>33.479999999999997</v>
      </c>
      <c r="H618" s="4" t="s">
        <v>1127</v>
      </c>
      <c r="I618" s="10">
        <v>5</v>
      </c>
      <c r="J618" s="34">
        <f t="shared" si="36"/>
        <v>4.3499999999999997E-2</v>
      </c>
      <c r="K618" s="34">
        <f t="shared" si="37"/>
        <v>7.0000000000000007E-2</v>
      </c>
      <c r="L618" s="34">
        <f t="shared" si="38"/>
        <v>0.28000000000000003</v>
      </c>
      <c r="M618" s="11" t="s">
        <v>4004</v>
      </c>
      <c r="N618" s="11" t="s">
        <v>3898</v>
      </c>
      <c r="O618" s="11" t="s">
        <v>3892</v>
      </c>
      <c r="P618" s="11" t="s">
        <v>3899</v>
      </c>
      <c r="Q618" s="12">
        <v>28.193999999999999</v>
      </c>
      <c r="R618" s="12">
        <v>33.527999999999999</v>
      </c>
      <c r="S618" s="12">
        <v>2.54</v>
      </c>
      <c r="T618" s="13">
        <v>1.49</v>
      </c>
      <c r="U618" s="13">
        <f t="shared" si="39"/>
        <v>1.21</v>
      </c>
      <c r="V618" s="14">
        <v>182.52</v>
      </c>
      <c r="W618" s="14">
        <v>182.52</v>
      </c>
      <c r="X618" s="11" t="s">
        <v>3722</v>
      </c>
      <c r="Y618" s="15" t="s">
        <v>3737</v>
      </c>
      <c r="Z618" s="16">
        <v>177.52</v>
      </c>
      <c r="AA618" s="17">
        <v>3550.4</v>
      </c>
      <c r="AB618" s="18" t="s">
        <v>3920</v>
      </c>
    </row>
    <row r="619" spans="1:28" x14ac:dyDescent="0.45">
      <c r="A619" s="2" t="s">
        <v>1199</v>
      </c>
      <c r="B619" s="2" t="s">
        <v>5714</v>
      </c>
      <c r="C619" s="2" t="s">
        <v>1110</v>
      </c>
      <c r="D619" s="2" t="s">
        <v>1111</v>
      </c>
      <c r="E619" s="2" t="s">
        <v>96</v>
      </c>
      <c r="F619" s="3">
        <v>28.3</v>
      </c>
      <c r="G619" s="3">
        <v>31.86</v>
      </c>
      <c r="H619" s="2" t="s">
        <v>1114</v>
      </c>
      <c r="I619" s="19">
        <v>3</v>
      </c>
      <c r="J619" s="34">
        <f t="shared" si="36"/>
        <v>2.6099999999999998E-2</v>
      </c>
      <c r="K619" s="34">
        <f t="shared" si="37"/>
        <v>0.04</v>
      </c>
      <c r="L619" s="34">
        <f t="shared" si="38"/>
        <v>0.16</v>
      </c>
      <c r="M619" s="20" t="s">
        <v>4005</v>
      </c>
      <c r="N619" s="20" t="s">
        <v>3891</v>
      </c>
      <c r="O619" s="20" t="s">
        <v>3892</v>
      </c>
      <c r="P619" s="20" t="s">
        <v>3893</v>
      </c>
      <c r="Q619" s="21">
        <v>28</v>
      </c>
      <c r="R619" s="21">
        <v>32</v>
      </c>
      <c r="S619" s="21">
        <v>2</v>
      </c>
      <c r="T619" s="22">
        <v>0.2</v>
      </c>
      <c r="U619" s="13">
        <f t="shared" si="39"/>
        <v>4.0000000000000008E-2</v>
      </c>
      <c r="V619" s="23">
        <v>24.5</v>
      </c>
      <c r="W619" s="23">
        <v>24.5</v>
      </c>
      <c r="X619" s="20">
        <v>613</v>
      </c>
      <c r="Y619" s="24" t="s">
        <v>3713</v>
      </c>
      <c r="Z619" s="16">
        <v>21.5</v>
      </c>
      <c r="AA619" s="17">
        <v>716.7</v>
      </c>
      <c r="AB619" s="25" t="s">
        <v>4006</v>
      </c>
    </row>
    <row r="620" spans="1:28" x14ac:dyDescent="0.45">
      <c r="A620" s="4" t="s">
        <v>1200</v>
      </c>
      <c r="B620" s="4" t="s">
        <v>5715</v>
      </c>
      <c r="C620" s="4" t="s">
        <v>1110</v>
      </c>
      <c r="D620" s="4" t="s">
        <v>1111</v>
      </c>
      <c r="E620" s="4" t="s">
        <v>96</v>
      </c>
      <c r="F620" s="5">
        <v>29.51</v>
      </c>
      <c r="G620" s="5">
        <v>40.17</v>
      </c>
      <c r="H620" s="4" t="s">
        <v>1201</v>
      </c>
      <c r="I620" s="10">
        <v>13</v>
      </c>
      <c r="J620" s="34">
        <f t="shared" si="36"/>
        <v>0.11309999999999999</v>
      </c>
      <c r="K620" s="34">
        <f t="shared" si="37"/>
        <v>0.17</v>
      </c>
      <c r="L620" s="34">
        <f t="shared" si="38"/>
        <v>0.68</v>
      </c>
      <c r="M620" s="11" t="s">
        <v>4007</v>
      </c>
      <c r="N620" s="11" t="s">
        <v>3891</v>
      </c>
      <c r="O620" s="11" t="s">
        <v>3892</v>
      </c>
      <c r="P620" s="11" t="s">
        <v>3893</v>
      </c>
      <c r="Q620" s="12">
        <v>29.463999999999999</v>
      </c>
      <c r="R620" s="12">
        <v>40.131999999999998</v>
      </c>
      <c r="S620" s="12">
        <v>5.3339999999999996</v>
      </c>
      <c r="T620" s="13">
        <v>0.34</v>
      </c>
      <c r="U620" s="13">
        <f t="shared" si="39"/>
        <v>-0.34</v>
      </c>
      <c r="V620" s="14">
        <v>41.65</v>
      </c>
      <c r="W620" s="14">
        <v>41.65</v>
      </c>
      <c r="X620" s="11">
        <v>248</v>
      </c>
      <c r="Y620" s="15" t="s">
        <v>3737</v>
      </c>
      <c r="Z620" s="16">
        <v>28.65</v>
      </c>
      <c r="AA620" s="17">
        <v>220.4</v>
      </c>
      <c r="AB620" s="18" t="s">
        <v>4008</v>
      </c>
    </row>
    <row r="621" spans="1:28" x14ac:dyDescent="0.45">
      <c r="A621" s="2" t="s">
        <v>1202</v>
      </c>
      <c r="B621" s="2" t="s">
        <v>5716</v>
      </c>
      <c r="C621" s="2" t="s">
        <v>1110</v>
      </c>
      <c r="D621" s="2" t="s">
        <v>1111</v>
      </c>
      <c r="E621" s="2" t="s">
        <v>96</v>
      </c>
      <c r="F621" s="3">
        <v>29.74</v>
      </c>
      <c r="G621" s="3">
        <v>36.799999999999997</v>
      </c>
      <c r="H621" s="2" t="s">
        <v>1156</v>
      </c>
      <c r="I621" s="19">
        <v>7</v>
      </c>
      <c r="J621" s="34">
        <f t="shared" si="36"/>
        <v>6.0899999999999996E-2</v>
      </c>
      <c r="K621" s="34">
        <f t="shared" si="37"/>
        <v>0.09</v>
      </c>
      <c r="L621" s="34">
        <f t="shared" si="38"/>
        <v>0.36</v>
      </c>
      <c r="M621" s="20" t="s">
        <v>4009</v>
      </c>
      <c r="N621" s="20" t="s">
        <v>3925</v>
      </c>
      <c r="O621" s="20" t="s">
        <v>3892</v>
      </c>
      <c r="P621" s="20" t="s">
        <v>3926</v>
      </c>
      <c r="Q621" s="21">
        <v>29.7</v>
      </c>
      <c r="R621" s="21">
        <v>36.700000000000003</v>
      </c>
      <c r="S621" s="21">
        <v>3.5</v>
      </c>
      <c r="T621" s="22">
        <v>0.23</v>
      </c>
      <c r="U621" s="13">
        <f t="shared" si="39"/>
        <v>-0.12999999999999998</v>
      </c>
      <c r="V621" s="23">
        <v>28.18</v>
      </c>
      <c r="W621" s="23">
        <v>28.18</v>
      </c>
      <c r="X621" s="20">
        <v>38</v>
      </c>
      <c r="Y621" s="24" t="s">
        <v>3713</v>
      </c>
      <c r="Z621" s="16">
        <v>21.18</v>
      </c>
      <c r="AA621" s="17">
        <v>302.60000000000002</v>
      </c>
      <c r="AB621" s="25" t="s">
        <v>3955</v>
      </c>
    </row>
    <row r="622" spans="1:28" x14ac:dyDescent="0.45">
      <c r="A622" s="4" t="s">
        <v>1203</v>
      </c>
      <c r="B622" s="4" t="s">
        <v>5717</v>
      </c>
      <c r="C622" s="4" t="s">
        <v>1110</v>
      </c>
      <c r="D622" s="4" t="s">
        <v>1111</v>
      </c>
      <c r="E622" s="4" t="s">
        <v>96</v>
      </c>
      <c r="F622" s="5">
        <v>29.82</v>
      </c>
      <c r="G622" s="5">
        <v>35.06</v>
      </c>
      <c r="H622" s="4" t="s">
        <v>1127</v>
      </c>
      <c r="I622" s="10">
        <v>5</v>
      </c>
      <c r="J622" s="34">
        <f t="shared" si="36"/>
        <v>4.3499999999999997E-2</v>
      </c>
      <c r="K622" s="34">
        <f t="shared" si="37"/>
        <v>7.0000000000000007E-2</v>
      </c>
      <c r="L622" s="34">
        <f t="shared" si="38"/>
        <v>0.28000000000000003</v>
      </c>
      <c r="M622" s="11" t="s">
        <v>4010</v>
      </c>
      <c r="N622" s="11" t="s">
        <v>3891</v>
      </c>
      <c r="O622" s="11" t="s">
        <v>3892</v>
      </c>
      <c r="P622" s="11" t="s">
        <v>3893</v>
      </c>
      <c r="Q622" s="12">
        <v>30</v>
      </c>
      <c r="R622" s="12">
        <v>35</v>
      </c>
      <c r="S622" s="12">
        <v>2.5</v>
      </c>
      <c r="T622" s="13">
        <v>0.2</v>
      </c>
      <c r="U622" s="13">
        <f t="shared" si="39"/>
        <v>-8.0000000000000016E-2</v>
      </c>
      <c r="V622" s="14">
        <v>24.5</v>
      </c>
      <c r="W622" s="14">
        <v>24.5</v>
      </c>
      <c r="X622" s="11">
        <v>286</v>
      </c>
      <c r="Y622" s="15" t="s">
        <v>3713</v>
      </c>
      <c r="Z622" s="16">
        <v>19.5</v>
      </c>
      <c r="AA622" s="17">
        <v>390</v>
      </c>
      <c r="AB622" s="18" t="s">
        <v>4011</v>
      </c>
    </row>
    <row r="623" spans="1:28" x14ac:dyDescent="0.45">
      <c r="A623" s="2" t="s">
        <v>1204</v>
      </c>
      <c r="B623" s="2" t="s">
        <v>5718</v>
      </c>
      <c r="C623" s="2" t="s">
        <v>1110</v>
      </c>
      <c r="D623" s="2" t="s">
        <v>1111</v>
      </c>
      <c r="E623" s="2" t="s">
        <v>96</v>
      </c>
      <c r="F623" s="3">
        <v>29.87</v>
      </c>
      <c r="G623" s="3">
        <v>33.43</v>
      </c>
      <c r="H623" s="2" t="s">
        <v>1114</v>
      </c>
      <c r="I623" s="19">
        <v>3</v>
      </c>
      <c r="J623" s="34">
        <f t="shared" si="36"/>
        <v>2.6099999999999998E-2</v>
      </c>
      <c r="K623" s="34">
        <f t="shared" si="37"/>
        <v>0.04</v>
      </c>
      <c r="L623" s="34">
        <f t="shared" si="38"/>
        <v>0.16</v>
      </c>
      <c r="M623" s="20" t="s">
        <v>4012</v>
      </c>
      <c r="N623" s="20" t="s">
        <v>3898</v>
      </c>
      <c r="O623" s="20" t="s">
        <v>3892</v>
      </c>
      <c r="P623" s="20" t="s">
        <v>3899</v>
      </c>
      <c r="Q623" s="21">
        <v>29.972000000000001</v>
      </c>
      <c r="R623" s="21">
        <v>33.527999999999999</v>
      </c>
      <c r="S623" s="21">
        <v>1.778</v>
      </c>
      <c r="T623" s="22">
        <v>0.21</v>
      </c>
      <c r="U623" s="13">
        <f t="shared" si="39"/>
        <v>4.9999999999999989E-2</v>
      </c>
      <c r="V623" s="23">
        <v>25.72</v>
      </c>
      <c r="W623" s="23">
        <v>25.72</v>
      </c>
      <c r="X623" s="20" t="s">
        <v>3722</v>
      </c>
      <c r="Y623" s="24" t="s">
        <v>3737</v>
      </c>
      <c r="Z623" s="16">
        <v>22.72</v>
      </c>
      <c r="AA623" s="17">
        <v>757.3</v>
      </c>
      <c r="AB623" s="25" t="s">
        <v>3999</v>
      </c>
    </row>
    <row r="624" spans="1:28" x14ac:dyDescent="0.45">
      <c r="A624" s="4" t="s">
        <v>1205</v>
      </c>
      <c r="B624" s="4" t="s">
        <v>5719</v>
      </c>
      <c r="C624" s="4" t="s">
        <v>1110</v>
      </c>
      <c r="D624" s="4" t="s">
        <v>1111</v>
      </c>
      <c r="E624" s="4" t="s">
        <v>96</v>
      </c>
      <c r="F624" s="5">
        <v>29</v>
      </c>
      <c r="G624" s="5">
        <v>35</v>
      </c>
      <c r="H624" s="4" t="s">
        <v>1149</v>
      </c>
      <c r="I624" s="10">
        <v>5</v>
      </c>
      <c r="J624" s="34">
        <f t="shared" si="36"/>
        <v>4.3499999999999997E-2</v>
      </c>
      <c r="K624" s="34">
        <f t="shared" si="37"/>
        <v>7.0000000000000007E-2</v>
      </c>
      <c r="L624" s="34">
        <f t="shared" si="38"/>
        <v>0.28000000000000003</v>
      </c>
      <c r="M624" s="11" t="s">
        <v>4013</v>
      </c>
      <c r="N624" s="11" t="s">
        <v>3891</v>
      </c>
      <c r="O624" s="11" t="s">
        <v>3892</v>
      </c>
      <c r="P624" s="11" t="s">
        <v>3893</v>
      </c>
      <c r="Q624" s="12">
        <v>29</v>
      </c>
      <c r="R624" s="12">
        <v>35</v>
      </c>
      <c r="S624" s="12">
        <v>3</v>
      </c>
      <c r="T624" s="13">
        <v>0.2</v>
      </c>
      <c r="U624" s="13">
        <f t="shared" si="39"/>
        <v>-8.0000000000000016E-2</v>
      </c>
      <c r="V624" s="14">
        <v>24.5</v>
      </c>
      <c r="W624" s="14">
        <v>24.5</v>
      </c>
      <c r="X624" s="11">
        <v>924</v>
      </c>
      <c r="Y624" s="15" t="s">
        <v>3713</v>
      </c>
      <c r="Z624" s="16">
        <v>19.5</v>
      </c>
      <c r="AA624" s="17">
        <v>390</v>
      </c>
      <c r="AB624" s="18" t="s">
        <v>3714</v>
      </c>
    </row>
    <row r="625" spans="1:28" x14ac:dyDescent="0.45">
      <c r="A625" s="2" t="s">
        <v>1206</v>
      </c>
      <c r="B625" s="2" t="s">
        <v>5720</v>
      </c>
      <c r="C625" s="2" t="s">
        <v>1110</v>
      </c>
      <c r="D625" s="2" t="s">
        <v>1111</v>
      </c>
      <c r="E625" s="2" t="s">
        <v>96</v>
      </c>
      <c r="F625" s="3">
        <v>30</v>
      </c>
      <c r="G625" s="3">
        <v>36</v>
      </c>
      <c r="H625" s="2" t="s">
        <v>1149</v>
      </c>
      <c r="I625" s="19">
        <v>5</v>
      </c>
      <c r="J625" s="34">
        <f t="shared" si="36"/>
        <v>4.3499999999999997E-2</v>
      </c>
      <c r="K625" s="34">
        <f t="shared" si="37"/>
        <v>7.0000000000000007E-2</v>
      </c>
      <c r="L625" s="34">
        <f t="shared" si="38"/>
        <v>0.28000000000000003</v>
      </c>
      <c r="M625" s="20" t="s">
        <v>4014</v>
      </c>
      <c r="N625" s="20" t="s">
        <v>3898</v>
      </c>
      <c r="O625" s="20" t="s">
        <v>3892</v>
      </c>
      <c r="P625" s="20" t="s">
        <v>3899</v>
      </c>
      <c r="Q625" s="21">
        <v>30</v>
      </c>
      <c r="R625" s="21">
        <v>36</v>
      </c>
      <c r="S625" s="21">
        <v>3</v>
      </c>
      <c r="T625" s="22">
        <v>0.77</v>
      </c>
      <c r="U625" s="13">
        <f t="shared" si="39"/>
        <v>0.49</v>
      </c>
      <c r="V625" s="23">
        <v>94.32</v>
      </c>
      <c r="W625" s="23">
        <v>94.32</v>
      </c>
      <c r="X625" s="20">
        <v>7</v>
      </c>
      <c r="Y625" s="24" t="s">
        <v>3713</v>
      </c>
      <c r="Z625" s="16">
        <v>89.32</v>
      </c>
      <c r="AA625" s="17">
        <v>1786.4</v>
      </c>
      <c r="AB625" s="25" t="s">
        <v>3714</v>
      </c>
    </row>
    <row r="626" spans="1:28" x14ac:dyDescent="0.45">
      <c r="A626" s="4" t="s">
        <v>1207</v>
      </c>
      <c r="B626" s="4" t="s">
        <v>5721</v>
      </c>
      <c r="C626" s="4" t="s">
        <v>1110</v>
      </c>
      <c r="D626" s="4" t="s">
        <v>1111</v>
      </c>
      <c r="E626" s="4" t="s">
        <v>96</v>
      </c>
      <c r="F626" s="5">
        <v>31.12</v>
      </c>
      <c r="G626" s="5">
        <v>41.78</v>
      </c>
      <c r="H626" s="4" t="s">
        <v>1201</v>
      </c>
      <c r="I626" s="10">
        <v>13</v>
      </c>
      <c r="J626" s="34">
        <f t="shared" si="36"/>
        <v>0.11309999999999999</v>
      </c>
      <c r="K626" s="34">
        <f t="shared" si="37"/>
        <v>0.17</v>
      </c>
      <c r="L626" s="34">
        <f t="shared" si="38"/>
        <v>0.68</v>
      </c>
      <c r="M626" s="11" t="s">
        <v>4015</v>
      </c>
      <c r="N626" s="11" t="s">
        <v>3898</v>
      </c>
      <c r="O626" s="11" t="s">
        <v>3892</v>
      </c>
      <c r="P626" s="11" t="s">
        <v>3899</v>
      </c>
      <c r="Q626" s="12">
        <v>31.242000000000001</v>
      </c>
      <c r="R626" s="12">
        <v>41.91</v>
      </c>
      <c r="S626" s="12">
        <v>5.3339999999999996</v>
      </c>
      <c r="T626" s="13">
        <v>2.64</v>
      </c>
      <c r="U626" s="13">
        <f t="shared" si="39"/>
        <v>1.96</v>
      </c>
      <c r="V626" s="14">
        <v>323.39999999999998</v>
      </c>
      <c r="W626" s="14">
        <v>323.39999999999998</v>
      </c>
      <c r="X626" s="11" t="s">
        <v>3722</v>
      </c>
      <c r="Y626" s="15" t="s">
        <v>3737</v>
      </c>
      <c r="Z626" s="16">
        <v>310.39999999999998</v>
      </c>
      <c r="AA626" s="17">
        <v>2387.6999999999998</v>
      </c>
      <c r="AB626" s="18" t="s">
        <v>4016</v>
      </c>
    </row>
    <row r="627" spans="1:28" x14ac:dyDescent="0.45">
      <c r="A627" s="2" t="s">
        <v>1208</v>
      </c>
      <c r="B627" s="2" t="s">
        <v>5722</v>
      </c>
      <c r="C627" s="2" t="s">
        <v>1110</v>
      </c>
      <c r="D627" s="2" t="s">
        <v>1111</v>
      </c>
      <c r="E627" s="2" t="s">
        <v>96</v>
      </c>
      <c r="F627" s="3">
        <v>31.34</v>
      </c>
      <c r="G627" s="3">
        <v>38.4</v>
      </c>
      <c r="H627" s="2" t="s">
        <v>1156</v>
      </c>
      <c r="I627" s="19">
        <v>7</v>
      </c>
      <c r="J627" s="34">
        <f t="shared" si="36"/>
        <v>6.0899999999999996E-2</v>
      </c>
      <c r="K627" s="34">
        <f t="shared" si="37"/>
        <v>0.09</v>
      </c>
      <c r="L627" s="34">
        <f t="shared" si="38"/>
        <v>0.36</v>
      </c>
      <c r="M627" s="20" t="s">
        <v>4017</v>
      </c>
      <c r="N627" s="20" t="s">
        <v>3913</v>
      </c>
      <c r="O627" s="20" t="s">
        <v>3892</v>
      </c>
      <c r="P627" s="20" t="s">
        <v>3914</v>
      </c>
      <c r="Q627" s="21">
        <v>31.242000000000001</v>
      </c>
      <c r="R627" s="21">
        <v>38.353999999999999</v>
      </c>
      <c r="S627" s="21">
        <v>3.556</v>
      </c>
      <c r="T627" s="22">
        <v>4.3499999999999996</v>
      </c>
      <c r="U627" s="13">
        <f t="shared" si="39"/>
        <v>3.9899999999999998</v>
      </c>
      <c r="V627" s="23">
        <v>532.88</v>
      </c>
      <c r="W627" s="23">
        <v>532.88</v>
      </c>
      <c r="X627" s="20" t="s">
        <v>3722</v>
      </c>
      <c r="Y627" s="24" t="s">
        <v>3737</v>
      </c>
      <c r="Z627" s="16">
        <v>525.88</v>
      </c>
      <c r="AA627" s="17">
        <v>7512.6</v>
      </c>
      <c r="AB627" s="25" t="s">
        <v>3963</v>
      </c>
    </row>
    <row r="628" spans="1:28" x14ac:dyDescent="0.45">
      <c r="A628" s="4" t="s">
        <v>1209</v>
      </c>
      <c r="B628" s="4" t="s">
        <v>5723</v>
      </c>
      <c r="C628" s="4" t="s">
        <v>1110</v>
      </c>
      <c r="D628" s="4" t="s">
        <v>1111</v>
      </c>
      <c r="E628" s="4" t="s">
        <v>96</v>
      </c>
      <c r="F628" s="5">
        <v>31.42</v>
      </c>
      <c r="G628" s="5">
        <v>36.659999999999997</v>
      </c>
      <c r="H628" s="4" t="s">
        <v>1127</v>
      </c>
      <c r="I628" s="10">
        <v>5</v>
      </c>
      <c r="J628" s="34">
        <f t="shared" si="36"/>
        <v>4.3499999999999997E-2</v>
      </c>
      <c r="K628" s="34">
        <f t="shared" si="37"/>
        <v>7.0000000000000007E-2</v>
      </c>
      <c r="L628" s="34">
        <f t="shared" si="38"/>
        <v>0.28000000000000003</v>
      </c>
      <c r="M628" s="11" t="s">
        <v>4018</v>
      </c>
      <c r="N628" s="11" t="s">
        <v>3891</v>
      </c>
      <c r="O628" s="11" t="s">
        <v>3892</v>
      </c>
      <c r="P628" s="11" t="s">
        <v>3893</v>
      </c>
      <c r="Q628" s="12">
        <v>31.6</v>
      </c>
      <c r="R628" s="12">
        <v>36.4</v>
      </c>
      <c r="S628" s="12">
        <v>2.4</v>
      </c>
      <c r="T628" s="13">
        <v>0.2</v>
      </c>
      <c r="U628" s="13">
        <f t="shared" si="39"/>
        <v>-8.0000000000000016E-2</v>
      </c>
      <c r="V628" s="14">
        <v>24.5</v>
      </c>
      <c r="W628" s="14">
        <v>24.5</v>
      </c>
      <c r="X628" s="11">
        <v>5</v>
      </c>
      <c r="Y628" s="15" t="s">
        <v>3713</v>
      </c>
      <c r="Z628" s="16">
        <v>19.5</v>
      </c>
      <c r="AA628" s="17">
        <v>390</v>
      </c>
      <c r="AB628" s="18" t="s">
        <v>4019</v>
      </c>
    </row>
    <row r="629" spans="1:28" x14ac:dyDescent="0.45">
      <c r="A629" s="2" t="s">
        <v>1210</v>
      </c>
      <c r="B629" s="2" t="s">
        <v>5724</v>
      </c>
      <c r="C629" s="2" t="s">
        <v>1110</v>
      </c>
      <c r="D629" s="2" t="s">
        <v>1111</v>
      </c>
      <c r="E629" s="2" t="s">
        <v>96</v>
      </c>
      <c r="F629" s="3">
        <v>31.47</v>
      </c>
      <c r="G629" s="3">
        <v>35.03</v>
      </c>
      <c r="H629" s="2" t="s">
        <v>1114</v>
      </c>
      <c r="I629" s="19">
        <v>3</v>
      </c>
      <c r="J629" s="34">
        <f t="shared" si="36"/>
        <v>2.6099999999999998E-2</v>
      </c>
      <c r="K629" s="34">
        <f t="shared" si="37"/>
        <v>0.04</v>
      </c>
      <c r="L629" s="34">
        <f t="shared" si="38"/>
        <v>0.16</v>
      </c>
      <c r="M629" s="20" t="s">
        <v>4020</v>
      </c>
      <c r="N629" s="20" t="s">
        <v>3898</v>
      </c>
      <c r="O629" s="20" t="s">
        <v>3892</v>
      </c>
      <c r="P629" s="20" t="s">
        <v>3899</v>
      </c>
      <c r="Q629" s="21">
        <v>31.495999999999999</v>
      </c>
      <c r="R629" s="21">
        <v>35.052</v>
      </c>
      <c r="S629" s="21">
        <v>1.778</v>
      </c>
      <c r="T629" s="22">
        <v>0.2</v>
      </c>
      <c r="U629" s="13">
        <f t="shared" si="39"/>
        <v>4.0000000000000008E-2</v>
      </c>
      <c r="V629" s="23">
        <v>24.5</v>
      </c>
      <c r="W629" s="23">
        <v>24.5</v>
      </c>
      <c r="X629" s="20">
        <v>259</v>
      </c>
      <c r="Y629" s="24" t="s">
        <v>3737</v>
      </c>
      <c r="Z629" s="16">
        <v>21.5</v>
      </c>
      <c r="AA629" s="17">
        <v>716.7</v>
      </c>
      <c r="AB629" s="25" t="s">
        <v>3967</v>
      </c>
    </row>
    <row r="630" spans="1:28" x14ac:dyDescent="0.45">
      <c r="A630" s="4" t="s">
        <v>1211</v>
      </c>
      <c r="B630" s="4" t="s">
        <v>5725</v>
      </c>
      <c r="C630" s="4" t="s">
        <v>1110</v>
      </c>
      <c r="D630" s="4" t="s">
        <v>1111</v>
      </c>
      <c r="E630" s="4" t="s">
        <v>96</v>
      </c>
      <c r="F630" s="5">
        <v>32.69</v>
      </c>
      <c r="G630" s="5">
        <v>43.349999999999987</v>
      </c>
      <c r="H630" s="4" t="s">
        <v>1201</v>
      </c>
      <c r="I630" s="10">
        <v>13</v>
      </c>
      <c r="J630" s="34">
        <f t="shared" si="36"/>
        <v>0.11309999999999999</v>
      </c>
      <c r="K630" s="34">
        <f t="shared" si="37"/>
        <v>0.17</v>
      </c>
      <c r="L630" s="34">
        <f t="shared" si="38"/>
        <v>0.68</v>
      </c>
      <c r="M630" s="11" t="s">
        <v>4021</v>
      </c>
      <c r="N630" s="11" t="s">
        <v>3891</v>
      </c>
      <c r="O630" s="11" t="s">
        <v>3892</v>
      </c>
      <c r="P630" s="11" t="s">
        <v>3893</v>
      </c>
      <c r="Q630" s="12">
        <v>32.765999999999998</v>
      </c>
      <c r="R630" s="12">
        <v>43.433999999999997</v>
      </c>
      <c r="S630" s="12">
        <v>5.3339999999999996</v>
      </c>
      <c r="T630" s="13">
        <v>0.32</v>
      </c>
      <c r="U630" s="13">
        <f t="shared" si="39"/>
        <v>-0.36000000000000004</v>
      </c>
      <c r="V630" s="14">
        <v>39.200000000000003</v>
      </c>
      <c r="W630" s="14">
        <v>39.200000000000003</v>
      </c>
      <c r="X630" s="11">
        <v>180</v>
      </c>
      <c r="Y630" s="15" t="s">
        <v>3737</v>
      </c>
      <c r="Z630" s="16">
        <v>26.2</v>
      </c>
      <c r="AA630" s="17">
        <v>201.5</v>
      </c>
      <c r="AB630" s="18" t="s">
        <v>4022</v>
      </c>
    </row>
    <row r="631" spans="1:28" x14ac:dyDescent="0.45">
      <c r="A631" s="2" t="s">
        <v>1212</v>
      </c>
      <c r="B631" s="2" t="s">
        <v>5726</v>
      </c>
      <c r="C631" s="2" t="s">
        <v>1110</v>
      </c>
      <c r="D631" s="2" t="s">
        <v>1111</v>
      </c>
      <c r="E631" s="2" t="s">
        <v>96</v>
      </c>
      <c r="F631" s="3">
        <v>32.92</v>
      </c>
      <c r="G631" s="3">
        <v>39.979999999999997</v>
      </c>
      <c r="H631" s="2" t="s">
        <v>1156</v>
      </c>
      <c r="I631" s="19">
        <v>7</v>
      </c>
      <c r="J631" s="34">
        <f t="shared" si="36"/>
        <v>6.0899999999999996E-2</v>
      </c>
      <c r="K631" s="34">
        <f t="shared" si="37"/>
        <v>0.09</v>
      </c>
      <c r="L631" s="34">
        <f t="shared" si="38"/>
        <v>0.36</v>
      </c>
      <c r="M631" s="20" t="s">
        <v>4023</v>
      </c>
      <c r="N631" s="20" t="s">
        <v>3891</v>
      </c>
      <c r="O631" s="20" t="s">
        <v>3892</v>
      </c>
      <c r="P631" s="20" t="s">
        <v>3893</v>
      </c>
      <c r="Q631" s="21">
        <v>33</v>
      </c>
      <c r="R631" s="21">
        <v>40</v>
      </c>
      <c r="S631" s="21">
        <v>3.5</v>
      </c>
      <c r="T631" s="22">
        <v>0.2</v>
      </c>
      <c r="U631" s="13">
        <f t="shared" si="39"/>
        <v>-0.15999999999999998</v>
      </c>
      <c r="V631" s="23">
        <v>24.5</v>
      </c>
      <c r="W631" s="23">
        <v>24.5</v>
      </c>
      <c r="X631" s="20">
        <v>150</v>
      </c>
      <c r="Y631" s="24" t="s">
        <v>3713</v>
      </c>
      <c r="Z631" s="16">
        <v>17.5</v>
      </c>
      <c r="AA631" s="17">
        <v>250</v>
      </c>
      <c r="AB631" s="25" t="s">
        <v>4024</v>
      </c>
    </row>
    <row r="632" spans="1:28" x14ac:dyDescent="0.45">
      <c r="A632" s="4" t="s">
        <v>1213</v>
      </c>
      <c r="B632" s="4" t="s">
        <v>5727</v>
      </c>
      <c r="C632" s="4" t="s">
        <v>1110</v>
      </c>
      <c r="D632" s="4" t="s">
        <v>1111</v>
      </c>
      <c r="E632" s="4" t="s">
        <v>96</v>
      </c>
      <c r="F632" s="5">
        <v>32.99</v>
      </c>
      <c r="G632" s="5">
        <v>38.229999999999997</v>
      </c>
      <c r="H632" s="4" t="s">
        <v>1127</v>
      </c>
      <c r="I632" s="10">
        <v>5</v>
      </c>
      <c r="J632" s="34">
        <f t="shared" si="36"/>
        <v>4.3499999999999997E-2</v>
      </c>
      <c r="K632" s="34">
        <f t="shared" si="37"/>
        <v>7.0000000000000007E-2</v>
      </c>
      <c r="L632" s="34">
        <f t="shared" si="38"/>
        <v>0.28000000000000003</v>
      </c>
      <c r="M632" s="11" t="s">
        <v>4025</v>
      </c>
      <c r="N632" s="11" t="s">
        <v>3891</v>
      </c>
      <c r="O632" s="11" t="s">
        <v>3892</v>
      </c>
      <c r="P632" s="11" t="s">
        <v>3893</v>
      </c>
      <c r="Q632" s="12">
        <v>33</v>
      </c>
      <c r="R632" s="12">
        <v>38</v>
      </c>
      <c r="S632" s="12">
        <v>2.5</v>
      </c>
      <c r="T632" s="13">
        <v>0.2</v>
      </c>
      <c r="U632" s="13">
        <f t="shared" si="39"/>
        <v>-8.0000000000000016E-2</v>
      </c>
      <c r="V632" s="14">
        <v>24.5</v>
      </c>
      <c r="W632" s="14">
        <v>24.5</v>
      </c>
      <c r="X632" s="11">
        <v>866</v>
      </c>
      <c r="Y632" s="15" t="s">
        <v>3713</v>
      </c>
      <c r="Z632" s="16">
        <v>19.5</v>
      </c>
      <c r="AA632" s="17">
        <v>390</v>
      </c>
      <c r="AB632" s="18" t="s">
        <v>4026</v>
      </c>
    </row>
    <row r="633" spans="1:28" x14ac:dyDescent="0.45">
      <c r="A633" s="2" t="s">
        <v>1214</v>
      </c>
      <c r="B633" s="2" t="s">
        <v>5728</v>
      </c>
      <c r="C633" s="2" t="s">
        <v>1110</v>
      </c>
      <c r="D633" s="2" t="s">
        <v>1111</v>
      </c>
      <c r="E633" s="2" t="s">
        <v>96</v>
      </c>
      <c r="F633" s="3">
        <v>32</v>
      </c>
      <c r="G633" s="3">
        <v>38</v>
      </c>
      <c r="H633" s="2" t="s">
        <v>1149</v>
      </c>
      <c r="I633" s="19">
        <v>7</v>
      </c>
      <c r="J633" s="34">
        <f t="shared" si="36"/>
        <v>6.0899999999999996E-2</v>
      </c>
      <c r="K633" s="34">
        <f t="shared" si="37"/>
        <v>0.09</v>
      </c>
      <c r="L633" s="34">
        <f t="shared" si="38"/>
        <v>0.36</v>
      </c>
      <c r="M633" s="20" t="s">
        <v>4027</v>
      </c>
      <c r="N633" s="20" t="s">
        <v>3891</v>
      </c>
      <c r="O633" s="20" t="s">
        <v>3892</v>
      </c>
      <c r="P633" s="20" t="s">
        <v>3893</v>
      </c>
      <c r="Q633" s="21">
        <v>32</v>
      </c>
      <c r="R633" s="21">
        <v>38</v>
      </c>
      <c r="S633" s="21">
        <v>3</v>
      </c>
      <c r="T633" s="22">
        <v>0.2</v>
      </c>
      <c r="U633" s="13">
        <f t="shared" si="39"/>
        <v>-0.15999999999999998</v>
      </c>
      <c r="V633" s="23">
        <v>24.5</v>
      </c>
      <c r="W633" s="23">
        <v>24.5</v>
      </c>
      <c r="X633" s="20">
        <v>1043</v>
      </c>
      <c r="Y633" s="24" t="s">
        <v>3713</v>
      </c>
      <c r="Z633" s="16">
        <v>17.5</v>
      </c>
      <c r="AA633" s="17">
        <v>250</v>
      </c>
      <c r="AB633" s="25" t="s">
        <v>3714</v>
      </c>
    </row>
    <row r="634" spans="1:28" x14ac:dyDescent="0.45">
      <c r="A634" s="4" t="s">
        <v>1215</v>
      </c>
      <c r="B634" s="4" t="s">
        <v>5729</v>
      </c>
      <c r="C634" s="4" t="s">
        <v>1110</v>
      </c>
      <c r="D634" s="4" t="s">
        <v>1111</v>
      </c>
      <c r="E634" s="4" t="s">
        <v>96</v>
      </c>
      <c r="F634" s="5">
        <v>32</v>
      </c>
      <c r="G634" s="5">
        <v>40</v>
      </c>
      <c r="H634" s="4" t="s">
        <v>1216</v>
      </c>
      <c r="I634" s="10">
        <v>8</v>
      </c>
      <c r="J634" s="34">
        <f t="shared" si="36"/>
        <v>6.9599999999999995E-2</v>
      </c>
      <c r="K634" s="34">
        <f t="shared" si="37"/>
        <v>0.1</v>
      </c>
      <c r="L634" s="34">
        <f t="shared" si="38"/>
        <v>0.4</v>
      </c>
      <c r="M634" s="11" t="s">
        <v>4028</v>
      </c>
      <c r="N634" s="11" t="s">
        <v>3891</v>
      </c>
      <c r="O634" s="11" t="s">
        <v>3892</v>
      </c>
      <c r="P634" s="11" t="s">
        <v>3893</v>
      </c>
      <c r="Q634" s="12">
        <v>32</v>
      </c>
      <c r="R634" s="12">
        <v>40</v>
      </c>
      <c r="S634" s="12">
        <v>4</v>
      </c>
      <c r="T634" s="13">
        <v>0.24</v>
      </c>
      <c r="U634" s="13">
        <f t="shared" si="39"/>
        <v>-0.16000000000000003</v>
      </c>
      <c r="V634" s="14">
        <v>29.4</v>
      </c>
      <c r="W634" s="14">
        <v>29.4</v>
      </c>
      <c r="X634" s="11">
        <v>52</v>
      </c>
      <c r="Y634" s="15" t="s">
        <v>3713</v>
      </c>
      <c r="Z634" s="16">
        <v>21.4</v>
      </c>
      <c r="AA634" s="17">
        <v>267.5</v>
      </c>
      <c r="AB634" s="18" t="s">
        <v>3714</v>
      </c>
    </row>
    <row r="635" spans="1:28" x14ac:dyDescent="0.45">
      <c r="A635" s="2" t="s">
        <v>1217</v>
      </c>
      <c r="B635" s="2" t="s">
        <v>5730</v>
      </c>
      <c r="C635" s="2" t="s">
        <v>1110</v>
      </c>
      <c r="D635" s="2" t="s">
        <v>1111</v>
      </c>
      <c r="E635" s="2" t="s">
        <v>96</v>
      </c>
      <c r="F635" s="3">
        <v>33.049999999999997</v>
      </c>
      <c r="G635" s="3">
        <v>36.61</v>
      </c>
      <c r="H635" s="2" t="s">
        <v>1114</v>
      </c>
      <c r="I635" s="19">
        <v>3</v>
      </c>
      <c r="J635" s="34">
        <f t="shared" si="36"/>
        <v>2.6099999999999998E-2</v>
      </c>
      <c r="K635" s="34">
        <f t="shared" si="37"/>
        <v>0.04</v>
      </c>
      <c r="L635" s="34">
        <f t="shared" si="38"/>
        <v>0.16</v>
      </c>
      <c r="M635" s="20" t="s">
        <v>4029</v>
      </c>
      <c r="N635" s="20" t="s">
        <v>3891</v>
      </c>
      <c r="O635" s="20" t="s">
        <v>3892</v>
      </c>
      <c r="P635" s="20" t="s">
        <v>3893</v>
      </c>
      <c r="Q635" s="21">
        <v>33.020000000000003</v>
      </c>
      <c r="R635" s="21">
        <v>36.576000000000001</v>
      </c>
      <c r="S635" s="21">
        <v>1.778</v>
      </c>
      <c r="T635" s="22">
        <v>0.2</v>
      </c>
      <c r="U635" s="13">
        <f t="shared" si="39"/>
        <v>4.0000000000000008E-2</v>
      </c>
      <c r="V635" s="23">
        <v>24.5</v>
      </c>
      <c r="W635" s="23">
        <v>24.5</v>
      </c>
      <c r="X635" s="20">
        <v>4884</v>
      </c>
      <c r="Y635" s="24" t="s">
        <v>3737</v>
      </c>
      <c r="Z635" s="16">
        <v>21.5</v>
      </c>
      <c r="AA635" s="17">
        <v>716.7</v>
      </c>
      <c r="AB635" s="25" t="s">
        <v>3973</v>
      </c>
    </row>
    <row r="636" spans="1:28" x14ac:dyDescent="0.45">
      <c r="A636" s="4" t="s">
        <v>1218</v>
      </c>
      <c r="B636" s="4" t="s">
        <v>5731</v>
      </c>
      <c r="C636" s="4" t="s">
        <v>1110</v>
      </c>
      <c r="D636" s="4" t="s">
        <v>1111</v>
      </c>
      <c r="E636" s="4" t="s">
        <v>96</v>
      </c>
      <c r="F636" s="5">
        <v>33.700000000000003</v>
      </c>
      <c r="G636" s="5">
        <v>40.700000000000003</v>
      </c>
      <c r="H636" s="4" t="s">
        <v>1187</v>
      </c>
      <c r="I636" s="10">
        <v>8</v>
      </c>
      <c r="J636" s="34">
        <f t="shared" si="36"/>
        <v>6.9599999999999995E-2</v>
      </c>
      <c r="K636" s="34">
        <f t="shared" si="37"/>
        <v>0.1</v>
      </c>
      <c r="L636" s="34">
        <f t="shared" si="38"/>
        <v>0.4</v>
      </c>
      <c r="M636" s="11" t="s">
        <v>4030</v>
      </c>
      <c r="N636" s="11" t="s">
        <v>3891</v>
      </c>
      <c r="O636" s="11" t="s">
        <v>3892</v>
      </c>
      <c r="P636" s="11" t="s">
        <v>3893</v>
      </c>
      <c r="Q636" s="12">
        <v>33.700000000000003</v>
      </c>
      <c r="R636" s="12">
        <v>40.700000000000003</v>
      </c>
      <c r="S636" s="12">
        <v>3.5</v>
      </c>
      <c r="T636" s="13">
        <v>0.3</v>
      </c>
      <c r="U636" s="13">
        <f t="shared" si="39"/>
        <v>-0.10000000000000003</v>
      </c>
      <c r="V636" s="14">
        <v>36.75</v>
      </c>
      <c r="W636" s="14">
        <v>36.75</v>
      </c>
      <c r="X636" s="11">
        <v>8</v>
      </c>
      <c r="Y636" s="15" t="s">
        <v>3713</v>
      </c>
      <c r="Z636" s="16">
        <v>28.75</v>
      </c>
      <c r="AA636" s="17">
        <v>359.4</v>
      </c>
      <c r="AB636" s="18" t="s">
        <v>3714</v>
      </c>
    </row>
    <row r="637" spans="1:28" x14ac:dyDescent="0.45">
      <c r="A637" s="2" t="s">
        <v>1219</v>
      </c>
      <c r="B637" s="2" t="s">
        <v>5732</v>
      </c>
      <c r="C637" s="2" t="s">
        <v>1110</v>
      </c>
      <c r="D637" s="2" t="s">
        <v>1111</v>
      </c>
      <c r="E637" s="2" t="s">
        <v>96</v>
      </c>
      <c r="F637" s="3">
        <v>34.29</v>
      </c>
      <c r="G637" s="3">
        <v>44.95</v>
      </c>
      <c r="H637" s="2" t="s">
        <v>1201</v>
      </c>
      <c r="I637" s="19">
        <v>15</v>
      </c>
      <c r="J637" s="34">
        <f t="shared" si="36"/>
        <v>0.1305</v>
      </c>
      <c r="K637" s="34">
        <f t="shared" si="37"/>
        <v>0.2</v>
      </c>
      <c r="L637" s="34">
        <f t="shared" si="38"/>
        <v>0.8</v>
      </c>
      <c r="M637" s="20" t="s">
        <v>4031</v>
      </c>
      <c r="N637" s="20" t="s">
        <v>3891</v>
      </c>
      <c r="O637" s="20" t="s">
        <v>3892</v>
      </c>
      <c r="P637" s="20" t="s">
        <v>3893</v>
      </c>
      <c r="Q637" s="21">
        <v>34.29</v>
      </c>
      <c r="R637" s="21">
        <v>44.957999999999998</v>
      </c>
      <c r="S637" s="21">
        <v>5.3339999999999996</v>
      </c>
      <c r="T637" s="22">
        <v>0.36</v>
      </c>
      <c r="U637" s="13">
        <f t="shared" si="39"/>
        <v>-0.44000000000000006</v>
      </c>
      <c r="V637" s="23">
        <v>44.1</v>
      </c>
      <c r="W637" s="23">
        <v>44.1</v>
      </c>
      <c r="X637" s="20">
        <v>155</v>
      </c>
      <c r="Y637" s="24" t="s">
        <v>3737</v>
      </c>
      <c r="Z637" s="16">
        <v>29.1</v>
      </c>
      <c r="AA637" s="17">
        <v>194</v>
      </c>
      <c r="AB637" s="25" t="s">
        <v>4032</v>
      </c>
    </row>
    <row r="638" spans="1:28" x14ac:dyDescent="0.45">
      <c r="A638" s="4" t="s">
        <v>1220</v>
      </c>
      <c r="B638" s="4" t="s">
        <v>5733</v>
      </c>
      <c r="C638" s="4" t="s">
        <v>1110</v>
      </c>
      <c r="D638" s="4" t="s">
        <v>1111</v>
      </c>
      <c r="E638" s="4" t="s">
        <v>96</v>
      </c>
      <c r="F638" s="5">
        <v>34.4</v>
      </c>
      <c r="G638" s="5">
        <v>40.6</v>
      </c>
      <c r="H638" s="4" t="s">
        <v>1221</v>
      </c>
      <c r="I638" s="10">
        <v>8</v>
      </c>
      <c r="J638" s="34">
        <f t="shared" si="36"/>
        <v>6.9599999999999995E-2</v>
      </c>
      <c r="K638" s="34">
        <f t="shared" si="37"/>
        <v>0.1</v>
      </c>
      <c r="L638" s="34">
        <f t="shared" si="38"/>
        <v>0.4</v>
      </c>
      <c r="M638" s="11" t="s">
        <v>4033</v>
      </c>
      <c r="N638" s="11" t="s">
        <v>3891</v>
      </c>
      <c r="O638" s="11" t="s">
        <v>3892</v>
      </c>
      <c r="P638" s="11" t="s">
        <v>3893</v>
      </c>
      <c r="Q638" s="12">
        <v>34.4</v>
      </c>
      <c r="R638" s="12">
        <v>40.6</v>
      </c>
      <c r="S638" s="12">
        <v>3.1</v>
      </c>
      <c r="T638" s="13">
        <v>0.35</v>
      </c>
      <c r="U638" s="13">
        <f t="shared" si="39"/>
        <v>-5.0000000000000044E-2</v>
      </c>
      <c r="V638" s="14">
        <v>42.88</v>
      </c>
      <c r="W638" s="14">
        <v>42.88</v>
      </c>
      <c r="X638" s="11">
        <v>185</v>
      </c>
      <c r="Y638" s="15" t="s">
        <v>3713</v>
      </c>
      <c r="Z638" s="16">
        <v>34.880000000000003</v>
      </c>
      <c r="AA638" s="17">
        <v>436</v>
      </c>
      <c r="AB638" s="18" t="s">
        <v>3714</v>
      </c>
    </row>
    <row r="639" spans="1:28" x14ac:dyDescent="0.45">
      <c r="A639" s="2" t="s">
        <v>1222</v>
      </c>
      <c r="B639" s="2" t="s">
        <v>5734</v>
      </c>
      <c r="C639" s="2" t="s">
        <v>1110</v>
      </c>
      <c r="D639" s="2" t="s">
        <v>1111</v>
      </c>
      <c r="E639" s="2" t="s">
        <v>96</v>
      </c>
      <c r="F639" s="3">
        <v>34.520000000000003</v>
      </c>
      <c r="G639" s="3">
        <v>41.580000000000013</v>
      </c>
      <c r="H639" s="2" t="s">
        <v>1156</v>
      </c>
      <c r="I639" s="19">
        <v>8</v>
      </c>
      <c r="J639" s="34">
        <f t="shared" si="36"/>
        <v>6.9599999999999995E-2</v>
      </c>
      <c r="K639" s="34">
        <f t="shared" si="37"/>
        <v>0.1</v>
      </c>
      <c r="L639" s="34">
        <f t="shared" si="38"/>
        <v>0.4</v>
      </c>
      <c r="M639" s="20" t="s">
        <v>4034</v>
      </c>
      <c r="N639" s="20" t="s">
        <v>3891</v>
      </c>
      <c r="O639" s="20" t="s">
        <v>3892</v>
      </c>
      <c r="P639" s="20" t="s">
        <v>3893</v>
      </c>
      <c r="Q639" s="21">
        <v>34.700000000000003</v>
      </c>
      <c r="R639" s="21">
        <v>41.7</v>
      </c>
      <c r="S639" s="21">
        <v>3.5</v>
      </c>
      <c r="T639" s="22">
        <v>0.2</v>
      </c>
      <c r="U639" s="13">
        <f t="shared" si="39"/>
        <v>-0.2</v>
      </c>
      <c r="V639" s="23">
        <v>24.5</v>
      </c>
      <c r="W639" s="23">
        <v>24.5</v>
      </c>
      <c r="X639" s="20">
        <v>4</v>
      </c>
      <c r="Y639" s="24" t="s">
        <v>3713</v>
      </c>
      <c r="Z639" s="16">
        <v>16.5</v>
      </c>
      <c r="AA639" s="17">
        <v>206.2</v>
      </c>
      <c r="AB639" s="25" t="s">
        <v>3975</v>
      </c>
    </row>
    <row r="640" spans="1:28" x14ac:dyDescent="0.45">
      <c r="A640" s="4" t="s">
        <v>1223</v>
      </c>
      <c r="B640" s="4" t="s">
        <v>5735</v>
      </c>
      <c r="C640" s="4" t="s">
        <v>1110</v>
      </c>
      <c r="D640" s="4" t="s">
        <v>1111</v>
      </c>
      <c r="E640" s="4" t="s">
        <v>96</v>
      </c>
      <c r="F640" s="5">
        <v>34.590000000000003</v>
      </c>
      <c r="G640" s="5">
        <v>39.830000000000013</v>
      </c>
      <c r="H640" s="4" t="s">
        <v>1127</v>
      </c>
      <c r="I640" s="10">
        <v>5</v>
      </c>
      <c r="J640" s="34">
        <f t="shared" si="36"/>
        <v>4.3499999999999997E-2</v>
      </c>
      <c r="K640" s="34">
        <f t="shared" si="37"/>
        <v>7.0000000000000007E-2</v>
      </c>
      <c r="L640" s="34">
        <f t="shared" si="38"/>
        <v>0.28000000000000003</v>
      </c>
      <c r="M640" s="11" t="s">
        <v>4035</v>
      </c>
      <c r="N640" s="11" t="s">
        <v>3891</v>
      </c>
      <c r="O640" s="11" t="s">
        <v>3892</v>
      </c>
      <c r="P640" s="11" t="s">
        <v>3893</v>
      </c>
      <c r="Q640" s="12">
        <v>34.543999999999997</v>
      </c>
      <c r="R640" s="12">
        <v>39.878</v>
      </c>
      <c r="S640" s="12">
        <v>2.54</v>
      </c>
      <c r="T640" s="13">
        <v>0.2</v>
      </c>
      <c r="U640" s="13">
        <f t="shared" si="39"/>
        <v>-8.0000000000000016E-2</v>
      </c>
      <c r="V640" s="14">
        <v>24.5</v>
      </c>
      <c r="W640" s="14">
        <v>24.5</v>
      </c>
      <c r="X640" s="11">
        <v>879</v>
      </c>
      <c r="Y640" s="15" t="s">
        <v>3737</v>
      </c>
      <c r="Z640" s="16">
        <v>19.5</v>
      </c>
      <c r="AA640" s="17">
        <v>390</v>
      </c>
      <c r="AB640" s="18" t="s">
        <v>3920</v>
      </c>
    </row>
    <row r="641" spans="1:28" x14ac:dyDescent="0.45">
      <c r="A641" s="2" t="s">
        <v>1224</v>
      </c>
      <c r="B641" s="2" t="s">
        <v>5736</v>
      </c>
      <c r="C641" s="2" t="s">
        <v>1110</v>
      </c>
      <c r="D641" s="2" t="s">
        <v>1111</v>
      </c>
      <c r="E641" s="2" t="s">
        <v>96</v>
      </c>
      <c r="F641" s="3">
        <v>34.65</v>
      </c>
      <c r="G641" s="3">
        <v>38.21</v>
      </c>
      <c r="H641" s="2" t="s">
        <v>1114</v>
      </c>
      <c r="I641" s="19">
        <v>3</v>
      </c>
      <c r="J641" s="34">
        <f t="shared" si="36"/>
        <v>2.6099999999999998E-2</v>
      </c>
      <c r="K641" s="34">
        <f t="shared" si="37"/>
        <v>0.04</v>
      </c>
      <c r="L641" s="34">
        <f t="shared" si="38"/>
        <v>0.16</v>
      </c>
      <c r="M641" s="20" t="s">
        <v>4036</v>
      </c>
      <c r="N641" s="20" t="s">
        <v>3913</v>
      </c>
      <c r="O641" s="20" t="s">
        <v>3892</v>
      </c>
      <c r="P641" s="20" t="s">
        <v>3914</v>
      </c>
      <c r="Q641" s="21">
        <v>34.543999999999997</v>
      </c>
      <c r="R641" s="21">
        <v>38.1</v>
      </c>
      <c r="S641" s="21">
        <v>1.778</v>
      </c>
      <c r="T641" s="22">
        <v>0.34</v>
      </c>
      <c r="U641" s="13">
        <f t="shared" si="39"/>
        <v>0.18000000000000002</v>
      </c>
      <c r="V641" s="23">
        <v>41.65</v>
      </c>
      <c r="W641" s="23">
        <v>41.65</v>
      </c>
      <c r="X641" s="20">
        <v>28</v>
      </c>
      <c r="Y641" s="24" t="s">
        <v>3737</v>
      </c>
      <c r="Z641" s="16">
        <v>38.65</v>
      </c>
      <c r="AA641" s="17">
        <v>1288.3</v>
      </c>
      <c r="AB641" s="25" t="s">
        <v>4037</v>
      </c>
    </row>
    <row r="642" spans="1:28" x14ac:dyDescent="0.45">
      <c r="A642" s="4" t="s">
        <v>1225</v>
      </c>
      <c r="B642" s="4" t="s">
        <v>5737</v>
      </c>
      <c r="C642" s="4" t="s">
        <v>1110</v>
      </c>
      <c r="D642" s="4" t="s">
        <v>1111</v>
      </c>
      <c r="E642" s="4" t="s">
        <v>96</v>
      </c>
      <c r="F642" s="5">
        <v>34</v>
      </c>
      <c r="G642" s="5">
        <v>40</v>
      </c>
      <c r="H642" s="4" t="s">
        <v>1149</v>
      </c>
      <c r="I642" s="10">
        <v>7</v>
      </c>
      <c r="J642" s="34">
        <f t="shared" si="36"/>
        <v>6.0899999999999996E-2</v>
      </c>
      <c r="K642" s="34">
        <f t="shared" si="37"/>
        <v>0.09</v>
      </c>
      <c r="L642" s="34">
        <f t="shared" si="38"/>
        <v>0.36</v>
      </c>
      <c r="M642" s="11" t="s">
        <v>4038</v>
      </c>
      <c r="N642" s="11" t="s">
        <v>3891</v>
      </c>
      <c r="O642" s="11" t="s">
        <v>3892</v>
      </c>
      <c r="P642" s="11" t="s">
        <v>3893</v>
      </c>
      <c r="Q642" s="12">
        <v>34</v>
      </c>
      <c r="R642" s="12">
        <v>40</v>
      </c>
      <c r="S642" s="12">
        <v>3</v>
      </c>
      <c r="T642" s="13">
        <v>0.2</v>
      </c>
      <c r="U642" s="13">
        <f t="shared" si="39"/>
        <v>-0.15999999999999998</v>
      </c>
      <c r="V642" s="14">
        <v>24.5</v>
      </c>
      <c r="W642" s="14">
        <v>24.5</v>
      </c>
      <c r="X642" s="11">
        <v>126</v>
      </c>
      <c r="Y642" s="15" t="s">
        <v>3713</v>
      </c>
      <c r="Z642" s="16">
        <v>17.5</v>
      </c>
      <c r="AA642" s="17">
        <v>250</v>
      </c>
      <c r="AB642" s="18" t="s">
        <v>3714</v>
      </c>
    </row>
    <row r="643" spans="1:28" x14ac:dyDescent="0.45">
      <c r="A643" s="2" t="s">
        <v>1226</v>
      </c>
      <c r="B643" s="2" t="s">
        <v>5738</v>
      </c>
      <c r="C643" s="2" t="s">
        <v>1110</v>
      </c>
      <c r="D643" s="2" t="s">
        <v>1111</v>
      </c>
      <c r="E643" s="2" t="s">
        <v>96</v>
      </c>
      <c r="F643" s="3">
        <v>35</v>
      </c>
      <c r="G643" s="3">
        <v>39</v>
      </c>
      <c r="H643" s="2" t="s">
        <v>1122</v>
      </c>
      <c r="I643" s="19">
        <v>5</v>
      </c>
      <c r="J643" s="34">
        <f t="shared" si="36"/>
        <v>4.3499999999999997E-2</v>
      </c>
      <c r="K643" s="34">
        <f t="shared" si="37"/>
        <v>7.0000000000000007E-2</v>
      </c>
      <c r="L643" s="34">
        <f t="shared" si="38"/>
        <v>0.28000000000000003</v>
      </c>
      <c r="M643" s="20" t="s">
        <v>4039</v>
      </c>
      <c r="N643" s="20" t="s">
        <v>3891</v>
      </c>
      <c r="O643" s="20" t="s">
        <v>3892</v>
      </c>
      <c r="P643" s="20" t="s">
        <v>3893</v>
      </c>
      <c r="Q643" s="21">
        <v>35</v>
      </c>
      <c r="R643" s="21">
        <v>39</v>
      </c>
      <c r="S643" s="21">
        <v>2</v>
      </c>
      <c r="T643" s="22">
        <v>0.2</v>
      </c>
      <c r="U643" s="13">
        <f t="shared" si="39"/>
        <v>-8.0000000000000016E-2</v>
      </c>
      <c r="V643" s="23">
        <v>24.5</v>
      </c>
      <c r="W643" s="23">
        <v>24.5</v>
      </c>
      <c r="X643" s="20">
        <v>146</v>
      </c>
      <c r="Y643" s="24" t="s">
        <v>3713</v>
      </c>
      <c r="Z643" s="16">
        <v>19.5</v>
      </c>
      <c r="AA643" s="17">
        <v>390</v>
      </c>
      <c r="AB643" s="25" t="s">
        <v>3714</v>
      </c>
    </row>
    <row r="644" spans="1:28" x14ac:dyDescent="0.45">
      <c r="A644" s="4" t="s">
        <v>1227</v>
      </c>
      <c r="B644" s="4" t="s">
        <v>5739</v>
      </c>
      <c r="C644" s="4" t="s">
        <v>1110</v>
      </c>
      <c r="D644" s="4" t="s">
        <v>1111</v>
      </c>
      <c r="E644" s="4" t="s">
        <v>96</v>
      </c>
      <c r="F644" s="5">
        <v>36.090000000000003</v>
      </c>
      <c r="G644" s="5">
        <v>43.150000000000013</v>
      </c>
      <c r="H644" s="4" t="s">
        <v>1156</v>
      </c>
      <c r="I644" s="10">
        <v>8</v>
      </c>
      <c r="J644" s="34">
        <f t="shared" si="36"/>
        <v>6.9599999999999995E-2</v>
      </c>
      <c r="K644" s="34">
        <f t="shared" si="37"/>
        <v>0.1</v>
      </c>
      <c r="L644" s="34">
        <f t="shared" si="38"/>
        <v>0.4</v>
      </c>
      <c r="M644" s="11" t="s">
        <v>4040</v>
      </c>
      <c r="N644" s="11" t="s">
        <v>3891</v>
      </c>
      <c r="O644" s="11" t="s">
        <v>3892</v>
      </c>
      <c r="P644" s="11" t="s">
        <v>3893</v>
      </c>
      <c r="Q644" s="12">
        <v>36</v>
      </c>
      <c r="R644" s="12">
        <v>43</v>
      </c>
      <c r="S644" s="12">
        <v>3.5</v>
      </c>
      <c r="T644" s="13">
        <v>0.2</v>
      </c>
      <c r="U644" s="13">
        <f t="shared" si="39"/>
        <v>-0.2</v>
      </c>
      <c r="V644" s="14">
        <v>24.5</v>
      </c>
      <c r="W644" s="14">
        <v>24.5</v>
      </c>
      <c r="X644" s="11">
        <v>9</v>
      </c>
      <c r="Y644" s="15" t="s">
        <v>3713</v>
      </c>
      <c r="Z644" s="16">
        <v>16.5</v>
      </c>
      <c r="AA644" s="17">
        <v>206.2</v>
      </c>
      <c r="AB644" s="18" t="s">
        <v>4041</v>
      </c>
    </row>
    <row r="645" spans="1:28" x14ac:dyDescent="0.45">
      <c r="A645" s="2" t="s">
        <v>1228</v>
      </c>
      <c r="B645" s="2" t="s">
        <v>5740</v>
      </c>
      <c r="C645" s="2" t="s">
        <v>1110</v>
      </c>
      <c r="D645" s="2" t="s">
        <v>1111</v>
      </c>
      <c r="E645" s="2" t="s">
        <v>96</v>
      </c>
      <c r="F645" s="3">
        <v>36.17</v>
      </c>
      <c r="G645" s="3">
        <v>41.41</v>
      </c>
      <c r="H645" s="2" t="s">
        <v>1127</v>
      </c>
      <c r="I645" s="19">
        <v>7</v>
      </c>
      <c r="J645" s="34">
        <f t="shared" ref="J645:J708" si="40">I645*0.0087</f>
        <v>6.0899999999999996E-2</v>
      </c>
      <c r="K645" s="34">
        <f t="shared" ref="K645:K708" si="41">ROUND(J645*1.5,2)</f>
        <v>0.09</v>
      </c>
      <c r="L645" s="34">
        <f t="shared" ref="L645:L708" si="42">K645*4</f>
        <v>0.36</v>
      </c>
      <c r="M645" s="20" t="s">
        <v>4042</v>
      </c>
      <c r="N645" s="20" t="s">
        <v>3898</v>
      </c>
      <c r="O645" s="20" t="s">
        <v>3892</v>
      </c>
      <c r="P645" s="20" t="s">
        <v>3899</v>
      </c>
      <c r="Q645" s="21">
        <v>36.067999999999998</v>
      </c>
      <c r="R645" s="21">
        <v>41.402000000000001</v>
      </c>
      <c r="S645" s="21">
        <v>2.54</v>
      </c>
      <c r="T645" s="22">
        <v>0.24</v>
      </c>
      <c r="U645" s="13">
        <f t="shared" ref="U645:U708" si="43">T645-L645</f>
        <v>-0.12</v>
      </c>
      <c r="V645" s="23">
        <v>29.4</v>
      </c>
      <c r="W645" s="23">
        <v>29.4</v>
      </c>
      <c r="X645" s="20" t="s">
        <v>3722</v>
      </c>
      <c r="Y645" s="24" t="s">
        <v>3737</v>
      </c>
      <c r="Z645" s="16">
        <v>22.4</v>
      </c>
      <c r="AA645" s="17">
        <v>320</v>
      </c>
      <c r="AB645" s="25" t="s">
        <v>3985</v>
      </c>
    </row>
    <row r="646" spans="1:28" x14ac:dyDescent="0.45">
      <c r="A646" s="4" t="s">
        <v>1229</v>
      </c>
      <c r="B646" s="4" t="s">
        <v>5741</v>
      </c>
      <c r="C646" s="4" t="s">
        <v>1110</v>
      </c>
      <c r="D646" s="4" t="s">
        <v>1111</v>
      </c>
      <c r="E646" s="4" t="s">
        <v>96</v>
      </c>
      <c r="F646" s="5">
        <v>37.47</v>
      </c>
      <c r="G646" s="5">
        <v>48.13</v>
      </c>
      <c r="H646" s="4" t="s">
        <v>1201</v>
      </c>
      <c r="I646" s="10">
        <v>15</v>
      </c>
      <c r="J646" s="34">
        <f t="shared" si="40"/>
        <v>0.1305</v>
      </c>
      <c r="K646" s="34">
        <f t="shared" si="41"/>
        <v>0.2</v>
      </c>
      <c r="L646" s="34">
        <f t="shared" si="42"/>
        <v>0.8</v>
      </c>
      <c r="M646" s="11" t="s">
        <v>4043</v>
      </c>
      <c r="N646" s="11" t="s">
        <v>3891</v>
      </c>
      <c r="O646" s="11" t="s">
        <v>3892</v>
      </c>
      <c r="P646" s="11" t="s">
        <v>3893</v>
      </c>
      <c r="Q646" s="12">
        <v>37.591999999999999</v>
      </c>
      <c r="R646" s="12">
        <v>48.26</v>
      </c>
      <c r="S646" s="12">
        <v>5.3339999999999996</v>
      </c>
      <c r="T646" s="13">
        <v>0.36</v>
      </c>
      <c r="U646" s="13">
        <f t="shared" si="43"/>
        <v>-0.44000000000000006</v>
      </c>
      <c r="V646" s="14">
        <v>44.1</v>
      </c>
      <c r="W646" s="14">
        <v>44.1</v>
      </c>
      <c r="X646" s="11">
        <v>46</v>
      </c>
      <c r="Y646" s="15" t="s">
        <v>3737</v>
      </c>
      <c r="Z646" s="16">
        <v>29.1</v>
      </c>
      <c r="AA646" s="17">
        <v>194</v>
      </c>
      <c r="AB646" s="18" t="s">
        <v>4016</v>
      </c>
    </row>
    <row r="647" spans="1:28" x14ac:dyDescent="0.45">
      <c r="A647" s="2" t="s">
        <v>1230</v>
      </c>
      <c r="B647" s="2" t="s">
        <v>5742</v>
      </c>
      <c r="C647" s="2" t="s">
        <v>1110</v>
      </c>
      <c r="D647" s="2" t="s">
        <v>1111</v>
      </c>
      <c r="E647" s="2" t="s">
        <v>96</v>
      </c>
      <c r="F647" s="3">
        <v>37.5</v>
      </c>
      <c r="G647" s="3">
        <v>43.5</v>
      </c>
      <c r="H647" s="2" t="s">
        <v>1149</v>
      </c>
      <c r="I647" s="19">
        <v>8</v>
      </c>
      <c r="J647" s="34">
        <f t="shared" si="40"/>
        <v>6.9599999999999995E-2</v>
      </c>
      <c r="K647" s="34">
        <f t="shared" si="41"/>
        <v>0.1</v>
      </c>
      <c r="L647" s="34">
        <f t="shared" si="42"/>
        <v>0.4</v>
      </c>
      <c r="M647" s="20" t="s">
        <v>4044</v>
      </c>
      <c r="N647" s="20" t="s">
        <v>3891</v>
      </c>
      <c r="O647" s="20" t="s">
        <v>3892</v>
      </c>
      <c r="P647" s="20" t="s">
        <v>3893</v>
      </c>
      <c r="Q647" s="21">
        <v>37.5</v>
      </c>
      <c r="R647" s="21">
        <v>43.5</v>
      </c>
      <c r="S647" s="21">
        <v>3</v>
      </c>
      <c r="T647" s="22">
        <v>0.2</v>
      </c>
      <c r="U647" s="13">
        <f t="shared" si="43"/>
        <v>-0.2</v>
      </c>
      <c r="V647" s="23">
        <v>24.5</v>
      </c>
      <c r="W647" s="23">
        <v>24.5</v>
      </c>
      <c r="X647" s="20">
        <v>424</v>
      </c>
      <c r="Y647" s="24" t="s">
        <v>3713</v>
      </c>
      <c r="Z647" s="16">
        <v>16.5</v>
      </c>
      <c r="AA647" s="17">
        <v>206.2</v>
      </c>
      <c r="AB647" s="25" t="s">
        <v>3714</v>
      </c>
    </row>
    <row r="648" spans="1:28" x14ac:dyDescent="0.45">
      <c r="A648" s="4" t="s">
        <v>1231</v>
      </c>
      <c r="B648" s="4" t="s">
        <v>5743</v>
      </c>
      <c r="C648" s="4" t="s">
        <v>1110</v>
      </c>
      <c r="D648" s="4" t="s">
        <v>1111</v>
      </c>
      <c r="E648" s="4" t="s">
        <v>96</v>
      </c>
      <c r="F648" s="5">
        <v>37.69</v>
      </c>
      <c r="G648" s="5">
        <v>44.75</v>
      </c>
      <c r="H648" s="4" t="s">
        <v>1156</v>
      </c>
      <c r="I648" s="10">
        <v>8</v>
      </c>
      <c r="J648" s="34">
        <f t="shared" si="40"/>
        <v>6.9599999999999995E-2</v>
      </c>
      <c r="K648" s="34">
        <f t="shared" si="41"/>
        <v>0.1</v>
      </c>
      <c r="L648" s="34">
        <f t="shared" si="42"/>
        <v>0.4</v>
      </c>
      <c r="M648" s="11" t="s">
        <v>4045</v>
      </c>
      <c r="N648" s="11" t="s">
        <v>3925</v>
      </c>
      <c r="O648" s="11" t="s">
        <v>3892</v>
      </c>
      <c r="P648" s="11" t="s">
        <v>3926</v>
      </c>
      <c r="Q648" s="12">
        <v>37.700000000000003</v>
      </c>
      <c r="R648" s="12">
        <v>44.7</v>
      </c>
      <c r="S648" s="12">
        <v>3.5</v>
      </c>
      <c r="T648" s="13">
        <v>0.23</v>
      </c>
      <c r="U648" s="13">
        <f t="shared" si="43"/>
        <v>-0.17</v>
      </c>
      <c r="V648" s="14">
        <v>28.18</v>
      </c>
      <c r="W648" s="14">
        <v>28.18</v>
      </c>
      <c r="X648" s="11">
        <v>4</v>
      </c>
      <c r="Y648" s="15" t="s">
        <v>3713</v>
      </c>
      <c r="Z648" s="16">
        <v>20.18</v>
      </c>
      <c r="AA648" s="17">
        <v>252.2</v>
      </c>
      <c r="AB648" s="18" t="s">
        <v>3991</v>
      </c>
    </row>
    <row r="649" spans="1:28" x14ac:dyDescent="0.45">
      <c r="A649" s="2" t="s">
        <v>1232</v>
      </c>
      <c r="B649" s="2" t="s">
        <v>5744</v>
      </c>
      <c r="C649" s="2" t="s">
        <v>1110</v>
      </c>
      <c r="D649" s="2" t="s">
        <v>1111</v>
      </c>
      <c r="E649" s="2" t="s">
        <v>96</v>
      </c>
      <c r="F649" s="3">
        <v>37.770000000000003</v>
      </c>
      <c r="G649" s="3">
        <v>43.010000000000012</v>
      </c>
      <c r="H649" s="2" t="s">
        <v>1127</v>
      </c>
      <c r="I649" s="19">
        <v>7</v>
      </c>
      <c r="J649" s="34">
        <f t="shared" si="40"/>
        <v>6.0899999999999996E-2</v>
      </c>
      <c r="K649" s="34">
        <f t="shared" si="41"/>
        <v>0.09</v>
      </c>
      <c r="L649" s="34">
        <f t="shared" si="42"/>
        <v>0.36</v>
      </c>
      <c r="M649" s="20" t="s">
        <v>4046</v>
      </c>
      <c r="N649" s="20" t="s">
        <v>3891</v>
      </c>
      <c r="O649" s="20" t="s">
        <v>3892</v>
      </c>
      <c r="P649" s="20" t="s">
        <v>3893</v>
      </c>
      <c r="Q649" s="21">
        <v>38</v>
      </c>
      <c r="R649" s="21">
        <v>43</v>
      </c>
      <c r="S649" s="21">
        <v>2.5</v>
      </c>
      <c r="T649" s="22">
        <v>0.2</v>
      </c>
      <c r="U649" s="13">
        <f t="shared" si="43"/>
        <v>-0.15999999999999998</v>
      </c>
      <c r="V649" s="23">
        <v>24.5</v>
      </c>
      <c r="W649" s="23">
        <v>24.5</v>
      </c>
      <c r="X649" s="20">
        <v>191</v>
      </c>
      <c r="Y649" s="24" t="s">
        <v>3713</v>
      </c>
      <c r="Z649" s="16">
        <v>17.5</v>
      </c>
      <c r="AA649" s="17">
        <v>250</v>
      </c>
      <c r="AB649" s="25" t="s">
        <v>3928</v>
      </c>
    </row>
    <row r="650" spans="1:28" x14ac:dyDescent="0.45">
      <c r="A650" s="4" t="s">
        <v>1233</v>
      </c>
      <c r="B650" s="4" t="s">
        <v>5745</v>
      </c>
      <c r="C650" s="4" t="s">
        <v>1110</v>
      </c>
      <c r="D650" s="4" t="s">
        <v>1111</v>
      </c>
      <c r="E650" s="4" t="s">
        <v>96</v>
      </c>
      <c r="F650" s="5">
        <v>37.82</v>
      </c>
      <c r="G650" s="5">
        <v>41.38</v>
      </c>
      <c r="H650" s="4" t="s">
        <v>1114</v>
      </c>
      <c r="I650" s="10">
        <v>5</v>
      </c>
      <c r="J650" s="34">
        <f t="shared" si="40"/>
        <v>4.3499999999999997E-2</v>
      </c>
      <c r="K650" s="34">
        <f t="shared" si="41"/>
        <v>7.0000000000000007E-2</v>
      </c>
      <c r="L650" s="34">
        <f t="shared" si="42"/>
        <v>0.28000000000000003</v>
      </c>
      <c r="M650" s="11" t="s">
        <v>4047</v>
      </c>
      <c r="N650" s="11" t="s">
        <v>3898</v>
      </c>
      <c r="O650" s="11" t="s">
        <v>3892</v>
      </c>
      <c r="P650" s="11" t="s">
        <v>3899</v>
      </c>
      <c r="Q650" s="12">
        <v>37.845999999999997</v>
      </c>
      <c r="R650" s="12">
        <v>41.402000000000001</v>
      </c>
      <c r="S650" s="12">
        <v>1.778</v>
      </c>
      <c r="T650" s="13">
        <v>0.53</v>
      </c>
      <c r="U650" s="13">
        <f t="shared" si="43"/>
        <v>0.25</v>
      </c>
      <c r="V650" s="14">
        <v>64.92</v>
      </c>
      <c r="W650" s="14">
        <v>64.92</v>
      </c>
      <c r="X650" s="11">
        <v>49</v>
      </c>
      <c r="Y650" s="15" t="s">
        <v>3737</v>
      </c>
      <c r="Z650" s="16">
        <v>59.92</v>
      </c>
      <c r="AA650" s="17">
        <v>1198.4000000000001</v>
      </c>
      <c r="AB650" s="18" t="s">
        <v>3967</v>
      </c>
    </row>
    <row r="651" spans="1:28" x14ac:dyDescent="0.45">
      <c r="A651" s="2" t="s">
        <v>1234</v>
      </c>
      <c r="B651" s="2" t="s">
        <v>5746</v>
      </c>
      <c r="C651" s="2" t="s">
        <v>1110</v>
      </c>
      <c r="D651" s="2" t="s">
        <v>1111</v>
      </c>
      <c r="E651" s="2" t="s">
        <v>96</v>
      </c>
      <c r="F651" s="3">
        <v>38.700000000000003</v>
      </c>
      <c r="G651" s="3">
        <v>45.7</v>
      </c>
      <c r="H651" s="2" t="s">
        <v>1187</v>
      </c>
      <c r="I651" s="19">
        <v>10</v>
      </c>
      <c r="J651" s="34">
        <f t="shared" si="40"/>
        <v>8.6999999999999994E-2</v>
      </c>
      <c r="K651" s="34">
        <f t="shared" si="41"/>
        <v>0.13</v>
      </c>
      <c r="L651" s="34">
        <f t="shared" si="42"/>
        <v>0.52</v>
      </c>
      <c r="M651" s="20" t="s">
        <v>4048</v>
      </c>
      <c r="N651" s="20" t="s">
        <v>3925</v>
      </c>
      <c r="O651" s="20" t="s">
        <v>3892</v>
      </c>
      <c r="P651" s="20" t="s">
        <v>3926</v>
      </c>
      <c r="Q651" s="21">
        <v>38.700000000000003</v>
      </c>
      <c r="R651" s="21">
        <v>45.7</v>
      </c>
      <c r="S651" s="21">
        <v>3.5</v>
      </c>
      <c r="T651" s="22">
        <v>0.23</v>
      </c>
      <c r="U651" s="13">
        <f t="shared" si="43"/>
        <v>-0.29000000000000004</v>
      </c>
      <c r="V651" s="23">
        <v>28.18</v>
      </c>
      <c r="W651" s="23">
        <v>28.18</v>
      </c>
      <c r="X651" s="20">
        <v>11</v>
      </c>
      <c r="Y651" s="24" t="s">
        <v>3713</v>
      </c>
      <c r="Z651" s="16">
        <v>18.18</v>
      </c>
      <c r="AA651" s="17">
        <v>181.8</v>
      </c>
      <c r="AB651" s="25" t="s">
        <v>3714</v>
      </c>
    </row>
    <row r="652" spans="1:28" x14ac:dyDescent="0.45">
      <c r="A652" s="4" t="s">
        <v>1235</v>
      </c>
      <c r="B652" s="4" t="s">
        <v>5747</v>
      </c>
      <c r="C652" s="4" t="s">
        <v>1110</v>
      </c>
      <c r="D652" s="4" t="s">
        <v>1111</v>
      </c>
      <c r="E652" s="4" t="s">
        <v>96</v>
      </c>
      <c r="F652" s="5">
        <v>38</v>
      </c>
      <c r="G652" s="5">
        <v>42</v>
      </c>
      <c r="H652" s="4" t="s">
        <v>1122</v>
      </c>
      <c r="I652" s="10">
        <v>5</v>
      </c>
      <c r="J652" s="34">
        <f t="shared" si="40"/>
        <v>4.3499999999999997E-2</v>
      </c>
      <c r="K652" s="34">
        <f t="shared" si="41"/>
        <v>7.0000000000000007E-2</v>
      </c>
      <c r="L652" s="34">
        <f t="shared" si="42"/>
        <v>0.28000000000000003</v>
      </c>
      <c r="M652" s="11" t="s">
        <v>4049</v>
      </c>
      <c r="N652" s="11" t="s">
        <v>3891</v>
      </c>
      <c r="O652" s="11" t="s">
        <v>3892</v>
      </c>
      <c r="P652" s="11" t="s">
        <v>3893</v>
      </c>
      <c r="Q652" s="12">
        <v>38</v>
      </c>
      <c r="R652" s="12">
        <v>42</v>
      </c>
      <c r="S652" s="12">
        <v>2</v>
      </c>
      <c r="T652" s="13">
        <v>0.2</v>
      </c>
      <c r="U652" s="13">
        <f t="shared" si="43"/>
        <v>-8.0000000000000016E-2</v>
      </c>
      <c r="V652" s="14">
        <v>24.5</v>
      </c>
      <c r="W652" s="14">
        <v>24.5</v>
      </c>
      <c r="X652" s="11">
        <v>100</v>
      </c>
      <c r="Y652" s="15" t="s">
        <v>3713</v>
      </c>
      <c r="Z652" s="16">
        <v>19.5</v>
      </c>
      <c r="AA652" s="17">
        <v>390</v>
      </c>
      <c r="AB652" s="18" t="s">
        <v>3714</v>
      </c>
    </row>
    <row r="653" spans="1:28" x14ac:dyDescent="0.45">
      <c r="A653" s="2" t="s">
        <v>1236</v>
      </c>
      <c r="B653" s="2" t="s">
        <v>5748</v>
      </c>
      <c r="C653" s="2" t="s">
        <v>1110</v>
      </c>
      <c r="D653" s="2" t="s">
        <v>1111</v>
      </c>
      <c r="E653" s="2" t="s">
        <v>96</v>
      </c>
      <c r="F653" s="3">
        <v>39.340000000000003</v>
      </c>
      <c r="G653" s="3">
        <v>44.580000000000013</v>
      </c>
      <c r="H653" s="2" t="s">
        <v>1127</v>
      </c>
      <c r="I653" s="19">
        <v>7</v>
      </c>
      <c r="J653" s="34">
        <f t="shared" si="40"/>
        <v>6.0899999999999996E-2</v>
      </c>
      <c r="K653" s="34">
        <f t="shared" si="41"/>
        <v>0.09</v>
      </c>
      <c r="L653" s="34">
        <f t="shared" si="42"/>
        <v>0.36</v>
      </c>
      <c r="M653" s="20" t="s">
        <v>4050</v>
      </c>
      <c r="N653" s="20" t="s">
        <v>3891</v>
      </c>
      <c r="O653" s="20" t="s">
        <v>3892</v>
      </c>
      <c r="P653" s="20" t="s">
        <v>3893</v>
      </c>
      <c r="Q653" s="21">
        <v>39.6</v>
      </c>
      <c r="R653" s="21">
        <v>44.4</v>
      </c>
      <c r="S653" s="21">
        <v>2.4</v>
      </c>
      <c r="T653" s="22">
        <v>0.2</v>
      </c>
      <c r="U653" s="13">
        <f t="shared" si="43"/>
        <v>-0.15999999999999998</v>
      </c>
      <c r="V653" s="23">
        <v>24.5</v>
      </c>
      <c r="W653" s="23">
        <v>24.5</v>
      </c>
      <c r="X653" s="20">
        <v>636</v>
      </c>
      <c r="Y653" s="24" t="s">
        <v>3713</v>
      </c>
      <c r="Z653" s="16">
        <v>17.5</v>
      </c>
      <c r="AA653" s="17">
        <v>250</v>
      </c>
      <c r="AB653" s="25" t="s">
        <v>4051</v>
      </c>
    </row>
    <row r="654" spans="1:28" x14ac:dyDescent="0.45">
      <c r="A654" s="4" t="s">
        <v>1237</v>
      </c>
      <c r="B654" s="4" t="s">
        <v>5749</v>
      </c>
      <c r="C654" s="4" t="s">
        <v>1110</v>
      </c>
      <c r="D654" s="4" t="s">
        <v>1111</v>
      </c>
      <c r="E654" s="4" t="s">
        <v>96</v>
      </c>
      <c r="F654" s="5">
        <v>39.4</v>
      </c>
      <c r="G654" s="5">
        <v>45.6</v>
      </c>
      <c r="H654" s="4" t="s">
        <v>1221</v>
      </c>
      <c r="I654" s="10">
        <v>10</v>
      </c>
      <c r="J654" s="34">
        <f t="shared" si="40"/>
        <v>8.6999999999999994E-2</v>
      </c>
      <c r="K654" s="34">
        <f t="shared" si="41"/>
        <v>0.13</v>
      </c>
      <c r="L654" s="34">
        <f t="shared" si="42"/>
        <v>0.52</v>
      </c>
      <c r="M654" s="11" t="s">
        <v>4052</v>
      </c>
      <c r="N654" s="11" t="s">
        <v>3891</v>
      </c>
      <c r="O654" s="11" t="s">
        <v>3892</v>
      </c>
      <c r="P654" s="11" t="s">
        <v>3893</v>
      </c>
      <c r="Q654" s="12">
        <v>39.4</v>
      </c>
      <c r="R654" s="12">
        <v>45.6</v>
      </c>
      <c r="S654" s="12">
        <v>3.1</v>
      </c>
      <c r="T654" s="13">
        <v>0.27</v>
      </c>
      <c r="U654" s="13">
        <f t="shared" si="43"/>
        <v>-0.25</v>
      </c>
      <c r="V654" s="14">
        <v>33.08</v>
      </c>
      <c r="W654" s="14">
        <v>33.08</v>
      </c>
      <c r="X654" s="11">
        <v>62</v>
      </c>
      <c r="Y654" s="15" t="s">
        <v>3713</v>
      </c>
      <c r="Z654" s="16">
        <v>23.08</v>
      </c>
      <c r="AA654" s="17">
        <v>230.8</v>
      </c>
      <c r="AB654" s="18" t="s">
        <v>3714</v>
      </c>
    </row>
    <row r="655" spans="1:28" x14ac:dyDescent="0.45">
      <c r="A655" s="2" t="s">
        <v>1238</v>
      </c>
      <c r="B655" s="2" t="s">
        <v>5750</v>
      </c>
      <c r="C655" s="2" t="s">
        <v>1110</v>
      </c>
      <c r="D655" s="2" t="s">
        <v>1111</v>
      </c>
      <c r="E655" s="2" t="s">
        <v>96</v>
      </c>
      <c r="F655" s="3">
        <v>39.700000000000003</v>
      </c>
      <c r="G655" s="3">
        <v>46.7</v>
      </c>
      <c r="H655" s="2" t="s">
        <v>1187</v>
      </c>
      <c r="I655" s="19">
        <v>10</v>
      </c>
      <c r="J655" s="34">
        <f t="shared" si="40"/>
        <v>8.6999999999999994E-2</v>
      </c>
      <c r="K655" s="34">
        <f t="shared" si="41"/>
        <v>0.13</v>
      </c>
      <c r="L655" s="34">
        <f t="shared" si="42"/>
        <v>0.52</v>
      </c>
      <c r="M655" s="20" t="s">
        <v>4053</v>
      </c>
      <c r="N655" s="20" t="s">
        <v>3891</v>
      </c>
      <c r="O655" s="20" t="s">
        <v>3892</v>
      </c>
      <c r="P655" s="20" t="s">
        <v>3893</v>
      </c>
      <c r="Q655" s="21">
        <v>39.700000000000003</v>
      </c>
      <c r="R655" s="21">
        <v>46.7</v>
      </c>
      <c r="S655" s="21">
        <v>3.5</v>
      </c>
      <c r="T655" s="22">
        <v>0.27</v>
      </c>
      <c r="U655" s="13">
        <f t="shared" si="43"/>
        <v>-0.25</v>
      </c>
      <c r="V655" s="23">
        <v>33.08</v>
      </c>
      <c r="W655" s="23">
        <v>33.08</v>
      </c>
      <c r="X655" s="20">
        <v>64</v>
      </c>
      <c r="Y655" s="24" t="s">
        <v>3713</v>
      </c>
      <c r="Z655" s="16">
        <v>23.08</v>
      </c>
      <c r="AA655" s="17">
        <v>230.8</v>
      </c>
      <c r="AB655" s="25" t="s">
        <v>3714</v>
      </c>
    </row>
    <row r="656" spans="1:28" x14ac:dyDescent="0.45">
      <c r="A656" s="4" t="s">
        <v>1239</v>
      </c>
      <c r="B656" s="4" t="s">
        <v>5751</v>
      </c>
      <c r="C656" s="4" t="s">
        <v>1110</v>
      </c>
      <c r="D656" s="4" t="s">
        <v>1111</v>
      </c>
      <c r="E656" s="4" t="s">
        <v>96</v>
      </c>
      <c r="F656" s="5">
        <v>40.64</v>
      </c>
      <c r="G656" s="5">
        <v>51.3</v>
      </c>
      <c r="H656" s="4" t="s">
        <v>1201</v>
      </c>
      <c r="I656" s="10">
        <v>17</v>
      </c>
      <c r="J656" s="34">
        <f t="shared" si="40"/>
        <v>0.14789999999999998</v>
      </c>
      <c r="K656" s="34">
        <f t="shared" si="41"/>
        <v>0.22</v>
      </c>
      <c r="L656" s="34">
        <f t="shared" si="42"/>
        <v>0.88</v>
      </c>
      <c r="M656" s="11" t="s">
        <v>4054</v>
      </c>
      <c r="N656" s="11" t="s">
        <v>3891</v>
      </c>
      <c r="O656" s="11" t="s">
        <v>3892</v>
      </c>
      <c r="P656" s="11" t="s">
        <v>3893</v>
      </c>
      <c r="Q656" s="12">
        <v>40.64</v>
      </c>
      <c r="R656" s="12">
        <v>51.308</v>
      </c>
      <c r="S656" s="12">
        <v>5.3339999999999996</v>
      </c>
      <c r="T656" s="13">
        <v>0.39</v>
      </c>
      <c r="U656" s="13">
        <f t="shared" si="43"/>
        <v>-0.49</v>
      </c>
      <c r="V656" s="14">
        <v>47.78</v>
      </c>
      <c r="W656" s="14">
        <v>47.78</v>
      </c>
      <c r="X656" s="11">
        <v>139</v>
      </c>
      <c r="Y656" s="15" t="s">
        <v>3737</v>
      </c>
      <c r="Z656" s="16">
        <v>30.78</v>
      </c>
      <c r="AA656" s="17">
        <v>181.1</v>
      </c>
      <c r="AB656" s="18" t="s">
        <v>4032</v>
      </c>
    </row>
    <row r="657" spans="1:28" x14ac:dyDescent="0.45">
      <c r="A657" s="2" t="s">
        <v>1240</v>
      </c>
      <c r="B657" s="2" t="s">
        <v>5752</v>
      </c>
      <c r="C657" s="2" t="s">
        <v>1110</v>
      </c>
      <c r="D657" s="2" t="s">
        <v>1111</v>
      </c>
      <c r="E657" s="2" t="s">
        <v>96</v>
      </c>
      <c r="F657" s="3">
        <v>40.869999999999997</v>
      </c>
      <c r="G657" s="3">
        <v>47.93</v>
      </c>
      <c r="H657" s="2" t="s">
        <v>1156</v>
      </c>
      <c r="I657" s="19">
        <v>8</v>
      </c>
      <c r="J657" s="34">
        <f t="shared" si="40"/>
        <v>6.9599999999999995E-2</v>
      </c>
      <c r="K657" s="34">
        <f t="shared" si="41"/>
        <v>0.1</v>
      </c>
      <c r="L657" s="34">
        <f t="shared" si="42"/>
        <v>0.4</v>
      </c>
      <c r="M657" s="20" t="s">
        <v>4055</v>
      </c>
      <c r="N657" s="20" t="s">
        <v>3891</v>
      </c>
      <c r="O657" s="20" t="s">
        <v>3892</v>
      </c>
      <c r="P657" s="20" t="s">
        <v>3893</v>
      </c>
      <c r="Q657" s="21">
        <v>41</v>
      </c>
      <c r="R657" s="21">
        <v>48</v>
      </c>
      <c r="S657" s="21">
        <v>3.5</v>
      </c>
      <c r="T657" s="22">
        <v>0.23</v>
      </c>
      <c r="U657" s="13">
        <f t="shared" si="43"/>
        <v>-0.17</v>
      </c>
      <c r="V657" s="23">
        <v>28.18</v>
      </c>
      <c r="W657" s="23">
        <v>28.18</v>
      </c>
      <c r="X657" s="20">
        <v>526</v>
      </c>
      <c r="Y657" s="24" t="s">
        <v>3713</v>
      </c>
      <c r="Z657" s="16">
        <v>20.18</v>
      </c>
      <c r="AA657" s="17">
        <v>252.2</v>
      </c>
      <c r="AB657" s="25" t="s">
        <v>4056</v>
      </c>
    </row>
    <row r="658" spans="1:28" x14ac:dyDescent="0.45">
      <c r="A658" s="4" t="s">
        <v>1241</v>
      </c>
      <c r="B658" s="4" t="s">
        <v>5753</v>
      </c>
      <c r="C658" s="4" t="s">
        <v>1110</v>
      </c>
      <c r="D658" s="4" t="s">
        <v>1111</v>
      </c>
      <c r="E658" s="4" t="s">
        <v>96</v>
      </c>
      <c r="F658" s="5">
        <v>40.94</v>
      </c>
      <c r="G658" s="5">
        <v>46.18</v>
      </c>
      <c r="H658" s="4" t="s">
        <v>1127</v>
      </c>
      <c r="I658" s="10">
        <v>7</v>
      </c>
      <c r="J658" s="34">
        <f t="shared" si="40"/>
        <v>6.0899999999999996E-2</v>
      </c>
      <c r="K658" s="34">
        <f t="shared" si="41"/>
        <v>0.09</v>
      </c>
      <c r="L658" s="34">
        <f t="shared" si="42"/>
        <v>0.36</v>
      </c>
      <c r="M658" s="11" t="s">
        <v>4057</v>
      </c>
      <c r="N658" s="11" t="s">
        <v>3891</v>
      </c>
      <c r="O658" s="11" t="s">
        <v>3892</v>
      </c>
      <c r="P658" s="11" t="s">
        <v>3893</v>
      </c>
      <c r="Q658" s="12">
        <v>41</v>
      </c>
      <c r="R658" s="12">
        <v>46</v>
      </c>
      <c r="S658" s="12">
        <v>2.5</v>
      </c>
      <c r="T658" s="13">
        <v>0.2</v>
      </c>
      <c r="U658" s="13">
        <f t="shared" si="43"/>
        <v>-0.15999999999999998</v>
      </c>
      <c r="V658" s="14">
        <v>24.5</v>
      </c>
      <c r="W658" s="14">
        <v>24.5</v>
      </c>
      <c r="X658" s="11">
        <v>142</v>
      </c>
      <c r="Y658" s="15" t="s">
        <v>3713</v>
      </c>
      <c r="Z658" s="16">
        <v>17.5</v>
      </c>
      <c r="AA658" s="17">
        <v>250</v>
      </c>
      <c r="AB658" s="18" t="s">
        <v>3941</v>
      </c>
    </row>
    <row r="659" spans="1:28" x14ac:dyDescent="0.45">
      <c r="A659" s="2" t="s">
        <v>1242</v>
      </c>
      <c r="B659" s="2" t="s">
        <v>5754</v>
      </c>
      <c r="C659" s="2" t="s">
        <v>1110</v>
      </c>
      <c r="D659" s="2" t="s">
        <v>1111</v>
      </c>
      <c r="E659" s="2" t="s">
        <v>96</v>
      </c>
      <c r="F659" s="3">
        <v>40</v>
      </c>
      <c r="G659" s="3">
        <v>45</v>
      </c>
      <c r="H659" s="2" t="s">
        <v>1135</v>
      </c>
      <c r="I659" s="19">
        <v>7</v>
      </c>
      <c r="J659" s="34">
        <f t="shared" si="40"/>
        <v>6.0899999999999996E-2</v>
      </c>
      <c r="K659" s="34">
        <f t="shared" si="41"/>
        <v>0.09</v>
      </c>
      <c r="L659" s="34">
        <f t="shared" si="42"/>
        <v>0.36</v>
      </c>
      <c r="M659" s="20" t="s">
        <v>4058</v>
      </c>
      <c r="N659" s="20" t="s">
        <v>3898</v>
      </c>
      <c r="O659" s="20" t="s">
        <v>3892</v>
      </c>
      <c r="P659" s="20" t="s">
        <v>3899</v>
      </c>
      <c r="Q659" s="21">
        <v>40</v>
      </c>
      <c r="R659" s="21">
        <v>45</v>
      </c>
      <c r="S659" s="21">
        <v>2.5</v>
      </c>
      <c r="T659" s="22">
        <v>9.2100000000000009</v>
      </c>
      <c r="U659" s="13">
        <f t="shared" si="43"/>
        <v>8.8500000000000014</v>
      </c>
      <c r="V659" s="23">
        <v>1128.23</v>
      </c>
      <c r="W659" s="23">
        <v>1128.23</v>
      </c>
      <c r="X659" s="20" t="s">
        <v>3722</v>
      </c>
      <c r="Y659" s="24" t="s">
        <v>3713</v>
      </c>
      <c r="Z659" s="16">
        <v>1121.23</v>
      </c>
      <c r="AA659" s="17">
        <v>16017.6</v>
      </c>
      <c r="AB659" s="25" t="s">
        <v>3714</v>
      </c>
    </row>
    <row r="660" spans="1:28" x14ac:dyDescent="0.45">
      <c r="A660" s="4" t="s">
        <v>1243</v>
      </c>
      <c r="B660" s="4" t="s">
        <v>5755</v>
      </c>
      <c r="C660" s="4" t="s">
        <v>1110</v>
      </c>
      <c r="D660" s="4" t="s">
        <v>1111</v>
      </c>
      <c r="E660" s="4" t="s">
        <v>96</v>
      </c>
      <c r="F660" s="5">
        <v>40</v>
      </c>
      <c r="G660" s="5">
        <v>46</v>
      </c>
      <c r="H660" s="4" t="s">
        <v>1149</v>
      </c>
      <c r="I660" s="10">
        <v>8</v>
      </c>
      <c r="J660" s="34">
        <f t="shared" si="40"/>
        <v>6.9599999999999995E-2</v>
      </c>
      <c r="K660" s="34">
        <f t="shared" si="41"/>
        <v>0.1</v>
      </c>
      <c r="L660" s="34">
        <f t="shared" si="42"/>
        <v>0.4</v>
      </c>
      <c r="M660" s="11" t="s">
        <v>4059</v>
      </c>
      <c r="N660" s="11" t="s">
        <v>3891</v>
      </c>
      <c r="O660" s="11" t="s">
        <v>3892</v>
      </c>
      <c r="P660" s="11" t="s">
        <v>3893</v>
      </c>
      <c r="Q660" s="12">
        <v>40</v>
      </c>
      <c r="R660" s="12">
        <v>46</v>
      </c>
      <c r="S660" s="12">
        <v>3</v>
      </c>
      <c r="T660" s="13">
        <v>0.2</v>
      </c>
      <c r="U660" s="13">
        <f t="shared" si="43"/>
        <v>-0.2</v>
      </c>
      <c r="V660" s="14">
        <v>24.5</v>
      </c>
      <c r="W660" s="14">
        <v>24.5</v>
      </c>
      <c r="X660" s="11">
        <v>155</v>
      </c>
      <c r="Y660" s="15" t="s">
        <v>3713</v>
      </c>
      <c r="Z660" s="16">
        <v>16.5</v>
      </c>
      <c r="AA660" s="17">
        <v>206.2</v>
      </c>
      <c r="AB660" s="18" t="s">
        <v>3714</v>
      </c>
    </row>
    <row r="661" spans="1:28" x14ac:dyDescent="0.45">
      <c r="A661" s="2" t="s">
        <v>1244</v>
      </c>
      <c r="B661" s="2" t="s">
        <v>5756</v>
      </c>
      <c r="C661" s="2" t="s">
        <v>1110</v>
      </c>
      <c r="D661" s="2" t="s">
        <v>1111</v>
      </c>
      <c r="E661" s="2" t="s">
        <v>96</v>
      </c>
      <c r="F661" s="3">
        <v>40</v>
      </c>
      <c r="G661" s="3">
        <v>50</v>
      </c>
      <c r="H661" s="2" t="s">
        <v>1245</v>
      </c>
      <c r="I661" s="19">
        <v>17</v>
      </c>
      <c r="J661" s="34">
        <f t="shared" si="40"/>
        <v>0.14789999999999998</v>
      </c>
      <c r="K661" s="34">
        <f t="shared" si="41"/>
        <v>0.22</v>
      </c>
      <c r="L661" s="34">
        <f t="shared" si="42"/>
        <v>0.88</v>
      </c>
      <c r="M661" s="20" t="s">
        <v>4060</v>
      </c>
      <c r="N661" s="20" t="s">
        <v>3891</v>
      </c>
      <c r="O661" s="20" t="s">
        <v>3892</v>
      </c>
      <c r="P661" s="20" t="s">
        <v>3893</v>
      </c>
      <c r="Q661" s="21">
        <v>40</v>
      </c>
      <c r="R661" s="21">
        <v>50</v>
      </c>
      <c r="S661" s="21">
        <v>5</v>
      </c>
      <c r="T661" s="22">
        <v>0.34</v>
      </c>
      <c r="U661" s="13">
        <f t="shared" si="43"/>
        <v>-0.54</v>
      </c>
      <c r="V661" s="23">
        <v>41.65</v>
      </c>
      <c r="W661" s="23">
        <v>41.65</v>
      </c>
      <c r="X661" s="20">
        <v>145</v>
      </c>
      <c r="Y661" s="24" t="s">
        <v>3713</v>
      </c>
      <c r="Z661" s="16">
        <v>24.65</v>
      </c>
      <c r="AA661" s="17">
        <v>145</v>
      </c>
      <c r="AB661" s="25" t="s">
        <v>3714</v>
      </c>
    </row>
    <row r="662" spans="1:28" x14ac:dyDescent="0.45">
      <c r="A662" s="4" t="s">
        <v>1246</v>
      </c>
      <c r="B662" s="4" t="s">
        <v>5757</v>
      </c>
      <c r="C662" s="4" t="s">
        <v>1110</v>
      </c>
      <c r="D662" s="4" t="s">
        <v>1111</v>
      </c>
      <c r="E662" s="4" t="s">
        <v>96</v>
      </c>
      <c r="F662" s="5">
        <v>41</v>
      </c>
      <c r="G662" s="5">
        <v>44.56</v>
      </c>
      <c r="H662" s="4" t="s">
        <v>1114</v>
      </c>
      <c r="I662" s="10">
        <v>5</v>
      </c>
      <c r="J662" s="34">
        <f t="shared" si="40"/>
        <v>4.3499999999999997E-2</v>
      </c>
      <c r="K662" s="34">
        <f t="shared" si="41"/>
        <v>7.0000000000000007E-2</v>
      </c>
      <c r="L662" s="34">
        <f t="shared" si="42"/>
        <v>0.28000000000000003</v>
      </c>
      <c r="M662" s="11" t="s">
        <v>4061</v>
      </c>
      <c r="N662" s="11" t="s">
        <v>3891</v>
      </c>
      <c r="O662" s="11" t="s">
        <v>3892</v>
      </c>
      <c r="P662" s="11" t="s">
        <v>3893</v>
      </c>
      <c r="Q662" s="12">
        <v>41</v>
      </c>
      <c r="R662" s="12">
        <v>45</v>
      </c>
      <c r="S662" s="12">
        <v>2</v>
      </c>
      <c r="T662" s="13">
        <v>0.2</v>
      </c>
      <c r="U662" s="13">
        <f t="shared" si="43"/>
        <v>-8.0000000000000016E-2</v>
      </c>
      <c r="V662" s="14">
        <v>24.5</v>
      </c>
      <c r="W662" s="14">
        <v>24.5</v>
      </c>
      <c r="X662" s="11">
        <v>107</v>
      </c>
      <c r="Y662" s="15" t="s">
        <v>3713</v>
      </c>
      <c r="Z662" s="16">
        <v>19.5</v>
      </c>
      <c r="AA662" s="17">
        <v>390</v>
      </c>
      <c r="AB662" s="18" t="s">
        <v>4062</v>
      </c>
    </row>
    <row r="663" spans="1:28" x14ac:dyDescent="0.45">
      <c r="A663" s="2" t="s">
        <v>1247</v>
      </c>
      <c r="B663" s="2" t="s">
        <v>5758</v>
      </c>
      <c r="C663" s="2" t="s">
        <v>1110</v>
      </c>
      <c r="D663" s="2" t="s">
        <v>1111</v>
      </c>
      <c r="E663" s="2" t="s">
        <v>96</v>
      </c>
      <c r="F663" s="3">
        <v>42.52</v>
      </c>
      <c r="G663" s="3">
        <v>47.760000000000012</v>
      </c>
      <c r="H663" s="2" t="s">
        <v>1127</v>
      </c>
      <c r="I663" s="19">
        <v>7</v>
      </c>
      <c r="J663" s="34">
        <f t="shared" si="40"/>
        <v>6.0899999999999996E-2</v>
      </c>
      <c r="K663" s="34">
        <f t="shared" si="41"/>
        <v>0.09</v>
      </c>
      <c r="L663" s="34">
        <f t="shared" si="42"/>
        <v>0.36</v>
      </c>
      <c r="M663" s="20" t="s">
        <v>4063</v>
      </c>
      <c r="N663" s="20" t="s">
        <v>3891</v>
      </c>
      <c r="O663" s="20" t="s">
        <v>3892</v>
      </c>
      <c r="P663" s="20" t="s">
        <v>3893</v>
      </c>
      <c r="Q663" s="21">
        <v>42.417999999999999</v>
      </c>
      <c r="R663" s="21">
        <v>47.752000000000002</v>
      </c>
      <c r="S663" s="21">
        <v>2.54</v>
      </c>
      <c r="T663" s="22">
        <v>0.2</v>
      </c>
      <c r="U663" s="13">
        <f t="shared" si="43"/>
        <v>-0.15999999999999998</v>
      </c>
      <c r="V663" s="23">
        <v>24.5</v>
      </c>
      <c r="W663" s="23">
        <v>24.5</v>
      </c>
      <c r="X663" s="20">
        <v>2331</v>
      </c>
      <c r="Y663" s="24" t="s">
        <v>3737</v>
      </c>
      <c r="Z663" s="16">
        <v>17.5</v>
      </c>
      <c r="AA663" s="17">
        <v>250</v>
      </c>
      <c r="AB663" s="25" t="s">
        <v>3985</v>
      </c>
    </row>
    <row r="664" spans="1:28" x14ac:dyDescent="0.45">
      <c r="A664" s="4" t="s">
        <v>1248</v>
      </c>
      <c r="B664" s="4" t="s">
        <v>5759</v>
      </c>
      <c r="C664" s="4" t="s">
        <v>1110</v>
      </c>
      <c r="D664" s="4" t="s">
        <v>1111</v>
      </c>
      <c r="E664" s="4" t="s">
        <v>96</v>
      </c>
      <c r="F664" s="5">
        <v>43.7</v>
      </c>
      <c r="G664" s="5">
        <v>50.7</v>
      </c>
      <c r="H664" s="4" t="s">
        <v>1187</v>
      </c>
      <c r="I664" s="10">
        <v>12</v>
      </c>
      <c r="J664" s="34">
        <f t="shared" si="40"/>
        <v>0.10439999999999999</v>
      </c>
      <c r="K664" s="34">
        <f t="shared" si="41"/>
        <v>0.16</v>
      </c>
      <c r="L664" s="34">
        <f t="shared" si="42"/>
        <v>0.64</v>
      </c>
      <c r="M664" s="11" t="s">
        <v>4064</v>
      </c>
      <c r="N664" s="11" t="s">
        <v>3925</v>
      </c>
      <c r="O664" s="11" t="s">
        <v>3892</v>
      </c>
      <c r="P664" s="11" t="s">
        <v>3926</v>
      </c>
      <c r="Q664" s="12">
        <v>43.7</v>
      </c>
      <c r="R664" s="12">
        <v>50.7</v>
      </c>
      <c r="S664" s="12">
        <v>3.5</v>
      </c>
      <c r="T664" s="13">
        <v>0.33</v>
      </c>
      <c r="U664" s="13">
        <f t="shared" si="43"/>
        <v>-0.31</v>
      </c>
      <c r="V664" s="14">
        <v>40.43</v>
      </c>
      <c r="W664" s="14">
        <v>40.43</v>
      </c>
      <c r="X664" s="11" t="s">
        <v>3722</v>
      </c>
      <c r="Y664" s="15" t="s">
        <v>3713</v>
      </c>
      <c r="Z664" s="16">
        <v>28.43</v>
      </c>
      <c r="AA664" s="17">
        <v>236.9</v>
      </c>
      <c r="AB664" s="18" t="s">
        <v>3714</v>
      </c>
    </row>
    <row r="665" spans="1:28" x14ac:dyDescent="0.45">
      <c r="A665" s="2" t="s">
        <v>1249</v>
      </c>
      <c r="B665" s="2" t="s">
        <v>5760</v>
      </c>
      <c r="C665" s="2" t="s">
        <v>1110</v>
      </c>
      <c r="D665" s="2" t="s">
        <v>1111</v>
      </c>
      <c r="E665" s="2" t="s">
        <v>96</v>
      </c>
      <c r="F665" s="3">
        <v>43.82</v>
      </c>
      <c r="G665" s="3">
        <v>54.48</v>
      </c>
      <c r="H665" s="2" t="s">
        <v>1201</v>
      </c>
      <c r="I665" s="19">
        <v>18</v>
      </c>
      <c r="J665" s="34">
        <f t="shared" si="40"/>
        <v>0.15659999999999999</v>
      </c>
      <c r="K665" s="34">
        <f t="shared" si="41"/>
        <v>0.23</v>
      </c>
      <c r="L665" s="34">
        <f t="shared" si="42"/>
        <v>0.92</v>
      </c>
      <c r="M665" s="20" t="s">
        <v>4065</v>
      </c>
      <c r="N665" s="20" t="s">
        <v>3891</v>
      </c>
      <c r="O665" s="20" t="s">
        <v>3892</v>
      </c>
      <c r="P665" s="20" t="s">
        <v>3893</v>
      </c>
      <c r="Q665" s="21">
        <v>43.942</v>
      </c>
      <c r="R665" s="21">
        <v>54.61</v>
      </c>
      <c r="S665" s="21">
        <v>5.3339999999999996</v>
      </c>
      <c r="T665" s="22">
        <v>0.25</v>
      </c>
      <c r="U665" s="13">
        <f t="shared" si="43"/>
        <v>-0.67</v>
      </c>
      <c r="V665" s="23">
        <v>30.62</v>
      </c>
      <c r="W665" s="23">
        <v>30.62</v>
      </c>
      <c r="X665" s="20">
        <v>106</v>
      </c>
      <c r="Y665" s="24" t="s">
        <v>3737</v>
      </c>
      <c r="Z665" s="16">
        <v>12.62</v>
      </c>
      <c r="AA665" s="17">
        <v>70.099999999999994</v>
      </c>
      <c r="AB665" s="25" t="s">
        <v>4016</v>
      </c>
    </row>
    <row r="666" spans="1:28" x14ac:dyDescent="0.45">
      <c r="A666" s="4" t="s">
        <v>1250</v>
      </c>
      <c r="B666" s="4" t="s">
        <v>5761</v>
      </c>
      <c r="C666" s="4" t="s">
        <v>1110</v>
      </c>
      <c r="D666" s="4" t="s">
        <v>1111</v>
      </c>
      <c r="E666" s="4" t="s">
        <v>96</v>
      </c>
      <c r="F666" s="5">
        <v>43</v>
      </c>
      <c r="G666" s="5">
        <v>49</v>
      </c>
      <c r="H666" s="4" t="s">
        <v>1149</v>
      </c>
      <c r="I666" s="10">
        <v>8</v>
      </c>
      <c r="J666" s="34">
        <f t="shared" si="40"/>
        <v>6.9599999999999995E-2</v>
      </c>
      <c r="K666" s="34">
        <f t="shared" si="41"/>
        <v>0.1</v>
      </c>
      <c r="L666" s="34">
        <f t="shared" si="42"/>
        <v>0.4</v>
      </c>
      <c r="M666" s="11" t="s">
        <v>4066</v>
      </c>
      <c r="N666" s="11" t="s">
        <v>3891</v>
      </c>
      <c r="O666" s="11" t="s">
        <v>3892</v>
      </c>
      <c r="P666" s="11" t="s">
        <v>3893</v>
      </c>
      <c r="Q666" s="12">
        <v>43</v>
      </c>
      <c r="R666" s="12">
        <v>49</v>
      </c>
      <c r="S666" s="12">
        <v>3</v>
      </c>
      <c r="T666" s="13">
        <v>0.2</v>
      </c>
      <c r="U666" s="13">
        <f t="shared" si="43"/>
        <v>-0.2</v>
      </c>
      <c r="V666" s="14">
        <v>24.5</v>
      </c>
      <c r="W666" s="14">
        <v>24.5</v>
      </c>
      <c r="X666" s="11">
        <v>7</v>
      </c>
      <c r="Y666" s="15" t="s">
        <v>3713</v>
      </c>
      <c r="Z666" s="16">
        <v>16.5</v>
      </c>
      <c r="AA666" s="17">
        <v>206.2</v>
      </c>
      <c r="AB666" s="18" t="s">
        <v>3714</v>
      </c>
    </row>
    <row r="667" spans="1:28" x14ac:dyDescent="0.45">
      <c r="A667" s="2" t="s">
        <v>1251</v>
      </c>
      <c r="B667" s="2" t="s">
        <v>5762</v>
      </c>
      <c r="C667" s="2" t="s">
        <v>1110</v>
      </c>
      <c r="D667" s="2" t="s">
        <v>1111</v>
      </c>
      <c r="E667" s="2" t="s">
        <v>96</v>
      </c>
      <c r="F667" s="3">
        <v>44.04</v>
      </c>
      <c r="G667" s="3">
        <v>51.1</v>
      </c>
      <c r="H667" s="2" t="s">
        <v>1156</v>
      </c>
      <c r="I667" s="19">
        <v>10</v>
      </c>
      <c r="J667" s="34">
        <f t="shared" si="40"/>
        <v>8.6999999999999994E-2</v>
      </c>
      <c r="K667" s="34">
        <f t="shared" si="41"/>
        <v>0.13</v>
      </c>
      <c r="L667" s="34">
        <f t="shared" si="42"/>
        <v>0.52</v>
      </c>
      <c r="M667" s="20" t="s">
        <v>4067</v>
      </c>
      <c r="N667" s="20" t="s">
        <v>3891</v>
      </c>
      <c r="O667" s="20" t="s">
        <v>3892</v>
      </c>
      <c r="P667" s="20" t="s">
        <v>3893</v>
      </c>
      <c r="Q667" s="21">
        <v>44</v>
      </c>
      <c r="R667" s="21">
        <v>51</v>
      </c>
      <c r="S667" s="21">
        <v>3.5</v>
      </c>
      <c r="T667" s="22">
        <v>0.33</v>
      </c>
      <c r="U667" s="13">
        <f t="shared" si="43"/>
        <v>-0.19</v>
      </c>
      <c r="V667" s="23">
        <v>40.43</v>
      </c>
      <c r="W667" s="23">
        <v>40.43</v>
      </c>
      <c r="X667" s="20">
        <v>249</v>
      </c>
      <c r="Y667" s="24" t="s">
        <v>3713</v>
      </c>
      <c r="Z667" s="16">
        <v>30.43</v>
      </c>
      <c r="AA667" s="17">
        <v>304.3</v>
      </c>
      <c r="AB667" s="25" t="s">
        <v>3955</v>
      </c>
    </row>
    <row r="668" spans="1:28" x14ac:dyDescent="0.45">
      <c r="A668" s="4" t="s">
        <v>1252</v>
      </c>
      <c r="B668" s="4" t="s">
        <v>5763</v>
      </c>
      <c r="C668" s="4" t="s">
        <v>1110</v>
      </c>
      <c r="D668" s="4" t="s">
        <v>1111</v>
      </c>
      <c r="E668" s="4" t="s">
        <v>96</v>
      </c>
      <c r="F668" s="5">
        <v>44.12</v>
      </c>
      <c r="G668" s="5">
        <v>49.36</v>
      </c>
      <c r="H668" s="4" t="s">
        <v>1127</v>
      </c>
      <c r="I668" s="10">
        <v>7</v>
      </c>
      <c r="J668" s="34">
        <f t="shared" si="40"/>
        <v>6.0899999999999996E-2</v>
      </c>
      <c r="K668" s="34">
        <f t="shared" si="41"/>
        <v>0.09</v>
      </c>
      <c r="L668" s="34">
        <f t="shared" si="42"/>
        <v>0.36</v>
      </c>
      <c r="M668" s="11" t="s">
        <v>4068</v>
      </c>
      <c r="N668" s="11" t="s">
        <v>3891</v>
      </c>
      <c r="O668" s="11" t="s">
        <v>3892</v>
      </c>
      <c r="P668" s="11" t="s">
        <v>3893</v>
      </c>
      <c r="Q668" s="12">
        <v>44.195999999999998</v>
      </c>
      <c r="R668" s="12">
        <v>49.276000000000003</v>
      </c>
      <c r="S668" s="12">
        <v>2.54</v>
      </c>
      <c r="T668" s="13">
        <v>0.2</v>
      </c>
      <c r="U668" s="13">
        <f t="shared" si="43"/>
        <v>-0.15999999999999998</v>
      </c>
      <c r="V668" s="14">
        <v>24.5</v>
      </c>
      <c r="W668" s="14">
        <v>24.5</v>
      </c>
      <c r="X668" s="11">
        <v>340</v>
      </c>
      <c r="Y668" s="15" t="s">
        <v>3737</v>
      </c>
      <c r="Z668" s="16">
        <v>17.5</v>
      </c>
      <c r="AA668" s="17">
        <v>250</v>
      </c>
      <c r="AB668" s="18" t="s">
        <v>4022</v>
      </c>
    </row>
    <row r="669" spans="1:28" x14ac:dyDescent="0.45">
      <c r="A669" s="2" t="s">
        <v>1253</v>
      </c>
      <c r="B669" s="2" t="s">
        <v>5764</v>
      </c>
      <c r="C669" s="2" t="s">
        <v>1110</v>
      </c>
      <c r="D669" s="2" t="s">
        <v>1111</v>
      </c>
      <c r="E669" s="2" t="s">
        <v>96</v>
      </c>
      <c r="F669" s="3">
        <v>44.17</v>
      </c>
      <c r="G669" s="3">
        <v>47.73</v>
      </c>
      <c r="H669" s="2" t="s">
        <v>1114</v>
      </c>
      <c r="I669" s="19">
        <v>5</v>
      </c>
      <c r="J669" s="34">
        <f t="shared" si="40"/>
        <v>4.3499999999999997E-2</v>
      </c>
      <c r="K669" s="34">
        <f t="shared" si="41"/>
        <v>7.0000000000000007E-2</v>
      </c>
      <c r="L669" s="34">
        <f t="shared" si="42"/>
        <v>0.28000000000000003</v>
      </c>
      <c r="M669" s="20" t="s">
        <v>4069</v>
      </c>
      <c r="N669" s="20" t="s">
        <v>3898</v>
      </c>
      <c r="O669" s="20" t="s">
        <v>3892</v>
      </c>
      <c r="P669" s="20" t="s">
        <v>3899</v>
      </c>
      <c r="Q669" s="21">
        <v>44.195999999999998</v>
      </c>
      <c r="R669" s="21">
        <v>47.752000000000002</v>
      </c>
      <c r="S669" s="21">
        <v>1.778</v>
      </c>
      <c r="T669" s="22">
        <v>1.76</v>
      </c>
      <c r="U669" s="13">
        <f t="shared" si="43"/>
        <v>1.48</v>
      </c>
      <c r="V669" s="23">
        <v>215.6</v>
      </c>
      <c r="W669" s="23">
        <v>215.6</v>
      </c>
      <c r="X669" s="20">
        <v>5</v>
      </c>
      <c r="Y669" s="24" t="s">
        <v>3737</v>
      </c>
      <c r="Z669" s="16">
        <v>210.6</v>
      </c>
      <c r="AA669" s="17">
        <v>4212</v>
      </c>
      <c r="AB669" s="25" t="s">
        <v>3967</v>
      </c>
    </row>
    <row r="670" spans="1:28" x14ac:dyDescent="0.45">
      <c r="A670" s="4" t="s">
        <v>1254</v>
      </c>
      <c r="B670" s="4" t="s">
        <v>5765</v>
      </c>
      <c r="C670" s="4" t="s">
        <v>1110</v>
      </c>
      <c r="D670" s="4" t="s">
        <v>1111</v>
      </c>
      <c r="E670" s="4" t="s">
        <v>96</v>
      </c>
      <c r="F670" s="5">
        <v>44.4</v>
      </c>
      <c r="G670" s="5">
        <v>50.6</v>
      </c>
      <c r="H670" s="4" t="s">
        <v>1221</v>
      </c>
      <c r="I670" s="10">
        <v>12</v>
      </c>
      <c r="J670" s="34">
        <f t="shared" si="40"/>
        <v>0.10439999999999999</v>
      </c>
      <c r="K670" s="34">
        <f t="shared" si="41"/>
        <v>0.16</v>
      </c>
      <c r="L670" s="34">
        <f t="shared" si="42"/>
        <v>0.64</v>
      </c>
      <c r="M670" s="11" t="s">
        <v>4070</v>
      </c>
      <c r="N670" s="11" t="s">
        <v>3891</v>
      </c>
      <c r="O670" s="11" t="s">
        <v>3892</v>
      </c>
      <c r="P670" s="11" t="s">
        <v>3893</v>
      </c>
      <c r="Q670" s="12">
        <v>44.4</v>
      </c>
      <c r="R670" s="12">
        <v>50.6</v>
      </c>
      <c r="S670" s="12">
        <v>3.1</v>
      </c>
      <c r="T670" s="13">
        <v>0.2</v>
      </c>
      <c r="U670" s="13">
        <f t="shared" si="43"/>
        <v>-0.44</v>
      </c>
      <c r="V670" s="14">
        <v>24.5</v>
      </c>
      <c r="W670" s="14">
        <v>24.5</v>
      </c>
      <c r="X670" s="11">
        <v>109</v>
      </c>
      <c r="Y670" s="15" t="s">
        <v>3713</v>
      </c>
      <c r="Z670" s="16">
        <v>12.5</v>
      </c>
      <c r="AA670" s="17">
        <v>104.2</v>
      </c>
      <c r="AB670" s="18" t="s">
        <v>3714</v>
      </c>
    </row>
    <row r="671" spans="1:28" x14ac:dyDescent="0.45">
      <c r="A671" s="2" t="s">
        <v>1255</v>
      </c>
      <c r="B671" s="2" t="s">
        <v>5766</v>
      </c>
      <c r="C671" s="2" t="s">
        <v>1110</v>
      </c>
      <c r="D671" s="2" t="s">
        <v>1111</v>
      </c>
      <c r="E671" s="2" t="s">
        <v>96</v>
      </c>
      <c r="F671" s="3">
        <v>44</v>
      </c>
      <c r="G671" s="3">
        <v>50</v>
      </c>
      <c r="H671" s="2" t="s">
        <v>1149</v>
      </c>
      <c r="I671" s="19">
        <v>8</v>
      </c>
      <c r="J671" s="34">
        <f t="shared" si="40"/>
        <v>6.9599999999999995E-2</v>
      </c>
      <c r="K671" s="34">
        <f t="shared" si="41"/>
        <v>0.1</v>
      </c>
      <c r="L671" s="34">
        <f t="shared" si="42"/>
        <v>0.4</v>
      </c>
      <c r="M671" s="20" t="s">
        <v>4071</v>
      </c>
      <c r="N671" s="20" t="s">
        <v>3891</v>
      </c>
      <c r="O671" s="20" t="s">
        <v>3892</v>
      </c>
      <c r="P671" s="20" t="s">
        <v>3893</v>
      </c>
      <c r="Q671" s="21">
        <v>44</v>
      </c>
      <c r="R671" s="21">
        <v>50</v>
      </c>
      <c r="S671" s="21">
        <v>3</v>
      </c>
      <c r="T671" s="22">
        <v>0.2</v>
      </c>
      <c r="U671" s="13">
        <f t="shared" si="43"/>
        <v>-0.2</v>
      </c>
      <c r="V671" s="23">
        <v>24.5</v>
      </c>
      <c r="W671" s="23">
        <v>24.5</v>
      </c>
      <c r="X671" s="20">
        <v>107</v>
      </c>
      <c r="Y671" s="24" t="s">
        <v>3713</v>
      </c>
      <c r="Z671" s="16">
        <v>16.5</v>
      </c>
      <c r="AA671" s="17">
        <v>206.2</v>
      </c>
      <c r="AB671" s="25" t="s">
        <v>3714</v>
      </c>
    </row>
    <row r="672" spans="1:28" x14ac:dyDescent="0.45">
      <c r="A672" s="4" t="s">
        <v>1256</v>
      </c>
      <c r="B672" s="4" t="s">
        <v>5767</v>
      </c>
      <c r="C672" s="4" t="s">
        <v>1110</v>
      </c>
      <c r="D672" s="4" t="s">
        <v>1111</v>
      </c>
      <c r="E672" s="4" t="s">
        <v>96</v>
      </c>
      <c r="F672" s="5">
        <v>45.69</v>
      </c>
      <c r="G672" s="5">
        <v>50.93</v>
      </c>
      <c r="H672" s="4" t="s">
        <v>1127</v>
      </c>
      <c r="I672" s="10">
        <v>8</v>
      </c>
      <c r="J672" s="34">
        <f t="shared" si="40"/>
        <v>6.9599999999999995E-2</v>
      </c>
      <c r="K672" s="34">
        <f t="shared" si="41"/>
        <v>0.1</v>
      </c>
      <c r="L672" s="34">
        <f t="shared" si="42"/>
        <v>0.4</v>
      </c>
      <c r="M672" s="11" t="s">
        <v>4072</v>
      </c>
      <c r="N672" s="11" t="s">
        <v>3891</v>
      </c>
      <c r="O672" s="11" t="s">
        <v>3892</v>
      </c>
      <c r="P672" s="11" t="s">
        <v>3893</v>
      </c>
      <c r="Q672" s="12">
        <v>46</v>
      </c>
      <c r="R672" s="12">
        <v>51</v>
      </c>
      <c r="S672" s="12">
        <v>2.5</v>
      </c>
      <c r="T672" s="13">
        <v>0.2</v>
      </c>
      <c r="U672" s="13">
        <f t="shared" si="43"/>
        <v>-0.2</v>
      </c>
      <c r="V672" s="14">
        <v>24.5</v>
      </c>
      <c r="W672" s="14">
        <v>24.5</v>
      </c>
      <c r="X672" s="11">
        <v>72</v>
      </c>
      <c r="Y672" s="15" t="s">
        <v>3713</v>
      </c>
      <c r="Z672" s="16">
        <v>16.5</v>
      </c>
      <c r="AA672" s="17">
        <v>206.2</v>
      </c>
      <c r="AB672" s="18" t="s">
        <v>4073</v>
      </c>
    </row>
    <row r="673" spans="1:28" x14ac:dyDescent="0.45">
      <c r="A673" s="2" t="s">
        <v>1257</v>
      </c>
      <c r="B673" s="2" t="s">
        <v>5768</v>
      </c>
      <c r="C673" s="2" t="s">
        <v>1110</v>
      </c>
      <c r="D673" s="2" t="s">
        <v>1111</v>
      </c>
      <c r="E673" s="2" t="s">
        <v>96</v>
      </c>
      <c r="F673" s="3">
        <v>45.7</v>
      </c>
      <c r="G673" s="3">
        <v>52.7</v>
      </c>
      <c r="H673" s="2" t="s">
        <v>1187</v>
      </c>
      <c r="I673" s="19">
        <v>12</v>
      </c>
      <c r="J673" s="34">
        <f t="shared" si="40"/>
        <v>0.10439999999999999</v>
      </c>
      <c r="K673" s="34">
        <f t="shared" si="41"/>
        <v>0.16</v>
      </c>
      <c r="L673" s="34">
        <f t="shared" si="42"/>
        <v>0.64</v>
      </c>
      <c r="M673" s="20" t="s">
        <v>4074</v>
      </c>
      <c r="N673" s="20" t="s">
        <v>3925</v>
      </c>
      <c r="O673" s="20" t="s">
        <v>3892</v>
      </c>
      <c r="P673" s="20" t="s">
        <v>3926</v>
      </c>
      <c r="Q673" s="21">
        <v>45.7</v>
      </c>
      <c r="R673" s="21">
        <v>52.7</v>
      </c>
      <c r="S673" s="21">
        <v>3.5</v>
      </c>
      <c r="T673" s="22">
        <v>0.27</v>
      </c>
      <c r="U673" s="13">
        <f t="shared" si="43"/>
        <v>-0.37</v>
      </c>
      <c r="V673" s="23">
        <v>33.08</v>
      </c>
      <c r="W673" s="23">
        <v>33.08</v>
      </c>
      <c r="X673" s="20">
        <v>7</v>
      </c>
      <c r="Y673" s="24" t="s">
        <v>3713</v>
      </c>
      <c r="Z673" s="16">
        <v>21.08</v>
      </c>
      <c r="AA673" s="17">
        <v>175.7</v>
      </c>
      <c r="AB673" s="25" t="s">
        <v>3714</v>
      </c>
    </row>
    <row r="674" spans="1:28" x14ac:dyDescent="0.45">
      <c r="A674" s="4" t="s">
        <v>1258</v>
      </c>
      <c r="B674" s="4" t="s">
        <v>5769</v>
      </c>
      <c r="C674" s="4" t="s">
        <v>1110</v>
      </c>
      <c r="D674" s="4" t="s">
        <v>1111</v>
      </c>
      <c r="E674" s="4" t="s">
        <v>96</v>
      </c>
      <c r="F674" s="5">
        <v>45</v>
      </c>
      <c r="G674" s="5">
        <v>50</v>
      </c>
      <c r="H674" s="4" t="s">
        <v>1135</v>
      </c>
      <c r="I674" s="10">
        <v>7</v>
      </c>
      <c r="J674" s="34">
        <f t="shared" si="40"/>
        <v>6.0899999999999996E-2</v>
      </c>
      <c r="K674" s="34">
        <f t="shared" si="41"/>
        <v>0.09</v>
      </c>
      <c r="L674" s="34">
        <f t="shared" si="42"/>
        <v>0.36</v>
      </c>
      <c r="M674" s="11" t="s">
        <v>4075</v>
      </c>
      <c r="N674" s="11" t="s">
        <v>3891</v>
      </c>
      <c r="O674" s="11" t="s">
        <v>3892</v>
      </c>
      <c r="P674" s="11" t="s">
        <v>3893</v>
      </c>
      <c r="Q674" s="12">
        <v>45</v>
      </c>
      <c r="R674" s="12">
        <v>50</v>
      </c>
      <c r="S674" s="12">
        <v>2.5</v>
      </c>
      <c r="T674" s="13">
        <v>0.28999999999999998</v>
      </c>
      <c r="U674" s="13">
        <f t="shared" si="43"/>
        <v>-7.0000000000000007E-2</v>
      </c>
      <c r="V674" s="14">
        <v>35.520000000000003</v>
      </c>
      <c r="W674" s="14">
        <v>35.520000000000003</v>
      </c>
      <c r="X674" s="11">
        <v>405</v>
      </c>
      <c r="Y674" s="15" t="s">
        <v>3713</v>
      </c>
      <c r="Z674" s="16">
        <v>28.52</v>
      </c>
      <c r="AA674" s="17">
        <v>407.4</v>
      </c>
      <c r="AB674" s="18" t="s">
        <v>3714</v>
      </c>
    </row>
    <row r="675" spans="1:28" x14ac:dyDescent="0.45">
      <c r="A675" s="2" t="s">
        <v>1259</v>
      </c>
      <c r="B675" s="2" t="s">
        <v>5770</v>
      </c>
      <c r="C675" s="2" t="s">
        <v>1110</v>
      </c>
      <c r="D675" s="2" t="s">
        <v>1111</v>
      </c>
      <c r="E675" s="2" t="s">
        <v>96</v>
      </c>
      <c r="F675" s="3">
        <v>45</v>
      </c>
      <c r="G675" s="3">
        <v>51</v>
      </c>
      <c r="H675" s="2" t="s">
        <v>1149</v>
      </c>
      <c r="I675" s="19">
        <v>8</v>
      </c>
      <c r="J675" s="34">
        <f t="shared" si="40"/>
        <v>6.9599999999999995E-2</v>
      </c>
      <c r="K675" s="34">
        <f t="shared" si="41"/>
        <v>0.1</v>
      </c>
      <c r="L675" s="34">
        <f t="shared" si="42"/>
        <v>0.4</v>
      </c>
      <c r="M675" s="20" t="s">
        <v>4076</v>
      </c>
      <c r="N675" s="20" t="s">
        <v>3891</v>
      </c>
      <c r="O675" s="20" t="s">
        <v>3892</v>
      </c>
      <c r="P675" s="20" t="s">
        <v>3893</v>
      </c>
      <c r="Q675" s="21">
        <v>45</v>
      </c>
      <c r="R675" s="21">
        <v>51</v>
      </c>
      <c r="S675" s="21">
        <v>3</v>
      </c>
      <c r="T675" s="22">
        <v>0.27</v>
      </c>
      <c r="U675" s="13">
        <f t="shared" si="43"/>
        <v>-0.13</v>
      </c>
      <c r="V675" s="23">
        <v>33.08</v>
      </c>
      <c r="W675" s="23">
        <v>33.08</v>
      </c>
      <c r="X675" s="20">
        <v>415</v>
      </c>
      <c r="Y675" s="24" t="s">
        <v>3713</v>
      </c>
      <c r="Z675" s="16">
        <v>25.08</v>
      </c>
      <c r="AA675" s="17">
        <v>313.5</v>
      </c>
      <c r="AB675" s="25" t="s">
        <v>3714</v>
      </c>
    </row>
    <row r="676" spans="1:28" x14ac:dyDescent="0.45">
      <c r="A676" s="4" t="s">
        <v>1260</v>
      </c>
      <c r="B676" s="4" t="s">
        <v>5771</v>
      </c>
      <c r="C676" s="4" t="s">
        <v>1110</v>
      </c>
      <c r="D676" s="4" t="s">
        <v>1111</v>
      </c>
      <c r="E676" s="4" t="s">
        <v>96</v>
      </c>
      <c r="F676" s="5">
        <v>46.99</v>
      </c>
      <c r="G676" s="5">
        <v>57.650000000000013</v>
      </c>
      <c r="H676" s="4" t="s">
        <v>1201</v>
      </c>
      <c r="I676" s="10">
        <v>18</v>
      </c>
      <c r="J676" s="34">
        <f t="shared" si="40"/>
        <v>0.15659999999999999</v>
      </c>
      <c r="K676" s="34">
        <f t="shared" si="41"/>
        <v>0.23</v>
      </c>
      <c r="L676" s="34">
        <f t="shared" si="42"/>
        <v>0.92</v>
      </c>
      <c r="M676" s="11" t="s">
        <v>4077</v>
      </c>
      <c r="N676" s="11" t="s">
        <v>3898</v>
      </c>
      <c r="O676" s="11" t="s">
        <v>3892</v>
      </c>
      <c r="P676" s="11" t="s">
        <v>3899</v>
      </c>
      <c r="Q676" s="12">
        <v>46.99</v>
      </c>
      <c r="R676" s="12">
        <v>57.658000000000001</v>
      </c>
      <c r="S676" s="12">
        <v>5.3339999999999996</v>
      </c>
      <c r="T676" s="13">
        <v>0.81</v>
      </c>
      <c r="U676" s="13">
        <f t="shared" si="43"/>
        <v>-0.10999999999999999</v>
      </c>
      <c r="V676" s="14">
        <v>99.22</v>
      </c>
      <c r="W676" s="14">
        <v>99.22</v>
      </c>
      <c r="X676" s="11">
        <v>2</v>
      </c>
      <c r="Y676" s="15" t="s">
        <v>3737</v>
      </c>
      <c r="Z676" s="16">
        <v>81.22</v>
      </c>
      <c r="AA676" s="17">
        <v>451.2</v>
      </c>
      <c r="AB676" s="18" t="s">
        <v>4032</v>
      </c>
    </row>
    <row r="677" spans="1:28" x14ac:dyDescent="0.45">
      <c r="A677" s="2" t="s">
        <v>1261</v>
      </c>
      <c r="B677" s="2" t="s">
        <v>5772</v>
      </c>
      <c r="C677" s="2" t="s">
        <v>1110</v>
      </c>
      <c r="D677" s="2" t="s">
        <v>1111</v>
      </c>
      <c r="E677" s="2" t="s">
        <v>96</v>
      </c>
      <c r="F677" s="3">
        <v>47.22</v>
      </c>
      <c r="G677" s="3">
        <v>54.28</v>
      </c>
      <c r="H677" s="2" t="s">
        <v>1156</v>
      </c>
      <c r="I677" s="19">
        <v>10</v>
      </c>
      <c r="J677" s="34">
        <f t="shared" si="40"/>
        <v>8.6999999999999994E-2</v>
      </c>
      <c r="K677" s="34">
        <f t="shared" si="41"/>
        <v>0.13</v>
      </c>
      <c r="L677" s="34">
        <f t="shared" si="42"/>
        <v>0.52</v>
      </c>
      <c r="M677" s="20" t="s">
        <v>4078</v>
      </c>
      <c r="N677" s="20" t="s">
        <v>3898</v>
      </c>
      <c r="O677" s="20" t="s">
        <v>3892</v>
      </c>
      <c r="P677" s="20" t="s">
        <v>3899</v>
      </c>
      <c r="Q677" s="21">
        <v>47.244</v>
      </c>
      <c r="R677" s="21">
        <v>54.356000000000002</v>
      </c>
      <c r="S677" s="21">
        <v>3.556</v>
      </c>
      <c r="T677" s="22">
        <v>0.23</v>
      </c>
      <c r="U677" s="13">
        <f t="shared" si="43"/>
        <v>-0.29000000000000004</v>
      </c>
      <c r="V677" s="23">
        <v>28.18</v>
      </c>
      <c r="W677" s="23">
        <v>28.18</v>
      </c>
      <c r="X677" s="20">
        <v>75</v>
      </c>
      <c r="Y677" s="24" t="s">
        <v>3737</v>
      </c>
      <c r="Z677" s="16">
        <v>18.18</v>
      </c>
      <c r="AA677" s="17">
        <v>181.8</v>
      </c>
      <c r="AB677" s="25" t="s">
        <v>3945</v>
      </c>
    </row>
    <row r="678" spans="1:28" x14ac:dyDescent="0.45">
      <c r="A678" s="4" t="s">
        <v>1262</v>
      </c>
      <c r="B678" s="4" t="s">
        <v>5773</v>
      </c>
      <c r="C678" s="4" t="s">
        <v>1110</v>
      </c>
      <c r="D678" s="4" t="s">
        <v>1111</v>
      </c>
      <c r="E678" s="4" t="s">
        <v>96</v>
      </c>
      <c r="F678" s="5">
        <v>47.29</v>
      </c>
      <c r="G678" s="5">
        <v>52.53</v>
      </c>
      <c r="H678" s="4" t="s">
        <v>1127</v>
      </c>
      <c r="I678" s="10">
        <v>8</v>
      </c>
      <c r="J678" s="34">
        <f t="shared" si="40"/>
        <v>6.9599999999999995E-2</v>
      </c>
      <c r="K678" s="34">
        <f t="shared" si="41"/>
        <v>0.1</v>
      </c>
      <c r="L678" s="34">
        <f t="shared" si="42"/>
        <v>0.4</v>
      </c>
      <c r="M678" s="11" t="s">
        <v>4079</v>
      </c>
      <c r="N678" s="11" t="s">
        <v>3891</v>
      </c>
      <c r="O678" s="11" t="s">
        <v>3892</v>
      </c>
      <c r="P678" s="11" t="s">
        <v>3893</v>
      </c>
      <c r="Q678" s="12">
        <v>47.244</v>
      </c>
      <c r="R678" s="12">
        <v>52.578000000000003</v>
      </c>
      <c r="S678" s="12">
        <v>2.54</v>
      </c>
      <c r="T678" s="13">
        <v>0.22</v>
      </c>
      <c r="U678" s="13">
        <f t="shared" si="43"/>
        <v>-0.18000000000000002</v>
      </c>
      <c r="V678" s="14">
        <v>26.95</v>
      </c>
      <c r="W678" s="14">
        <v>26.95</v>
      </c>
      <c r="X678" s="11">
        <v>544</v>
      </c>
      <c r="Y678" s="15" t="s">
        <v>3737</v>
      </c>
      <c r="Z678" s="16">
        <v>18.95</v>
      </c>
      <c r="AA678" s="17">
        <v>236.9</v>
      </c>
      <c r="AB678" s="18" t="s">
        <v>3920</v>
      </c>
    </row>
    <row r="679" spans="1:28" x14ac:dyDescent="0.45">
      <c r="A679" s="2" t="s">
        <v>1263</v>
      </c>
      <c r="B679" s="2" t="s">
        <v>5774</v>
      </c>
      <c r="C679" s="2" t="s">
        <v>1110</v>
      </c>
      <c r="D679" s="2" t="s">
        <v>1111</v>
      </c>
      <c r="E679" s="2" t="s">
        <v>96</v>
      </c>
      <c r="F679" s="3">
        <v>47.35</v>
      </c>
      <c r="G679" s="3">
        <v>50.91</v>
      </c>
      <c r="H679" s="2" t="s">
        <v>1114</v>
      </c>
      <c r="I679" s="19">
        <v>5</v>
      </c>
      <c r="J679" s="34">
        <f t="shared" si="40"/>
        <v>4.3499999999999997E-2</v>
      </c>
      <c r="K679" s="34">
        <f t="shared" si="41"/>
        <v>7.0000000000000007E-2</v>
      </c>
      <c r="L679" s="34">
        <f t="shared" si="42"/>
        <v>0.28000000000000003</v>
      </c>
      <c r="M679" s="20" t="s">
        <v>4080</v>
      </c>
      <c r="N679" s="20" t="s">
        <v>3891</v>
      </c>
      <c r="O679" s="20" t="s">
        <v>3892</v>
      </c>
      <c r="P679" s="20" t="s">
        <v>3893</v>
      </c>
      <c r="Q679" s="21">
        <v>47</v>
      </c>
      <c r="R679" s="21">
        <v>51</v>
      </c>
      <c r="S679" s="21">
        <v>2</v>
      </c>
      <c r="T679" s="22">
        <v>0.24</v>
      </c>
      <c r="U679" s="13">
        <f t="shared" si="43"/>
        <v>-4.0000000000000036E-2</v>
      </c>
      <c r="V679" s="23">
        <v>29.4</v>
      </c>
      <c r="W679" s="23">
        <v>29.4</v>
      </c>
      <c r="X679" s="20">
        <v>1730</v>
      </c>
      <c r="Y679" s="24" t="s">
        <v>3713</v>
      </c>
      <c r="Z679" s="16">
        <v>24.4</v>
      </c>
      <c r="AA679" s="17">
        <v>488</v>
      </c>
      <c r="AB679" s="25" t="s">
        <v>4081</v>
      </c>
    </row>
    <row r="680" spans="1:28" x14ac:dyDescent="0.45">
      <c r="A680" s="4" t="s">
        <v>1264</v>
      </c>
      <c r="B680" s="4" t="s">
        <v>5775</v>
      </c>
      <c r="C680" s="4" t="s">
        <v>1110</v>
      </c>
      <c r="D680" s="4" t="s">
        <v>1111</v>
      </c>
      <c r="E680" s="4" t="s">
        <v>96</v>
      </c>
      <c r="F680" s="5">
        <v>47</v>
      </c>
      <c r="G680" s="5">
        <v>55</v>
      </c>
      <c r="H680" s="4" t="s">
        <v>1216</v>
      </c>
      <c r="I680" s="10">
        <v>13</v>
      </c>
      <c r="J680" s="34">
        <f t="shared" si="40"/>
        <v>0.11309999999999999</v>
      </c>
      <c r="K680" s="34">
        <f t="shared" si="41"/>
        <v>0.17</v>
      </c>
      <c r="L680" s="34">
        <f t="shared" si="42"/>
        <v>0.68</v>
      </c>
      <c r="M680" s="11" t="s">
        <v>4082</v>
      </c>
      <c r="N680" s="11" t="s">
        <v>3891</v>
      </c>
      <c r="O680" s="11" t="s">
        <v>3892</v>
      </c>
      <c r="P680" s="11" t="s">
        <v>3893</v>
      </c>
      <c r="Q680" s="12">
        <v>47</v>
      </c>
      <c r="R680" s="12">
        <v>55</v>
      </c>
      <c r="S680" s="12">
        <v>4</v>
      </c>
      <c r="T680" s="13">
        <v>1.2</v>
      </c>
      <c r="U680" s="13">
        <f t="shared" si="43"/>
        <v>0.51999999999999991</v>
      </c>
      <c r="V680" s="14">
        <v>147</v>
      </c>
      <c r="W680" s="14">
        <v>147</v>
      </c>
      <c r="X680" s="11">
        <v>87</v>
      </c>
      <c r="Y680" s="15" t="s">
        <v>3713</v>
      </c>
      <c r="Z680" s="16">
        <v>134</v>
      </c>
      <c r="AA680" s="17">
        <v>1030.8</v>
      </c>
      <c r="AB680" s="18" t="s">
        <v>3714</v>
      </c>
    </row>
    <row r="681" spans="1:28" x14ac:dyDescent="0.45">
      <c r="A681" s="2" t="s">
        <v>1265</v>
      </c>
      <c r="B681" s="2" t="s">
        <v>5776</v>
      </c>
      <c r="C681" s="2" t="s">
        <v>1110</v>
      </c>
      <c r="D681" s="2" t="s">
        <v>1111</v>
      </c>
      <c r="E681" s="2" t="s">
        <v>96</v>
      </c>
      <c r="F681" s="3">
        <v>48.7</v>
      </c>
      <c r="G681" s="3">
        <v>55.7</v>
      </c>
      <c r="H681" s="2" t="s">
        <v>1187</v>
      </c>
      <c r="I681" s="19">
        <v>13</v>
      </c>
      <c r="J681" s="34">
        <f t="shared" si="40"/>
        <v>0.11309999999999999</v>
      </c>
      <c r="K681" s="34">
        <f t="shared" si="41"/>
        <v>0.17</v>
      </c>
      <c r="L681" s="34">
        <f t="shared" si="42"/>
        <v>0.68</v>
      </c>
      <c r="M681" s="20" t="s">
        <v>4083</v>
      </c>
      <c r="N681" s="20" t="s">
        <v>3891</v>
      </c>
      <c r="O681" s="20" t="s">
        <v>3892</v>
      </c>
      <c r="P681" s="20" t="s">
        <v>3893</v>
      </c>
      <c r="Q681" s="21">
        <v>48.7</v>
      </c>
      <c r="R681" s="21">
        <v>55.7</v>
      </c>
      <c r="S681" s="21">
        <v>3.5</v>
      </c>
      <c r="T681" s="22">
        <v>0.26</v>
      </c>
      <c r="U681" s="13">
        <f t="shared" si="43"/>
        <v>-0.42000000000000004</v>
      </c>
      <c r="V681" s="23">
        <v>31.85</v>
      </c>
      <c r="W681" s="23">
        <v>31.85</v>
      </c>
      <c r="X681" s="20">
        <v>41</v>
      </c>
      <c r="Y681" s="24" t="s">
        <v>3713</v>
      </c>
      <c r="Z681" s="16">
        <v>18.850000000000001</v>
      </c>
      <c r="AA681" s="17">
        <v>145</v>
      </c>
      <c r="AB681" s="25" t="s">
        <v>3714</v>
      </c>
    </row>
    <row r="682" spans="1:28" x14ac:dyDescent="0.45">
      <c r="A682" s="4" t="s">
        <v>1266</v>
      </c>
      <c r="B682" s="4" t="s">
        <v>5777</v>
      </c>
      <c r="C682" s="4" t="s">
        <v>1110</v>
      </c>
      <c r="D682" s="4" t="s">
        <v>1111</v>
      </c>
      <c r="E682" s="4" t="s">
        <v>96</v>
      </c>
      <c r="F682" s="5">
        <v>48.9</v>
      </c>
      <c r="G682" s="5">
        <v>54.14</v>
      </c>
      <c r="H682" s="4" t="s">
        <v>1127</v>
      </c>
      <c r="I682" s="10">
        <v>8</v>
      </c>
      <c r="J682" s="34">
        <f t="shared" si="40"/>
        <v>6.9599999999999995E-2</v>
      </c>
      <c r="K682" s="34">
        <f t="shared" si="41"/>
        <v>0.1</v>
      </c>
      <c r="L682" s="34">
        <f t="shared" si="42"/>
        <v>0.4</v>
      </c>
      <c r="M682" s="11" t="s">
        <v>4084</v>
      </c>
      <c r="N682" s="11" t="s">
        <v>3891</v>
      </c>
      <c r="O682" s="11" t="s">
        <v>3892</v>
      </c>
      <c r="P682" s="11" t="s">
        <v>3893</v>
      </c>
      <c r="Q682" s="12">
        <v>49</v>
      </c>
      <c r="R682" s="12">
        <v>54</v>
      </c>
      <c r="S682" s="12">
        <v>2.5</v>
      </c>
      <c r="T682" s="13">
        <v>0.2</v>
      </c>
      <c r="U682" s="13">
        <f t="shared" si="43"/>
        <v>-0.2</v>
      </c>
      <c r="V682" s="14">
        <v>24.5</v>
      </c>
      <c r="W682" s="14">
        <v>24.5</v>
      </c>
      <c r="X682" s="11">
        <v>1187</v>
      </c>
      <c r="Y682" s="15" t="s">
        <v>3713</v>
      </c>
      <c r="Z682" s="16">
        <v>16.5</v>
      </c>
      <c r="AA682" s="17">
        <v>206.2</v>
      </c>
      <c r="AB682" s="18" t="s">
        <v>4085</v>
      </c>
    </row>
    <row r="683" spans="1:28" x14ac:dyDescent="0.45">
      <c r="A683" s="2" t="s">
        <v>1267</v>
      </c>
      <c r="B683" s="2" t="s">
        <v>5778</v>
      </c>
      <c r="C683" s="2" t="s">
        <v>1110</v>
      </c>
      <c r="D683" s="2" t="s">
        <v>1111</v>
      </c>
      <c r="E683" s="2" t="s">
        <v>96</v>
      </c>
      <c r="F683" s="3">
        <v>48</v>
      </c>
      <c r="G683" s="3">
        <v>54</v>
      </c>
      <c r="H683" s="2" t="s">
        <v>1149</v>
      </c>
      <c r="I683" s="19">
        <v>10</v>
      </c>
      <c r="J683" s="34">
        <f t="shared" si="40"/>
        <v>8.6999999999999994E-2</v>
      </c>
      <c r="K683" s="34">
        <f t="shared" si="41"/>
        <v>0.13</v>
      </c>
      <c r="L683" s="34">
        <f t="shared" si="42"/>
        <v>0.52</v>
      </c>
      <c r="M683" s="20" t="s">
        <v>4086</v>
      </c>
      <c r="N683" s="20" t="s">
        <v>3891</v>
      </c>
      <c r="O683" s="20" t="s">
        <v>3892</v>
      </c>
      <c r="P683" s="20" t="s">
        <v>3893</v>
      </c>
      <c r="Q683" s="21">
        <v>48</v>
      </c>
      <c r="R683" s="21">
        <v>54</v>
      </c>
      <c r="S683" s="21">
        <v>3</v>
      </c>
      <c r="T683" s="22">
        <v>0.2</v>
      </c>
      <c r="U683" s="13">
        <f t="shared" si="43"/>
        <v>-0.32</v>
      </c>
      <c r="V683" s="23">
        <v>24.5</v>
      </c>
      <c r="W683" s="23">
        <v>24.5</v>
      </c>
      <c r="X683" s="20">
        <v>205</v>
      </c>
      <c r="Y683" s="24" t="s">
        <v>3713</v>
      </c>
      <c r="Z683" s="16">
        <v>14.5</v>
      </c>
      <c r="AA683" s="17">
        <v>145</v>
      </c>
      <c r="AB683" s="25" t="s">
        <v>3714</v>
      </c>
    </row>
    <row r="684" spans="1:28" x14ac:dyDescent="0.45">
      <c r="A684" s="4" t="s">
        <v>1268</v>
      </c>
      <c r="B684" s="4" t="s">
        <v>5779</v>
      </c>
      <c r="C684" s="4" t="s">
        <v>1110</v>
      </c>
      <c r="D684" s="4" t="s">
        <v>1111</v>
      </c>
      <c r="E684" s="4" t="s">
        <v>96</v>
      </c>
      <c r="F684" s="5">
        <v>49.7</v>
      </c>
      <c r="G684" s="5">
        <v>56.7</v>
      </c>
      <c r="H684" s="4" t="s">
        <v>1187</v>
      </c>
      <c r="I684" s="10">
        <v>13</v>
      </c>
      <c r="J684" s="34">
        <f t="shared" si="40"/>
        <v>0.11309999999999999</v>
      </c>
      <c r="K684" s="34">
        <f t="shared" si="41"/>
        <v>0.17</v>
      </c>
      <c r="L684" s="34">
        <f t="shared" si="42"/>
        <v>0.68</v>
      </c>
      <c r="M684" s="11" t="s">
        <v>4087</v>
      </c>
      <c r="N684" s="11" t="s">
        <v>3925</v>
      </c>
      <c r="O684" s="11" t="s">
        <v>3892</v>
      </c>
      <c r="P684" s="11" t="s">
        <v>3926</v>
      </c>
      <c r="Q684" s="12">
        <v>49.7</v>
      </c>
      <c r="R684" s="12">
        <v>56.7</v>
      </c>
      <c r="S684" s="12">
        <v>3.5</v>
      </c>
      <c r="T684" s="13">
        <v>0.45</v>
      </c>
      <c r="U684" s="13">
        <f t="shared" si="43"/>
        <v>-0.23000000000000004</v>
      </c>
      <c r="V684" s="14">
        <v>55.12</v>
      </c>
      <c r="W684" s="14">
        <v>55.12</v>
      </c>
      <c r="X684" s="11">
        <v>4</v>
      </c>
      <c r="Y684" s="15" t="s">
        <v>3713</v>
      </c>
      <c r="Z684" s="16">
        <v>42.12</v>
      </c>
      <c r="AA684" s="17">
        <v>324</v>
      </c>
      <c r="AB684" s="18" t="s">
        <v>3714</v>
      </c>
    </row>
    <row r="685" spans="1:28" x14ac:dyDescent="0.45">
      <c r="A685" s="2" t="s">
        <v>1269</v>
      </c>
      <c r="B685" s="2" t="s">
        <v>5780</v>
      </c>
      <c r="C685" s="2" t="s">
        <v>1110</v>
      </c>
      <c r="D685" s="2" t="s">
        <v>1111</v>
      </c>
      <c r="E685" s="2" t="s">
        <v>96</v>
      </c>
      <c r="F685" s="3">
        <v>50.17</v>
      </c>
      <c r="G685" s="3">
        <v>60.83</v>
      </c>
      <c r="H685" s="2" t="s">
        <v>1201</v>
      </c>
      <c r="I685" s="19">
        <v>22</v>
      </c>
      <c r="J685" s="34">
        <f t="shared" si="40"/>
        <v>0.19139999999999999</v>
      </c>
      <c r="K685" s="34">
        <f t="shared" si="41"/>
        <v>0.28999999999999998</v>
      </c>
      <c r="L685" s="34">
        <f t="shared" si="42"/>
        <v>1.1599999999999999</v>
      </c>
      <c r="M685" s="20" t="s">
        <v>4088</v>
      </c>
      <c r="N685" s="20" t="s">
        <v>3891</v>
      </c>
      <c r="O685" s="20" t="s">
        <v>3892</v>
      </c>
      <c r="P685" s="20" t="s">
        <v>3893</v>
      </c>
      <c r="Q685" s="21">
        <v>50</v>
      </c>
      <c r="R685" s="21">
        <v>61</v>
      </c>
      <c r="S685" s="21">
        <v>5.5</v>
      </c>
      <c r="T685" s="22">
        <v>0.83</v>
      </c>
      <c r="U685" s="13">
        <f t="shared" si="43"/>
        <v>-0.32999999999999996</v>
      </c>
      <c r="V685" s="23">
        <v>101.68</v>
      </c>
      <c r="W685" s="23">
        <v>101.68</v>
      </c>
      <c r="X685" s="20">
        <v>102</v>
      </c>
      <c r="Y685" s="24" t="s">
        <v>3713</v>
      </c>
      <c r="Z685" s="16">
        <v>79.680000000000007</v>
      </c>
      <c r="AA685" s="17">
        <v>362.2</v>
      </c>
      <c r="AB685" s="25" t="s">
        <v>4089</v>
      </c>
    </row>
    <row r="686" spans="1:28" x14ac:dyDescent="0.45">
      <c r="A686" s="4" t="s">
        <v>1270</v>
      </c>
      <c r="B686" s="4" t="s">
        <v>5781</v>
      </c>
      <c r="C686" s="4" t="s">
        <v>1110</v>
      </c>
      <c r="D686" s="4" t="s">
        <v>1111</v>
      </c>
      <c r="E686" s="4" t="s">
        <v>96</v>
      </c>
      <c r="F686" s="5">
        <v>50.39</v>
      </c>
      <c r="G686" s="5">
        <v>57.45</v>
      </c>
      <c r="H686" s="4" t="s">
        <v>1156</v>
      </c>
      <c r="I686" s="10">
        <v>12</v>
      </c>
      <c r="J686" s="34">
        <f t="shared" si="40"/>
        <v>0.10439999999999999</v>
      </c>
      <c r="K686" s="34">
        <f t="shared" si="41"/>
        <v>0.16</v>
      </c>
      <c r="L686" s="34">
        <f t="shared" si="42"/>
        <v>0.64</v>
      </c>
      <c r="M686" s="11" t="s">
        <v>4090</v>
      </c>
      <c r="N686" s="11" t="s">
        <v>3898</v>
      </c>
      <c r="O686" s="11" t="s">
        <v>3892</v>
      </c>
      <c r="P686" s="11" t="s">
        <v>3899</v>
      </c>
      <c r="Q686" s="12">
        <v>50.292000000000002</v>
      </c>
      <c r="R686" s="12">
        <v>57.404000000000003</v>
      </c>
      <c r="S686" s="12">
        <v>3.556</v>
      </c>
      <c r="T686" s="13">
        <v>7.43</v>
      </c>
      <c r="U686" s="13">
        <f t="shared" si="43"/>
        <v>6.79</v>
      </c>
      <c r="V686" s="14">
        <v>910.18</v>
      </c>
      <c r="W686" s="14">
        <v>910.18</v>
      </c>
      <c r="X686" s="11" t="s">
        <v>3722</v>
      </c>
      <c r="Y686" s="15" t="s">
        <v>3737</v>
      </c>
      <c r="Z686" s="16">
        <v>898.18</v>
      </c>
      <c r="AA686" s="17">
        <v>7484.8</v>
      </c>
      <c r="AB686" s="18" t="s">
        <v>3963</v>
      </c>
    </row>
    <row r="687" spans="1:28" x14ac:dyDescent="0.45">
      <c r="A687" s="2" t="s">
        <v>1271</v>
      </c>
      <c r="B687" s="2" t="s">
        <v>5782</v>
      </c>
      <c r="C687" s="2" t="s">
        <v>1110</v>
      </c>
      <c r="D687" s="2" t="s">
        <v>1111</v>
      </c>
      <c r="E687" s="2" t="s">
        <v>96</v>
      </c>
      <c r="F687" s="3">
        <v>50.47</v>
      </c>
      <c r="G687" s="3">
        <v>55.71</v>
      </c>
      <c r="H687" s="2" t="s">
        <v>1127</v>
      </c>
      <c r="I687" s="19">
        <v>8</v>
      </c>
      <c r="J687" s="34">
        <f t="shared" si="40"/>
        <v>6.9599999999999995E-2</v>
      </c>
      <c r="K687" s="34">
        <f t="shared" si="41"/>
        <v>0.1</v>
      </c>
      <c r="L687" s="34">
        <f t="shared" si="42"/>
        <v>0.4</v>
      </c>
      <c r="M687" s="20" t="s">
        <v>4091</v>
      </c>
      <c r="N687" s="20" t="s">
        <v>3898</v>
      </c>
      <c r="O687" s="20" t="s">
        <v>3892</v>
      </c>
      <c r="P687" s="20" t="s">
        <v>3899</v>
      </c>
      <c r="Q687" s="21">
        <v>50.545999999999999</v>
      </c>
      <c r="R687" s="21">
        <v>55.625999999999998</v>
      </c>
      <c r="S687" s="21">
        <v>2.54</v>
      </c>
      <c r="T687" s="22">
        <v>0.68</v>
      </c>
      <c r="U687" s="13">
        <f t="shared" si="43"/>
        <v>0.28000000000000003</v>
      </c>
      <c r="V687" s="23">
        <v>83.3</v>
      </c>
      <c r="W687" s="23">
        <v>83.3</v>
      </c>
      <c r="X687" s="20" t="s">
        <v>3722</v>
      </c>
      <c r="Y687" s="24" t="s">
        <v>3737</v>
      </c>
      <c r="Z687" s="16">
        <v>75.3</v>
      </c>
      <c r="AA687" s="17">
        <v>941.2</v>
      </c>
      <c r="AB687" s="25" t="s">
        <v>4022</v>
      </c>
    </row>
    <row r="688" spans="1:28" x14ac:dyDescent="0.45">
      <c r="A688" s="4" t="s">
        <v>1272</v>
      </c>
      <c r="B688" s="4" t="s">
        <v>5783</v>
      </c>
      <c r="C688" s="4" t="s">
        <v>1110</v>
      </c>
      <c r="D688" s="4" t="s">
        <v>1111</v>
      </c>
      <c r="E688" s="4" t="s">
        <v>96</v>
      </c>
      <c r="F688" s="5">
        <v>50</v>
      </c>
      <c r="G688" s="5">
        <v>60</v>
      </c>
      <c r="H688" s="4" t="s">
        <v>1245</v>
      </c>
      <c r="I688" s="10">
        <v>20</v>
      </c>
      <c r="J688" s="34">
        <f t="shared" si="40"/>
        <v>0.17399999999999999</v>
      </c>
      <c r="K688" s="34">
        <f t="shared" si="41"/>
        <v>0.26</v>
      </c>
      <c r="L688" s="34">
        <f t="shared" si="42"/>
        <v>1.04</v>
      </c>
      <c r="M688" s="11" t="s">
        <v>4092</v>
      </c>
      <c r="N688" s="11" t="s">
        <v>3891</v>
      </c>
      <c r="O688" s="11" t="s">
        <v>3892</v>
      </c>
      <c r="P688" s="11" t="s">
        <v>3893</v>
      </c>
      <c r="Q688" s="12">
        <v>50</v>
      </c>
      <c r="R688" s="12">
        <v>60</v>
      </c>
      <c r="S688" s="12">
        <v>5</v>
      </c>
      <c r="T688" s="13">
        <v>0.33</v>
      </c>
      <c r="U688" s="13">
        <f t="shared" si="43"/>
        <v>-0.71</v>
      </c>
      <c r="V688" s="14">
        <v>40.43</v>
      </c>
      <c r="W688" s="14">
        <v>40.43</v>
      </c>
      <c r="X688" s="11" t="s">
        <v>3722</v>
      </c>
      <c r="Y688" s="15" t="s">
        <v>3713</v>
      </c>
      <c r="Z688" s="16">
        <v>20.43</v>
      </c>
      <c r="AA688" s="17">
        <v>102.2</v>
      </c>
      <c r="AB688" s="18" t="s">
        <v>3714</v>
      </c>
    </row>
    <row r="689" spans="1:28" x14ac:dyDescent="0.45">
      <c r="A689" s="2" t="s">
        <v>1273</v>
      </c>
      <c r="B689" s="2" t="s">
        <v>5784</v>
      </c>
      <c r="C689" s="2" t="s">
        <v>1110</v>
      </c>
      <c r="D689" s="2" t="s">
        <v>1111</v>
      </c>
      <c r="E689" s="2" t="s">
        <v>96</v>
      </c>
      <c r="F689" s="3">
        <v>52.07</v>
      </c>
      <c r="G689" s="3">
        <v>57.31</v>
      </c>
      <c r="H689" s="2" t="s">
        <v>1127</v>
      </c>
      <c r="I689" s="19">
        <v>8</v>
      </c>
      <c r="J689" s="34">
        <f t="shared" si="40"/>
        <v>6.9599999999999995E-2</v>
      </c>
      <c r="K689" s="34">
        <f t="shared" si="41"/>
        <v>0.1</v>
      </c>
      <c r="L689" s="34">
        <f t="shared" si="42"/>
        <v>0.4</v>
      </c>
      <c r="M689" s="20" t="s">
        <v>4093</v>
      </c>
      <c r="N689" s="20" t="s">
        <v>3891</v>
      </c>
      <c r="O689" s="20" t="s">
        <v>3892</v>
      </c>
      <c r="P689" s="20" t="s">
        <v>3893</v>
      </c>
      <c r="Q689" s="21">
        <v>52</v>
      </c>
      <c r="R689" s="21">
        <v>57</v>
      </c>
      <c r="S689" s="21">
        <v>2.5</v>
      </c>
      <c r="T689" s="22">
        <v>0.28999999999999998</v>
      </c>
      <c r="U689" s="13">
        <f t="shared" si="43"/>
        <v>-0.11000000000000004</v>
      </c>
      <c r="V689" s="23">
        <v>35.520000000000003</v>
      </c>
      <c r="W689" s="23">
        <v>35.520000000000003</v>
      </c>
      <c r="X689" s="20">
        <v>135</v>
      </c>
      <c r="Y689" s="24" t="s">
        <v>3713</v>
      </c>
      <c r="Z689" s="16">
        <v>27.52</v>
      </c>
      <c r="AA689" s="17">
        <v>344</v>
      </c>
      <c r="AB689" s="25" t="s">
        <v>3994</v>
      </c>
    </row>
    <row r="690" spans="1:28" x14ac:dyDescent="0.45">
      <c r="A690" s="4" t="s">
        <v>1274</v>
      </c>
      <c r="B690" s="4" t="s">
        <v>5785</v>
      </c>
      <c r="C690" s="4" t="s">
        <v>1110</v>
      </c>
      <c r="D690" s="4" t="s">
        <v>1111</v>
      </c>
      <c r="E690" s="4" t="s">
        <v>96</v>
      </c>
      <c r="F690" s="5">
        <v>53.34</v>
      </c>
      <c r="G690" s="5">
        <v>64</v>
      </c>
      <c r="H690" s="4" t="s">
        <v>1201</v>
      </c>
      <c r="I690" s="10">
        <v>23</v>
      </c>
      <c r="J690" s="34">
        <f t="shared" si="40"/>
        <v>0.2001</v>
      </c>
      <c r="K690" s="34">
        <f t="shared" si="41"/>
        <v>0.3</v>
      </c>
      <c r="L690" s="34">
        <f t="shared" si="42"/>
        <v>1.2</v>
      </c>
      <c r="M690" s="11" t="s">
        <v>4094</v>
      </c>
      <c r="N690" s="11" t="s">
        <v>3891</v>
      </c>
      <c r="O690" s="11" t="s">
        <v>3892</v>
      </c>
      <c r="P690" s="11" t="s">
        <v>3893</v>
      </c>
      <c r="Q690" s="12">
        <v>53.34</v>
      </c>
      <c r="R690" s="12">
        <v>64.007999999999996</v>
      </c>
      <c r="S690" s="12">
        <v>5.3339999999999996</v>
      </c>
      <c r="T690" s="13">
        <v>0.52</v>
      </c>
      <c r="U690" s="13">
        <f t="shared" si="43"/>
        <v>-0.67999999999999994</v>
      </c>
      <c r="V690" s="14">
        <v>63.7</v>
      </c>
      <c r="W690" s="14">
        <v>63.7</v>
      </c>
      <c r="X690" s="11">
        <v>1253</v>
      </c>
      <c r="Y690" s="15" t="s">
        <v>3737</v>
      </c>
      <c r="Z690" s="16">
        <v>40.700000000000003</v>
      </c>
      <c r="AA690" s="17">
        <v>177</v>
      </c>
      <c r="AB690" s="18" t="s">
        <v>4032</v>
      </c>
    </row>
    <row r="691" spans="1:28" x14ac:dyDescent="0.45">
      <c r="A691" s="2" t="s">
        <v>1275</v>
      </c>
      <c r="B691" s="2" t="s">
        <v>5786</v>
      </c>
      <c r="C691" s="2" t="s">
        <v>1110</v>
      </c>
      <c r="D691" s="2" t="s">
        <v>1111</v>
      </c>
      <c r="E691" s="2" t="s">
        <v>96</v>
      </c>
      <c r="F691" s="3">
        <v>53.57</v>
      </c>
      <c r="G691" s="3">
        <v>60.63</v>
      </c>
      <c r="H691" s="2" t="s">
        <v>1156</v>
      </c>
      <c r="I691" s="19">
        <v>13</v>
      </c>
      <c r="J691" s="34">
        <f t="shared" si="40"/>
        <v>0.11309999999999999</v>
      </c>
      <c r="K691" s="34">
        <f t="shared" si="41"/>
        <v>0.17</v>
      </c>
      <c r="L691" s="34">
        <f t="shared" si="42"/>
        <v>0.68</v>
      </c>
      <c r="M691" s="20" t="s">
        <v>4095</v>
      </c>
      <c r="N691" s="20" t="s">
        <v>3898</v>
      </c>
      <c r="O691" s="20" t="s">
        <v>3892</v>
      </c>
      <c r="P691" s="20" t="s">
        <v>3899</v>
      </c>
      <c r="Q691" s="21">
        <v>53.594000000000001</v>
      </c>
      <c r="R691" s="21">
        <v>60.706000000000003</v>
      </c>
      <c r="S691" s="21">
        <v>3.556</v>
      </c>
      <c r="T691" s="22">
        <v>2.12</v>
      </c>
      <c r="U691" s="13">
        <f t="shared" si="43"/>
        <v>1.44</v>
      </c>
      <c r="V691" s="23">
        <v>259.7</v>
      </c>
      <c r="W691" s="23">
        <v>259.7</v>
      </c>
      <c r="X691" s="20" t="s">
        <v>3722</v>
      </c>
      <c r="Y691" s="24" t="s">
        <v>3737</v>
      </c>
      <c r="Z691" s="16">
        <v>246.7</v>
      </c>
      <c r="AA691" s="17">
        <v>1897.7</v>
      </c>
      <c r="AB691" s="25" t="s">
        <v>3945</v>
      </c>
    </row>
    <row r="692" spans="1:28" x14ac:dyDescent="0.45">
      <c r="A692" s="4" t="s">
        <v>1276</v>
      </c>
      <c r="B692" s="4" t="s">
        <v>5787</v>
      </c>
      <c r="C692" s="4" t="s">
        <v>1110</v>
      </c>
      <c r="D692" s="4" t="s">
        <v>1111</v>
      </c>
      <c r="E692" s="4" t="s">
        <v>96</v>
      </c>
      <c r="F692" s="5">
        <v>53.64</v>
      </c>
      <c r="G692" s="5">
        <v>58.88</v>
      </c>
      <c r="H692" s="4" t="s">
        <v>1127</v>
      </c>
      <c r="I692" s="10">
        <v>10</v>
      </c>
      <c r="J692" s="34">
        <f t="shared" si="40"/>
        <v>8.6999999999999994E-2</v>
      </c>
      <c r="K692" s="34">
        <f t="shared" si="41"/>
        <v>0.13</v>
      </c>
      <c r="L692" s="34">
        <f t="shared" si="42"/>
        <v>0.52</v>
      </c>
      <c r="M692" s="11" t="s">
        <v>4096</v>
      </c>
      <c r="N692" s="11" t="s">
        <v>3891</v>
      </c>
      <c r="O692" s="11" t="s">
        <v>3892</v>
      </c>
      <c r="P692" s="11" t="s">
        <v>3893</v>
      </c>
      <c r="Q692" s="12">
        <v>53.594000000000001</v>
      </c>
      <c r="R692" s="12">
        <v>58.927999999999997</v>
      </c>
      <c r="S692" s="12">
        <v>2.54</v>
      </c>
      <c r="T692" s="13">
        <v>0.26</v>
      </c>
      <c r="U692" s="13">
        <f t="shared" si="43"/>
        <v>-0.26</v>
      </c>
      <c r="V692" s="14">
        <v>31.85</v>
      </c>
      <c r="W692" s="14">
        <v>31.85</v>
      </c>
      <c r="X692" s="11">
        <v>1112</v>
      </c>
      <c r="Y692" s="15" t="s">
        <v>3737</v>
      </c>
      <c r="Z692" s="16">
        <v>21.85</v>
      </c>
      <c r="AA692" s="17">
        <v>218.5</v>
      </c>
      <c r="AB692" s="18" t="s">
        <v>3920</v>
      </c>
    </row>
    <row r="693" spans="1:28" x14ac:dyDescent="0.45">
      <c r="A693" s="2" t="s">
        <v>1277</v>
      </c>
      <c r="B693" s="2" t="s">
        <v>5788</v>
      </c>
      <c r="C693" s="2" t="s">
        <v>1110</v>
      </c>
      <c r="D693" s="2" t="s">
        <v>1111</v>
      </c>
      <c r="E693" s="2" t="s">
        <v>96</v>
      </c>
      <c r="F693" s="3">
        <v>53.7</v>
      </c>
      <c r="G693" s="3">
        <v>57.260000000000012</v>
      </c>
      <c r="H693" s="2" t="s">
        <v>1114</v>
      </c>
      <c r="I693" s="19">
        <v>7</v>
      </c>
      <c r="J693" s="34">
        <f t="shared" si="40"/>
        <v>6.0899999999999996E-2</v>
      </c>
      <c r="K693" s="34">
        <f t="shared" si="41"/>
        <v>0.09</v>
      </c>
      <c r="L693" s="34">
        <f t="shared" si="42"/>
        <v>0.36</v>
      </c>
      <c r="M693" s="20" t="s">
        <v>4097</v>
      </c>
      <c r="N693" s="20" t="s">
        <v>3891</v>
      </c>
      <c r="O693" s="20" t="s">
        <v>3892</v>
      </c>
      <c r="P693" s="20" t="s">
        <v>3893</v>
      </c>
      <c r="Q693" s="21">
        <v>53.594000000000001</v>
      </c>
      <c r="R693" s="21">
        <v>57.15</v>
      </c>
      <c r="S693" s="21">
        <v>1.778</v>
      </c>
      <c r="T693" s="22">
        <v>0.2</v>
      </c>
      <c r="U693" s="13">
        <f t="shared" si="43"/>
        <v>-0.15999999999999998</v>
      </c>
      <c r="V693" s="23">
        <v>24.5</v>
      </c>
      <c r="W693" s="23">
        <v>24.5</v>
      </c>
      <c r="X693" s="20">
        <v>558</v>
      </c>
      <c r="Y693" s="24" t="s">
        <v>3737</v>
      </c>
      <c r="Z693" s="16">
        <v>17.5</v>
      </c>
      <c r="AA693" s="17">
        <v>250</v>
      </c>
      <c r="AB693" s="25" t="s">
        <v>4037</v>
      </c>
    </row>
    <row r="694" spans="1:28" x14ac:dyDescent="0.45">
      <c r="A694" s="4" t="s">
        <v>1278</v>
      </c>
      <c r="B694" s="4" t="s">
        <v>5789</v>
      </c>
      <c r="C694" s="4" t="s">
        <v>1110</v>
      </c>
      <c r="D694" s="4" t="s">
        <v>1111</v>
      </c>
      <c r="E694" s="4" t="s">
        <v>96</v>
      </c>
      <c r="F694" s="5">
        <v>54.4</v>
      </c>
      <c r="G694" s="5">
        <v>60.6</v>
      </c>
      <c r="H694" s="4" t="s">
        <v>1221</v>
      </c>
      <c r="I694" s="10">
        <v>15</v>
      </c>
      <c r="J694" s="34">
        <f t="shared" si="40"/>
        <v>0.1305</v>
      </c>
      <c r="K694" s="34">
        <f t="shared" si="41"/>
        <v>0.2</v>
      </c>
      <c r="L694" s="34">
        <f t="shared" si="42"/>
        <v>0.8</v>
      </c>
      <c r="M694" s="11" t="s">
        <v>4098</v>
      </c>
      <c r="N694" s="11" t="s">
        <v>3891</v>
      </c>
      <c r="O694" s="11" t="s">
        <v>3892</v>
      </c>
      <c r="P694" s="11" t="s">
        <v>3893</v>
      </c>
      <c r="Q694" s="12">
        <v>54.4</v>
      </c>
      <c r="R694" s="12">
        <v>60.6</v>
      </c>
      <c r="S694" s="12">
        <v>3.1</v>
      </c>
      <c r="T694" s="13">
        <v>0.49</v>
      </c>
      <c r="U694" s="13">
        <f t="shared" si="43"/>
        <v>-0.31000000000000005</v>
      </c>
      <c r="V694" s="14">
        <v>60.02</v>
      </c>
      <c r="W694" s="14">
        <v>60.02</v>
      </c>
      <c r="X694" s="11">
        <v>12</v>
      </c>
      <c r="Y694" s="15" t="s">
        <v>3713</v>
      </c>
      <c r="Z694" s="16">
        <v>45.02</v>
      </c>
      <c r="AA694" s="17">
        <v>300.10000000000002</v>
      </c>
      <c r="AB694" s="18" t="s">
        <v>3714</v>
      </c>
    </row>
    <row r="695" spans="1:28" x14ac:dyDescent="0.45">
      <c r="A695" s="2" t="s">
        <v>1279</v>
      </c>
      <c r="B695" s="2" t="s">
        <v>5790</v>
      </c>
      <c r="C695" s="2" t="s">
        <v>1110</v>
      </c>
      <c r="D695" s="2" t="s">
        <v>1111</v>
      </c>
      <c r="E695" s="2" t="s">
        <v>96</v>
      </c>
      <c r="F695" s="3">
        <v>55.25</v>
      </c>
      <c r="G695" s="3">
        <v>60.49</v>
      </c>
      <c r="H695" s="2" t="s">
        <v>1127</v>
      </c>
      <c r="I695" s="19">
        <v>10</v>
      </c>
      <c r="J695" s="34">
        <f t="shared" si="40"/>
        <v>8.6999999999999994E-2</v>
      </c>
      <c r="K695" s="34">
        <f t="shared" si="41"/>
        <v>0.13</v>
      </c>
      <c r="L695" s="34">
        <f t="shared" si="42"/>
        <v>0.52</v>
      </c>
      <c r="M695" s="20" t="s">
        <v>4099</v>
      </c>
      <c r="N695" s="20" t="s">
        <v>3891</v>
      </c>
      <c r="O695" s="20" t="s">
        <v>3892</v>
      </c>
      <c r="P695" s="20" t="s">
        <v>3893</v>
      </c>
      <c r="Q695" s="21">
        <v>55.118000000000002</v>
      </c>
      <c r="R695" s="21">
        <v>60.451999999999998</v>
      </c>
      <c r="S695" s="21">
        <v>2.54</v>
      </c>
      <c r="T695" s="22">
        <v>0.26</v>
      </c>
      <c r="U695" s="13">
        <f t="shared" si="43"/>
        <v>-0.26</v>
      </c>
      <c r="V695" s="23">
        <v>31.85</v>
      </c>
      <c r="W695" s="23">
        <v>31.85</v>
      </c>
      <c r="X695" s="20">
        <v>426</v>
      </c>
      <c r="Y695" s="24" t="s">
        <v>3737</v>
      </c>
      <c r="Z695" s="16">
        <v>21.85</v>
      </c>
      <c r="AA695" s="17">
        <v>218.5</v>
      </c>
      <c r="AB695" s="25" t="s">
        <v>4100</v>
      </c>
    </row>
    <row r="696" spans="1:28" x14ac:dyDescent="0.45">
      <c r="A696" s="4" t="s">
        <v>1280</v>
      </c>
      <c r="B696" s="4" t="s">
        <v>5791</v>
      </c>
      <c r="C696" s="4" t="s">
        <v>1110</v>
      </c>
      <c r="D696" s="4" t="s">
        <v>1111</v>
      </c>
      <c r="E696" s="4" t="s">
        <v>96</v>
      </c>
      <c r="F696" s="5">
        <v>55</v>
      </c>
      <c r="G696" s="5">
        <v>61</v>
      </c>
      <c r="H696" s="4" t="s">
        <v>1149</v>
      </c>
      <c r="I696" s="10">
        <v>12</v>
      </c>
      <c r="J696" s="34">
        <f t="shared" si="40"/>
        <v>0.10439999999999999</v>
      </c>
      <c r="K696" s="34">
        <f t="shared" si="41"/>
        <v>0.16</v>
      </c>
      <c r="L696" s="34">
        <f t="shared" si="42"/>
        <v>0.64</v>
      </c>
      <c r="M696" s="11" t="s">
        <v>4101</v>
      </c>
      <c r="N696" s="11" t="s">
        <v>3891</v>
      </c>
      <c r="O696" s="11" t="s">
        <v>3892</v>
      </c>
      <c r="P696" s="11" t="s">
        <v>3893</v>
      </c>
      <c r="Q696" s="12">
        <v>55</v>
      </c>
      <c r="R696" s="12">
        <v>61</v>
      </c>
      <c r="S696" s="12">
        <v>3</v>
      </c>
      <c r="T696" s="13">
        <v>0.3</v>
      </c>
      <c r="U696" s="13">
        <f t="shared" si="43"/>
        <v>-0.34</v>
      </c>
      <c r="V696" s="14">
        <v>36.75</v>
      </c>
      <c r="W696" s="14">
        <v>36.75</v>
      </c>
      <c r="X696" s="11">
        <v>42</v>
      </c>
      <c r="Y696" s="15" t="s">
        <v>3713</v>
      </c>
      <c r="Z696" s="16">
        <v>24.75</v>
      </c>
      <c r="AA696" s="17">
        <v>206.2</v>
      </c>
      <c r="AB696" s="18" t="s">
        <v>3714</v>
      </c>
    </row>
    <row r="697" spans="1:28" x14ac:dyDescent="0.45">
      <c r="A697" s="2" t="s">
        <v>1281</v>
      </c>
      <c r="B697" s="2" t="s">
        <v>5792</v>
      </c>
      <c r="C697" s="2" t="s">
        <v>1110</v>
      </c>
      <c r="D697" s="2" t="s">
        <v>1111</v>
      </c>
      <c r="E697" s="2" t="s">
        <v>96</v>
      </c>
      <c r="F697" s="3">
        <v>56.52</v>
      </c>
      <c r="G697" s="3">
        <v>67.180000000000007</v>
      </c>
      <c r="H697" s="2" t="s">
        <v>1201</v>
      </c>
      <c r="I697" s="19">
        <v>23</v>
      </c>
      <c r="J697" s="34">
        <f t="shared" si="40"/>
        <v>0.2001</v>
      </c>
      <c r="K697" s="34">
        <f t="shared" si="41"/>
        <v>0.3</v>
      </c>
      <c r="L697" s="34">
        <f t="shared" si="42"/>
        <v>1.2</v>
      </c>
      <c r="M697" s="20" t="s">
        <v>4102</v>
      </c>
      <c r="N697" s="20" t="s">
        <v>3891</v>
      </c>
      <c r="O697" s="20" t="s">
        <v>3892</v>
      </c>
      <c r="P697" s="20" t="s">
        <v>3893</v>
      </c>
      <c r="Q697" s="21">
        <v>56.642000000000003</v>
      </c>
      <c r="R697" s="21">
        <v>67.31</v>
      </c>
      <c r="S697" s="21">
        <v>5.3339999999999996</v>
      </c>
      <c r="T697" s="22">
        <v>0.55000000000000004</v>
      </c>
      <c r="U697" s="13">
        <f t="shared" si="43"/>
        <v>-0.64999999999999991</v>
      </c>
      <c r="V697" s="23">
        <v>67.38</v>
      </c>
      <c r="W697" s="23">
        <v>67.38</v>
      </c>
      <c r="X697" s="20">
        <v>1422</v>
      </c>
      <c r="Y697" s="24" t="s">
        <v>3737</v>
      </c>
      <c r="Z697" s="16">
        <v>44.38</v>
      </c>
      <c r="AA697" s="17">
        <v>193</v>
      </c>
      <c r="AB697" s="25" t="s">
        <v>4016</v>
      </c>
    </row>
    <row r="698" spans="1:28" x14ac:dyDescent="0.45">
      <c r="A698" s="4" t="s">
        <v>1282</v>
      </c>
      <c r="B698" s="4" t="s">
        <v>5793</v>
      </c>
      <c r="C698" s="4" t="s">
        <v>1110</v>
      </c>
      <c r="D698" s="4" t="s">
        <v>1111</v>
      </c>
      <c r="E698" s="4" t="s">
        <v>96</v>
      </c>
      <c r="F698" s="5">
        <v>56.74</v>
      </c>
      <c r="G698" s="5">
        <v>63.8</v>
      </c>
      <c r="H698" s="4" t="s">
        <v>1156</v>
      </c>
      <c r="I698" s="10">
        <v>13</v>
      </c>
      <c r="J698" s="34">
        <f t="shared" si="40"/>
        <v>0.11309999999999999</v>
      </c>
      <c r="K698" s="34">
        <f t="shared" si="41"/>
        <v>0.17</v>
      </c>
      <c r="L698" s="34">
        <f t="shared" si="42"/>
        <v>0.68</v>
      </c>
      <c r="M698" s="11" t="s">
        <v>4103</v>
      </c>
      <c r="N698" s="11" t="s">
        <v>3898</v>
      </c>
      <c r="O698" s="11" t="s">
        <v>3892</v>
      </c>
      <c r="P698" s="11" t="s">
        <v>3899</v>
      </c>
      <c r="Q698" s="12">
        <v>56.642000000000003</v>
      </c>
      <c r="R698" s="12">
        <v>63.753999999999998</v>
      </c>
      <c r="S698" s="12">
        <v>3.556</v>
      </c>
      <c r="T698" s="13">
        <v>0.6</v>
      </c>
      <c r="U698" s="13">
        <f t="shared" si="43"/>
        <v>-8.0000000000000071E-2</v>
      </c>
      <c r="V698" s="14">
        <v>73.5</v>
      </c>
      <c r="W698" s="14">
        <v>73.5</v>
      </c>
      <c r="X698" s="11">
        <v>248</v>
      </c>
      <c r="Y698" s="15" t="s">
        <v>3737</v>
      </c>
      <c r="Z698" s="16">
        <v>60.5</v>
      </c>
      <c r="AA698" s="17">
        <v>465.4</v>
      </c>
      <c r="AB698" s="18" t="s">
        <v>3963</v>
      </c>
    </row>
    <row r="699" spans="1:28" x14ac:dyDescent="0.45">
      <c r="A699" s="2" t="s">
        <v>1283</v>
      </c>
      <c r="B699" s="2" t="s">
        <v>5794</v>
      </c>
      <c r="C699" s="2" t="s">
        <v>1110</v>
      </c>
      <c r="D699" s="2" t="s">
        <v>1111</v>
      </c>
      <c r="E699" s="2" t="s">
        <v>96</v>
      </c>
      <c r="F699" s="3">
        <v>56.82</v>
      </c>
      <c r="G699" s="3">
        <v>62.06</v>
      </c>
      <c r="H699" s="2" t="s">
        <v>1127</v>
      </c>
      <c r="I699" s="19">
        <v>10</v>
      </c>
      <c r="J699" s="34">
        <f t="shared" si="40"/>
        <v>8.6999999999999994E-2</v>
      </c>
      <c r="K699" s="34">
        <f t="shared" si="41"/>
        <v>0.13</v>
      </c>
      <c r="L699" s="34">
        <f t="shared" si="42"/>
        <v>0.52</v>
      </c>
      <c r="M699" s="20" t="s">
        <v>4104</v>
      </c>
      <c r="N699" s="20" t="s">
        <v>3891</v>
      </c>
      <c r="O699" s="20" t="s">
        <v>3892</v>
      </c>
      <c r="P699" s="20" t="s">
        <v>3893</v>
      </c>
      <c r="Q699" s="21">
        <v>57</v>
      </c>
      <c r="R699" s="21">
        <v>62</v>
      </c>
      <c r="S699" s="21">
        <v>2.5</v>
      </c>
      <c r="T699" s="22">
        <v>0.2</v>
      </c>
      <c r="U699" s="13">
        <f t="shared" si="43"/>
        <v>-0.32</v>
      </c>
      <c r="V699" s="23">
        <v>24.5</v>
      </c>
      <c r="W699" s="23">
        <v>24.5</v>
      </c>
      <c r="X699" s="20">
        <v>31</v>
      </c>
      <c r="Y699" s="24" t="s">
        <v>3713</v>
      </c>
      <c r="Z699" s="16">
        <v>14.5</v>
      </c>
      <c r="AA699" s="17">
        <v>145</v>
      </c>
      <c r="AB699" s="25" t="s">
        <v>4011</v>
      </c>
    </row>
    <row r="700" spans="1:28" x14ac:dyDescent="0.45">
      <c r="A700" s="4" t="s">
        <v>1284</v>
      </c>
      <c r="B700" s="4" t="s">
        <v>5795</v>
      </c>
      <c r="C700" s="4" t="s">
        <v>1110</v>
      </c>
      <c r="D700" s="4" t="s">
        <v>1111</v>
      </c>
      <c r="E700" s="4" t="s">
        <v>96</v>
      </c>
      <c r="F700" s="5">
        <v>56.87</v>
      </c>
      <c r="G700" s="5">
        <v>60.43</v>
      </c>
      <c r="H700" s="4" t="s">
        <v>1114</v>
      </c>
      <c r="I700" s="10">
        <v>7</v>
      </c>
      <c r="J700" s="34">
        <f t="shared" si="40"/>
        <v>6.0899999999999996E-2</v>
      </c>
      <c r="K700" s="34">
        <f t="shared" si="41"/>
        <v>0.09</v>
      </c>
      <c r="L700" s="34">
        <f t="shared" si="42"/>
        <v>0.36</v>
      </c>
      <c r="M700" s="11" t="s">
        <v>4105</v>
      </c>
      <c r="N700" s="11" t="s">
        <v>3891</v>
      </c>
      <c r="O700" s="11" t="s">
        <v>3892</v>
      </c>
      <c r="P700" s="11" t="s">
        <v>3893</v>
      </c>
      <c r="Q700" s="12">
        <v>56.896000000000001</v>
      </c>
      <c r="R700" s="12">
        <v>60.451999999999998</v>
      </c>
      <c r="S700" s="12">
        <v>1.778</v>
      </c>
      <c r="T700" s="13">
        <v>0.2</v>
      </c>
      <c r="U700" s="13">
        <f t="shared" si="43"/>
        <v>-0.15999999999999998</v>
      </c>
      <c r="V700" s="14">
        <v>24.5</v>
      </c>
      <c r="W700" s="14">
        <v>24.5</v>
      </c>
      <c r="X700" s="11">
        <v>777</v>
      </c>
      <c r="Y700" s="15" t="s">
        <v>3737</v>
      </c>
      <c r="Z700" s="16">
        <v>17.5</v>
      </c>
      <c r="AA700" s="17">
        <v>250</v>
      </c>
      <c r="AB700" s="18" t="s">
        <v>3967</v>
      </c>
    </row>
    <row r="701" spans="1:28" x14ac:dyDescent="0.45">
      <c r="A701" s="2" t="s">
        <v>1285</v>
      </c>
      <c r="B701" s="2" t="s">
        <v>5796</v>
      </c>
      <c r="C701" s="2" t="s">
        <v>1110</v>
      </c>
      <c r="D701" s="2" t="s">
        <v>1111</v>
      </c>
      <c r="E701" s="2" t="s">
        <v>96</v>
      </c>
      <c r="F701" s="3">
        <v>57</v>
      </c>
      <c r="G701" s="3">
        <v>65</v>
      </c>
      <c r="H701" s="2" t="s">
        <v>1216</v>
      </c>
      <c r="I701" s="19">
        <v>17</v>
      </c>
      <c r="J701" s="34">
        <f t="shared" si="40"/>
        <v>0.14789999999999998</v>
      </c>
      <c r="K701" s="34">
        <f t="shared" si="41"/>
        <v>0.22</v>
      </c>
      <c r="L701" s="34">
        <f t="shared" si="42"/>
        <v>0.88</v>
      </c>
      <c r="M701" s="20" t="s">
        <v>4106</v>
      </c>
      <c r="N701" s="20" t="s">
        <v>3898</v>
      </c>
      <c r="O701" s="20" t="s">
        <v>3892</v>
      </c>
      <c r="P701" s="20" t="s">
        <v>3899</v>
      </c>
      <c r="Q701" s="21">
        <v>57</v>
      </c>
      <c r="R701" s="21">
        <v>65</v>
      </c>
      <c r="S701" s="21">
        <v>4</v>
      </c>
      <c r="T701" s="22">
        <v>2.5</v>
      </c>
      <c r="U701" s="13">
        <f t="shared" si="43"/>
        <v>1.62</v>
      </c>
      <c r="V701" s="23">
        <v>306.25</v>
      </c>
      <c r="W701" s="23">
        <v>306.25</v>
      </c>
      <c r="X701" s="20">
        <v>5</v>
      </c>
      <c r="Y701" s="24" t="s">
        <v>3713</v>
      </c>
      <c r="Z701" s="16">
        <v>289.25</v>
      </c>
      <c r="AA701" s="17">
        <v>1701.5</v>
      </c>
      <c r="AB701" s="25" t="s">
        <v>3714</v>
      </c>
    </row>
    <row r="702" spans="1:28" x14ac:dyDescent="0.45">
      <c r="A702" s="4" t="s">
        <v>1286</v>
      </c>
      <c r="B702" s="4" t="s">
        <v>5797</v>
      </c>
      <c r="C702" s="4" t="s">
        <v>1110</v>
      </c>
      <c r="D702" s="4" t="s">
        <v>1111</v>
      </c>
      <c r="E702" s="4" t="s">
        <v>96</v>
      </c>
      <c r="F702" s="5">
        <v>58.42</v>
      </c>
      <c r="G702" s="5">
        <v>63.66</v>
      </c>
      <c r="H702" s="4" t="s">
        <v>1127</v>
      </c>
      <c r="I702" s="10">
        <v>10</v>
      </c>
      <c r="J702" s="34">
        <f t="shared" si="40"/>
        <v>8.6999999999999994E-2</v>
      </c>
      <c r="K702" s="34">
        <f t="shared" si="41"/>
        <v>0.13</v>
      </c>
      <c r="L702" s="34">
        <f t="shared" si="42"/>
        <v>0.52</v>
      </c>
      <c r="M702" s="11" t="s">
        <v>4107</v>
      </c>
      <c r="N702" s="11" t="s">
        <v>3898</v>
      </c>
      <c r="O702" s="11" t="s">
        <v>3892</v>
      </c>
      <c r="P702" s="11" t="s">
        <v>3899</v>
      </c>
      <c r="Q702" s="12">
        <v>58.42</v>
      </c>
      <c r="R702" s="12">
        <v>63.753999999999998</v>
      </c>
      <c r="S702" s="12">
        <v>2.54</v>
      </c>
      <c r="T702" s="13">
        <v>3.21</v>
      </c>
      <c r="U702" s="13">
        <f t="shared" si="43"/>
        <v>2.69</v>
      </c>
      <c r="V702" s="14">
        <v>393.22</v>
      </c>
      <c r="W702" s="14">
        <v>393.22</v>
      </c>
      <c r="X702" s="11" t="s">
        <v>3722</v>
      </c>
      <c r="Y702" s="15" t="s">
        <v>3737</v>
      </c>
      <c r="Z702" s="16">
        <v>383.22</v>
      </c>
      <c r="AA702" s="17">
        <v>3832.2</v>
      </c>
      <c r="AB702" s="18" t="s">
        <v>4108</v>
      </c>
    </row>
    <row r="703" spans="1:28" x14ac:dyDescent="0.45">
      <c r="A703" s="2" t="s">
        <v>1287</v>
      </c>
      <c r="B703" s="2" t="s">
        <v>5798</v>
      </c>
      <c r="C703" s="2" t="s">
        <v>1110</v>
      </c>
      <c r="D703" s="2" t="s">
        <v>1111</v>
      </c>
      <c r="E703" s="2" t="s">
        <v>96</v>
      </c>
      <c r="F703" s="3">
        <v>59.4</v>
      </c>
      <c r="G703" s="3">
        <v>65.599999999999994</v>
      </c>
      <c r="H703" s="2" t="s">
        <v>1221</v>
      </c>
      <c r="I703" s="19">
        <v>17</v>
      </c>
      <c r="J703" s="34">
        <f t="shared" si="40"/>
        <v>0.14789999999999998</v>
      </c>
      <c r="K703" s="34">
        <f t="shared" si="41"/>
        <v>0.22</v>
      </c>
      <c r="L703" s="34">
        <f t="shared" si="42"/>
        <v>0.88</v>
      </c>
      <c r="M703" s="20" t="s">
        <v>4109</v>
      </c>
      <c r="N703" s="20" t="s">
        <v>3891</v>
      </c>
      <c r="O703" s="20" t="s">
        <v>3892</v>
      </c>
      <c r="P703" s="20" t="s">
        <v>3893</v>
      </c>
      <c r="Q703" s="21">
        <v>59.4</v>
      </c>
      <c r="R703" s="21">
        <v>65.599999999999994</v>
      </c>
      <c r="S703" s="21">
        <v>3.1</v>
      </c>
      <c r="T703" s="22">
        <v>0.55000000000000004</v>
      </c>
      <c r="U703" s="13">
        <f t="shared" si="43"/>
        <v>-0.32999999999999996</v>
      </c>
      <c r="V703" s="23">
        <v>67.38</v>
      </c>
      <c r="W703" s="23">
        <v>67.38</v>
      </c>
      <c r="X703" s="20">
        <v>55</v>
      </c>
      <c r="Y703" s="24" t="s">
        <v>3713</v>
      </c>
      <c r="Z703" s="16">
        <v>50.38</v>
      </c>
      <c r="AA703" s="17">
        <v>296.39999999999998</v>
      </c>
      <c r="AB703" s="25" t="s">
        <v>3714</v>
      </c>
    </row>
    <row r="704" spans="1:28" x14ac:dyDescent="0.45">
      <c r="A704" s="4" t="s">
        <v>1288</v>
      </c>
      <c r="B704" s="4" t="s">
        <v>5799</v>
      </c>
      <c r="C704" s="4" t="s">
        <v>1110</v>
      </c>
      <c r="D704" s="4" t="s">
        <v>1111</v>
      </c>
      <c r="E704" s="4" t="s">
        <v>96</v>
      </c>
      <c r="F704" s="5">
        <v>59.69</v>
      </c>
      <c r="G704" s="5">
        <v>70.349999999999994</v>
      </c>
      <c r="H704" s="4" t="s">
        <v>1201</v>
      </c>
      <c r="I704" s="10">
        <v>25</v>
      </c>
      <c r="J704" s="34">
        <f t="shared" si="40"/>
        <v>0.21749999999999997</v>
      </c>
      <c r="K704" s="34">
        <f t="shared" si="41"/>
        <v>0.33</v>
      </c>
      <c r="L704" s="34">
        <f t="shared" si="42"/>
        <v>1.32</v>
      </c>
      <c r="M704" s="11" t="s">
        <v>4110</v>
      </c>
      <c r="N704" s="11" t="s">
        <v>3891</v>
      </c>
      <c r="O704" s="11" t="s">
        <v>3892</v>
      </c>
      <c r="P704" s="11" t="s">
        <v>3893</v>
      </c>
      <c r="Q704" s="12">
        <v>59.69</v>
      </c>
      <c r="R704" s="12">
        <v>70.358000000000004</v>
      </c>
      <c r="S704" s="12">
        <v>5.3339999999999996</v>
      </c>
      <c r="T704" s="13">
        <v>0.41</v>
      </c>
      <c r="U704" s="13">
        <f t="shared" si="43"/>
        <v>-0.91000000000000014</v>
      </c>
      <c r="V704" s="14">
        <v>50.22</v>
      </c>
      <c r="W704" s="14">
        <v>50.22</v>
      </c>
      <c r="X704" s="11">
        <v>501</v>
      </c>
      <c r="Y704" s="15" t="s">
        <v>3737</v>
      </c>
      <c r="Z704" s="16">
        <v>25.22</v>
      </c>
      <c r="AA704" s="17">
        <v>100.9</v>
      </c>
      <c r="AB704" s="18" t="s">
        <v>4032</v>
      </c>
    </row>
    <row r="705" spans="1:28" x14ac:dyDescent="0.45">
      <c r="A705" s="2" t="s">
        <v>1289</v>
      </c>
      <c r="B705" s="2" t="s">
        <v>5800</v>
      </c>
      <c r="C705" s="2" t="s">
        <v>1110</v>
      </c>
      <c r="D705" s="2" t="s">
        <v>1111</v>
      </c>
      <c r="E705" s="2" t="s">
        <v>96</v>
      </c>
      <c r="F705" s="3">
        <v>59.92</v>
      </c>
      <c r="G705" s="3">
        <v>66.98</v>
      </c>
      <c r="H705" s="2" t="s">
        <v>1156</v>
      </c>
      <c r="I705" s="19">
        <v>15</v>
      </c>
      <c r="J705" s="34">
        <f t="shared" si="40"/>
        <v>0.1305</v>
      </c>
      <c r="K705" s="34">
        <f t="shared" si="41"/>
        <v>0.2</v>
      </c>
      <c r="L705" s="34">
        <f t="shared" si="42"/>
        <v>0.8</v>
      </c>
      <c r="M705" s="20" t="s">
        <v>4111</v>
      </c>
      <c r="N705" s="20" t="s">
        <v>3891</v>
      </c>
      <c r="O705" s="20" t="s">
        <v>3892</v>
      </c>
      <c r="P705" s="20" t="s">
        <v>3893</v>
      </c>
      <c r="Q705" s="21">
        <v>60</v>
      </c>
      <c r="R705" s="21">
        <v>67</v>
      </c>
      <c r="S705" s="21">
        <v>3.5</v>
      </c>
      <c r="T705" s="22">
        <v>0.36</v>
      </c>
      <c r="U705" s="13">
        <f t="shared" si="43"/>
        <v>-0.44000000000000006</v>
      </c>
      <c r="V705" s="23">
        <v>44.1</v>
      </c>
      <c r="W705" s="23">
        <v>44.1</v>
      </c>
      <c r="X705" s="20">
        <v>1138</v>
      </c>
      <c r="Y705" s="24" t="s">
        <v>3713</v>
      </c>
      <c r="Z705" s="16">
        <v>29.1</v>
      </c>
      <c r="AA705" s="17">
        <v>194</v>
      </c>
      <c r="AB705" s="25" t="s">
        <v>4024</v>
      </c>
    </row>
    <row r="706" spans="1:28" x14ac:dyDescent="0.45">
      <c r="A706" s="4" t="s">
        <v>1290</v>
      </c>
      <c r="B706" s="4" t="s">
        <v>5801</v>
      </c>
      <c r="C706" s="4" t="s">
        <v>1110</v>
      </c>
      <c r="D706" s="4" t="s">
        <v>1111</v>
      </c>
      <c r="E706" s="4" t="s">
        <v>96</v>
      </c>
      <c r="F706" s="5">
        <v>59.99</v>
      </c>
      <c r="G706" s="5">
        <v>65.23</v>
      </c>
      <c r="H706" s="4" t="s">
        <v>1127</v>
      </c>
      <c r="I706" s="10">
        <v>10</v>
      </c>
      <c r="J706" s="34">
        <f t="shared" si="40"/>
        <v>8.6999999999999994E-2</v>
      </c>
      <c r="K706" s="34">
        <f t="shared" si="41"/>
        <v>0.13</v>
      </c>
      <c r="L706" s="34">
        <f t="shared" si="42"/>
        <v>0.52</v>
      </c>
      <c r="M706" s="11" t="s">
        <v>4112</v>
      </c>
      <c r="N706" s="11" t="s">
        <v>3891</v>
      </c>
      <c r="O706" s="11" t="s">
        <v>3892</v>
      </c>
      <c r="P706" s="11" t="s">
        <v>3893</v>
      </c>
      <c r="Q706" s="12">
        <v>60</v>
      </c>
      <c r="R706" s="12">
        <v>65</v>
      </c>
      <c r="S706" s="12">
        <v>2.5</v>
      </c>
      <c r="T706" s="13">
        <v>0.2</v>
      </c>
      <c r="U706" s="13">
        <f t="shared" si="43"/>
        <v>-0.32</v>
      </c>
      <c r="V706" s="14">
        <v>24.5</v>
      </c>
      <c r="W706" s="14">
        <v>24.5</v>
      </c>
      <c r="X706" s="11">
        <v>58</v>
      </c>
      <c r="Y706" s="15" t="s">
        <v>3713</v>
      </c>
      <c r="Z706" s="16">
        <v>14.5</v>
      </c>
      <c r="AA706" s="17">
        <v>145</v>
      </c>
      <c r="AB706" s="18" t="s">
        <v>4026</v>
      </c>
    </row>
    <row r="707" spans="1:28" x14ac:dyDescent="0.45">
      <c r="A707" s="2" t="s">
        <v>1291</v>
      </c>
      <c r="B707" s="2" t="s">
        <v>5802</v>
      </c>
      <c r="C707" s="2" t="s">
        <v>1110</v>
      </c>
      <c r="D707" s="2" t="s">
        <v>1111</v>
      </c>
      <c r="E707" s="2" t="s">
        <v>96</v>
      </c>
      <c r="F707" s="3">
        <v>61.6</v>
      </c>
      <c r="G707" s="3">
        <v>66.84</v>
      </c>
      <c r="H707" s="2" t="s">
        <v>1127</v>
      </c>
      <c r="I707" s="19">
        <v>10</v>
      </c>
      <c r="J707" s="34">
        <f t="shared" si="40"/>
        <v>8.6999999999999994E-2</v>
      </c>
      <c r="K707" s="34">
        <f t="shared" si="41"/>
        <v>0.13</v>
      </c>
      <c r="L707" s="34">
        <f t="shared" si="42"/>
        <v>0.52</v>
      </c>
      <c r="M707" s="20" t="s">
        <v>4113</v>
      </c>
      <c r="N707" s="20" t="s">
        <v>3891</v>
      </c>
      <c r="O707" s="20" t="s">
        <v>3892</v>
      </c>
      <c r="P707" s="20" t="s">
        <v>3893</v>
      </c>
      <c r="Q707" s="21">
        <v>61.6</v>
      </c>
      <c r="R707" s="21">
        <v>66.400000000000006</v>
      </c>
      <c r="S707" s="21">
        <v>2.4</v>
      </c>
      <c r="T707" s="22">
        <v>0.3</v>
      </c>
      <c r="U707" s="13">
        <f t="shared" si="43"/>
        <v>-0.22000000000000003</v>
      </c>
      <c r="V707" s="23">
        <v>36.75</v>
      </c>
      <c r="W707" s="23">
        <v>36.75</v>
      </c>
      <c r="X707" s="20">
        <v>250</v>
      </c>
      <c r="Y707" s="24" t="s">
        <v>3713</v>
      </c>
      <c r="Z707" s="16">
        <v>26.75</v>
      </c>
      <c r="AA707" s="17">
        <v>267.5</v>
      </c>
      <c r="AB707" s="25" t="s">
        <v>4062</v>
      </c>
    </row>
    <row r="708" spans="1:28" x14ac:dyDescent="0.45">
      <c r="A708" s="4" t="s">
        <v>1292</v>
      </c>
      <c r="B708" s="4" t="s">
        <v>5803</v>
      </c>
      <c r="C708" s="4" t="s">
        <v>1110</v>
      </c>
      <c r="D708" s="4" t="s">
        <v>1111</v>
      </c>
      <c r="E708" s="4" t="s">
        <v>96</v>
      </c>
      <c r="F708" s="5">
        <v>62.87</v>
      </c>
      <c r="G708" s="5">
        <v>73.53</v>
      </c>
      <c r="H708" s="4" t="s">
        <v>1201</v>
      </c>
      <c r="I708" s="10">
        <v>25</v>
      </c>
      <c r="J708" s="34">
        <f t="shared" si="40"/>
        <v>0.21749999999999997</v>
      </c>
      <c r="K708" s="34">
        <f t="shared" si="41"/>
        <v>0.33</v>
      </c>
      <c r="L708" s="34">
        <f t="shared" si="42"/>
        <v>1.32</v>
      </c>
      <c r="M708" s="11" t="s">
        <v>4114</v>
      </c>
      <c r="N708" s="11" t="s">
        <v>3898</v>
      </c>
      <c r="O708" s="11" t="s">
        <v>3892</v>
      </c>
      <c r="P708" s="11" t="s">
        <v>3899</v>
      </c>
      <c r="Q708" s="12">
        <v>62.991999999999997</v>
      </c>
      <c r="R708" s="12">
        <v>73.66</v>
      </c>
      <c r="S708" s="12">
        <v>5.3339999999999996</v>
      </c>
      <c r="T708" s="13">
        <v>1.54</v>
      </c>
      <c r="U708" s="13">
        <f t="shared" si="43"/>
        <v>0.21999999999999997</v>
      </c>
      <c r="V708" s="14">
        <v>188.65</v>
      </c>
      <c r="W708" s="14">
        <v>188.65</v>
      </c>
      <c r="X708" s="11" t="s">
        <v>3722</v>
      </c>
      <c r="Y708" s="15" t="s">
        <v>3737</v>
      </c>
      <c r="Z708" s="16">
        <v>163.65</v>
      </c>
      <c r="AA708" s="17">
        <v>654.6</v>
      </c>
      <c r="AB708" s="18" t="s">
        <v>4016</v>
      </c>
    </row>
    <row r="709" spans="1:28" x14ac:dyDescent="0.45">
      <c r="A709" s="2" t="s">
        <v>1293</v>
      </c>
      <c r="B709" s="2" t="s">
        <v>5804</v>
      </c>
      <c r="C709" s="2" t="s">
        <v>1110</v>
      </c>
      <c r="D709" s="2" t="s">
        <v>1111</v>
      </c>
      <c r="E709" s="2" t="s">
        <v>96</v>
      </c>
      <c r="F709" s="3">
        <v>63.09</v>
      </c>
      <c r="G709" s="3">
        <v>70.150000000000006</v>
      </c>
      <c r="H709" s="2" t="s">
        <v>1156</v>
      </c>
      <c r="I709" s="19">
        <v>15</v>
      </c>
      <c r="J709" s="34">
        <f t="shared" ref="J709:J772" si="44">I709*0.0087</f>
        <v>0.1305</v>
      </c>
      <c r="K709" s="34">
        <f t="shared" ref="K709:K772" si="45">ROUND(J709*1.5,2)</f>
        <v>0.2</v>
      </c>
      <c r="L709" s="34">
        <f t="shared" ref="L709:L772" si="46">K709*4</f>
        <v>0.8</v>
      </c>
      <c r="M709" s="20" t="s">
        <v>4115</v>
      </c>
      <c r="N709" s="20" t="s">
        <v>3891</v>
      </c>
      <c r="O709" s="20" t="s">
        <v>3892</v>
      </c>
      <c r="P709" s="20" t="s">
        <v>3893</v>
      </c>
      <c r="Q709" s="21">
        <v>63</v>
      </c>
      <c r="R709" s="21">
        <v>70</v>
      </c>
      <c r="S709" s="21">
        <v>3.5</v>
      </c>
      <c r="T709" s="22">
        <v>0.39</v>
      </c>
      <c r="U709" s="13">
        <f t="shared" ref="U709:U772" si="47">T709-L709</f>
        <v>-0.41000000000000003</v>
      </c>
      <c r="V709" s="23">
        <v>47.78</v>
      </c>
      <c r="W709" s="23">
        <v>47.78</v>
      </c>
      <c r="X709" s="20">
        <v>1125</v>
      </c>
      <c r="Y709" s="24" t="s">
        <v>3713</v>
      </c>
      <c r="Z709" s="16">
        <v>32.78</v>
      </c>
      <c r="AA709" s="17">
        <v>218.5</v>
      </c>
      <c r="AB709" s="25" t="s">
        <v>4041</v>
      </c>
    </row>
    <row r="710" spans="1:28" x14ac:dyDescent="0.45">
      <c r="A710" s="4" t="s">
        <v>1294</v>
      </c>
      <c r="B710" s="4" t="s">
        <v>5805</v>
      </c>
      <c r="C710" s="4" t="s">
        <v>1110</v>
      </c>
      <c r="D710" s="4" t="s">
        <v>1111</v>
      </c>
      <c r="E710" s="4" t="s">
        <v>96</v>
      </c>
      <c r="F710" s="5">
        <v>63.17</v>
      </c>
      <c r="G710" s="5">
        <v>68.41</v>
      </c>
      <c r="H710" s="4" t="s">
        <v>1127</v>
      </c>
      <c r="I710" s="10">
        <v>12</v>
      </c>
      <c r="J710" s="34">
        <f t="shared" si="44"/>
        <v>0.10439999999999999</v>
      </c>
      <c r="K710" s="34">
        <f t="shared" si="45"/>
        <v>0.16</v>
      </c>
      <c r="L710" s="34">
        <f t="shared" si="46"/>
        <v>0.64</v>
      </c>
      <c r="M710" s="11" t="s">
        <v>4116</v>
      </c>
      <c r="N710" s="11" t="s">
        <v>3891</v>
      </c>
      <c r="O710" s="11" t="s">
        <v>3892</v>
      </c>
      <c r="P710" s="11" t="s">
        <v>3893</v>
      </c>
      <c r="Q710" s="12">
        <v>63.246000000000002</v>
      </c>
      <c r="R710" s="12">
        <v>68.325999999999993</v>
      </c>
      <c r="S710" s="12">
        <v>2.54</v>
      </c>
      <c r="T710" s="13">
        <v>0.25</v>
      </c>
      <c r="U710" s="13">
        <f t="shared" si="47"/>
        <v>-0.39</v>
      </c>
      <c r="V710" s="14">
        <v>30.62</v>
      </c>
      <c r="W710" s="14">
        <v>30.62</v>
      </c>
      <c r="X710" s="11">
        <v>1406</v>
      </c>
      <c r="Y710" s="15" t="s">
        <v>3737</v>
      </c>
      <c r="Z710" s="16">
        <v>18.62</v>
      </c>
      <c r="AA710" s="17">
        <v>155.19999999999999</v>
      </c>
      <c r="AB710" s="18" t="s">
        <v>4022</v>
      </c>
    </row>
    <row r="711" spans="1:28" x14ac:dyDescent="0.45">
      <c r="A711" s="2" t="s">
        <v>1295</v>
      </c>
      <c r="B711" s="2" t="s">
        <v>5806</v>
      </c>
      <c r="C711" s="2" t="s">
        <v>1110</v>
      </c>
      <c r="D711" s="2" t="s">
        <v>1111</v>
      </c>
      <c r="E711" s="2" t="s">
        <v>96</v>
      </c>
      <c r="F711" s="3">
        <v>63.22</v>
      </c>
      <c r="G711" s="3">
        <v>66.78</v>
      </c>
      <c r="H711" s="2" t="s">
        <v>1114</v>
      </c>
      <c r="I711" s="19">
        <v>8</v>
      </c>
      <c r="J711" s="34">
        <f t="shared" si="44"/>
        <v>6.9599999999999995E-2</v>
      </c>
      <c r="K711" s="34">
        <f t="shared" si="45"/>
        <v>0.1</v>
      </c>
      <c r="L711" s="34">
        <f t="shared" si="46"/>
        <v>0.4</v>
      </c>
      <c r="M711" s="20" t="s">
        <v>4117</v>
      </c>
      <c r="N711" s="20" t="s">
        <v>3891</v>
      </c>
      <c r="O711" s="20" t="s">
        <v>3892</v>
      </c>
      <c r="P711" s="20" t="s">
        <v>3893</v>
      </c>
      <c r="Q711" s="21">
        <v>63.246000000000002</v>
      </c>
      <c r="R711" s="21">
        <v>66.802000000000007</v>
      </c>
      <c r="S711" s="21">
        <v>1.778</v>
      </c>
      <c r="T711" s="22">
        <v>0.2</v>
      </c>
      <c r="U711" s="13">
        <f t="shared" si="47"/>
        <v>-0.2</v>
      </c>
      <c r="V711" s="23">
        <v>24.5</v>
      </c>
      <c r="W711" s="23">
        <v>24.5</v>
      </c>
      <c r="X711" s="20">
        <v>239</v>
      </c>
      <c r="Y711" s="24" t="s">
        <v>3737</v>
      </c>
      <c r="Z711" s="16">
        <v>16.5</v>
      </c>
      <c r="AA711" s="17">
        <v>206.2</v>
      </c>
      <c r="AB711" s="25" t="s">
        <v>3967</v>
      </c>
    </row>
    <row r="712" spans="1:28" x14ac:dyDescent="0.45">
      <c r="A712" s="4" t="s">
        <v>1296</v>
      </c>
      <c r="B712" s="4" t="s">
        <v>5807</v>
      </c>
      <c r="C712" s="4" t="s">
        <v>1110</v>
      </c>
      <c r="D712" s="4" t="s">
        <v>1111</v>
      </c>
      <c r="E712" s="4" t="s">
        <v>96</v>
      </c>
      <c r="F712" s="5">
        <v>64.2</v>
      </c>
      <c r="G712" s="5">
        <v>75.600000000000009</v>
      </c>
      <c r="H712" s="4" t="s">
        <v>1297</v>
      </c>
      <c r="I712" s="10">
        <v>35</v>
      </c>
      <c r="J712" s="34">
        <f t="shared" si="44"/>
        <v>0.30449999999999999</v>
      </c>
      <c r="K712" s="34">
        <f t="shared" si="45"/>
        <v>0.46</v>
      </c>
      <c r="L712" s="34">
        <f t="shared" si="46"/>
        <v>1.84</v>
      </c>
      <c r="M712" s="11" t="s">
        <v>4118</v>
      </c>
      <c r="N712" s="11" t="s">
        <v>3891</v>
      </c>
      <c r="O712" s="11" t="s">
        <v>3892</v>
      </c>
      <c r="P712" s="11" t="s">
        <v>3893</v>
      </c>
      <c r="Q712" s="12">
        <v>64.3</v>
      </c>
      <c r="R712" s="12">
        <v>75.7</v>
      </c>
      <c r="S712" s="12">
        <v>5.7</v>
      </c>
      <c r="T712" s="13">
        <v>0.67</v>
      </c>
      <c r="U712" s="13">
        <f t="shared" si="47"/>
        <v>-1.17</v>
      </c>
      <c r="V712" s="14">
        <v>82.08</v>
      </c>
      <c r="W712" s="14">
        <v>82.08</v>
      </c>
      <c r="X712" s="11">
        <v>99</v>
      </c>
      <c r="Y712" s="15" t="s">
        <v>3713</v>
      </c>
      <c r="Z712" s="16">
        <v>47.08</v>
      </c>
      <c r="AA712" s="17">
        <v>134.5</v>
      </c>
      <c r="AB712" s="18" t="s">
        <v>4119</v>
      </c>
    </row>
    <row r="713" spans="1:28" x14ac:dyDescent="0.45">
      <c r="A713" s="2" t="s">
        <v>1298</v>
      </c>
      <c r="B713" s="2" t="s">
        <v>5808</v>
      </c>
      <c r="C713" s="2" t="s">
        <v>1110</v>
      </c>
      <c r="D713" s="2" t="s">
        <v>1111</v>
      </c>
      <c r="E713" s="2" t="s">
        <v>96</v>
      </c>
      <c r="F713" s="3">
        <v>64.400000000000006</v>
      </c>
      <c r="G713" s="3">
        <v>70.600000000000009</v>
      </c>
      <c r="H713" s="2" t="s">
        <v>1221</v>
      </c>
      <c r="I713" s="19">
        <v>18</v>
      </c>
      <c r="J713" s="34">
        <f t="shared" si="44"/>
        <v>0.15659999999999999</v>
      </c>
      <c r="K713" s="34">
        <f t="shared" si="45"/>
        <v>0.23</v>
      </c>
      <c r="L713" s="34">
        <f t="shared" si="46"/>
        <v>0.92</v>
      </c>
      <c r="M713" s="20" t="s">
        <v>4120</v>
      </c>
      <c r="N713" s="20" t="s">
        <v>3891</v>
      </c>
      <c r="O713" s="20" t="s">
        <v>3892</v>
      </c>
      <c r="P713" s="20" t="s">
        <v>3893</v>
      </c>
      <c r="Q713" s="21">
        <v>64.400000000000006</v>
      </c>
      <c r="R713" s="21">
        <v>70.599999999999994</v>
      </c>
      <c r="S713" s="21">
        <v>3.1</v>
      </c>
      <c r="T713" s="22">
        <v>0.59</v>
      </c>
      <c r="U713" s="13">
        <f t="shared" si="47"/>
        <v>-0.33000000000000007</v>
      </c>
      <c r="V713" s="23">
        <v>72.27</v>
      </c>
      <c r="W713" s="23">
        <v>72.27</v>
      </c>
      <c r="X713" s="20">
        <v>243</v>
      </c>
      <c r="Y713" s="24" t="s">
        <v>3713</v>
      </c>
      <c r="Z713" s="16">
        <v>54.27</v>
      </c>
      <c r="AA713" s="17">
        <v>301.5</v>
      </c>
      <c r="AB713" s="25" t="s">
        <v>3714</v>
      </c>
    </row>
    <row r="714" spans="1:28" x14ac:dyDescent="0.45">
      <c r="A714" s="4" t="s">
        <v>1299</v>
      </c>
      <c r="B714" s="4" t="s">
        <v>5809</v>
      </c>
      <c r="C714" s="4" t="s">
        <v>1110</v>
      </c>
      <c r="D714" s="4" t="s">
        <v>1111</v>
      </c>
      <c r="E714" s="4" t="s">
        <v>96</v>
      </c>
      <c r="F714" s="5">
        <v>64.77</v>
      </c>
      <c r="G714" s="5">
        <v>70.009999999999991</v>
      </c>
      <c r="H714" s="4" t="s">
        <v>1127</v>
      </c>
      <c r="I714" s="10">
        <v>12</v>
      </c>
      <c r="J714" s="34">
        <f t="shared" si="44"/>
        <v>0.10439999999999999</v>
      </c>
      <c r="K714" s="34">
        <f t="shared" si="45"/>
        <v>0.16</v>
      </c>
      <c r="L714" s="34">
        <f t="shared" si="46"/>
        <v>0.64</v>
      </c>
      <c r="M714" s="11" t="s">
        <v>4121</v>
      </c>
      <c r="N714" s="11" t="s">
        <v>3891</v>
      </c>
      <c r="O714" s="11" t="s">
        <v>3892</v>
      </c>
      <c r="P714" s="11" t="s">
        <v>3893</v>
      </c>
      <c r="Q714" s="12">
        <v>65</v>
      </c>
      <c r="R714" s="12">
        <v>70</v>
      </c>
      <c r="S714" s="12">
        <v>2.5</v>
      </c>
      <c r="T714" s="13">
        <v>0.2</v>
      </c>
      <c r="U714" s="13">
        <f t="shared" si="47"/>
        <v>-0.44</v>
      </c>
      <c r="V714" s="14">
        <v>24.5</v>
      </c>
      <c r="W714" s="14">
        <v>24.5</v>
      </c>
      <c r="X714" s="11">
        <v>90</v>
      </c>
      <c r="Y714" s="15" t="s">
        <v>3713</v>
      </c>
      <c r="Z714" s="16">
        <v>12.5</v>
      </c>
      <c r="AA714" s="17">
        <v>104.2</v>
      </c>
      <c r="AB714" s="18" t="s">
        <v>3928</v>
      </c>
    </row>
    <row r="715" spans="1:28" x14ac:dyDescent="0.45">
      <c r="A715" s="2" t="s">
        <v>1300</v>
      </c>
      <c r="B715" s="2" t="s">
        <v>5810</v>
      </c>
      <c r="C715" s="2" t="s">
        <v>1110</v>
      </c>
      <c r="D715" s="2" t="s">
        <v>1111</v>
      </c>
      <c r="E715" s="2" t="s">
        <v>96</v>
      </c>
      <c r="F715" s="3">
        <v>64</v>
      </c>
      <c r="G715" s="3">
        <v>72</v>
      </c>
      <c r="H715" s="2" t="s">
        <v>1216</v>
      </c>
      <c r="I715" s="19">
        <v>18</v>
      </c>
      <c r="J715" s="34">
        <f t="shared" si="44"/>
        <v>0.15659999999999999</v>
      </c>
      <c r="K715" s="34">
        <f t="shared" si="45"/>
        <v>0.23</v>
      </c>
      <c r="L715" s="34">
        <f t="shared" si="46"/>
        <v>0.92</v>
      </c>
      <c r="M715" s="20" t="s">
        <v>4122</v>
      </c>
      <c r="N715" s="20" t="s">
        <v>3891</v>
      </c>
      <c r="O715" s="20" t="s">
        <v>3892</v>
      </c>
      <c r="P715" s="20" t="s">
        <v>3893</v>
      </c>
      <c r="Q715" s="21">
        <v>64</v>
      </c>
      <c r="R715" s="21">
        <v>72</v>
      </c>
      <c r="S715" s="21">
        <v>4</v>
      </c>
      <c r="T715" s="22">
        <v>0.32</v>
      </c>
      <c r="U715" s="13">
        <f t="shared" si="47"/>
        <v>-0.60000000000000009</v>
      </c>
      <c r="V715" s="23">
        <v>39.200000000000003</v>
      </c>
      <c r="W715" s="23">
        <v>39.200000000000003</v>
      </c>
      <c r="X715" s="20">
        <v>3</v>
      </c>
      <c r="Y715" s="24" t="s">
        <v>3713</v>
      </c>
      <c r="Z715" s="16">
        <v>21.2</v>
      </c>
      <c r="AA715" s="17">
        <v>117.8</v>
      </c>
      <c r="AB715" s="25" t="s">
        <v>3714</v>
      </c>
    </row>
    <row r="716" spans="1:28" x14ac:dyDescent="0.45">
      <c r="A716" s="4" t="s">
        <v>1301</v>
      </c>
      <c r="B716" s="4" t="s">
        <v>5811</v>
      </c>
      <c r="C716" s="4" t="s">
        <v>1110</v>
      </c>
      <c r="D716" s="4" t="s">
        <v>1111</v>
      </c>
      <c r="E716" s="4" t="s">
        <v>96</v>
      </c>
      <c r="F716" s="5">
        <v>66.040000000000006</v>
      </c>
      <c r="G716" s="5">
        <v>76.7</v>
      </c>
      <c r="H716" s="4" t="s">
        <v>1201</v>
      </c>
      <c r="I716" s="10">
        <v>27</v>
      </c>
      <c r="J716" s="34">
        <f t="shared" si="44"/>
        <v>0.2349</v>
      </c>
      <c r="K716" s="34">
        <f t="shared" si="45"/>
        <v>0.35</v>
      </c>
      <c r="L716" s="34">
        <f t="shared" si="46"/>
        <v>1.4</v>
      </c>
      <c r="M716" s="11" t="s">
        <v>4123</v>
      </c>
      <c r="N716" s="11" t="s">
        <v>3891</v>
      </c>
      <c r="O716" s="11" t="s">
        <v>3892</v>
      </c>
      <c r="P716" s="11" t="s">
        <v>3893</v>
      </c>
      <c r="Q716" s="12">
        <v>66.040000000000006</v>
      </c>
      <c r="R716" s="12">
        <v>76.707999999999998</v>
      </c>
      <c r="S716" s="12">
        <v>5.3339999999999996</v>
      </c>
      <c r="T716" s="13">
        <v>0.61</v>
      </c>
      <c r="U716" s="13">
        <f t="shared" si="47"/>
        <v>-0.78999999999999992</v>
      </c>
      <c r="V716" s="14">
        <v>74.72</v>
      </c>
      <c r="W716" s="14">
        <v>74.72</v>
      </c>
      <c r="X716" s="11">
        <v>1394</v>
      </c>
      <c r="Y716" s="15" t="s">
        <v>3737</v>
      </c>
      <c r="Z716" s="16">
        <v>47.72</v>
      </c>
      <c r="AA716" s="17">
        <v>176.7</v>
      </c>
      <c r="AB716" s="18" t="s">
        <v>4032</v>
      </c>
    </row>
    <row r="717" spans="1:28" x14ac:dyDescent="0.45">
      <c r="A717" s="2" t="s">
        <v>1302</v>
      </c>
      <c r="B717" s="2" t="s">
        <v>5812</v>
      </c>
      <c r="C717" s="2" t="s">
        <v>1110</v>
      </c>
      <c r="D717" s="2" t="s">
        <v>1111</v>
      </c>
      <c r="E717" s="2" t="s">
        <v>96</v>
      </c>
      <c r="F717" s="3">
        <v>66.27</v>
      </c>
      <c r="G717" s="3">
        <v>73.33</v>
      </c>
      <c r="H717" s="2" t="s">
        <v>1156</v>
      </c>
      <c r="I717" s="19">
        <v>15</v>
      </c>
      <c r="J717" s="34">
        <f t="shared" si="44"/>
        <v>0.1305</v>
      </c>
      <c r="K717" s="34">
        <f t="shared" si="45"/>
        <v>0.2</v>
      </c>
      <c r="L717" s="34">
        <f t="shared" si="46"/>
        <v>0.8</v>
      </c>
      <c r="M717" s="20" t="s">
        <v>4124</v>
      </c>
      <c r="N717" s="20" t="s">
        <v>3891</v>
      </c>
      <c r="O717" s="20" t="s">
        <v>3892</v>
      </c>
      <c r="P717" s="20" t="s">
        <v>3893</v>
      </c>
      <c r="Q717" s="21">
        <v>66.293999999999997</v>
      </c>
      <c r="R717" s="21">
        <v>73.406000000000006</v>
      </c>
      <c r="S717" s="21">
        <v>3.556</v>
      </c>
      <c r="T717" s="22">
        <v>0.28999999999999998</v>
      </c>
      <c r="U717" s="13">
        <f t="shared" si="47"/>
        <v>-0.51</v>
      </c>
      <c r="V717" s="23">
        <v>35.520000000000003</v>
      </c>
      <c r="W717" s="23">
        <v>35.520000000000003</v>
      </c>
      <c r="X717" s="20">
        <v>3839</v>
      </c>
      <c r="Y717" s="24" t="s">
        <v>3737</v>
      </c>
      <c r="Z717" s="16">
        <v>20.52</v>
      </c>
      <c r="AA717" s="17">
        <v>136.80000000000001</v>
      </c>
      <c r="AB717" s="25" t="s">
        <v>3945</v>
      </c>
    </row>
    <row r="718" spans="1:28" x14ac:dyDescent="0.45">
      <c r="A718" s="4" t="s">
        <v>1303</v>
      </c>
      <c r="B718" s="4" t="s">
        <v>5813</v>
      </c>
      <c r="C718" s="4" t="s">
        <v>1110</v>
      </c>
      <c r="D718" s="4" t="s">
        <v>1111</v>
      </c>
      <c r="E718" s="4" t="s">
        <v>96</v>
      </c>
      <c r="F718" s="5">
        <v>66.34</v>
      </c>
      <c r="G718" s="5">
        <v>71.58</v>
      </c>
      <c r="H718" s="4" t="s">
        <v>1127</v>
      </c>
      <c r="I718" s="10">
        <v>12</v>
      </c>
      <c r="J718" s="34">
        <f t="shared" si="44"/>
        <v>0.10439999999999999</v>
      </c>
      <c r="K718" s="34">
        <f t="shared" si="45"/>
        <v>0.16</v>
      </c>
      <c r="L718" s="34">
        <f t="shared" si="46"/>
        <v>0.64</v>
      </c>
      <c r="M718" s="11" t="s">
        <v>4125</v>
      </c>
      <c r="N718" s="11" t="s">
        <v>3898</v>
      </c>
      <c r="O718" s="11" t="s">
        <v>3892</v>
      </c>
      <c r="P718" s="11" t="s">
        <v>3899</v>
      </c>
      <c r="Q718" s="12">
        <v>66.293999999999997</v>
      </c>
      <c r="R718" s="12">
        <v>71.628</v>
      </c>
      <c r="S718" s="12">
        <v>2.54</v>
      </c>
      <c r="T718" s="13">
        <v>0.68</v>
      </c>
      <c r="U718" s="13">
        <f t="shared" si="47"/>
        <v>4.0000000000000036E-2</v>
      </c>
      <c r="V718" s="14">
        <v>83.3</v>
      </c>
      <c r="W718" s="14">
        <v>83.3</v>
      </c>
      <c r="X718" s="11">
        <v>8</v>
      </c>
      <c r="Y718" s="15" t="s">
        <v>3737</v>
      </c>
      <c r="Z718" s="16">
        <v>71.3</v>
      </c>
      <c r="AA718" s="17">
        <v>594.20000000000005</v>
      </c>
      <c r="AB718" s="18" t="s">
        <v>3920</v>
      </c>
    </row>
    <row r="719" spans="1:28" x14ac:dyDescent="0.45">
      <c r="A719" s="2" t="s">
        <v>1304</v>
      </c>
      <c r="B719" s="2" t="s">
        <v>5814</v>
      </c>
      <c r="C719" s="2" t="s">
        <v>1110</v>
      </c>
      <c r="D719" s="2" t="s">
        <v>1111</v>
      </c>
      <c r="E719" s="2" t="s">
        <v>96</v>
      </c>
      <c r="F719" s="3">
        <v>66.400000000000006</v>
      </c>
      <c r="G719" s="3">
        <v>69.960000000000008</v>
      </c>
      <c r="H719" s="2" t="s">
        <v>1114</v>
      </c>
      <c r="I719" s="19">
        <v>10</v>
      </c>
      <c r="J719" s="34">
        <f t="shared" si="44"/>
        <v>8.6999999999999994E-2</v>
      </c>
      <c r="K719" s="34">
        <f t="shared" si="45"/>
        <v>0.13</v>
      </c>
      <c r="L719" s="34">
        <f t="shared" si="46"/>
        <v>0.52</v>
      </c>
      <c r="M719" s="20" t="s">
        <v>4126</v>
      </c>
      <c r="N719" s="20" t="s">
        <v>3891</v>
      </c>
      <c r="O719" s="20" t="s">
        <v>3892</v>
      </c>
      <c r="P719" s="20" t="s">
        <v>3893</v>
      </c>
      <c r="Q719" s="21">
        <v>66</v>
      </c>
      <c r="R719" s="21">
        <v>70</v>
      </c>
      <c r="S719" s="21">
        <v>2</v>
      </c>
      <c r="T719" s="22">
        <v>0.2</v>
      </c>
      <c r="U719" s="13">
        <f t="shared" si="47"/>
        <v>-0.32</v>
      </c>
      <c r="V719" s="23">
        <v>24.5</v>
      </c>
      <c r="W719" s="23">
        <v>24.5</v>
      </c>
      <c r="X719" s="20">
        <v>39</v>
      </c>
      <c r="Y719" s="24" t="s">
        <v>3713</v>
      </c>
      <c r="Z719" s="16">
        <v>14.5</v>
      </c>
      <c r="AA719" s="17">
        <v>145</v>
      </c>
      <c r="AB719" s="25" t="s">
        <v>4127</v>
      </c>
    </row>
    <row r="720" spans="1:28" x14ac:dyDescent="0.45">
      <c r="A720" s="4" t="s">
        <v>1305</v>
      </c>
      <c r="B720" s="4" t="s">
        <v>5815</v>
      </c>
      <c r="C720" s="4" t="s">
        <v>1110</v>
      </c>
      <c r="D720" s="4" t="s">
        <v>1111</v>
      </c>
      <c r="E720" s="4" t="s">
        <v>96</v>
      </c>
      <c r="F720" s="5">
        <v>69.22</v>
      </c>
      <c r="G720" s="5">
        <v>79.88</v>
      </c>
      <c r="H720" s="4" t="s">
        <v>1201</v>
      </c>
      <c r="I720" s="10">
        <v>29</v>
      </c>
      <c r="J720" s="34">
        <f t="shared" si="44"/>
        <v>0.25229999999999997</v>
      </c>
      <c r="K720" s="34">
        <f t="shared" si="45"/>
        <v>0.38</v>
      </c>
      <c r="L720" s="34">
        <f t="shared" si="46"/>
        <v>1.52</v>
      </c>
      <c r="M720" s="11" t="s">
        <v>4128</v>
      </c>
      <c r="N720" s="11" t="s">
        <v>3891</v>
      </c>
      <c r="O720" s="11" t="s">
        <v>3892</v>
      </c>
      <c r="P720" s="11" t="s">
        <v>3893</v>
      </c>
      <c r="Q720" s="12">
        <v>69.341999999999999</v>
      </c>
      <c r="R720" s="12">
        <v>80.010000000000005</v>
      </c>
      <c r="S720" s="12">
        <v>5.3339999999999996</v>
      </c>
      <c r="T720" s="13">
        <v>0.64</v>
      </c>
      <c r="U720" s="13">
        <f t="shared" si="47"/>
        <v>-0.88</v>
      </c>
      <c r="V720" s="14">
        <v>78.400000000000006</v>
      </c>
      <c r="W720" s="14">
        <v>78.400000000000006</v>
      </c>
      <c r="X720" s="11">
        <v>1224</v>
      </c>
      <c r="Y720" s="15" t="s">
        <v>3737</v>
      </c>
      <c r="Z720" s="16">
        <v>49.400000000000013</v>
      </c>
      <c r="AA720" s="17">
        <v>170.3</v>
      </c>
      <c r="AB720" s="18" t="s">
        <v>4016</v>
      </c>
    </row>
    <row r="721" spans="1:28" x14ac:dyDescent="0.45">
      <c r="A721" s="2" t="s">
        <v>1306</v>
      </c>
      <c r="B721" s="2" t="s">
        <v>5816</v>
      </c>
      <c r="C721" s="2" t="s">
        <v>1110</v>
      </c>
      <c r="D721" s="2" t="s">
        <v>1111</v>
      </c>
      <c r="E721" s="2" t="s">
        <v>96</v>
      </c>
      <c r="F721" s="3">
        <v>69.44</v>
      </c>
      <c r="G721" s="3">
        <v>76.5</v>
      </c>
      <c r="H721" s="2" t="s">
        <v>1156</v>
      </c>
      <c r="I721" s="19">
        <v>17</v>
      </c>
      <c r="J721" s="34">
        <f t="shared" si="44"/>
        <v>0.14789999999999998</v>
      </c>
      <c r="K721" s="34">
        <f t="shared" si="45"/>
        <v>0.22</v>
      </c>
      <c r="L721" s="34">
        <f t="shared" si="46"/>
        <v>0.88</v>
      </c>
      <c r="M721" s="20" t="s">
        <v>4129</v>
      </c>
      <c r="N721" s="20" t="s">
        <v>3913</v>
      </c>
      <c r="O721" s="20" t="s">
        <v>3892</v>
      </c>
      <c r="P721" s="20" t="s">
        <v>3914</v>
      </c>
      <c r="Q721" s="21">
        <v>69.341999999999999</v>
      </c>
      <c r="R721" s="21">
        <v>76.453999999999994</v>
      </c>
      <c r="S721" s="21">
        <v>3.556</v>
      </c>
      <c r="T721" s="22">
        <v>4.68</v>
      </c>
      <c r="U721" s="13">
        <f t="shared" si="47"/>
        <v>3.8</v>
      </c>
      <c r="V721" s="23">
        <v>573.29999999999995</v>
      </c>
      <c r="W721" s="23">
        <v>573.29999999999995</v>
      </c>
      <c r="X721" s="20" t="s">
        <v>3722</v>
      </c>
      <c r="Y721" s="24" t="s">
        <v>3737</v>
      </c>
      <c r="Z721" s="16">
        <v>556.29999999999995</v>
      </c>
      <c r="AA721" s="17">
        <v>3272.4</v>
      </c>
      <c r="AB721" s="25" t="s">
        <v>3963</v>
      </c>
    </row>
    <row r="722" spans="1:28" x14ac:dyDescent="0.45">
      <c r="A722" s="4" t="s">
        <v>1307</v>
      </c>
      <c r="B722" s="4" t="s">
        <v>5817</v>
      </c>
      <c r="C722" s="4" t="s">
        <v>1110</v>
      </c>
      <c r="D722" s="4" t="s">
        <v>1111</v>
      </c>
      <c r="E722" s="4" t="s">
        <v>96</v>
      </c>
      <c r="F722" s="5">
        <v>69.400000000000006</v>
      </c>
      <c r="G722" s="5">
        <v>75.600000000000009</v>
      </c>
      <c r="H722" s="4" t="s">
        <v>1221</v>
      </c>
      <c r="I722" s="10">
        <v>20</v>
      </c>
      <c r="J722" s="34">
        <f t="shared" si="44"/>
        <v>0.17399999999999999</v>
      </c>
      <c r="K722" s="34">
        <f t="shared" si="45"/>
        <v>0.26</v>
      </c>
      <c r="L722" s="34">
        <f t="shared" si="46"/>
        <v>1.04</v>
      </c>
      <c r="M722" s="11" t="s">
        <v>4130</v>
      </c>
      <c r="N722" s="11" t="s">
        <v>3891</v>
      </c>
      <c r="O722" s="11" t="s">
        <v>3892</v>
      </c>
      <c r="P722" s="11" t="s">
        <v>3893</v>
      </c>
      <c r="Q722" s="12">
        <v>69.400000000000006</v>
      </c>
      <c r="R722" s="12">
        <v>75.599999999999994</v>
      </c>
      <c r="S722" s="12">
        <v>3.1</v>
      </c>
      <c r="T722" s="13">
        <v>0.56000000000000005</v>
      </c>
      <c r="U722" s="13">
        <f t="shared" si="47"/>
        <v>-0.48</v>
      </c>
      <c r="V722" s="14">
        <v>68.599999999999994</v>
      </c>
      <c r="W722" s="14">
        <v>68.599999999999994</v>
      </c>
      <c r="X722" s="11">
        <v>181</v>
      </c>
      <c r="Y722" s="15" t="s">
        <v>3713</v>
      </c>
      <c r="Z722" s="16">
        <v>48.599999999999987</v>
      </c>
      <c r="AA722" s="17">
        <v>243</v>
      </c>
      <c r="AB722" s="18" t="s">
        <v>3714</v>
      </c>
    </row>
    <row r="723" spans="1:28" x14ac:dyDescent="0.45">
      <c r="A723" s="2" t="s">
        <v>1308</v>
      </c>
      <c r="B723" s="2" t="s">
        <v>5818</v>
      </c>
      <c r="C723" s="2" t="s">
        <v>1110</v>
      </c>
      <c r="D723" s="2" t="s">
        <v>1111</v>
      </c>
      <c r="E723" s="2" t="s">
        <v>96</v>
      </c>
      <c r="F723" s="3">
        <v>69.52</v>
      </c>
      <c r="G723" s="3">
        <v>74.759999999999991</v>
      </c>
      <c r="H723" s="2" t="s">
        <v>1127</v>
      </c>
      <c r="I723" s="19">
        <v>13</v>
      </c>
      <c r="J723" s="34">
        <f t="shared" si="44"/>
        <v>0.11309999999999999</v>
      </c>
      <c r="K723" s="34">
        <f t="shared" si="45"/>
        <v>0.17</v>
      </c>
      <c r="L723" s="34">
        <f t="shared" si="46"/>
        <v>0.68</v>
      </c>
      <c r="M723" s="20" t="s">
        <v>4131</v>
      </c>
      <c r="N723" s="20" t="s">
        <v>3891</v>
      </c>
      <c r="O723" s="20" t="s">
        <v>3892</v>
      </c>
      <c r="P723" s="20" t="s">
        <v>3893</v>
      </c>
      <c r="Q723" s="21">
        <v>69.599999999999994</v>
      </c>
      <c r="R723" s="21">
        <v>74.400000000000006</v>
      </c>
      <c r="S723" s="21">
        <v>2.4</v>
      </c>
      <c r="T723" s="22">
        <v>0.35</v>
      </c>
      <c r="U723" s="13">
        <f t="shared" si="47"/>
        <v>-0.33000000000000007</v>
      </c>
      <c r="V723" s="23">
        <v>42.88</v>
      </c>
      <c r="W723" s="23">
        <v>42.88</v>
      </c>
      <c r="X723" s="20">
        <v>41</v>
      </c>
      <c r="Y723" s="24" t="s">
        <v>3713</v>
      </c>
      <c r="Z723" s="16">
        <v>29.88</v>
      </c>
      <c r="AA723" s="17">
        <v>229.8</v>
      </c>
      <c r="AB723" s="25" t="s">
        <v>4132</v>
      </c>
    </row>
    <row r="724" spans="1:28" x14ac:dyDescent="0.45">
      <c r="A724" s="4" t="s">
        <v>1309</v>
      </c>
      <c r="B724" s="4" t="s">
        <v>5819</v>
      </c>
      <c r="C724" s="4" t="s">
        <v>1110</v>
      </c>
      <c r="D724" s="4" t="s">
        <v>1111</v>
      </c>
      <c r="E724" s="4" t="s">
        <v>96</v>
      </c>
      <c r="F724" s="5">
        <v>69.569999999999993</v>
      </c>
      <c r="G724" s="5">
        <v>73.13</v>
      </c>
      <c r="H724" s="4" t="s">
        <v>1114</v>
      </c>
      <c r="I724" s="10">
        <v>10</v>
      </c>
      <c r="J724" s="34">
        <f t="shared" si="44"/>
        <v>8.6999999999999994E-2</v>
      </c>
      <c r="K724" s="34">
        <f t="shared" si="45"/>
        <v>0.13</v>
      </c>
      <c r="L724" s="34">
        <f t="shared" si="46"/>
        <v>0.52</v>
      </c>
      <c r="M724" s="11" t="s">
        <v>4133</v>
      </c>
      <c r="N724" s="11" t="s">
        <v>3891</v>
      </c>
      <c r="O724" s="11" t="s">
        <v>3892</v>
      </c>
      <c r="P724" s="11" t="s">
        <v>3893</v>
      </c>
      <c r="Q724" s="12">
        <v>69.596000000000004</v>
      </c>
      <c r="R724" s="12">
        <v>73.152000000000001</v>
      </c>
      <c r="S724" s="12">
        <v>1.778</v>
      </c>
      <c r="T724" s="13">
        <v>0.2</v>
      </c>
      <c r="U724" s="13">
        <f t="shared" si="47"/>
        <v>-0.32</v>
      </c>
      <c r="V724" s="14">
        <v>24.5</v>
      </c>
      <c r="W724" s="14">
        <v>24.5</v>
      </c>
      <c r="X724" s="11">
        <v>362</v>
      </c>
      <c r="Y724" s="15" t="s">
        <v>3737</v>
      </c>
      <c r="Z724" s="16">
        <v>14.5</v>
      </c>
      <c r="AA724" s="17">
        <v>145</v>
      </c>
      <c r="AB724" s="18" t="s">
        <v>3967</v>
      </c>
    </row>
    <row r="725" spans="1:28" x14ac:dyDescent="0.45">
      <c r="A725" s="2" t="s">
        <v>1310</v>
      </c>
      <c r="B725" s="2" t="s">
        <v>5820</v>
      </c>
      <c r="C725" s="2" t="s">
        <v>1110</v>
      </c>
      <c r="D725" s="2" t="s">
        <v>1111</v>
      </c>
      <c r="E725" s="2" t="s">
        <v>96</v>
      </c>
      <c r="F725" s="3">
        <v>70</v>
      </c>
      <c r="G725" s="3">
        <v>80</v>
      </c>
      <c r="H725" s="2" t="s">
        <v>1245</v>
      </c>
      <c r="I725" s="19">
        <v>29</v>
      </c>
      <c r="J725" s="34">
        <f t="shared" si="44"/>
        <v>0.25229999999999997</v>
      </c>
      <c r="K725" s="34">
        <f t="shared" si="45"/>
        <v>0.38</v>
      </c>
      <c r="L725" s="34">
        <f t="shared" si="46"/>
        <v>1.52</v>
      </c>
      <c r="M725" s="20" t="s">
        <v>4134</v>
      </c>
      <c r="N725" s="20" t="s">
        <v>3891</v>
      </c>
      <c r="O725" s="20" t="s">
        <v>3892</v>
      </c>
      <c r="P725" s="20" t="s">
        <v>3893</v>
      </c>
      <c r="Q725" s="21">
        <v>70</v>
      </c>
      <c r="R725" s="21">
        <v>80</v>
      </c>
      <c r="S725" s="21">
        <v>5</v>
      </c>
      <c r="T725" s="22">
        <v>0.54</v>
      </c>
      <c r="U725" s="13">
        <f t="shared" si="47"/>
        <v>-0.98</v>
      </c>
      <c r="V725" s="23">
        <v>66.150000000000006</v>
      </c>
      <c r="W725" s="23">
        <v>66.150000000000006</v>
      </c>
      <c r="X725" s="20">
        <v>86</v>
      </c>
      <c r="Y725" s="24" t="s">
        <v>3713</v>
      </c>
      <c r="Z725" s="16">
        <v>37.150000000000013</v>
      </c>
      <c r="AA725" s="17">
        <v>128.1</v>
      </c>
      <c r="AB725" s="25" t="s">
        <v>3714</v>
      </c>
    </row>
    <row r="726" spans="1:28" x14ac:dyDescent="0.45">
      <c r="A726" s="4" t="s">
        <v>1311</v>
      </c>
      <c r="B726" s="4" t="s">
        <v>5821</v>
      </c>
      <c r="C726" s="4" t="s">
        <v>1110</v>
      </c>
      <c r="D726" s="4" t="s">
        <v>1111</v>
      </c>
      <c r="E726" s="4" t="s">
        <v>96</v>
      </c>
      <c r="F726" s="5">
        <v>71.12</v>
      </c>
      <c r="G726" s="5">
        <v>76.36</v>
      </c>
      <c r="H726" s="4" t="s">
        <v>1127</v>
      </c>
      <c r="I726" s="10">
        <v>13</v>
      </c>
      <c r="J726" s="34">
        <f t="shared" si="44"/>
        <v>0.11309999999999999</v>
      </c>
      <c r="K726" s="34">
        <f t="shared" si="45"/>
        <v>0.17</v>
      </c>
      <c r="L726" s="34">
        <f t="shared" si="46"/>
        <v>0.68</v>
      </c>
      <c r="M726" s="11" t="s">
        <v>4135</v>
      </c>
      <c r="N726" s="11" t="s">
        <v>3898</v>
      </c>
      <c r="O726" s="11" t="s">
        <v>3892</v>
      </c>
      <c r="P726" s="11" t="s">
        <v>3899</v>
      </c>
      <c r="Q726" s="12">
        <v>71.12</v>
      </c>
      <c r="R726" s="12">
        <v>76.453999999999994</v>
      </c>
      <c r="S726" s="12">
        <v>2.54</v>
      </c>
      <c r="T726" s="13">
        <v>1.82</v>
      </c>
      <c r="U726" s="13">
        <f t="shared" si="47"/>
        <v>1.1400000000000001</v>
      </c>
      <c r="V726" s="14">
        <v>222.95</v>
      </c>
      <c r="W726" s="14">
        <v>222.95</v>
      </c>
      <c r="X726" s="11" t="s">
        <v>3722</v>
      </c>
      <c r="Y726" s="15" t="s">
        <v>3737</v>
      </c>
      <c r="Z726" s="16">
        <v>209.95</v>
      </c>
      <c r="AA726" s="17">
        <v>1615</v>
      </c>
      <c r="AB726" s="18" t="s">
        <v>4108</v>
      </c>
    </row>
    <row r="727" spans="1:28" x14ac:dyDescent="0.45">
      <c r="A727" s="2" t="s">
        <v>1312</v>
      </c>
      <c r="B727" s="2" t="s">
        <v>5822</v>
      </c>
      <c r="C727" s="2" t="s">
        <v>1110</v>
      </c>
      <c r="D727" s="2" t="s">
        <v>1111</v>
      </c>
      <c r="E727" s="2" t="s">
        <v>96</v>
      </c>
      <c r="F727" s="3">
        <v>72.39</v>
      </c>
      <c r="G727" s="3">
        <v>83.05</v>
      </c>
      <c r="H727" s="2" t="s">
        <v>1201</v>
      </c>
      <c r="I727" s="19">
        <v>30</v>
      </c>
      <c r="J727" s="34">
        <f t="shared" si="44"/>
        <v>0.26100000000000001</v>
      </c>
      <c r="K727" s="34">
        <f t="shared" si="45"/>
        <v>0.39</v>
      </c>
      <c r="L727" s="34">
        <f t="shared" si="46"/>
        <v>1.56</v>
      </c>
      <c r="M727" s="20" t="s">
        <v>4136</v>
      </c>
      <c r="N727" s="20" t="s">
        <v>3891</v>
      </c>
      <c r="O727" s="20" t="s">
        <v>3892</v>
      </c>
      <c r="P727" s="20" t="s">
        <v>3893</v>
      </c>
      <c r="Q727" s="21">
        <v>72.39</v>
      </c>
      <c r="R727" s="21">
        <v>83.058000000000007</v>
      </c>
      <c r="S727" s="21">
        <v>5.3339999999999996</v>
      </c>
      <c r="T727" s="22">
        <v>0.52</v>
      </c>
      <c r="U727" s="13">
        <f t="shared" si="47"/>
        <v>-1.04</v>
      </c>
      <c r="V727" s="23">
        <v>63.7</v>
      </c>
      <c r="W727" s="23">
        <v>63.7</v>
      </c>
      <c r="X727" s="20">
        <v>374</v>
      </c>
      <c r="Y727" s="24" t="s">
        <v>3737</v>
      </c>
      <c r="Z727" s="16">
        <v>33.700000000000003</v>
      </c>
      <c r="AA727" s="17">
        <v>112.3</v>
      </c>
      <c r="AB727" s="25" t="s">
        <v>4032</v>
      </c>
    </row>
    <row r="728" spans="1:28" x14ac:dyDescent="0.45">
      <c r="A728" s="4" t="s">
        <v>1313</v>
      </c>
      <c r="B728" s="4" t="s">
        <v>5823</v>
      </c>
      <c r="C728" s="4" t="s">
        <v>1110</v>
      </c>
      <c r="D728" s="4" t="s">
        <v>1111</v>
      </c>
      <c r="E728" s="4" t="s">
        <v>96</v>
      </c>
      <c r="F728" s="5">
        <v>72.62</v>
      </c>
      <c r="G728" s="5">
        <v>79.680000000000007</v>
      </c>
      <c r="H728" s="4" t="s">
        <v>1156</v>
      </c>
      <c r="I728" s="10">
        <v>17</v>
      </c>
      <c r="J728" s="34">
        <f t="shared" si="44"/>
        <v>0.14789999999999998</v>
      </c>
      <c r="K728" s="34">
        <f t="shared" si="45"/>
        <v>0.22</v>
      </c>
      <c r="L728" s="34">
        <f t="shared" si="46"/>
        <v>0.88</v>
      </c>
      <c r="M728" s="11" t="s">
        <v>4137</v>
      </c>
      <c r="N728" s="11" t="s">
        <v>3898</v>
      </c>
      <c r="O728" s="11" t="s">
        <v>3892</v>
      </c>
      <c r="P728" s="11" t="s">
        <v>3899</v>
      </c>
      <c r="Q728" s="12">
        <v>72.644000000000005</v>
      </c>
      <c r="R728" s="12">
        <v>79.756</v>
      </c>
      <c r="S728" s="12">
        <v>3.556</v>
      </c>
      <c r="T728" s="13">
        <v>0.52</v>
      </c>
      <c r="U728" s="13">
        <f t="shared" si="47"/>
        <v>-0.36</v>
      </c>
      <c r="V728" s="14">
        <v>63.7</v>
      </c>
      <c r="W728" s="14">
        <v>63.7</v>
      </c>
      <c r="X728" s="11">
        <v>17</v>
      </c>
      <c r="Y728" s="15" t="s">
        <v>3737</v>
      </c>
      <c r="Z728" s="16">
        <v>46.7</v>
      </c>
      <c r="AA728" s="17">
        <v>274.7</v>
      </c>
      <c r="AB728" s="18" t="s">
        <v>3945</v>
      </c>
    </row>
    <row r="729" spans="1:28" x14ac:dyDescent="0.45">
      <c r="A729" s="2" t="s">
        <v>1314</v>
      </c>
      <c r="B729" s="2" t="s">
        <v>5824</v>
      </c>
      <c r="C729" s="2" t="s">
        <v>1110</v>
      </c>
      <c r="D729" s="2" t="s">
        <v>1111</v>
      </c>
      <c r="E729" s="2" t="s">
        <v>96</v>
      </c>
      <c r="F729" s="3">
        <v>72.69</v>
      </c>
      <c r="G729" s="3">
        <v>77.929999999999993</v>
      </c>
      <c r="H729" s="2" t="s">
        <v>1127</v>
      </c>
      <c r="I729" s="19">
        <v>15</v>
      </c>
      <c r="J729" s="34">
        <f t="shared" si="44"/>
        <v>0.1305</v>
      </c>
      <c r="K729" s="34">
        <f t="shared" si="45"/>
        <v>0.2</v>
      </c>
      <c r="L729" s="34">
        <f t="shared" si="46"/>
        <v>0.8</v>
      </c>
      <c r="M729" s="20" t="s">
        <v>4138</v>
      </c>
      <c r="N729" s="20" t="s">
        <v>3891</v>
      </c>
      <c r="O729" s="20" t="s">
        <v>3892</v>
      </c>
      <c r="P729" s="20" t="s">
        <v>3893</v>
      </c>
      <c r="Q729" s="21">
        <v>73</v>
      </c>
      <c r="R729" s="21">
        <v>78</v>
      </c>
      <c r="S729" s="21">
        <v>2.5</v>
      </c>
      <c r="T729" s="22">
        <v>0.27</v>
      </c>
      <c r="U729" s="13">
        <f t="shared" si="47"/>
        <v>-0.53</v>
      </c>
      <c r="V729" s="23">
        <v>33.08</v>
      </c>
      <c r="W729" s="23">
        <v>33.08</v>
      </c>
      <c r="X729" s="20" t="s">
        <v>3722</v>
      </c>
      <c r="Y729" s="24" t="s">
        <v>3713</v>
      </c>
      <c r="Z729" s="16">
        <v>18.079999999999998</v>
      </c>
      <c r="AA729" s="17">
        <v>120.5</v>
      </c>
      <c r="AB729" s="25" t="s">
        <v>4073</v>
      </c>
    </row>
    <row r="730" spans="1:28" x14ac:dyDescent="0.45">
      <c r="A730" s="4" t="s">
        <v>1315</v>
      </c>
      <c r="B730" s="4" t="s">
        <v>5825</v>
      </c>
      <c r="C730" s="4" t="s">
        <v>1110</v>
      </c>
      <c r="D730" s="4" t="s">
        <v>1111</v>
      </c>
      <c r="E730" s="4" t="s">
        <v>96</v>
      </c>
      <c r="F730" s="5">
        <v>72</v>
      </c>
      <c r="G730" s="5">
        <v>80</v>
      </c>
      <c r="H730" s="4" t="s">
        <v>1216</v>
      </c>
      <c r="I730" s="10">
        <v>23</v>
      </c>
      <c r="J730" s="34">
        <f t="shared" si="44"/>
        <v>0.2001</v>
      </c>
      <c r="K730" s="34">
        <f t="shared" si="45"/>
        <v>0.3</v>
      </c>
      <c r="L730" s="34">
        <f t="shared" si="46"/>
        <v>1.2</v>
      </c>
      <c r="M730" s="11" t="s">
        <v>4139</v>
      </c>
      <c r="N730" s="11" t="s">
        <v>3891</v>
      </c>
      <c r="O730" s="11" t="s">
        <v>3892</v>
      </c>
      <c r="P730" s="11" t="s">
        <v>3893</v>
      </c>
      <c r="Q730" s="12">
        <v>72</v>
      </c>
      <c r="R730" s="12">
        <v>80</v>
      </c>
      <c r="S730" s="12">
        <v>4</v>
      </c>
      <c r="T730" s="13">
        <v>0.37</v>
      </c>
      <c r="U730" s="13">
        <f t="shared" si="47"/>
        <v>-0.83</v>
      </c>
      <c r="V730" s="14">
        <v>45.32</v>
      </c>
      <c r="W730" s="14">
        <v>45.32</v>
      </c>
      <c r="X730" s="11">
        <v>34</v>
      </c>
      <c r="Y730" s="15" t="s">
        <v>3713</v>
      </c>
      <c r="Z730" s="16">
        <v>22.32</v>
      </c>
      <c r="AA730" s="17">
        <v>97</v>
      </c>
      <c r="AB730" s="18" t="s">
        <v>3714</v>
      </c>
    </row>
    <row r="731" spans="1:28" x14ac:dyDescent="0.45">
      <c r="A731" s="2" t="s">
        <v>1316</v>
      </c>
      <c r="B731" s="2" t="s">
        <v>5826</v>
      </c>
      <c r="C731" s="2" t="s">
        <v>1110</v>
      </c>
      <c r="D731" s="2" t="s">
        <v>1111</v>
      </c>
      <c r="E731" s="2" t="s">
        <v>96</v>
      </c>
      <c r="F731" s="3">
        <v>74.400000000000006</v>
      </c>
      <c r="G731" s="3">
        <v>80.600000000000009</v>
      </c>
      <c r="H731" s="2" t="s">
        <v>1221</v>
      </c>
      <c r="I731" s="19">
        <v>23</v>
      </c>
      <c r="J731" s="34">
        <f t="shared" si="44"/>
        <v>0.2001</v>
      </c>
      <c r="K731" s="34">
        <f t="shared" si="45"/>
        <v>0.3</v>
      </c>
      <c r="L731" s="34">
        <f t="shared" si="46"/>
        <v>1.2</v>
      </c>
      <c r="M731" s="20" t="s">
        <v>4140</v>
      </c>
      <c r="N731" s="20" t="s">
        <v>3891</v>
      </c>
      <c r="O731" s="20" t="s">
        <v>3892</v>
      </c>
      <c r="P731" s="20" t="s">
        <v>3893</v>
      </c>
      <c r="Q731" s="21">
        <v>74.400000000000006</v>
      </c>
      <c r="R731" s="21">
        <v>80.599999999999994</v>
      </c>
      <c r="S731" s="21">
        <v>3.1</v>
      </c>
      <c r="T731" s="22">
        <v>0.69</v>
      </c>
      <c r="U731" s="13">
        <f t="shared" si="47"/>
        <v>-0.51</v>
      </c>
      <c r="V731" s="23">
        <v>84.52</v>
      </c>
      <c r="W731" s="23">
        <v>84.52</v>
      </c>
      <c r="X731" s="20">
        <v>86</v>
      </c>
      <c r="Y731" s="24" t="s">
        <v>3713</v>
      </c>
      <c r="Z731" s="16">
        <v>61.52</v>
      </c>
      <c r="AA731" s="17">
        <v>267.5</v>
      </c>
      <c r="AB731" s="25" t="s">
        <v>3714</v>
      </c>
    </row>
    <row r="732" spans="1:28" x14ac:dyDescent="0.45">
      <c r="A732" s="4" t="s">
        <v>1317</v>
      </c>
      <c r="B732" s="4" t="s">
        <v>5827</v>
      </c>
      <c r="C732" s="4" t="s">
        <v>1110</v>
      </c>
      <c r="D732" s="4" t="s">
        <v>1111</v>
      </c>
      <c r="E732" s="4" t="s">
        <v>96</v>
      </c>
      <c r="F732" s="5">
        <v>75.569999999999993</v>
      </c>
      <c r="G732" s="5">
        <v>86.22999999999999</v>
      </c>
      <c r="H732" s="4" t="s">
        <v>1201</v>
      </c>
      <c r="I732" s="10">
        <v>30</v>
      </c>
      <c r="J732" s="34">
        <f t="shared" si="44"/>
        <v>0.26100000000000001</v>
      </c>
      <c r="K732" s="34">
        <f t="shared" si="45"/>
        <v>0.39</v>
      </c>
      <c r="L732" s="34">
        <f t="shared" si="46"/>
        <v>1.56</v>
      </c>
      <c r="M732" s="11" t="s">
        <v>4141</v>
      </c>
      <c r="N732" s="11" t="s">
        <v>3891</v>
      </c>
      <c r="O732" s="11" t="s">
        <v>3892</v>
      </c>
      <c r="P732" s="11" t="s">
        <v>3893</v>
      </c>
      <c r="Q732" s="12">
        <v>75.691999999999993</v>
      </c>
      <c r="R732" s="12">
        <v>86.36</v>
      </c>
      <c r="S732" s="12">
        <v>5.3339999999999996</v>
      </c>
      <c r="T732" s="13">
        <v>0.7</v>
      </c>
      <c r="U732" s="13">
        <f t="shared" si="47"/>
        <v>-0.8600000000000001</v>
      </c>
      <c r="V732" s="14">
        <v>85.75</v>
      </c>
      <c r="W732" s="14">
        <v>85.75</v>
      </c>
      <c r="X732" s="11">
        <v>643</v>
      </c>
      <c r="Y732" s="15" t="s">
        <v>3737</v>
      </c>
      <c r="Z732" s="16">
        <v>55.75</v>
      </c>
      <c r="AA732" s="17">
        <v>185.8</v>
      </c>
      <c r="AB732" s="18" t="s">
        <v>4016</v>
      </c>
    </row>
    <row r="733" spans="1:28" x14ac:dyDescent="0.45">
      <c r="A733" s="2" t="s">
        <v>1318</v>
      </c>
      <c r="B733" s="2" t="s">
        <v>5828</v>
      </c>
      <c r="C733" s="2" t="s">
        <v>1110</v>
      </c>
      <c r="D733" s="2" t="s">
        <v>1111</v>
      </c>
      <c r="E733" s="2" t="s">
        <v>96</v>
      </c>
      <c r="F733" s="3">
        <v>75.87</v>
      </c>
      <c r="G733" s="3">
        <v>81.11</v>
      </c>
      <c r="H733" s="2" t="s">
        <v>1127</v>
      </c>
      <c r="I733" s="19">
        <v>15</v>
      </c>
      <c r="J733" s="34">
        <f t="shared" si="44"/>
        <v>0.1305</v>
      </c>
      <c r="K733" s="34">
        <f t="shared" si="45"/>
        <v>0.2</v>
      </c>
      <c r="L733" s="34">
        <f t="shared" si="46"/>
        <v>0.8</v>
      </c>
      <c r="M733" s="20" t="s">
        <v>4142</v>
      </c>
      <c r="N733" s="20" t="s">
        <v>3891</v>
      </c>
      <c r="O733" s="20" t="s">
        <v>3892</v>
      </c>
      <c r="P733" s="20" t="s">
        <v>3893</v>
      </c>
      <c r="Q733" s="21">
        <v>76</v>
      </c>
      <c r="R733" s="21">
        <v>81</v>
      </c>
      <c r="S733" s="21">
        <v>2.5</v>
      </c>
      <c r="T733" s="22">
        <v>0.37</v>
      </c>
      <c r="U733" s="13">
        <f t="shared" si="47"/>
        <v>-0.43000000000000005</v>
      </c>
      <c r="V733" s="23">
        <v>45.32</v>
      </c>
      <c r="W733" s="23">
        <v>45.32</v>
      </c>
      <c r="X733" s="20">
        <v>78</v>
      </c>
      <c r="Y733" s="24" t="s">
        <v>3713</v>
      </c>
      <c r="Z733" s="16">
        <v>30.32</v>
      </c>
      <c r="AA733" s="17">
        <v>202.1</v>
      </c>
      <c r="AB733" s="25" t="s">
        <v>3934</v>
      </c>
    </row>
    <row r="734" spans="1:28" x14ac:dyDescent="0.45">
      <c r="A734" s="4" t="s">
        <v>1319</v>
      </c>
      <c r="B734" s="4" t="s">
        <v>5829</v>
      </c>
      <c r="C734" s="4" t="s">
        <v>1110</v>
      </c>
      <c r="D734" s="4" t="s">
        <v>1111</v>
      </c>
      <c r="E734" s="4" t="s">
        <v>96</v>
      </c>
      <c r="F734" s="5">
        <v>75.92</v>
      </c>
      <c r="G734" s="5">
        <v>79.48</v>
      </c>
      <c r="H734" s="4" t="s">
        <v>1114</v>
      </c>
      <c r="I734" s="10">
        <v>12</v>
      </c>
      <c r="J734" s="34">
        <f t="shared" si="44"/>
        <v>0.10439999999999999</v>
      </c>
      <c r="K734" s="34">
        <f t="shared" si="45"/>
        <v>0.16</v>
      </c>
      <c r="L734" s="34">
        <f t="shared" si="46"/>
        <v>0.64</v>
      </c>
      <c r="M734" s="11" t="s">
        <v>4143</v>
      </c>
      <c r="N734" s="11" t="s">
        <v>3891</v>
      </c>
      <c r="O734" s="11" t="s">
        <v>3892</v>
      </c>
      <c r="P734" s="11" t="s">
        <v>3893</v>
      </c>
      <c r="Q734" s="12">
        <v>75.945999999999998</v>
      </c>
      <c r="R734" s="12">
        <v>79.501999999999995</v>
      </c>
      <c r="S734" s="12">
        <v>1.778</v>
      </c>
      <c r="T734" s="13">
        <v>0.22</v>
      </c>
      <c r="U734" s="13">
        <f t="shared" si="47"/>
        <v>-0.42000000000000004</v>
      </c>
      <c r="V734" s="14">
        <v>26.95</v>
      </c>
      <c r="W734" s="14">
        <v>26.95</v>
      </c>
      <c r="X734" s="11">
        <v>178</v>
      </c>
      <c r="Y734" s="15" t="s">
        <v>3737</v>
      </c>
      <c r="Z734" s="16">
        <v>14.95</v>
      </c>
      <c r="AA734" s="17">
        <v>124.6</v>
      </c>
      <c r="AB734" s="18" t="s">
        <v>3967</v>
      </c>
    </row>
    <row r="735" spans="1:28" x14ac:dyDescent="0.45">
      <c r="A735" s="2" t="s">
        <v>1320</v>
      </c>
      <c r="B735" s="2" t="s">
        <v>5830</v>
      </c>
      <c r="C735" s="2" t="s">
        <v>1110</v>
      </c>
      <c r="D735" s="2" t="s">
        <v>1111</v>
      </c>
      <c r="E735" s="2" t="s">
        <v>96</v>
      </c>
      <c r="F735" s="3">
        <v>78.739999999999995</v>
      </c>
      <c r="G735" s="3">
        <v>89.399999999999991</v>
      </c>
      <c r="H735" s="2" t="s">
        <v>1201</v>
      </c>
      <c r="I735" s="19">
        <v>32</v>
      </c>
      <c r="J735" s="34">
        <f t="shared" si="44"/>
        <v>0.27839999999999998</v>
      </c>
      <c r="K735" s="34">
        <f t="shared" si="45"/>
        <v>0.42</v>
      </c>
      <c r="L735" s="34">
        <f t="shared" si="46"/>
        <v>1.68</v>
      </c>
      <c r="M735" s="20" t="s">
        <v>4144</v>
      </c>
      <c r="N735" s="20" t="s">
        <v>3891</v>
      </c>
      <c r="O735" s="20" t="s">
        <v>3892</v>
      </c>
      <c r="P735" s="20" t="s">
        <v>3893</v>
      </c>
      <c r="Q735" s="21">
        <v>78.739999999999995</v>
      </c>
      <c r="R735" s="21">
        <v>89.408000000000001</v>
      </c>
      <c r="S735" s="21">
        <v>5.3339999999999996</v>
      </c>
      <c r="T735" s="22">
        <v>0.8</v>
      </c>
      <c r="U735" s="13">
        <f t="shared" si="47"/>
        <v>-0.87999999999999989</v>
      </c>
      <c r="V735" s="23">
        <v>98</v>
      </c>
      <c r="W735" s="23">
        <v>98</v>
      </c>
      <c r="X735" s="20">
        <v>322</v>
      </c>
      <c r="Y735" s="24" t="s">
        <v>3737</v>
      </c>
      <c r="Z735" s="16">
        <v>66</v>
      </c>
      <c r="AA735" s="17">
        <v>206.2</v>
      </c>
      <c r="AB735" s="25" t="s">
        <v>4032</v>
      </c>
    </row>
    <row r="736" spans="1:28" x14ac:dyDescent="0.45">
      <c r="A736" s="4" t="s">
        <v>1321</v>
      </c>
      <c r="B736" s="4" t="s">
        <v>5831</v>
      </c>
      <c r="C736" s="4" t="s">
        <v>1110</v>
      </c>
      <c r="D736" s="4" t="s">
        <v>1111</v>
      </c>
      <c r="E736" s="4" t="s">
        <v>96</v>
      </c>
      <c r="F736" s="5">
        <v>78.97</v>
      </c>
      <c r="G736" s="5">
        <v>86.03</v>
      </c>
      <c r="H736" s="4" t="s">
        <v>1156</v>
      </c>
      <c r="I736" s="10">
        <v>20</v>
      </c>
      <c r="J736" s="34">
        <f t="shared" si="44"/>
        <v>0.17399999999999999</v>
      </c>
      <c r="K736" s="34">
        <f t="shared" si="45"/>
        <v>0.26</v>
      </c>
      <c r="L736" s="34">
        <f t="shared" si="46"/>
        <v>1.04</v>
      </c>
      <c r="M736" s="11" t="s">
        <v>4145</v>
      </c>
      <c r="N736" s="11" t="s">
        <v>3891</v>
      </c>
      <c r="O736" s="11" t="s">
        <v>3892</v>
      </c>
      <c r="P736" s="11" t="s">
        <v>3893</v>
      </c>
      <c r="Q736" s="12">
        <v>79</v>
      </c>
      <c r="R736" s="12">
        <v>86</v>
      </c>
      <c r="S736" s="12">
        <v>3.5</v>
      </c>
      <c r="T736" s="13">
        <v>0.62</v>
      </c>
      <c r="U736" s="13">
        <f t="shared" si="47"/>
        <v>-0.42000000000000004</v>
      </c>
      <c r="V736" s="14">
        <v>75.95</v>
      </c>
      <c r="W736" s="14">
        <v>75.95</v>
      </c>
      <c r="X736" s="11">
        <v>229</v>
      </c>
      <c r="Y736" s="15" t="s">
        <v>3713</v>
      </c>
      <c r="Z736" s="16">
        <v>55.95</v>
      </c>
      <c r="AA736" s="17">
        <v>279.8</v>
      </c>
      <c r="AB736" s="18" t="s">
        <v>4146</v>
      </c>
    </row>
    <row r="737" spans="1:28" x14ac:dyDescent="0.45">
      <c r="A737" s="2" t="s">
        <v>1322</v>
      </c>
      <c r="B737" s="2" t="s">
        <v>5832</v>
      </c>
      <c r="C737" s="2" t="s">
        <v>1110</v>
      </c>
      <c r="D737" s="2" t="s">
        <v>1111</v>
      </c>
      <c r="E737" s="2" t="s">
        <v>96</v>
      </c>
      <c r="F737" s="3">
        <v>78</v>
      </c>
      <c r="G737" s="3">
        <v>83</v>
      </c>
      <c r="H737" s="2" t="s">
        <v>1135</v>
      </c>
      <c r="I737" s="19">
        <v>3</v>
      </c>
      <c r="J737" s="34">
        <f t="shared" si="44"/>
        <v>2.6099999999999998E-2</v>
      </c>
      <c r="K737" s="34">
        <f t="shared" si="45"/>
        <v>0.04</v>
      </c>
      <c r="L737" s="34">
        <f t="shared" si="46"/>
        <v>0.16</v>
      </c>
      <c r="M737" s="20" t="s">
        <v>4147</v>
      </c>
      <c r="N737" s="20" t="s">
        <v>3891</v>
      </c>
      <c r="O737" s="20" t="s">
        <v>3892</v>
      </c>
      <c r="P737" s="20" t="s">
        <v>3893</v>
      </c>
      <c r="Q737" s="21">
        <v>78</v>
      </c>
      <c r="R737" s="21">
        <v>83</v>
      </c>
      <c r="S737" s="21">
        <v>2.5</v>
      </c>
      <c r="T737" s="22">
        <v>0.39</v>
      </c>
      <c r="U737" s="13">
        <f t="shared" si="47"/>
        <v>0.23</v>
      </c>
      <c r="V737" s="23">
        <v>47.78</v>
      </c>
      <c r="W737" s="23">
        <v>47.78</v>
      </c>
      <c r="X737" s="20">
        <v>73</v>
      </c>
      <c r="Y737" s="24" t="s">
        <v>3713</v>
      </c>
      <c r="Z737" s="16">
        <v>44.78</v>
      </c>
      <c r="AA737" s="17">
        <v>1492.7</v>
      </c>
      <c r="AB737" s="25" t="s">
        <v>3714</v>
      </c>
    </row>
    <row r="738" spans="1:28" x14ac:dyDescent="0.45">
      <c r="A738" s="4" t="s">
        <v>1323</v>
      </c>
      <c r="B738" s="4" t="s">
        <v>5833</v>
      </c>
      <c r="C738" s="4" t="s">
        <v>1110</v>
      </c>
      <c r="D738" s="4" t="s">
        <v>1111</v>
      </c>
      <c r="E738" s="4" t="s">
        <v>96</v>
      </c>
      <c r="F738" s="5">
        <v>78</v>
      </c>
      <c r="G738" s="5">
        <v>86</v>
      </c>
      <c r="H738" s="4" t="s">
        <v>1216</v>
      </c>
      <c r="I738" s="10">
        <v>25</v>
      </c>
      <c r="J738" s="34">
        <f t="shared" si="44"/>
        <v>0.21749999999999997</v>
      </c>
      <c r="K738" s="34">
        <f t="shared" si="45"/>
        <v>0.33</v>
      </c>
      <c r="L738" s="34">
        <f t="shared" si="46"/>
        <v>1.32</v>
      </c>
      <c r="M738" s="11" t="s">
        <v>4148</v>
      </c>
      <c r="N738" s="11" t="s">
        <v>3891</v>
      </c>
      <c r="O738" s="11" t="s">
        <v>3892</v>
      </c>
      <c r="P738" s="11" t="s">
        <v>3893</v>
      </c>
      <c r="Q738" s="12">
        <v>78</v>
      </c>
      <c r="R738" s="12">
        <v>86</v>
      </c>
      <c r="S738" s="12">
        <v>4</v>
      </c>
      <c r="T738" s="13">
        <v>0.56999999999999995</v>
      </c>
      <c r="U738" s="13">
        <f t="shared" si="47"/>
        <v>-0.75000000000000011</v>
      </c>
      <c r="V738" s="14">
        <v>69.819999999999993</v>
      </c>
      <c r="W738" s="14">
        <v>69.819999999999993</v>
      </c>
      <c r="X738" s="11">
        <v>67</v>
      </c>
      <c r="Y738" s="15" t="s">
        <v>3713</v>
      </c>
      <c r="Z738" s="16">
        <v>44.819999999999993</v>
      </c>
      <c r="AA738" s="17">
        <v>179.3</v>
      </c>
      <c r="AB738" s="18" t="s">
        <v>3714</v>
      </c>
    </row>
    <row r="739" spans="1:28" x14ac:dyDescent="0.45">
      <c r="A739" s="2" t="s">
        <v>1324</v>
      </c>
      <c r="B739" s="2" t="s">
        <v>5834</v>
      </c>
      <c r="C739" s="2" t="s">
        <v>1110</v>
      </c>
      <c r="D739" s="2" t="s">
        <v>1111</v>
      </c>
      <c r="E739" s="2" t="s">
        <v>96</v>
      </c>
      <c r="F739" s="3">
        <v>79.2</v>
      </c>
      <c r="G739" s="3">
        <v>90.600000000000009</v>
      </c>
      <c r="H739" s="2" t="s">
        <v>1297</v>
      </c>
      <c r="I739" s="19">
        <v>44</v>
      </c>
      <c r="J739" s="34">
        <f t="shared" si="44"/>
        <v>0.38279999999999997</v>
      </c>
      <c r="K739" s="34">
        <f t="shared" si="45"/>
        <v>0.56999999999999995</v>
      </c>
      <c r="L739" s="34">
        <f t="shared" si="46"/>
        <v>2.2799999999999998</v>
      </c>
      <c r="M739" s="20" t="s">
        <v>4149</v>
      </c>
      <c r="N739" s="20" t="s">
        <v>3891</v>
      </c>
      <c r="O739" s="20" t="s">
        <v>3892</v>
      </c>
      <c r="P739" s="20" t="s">
        <v>3893</v>
      </c>
      <c r="Q739" s="21">
        <v>79.3</v>
      </c>
      <c r="R739" s="21">
        <v>90.7</v>
      </c>
      <c r="S739" s="21">
        <v>5.7</v>
      </c>
      <c r="T739" s="22">
        <v>0.82</v>
      </c>
      <c r="U739" s="13">
        <f t="shared" si="47"/>
        <v>-1.46</v>
      </c>
      <c r="V739" s="23">
        <v>100.45</v>
      </c>
      <c r="W739" s="23">
        <v>100.45</v>
      </c>
      <c r="X739" s="20">
        <v>825</v>
      </c>
      <c r="Y739" s="24" t="s">
        <v>3713</v>
      </c>
      <c r="Z739" s="16">
        <v>56.45</v>
      </c>
      <c r="AA739" s="17">
        <v>128.30000000000001</v>
      </c>
      <c r="AB739" s="25" t="s">
        <v>4119</v>
      </c>
    </row>
    <row r="740" spans="1:28" x14ac:dyDescent="0.45">
      <c r="A740" s="4" t="s">
        <v>1325</v>
      </c>
      <c r="B740" s="4" t="s">
        <v>5835</v>
      </c>
      <c r="C740" s="4" t="s">
        <v>1110</v>
      </c>
      <c r="D740" s="4" t="s">
        <v>1111</v>
      </c>
      <c r="E740" s="4" t="s">
        <v>96</v>
      </c>
      <c r="F740" s="5">
        <v>80</v>
      </c>
      <c r="G740" s="5">
        <v>88</v>
      </c>
      <c r="H740" s="4" t="s">
        <v>1216</v>
      </c>
      <c r="I740" s="10">
        <v>25</v>
      </c>
      <c r="J740" s="34">
        <f t="shared" si="44"/>
        <v>0.21749999999999997</v>
      </c>
      <c r="K740" s="34">
        <f t="shared" si="45"/>
        <v>0.33</v>
      </c>
      <c r="L740" s="34">
        <f t="shared" si="46"/>
        <v>1.32</v>
      </c>
      <c r="M740" s="11" t="s">
        <v>4150</v>
      </c>
      <c r="N740" s="11" t="s">
        <v>3891</v>
      </c>
      <c r="O740" s="11" t="s">
        <v>3892</v>
      </c>
      <c r="P740" s="11" t="s">
        <v>3893</v>
      </c>
      <c r="Q740" s="12">
        <v>80</v>
      </c>
      <c r="R740" s="12">
        <v>88</v>
      </c>
      <c r="S740" s="12">
        <v>4</v>
      </c>
      <c r="T740" s="13">
        <v>0.57999999999999996</v>
      </c>
      <c r="U740" s="13">
        <f t="shared" si="47"/>
        <v>-0.7400000000000001</v>
      </c>
      <c r="V740" s="14">
        <v>71.05</v>
      </c>
      <c r="W740" s="14">
        <v>71.05</v>
      </c>
      <c r="X740" s="11">
        <v>84</v>
      </c>
      <c r="Y740" s="15" t="s">
        <v>3713</v>
      </c>
      <c r="Z740" s="16">
        <v>46.05</v>
      </c>
      <c r="AA740" s="17">
        <v>184.2</v>
      </c>
      <c r="AB740" s="18" t="s">
        <v>3714</v>
      </c>
    </row>
    <row r="741" spans="1:28" x14ac:dyDescent="0.45">
      <c r="A741" s="2" t="s">
        <v>1326</v>
      </c>
      <c r="B741" s="2" t="s">
        <v>5836</v>
      </c>
      <c r="C741" s="2" t="s">
        <v>1110</v>
      </c>
      <c r="D741" s="2" t="s">
        <v>1111</v>
      </c>
      <c r="E741" s="2" t="s">
        <v>96</v>
      </c>
      <c r="F741" s="3">
        <v>81.91</v>
      </c>
      <c r="G741" s="3">
        <v>92.57</v>
      </c>
      <c r="H741" s="2" t="s">
        <v>1201</v>
      </c>
      <c r="I741" s="19">
        <v>32</v>
      </c>
      <c r="J741" s="34">
        <f t="shared" si="44"/>
        <v>0.27839999999999998</v>
      </c>
      <c r="K741" s="34">
        <f t="shared" si="45"/>
        <v>0.42</v>
      </c>
      <c r="L741" s="34">
        <f t="shared" si="46"/>
        <v>1.68</v>
      </c>
      <c r="M741" s="20" t="s">
        <v>4151</v>
      </c>
      <c r="N741" s="20" t="s">
        <v>3891</v>
      </c>
      <c r="O741" s="20" t="s">
        <v>3892</v>
      </c>
      <c r="P741" s="20" t="s">
        <v>3893</v>
      </c>
      <c r="Q741" s="21">
        <v>82.042000000000002</v>
      </c>
      <c r="R741" s="21">
        <v>92.71</v>
      </c>
      <c r="S741" s="21">
        <v>5.3339999999999996</v>
      </c>
      <c r="T741" s="22">
        <v>0.73</v>
      </c>
      <c r="U741" s="13">
        <f t="shared" si="47"/>
        <v>-0.95</v>
      </c>
      <c r="V741" s="23">
        <v>89.42</v>
      </c>
      <c r="W741" s="23">
        <v>89.42</v>
      </c>
      <c r="X741" s="20">
        <v>1203</v>
      </c>
      <c r="Y741" s="24" t="s">
        <v>3737</v>
      </c>
      <c r="Z741" s="16">
        <v>57.42</v>
      </c>
      <c r="AA741" s="17">
        <v>179.4</v>
      </c>
      <c r="AB741" s="25" t="s">
        <v>4152</v>
      </c>
    </row>
    <row r="742" spans="1:28" x14ac:dyDescent="0.45">
      <c r="A742" s="4" t="s">
        <v>1327</v>
      </c>
      <c r="B742" s="4" t="s">
        <v>5837</v>
      </c>
      <c r="C742" s="4" t="s">
        <v>1110</v>
      </c>
      <c r="D742" s="4" t="s">
        <v>1111</v>
      </c>
      <c r="E742" s="4" t="s">
        <v>96</v>
      </c>
      <c r="F742" s="5">
        <v>82.22</v>
      </c>
      <c r="G742" s="5">
        <v>87.46</v>
      </c>
      <c r="H742" s="4" t="s">
        <v>1127</v>
      </c>
      <c r="I742" s="10">
        <v>17</v>
      </c>
      <c r="J742" s="34">
        <f t="shared" si="44"/>
        <v>0.14789999999999998</v>
      </c>
      <c r="K742" s="34">
        <f t="shared" si="45"/>
        <v>0.22</v>
      </c>
      <c r="L742" s="34">
        <f t="shared" si="46"/>
        <v>0.88</v>
      </c>
      <c r="M742" s="11" t="s">
        <v>4153</v>
      </c>
      <c r="N742" s="11" t="s">
        <v>3898</v>
      </c>
      <c r="O742" s="11" t="s">
        <v>3892</v>
      </c>
      <c r="P742" s="11" t="s">
        <v>3899</v>
      </c>
      <c r="Q742" s="12">
        <v>82.296000000000006</v>
      </c>
      <c r="R742" s="12">
        <v>87.376000000000005</v>
      </c>
      <c r="S742" s="12">
        <v>2.54</v>
      </c>
      <c r="T742" s="13">
        <v>2.13</v>
      </c>
      <c r="U742" s="13">
        <f t="shared" si="47"/>
        <v>1.25</v>
      </c>
      <c r="V742" s="14">
        <v>260.92</v>
      </c>
      <c r="W742" s="14">
        <v>260.92</v>
      </c>
      <c r="X742" s="11" t="s">
        <v>3722</v>
      </c>
      <c r="Y742" s="15" t="s">
        <v>3737</v>
      </c>
      <c r="Z742" s="16">
        <v>243.92</v>
      </c>
      <c r="AA742" s="17">
        <v>1434.8</v>
      </c>
      <c r="AB742" s="18" t="s">
        <v>4022</v>
      </c>
    </row>
    <row r="743" spans="1:28" x14ac:dyDescent="0.45">
      <c r="A743" s="2" t="s">
        <v>1328</v>
      </c>
      <c r="B743" s="2" t="s">
        <v>5838</v>
      </c>
      <c r="C743" s="2" t="s">
        <v>1110</v>
      </c>
      <c r="D743" s="2" t="s">
        <v>1111</v>
      </c>
      <c r="E743" s="2" t="s">
        <v>96</v>
      </c>
      <c r="F743" s="3">
        <v>82.27</v>
      </c>
      <c r="G743" s="3">
        <v>85.83</v>
      </c>
      <c r="H743" s="2" t="s">
        <v>1114</v>
      </c>
      <c r="I743" s="19">
        <v>13</v>
      </c>
      <c r="J743" s="34">
        <f t="shared" si="44"/>
        <v>0.11309999999999999</v>
      </c>
      <c r="K743" s="34">
        <f t="shared" si="45"/>
        <v>0.17</v>
      </c>
      <c r="L743" s="34">
        <f t="shared" si="46"/>
        <v>0.68</v>
      </c>
      <c r="M743" s="20" t="s">
        <v>4154</v>
      </c>
      <c r="N743" s="20" t="s">
        <v>3891</v>
      </c>
      <c r="O743" s="20" t="s">
        <v>3892</v>
      </c>
      <c r="P743" s="20" t="s">
        <v>3893</v>
      </c>
      <c r="Q743" s="21">
        <v>82.296000000000006</v>
      </c>
      <c r="R743" s="21">
        <v>85.852000000000004</v>
      </c>
      <c r="S743" s="21">
        <v>1.778</v>
      </c>
      <c r="T743" s="22">
        <v>0.3</v>
      </c>
      <c r="U743" s="13">
        <f t="shared" si="47"/>
        <v>-0.38000000000000006</v>
      </c>
      <c r="V743" s="23">
        <v>36.75</v>
      </c>
      <c r="W743" s="23">
        <v>36.75</v>
      </c>
      <c r="X743" s="20">
        <v>193</v>
      </c>
      <c r="Y743" s="24" t="s">
        <v>3737</v>
      </c>
      <c r="Z743" s="16">
        <v>23.75</v>
      </c>
      <c r="AA743" s="17">
        <v>182.7</v>
      </c>
      <c r="AB743" s="25" t="s">
        <v>3967</v>
      </c>
    </row>
    <row r="744" spans="1:28" x14ac:dyDescent="0.45">
      <c r="A744" s="4" t="s">
        <v>1329</v>
      </c>
      <c r="B744" s="4" t="s">
        <v>5839</v>
      </c>
      <c r="C744" s="4" t="s">
        <v>1110</v>
      </c>
      <c r="D744" s="4" t="s">
        <v>1111</v>
      </c>
      <c r="E744" s="4" t="s">
        <v>96</v>
      </c>
      <c r="F744" s="5">
        <v>82</v>
      </c>
      <c r="G744" s="5">
        <v>90</v>
      </c>
      <c r="H744" s="4" t="s">
        <v>1216</v>
      </c>
      <c r="I744" s="10">
        <v>29</v>
      </c>
      <c r="J744" s="34">
        <f t="shared" si="44"/>
        <v>0.25229999999999997</v>
      </c>
      <c r="K744" s="34">
        <f t="shared" si="45"/>
        <v>0.38</v>
      </c>
      <c r="L744" s="34">
        <f t="shared" si="46"/>
        <v>1.52</v>
      </c>
      <c r="M744" s="11" t="s">
        <v>4155</v>
      </c>
      <c r="N744" s="11" t="s">
        <v>3891</v>
      </c>
      <c r="O744" s="11" t="s">
        <v>3892</v>
      </c>
      <c r="P744" s="11" t="s">
        <v>3893</v>
      </c>
      <c r="Q744" s="12">
        <v>82</v>
      </c>
      <c r="R744" s="12">
        <v>90</v>
      </c>
      <c r="S744" s="12">
        <v>4</v>
      </c>
      <c r="T744" s="13">
        <v>0.6</v>
      </c>
      <c r="U744" s="13">
        <f t="shared" si="47"/>
        <v>-0.92</v>
      </c>
      <c r="V744" s="14">
        <v>73.5</v>
      </c>
      <c r="W744" s="14">
        <v>73.5</v>
      </c>
      <c r="X744" s="11">
        <v>32</v>
      </c>
      <c r="Y744" s="15" t="s">
        <v>3713</v>
      </c>
      <c r="Z744" s="16">
        <v>44.5</v>
      </c>
      <c r="AA744" s="17">
        <v>153.4</v>
      </c>
      <c r="AB744" s="18" t="s">
        <v>3714</v>
      </c>
    </row>
    <row r="745" spans="1:28" x14ac:dyDescent="0.45">
      <c r="A745" s="2" t="s">
        <v>1330</v>
      </c>
      <c r="B745" s="2" t="s">
        <v>5840</v>
      </c>
      <c r="C745" s="2" t="s">
        <v>1110</v>
      </c>
      <c r="D745" s="2" t="s">
        <v>1111</v>
      </c>
      <c r="E745" s="2" t="s">
        <v>96</v>
      </c>
      <c r="F745" s="3">
        <v>84.4</v>
      </c>
      <c r="G745" s="3">
        <v>90.600000000000009</v>
      </c>
      <c r="H745" s="2" t="s">
        <v>1221</v>
      </c>
      <c r="I745" s="19">
        <v>27</v>
      </c>
      <c r="J745" s="34">
        <f t="shared" si="44"/>
        <v>0.2349</v>
      </c>
      <c r="K745" s="34">
        <f t="shared" si="45"/>
        <v>0.35</v>
      </c>
      <c r="L745" s="34">
        <f t="shared" si="46"/>
        <v>1.4</v>
      </c>
      <c r="M745" s="20" t="s">
        <v>4156</v>
      </c>
      <c r="N745" s="20" t="s">
        <v>3891</v>
      </c>
      <c r="O745" s="20" t="s">
        <v>3892</v>
      </c>
      <c r="P745" s="20" t="s">
        <v>3893</v>
      </c>
      <c r="Q745" s="21">
        <v>84.4</v>
      </c>
      <c r="R745" s="21">
        <v>90.6</v>
      </c>
      <c r="S745" s="21">
        <v>3.1</v>
      </c>
      <c r="T745" s="22">
        <v>0.45</v>
      </c>
      <c r="U745" s="13">
        <f t="shared" si="47"/>
        <v>-0.95</v>
      </c>
      <c r="V745" s="23">
        <v>55.12</v>
      </c>
      <c r="W745" s="23">
        <v>55.12</v>
      </c>
      <c r="X745" s="20">
        <v>38</v>
      </c>
      <c r="Y745" s="24" t="s">
        <v>3713</v>
      </c>
      <c r="Z745" s="16">
        <v>28.12</v>
      </c>
      <c r="AA745" s="17">
        <v>104.1</v>
      </c>
      <c r="AB745" s="25" t="s">
        <v>3714</v>
      </c>
    </row>
    <row r="746" spans="1:28" x14ac:dyDescent="0.45">
      <c r="A746" s="4" t="s">
        <v>1331</v>
      </c>
      <c r="B746" s="4" t="s">
        <v>5841</v>
      </c>
      <c r="C746" s="4" t="s">
        <v>1110</v>
      </c>
      <c r="D746" s="4" t="s">
        <v>1111</v>
      </c>
      <c r="E746" s="4" t="s">
        <v>96</v>
      </c>
      <c r="F746" s="5">
        <v>85.09</v>
      </c>
      <c r="G746" s="5">
        <v>95.75</v>
      </c>
      <c r="H746" s="4" t="s">
        <v>1201</v>
      </c>
      <c r="I746" s="10">
        <v>35</v>
      </c>
      <c r="J746" s="34">
        <f t="shared" si="44"/>
        <v>0.30449999999999999</v>
      </c>
      <c r="K746" s="34">
        <f t="shared" si="45"/>
        <v>0.46</v>
      </c>
      <c r="L746" s="34">
        <f t="shared" si="46"/>
        <v>1.84</v>
      </c>
      <c r="M746" s="11" t="s">
        <v>4157</v>
      </c>
      <c r="N746" s="11" t="s">
        <v>3891</v>
      </c>
      <c r="O746" s="11" t="s">
        <v>3892</v>
      </c>
      <c r="P746" s="11" t="s">
        <v>3893</v>
      </c>
      <c r="Q746" s="12">
        <v>85.09</v>
      </c>
      <c r="R746" s="12">
        <v>95.757999999999996</v>
      </c>
      <c r="S746" s="12">
        <v>5.3339999999999996</v>
      </c>
      <c r="T746" s="13">
        <v>0.8</v>
      </c>
      <c r="U746" s="13">
        <f t="shared" si="47"/>
        <v>-1.04</v>
      </c>
      <c r="V746" s="14">
        <v>98</v>
      </c>
      <c r="W746" s="14">
        <v>98</v>
      </c>
      <c r="X746" s="11">
        <v>315</v>
      </c>
      <c r="Y746" s="15" t="s">
        <v>3737</v>
      </c>
      <c r="Z746" s="16">
        <v>63</v>
      </c>
      <c r="AA746" s="17">
        <v>180</v>
      </c>
      <c r="AB746" s="18" t="s">
        <v>4032</v>
      </c>
    </row>
    <row r="747" spans="1:28" x14ac:dyDescent="0.45">
      <c r="A747" s="2" t="s">
        <v>1332</v>
      </c>
      <c r="B747" s="2" t="s">
        <v>5842</v>
      </c>
      <c r="C747" s="2" t="s">
        <v>1110</v>
      </c>
      <c r="D747" s="2" t="s">
        <v>1111</v>
      </c>
      <c r="E747" s="2" t="s">
        <v>96</v>
      </c>
      <c r="F747" s="3">
        <v>85.32</v>
      </c>
      <c r="G747" s="3">
        <v>92.38</v>
      </c>
      <c r="H747" s="2" t="s">
        <v>1156</v>
      </c>
      <c r="I747" s="19">
        <v>20</v>
      </c>
      <c r="J747" s="34">
        <f t="shared" si="44"/>
        <v>0.17399999999999999</v>
      </c>
      <c r="K747" s="34">
        <f t="shared" si="45"/>
        <v>0.26</v>
      </c>
      <c r="L747" s="34">
        <f t="shared" si="46"/>
        <v>1.04</v>
      </c>
      <c r="M747" s="20" t="s">
        <v>4158</v>
      </c>
      <c r="N747" s="20" t="s">
        <v>3898</v>
      </c>
      <c r="O747" s="20" t="s">
        <v>3892</v>
      </c>
      <c r="P747" s="20" t="s">
        <v>3899</v>
      </c>
      <c r="Q747" s="21">
        <v>85.343999999999994</v>
      </c>
      <c r="R747" s="21">
        <v>92.456000000000003</v>
      </c>
      <c r="S747" s="21">
        <v>3.556</v>
      </c>
      <c r="T747" s="22">
        <v>3.11</v>
      </c>
      <c r="U747" s="13">
        <f t="shared" si="47"/>
        <v>2.0699999999999998</v>
      </c>
      <c r="V747" s="23">
        <v>380.98</v>
      </c>
      <c r="W747" s="23">
        <v>380.98</v>
      </c>
      <c r="X747" s="20" t="s">
        <v>3722</v>
      </c>
      <c r="Y747" s="24" t="s">
        <v>3737</v>
      </c>
      <c r="Z747" s="16">
        <v>360.98</v>
      </c>
      <c r="AA747" s="17">
        <v>1804.9</v>
      </c>
      <c r="AB747" s="25" t="s">
        <v>3945</v>
      </c>
    </row>
    <row r="748" spans="1:28" x14ac:dyDescent="0.45">
      <c r="A748" s="4" t="s">
        <v>1333</v>
      </c>
      <c r="B748" s="4" t="s">
        <v>5843</v>
      </c>
      <c r="C748" s="4" t="s">
        <v>1110</v>
      </c>
      <c r="D748" s="4" t="s">
        <v>1111</v>
      </c>
      <c r="E748" s="4" t="s">
        <v>96</v>
      </c>
      <c r="F748" s="5">
        <v>88.27</v>
      </c>
      <c r="G748" s="5">
        <v>98.929999999999993</v>
      </c>
      <c r="H748" s="4" t="s">
        <v>1201</v>
      </c>
      <c r="I748" s="10">
        <v>37</v>
      </c>
      <c r="J748" s="34">
        <f t="shared" si="44"/>
        <v>0.32189999999999996</v>
      </c>
      <c r="K748" s="34">
        <f t="shared" si="45"/>
        <v>0.48</v>
      </c>
      <c r="L748" s="34">
        <f t="shared" si="46"/>
        <v>1.92</v>
      </c>
      <c r="M748" s="11" t="s">
        <v>4159</v>
      </c>
      <c r="N748" s="11" t="s">
        <v>3891</v>
      </c>
      <c r="O748" s="11" t="s">
        <v>3892</v>
      </c>
      <c r="P748" s="11" t="s">
        <v>3893</v>
      </c>
      <c r="Q748" s="12">
        <v>88.391999999999996</v>
      </c>
      <c r="R748" s="12">
        <v>99.06</v>
      </c>
      <c r="S748" s="12">
        <v>5.3339999999999996</v>
      </c>
      <c r="T748" s="13">
        <v>0.82</v>
      </c>
      <c r="U748" s="13">
        <f t="shared" si="47"/>
        <v>-1.1000000000000001</v>
      </c>
      <c r="V748" s="14">
        <v>100.45</v>
      </c>
      <c r="W748" s="14">
        <v>100.45</v>
      </c>
      <c r="X748" s="11">
        <v>341</v>
      </c>
      <c r="Y748" s="15" t="s">
        <v>3737</v>
      </c>
      <c r="Z748" s="16">
        <v>63.45</v>
      </c>
      <c r="AA748" s="17">
        <v>171.5</v>
      </c>
      <c r="AB748" s="18" t="s">
        <v>4016</v>
      </c>
    </row>
    <row r="749" spans="1:28" x14ac:dyDescent="0.45">
      <c r="A749" s="2" t="s">
        <v>1334</v>
      </c>
      <c r="B749" s="2" t="s">
        <v>5844</v>
      </c>
      <c r="C749" s="2" t="s">
        <v>1110</v>
      </c>
      <c r="D749" s="2" t="s">
        <v>1111</v>
      </c>
      <c r="E749" s="2" t="s">
        <v>96</v>
      </c>
      <c r="F749" s="3">
        <v>88.49</v>
      </c>
      <c r="G749" s="3">
        <v>95.55</v>
      </c>
      <c r="H749" s="2" t="s">
        <v>1156</v>
      </c>
      <c r="I749" s="19">
        <v>20</v>
      </c>
      <c r="J749" s="34">
        <f t="shared" si="44"/>
        <v>0.17399999999999999</v>
      </c>
      <c r="K749" s="34">
        <f t="shared" si="45"/>
        <v>0.26</v>
      </c>
      <c r="L749" s="34">
        <f t="shared" si="46"/>
        <v>1.04</v>
      </c>
      <c r="M749" s="20" t="s">
        <v>4160</v>
      </c>
      <c r="N749" s="20" t="s">
        <v>3898</v>
      </c>
      <c r="O749" s="20" t="s">
        <v>3892</v>
      </c>
      <c r="P749" s="20" t="s">
        <v>3899</v>
      </c>
      <c r="Q749" s="21">
        <v>88.391999999999996</v>
      </c>
      <c r="R749" s="21">
        <v>95.504000000000005</v>
      </c>
      <c r="S749" s="21">
        <v>3.556</v>
      </c>
      <c r="T749" s="22">
        <v>0.69</v>
      </c>
      <c r="U749" s="13">
        <f t="shared" si="47"/>
        <v>-0.35000000000000009</v>
      </c>
      <c r="V749" s="23">
        <v>84.52</v>
      </c>
      <c r="W749" s="23">
        <v>84.52</v>
      </c>
      <c r="X749" s="20" t="s">
        <v>3722</v>
      </c>
      <c r="Y749" s="24" t="s">
        <v>3737</v>
      </c>
      <c r="Z749" s="16">
        <v>64.52</v>
      </c>
      <c r="AA749" s="17">
        <v>322.60000000000002</v>
      </c>
      <c r="AB749" s="25" t="s">
        <v>3963</v>
      </c>
    </row>
    <row r="750" spans="1:28" x14ac:dyDescent="0.45">
      <c r="A750" s="4" t="s">
        <v>1335</v>
      </c>
      <c r="B750" s="4" t="s">
        <v>5845</v>
      </c>
      <c r="C750" s="4" t="s">
        <v>1110</v>
      </c>
      <c r="D750" s="4" t="s">
        <v>1111</v>
      </c>
      <c r="E750" s="4" t="s">
        <v>96</v>
      </c>
      <c r="F750" s="5">
        <v>88.57</v>
      </c>
      <c r="G750" s="5">
        <v>93.809999999999988</v>
      </c>
      <c r="H750" s="4" t="s">
        <v>1127</v>
      </c>
      <c r="I750" s="10">
        <v>18</v>
      </c>
      <c r="J750" s="34">
        <f t="shared" si="44"/>
        <v>0.15659999999999999</v>
      </c>
      <c r="K750" s="34">
        <f t="shared" si="45"/>
        <v>0.23</v>
      </c>
      <c r="L750" s="34">
        <f t="shared" si="46"/>
        <v>0.92</v>
      </c>
      <c r="M750" s="11" t="s">
        <v>4161</v>
      </c>
      <c r="N750" s="11" t="s">
        <v>3891</v>
      </c>
      <c r="O750" s="11" t="s">
        <v>3892</v>
      </c>
      <c r="P750" s="11" t="s">
        <v>3893</v>
      </c>
      <c r="Q750" s="12">
        <v>88.646000000000001</v>
      </c>
      <c r="R750" s="12">
        <v>93.725999999999999</v>
      </c>
      <c r="S750" s="12">
        <v>2.54</v>
      </c>
      <c r="T750" s="13">
        <v>0.43</v>
      </c>
      <c r="U750" s="13">
        <f t="shared" si="47"/>
        <v>-0.49000000000000005</v>
      </c>
      <c r="V750" s="14">
        <v>52.68</v>
      </c>
      <c r="W750" s="14">
        <v>52.68</v>
      </c>
      <c r="X750" s="11">
        <v>731</v>
      </c>
      <c r="Y750" s="15" t="s">
        <v>3737</v>
      </c>
      <c r="Z750" s="16">
        <v>34.68</v>
      </c>
      <c r="AA750" s="17">
        <v>192.7</v>
      </c>
      <c r="AB750" s="18" t="s">
        <v>4022</v>
      </c>
    </row>
    <row r="751" spans="1:28" x14ac:dyDescent="0.45">
      <c r="A751" s="2" t="s">
        <v>1336</v>
      </c>
      <c r="B751" s="2" t="s">
        <v>5846</v>
      </c>
      <c r="C751" s="2" t="s">
        <v>1110</v>
      </c>
      <c r="D751" s="2" t="s">
        <v>1111</v>
      </c>
      <c r="E751" s="2" t="s">
        <v>96</v>
      </c>
      <c r="F751" s="3">
        <v>90</v>
      </c>
      <c r="G751" s="3">
        <v>100</v>
      </c>
      <c r="H751" s="2" t="s">
        <v>1245</v>
      </c>
      <c r="I751" s="19">
        <v>39</v>
      </c>
      <c r="J751" s="34">
        <f t="shared" si="44"/>
        <v>0.33929999999999999</v>
      </c>
      <c r="K751" s="34">
        <f t="shared" si="45"/>
        <v>0.51</v>
      </c>
      <c r="L751" s="34">
        <f t="shared" si="46"/>
        <v>2.04</v>
      </c>
      <c r="M751" s="20" t="s">
        <v>4162</v>
      </c>
      <c r="N751" s="20" t="s">
        <v>3891</v>
      </c>
      <c r="O751" s="20" t="s">
        <v>3892</v>
      </c>
      <c r="P751" s="20" t="s">
        <v>3893</v>
      </c>
      <c r="Q751" s="21">
        <v>90</v>
      </c>
      <c r="R751" s="21">
        <v>100</v>
      </c>
      <c r="S751" s="21">
        <v>5</v>
      </c>
      <c r="T751" s="22">
        <v>0.73</v>
      </c>
      <c r="U751" s="13">
        <f t="shared" si="47"/>
        <v>-1.31</v>
      </c>
      <c r="V751" s="23">
        <v>89.42</v>
      </c>
      <c r="W751" s="23">
        <v>89.42</v>
      </c>
      <c r="X751" s="20">
        <v>116</v>
      </c>
      <c r="Y751" s="24" t="s">
        <v>3713</v>
      </c>
      <c r="Z751" s="16">
        <v>50.42</v>
      </c>
      <c r="AA751" s="17">
        <v>129.30000000000001</v>
      </c>
      <c r="AB751" s="25" t="s">
        <v>3714</v>
      </c>
    </row>
    <row r="752" spans="1:28" x14ac:dyDescent="0.45">
      <c r="A752" s="4" t="s">
        <v>1337</v>
      </c>
      <c r="B752" s="4" t="s">
        <v>5847</v>
      </c>
      <c r="C752" s="4" t="s">
        <v>1110</v>
      </c>
      <c r="D752" s="4" t="s">
        <v>1111</v>
      </c>
      <c r="E752" s="4" t="s">
        <v>96</v>
      </c>
      <c r="F752" s="5">
        <v>91.44</v>
      </c>
      <c r="G752" s="5">
        <v>102.1</v>
      </c>
      <c r="H752" s="4" t="s">
        <v>1201</v>
      </c>
      <c r="I752" s="10">
        <v>39</v>
      </c>
      <c r="J752" s="34">
        <f t="shared" si="44"/>
        <v>0.33929999999999999</v>
      </c>
      <c r="K752" s="34">
        <f t="shared" si="45"/>
        <v>0.51</v>
      </c>
      <c r="L752" s="34">
        <f t="shared" si="46"/>
        <v>2.04</v>
      </c>
      <c r="M752" s="11" t="s">
        <v>4163</v>
      </c>
      <c r="N752" s="11" t="s">
        <v>3891</v>
      </c>
      <c r="O752" s="11" t="s">
        <v>3892</v>
      </c>
      <c r="P752" s="11" t="s">
        <v>3893</v>
      </c>
      <c r="Q752" s="12">
        <v>91.44</v>
      </c>
      <c r="R752" s="12">
        <v>102.108</v>
      </c>
      <c r="S752" s="12">
        <v>5.3339999999999996</v>
      </c>
      <c r="T752" s="13">
        <v>0.62</v>
      </c>
      <c r="U752" s="13">
        <f t="shared" si="47"/>
        <v>-1.42</v>
      </c>
      <c r="V752" s="14">
        <v>75.95</v>
      </c>
      <c r="W752" s="14">
        <v>75.95</v>
      </c>
      <c r="X752" s="11">
        <v>1395</v>
      </c>
      <c r="Y752" s="15" t="s">
        <v>3737</v>
      </c>
      <c r="Z752" s="16">
        <v>36.950000000000003</v>
      </c>
      <c r="AA752" s="17">
        <v>94.7</v>
      </c>
      <c r="AB752" s="18" t="s">
        <v>4032</v>
      </c>
    </row>
    <row r="753" spans="1:28" x14ac:dyDescent="0.45">
      <c r="A753" s="2" t="s">
        <v>1338</v>
      </c>
      <c r="B753" s="2" t="s">
        <v>5848</v>
      </c>
      <c r="C753" s="2" t="s">
        <v>1110</v>
      </c>
      <c r="D753" s="2" t="s">
        <v>1111</v>
      </c>
      <c r="E753" s="2" t="s">
        <v>96</v>
      </c>
      <c r="F753" s="3">
        <v>91.67</v>
      </c>
      <c r="G753" s="3">
        <v>98.73</v>
      </c>
      <c r="H753" s="2" t="s">
        <v>1156</v>
      </c>
      <c r="I753" s="19">
        <v>23</v>
      </c>
      <c r="J753" s="34">
        <f t="shared" si="44"/>
        <v>0.2001</v>
      </c>
      <c r="K753" s="34">
        <f t="shared" si="45"/>
        <v>0.3</v>
      </c>
      <c r="L753" s="34">
        <f t="shared" si="46"/>
        <v>1.2</v>
      </c>
      <c r="M753" s="20" t="s">
        <v>4164</v>
      </c>
      <c r="N753" s="20" t="s">
        <v>3891</v>
      </c>
      <c r="O753" s="20" t="s">
        <v>3892</v>
      </c>
      <c r="P753" s="20" t="s">
        <v>3893</v>
      </c>
      <c r="Q753" s="21">
        <v>91.694000000000003</v>
      </c>
      <c r="R753" s="21">
        <v>98.805999999999997</v>
      </c>
      <c r="S753" s="21">
        <v>3.556</v>
      </c>
      <c r="T753" s="22">
        <v>0.52</v>
      </c>
      <c r="U753" s="13">
        <f t="shared" si="47"/>
        <v>-0.67999999999999994</v>
      </c>
      <c r="V753" s="23">
        <v>63.7</v>
      </c>
      <c r="W753" s="23">
        <v>63.7</v>
      </c>
      <c r="X753" s="20">
        <v>265</v>
      </c>
      <c r="Y753" s="24" t="s">
        <v>3737</v>
      </c>
      <c r="Z753" s="16">
        <v>40.700000000000003</v>
      </c>
      <c r="AA753" s="17">
        <v>177</v>
      </c>
      <c r="AB753" s="25" t="s">
        <v>3945</v>
      </c>
    </row>
    <row r="754" spans="1:28" x14ac:dyDescent="0.45">
      <c r="A754" s="4" t="s">
        <v>1339</v>
      </c>
      <c r="B754" s="4" t="s">
        <v>5849</v>
      </c>
      <c r="C754" s="4" t="s">
        <v>1110</v>
      </c>
      <c r="D754" s="4" t="s">
        <v>1111</v>
      </c>
      <c r="E754" s="4" t="s">
        <v>96</v>
      </c>
      <c r="F754" s="5">
        <v>92</v>
      </c>
      <c r="G754" s="5">
        <v>100</v>
      </c>
      <c r="H754" s="4" t="s">
        <v>1216</v>
      </c>
      <c r="I754" s="10">
        <v>34</v>
      </c>
      <c r="J754" s="34">
        <f t="shared" si="44"/>
        <v>0.29579999999999995</v>
      </c>
      <c r="K754" s="34">
        <f t="shared" si="45"/>
        <v>0.44</v>
      </c>
      <c r="L754" s="34">
        <f t="shared" si="46"/>
        <v>1.76</v>
      </c>
      <c r="M754" s="11" t="s">
        <v>4165</v>
      </c>
      <c r="N754" s="11" t="s">
        <v>3891</v>
      </c>
      <c r="O754" s="11" t="s">
        <v>3892</v>
      </c>
      <c r="P754" s="11" t="s">
        <v>3893</v>
      </c>
      <c r="Q754" s="12">
        <v>92</v>
      </c>
      <c r="R754" s="12">
        <v>100</v>
      </c>
      <c r="S754" s="12">
        <v>4</v>
      </c>
      <c r="T754" s="13">
        <v>0.66</v>
      </c>
      <c r="U754" s="13">
        <f t="shared" si="47"/>
        <v>-1.1000000000000001</v>
      </c>
      <c r="V754" s="14">
        <v>80.849999999999994</v>
      </c>
      <c r="W754" s="14">
        <v>80.849999999999994</v>
      </c>
      <c r="X754" s="11">
        <v>73</v>
      </c>
      <c r="Y754" s="15" t="s">
        <v>3713</v>
      </c>
      <c r="Z754" s="16">
        <v>46.849999999999987</v>
      </c>
      <c r="AA754" s="17">
        <v>137.80000000000001</v>
      </c>
      <c r="AB754" s="18" t="s">
        <v>3714</v>
      </c>
    </row>
    <row r="755" spans="1:28" x14ac:dyDescent="0.45">
      <c r="A755" s="2" t="s">
        <v>1340</v>
      </c>
      <c r="B755" s="2" t="s">
        <v>5850</v>
      </c>
      <c r="C755" s="2" t="s">
        <v>1110</v>
      </c>
      <c r="D755" s="2" t="s">
        <v>1111</v>
      </c>
      <c r="E755" s="2" t="s">
        <v>96</v>
      </c>
      <c r="F755" s="3">
        <v>94.2</v>
      </c>
      <c r="G755" s="3">
        <v>105.6</v>
      </c>
      <c r="H755" s="2" t="s">
        <v>1297</v>
      </c>
      <c r="I755" s="19">
        <v>52</v>
      </c>
      <c r="J755" s="34">
        <f t="shared" si="44"/>
        <v>0.45239999999999997</v>
      </c>
      <c r="K755" s="34">
        <f t="shared" si="45"/>
        <v>0.68</v>
      </c>
      <c r="L755" s="34">
        <f t="shared" si="46"/>
        <v>2.72</v>
      </c>
      <c r="M755" s="20" t="s">
        <v>4166</v>
      </c>
      <c r="N755" s="20" t="s">
        <v>3891</v>
      </c>
      <c r="O755" s="20" t="s">
        <v>3892</v>
      </c>
      <c r="P755" s="20" t="s">
        <v>3893</v>
      </c>
      <c r="Q755" s="21">
        <v>94.3</v>
      </c>
      <c r="R755" s="21">
        <v>105.7</v>
      </c>
      <c r="S755" s="21">
        <v>5.7</v>
      </c>
      <c r="T755" s="22">
        <v>0.92</v>
      </c>
      <c r="U755" s="13">
        <f t="shared" si="47"/>
        <v>-1.8000000000000003</v>
      </c>
      <c r="V755" s="23">
        <v>112.7</v>
      </c>
      <c r="W755" s="23">
        <v>112.7</v>
      </c>
      <c r="X755" s="20">
        <v>300</v>
      </c>
      <c r="Y755" s="24" t="s">
        <v>3713</v>
      </c>
      <c r="Z755" s="16">
        <v>60.7</v>
      </c>
      <c r="AA755" s="17">
        <v>116.7</v>
      </c>
      <c r="AB755" s="25" t="s">
        <v>4119</v>
      </c>
    </row>
    <row r="756" spans="1:28" x14ac:dyDescent="0.45">
      <c r="A756" s="4" t="s">
        <v>1341</v>
      </c>
      <c r="B756" s="4" t="s">
        <v>5851</v>
      </c>
      <c r="C756" s="4" t="s">
        <v>1110</v>
      </c>
      <c r="D756" s="4" t="s">
        <v>1111</v>
      </c>
      <c r="E756" s="4" t="s">
        <v>96</v>
      </c>
      <c r="F756" s="5">
        <v>94.4</v>
      </c>
      <c r="G756" s="5">
        <v>100.6</v>
      </c>
      <c r="H756" s="4" t="s">
        <v>1221</v>
      </c>
      <c r="I756" s="10">
        <v>32</v>
      </c>
      <c r="J756" s="34">
        <f t="shared" si="44"/>
        <v>0.27839999999999998</v>
      </c>
      <c r="K756" s="34">
        <f t="shared" si="45"/>
        <v>0.42</v>
      </c>
      <c r="L756" s="34">
        <f t="shared" si="46"/>
        <v>1.68</v>
      </c>
      <c r="M756" s="11" t="s">
        <v>4167</v>
      </c>
      <c r="N756" s="11" t="s">
        <v>3891</v>
      </c>
      <c r="O756" s="11" t="s">
        <v>3892</v>
      </c>
      <c r="P756" s="11" t="s">
        <v>3893</v>
      </c>
      <c r="Q756" s="12">
        <v>94.4</v>
      </c>
      <c r="R756" s="12">
        <v>100.6</v>
      </c>
      <c r="S756" s="12">
        <v>3.1</v>
      </c>
      <c r="T756" s="13">
        <v>1.32</v>
      </c>
      <c r="U756" s="13">
        <f t="shared" si="47"/>
        <v>-0.35999999999999988</v>
      </c>
      <c r="V756" s="14">
        <v>161.69999999999999</v>
      </c>
      <c r="W756" s="14">
        <v>161.69999999999999</v>
      </c>
      <c r="X756" s="11">
        <v>218</v>
      </c>
      <c r="Y756" s="15" t="s">
        <v>3713</v>
      </c>
      <c r="Z756" s="16">
        <v>129.69999999999999</v>
      </c>
      <c r="AA756" s="17">
        <v>405.3</v>
      </c>
      <c r="AB756" s="18" t="s">
        <v>3714</v>
      </c>
    </row>
    <row r="757" spans="1:28" x14ac:dyDescent="0.45">
      <c r="A757" s="2" t="s">
        <v>1342</v>
      </c>
      <c r="B757" s="2" t="s">
        <v>5852</v>
      </c>
      <c r="C757" s="2" t="s">
        <v>1110</v>
      </c>
      <c r="D757" s="2" t="s">
        <v>1111</v>
      </c>
      <c r="E757" s="2" t="s">
        <v>96</v>
      </c>
      <c r="F757" s="3">
        <v>94.62</v>
      </c>
      <c r="G757" s="3">
        <v>105.28</v>
      </c>
      <c r="H757" s="2" t="s">
        <v>1201</v>
      </c>
      <c r="I757" s="19">
        <v>39</v>
      </c>
      <c r="J757" s="34">
        <f t="shared" si="44"/>
        <v>0.33929999999999999</v>
      </c>
      <c r="K757" s="34">
        <f t="shared" si="45"/>
        <v>0.51</v>
      </c>
      <c r="L757" s="34">
        <f t="shared" si="46"/>
        <v>2.04</v>
      </c>
      <c r="M757" s="20" t="s">
        <v>4168</v>
      </c>
      <c r="N757" s="20" t="s">
        <v>3891</v>
      </c>
      <c r="O757" s="20" t="s">
        <v>3892</v>
      </c>
      <c r="P757" s="20" t="s">
        <v>3893</v>
      </c>
      <c r="Q757" s="21">
        <v>94.742000000000004</v>
      </c>
      <c r="R757" s="21">
        <v>105.15600000000001</v>
      </c>
      <c r="S757" s="21">
        <v>5.3339999999999996</v>
      </c>
      <c r="T757" s="22">
        <v>0.91</v>
      </c>
      <c r="U757" s="13">
        <f t="shared" si="47"/>
        <v>-1.1299999999999999</v>
      </c>
      <c r="V757" s="23">
        <v>111.48</v>
      </c>
      <c r="W757" s="23">
        <v>111.48</v>
      </c>
      <c r="X757" s="20">
        <v>953</v>
      </c>
      <c r="Y757" s="24" t="s">
        <v>3737</v>
      </c>
      <c r="Z757" s="16">
        <v>72.48</v>
      </c>
      <c r="AA757" s="17">
        <v>185.8</v>
      </c>
      <c r="AB757" s="25" t="s">
        <v>4169</v>
      </c>
    </row>
    <row r="758" spans="1:28" x14ac:dyDescent="0.45">
      <c r="A758" s="4" t="s">
        <v>1343</v>
      </c>
      <c r="B758" s="4" t="s">
        <v>5853</v>
      </c>
      <c r="C758" s="4" t="s">
        <v>1110</v>
      </c>
      <c r="D758" s="4" t="s">
        <v>1111</v>
      </c>
      <c r="E758" s="4" t="s">
        <v>96</v>
      </c>
      <c r="F758" s="5">
        <v>94.84</v>
      </c>
      <c r="G758" s="5">
        <v>101.9</v>
      </c>
      <c r="H758" s="4" t="s">
        <v>1156</v>
      </c>
      <c r="I758" s="10">
        <v>23</v>
      </c>
      <c r="J758" s="34">
        <f t="shared" si="44"/>
        <v>0.2001</v>
      </c>
      <c r="K758" s="34">
        <f t="shared" si="45"/>
        <v>0.3</v>
      </c>
      <c r="L758" s="34">
        <f t="shared" si="46"/>
        <v>1.2</v>
      </c>
      <c r="M758" s="11" t="s">
        <v>4170</v>
      </c>
      <c r="N758" s="11" t="s">
        <v>3891</v>
      </c>
      <c r="O758" s="11" t="s">
        <v>3892</v>
      </c>
      <c r="P758" s="11" t="s">
        <v>3893</v>
      </c>
      <c r="Q758" s="12">
        <v>95</v>
      </c>
      <c r="R758" s="12">
        <v>102</v>
      </c>
      <c r="S758" s="12">
        <v>3.5</v>
      </c>
      <c r="T758" s="13">
        <v>0.56999999999999995</v>
      </c>
      <c r="U758" s="13">
        <f t="shared" si="47"/>
        <v>-0.63</v>
      </c>
      <c r="V758" s="14">
        <v>69.819999999999993</v>
      </c>
      <c r="W758" s="14">
        <v>69.819999999999993</v>
      </c>
      <c r="X758" s="11">
        <v>99</v>
      </c>
      <c r="Y758" s="15" t="s">
        <v>3713</v>
      </c>
      <c r="Z758" s="16">
        <v>46.819999999999993</v>
      </c>
      <c r="AA758" s="17">
        <v>203.6</v>
      </c>
      <c r="AB758" s="18" t="s">
        <v>4171</v>
      </c>
    </row>
    <row r="759" spans="1:28" x14ac:dyDescent="0.45">
      <c r="A759" s="2" t="s">
        <v>1344</v>
      </c>
      <c r="B759" s="2" t="s">
        <v>5854</v>
      </c>
      <c r="C759" s="2" t="s">
        <v>1110</v>
      </c>
      <c r="D759" s="2" t="s">
        <v>1111</v>
      </c>
      <c r="E759" s="2" t="s">
        <v>96</v>
      </c>
      <c r="F759" s="3">
        <v>94.92</v>
      </c>
      <c r="G759" s="3">
        <v>100.16</v>
      </c>
      <c r="H759" s="2" t="s">
        <v>1127</v>
      </c>
      <c r="I759" s="19">
        <v>18</v>
      </c>
      <c r="J759" s="34">
        <f t="shared" si="44"/>
        <v>0.15659999999999999</v>
      </c>
      <c r="K759" s="34">
        <f t="shared" si="45"/>
        <v>0.23</v>
      </c>
      <c r="L759" s="34">
        <f t="shared" si="46"/>
        <v>0.92</v>
      </c>
      <c r="M759" s="20" t="s">
        <v>4172</v>
      </c>
      <c r="N759" s="20" t="s">
        <v>3891</v>
      </c>
      <c r="O759" s="20" t="s">
        <v>3892</v>
      </c>
      <c r="P759" s="20" t="s">
        <v>3893</v>
      </c>
      <c r="Q759" s="21">
        <v>94.995999999999995</v>
      </c>
      <c r="R759" s="21">
        <v>100.07599999999999</v>
      </c>
      <c r="S759" s="21">
        <v>2.54</v>
      </c>
      <c r="T759" s="22">
        <v>0.42</v>
      </c>
      <c r="U759" s="13">
        <f t="shared" si="47"/>
        <v>-0.5</v>
      </c>
      <c r="V759" s="23">
        <v>51.45</v>
      </c>
      <c r="W759" s="23">
        <v>51.45</v>
      </c>
      <c r="X759" s="20">
        <v>406</v>
      </c>
      <c r="Y759" s="24" t="s">
        <v>3737</v>
      </c>
      <c r="Z759" s="16">
        <v>33.450000000000003</v>
      </c>
      <c r="AA759" s="17">
        <v>185.8</v>
      </c>
      <c r="AB759" s="25" t="s">
        <v>4022</v>
      </c>
    </row>
    <row r="760" spans="1:28" x14ac:dyDescent="0.45">
      <c r="A760" s="4" t="s">
        <v>1345</v>
      </c>
      <c r="B760" s="4" t="s">
        <v>5855</v>
      </c>
      <c r="C760" s="4" t="s">
        <v>1110</v>
      </c>
      <c r="D760" s="4" t="s">
        <v>1111</v>
      </c>
      <c r="E760" s="4" t="s">
        <v>96</v>
      </c>
      <c r="F760" s="5">
        <v>94.99</v>
      </c>
      <c r="G760" s="5">
        <v>98.55</v>
      </c>
      <c r="H760" s="4" t="s">
        <v>1114</v>
      </c>
      <c r="I760" s="10">
        <v>15</v>
      </c>
      <c r="J760" s="34">
        <f t="shared" si="44"/>
        <v>0.1305</v>
      </c>
      <c r="K760" s="34">
        <f t="shared" si="45"/>
        <v>0.2</v>
      </c>
      <c r="L760" s="34">
        <f t="shared" si="46"/>
        <v>0.8</v>
      </c>
      <c r="M760" s="11" t="s">
        <v>4173</v>
      </c>
      <c r="N760" s="11" t="s">
        <v>3925</v>
      </c>
      <c r="O760" s="11" t="s">
        <v>3892</v>
      </c>
      <c r="P760" s="11" t="s">
        <v>3926</v>
      </c>
      <c r="Q760" s="12">
        <v>94.995999999999995</v>
      </c>
      <c r="R760" s="12">
        <v>98.552000000000007</v>
      </c>
      <c r="S760" s="12">
        <v>1.778</v>
      </c>
      <c r="T760" s="13">
        <v>0.52</v>
      </c>
      <c r="U760" s="13">
        <f t="shared" si="47"/>
        <v>-0.28000000000000003</v>
      </c>
      <c r="V760" s="14">
        <v>63.7</v>
      </c>
      <c r="W760" s="14">
        <v>63.7</v>
      </c>
      <c r="X760" s="11">
        <v>31</v>
      </c>
      <c r="Y760" s="15" t="s">
        <v>3737</v>
      </c>
      <c r="Z760" s="16">
        <v>48.7</v>
      </c>
      <c r="AA760" s="17">
        <v>324.7</v>
      </c>
      <c r="AB760" s="18" t="s">
        <v>4174</v>
      </c>
    </row>
    <row r="761" spans="1:28" x14ac:dyDescent="0.45">
      <c r="A761" s="2" t="s">
        <v>1346</v>
      </c>
      <c r="B761" s="2" t="s">
        <v>5856</v>
      </c>
      <c r="C761" s="2" t="s">
        <v>1110</v>
      </c>
      <c r="D761" s="2" t="s">
        <v>1111</v>
      </c>
      <c r="E761" s="2" t="s">
        <v>96</v>
      </c>
      <c r="F761" s="3">
        <v>97.79</v>
      </c>
      <c r="G761" s="3">
        <v>108.45</v>
      </c>
      <c r="H761" s="2" t="s">
        <v>1201</v>
      </c>
      <c r="I761" s="19">
        <v>40</v>
      </c>
      <c r="J761" s="34">
        <f t="shared" si="44"/>
        <v>0.34799999999999998</v>
      </c>
      <c r="K761" s="34">
        <f t="shared" si="45"/>
        <v>0.52</v>
      </c>
      <c r="L761" s="34">
        <f t="shared" si="46"/>
        <v>2.08</v>
      </c>
      <c r="M761" s="20" t="s">
        <v>4175</v>
      </c>
      <c r="N761" s="20" t="s">
        <v>3891</v>
      </c>
      <c r="O761" s="20" t="s">
        <v>3892</v>
      </c>
      <c r="P761" s="20" t="s">
        <v>3893</v>
      </c>
      <c r="Q761" s="21">
        <v>97.79</v>
      </c>
      <c r="R761" s="21">
        <v>108.458</v>
      </c>
      <c r="S761" s="21">
        <v>5.3339999999999996</v>
      </c>
      <c r="T761" s="22">
        <v>0.93</v>
      </c>
      <c r="U761" s="13">
        <f t="shared" si="47"/>
        <v>-1.1499999999999999</v>
      </c>
      <c r="V761" s="23">
        <v>113.93</v>
      </c>
      <c r="W761" s="23">
        <v>113.93</v>
      </c>
      <c r="X761" s="20">
        <v>282</v>
      </c>
      <c r="Y761" s="24" t="s">
        <v>3737</v>
      </c>
      <c r="Z761" s="16">
        <v>73.930000000000007</v>
      </c>
      <c r="AA761" s="17">
        <v>184.8</v>
      </c>
      <c r="AB761" s="25" t="s">
        <v>4032</v>
      </c>
    </row>
    <row r="762" spans="1:28" x14ac:dyDescent="0.45">
      <c r="A762" s="4" t="s">
        <v>1347</v>
      </c>
      <c r="B762" s="4" t="s">
        <v>5857</v>
      </c>
      <c r="C762" s="4" t="s">
        <v>1110</v>
      </c>
      <c r="D762" s="4" t="s">
        <v>1111</v>
      </c>
      <c r="E762" s="4" t="s">
        <v>96</v>
      </c>
      <c r="F762" s="5">
        <v>98.02</v>
      </c>
      <c r="G762" s="5">
        <v>105.08</v>
      </c>
      <c r="H762" s="4" t="s">
        <v>1156</v>
      </c>
      <c r="I762" s="10">
        <v>23</v>
      </c>
      <c r="J762" s="34">
        <f t="shared" si="44"/>
        <v>0.2001</v>
      </c>
      <c r="K762" s="34">
        <f t="shared" si="45"/>
        <v>0.3</v>
      </c>
      <c r="L762" s="34">
        <f t="shared" si="46"/>
        <v>1.2</v>
      </c>
      <c r="M762" s="11" t="s">
        <v>4176</v>
      </c>
      <c r="N762" s="11" t="s">
        <v>3891</v>
      </c>
      <c r="O762" s="11" t="s">
        <v>3892</v>
      </c>
      <c r="P762" s="11" t="s">
        <v>3893</v>
      </c>
      <c r="Q762" s="12">
        <v>98</v>
      </c>
      <c r="R762" s="12">
        <v>105</v>
      </c>
      <c r="S762" s="12">
        <v>3.5</v>
      </c>
      <c r="T762" s="13">
        <v>0.57999999999999996</v>
      </c>
      <c r="U762" s="13">
        <f t="shared" si="47"/>
        <v>-0.62</v>
      </c>
      <c r="V762" s="14">
        <v>71.05</v>
      </c>
      <c r="W762" s="14">
        <v>71.05</v>
      </c>
      <c r="X762" s="11">
        <v>37</v>
      </c>
      <c r="Y762" s="15" t="s">
        <v>3713</v>
      </c>
      <c r="Z762" s="16">
        <v>48.05</v>
      </c>
      <c r="AA762" s="17">
        <v>208.9</v>
      </c>
      <c r="AB762" s="18" t="s">
        <v>4177</v>
      </c>
    </row>
    <row r="763" spans="1:28" x14ac:dyDescent="0.45">
      <c r="A763" s="2" t="s">
        <v>1348</v>
      </c>
      <c r="B763" s="2" t="s">
        <v>5858</v>
      </c>
      <c r="C763" s="2" t="s">
        <v>1110</v>
      </c>
      <c r="D763" s="2" t="s">
        <v>1111</v>
      </c>
      <c r="E763" s="2" t="s">
        <v>96</v>
      </c>
      <c r="F763" s="3">
        <v>99.2</v>
      </c>
      <c r="G763" s="3">
        <v>110.6</v>
      </c>
      <c r="H763" s="2" t="s">
        <v>1297</v>
      </c>
      <c r="I763" s="19">
        <v>59</v>
      </c>
      <c r="J763" s="34">
        <f t="shared" si="44"/>
        <v>0.51329999999999998</v>
      </c>
      <c r="K763" s="34">
        <f t="shared" si="45"/>
        <v>0.77</v>
      </c>
      <c r="L763" s="34">
        <f t="shared" si="46"/>
        <v>3.08</v>
      </c>
      <c r="M763" s="20" t="s">
        <v>4178</v>
      </c>
      <c r="N763" s="20" t="s">
        <v>3891</v>
      </c>
      <c r="O763" s="20" t="s">
        <v>3892</v>
      </c>
      <c r="P763" s="20" t="s">
        <v>3893</v>
      </c>
      <c r="Q763" s="21">
        <v>99.3</v>
      </c>
      <c r="R763" s="21">
        <v>110.7</v>
      </c>
      <c r="S763" s="21">
        <v>5.7</v>
      </c>
      <c r="T763" s="22">
        <v>0.93</v>
      </c>
      <c r="U763" s="13">
        <f t="shared" si="47"/>
        <v>-2.15</v>
      </c>
      <c r="V763" s="23">
        <v>113.93</v>
      </c>
      <c r="W763" s="23">
        <v>113.93</v>
      </c>
      <c r="X763" s="20">
        <v>470</v>
      </c>
      <c r="Y763" s="24" t="s">
        <v>3713</v>
      </c>
      <c r="Z763" s="16">
        <v>54.930000000000007</v>
      </c>
      <c r="AA763" s="17">
        <v>93.1</v>
      </c>
      <c r="AB763" s="25" t="s">
        <v>4119</v>
      </c>
    </row>
    <row r="764" spans="1:28" x14ac:dyDescent="0.45">
      <c r="A764" s="4" t="s">
        <v>1349</v>
      </c>
      <c r="B764" s="4" t="s">
        <v>5859</v>
      </c>
      <c r="C764" s="4" t="s">
        <v>1110</v>
      </c>
      <c r="D764" s="4" t="s">
        <v>1111</v>
      </c>
      <c r="E764" s="4" t="s">
        <v>96</v>
      </c>
      <c r="F764" s="5">
        <v>99.4</v>
      </c>
      <c r="G764" s="5">
        <v>105.6</v>
      </c>
      <c r="H764" s="4" t="s">
        <v>1221</v>
      </c>
      <c r="I764" s="10">
        <v>35</v>
      </c>
      <c r="J764" s="34">
        <f t="shared" si="44"/>
        <v>0.30449999999999999</v>
      </c>
      <c r="K764" s="34">
        <f t="shared" si="45"/>
        <v>0.46</v>
      </c>
      <c r="L764" s="34">
        <f t="shared" si="46"/>
        <v>1.84</v>
      </c>
      <c r="M764" s="11" t="s">
        <v>4179</v>
      </c>
      <c r="N764" s="11" t="s">
        <v>3891</v>
      </c>
      <c r="O764" s="11" t="s">
        <v>3892</v>
      </c>
      <c r="P764" s="11" t="s">
        <v>3893</v>
      </c>
      <c r="Q764" s="12">
        <v>99.4</v>
      </c>
      <c r="R764" s="12">
        <v>105.6</v>
      </c>
      <c r="S764" s="12">
        <v>3.1</v>
      </c>
      <c r="T764" s="13">
        <v>0.77</v>
      </c>
      <c r="U764" s="13">
        <f t="shared" si="47"/>
        <v>-1.07</v>
      </c>
      <c r="V764" s="14">
        <v>94.32</v>
      </c>
      <c r="W764" s="14">
        <v>94.32</v>
      </c>
      <c r="X764" s="11">
        <v>198</v>
      </c>
      <c r="Y764" s="15" t="s">
        <v>3713</v>
      </c>
      <c r="Z764" s="16">
        <v>59.319999999999993</v>
      </c>
      <c r="AA764" s="17">
        <v>169.5</v>
      </c>
      <c r="AB764" s="18" t="s">
        <v>3714</v>
      </c>
    </row>
    <row r="765" spans="1:28" x14ac:dyDescent="0.45">
      <c r="A765" s="2" t="s">
        <v>1350</v>
      </c>
      <c r="B765" s="2" t="s">
        <v>5860</v>
      </c>
      <c r="C765" s="2" t="s">
        <v>1110</v>
      </c>
      <c r="D765" s="2" t="s">
        <v>1111</v>
      </c>
      <c r="E765" s="2" t="s">
        <v>96</v>
      </c>
      <c r="F765" s="3">
        <v>100.97</v>
      </c>
      <c r="G765" s="3">
        <v>111.63</v>
      </c>
      <c r="H765" s="2" t="s">
        <v>1201</v>
      </c>
      <c r="I765" s="19">
        <v>42</v>
      </c>
      <c r="J765" s="34">
        <f t="shared" si="44"/>
        <v>0.36539999999999995</v>
      </c>
      <c r="K765" s="34">
        <f t="shared" si="45"/>
        <v>0.55000000000000004</v>
      </c>
      <c r="L765" s="34">
        <f t="shared" si="46"/>
        <v>2.2000000000000002</v>
      </c>
      <c r="M765" s="20" t="s">
        <v>4180</v>
      </c>
      <c r="N765" s="20" t="s">
        <v>3891</v>
      </c>
      <c r="O765" s="20" t="s">
        <v>3892</v>
      </c>
      <c r="P765" s="20" t="s">
        <v>3893</v>
      </c>
      <c r="Q765" s="21">
        <v>101.092</v>
      </c>
      <c r="R765" s="21">
        <v>111.506</v>
      </c>
      <c r="S765" s="21">
        <v>5.3339999999999996</v>
      </c>
      <c r="T765" s="22">
        <v>1.1000000000000001</v>
      </c>
      <c r="U765" s="13">
        <f t="shared" si="47"/>
        <v>-1.1000000000000001</v>
      </c>
      <c r="V765" s="23">
        <v>134.75</v>
      </c>
      <c r="W765" s="23">
        <v>134.75</v>
      </c>
      <c r="X765" s="20">
        <v>480</v>
      </c>
      <c r="Y765" s="24" t="s">
        <v>3737</v>
      </c>
      <c r="Z765" s="16">
        <v>92.75</v>
      </c>
      <c r="AA765" s="17">
        <v>220.8</v>
      </c>
      <c r="AB765" s="25" t="s">
        <v>4169</v>
      </c>
    </row>
    <row r="766" spans="1:28" x14ac:dyDescent="0.45">
      <c r="A766" s="4" t="s">
        <v>1351</v>
      </c>
      <c r="B766" s="4" t="s">
        <v>5861</v>
      </c>
      <c r="C766" s="4" t="s">
        <v>1110</v>
      </c>
      <c r="D766" s="4" t="s">
        <v>1111</v>
      </c>
      <c r="E766" s="4" t="s">
        <v>96</v>
      </c>
      <c r="F766" s="5">
        <v>100</v>
      </c>
      <c r="G766" s="5">
        <v>108</v>
      </c>
      <c r="H766" s="4" t="s">
        <v>1216</v>
      </c>
      <c r="I766" s="10">
        <v>35</v>
      </c>
      <c r="J766" s="34">
        <f t="shared" si="44"/>
        <v>0.30449999999999999</v>
      </c>
      <c r="K766" s="34">
        <f t="shared" si="45"/>
        <v>0.46</v>
      </c>
      <c r="L766" s="34">
        <f t="shared" si="46"/>
        <v>1.84</v>
      </c>
      <c r="M766" s="11" t="s">
        <v>4181</v>
      </c>
      <c r="N766" s="11" t="s">
        <v>3891</v>
      </c>
      <c r="O766" s="11" t="s">
        <v>3892</v>
      </c>
      <c r="P766" s="11" t="s">
        <v>3893</v>
      </c>
      <c r="Q766" s="12">
        <v>100</v>
      </c>
      <c r="R766" s="12">
        <v>108</v>
      </c>
      <c r="S766" s="12">
        <v>4</v>
      </c>
      <c r="T766" s="13">
        <v>0.79</v>
      </c>
      <c r="U766" s="13">
        <f t="shared" si="47"/>
        <v>-1.05</v>
      </c>
      <c r="V766" s="14">
        <v>96.78</v>
      </c>
      <c r="W766" s="14">
        <v>96.78</v>
      </c>
      <c r="X766" s="11">
        <v>36</v>
      </c>
      <c r="Y766" s="15" t="s">
        <v>3713</v>
      </c>
      <c r="Z766" s="16">
        <v>61.78</v>
      </c>
      <c r="AA766" s="17">
        <v>176.5</v>
      </c>
      <c r="AB766" s="18" t="s">
        <v>3714</v>
      </c>
    </row>
    <row r="767" spans="1:28" x14ac:dyDescent="0.45">
      <c r="A767" s="2" t="s">
        <v>1352</v>
      </c>
      <c r="B767" s="2" t="s">
        <v>5862</v>
      </c>
      <c r="C767" s="2" t="s">
        <v>1110</v>
      </c>
      <c r="D767" s="2" t="s">
        <v>1111</v>
      </c>
      <c r="E767" s="2" t="s">
        <v>96</v>
      </c>
      <c r="F767" s="3">
        <v>100</v>
      </c>
      <c r="G767" s="3">
        <v>110</v>
      </c>
      <c r="H767" s="2" t="s">
        <v>1245</v>
      </c>
      <c r="I767" s="19">
        <v>42</v>
      </c>
      <c r="J767" s="34">
        <f t="shared" si="44"/>
        <v>0.36539999999999995</v>
      </c>
      <c r="K767" s="34">
        <f t="shared" si="45"/>
        <v>0.55000000000000004</v>
      </c>
      <c r="L767" s="34">
        <f t="shared" si="46"/>
        <v>2.2000000000000002</v>
      </c>
      <c r="M767" s="20" t="s">
        <v>4182</v>
      </c>
      <c r="N767" s="20" t="s">
        <v>3891</v>
      </c>
      <c r="O767" s="20" t="s">
        <v>3892</v>
      </c>
      <c r="P767" s="20" t="s">
        <v>3893</v>
      </c>
      <c r="Q767" s="21">
        <v>100</v>
      </c>
      <c r="R767" s="21">
        <v>110</v>
      </c>
      <c r="S767" s="21">
        <v>5</v>
      </c>
      <c r="T767" s="22">
        <v>0.87</v>
      </c>
      <c r="U767" s="13">
        <f t="shared" si="47"/>
        <v>-1.33</v>
      </c>
      <c r="V767" s="23">
        <v>106.58</v>
      </c>
      <c r="W767" s="23">
        <v>106.58</v>
      </c>
      <c r="X767" s="20">
        <v>110</v>
      </c>
      <c r="Y767" s="24" t="s">
        <v>3713</v>
      </c>
      <c r="Z767" s="16">
        <v>64.58</v>
      </c>
      <c r="AA767" s="17">
        <v>153.80000000000001</v>
      </c>
      <c r="AB767" s="25" t="s">
        <v>3714</v>
      </c>
    </row>
    <row r="768" spans="1:28" x14ac:dyDescent="0.45">
      <c r="A768" s="4" t="s">
        <v>1353</v>
      </c>
      <c r="B768" s="4" t="s">
        <v>5863</v>
      </c>
      <c r="C768" s="4" t="s">
        <v>1110</v>
      </c>
      <c r="D768" s="4" t="s">
        <v>1111</v>
      </c>
      <c r="E768" s="4" t="s">
        <v>96</v>
      </c>
      <c r="F768" s="5">
        <v>101.19</v>
      </c>
      <c r="G768" s="5">
        <v>108.25</v>
      </c>
      <c r="H768" s="4" t="s">
        <v>1156</v>
      </c>
      <c r="I768" s="10">
        <v>25</v>
      </c>
      <c r="J768" s="34">
        <f t="shared" si="44"/>
        <v>0.21749999999999997</v>
      </c>
      <c r="K768" s="34">
        <f t="shared" si="45"/>
        <v>0.33</v>
      </c>
      <c r="L768" s="34">
        <f t="shared" si="46"/>
        <v>1.32</v>
      </c>
      <c r="M768" s="11" t="s">
        <v>4183</v>
      </c>
      <c r="N768" s="11" t="s">
        <v>3891</v>
      </c>
      <c r="O768" s="11" t="s">
        <v>3892</v>
      </c>
      <c r="P768" s="11" t="s">
        <v>3893</v>
      </c>
      <c r="Q768" s="12">
        <v>101.092</v>
      </c>
      <c r="R768" s="12">
        <v>108.20399999999999</v>
      </c>
      <c r="S768" s="12">
        <v>3.556</v>
      </c>
      <c r="T768" s="13">
        <v>0.54</v>
      </c>
      <c r="U768" s="13">
        <f t="shared" si="47"/>
        <v>-0.78</v>
      </c>
      <c r="V768" s="14">
        <v>66.150000000000006</v>
      </c>
      <c r="W768" s="14">
        <v>66.150000000000006</v>
      </c>
      <c r="X768" s="11">
        <v>611</v>
      </c>
      <c r="Y768" s="15" t="s">
        <v>3737</v>
      </c>
      <c r="Z768" s="16">
        <v>41.150000000000013</v>
      </c>
      <c r="AA768" s="17">
        <v>164.6</v>
      </c>
      <c r="AB768" s="18" t="s">
        <v>3963</v>
      </c>
    </row>
    <row r="769" spans="1:28" x14ac:dyDescent="0.45">
      <c r="A769" s="2" t="s">
        <v>1354</v>
      </c>
      <c r="B769" s="2" t="s">
        <v>5864</v>
      </c>
      <c r="C769" s="2" t="s">
        <v>1110</v>
      </c>
      <c r="D769" s="2" t="s">
        <v>1111</v>
      </c>
      <c r="E769" s="2" t="s">
        <v>96</v>
      </c>
      <c r="F769" s="3">
        <v>101.27</v>
      </c>
      <c r="G769" s="3">
        <v>106.51</v>
      </c>
      <c r="H769" s="2" t="s">
        <v>1127</v>
      </c>
      <c r="I769" s="19">
        <v>20</v>
      </c>
      <c r="J769" s="34">
        <f t="shared" si="44"/>
        <v>0.17399999999999999</v>
      </c>
      <c r="K769" s="34">
        <f t="shared" si="45"/>
        <v>0.26</v>
      </c>
      <c r="L769" s="34">
        <f t="shared" si="46"/>
        <v>1.04</v>
      </c>
      <c r="M769" s="20" t="s">
        <v>4184</v>
      </c>
      <c r="N769" s="20" t="s">
        <v>3891</v>
      </c>
      <c r="O769" s="20" t="s">
        <v>3892</v>
      </c>
      <c r="P769" s="20" t="s">
        <v>3893</v>
      </c>
      <c r="Q769" s="21">
        <v>101.346</v>
      </c>
      <c r="R769" s="21">
        <v>106.426</v>
      </c>
      <c r="S769" s="21">
        <v>2.54</v>
      </c>
      <c r="T769" s="22">
        <v>0.42</v>
      </c>
      <c r="U769" s="13">
        <f t="shared" si="47"/>
        <v>-0.62000000000000011</v>
      </c>
      <c r="V769" s="23">
        <v>51.45</v>
      </c>
      <c r="W769" s="23">
        <v>51.45</v>
      </c>
      <c r="X769" s="20">
        <v>191</v>
      </c>
      <c r="Y769" s="24" t="s">
        <v>3737</v>
      </c>
      <c r="Z769" s="16">
        <v>31.45</v>
      </c>
      <c r="AA769" s="17">
        <v>157.30000000000001</v>
      </c>
      <c r="AB769" s="25" t="s">
        <v>4022</v>
      </c>
    </row>
    <row r="770" spans="1:28" x14ac:dyDescent="0.45">
      <c r="A770" s="4" t="s">
        <v>1355</v>
      </c>
      <c r="B770" s="4" t="s">
        <v>5865</v>
      </c>
      <c r="C770" s="4" t="s">
        <v>1110</v>
      </c>
      <c r="D770" s="4" t="s">
        <v>1111</v>
      </c>
      <c r="E770" s="4" t="s">
        <v>96</v>
      </c>
      <c r="F770" s="5">
        <v>104.14</v>
      </c>
      <c r="G770" s="5">
        <v>114.8</v>
      </c>
      <c r="H770" s="4" t="s">
        <v>1201</v>
      </c>
      <c r="I770" s="10">
        <v>44</v>
      </c>
      <c r="J770" s="34">
        <f t="shared" si="44"/>
        <v>0.38279999999999997</v>
      </c>
      <c r="K770" s="34">
        <f t="shared" si="45"/>
        <v>0.56999999999999995</v>
      </c>
      <c r="L770" s="34">
        <f t="shared" si="46"/>
        <v>2.2799999999999998</v>
      </c>
      <c r="M770" s="11" t="s">
        <v>4185</v>
      </c>
      <c r="N770" s="11" t="s">
        <v>3891</v>
      </c>
      <c r="O770" s="11" t="s">
        <v>3892</v>
      </c>
      <c r="P770" s="11" t="s">
        <v>3893</v>
      </c>
      <c r="Q770" s="12">
        <v>104.14</v>
      </c>
      <c r="R770" s="12">
        <v>114.80800000000001</v>
      </c>
      <c r="S770" s="12">
        <v>5.3339999999999996</v>
      </c>
      <c r="T770" s="13">
        <v>1.04</v>
      </c>
      <c r="U770" s="13">
        <f t="shared" si="47"/>
        <v>-1.2399999999999998</v>
      </c>
      <c r="V770" s="14">
        <v>127.4</v>
      </c>
      <c r="W770" s="14">
        <v>127.4</v>
      </c>
      <c r="X770" s="11">
        <v>1264</v>
      </c>
      <c r="Y770" s="15" t="s">
        <v>3737</v>
      </c>
      <c r="Z770" s="16">
        <v>83.4</v>
      </c>
      <c r="AA770" s="17">
        <v>189.5</v>
      </c>
      <c r="AB770" s="18" t="s">
        <v>4032</v>
      </c>
    </row>
    <row r="771" spans="1:28" x14ac:dyDescent="0.45">
      <c r="A771" s="2" t="s">
        <v>1356</v>
      </c>
      <c r="B771" s="2" t="s">
        <v>5866</v>
      </c>
      <c r="C771" s="2" t="s">
        <v>1110</v>
      </c>
      <c r="D771" s="2" t="s">
        <v>1111</v>
      </c>
      <c r="E771" s="2" t="s">
        <v>96</v>
      </c>
      <c r="F771" s="3">
        <v>104.2</v>
      </c>
      <c r="G771" s="3">
        <v>115.6</v>
      </c>
      <c r="H771" s="2" t="s">
        <v>1297</v>
      </c>
      <c r="I771" s="19">
        <v>61</v>
      </c>
      <c r="J771" s="34">
        <f t="shared" si="44"/>
        <v>0.53069999999999995</v>
      </c>
      <c r="K771" s="34">
        <f t="shared" si="45"/>
        <v>0.8</v>
      </c>
      <c r="L771" s="34">
        <f t="shared" si="46"/>
        <v>3.2</v>
      </c>
      <c r="M771" s="20" t="s">
        <v>4186</v>
      </c>
      <c r="N771" s="20" t="s">
        <v>3891</v>
      </c>
      <c r="O771" s="20" t="s">
        <v>3892</v>
      </c>
      <c r="P771" s="20" t="s">
        <v>3893</v>
      </c>
      <c r="Q771" s="21">
        <v>104.3</v>
      </c>
      <c r="R771" s="21">
        <v>115.7</v>
      </c>
      <c r="S771" s="21">
        <v>5.7</v>
      </c>
      <c r="T771" s="22">
        <v>0.97</v>
      </c>
      <c r="U771" s="13">
        <f t="shared" si="47"/>
        <v>-2.2300000000000004</v>
      </c>
      <c r="V771" s="23">
        <v>118.82</v>
      </c>
      <c r="W771" s="23">
        <v>118.82</v>
      </c>
      <c r="X771" s="20">
        <v>336</v>
      </c>
      <c r="Y771" s="24" t="s">
        <v>3713</v>
      </c>
      <c r="Z771" s="16">
        <v>57.819999999999993</v>
      </c>
      <c r="AA771" s="17">
        <v>94.8</v>
      </c>
      <c r="AB771" s="25" t="s">
        <v>4119</v>
      </c>
    </row>
    <row r="772" spans="1:28" x14ac:dyDescent="0.45">
      <c r="A772" s="4" t="s">
        <v>1357</v>
      </c>
      <c r="B772" s="4" t="s">
        <v>5867</v>
      </c>
      <c r="C772" s="4" t="s">
        <v>1110</v>
      </c>
      <c r="D772" s="4" t="s">
        <v>1111</v>
      </c>
      <c r="E772" s="4" t="s">
        <v>96</v>
      </c>
      <c r="F772" s="5">
        <v>104.4</v>
      </c>
      <c r="G772" s="5">
        <v>110.6</v>
      </c>
      <c r="H772" s="4" t="s">
        <v>1221</v>
      </c>
      <c r="I772" s="10">
        <v>39</v>
      </c>
      <c r="J772" s="34">
        <f t="shared" si="44"/>
        <v>0.33929999999999999</v>
      </c>
      <c r="K772" s="34">
        <f t="shared" si="45"/>
        <v>0.51</v>
      </c>
      <c r="L772" s="34">
        <f t="shared" si="46"/>
        <v>2.04</v>
      </c>
      <c r="M772" s="11" t="s">
        <v>4187</v>
      </c>
      <c r="N772" s="11" t="s">
        <v>3891</v>
      </c>
      <c r="O772" s="11" t="s">
        <v>3892</v>
      </c>
      <c r="P772" s="11" t="s">
        <v>3893</v>
      </c>
      <c r="Q772" s="12">
        <v>104.4</v>
      </c>
      <c r="R772" s="12">
        <v>110.6</v>
      </c>
      <c r="S772" s="12">
        <v>3.1</v>
      </c>
      <c r="T772" s="13">
        <v>0.83</v>
      </c>
      <c r="U772" s="13">
        <f t="shared" si="47"/>
        <v>-1.21</v>
      </c>
      <c r="V772" s="14">
        <v>101.68</v>
      </c>
      <c r="W772" s="14">
        <v>101.68</v>
      </c>
      <c r="X772" s="11">
        <v>479</v>
      </c>
      <c r="Y772" s="15" t="s">
        <v>3713</v>
      </c>
      <c r="Z772" s="16">
        <v>62.680000000000007</v>
      </c>
      <c r="AA772" s="17">
        <v>160.69999999999999</v>
      </c>
      <c r="AB772" s="18" t="s">
        <v>3714</v>
      </c>
    </row>
    <row r="773" spans="1:28" x14ac:dyDescent="0.45">
      <c r="A773" s="2" t="s">
        <v>1358</v>
      </c>
      <c r="B773" s="2" t="s">
        <v>5868</v>
      </c>
      <c r="C773" s="2" t="s">
        <v>1110</v>
      </c>
      <c r="D773" s="2" t="s">
        <v>1111</v>
      </c>
      <c r="E773" s="2" t="s">
        <v>96</v>
      </c>
      <c r="F773" s="3">
        <v>107.32</v>
      </c>
      <c r="G773" s="3">
        <v>117.98</v>
      </c>
      <c r="H773" s="2" t="s">
        <v>1201</v>
      </c>
      <c r="I773" s="19">
        <v>45</v>
      </c>
      <c r="J773" s="34">
        <f t="shared" ref="J773:J836" si="48">I773*0.0087</f>
        <v>0.39149999999999996</v>
      </c>
      <c r="K773" s="34">
        <f t="shared" ref="K773:K836" si="49">ROUND(J773*1.5,2)</f>
        <v>0.59</v>
      </c>
      <c r="L773" s="34">
        <f t="shared" ref="L773:L836" si="50">K773*4</f>
        <v>2.36</v>
      </c>
      <c r="M773" s="20" t="s">
        <v>4188</v>
      </c>
      <c r="N773" s="20" t="s">
        <v>3891</v>
      </c>
      <c r="O773" s="20" t="s">
        <v>3892</v>
      </c>
      <c r="P773" s="20" t="s">
        <v>3893</v>
      </c>
      <c r="Q773" s="21">
        <v>107.188</v>
      </c>
      <c r="R773" s="21">
        <v>117.85599999999999</v>
      </c>
      <c r="S773" s="21">
        <v>5.3339999999999996</v>
      </c>
      <c r="T773" s="22">
        <v>0.97</v>
      </c>
      <c r="U773" s="13">
        <f t="shared" ref="U773:U836" si="51">T773-L773</f>
        <v>-1.39</v>
      </c>
      <c r="V773" s="23">
        <v>118.82</v>
      </c>
      <c r="W773" s="23">
        <v>118.82</v>
      </c>
      <c r="X773" s="20">
        <v>1369</v>
      </c>
      <c r="Y773" s="24" t="s">
        <v>3737</v>
      </c>
      <c r="Z773" s="16">
        <v>73.819999999999993</v>
      </c>
      <c r="AA773" s="17">
        <v>164</v>
      </c>
      <c r="AB773" s="25" t="s">
        <v>4189</v>
      </c>
    </row>
    <row r="774" spans="1:28" x14ac:dyDescent="0.45">
      <c r="A774" s="4" t="s">
        <v>1359</v>
      </c>
      <c r="B774" s="4" t="s">
        <v>5869</v>
      </c>
      <c r="C774" s="4" t="s">
        <v>1110</v>
      </c>
      <c r="D774" s="4" t="s">
        <v>1111</v>
      </c>
      <c r="E774" s="4" t="s">
        <v>96</v>
      </c>
      <c r="F774" s="5">
        <v>107.54</v>
      </c>
      <c r="G774" s="5">
        <v>114.6</v>
      </c>
      <c r="H774" s="4" t="s">
        <v>1156</v>
      </c>
      <c r="I774" s="10">
        <v>27</v>
      </c>
      <c r="J774" s="34">
        <f t="shared" si="48"/>
        <v>0.2349</v>
      </c>
      <c r="K774" s="34">
        <f t="shared" si="49"/>
        <v>0.35</v>
      </c>
      <c r="L774" s="34">
        <f t="shared" si="50"/>
        <v>1.4</v>
      </c>
      <c r="M774" s="11" t="s">
        <v>4190</v>
      </c>
      <c r="N774" s="11" t="s">
        <v>3891</v>
      </c>
      <c r="O774" s="11" t="s">
        <v>3892</v>
      </c>
      <c r="P774" s="11" t="s">
        <v>3893</v>
      </c>
      <c r="Q774" s="12">
        <v>107.44199999999999</v>
      </c>
      <c r="R774" s="12">
        <v>114.554</v>
      </c>
      <c r="S774" s="12">
        <v>3.556</v>
      </c>
      <c r="T774" s="13">
        <v>0.57999999999999996</v>
      </c>
      <c r="U774" s="13">
        <f t="shared" si="51"/>
        <v>-0.82</v>
      </c>
      <c r="V774" s="14">
        <v>71.05</v>
      </c>
      <c r="W774" s="14">
        <v>71.05</v>
      </c>
      <c r="X774" s="11">
        <v>459</v>
      </c>
      <c r="Y774" s="15" t="s">
        <v>3737</v>
      </c>
      <c r="Z774" s="16">
        <v>44.05</v>
      </c>
      <c r="AA774" s="17">
        <v>163.1</v>
      </c>
      <c r="AB774" s="18" t="s">
        <v>3963</v>
      </c>
    </row>
    <row r="775" spans="1:28" x14ac:dyDescent="0.45">
      <c r="A775" s="2" t="s">
        <v>1360</v>
      </c>
      <c r="B775" s="2" t="s">
        <v>5870</v>
      </c>
      <c r="C775" s="2" t="s">
        <v>1110</v>
      </c>
      <c r="D775" s="2" t="s">
        <v>1111</v>
      </c>
      <c r="E775" s="2" t="s">
        <v>96</v>
      </c>
      <c r="F775" s="3">
        <v>107.62</v>
      </c>
      <c r="G775" s="3">
        <v>112.86</v>
      </c>
      <c r="H775" s="2" t="s">
        <v>1127</v>
      </c>
      <c r="I775" s="19">
        <v>22</v>
      </c>
      <c r="J775" s="34">
        <f t="shared" si="48"/>
        <v>0.19139999999999999</v>
      </c>
      <c r="K775" s="34">
        <f t="shared" si="49"/>
        <v>0.28999999999999998</v>
      </c>
      <c r="L775" s="34">
        <f t="shared" si="50"/>
        <v>1.1599999999999999</v>
      </c>
      <c r="M775" s="20" t="s">
        <v>4191</v>
      </c>
      <c r="N775" s="20" t="s">
        <v>3898</v>
      </c>
      <c r="O775" s="20" t="s">
        <v>3892</v>
      </c>
      <c r="P775" s="20" t="s">
        <v>3899</v>
      </c>
      <c r="Q775" s="21">
        <v>107.696</v>
      </c>
      <c r="R775" s="21">
        <v>112.776</v>
      </c>
      <c r="S775" s="21">
        <v>2.54</v>
      </c>
      <c r="T775" s="22">
        <v>1.52</v>
      </c>
      <c r="U775" s="13">
        <f t="shared" si="51"/>
        <v>0.3600000000000001</v>
      </c>
      <c r="V775" s="23">
        <v>186.2</v>
      </c>
      <c r="W775" s="23">
        <v>186.2</v>
      </c>
      <c r="X775" s="20">
        <v>8</v>
      </c>
      <c r="Y775" s="24" t="s">
        <v>3737</v>
      </c>
      <c r="Z775" s="16">
        <v>164.2</v>
      </c>
      <c r="AA775" s="17">
        <v>746.4</v>
      </c>
      <c r="AB775" s="25" t="s">
        <v>4022</v>
      </c>
    </row>
    <row r="776" spans="1:28" x14ac:dyDescent="0.45">
      <c r="A776" s="4" t="s">
        <v>1361</v>
      </c>
      <c r="B776" s="4" t="s">
        <v>5871</v>
      </c>
      <c r="C776" s="4" t="s">
        <v>1110</v>
      </c>
      <c r="D776" s="4" t="s">
        <v>1111</v>
      </c>
      <c r="E776" s="4" t="s">
        <v>96</v>
      </c>
      <c r="F776" s="5">
        <v>109.4</v>
      </c>
      <c r="G776" s="5">
        <v>115.6</v>
      </c>
      <c r="H776" s="4" t="s">
        <v>1221</v>
      </c>
      <c r="I776" s="10">
        <v>40</v>
      </c>
      <c r="J776" s="34">
        <f t="shared" si="48"/>
        <v>0.34799999999999998</v>
      </c>
      <c r="K776" s="34">
        <f t="shared" si="49"/>
        <v>0.52</v>
      </c>
      <c r="L776" s="34">
        <f t="shared" si="50"/>
        <v>2.08</v>
      </c>
      <c r="M776" s="11" t="s">
        <v>4192</v>
      </c>
      <c r="N776" s="11" t="s">
        <v>3891</v>
      </c>
      <c r="O776" s="11" t="s">
        <v>3892</v>
      </c>
      <c r="P776" s="11" t="s">
        <v>3893</v>
      </c>
      <c r="Q776" s="12">
        <v>109.4</v>
      </c>
      <c r="R776" s="12">
        <v>115.6</v>
      </c>
      <c r="S776" s="12">
        <v>3.1</v>
      </c>
      <c r="T776" s="13">
        <v>0.57999999999999996</v>
      </c>
      <c r="U776" s="13">
        <f t="shared" si="51"/>
        <v>-1.5</v>
      </c>
      <c r="V776" s="14">
        <v>71.05</v>
      </c>
      <c r="W776" s="14">
        <v>71.05</v>
      </c>
      <c r="X776" s="11">
        <v>36</v>
      </c>
      <c r="Y776" s="15" t="s">
        <v>3713</v>
      </c>
      <c r="Z776" s="16">
        <v>31.05</v>
      </c>
      <c r="AA776" s="17">
        <v>77.599999999999994</v>
      </c>
      <c r="AB776" s="18" t="s">
        <v>3714</v>
      </c>
    </row>
    <row r="777" spans="1:28" x14ac:dyDescent="0.45">
      <c r="A777" s="2" t="s">
        <v>1362</v>
      </c>
      <c r="B777" s="2" t="s">
        <v>5872</v>
      </c>
      <c r="C777" s="2" t="s">
        <v>1110</v>
      </c>
      <c r="D777" s="2" t="s">
        <v>1111</v>
      </c>
      <c r="E777" s="2" t="s">
        <v>96</v>
      </c>
      <c r="F777" s="3">
        <v>110.49</v>
      </c>
      <c r="G777" s="3">
        <v>121.15</v>
      </c>
      <c r="H777" s="2" t="s">
        <v>1201</v>
      </c>
      <c r="I777" s="19">
        <v>45</v>
      </c>
      <c r="J777" s="34">
        <f t="shared" si="48"/>
        <v>0.39149999999999996</v>
      </c>
      <c r="K777" s="34">
        <f t="shared" si="49"/>
        <v>0.59</v>
      </c>
      <c r="L777" s="34">
        <f t="shared" si="50"/>
        <v>2.36</v>
      </c>
      <c r="M777" s="20" t="s">
        <v>4193</v>
      </c>
      <c r="N777" s="20" t="s">
        <v>3898</v>
      </c>
      <c r="O777" s="20" t="s">
        <v>3892</v>
      </c>
      <c r="P777" s="20" t="s">
        <v>3899</v>
      </c>
      <c r="Q777" s="21">
        <v>110.49</v>
      </c>
      <c r="R777" s="21">
        <v>121.158</v>
      </c>
      <c r="S777" s="21">
        <v>5.3339999999999996</v>
      </c>
      <c r="T777" s="22">
        <v>1.2</v>
      </c>
      <c r="U777" s="13">
        <f t="shared" si="51"/>
        <v>-1.1599999999999999</v>
      </c>
      <c r="V777" s="23">
        <v>147</v>
      </c>
      <c r="W777" s="23">
        <v>147</v>
      </c>
      <c r="X777" s="20">
        <v>10</v>
      </c>
      <c r="Y777" s="24" t="s">
        <v>3737</v>
      </c>
      <c r="Z777" s="16">
        <v>102</v>
      </c>
      <c r="AA777" s="17">
        <v>226.7</v>
      </c>
      <c r="AB777" s="25" t="s">
        <v>4032</v>
      </c>
    </row>
    <row r="778" spans="1:28" x14ac:dyDescent="0.45">
      <c r="A778" s="4" t="s">
        <v>1363</v>
      </c>
      <c r="B778" s="4" t="s">
        <v>5873</v>
      </c>
      <c r="C778" s="4" t="s">
        <v>1110</v>
      </c>
      <c r="D778" s="4" t="s">
        <v>1111</v>
      </c>
      <c r="E778" s="4" t="s">
        <v>96</v>
      </c>
      <c r="F778" s="5">
        <v>110.72</v>
      </c>
      <c r="G778" s="5">
        <v>117.78</v>
      </c>
      <c r="H778" s="4" t="s">
        <v>1156</v>
      </c>
      <c r="I778" s="10">
        <v>29</v>
      </c>
      <c r="J778" s="34">
        <f t="shared" si="48"/>
        <v>0.25229999999999997</v>
      </c>
      <c r="K778" s="34">
        <f t="shared" si="49"/>
        <v>0.38</v>
      </c>
      <c r="L778" s="34">
        <f t="shared" si="50"/>
        <v>1.52</v>
      </c>
      <c r="M778" s="11" t="s">
        <v>4194</v>
      </c>
      <c r="N778" s="11" t="s">
        <v>3891</v>
      </c>
      <c r="O778" s="11" t="s">
        <v>3892</v>
      </c>
      <c r="P778" s="11" t="s">
        <v>3893</v>
      </c>
      <c r="Q778" s="12">
        <v>110.744</v>
      </c>
      <c r="R778" s="12">
        <v>117.85599999999999</v>
      </c>
      <c r="S778" s="12">
        <v>3.556</v>
      </c>
      <c r="T778" s="13">
        <v>0.61</v>
      </c>
      <c r="U778" s="13">
        <f t="shared" si="51"/>
        <v>-0.91</v>
      </c>
      <c r="V778" s="14">
        <v>74.72</v>
      </c>
      <c r="W778" s="14">
        <v>74.72</v>
      </c>
      <c r="X778" s="11">
        <v>123</v>
      </c>
      <c r="Y778" s="15" t="s">
        <v>3737</v>
      </c>
      <c r="Z778" s="16">
        <v>45.72</v>
      </c>
      <c r="AA778" s="17">
        <v>157.69999999999999</v>
      </c>
      <c r="AB778" s="18" t="s">
        <v>3945</v>
      </c>
    </row>
    <row r="779" spans="1:28" x14ac:dyDescent="0.45">
      <c r="A779" s="2" t="s">
        <v>1364</v>
      </c>
      <c r="B779" s="2" t="s">
        <v>5874</v>
      </c>
      <c r="C779" s="2" t="s">
        <v>1110</v>
      </c>
      <c r="D779" s="2" t="s">
        <v>1111</v>
      </c>
      <c r="E779" s="2" t="s">
        <v>96</v>
      </c>
      <c r="F779" s="3">
        <v>110</v>
      </c>
      <c r="G779" s="3">
        <v>118</v>
      </c>
      <c r="H779" s="2" t="s">
        <v>1216</v>
      </c>
      <c r="I779" s="19">
        <v>42</v>
      </c>
      <c r="J779" s="34">
        <f t="shared" si="48"/>
        <v>0.36539999999999995</v>
      </c>
      <c r="K779" s="34">
        <f t="shared" si="49"/>
        <v>0.55000000000000004</v>
      </c>
      <c r="L779" s="34">
        <f t="shared" si="50"/>
        <v>2.2000000000000002</v>
      </c>
      <c r="M779" s="20" t="s">
        <v>4195</v>
      </c>
      <c r="N779" s="20" t="s">
        <v>3891</v>
      </c>
      <c r="O779" s="20" t="s">
        <v>3892</v>
      </c>
      <c r="P779" s="20" t="s">
        <v>3893</v>
      </c>
      <c r="Q779" s="21">
        <v>110</v>
      </c>
      <c r="R779" s="21">
        <v>118</v>
      </c>
      <c r="S779" s="21">
        <v>4</v>
      </c>
      <c r="T779" s="22">
        <v>0.6</v>
      </c>
      <c r="U779" s="13">
        <f t="shared" si="51"/>
        <v>-1.6</v>
      </c>
      <c r="V779" s="23">
        <v>73.5</v>
      </c>
      <c r="W779" s="23">
        <v>73.5</v>
      </c>
      <c r="X779" s="20" t="s">
        <v>3722</v>
      </c>
      <c r="Y779" s="24" t="s">
        <v>3713</v>
      </c>
      <c r="Z779" s="16">
        <v>31.5</v>
      </c>
      <c r="AA779" s="17">
        <v>75</v>
      </c>
      <c r="AB779" s="25" t="s">
        <v>3714</v>
      </c>
    </row>
    <row r="780" spans="1:28" x14ac:dyDescent="0.45">
      <c r="A780" s="4" t="s">
        <v>1365</v>
      </c>
      <c r="B780" s="4" t="s">
        <v>5875</v>
      </c>
      <c r="C780" s="4" t="s">
        <v>1110</v>
      </c>
      <c r="D780" s="4" t="s">
        <v>1111</v>
      </c>
      <c r="E780" s="4" t="s">
        <v>96</v>
      </c>
      <c r="F780" s="5">
        <v>110</v>
      </c>
      <c r="G780" s="5">
        <v>120</v>
      </c>
      <c r="H780" s="4" t="s">
        <v>1245</v>
      </c>
      <c r="I780" s="10">
        <v>45</v>
      </c>
      <c r="J780" s="34">
        <f t="shared" si="48"/>
        <v>0.39149999999999996</v>
      </c>
      <c r="K780" s="34">
        <f t="shared" si="49"/>
        <v>0.59</v>
      </c>
      <c r="L780" s="34">
        <f t="shared" si="50"/>
        <v>2.36</v>
      </c>
      <c r="M780" s="11" t="s">
        <v>4196</v>
      </c>
      <c r="N780" s="11" t="s">
        <v>3891</v>
      </c>
      <c r="O780" s="11" t="s">
        <v>3892</v>
      </c>
      <c r="P780" s="11" t="s">
        <v>3893</v>
      </c>
      <c r="Q780" s="12">
        <v>110</v>
      </c>
      <c r="R780" s="12">
        <v>120</v>
      </c>
      <c r="S780" s="12">
        <v>5</v>
      </c>
      <c r="T780" s="13">
        <v>0.98</v>
      </c>
      <c r="U780" s="13">
        <f t="shared" si="51"/>
        <v>-1.38</v>
      </c>
      <c r="V780" s="14">
        <v>120.05</v>
      </c>
      <c r="W780" s="14">
        <v>120.05</v>
      </c>
      <c r="X780" s="11">
        <v>41</v>
      </c>
      <c r="Y780" s="15" t="s">
        <v>3713</v>
      </c>
      <c r="Z780" s="16">
        <v>75.05</v>
      </c>
      <c r="AA780" s="17">
        <v>166.8</v>
      </c>
      <c r="AB780" s="18" t="s">
        <v>3714</v>
      </c>
    </row>
    <row r="781" spans="1:28" x14ac:dyDescent="0.45">
      <c r="A781" s="2" t="s">
        <v>1366</v>
      </c>
      <c r="B781" s="2" t="s">
        <v>5876</v>
      </c>
      <c r="C781" s="2" t="s">
        <v>1110</v>
      </c>
      <c r="D781" s="2" t="s">
        <v>1111</v>
      </c>
      <c r="E781" s="2" t="s">
        <v>96</v>
      </c>
      <c r="F781" s="3">
        <v>113.67</v>
      </c>
      <c r="G781" s="3">
        <v>124.33</v>
      </c>
      <c r="H781" s="2" t="s">
        <v>1201</v>
      </c>
      <c r="I781" s="19">
        <v>47</v>
      </c>
      <c r="J781" s="34">
        <f t="shared" si="48"/>
        <v>0.40889999999999999</v>
      </c>
      <c r="K781" s="34">
        <f t="shared" si="49"/>
        <v>0.61</v>
      </c>
      <c r="L781" s="34">
        <f t="shared" si="50"/>
        <v>2.44</v>
      </c>
      <c r="M781" s="20" t="s">
        <v>4197</v>
      </c>
      <c r="N781" s="20" t="s">
        <v>3891</v>
      </c>
      <c r="O781" s="20" t="s">
        <v>3892</v>
      </c>
      <c r="P781" s="20" t="s">
        <v>3893</v>
      </c>
      <c r="Q781" s="21">
        <v>113.538</v>
      </c>
      <c r="R781" s="21">
        <v>124.206</v>
      </c>
      <c r="S781" s="21">
        <v>5.3339999999999996</v>
      </c>
      <c r="T781" s="22">
        <v>1</v>
      </c>
      <c r="U781" s="13">
        <f t="shared" si="51"/>
        <v>-1.44</v>
      </c>
      <c r="V781" s="23">
        <v>122.5</v>
      </c>
      <c r="W781" s="23">
        <v>122.5</v>
      </c>
      <c r="X781" s="20">
        <v>193</v>
      </c>
      <c r="Y781" s="24" t="s">
        <v>3737</v>
      </c>
      <c r="Z781" s="16">
        <v>75.5</v>
      </c>
      <c r="AA781" s="17">
        <v>160.6</v>
      </c>
      <c r="AB781" s="25" t="s">
        <v>4189</v>
      </c>
    </row>
    <row r="782" spans="1:28" x14ac:dyDescent="0.45">
      <c r="A782" s="4" t="s">
        <v>1367</v>
      </c>
      <c r="B782" s="4" t="s">
        <v>5877</v>
      </c>
      <c r="C782" s="4" t="s">
        <v>1110</v>
      </c>
      <c r="D782" s="4" t="s">
        <v>1111</v>
      </c>
      <c r="E782" s="4" t="s">
        <v>96</v>
      </c>
      <c r="F782" s="5">
        <v>113.67</v>
      </c>
      <c r="G782" s="5">
        <v>127.65</v>
      </c>
      <c r="H782" s="4" t="s">
        <v>1368</v>
      </c>
      <c r="I782" s="10">
        <v>74</v>
      </c>
      <c r="J782" s="34">
        <f t="shared" si="48"/>
        <v>0.64379999999999993</v>
      </c>
      <c r="K782" s="34">
        <f t="shared" si="49"/>
        <v>0.97</v>
      </c>
      <c r="L782" s="34">
        <f t="shared" si="50"/>
        <v>3.88</v>
      </c>
      <c r="M782" s="11" t="s">
        <v>4198</v>
      </c>
      <c r="N782" s="11" t="s">
        <v>3891</v>
      </c>
      <c r="O782" s="11" t="s">
        <v>3892</v>
      </c>
      <c r="P782" s="11" t="s">
        <v>3893</v>
      </c>
      <c r="Q782" s="12">
        <v>113.538</v>
      </c>
      <c r="R782" s="12">
        <v>127.762</v>
      </c>
      <c r="S782" s="12">
        <v>7.1120000000000001</v>
      </c>
      <c r="T782" s="13">
        <v>1.55</v>
      </c>
      <c r="U782" s="13">
        <f t="shared" si="51"/>
        <v>-2.33</v>
      </c>
      <c r="V782" s="14">
        <v>189.88</v>
      </c>
      <c r="W782" s="14">
        <v>189.88</v>
      </c>
      <c r="X782" s="11">
        <v>321</v>
      </c>
      <c r="Y782" s="15" t="s">
        <v>3737</v>
      </c>
      <c r="Z782" s="16">
        <v>115.88</v>
      </c>
      <c r="AA782" s="17">
        <v>156.6</v>
      </c>
      <c r="AB782" s="18" t="s">
        <v>4199</v>
      </c>
    </row>
    <row r="783" spans="1:28" x14ac:dyDescent="0.45">
      <c r="A783" s="2" t="s">
        <v>1369</v>
      </c>
      <c r="B783" s="2" t="s">
        <v>5878</v>
      </c>
      <c r="C783" s="2" t="s">
        <v>1110</v>
      </c>
      <c r="D783" s="2" t="s">
        <v>1111</v>
      </c>
      <c r="E783" s="2" t="s">
        <v>96</v>
      </c>
      <c r="F783" s="3">
        <v>113.89</v>
      </c>
      <c r="G783" s="3">
        <v>120.95</v>
      </c>
      <c r="H783" s="2" t="s">
        <v>1156</v>
      </c>
      <c r="I783" s="19">
        <v>30</v>
      </c>
      <c r="J783" s="34">
        <f t="shared" si="48"/>
        <v>0.26100000000000001</v>
      </c>
      <c r="K783" s="34">
        <f t="shared" si="49"/>
        <v>0.39</v>
      </c>
      <c r="L783" s="34">
        <f t="shared" si="50"/>
        <v>1.56</v>
      </c>
      <c r="M783" s="20" t="s">
        <v>4200</v>
      </c>
      <c r="N783" s="20" t="s">
        <v>3898</v>
      </c>
      <c r="O783" s="20" t="s">
        <v>3892</v>
      </c>
      <c r="P783" s="20" t="s">
        <v>3899</v>
      </c>
      <c r="Q783" s="21">
        <v>113.792</v>
      </c>
      <c r="R783" s="21">
        <v>120.904</v>
      </c>
      <c r="S783" s="21">
        <v>3.556</v>
      </c>
      <c r="T783" s="22">
        <v>0.8</v>
      </c>
      <c r="U783" s="13">
        <f t="shared" si="51"/>
        <v>-0.76</v>
      </c>
      <c r="V783" s="23">
        <v>98</v>
      </c>
      <c r="W783" s="23">
        <v>98</v>
      </c>
      <c r="X783" s="20">
        <v>25</v>
      </c>
      <c r="Y783" s="24" t="s">
        <v>3737</v>
      </c>
      <c r="Z783" s="16">
        <v>68</v>
      </c>
      <c r="AA783" s="17">
        <v>226.7</v>
      </c>
      <c r="AB783" s="25" t="s">
        <v>3963</v>
      </c>
    </row>
    <row r="784" spans="1:28" x14ac:dyDescent="0.45">
      <c r="A784" s="4" t="s">
        <v>1370</v>
      </c>
      <c r="B784" s="4" t="s">
        <v>5879</v>
      </c>
      <c r="C784" s="4" t="s">
        <v>1110</v>
      </c>
      <c r="D784" s="4" t="s">
        <v>1111</v>
      </c>
      <c r="E784" s="4" t="s">
        <v>96</v>
      </c>
      <c r="F784" s="5">
        <v>113.97</v>
      </c>
      <c r="G784" s="5">
        <v>119.21</v>
      </c>
      <c r="H784" s="4" t="s">
        <v>1127</v>
      </c>
      <c r="I784" s="10">
        <v>23</v>
      </c>
      <c r="J784" s="34">
        <f t="shared" si="48"/>
        <v>0.2001</v>
      </c>
      <c r="K784" s="34">
        <f t="shared" si="49"/>
        <v>0.3</v>
      </c>
      <c r="L784" s="34">
        <f t="shared" si="50"/>
        <v>1.2</v>
      </c>
      <c r="M784" s="11" t="s">
        <v>4201</v>
      </c>
      <c r="N784" s="11" t="s">
        <v>3891</v>
      </c>
      <c r="O784" s="11" t="s">
        <v>3892</v>
      </c>
      <c r="P784" s="11" t="s">
        <v>3893</v>
      </c>
      <c r="Q784" s="12">
        <v>114.04600000000001</v>
      </c>
      <c r="R784" s="12">
        <v>119.126</v>
      </c>
      <c r="S784" s="12">
        <v>2.54</v>
      </c>
      <c r="T784" s="13">
        <v>0.5</v>
      </c>
      <c r="U784" s="13">
        <f t="shared" si="51"/>
        <v>-0.7</v>
      </c>
      <c r="V784" s="14">
        <v>61.25</v>
      </c>
      <c r="W784" s="14">
        <v>61.25</v>
      </c>
      <c r="X784" s="11">
        <v>313</v>
      </c>
      <c r="Y784" s="15" t="s">
        <v>3737</v>
      </c>
      <c r="Z784" s="16">
        <v>38.25</v>
      </c>
      <c r="AA784" s="17">
        <v>166.3</v>
      </c>
      <c r="AB784" s="18" t="s">
        <v>4022</v>
      </c>
    </row>
    <row r="785" spans="1:28" x14ac:dyDescent="0.45">
      <c r="A785" s="2" t="s">
        <v>1371</v>
      </c>
      <c r="B785" s="2" t="s">
        <v>5880</v>
      </c>
      <c r="C785" s="2" t="s">
        <v>1110</v>
      </c>
      <c r="D785" s="2" t="s">
        <v>1111</v>
      </c>
      <c r="E785" s="2" t="s">
        <v>96</v>
      </c>
      <c r="F785" s="3">
        <v>114.02</v>
      </c>
      <c r="G785" s="3">
        <v>117.58</v>
      </c>
      <c r="H785" s="2" t="s">
        <v>1114</v>
      </c>
      <c r="I785" s="19">
        <v>17</v>
      </c>
      <c r="J785" s="34">
        <f t="shared" si="48"/>
        <v>0.14789999999999998</v>
      </c>
      <c r="K785" s="34">
        <f t="shared" si="49"/>
        <v>0.22</v>
      </c>
      <c r="L785" s="34">
        <f t="shared" si="50"/>
        <v>0.88</v>
      </c>
      <c r="M785" s="20" t="s">
        <v>4202</v>
      </c>
      <c r="N785" s="20" t="s">
        <v>3891</v>
      </c>
      <c r="O785" s="20" t="s">
        <v>3892</v>
      </c>
      <c r="P785" s="20" t="s">
        <v>3893</v>
      </c>
      <c r="Q785" s="21">
        <v>114.04600000000001</v>
      </c>
      <c r="R785" s="21">
        <v>117.602</v>
      </c>
      <c r="S785" s="21">
        <v>1.778</v>
      </c>
      <c r="T785" s="22">
        <v>0.49</v>
      </c>
      <c r="U785" s="13">
        <f t="shared" si="51"/>
        <v>-0.39</v>
      </c>
      <c r="V785" s="23">
        <v>60.02</v>
      </c>
      <c r="W785" s="23">
        <v>60.02</v>
      </c>
      <c r="X785" s="20">
        <v>170</v>
      </c>
      <c r="Y785" s="24" t="s">
        <v>3737</v>
      </c>
      <c r="Z785" s="16">
        <v>43.02</v>
      </c>
      <c r="AA785" s="17">
        <v>253.1</v>
      </c>
      <c r="AB785" s="25" t="s">
        <v>3967</v>
      </c>
    </row>
    <row r="786" spans="1:28" x14ac:dyDescent="0.45">
      <c r="A786" s="4" t="s">
        <v>1372</v>
      </c>
      <c r="B786" s="4" t="s">
        <v>5881</v>
      </c>
      <c r="C786" s="4" t="s">
        <v>1110</v>
      </c>
      <c r="D786" s="4" t="s">
        <v>1111</v>
      </c>
      <c r="E786" s="4" t="s">
        <v>96</v>
      </c>
      <c r="F786" s="5">
        <v>114.4</v>
      </c>
      <c r="G786" s="5">
        <v>120.6</v>
      </c>
      <c r="H786" s="4" t="s">
        <v>1221</v>
      </c>
      <c r="I786" s="10">
        <v>42</v>
      </c>
      <c r="J786" s="34">
        <f t="shared" si="48"/>
        <v>0.36539999999999995</v>
      </c>
      <c r="K786" s="34">
        <f t="shared" si="49"/>
        <v>0.55000000000000004</v>
      </c>
      <c r="L786" s="34">
        <f t="shared" si="50"/>
        <v>2.2000000000000002</v>
      </c>
      <c r="M786" s="11" t="s">
        <v>4203</v>
      </c>
      <c r="N786" s="11" t="s">
        <v>3891</v>
      </c>
      <c r="O786" s="11" t="s">
        <v>3892</v>
      </c>
      <c r="P786" s="11" t="s">
        <v>3893</v>
      </c>
      <c r="Q786" s="12">
        <v>114.4</v>
      </c>
      <c r="R786" s="12">
        <v>120.6</v>
      </c>
      <c r="S786" s="12">
        <v>3.1</v>
      </c>
      <c r="T786" s="13">
        <v>2</v>
      </c>
      <c r="U786" s="13">
        <f t="shared" si="51"/>
        <v>-0.20000000000000018</v>
      </c>
      <c r="V786" s="14">
        <v>245</v>
      </c>
      <c r="W786" s="14">
        <v>245</v>
      </c>
      <c r="X786" s="11">
        <v>29</v>
      </c>
      <c r="Y786" s="15" t="s">
        <v>3713</v>
      </c>
      <c r="Z786" s="16">
        <v>203</v>
      </c>
      <c r="AA786" s="17">
        <v>483.3</v>
      </c>
      <c r="AB786" s="18" t="s">
        <v>3714</v>
      </c>
    </row>
    <row r="787" spans="1:28" x14ac:dyDescent="0.45">
      <c r="A787" s="2" t="s">
        <v>1373</v>
      </c>
      <c r="B787" s="2" t="s">
        <v>5882</v>
      </c>
      <c r="C787" s="2" t="s">
        <v>1110</v>
      </c>
      <c r="D787" s="2" t="s">
        <v>1111</v>
      </c>
      <c r="E787" s="2" t="s">
        <v>96</v>
      </c>
      <c r="F787" s="3">
        <v>115</v>
      </c>
      <c r="G787" s="3">
        <v>125</v>
      </c>
      <c r="H787" s="2" t="s">
        <v>1245</v>
      </c>
      <c r="I787" s="19">
        <v>47</v>
      </c>
      <c r="J787" s="34">
        <f t="shared" si="48"/>
        <v>0.40889999999999999</v>
      </c>
      <c r="K787" s="34">
        <f t="shared" si="49"/>
        <v>0.61</v>
      </c>
      <c r="L787" s="34">
        <f t="shared" si="50"/>
        <v>2.44</v>
      </c>
      <c r="M787" s="20" t="s">
        <v>4204</v>
      </c>
      <c r="N787" s="20" t="s">
        <v>3891</v>
      </c>
      <c r="O787" s="20" t="s">
        <v>3892</v>
      </c>
      <c r="P787" s="20" t="s">
        <v>3893</v>
      </c>
      <c r="Q787" s="21">
        <v>115</v>
      </c>
      <c r="R787" s="21">
        <v>125</v>
      </c>
      <c r="S787" s="21">
        <v>5</v>
      </c>
      <c r="T787" s="22">
        <v>0.85</v>
      </c>
      <c r="U787" s="13">
        <f t="shared" si="51"/>
        <v>-1.5899999999999999</v>
      </c>
      <c r="V787" s="23">
        <v>104.12</v>
      </c>
      <c r="W787" s="23">
        <v>104.12</v>
      </c>
      <c r="X787" s="20">
        <v>54</v>
      </c>
      <c r="Y787" s="24" t="s">
        <v>3713</v>
      </c>
      <c r="Z787" s="16">
        <v>57.12</v>
      </c>
      <c r="AA787" s="17">
        <v>121.5</v>
      </c>
      <c r="AB787" s="25" t="s">
        <v>3714</v>
      </c>
    </row>
    <row r="788" spans="1:28" x14ac:dyDescent="0.45">
      <c r="A788" s="4" t="s">
        <v>1374</v>
      </c>
      <c r="B788" s="4" t="s">
        <v>5883</v>
      </c>
      <c r="C788" s="4" t="s">
        <v>1110</v>
      </c>
      <c r="D788" s="4" t="s">
        <v>1111</v>
      </c>
      <c r="E788" s="4" t="s">
        <v>96</v>
      </c>
      <c r="F788" s="5">
        <v>116.84</v>
      </c>
      <c r="G788" s="5">
        <v>127.5</v>
      </c>
      <c r="H788" s="4" t="s">
        <v>1201</v>
      </c>
      <c r="I788" s="10">
        <v>49</v>
      </c>
      <c r="J788" s="34">
        <f t="shared" si="48"/>
        <v>0.42629999999999996</v>
      </c>
      <c r="K788" s="34">
        <f t="shared" si="49"/>
        <v>0.64</v>
      </c>
      <c r="L788" s="34">
        <f t="shared" si="50"/>
        <v>2.56</v>
      </c>
      <c r="M788" s="11" t="s">
        <v>4205</v>
      </c>
      <c r="N788" s="11" t="s">
        <v>3891</v>
      </c>
      <c r="O788" s="11" t="s">
        <v>3892</v>
      </c>
      <c r="P788" s="11" t="s">
        <v>3893</v>
      </c>
      <c r="Q788" s="12">
        <v>116.84</v>
      </c>
      <c r="R788" s="12">
        <v>127.508</v>
      </c>
      <c r="S788" s="12">
        <v>5.3339999999999996</v>
      </c>
      <c r="T788" s="13">
        <v>1.01</v>
      </c>
      <c r="U788" s="13">
        <f t="shared" si="51"/>
        <v>-1.55</v>
      </c>
      <c r="V788" s="14">
        <v>123.72</v>
      </c>
      <c r="W788" s="14">
        <v>123.72</v>
      </c>
      <c r="X788" s="11">
        <v>311</v>
      </c>
      <c r="Y788" s="15" t="s">
        <v>3737</v>
      </c>
      <c r="Z788" s="16">
        <v>74.72</v>
      </c>
      <c r="AA788" s="17">
        <v>152.5</v>
      </c>
      <c r="AB788" s="18" t="s">
        <v>4032</v>
      </c>
    </row>
    <row r="789" spans="1:28" x14ac:dyDescent="0.45">
      <c r="A789" s="2" t="s">
        <v>1375</v>
      </c>
      <c r="B789" s="2" t="s">
        <v>5884</v>
      </c>
      <c r="C789" s="2" t="s">
        <v>1110</v>
      </c>
      <c r="D789" s="2" t="s">
        <v>1111</v>
      </c>
      <c r="E789" s="2" t="s">
        <v>96</v>
      </c>
      <c r="F789" s="3">
        <v>116.84</v>
      </c>
      <c r="G789" s="3">
        <v>130.82</v>
      </c>
      <c r="H789" s="2" t="s">
        <v>1368</v>
      </c>
      <c r="I789" s="19">
        <v>79</v>
      </c>
      <c r="J789" s="34">
        <f t="shared" si="48"/>
        <v>0.68729999999999991</v>
      </c>
      <c r="K789" s="34">
        <f t="shared" si="49"/>
        <v>1.03</v>
      </c>
      <c r="L789" s="34">
        <f t="shared" si="50"/>
        <v>4.12</v>
      </c>
      <c r="M789" s="20" t="s">
        <v>4206</v>
      </c>
      <c r="N789" s="20" t="s">
        <v>3891</v>
      </c>
      <c r="O789" s="20" t="s">
        <v>3892</v>
      </c>
      <c r="P789" s="20" t="s">
        <v>3893</v>
      </c>
      <c r="Q789" s="21">
        <v>116.84</v>
      </c>
      <c r="R789" s="21">
        <v>130.81</v>
      </c>
      <c r="S789" s="21">
        <v>7.1120000000000001</v>
      </c>
      <c r="T789" s="22">
        <v>1.62</v>
      </c>
      <c r="U789" s="13">
        <f t="shared" si="51"/>
        <v>-2.5</v>
      </c>
      <c r="V789" s="23">
        <v>198.45</v>
      </c>
      <c r="W789" s="23">
        <v>198.45</v>
      </c>
      <c r="X789" s="20">
        <v>164</v>
      </c>
      <c r="Y789" s="24" t="s">
        <v>3737</v>
      </c>
      <c r="Z789" s="16">
        <v>119.45</v>
      </c>
      <c r="AA789" s="17">
        <v>151.19999999999999</v>
      </c>
      <c r="AB789" s="25" t="s">
        <v>4032</v>
      </c>
    </row>
    <row r="790" spans="1:28" x14ac:dyDescent="0.45">
      <c r="A790" s="4" t="s">
        <v>1376</v>
      </c>
      <c r="B790" s="4" t="s">
        <v>5885</v>
      </c>
      <c r="C790" s="4" t="s">
        <v>1110</v>
      </c>
      <c r="D790" s="4" t="s">
        <v>1111</v>
      </c>
      <c r="E790" s="4" t="s">
        <v>96</v>
      </c>
      <c r="F790" s="5">
        <v>117.07</v>
      </c>
      <c r="G790" s="5">
        <v>124.13</v>
      </c>
      <c r="H790" s="4" t="s">
        <v>1156</v>
      </c>
      <c r="I790" s="10">
        <v>30</v>
      </c>
      <c r="J790" s="34">
        <f t="shared" si="48"/>
        <v>0.26100000000000001</v>
      </c>
      <c r="K790" s="34">
        <f t="shared" si="49"/>
        <v>0.39</v>
      </c>
      <c r="L790" s="34">
        <f t="shared" si="50"/>
        <v>1.56</v>
      </c>
      <c r="M790" s="11" t="s">
        <v>4207</v>
      </c>
      <c r="N790" s="11" t="s">
        <v>3891</v>
      </c>
      <c r="O790" s="11" t="s">
        <v>3892</v>
      </c>
      <c r="P790" s="11" t="s">
        <v>3893</v>
      </c>
      <c r="Q790" s="12">
        <v>117.09399999999999</v>
      </c>
      <c r="R790" s="12">
        <v>124.206</v>
      </c>
      <c r="S790" s="12">
        <v>3.556</v>
      </c>
      <c r="T790" s="13">
        <v>0.66</v>
      </c>
      <c r="U790" s="13">
        <f t="shared" si="51"/>
        <v>-0.9</v>
      </c>
      <c r="V790" s="14">
        <v>80.849999999999994</v>
      </c>
      <c r="W790" s="14">
        <v>80.849999999999994</v>
      </c>
      <c r="X790" s="11">
        <v>447</v>
      </c>
      <c r="Y790" s="15" t="s">
        <v>3737</v>
      </c>
      <c r="Z790" s="16">
        <v>50.849999999999987</v>
      </c>
      <c r="AA790" s="17">
        <v>169.5</v>
      </c>
      <c r="AB790" s="18" t="s">
        <v>3945</v>
      </c>
    </row>
    <row r="791" spans="1:28" x14ac:dyDescent="0.45">
      <c r="A791" s="2" t="s">
        <v>1377</v>
      </c>
      <c r="B791" s="2" t="s">
        <v>5886</v>
      </c>
      <c r="C791" s="2" t="s">
        <v>1110</v>
      </c>
      <c r="D791" s="2" t="s">
        <v>1111</v>
      </c>
      <c r="E791" s="2" t="s">
        <v>96</v>
      </c>
      <c r="F791" s="3">
        <v>117</v>
      </c>
      <c r="G791" s="3">
        <v>125</v>
      </c>
      <c r="H791" s="2" t="s">
        <v>1216</v>
      </c>
      <c r="I791" s="19">
        <v>42</v>
      </c>
      <c r="J791" s="34">
        <f t="shared" si="48"/>
        <v>0.36539999999999995</v>
      </c>
      <c r="K791" s="34">
        <f t="shared" si="49"/>
        <v>0.55000000000000004</v>
      </c>
      <c r="L791" s="34">
        <f t="shared" si="50"/>
        <v>2.2000000000000002</v>
      </c>
      <c r="M791" s="20" t="s">
        <v>4208</v>
      </c>
      <c r="N791" s="20" t="s">
        <v>3891</v>
      </c>
      <c r="O791" s="20" t="s">
        <v>3892</v>
      </c>
      <c r="P791" s="20" t="s">
        <v>3893</v>
      </c>
      <c r="Q791" s="21">
        <v>117</v>
      </c>
      <c r="R791" s="21">
        <v>125</v>
      </c>
      <c r="S791" s="21">
        <v>4</v>
      </c>
      <c r="T791" s="22">
        <v>1</v>
      </c>
      <c r="U791" s="13">
        <f t="shared" si="51"/>
        <v>-1.2000000000000002</v>
      </c>
      <c r="V791" s="23">
        <v>122.5</v>
      </c>
      <c r="W791" s="23">
        <v>122.5</v>
      </c>
      <c r="X791" s="20">
        <v>130</v>
      </c>
      <c r="Y791" s="24" t="s">
        <v>3713</v>
      </c>
      <c r="Z791" s="16">
        <v>80.5</v>
      </c>
      <c r="AA791" s="17">
        <v>191.7</v>
      </c>
      <c r="AB791" s="25" t="s">
        <v>3714</v>
      </c>
    </row>
    <row r="792" spans="1:28" x14ac:dyDescent="0.45">
      <c r="A792" s="4" t="s">
        <v>1378</v>
      </c>
      <c r="B792" s="4" t="s">
        <v>5887</v>
      </c>
      <c r="C792" s="4" t="s">
        <v>1110</v>
      </c>
      <c r="D792" s="4" t="s">
        <v>1111</v>
      </c>
      <c r="E792" s="4" t="s">
        <v>96</v>
      </c>
      <c r="F792" s="5">
        <v>119.4</v>
      </c>
      <c r="G792" s="5">
        <v>125.6</v>
      </c>
      <c r="H792" s="4" t="s">
        <v>1221</v>
      </c>
      <c r="I792" s="10">
        <v>45</v>
      </c>
      <c r="J792" s="34">
        <f t="shared" si="48"/>
        <v>0.39149999999999996</v>
      </c>
      <c r="K792" s="34">
        <f t="shared" si="49"/>
        <v>0.59</v>
      </c>
      <c r="L792" s="34">
        <f t="shared" si="50"/>
        <v>2.36</v>
      </c>
      <c r="M792" s="11" t="s">
        <v>4209</v>
      </c>
      <c r="N792" s="11" t="s">
        <v>3891</v>
      </c>
      <c r="O792" s="11" t="s">
        <v>3892</v>
      </c>
      <c r="P792" s="11" t="s">
        <v>3893</v>
      </c>
      <c r="Q792" s="12">
        <v>119.4</v>
      </c>
      <c r="R792" s="12">
        <v>125.6</v>
      </c>
      <c r="S792" s="12">
        <v>3.1</v>
      </c>
      <c r="T792" s="13">
        <v>0.93</v>
      </c>
      <c r="U792" s="13">
        <f t="shared" si="51"/>
        <v>-1.4299999999999997</v>
      </c>
      <c r="V792" s="14">
        <v>113.93</v>
      </c>
      <c r="W792" s="14">
        <v>113.93</v>
      </c>
      <c r="X792" s="11">
        <v>57</v>
      </c>
      <c r="Y792" s="15" t="s">
        <v>3713</v>
      </c>
      <c r="Z792" s="16">
        <v>68.930000000000007</v>
      </c>
      <c r="AA792" s="17">
        <v>153.19999999999999</v>
      </c>
      <c r="AB792" s="18" t="s">
        <v>3714</v>
      </c>
    </row>
    <row r="793" spans="1:28" x14ac:dyDescent="0.45">
      <c r="A793" s="2" t="s">
        <v>1379</v>
      </c>
      <c r="B793" s="2" t="s">
        <v>5888</v>
      </c>
      <c r="C793" s="2" t="s">
        <v>1110</v>
      </c>
      <c r="D793" s="2" t="s">
        <v>1111</v>
      </c>
      <c r="E793" s="2" t="s">
        <v>96</v>
      </c>
      <c r="F793" s="3">
        <v>120.02</v>
      </c>
      <c r="G793" s="3">
        <v>130.68</v>
      </c>
      <c r="H793" s="2" t="s">
        <v>1201</v>
      </c>
      <c r="I793" s="19">
        <v>50</v>
      </c>
      <c r="J793" s="34">
        <f t="shared" si="48"/>
        <v>0.43499999999999994</v>
      </c>
      <c r="K793" s="34">
        <f t="shared" si="49"/>
        <v>0.65</v>
      </c>
      <c r="L793" s="34">
        <f t="shared" si="50"/>
        <v>2.6</v>
      </c>
      <c r="M793" s="20" t="s">
        <v>4210</v>
      </c>
      <c r="N793" s="20" t="s">
        <v>3891</v>
      </c>
      <c r="O793" s="20" t="s">
        <v>3892</v>
      </c>
      <c r="P793" s="20" t="s">
        <v>3893</v>
      </c>
      <c r="Q793" s="21">
        <v>119.88800000000001</v>
      </c>
      <c r="R793" s="21">
        <v>130.55600000000001</v>
      </c>
      <c r="S793" s="21">
        <v>5.3339999999999996</v>
      </c>
      <c r="T793" s="22">
        <v>0.99</v>
      </c>
      <c r="U793" s="13">
        <f t="shared" si="51"/>
        <v>-1.61</v>
      </c>
      <c r="V793" s="23">
        <v>121.28</v>
      </c>
      <c r="W793" s="23">
        <v>121.28</v>
      </c>
      <c r="X793" s="20">
        <v>45</v>
      </c>
      <c r="Y793" s="24" t="s">
        <v>3737</v>
      </c>
      <c r="Z793" s="16">
        <v>71.28</v>
      </c>
      <c r="AA793" s="17">
        <v>142.6</v>
      </c>
      <c r="AB793" s="25" t="s">
        <v>4189</v>
      </c>
    </row>
    <row r="794" spans="1:28" x14ac:dyDescent="0.45">
      <c r="A794" s="4" t="s">
        <v>1380</v>
      </c>
      <c r="B794" s="4" t="s">
        <v>5889</v>
      </c>
      <c r="C794" s="4" t="s">
        <v>1110</v>
      </c>
      <c r="D794" s="4" t="s">
        <v>1111</v>
      </c>
      <c r="E794" s="4" t="s">
        <v>96</v>
      </c>
      <c r="F794" s="5">
        <v>120.02</v>
      </c>
      <c r="G794" s="5">
        <v>134</v>
      </c>
      <c r="H794" s="4" t="s">
        <v>1368</v>
      </c>
      <c r="I794" s="10">
        <v>81</v>
      </c>
      <c r="J794" s="34">
        <f t="shared" si="48"/>
        <v>0.70469999999999999</v>
      </c>
      <c r="K794" s="34">
        <f t="shared" si="49"/>
        <v>1.06</v>
      </c>
      <c r="L794" s="34">
        <f t="shared" si="50"/>
        <v>4.24</v>
      </c>
      <c r="M794" s="11" t="s">
        <v>4211</v>
      </c>
      <c r="N794" s="11" t="s">
        <v>3891</v>
      </c>
      <c r="O794" s="11" t="s">
        <v>3892</v>
      </c>
      <c r="P794" s="11" t="s">
        <v>3893</v>
      </c>
      <c r="Q794" s="12">
        <v>119.88800000000001</v>
      </c>
      <c r="R794" s="12">
        <v>134.11199999999999</v>
      </c>
      <c r="S794" s="12">
        <v>7.1120000000000001</v>
      </c>
      <c r="T794" s="13">
        <v>1.7</v>
      </c>
      <c r="U794" s="13">
        <f t="shared" si="51"/>
        <v>-2.54</v>
      </c>
      <c r="V794" s="14">
        <v>208.25</v>
      </c>
      <c r="W794" s="14">
        <v>208.25</v>
      </c>
      <c r="X794" s="11">
        <v>165</v>
      </c>
      <c r="Y794" s="15" t="s">
        <v>3737</v>
      </c>
      <c r="Z794" s="16">
        <v>127.25</v>
      </c>
      <c r="AA794" s="17">
        <v>157.1</v>
      </c>
      <c r="AB794" s="18" t="s">
        <v>4199</v>
      </c>
    </row>
    <row r="795" spans="1:28" x14ac:dyDescent="0.45">
      <c r="A795" s="2" t="s">
        <v>1381</v>
      </c>
      <c r="B795" s="2" t="s">
        <v>5890</v>
      </c>
      <c r="C795" s="2" t="s">
        <v>1110</v>
      </c>
      <c r="D795" s="2" t="s">
        <v>1111</v>
      </c>
      <c r="E795" s="2" t="s">
        <v>96</v>
      </c>
      <c r="F795" s="3">
        <v>120.24</v>
      </c>
      <c r="G795" s="3">
        <v>127.3</v>
      </c>
      <c r="H795" s="2" t="s">
        <v>1156</v>
      </c>
      <c r="I795" s="19">
        <v>32</v>
      </c>
      <c r="J795" s="34">
        <f t="shared" si="48"/>
        <v>0.27839999999999998</v>
      </c>
      <c r="K795" s="34">
        <f t="shared" si="49"/>
        <v>0.42</v>
      </c>
      <c r="L795" s="34">
        <f t="shared" si="50"/>
        <v>1.68</v>
      </c>
      <c r="M795" s="20" t="s">
        <v>4212</v>
      </c>
      <c r="N795" s="20" t="s">
        <v>3891</v>
      </c>
      <c r="O795" s="20" t="s">
        <v>3892</v>
      </c>
      <c r="P795" s="20" t="s">
        <v>3893</v>
      </c>
      <c r="Q795" s="21">
        <v>120.142</v>
      </c>
      <c r="R795" s="21">
        <v>127.254</v>
      </c>
      <c r="S795" s="21">
        <v>3.556</v>
      </c>
      <c r="T795" s="22">
        <v>0.7</v>
      </c>
      <c r="U795" s="13">
        <f t="shared" si="51"/>
        <v>-0.98</v>
      </c>
      <c r="V795" s="23">
        <v>85.75</v>
      </c>
      <c r="W795" s="23">
        <v>85.75</v>
      </c>
      <c r="X795" s="20">
        <v>697</v>
      </c>
      <c r="Y795" s="24" t="s">
        <v>3737</v>
      </c>
      <c r="Z795" s="16">
        <v>53.75</v>
      </c>
      <c r="AA795" s="17">
        <v>168</v>
      </c>
      <c r="AB795" s="25" t="s">
        <v>3963</v>
      </c>
    </row>
    <row r="796" spans="1:28" x14ac:dyDescent="0.45">
      <c r="A796" s="4" t="s">
        <v>1382</v>
      </c>
      <c r="B796" s="4" t="s">
        <v>5891</v>
      </c>
      <c r="C796" s="4" t="s">
        <v>1110</v>
      </c>
      <c r="D796" s="4" t="s">
        <v>1111</v>
      </c>
      <c r="E796" s="4" t="s">
        <v>96</v>
      </c>
      <c r="F796" s="5">
        <v>120.32</v>
      </c>
      <c r="G796" s="5">
        <v>125.56</v>
      </c>
      <c r="H796" s="4" t="s">
        <v>1127</v>
      </c>
      <c r="I796" s="10">
        <v>25</v>
      </c>
      <c r="J796" s="34">
        <f t="shared" si="48"/>
        <v>0.21749999999999997</v>
      </c>
      <c r="K796" s="34">
        <f t="shared" si="49"/>
        <v>0.33</v>
      </c>
      <c r="L796" s="34">
        <f t="shared" si="50"/>
        <v>1.32</v>
      </c>
      <c r="M796" s="11" t="s">
        <v>4213</v>
      </c>
      <c r="N796" s="11" t="s">
        <v>3891</v>
      </c>
      <c r="O796" s="11" t="s">
        <v>3892</v>
      </c>
      <c r="P796" s="11" t="s">
        <v>3893</v>
      </c>
      <c r="Q796" s="12">
        <v>120.396</v>
      </c>
      <c r="R796" s="12">
        <v>125.476</v>
      </c>
      <c r="S796" s="12">
        <v>2.54</v>
      </c>
      <c r="T796" s="13">
        <v>0.66</v>
      </c>
      <c r="U796" s="13">
        <f t="shared" si="51"/>
        <v>-0.66</v>
      </c>
      <c r="V796" s="14">
        <v>80.849999999999994</v>
      </c>
      <c r="W796" s="14">
        <v>80.849999999999994</v>
      </c>
      <c r="X796" s="11">
        <v>438</v>
      </c>
      <c r="Y796" s="15" t="s">
        <v>3737</v>
      </c>
      <c r="Z796" s="16">
        <v>55.849999999999987</v>
      </c>
      <c r="AA796" s="17">
        <v>223.4</v>
      </c>
      <c r="AB796" s="18" t="s">
        <v>4022</v>
      </c>
    </row>
    <row r="797" spans="1:28" x14ac:dyDescent="0.45">
      <c r="A797" s="2" t="s">
        <v>1383</v>
      </c>
      <c r="B797" s="2" t="s">
        <v>5892</v>
      </c>
      <c r="C797" s="2" t="s">
        <v>1110</v>
      </c>
      <c r="D797" s="2" t="s">
        <v>1111</v>
      </c>
      <c r="E797" s="2" t="s">
        <v>96</v>
      </c>
      <c r="F797" s="3">
        <v>120</v>
      </c>
      <c r="G797" s="3">
        <v>130</v>
      </c>
      <c r="H797" s="2" t="s">
        <v>1245</v>
      </c>
      <c r="I797" s="19">
        <v>52</v>
      </c>
      <c r="J797" s="34">
        <f t="shared" si="48"/>
        <v>0.45239999999999997</v>
      </c>
      <c r="K797" s="34">
        <f t="shared" si="49"/>
        <v>0.68</v>
      </c>
      <c r="L797" s="34">
        <f t="shared" si="50"/>
        <v>2.72</v>
      </c>
      <c r="M797" s="20" t="s">
        <v>4214</v>
      </c>
      <c r="N797" s="20" t="s">
        <v>3891</v>
      </c>
      <c r="O797" s="20" t="s">
        <v>3892</v>
      </c>
      <c r="P797" s="20" t="s">
        <v>3893</v>
      </c>
      <c r="Q797" s="21">
        <v>120</v>
      </c>
      <c r="R797" s="21">
        <v>130</v>
      </c>
      <c r="S797" s="21">
        <v>5</v>
      </c>
      <c r="T797" s="22">
        <v>1.08</v>
      </c>
      <c r="U797" s="13">
        <f t="shared" si="51"/>
        <v>-1.6400000000000001</v>
      </c>
      <c r="V797" s="23">
        <v>132.30000000000001</v>
      </c>
      <c r="W797" s="23">
        <v>132.30000000000001</v>
      </c>
      <c r="X797" s="20">
        <v>80</v>
      </c>
      <c r="Y797" s="24" t="s">
        <v>3713</v>
      </c>
      <c r="Z797" s="16">
        <v>80.300000000000011</v>
      </c>
      <c r="AA797" s="17">
        <v>154.4</v>
      </c>
      <c r="AB797" s="25" t="s">
        <v>3714</v>
      </c>
    </row>
    <row r="798" spans="1:28" x14ac:dyDescent="0.45">
      <c r="A798" s="4" t="s">
        <v>1384</v>
      </c>
      <c r="B798" s="4" t="s">
        <v>5893</v>
      </c>
      <c r="C798" s="4" t="s">
        <v>1110</v>
      </c>
      <c r="D798" s="4" t="s">
        <v>1111</v>
      </c>
      <c r="E798" s="4" t="s">
        <v>96</v>
      </c>
      <c r="F798" s="5">
        <v>123.19</v>
      </c>
      <c r="G798" s="5">
        <v>133.85</v>
      </c>
      <c r="H798" s="4" t="s">
        <v>1201</v>
      </c>
      <c r="I798" s="10">
        <v>50</v>
      </c>
      <c r="J798" s="34">
        <f t="shared" si="48"/>
        <v>0.43499999999999994</v>
      </c>
      <c r="K798" s="34">
        <f t="shared" si="49"/>
        <v>0.65</v>
      </c>
      <c r="L798" s="34">
        <f t="shared" si="50"/>
        <v>2.6</v>
      </c>
      <c r="M798" s="11" t="s">
        <v>4215</v>
      </c>
      <c r="N798" s="11" t="s">
        <v>3898</v>
      </c>
      <c r="O798" s="11" t="s">
        <v>3892</v>
      </c>
      <c r="P798" s="11" t="s">
        <v>3899</v>
      </c>
      <c r="Q798" s="12">
        <v>123.19</v>
      </c>
      <c r="R798" s="12">
        <v>133.858</v>
      </c>
      <c r="S798" s="12">
        <v>5.3339999999999996</v>
      </c>
      <c r="T798" s="13">
        <v>1.95</v>
      </c>
      <c r="U798" s="13">
        <f t="shared" si="51"/>
        <v>-0.65000000000000013</v>
      </c>
      <c r="V798" s="14">
        <v>238.88</v>
      </c>
      <c r="W798" s="14">
        <v>238.88</v>
      </c>
      <c r="X798" s="11">
        <v>16</v>
      </c>
      <c r="Y798" s="15" t="s">
        <v>3737</v>
      </c>
      <c r="Z798" s="16">
        <v>188.88</v>
      </c>
      <c r="AA798" s="17">
        <v>377.8</v>
      </c>
      <c r="AB798" s="18" t="s">
        <v>4032</v>
      </c>
    </row>
    <row r="799" spans="1:28" x14ac:dyDescent="0.45">
      <c r="A799" s="2" t="s">
        <v>1385</v>
      </c>
      <c r="B799" s="2" t="s">
        <v>5894</v>
      </c>
      <c r="C799" s="2" t="s">
        <v>1110</v>
      </c>
      <c r="D799" s="2" t="s">
        <v>1111</v>
      </c>
      <c r="E799" s="2" t="s">
        <v>96</v>
      </c>
      <c r="F799" s="3">
        <v>123.19</v>
      </c>
      <c r="G799" s="3">
        <v>137.16999999999999</v>
      </c>
      <c r="H799" s="2" t="s">
        <v>1368</v>
      </c>
      <c r="I799" s="19">
        <v>82</v>
      </c>
      <c r="J799" s="34">
        <f t="shared" si="48"/>
        <v>0.71339999999999992</v>
      </c>
      <c r="K799" s="34">
        <f t="shared" si="49"/>
        <v>1.07</v>
      </c>
      <c r="L799" s="34">
        <f t="shared" si="50"/>
        <v>4.28</v>
      </c>
      <c r="M799" s="20" t="s">
        <v>4216</v>
      </c>
      <c r="N799" s="20" t="s">
        <v>3891</v>
      </c>
      <c r="O799" s="20" t="s">
        <v>3892</v>
      </c>
      <c r="P799" s="20" t="s">
        <v>3893</v>
      </c>
      <c r="Q799" s="21">
        <v>123.19</v>
      </c>
      <c r="R799" s="21">
        <v>137.16</v>
      </c>
      <c r="S799" s="21">
        <v>7.1120000000000001</v>
      </c>
      <c r="T799" s="22">
        <v>1.82</v>
      </c>
      <c r="U799" s="13">
        <f t="shared" si="51"/>
        <v>-2.46</v>
      </c>
      <c r="V799" s="23">
        <v>222.95</v>
      </c>
      <c r="W799" s="23">
        <v>222.95</v>
      </c>
      <c r="X799" s="20">
        <v>121</v>
      </c>
      <c r="Y799" s="24" t="s">
        <v>3737</v>
      </c>
      <c r="Z799" s="16">
        <v>140.94999999999999</v>
      </c>
      <c r="AA799" s="17">
        <v>171.9</v>
      </c>
      <c r="AB799" s="25" t="s">
        <v>4032</v>
      </c>
    </row>
    <row r="800" spans="1:28" x14ac:dyDescent="0.45">
      <c r="A800" s="4" t="s">
        <v>1386</v>
      </c>
      <c r="B800" s="4" t="s">
        <v>5895</v>
      </c>
      <c r="C800" s="4" t="s">
        <v>1110</v>
      </c>
      <c r="D800" s="4" t="s">
        <v>1111</v>
      </c>
      <c r="E800" s="4" t="s">
        <v>96</v>
      </c>
      <c r="F800" s="5">
        <v>123.42</v>
      </c>
      <c r="G800" s="5">
        <v>130.47999999999999</v>
      </c>
      <c r="H800" s="4" t="s">
        <v>1156</v>
      </c>
      <c r="I800" s="10">
        <v>32</v>
      </c>
      <c r="J800" s="34">
        <f t="shared" si="48"/>
        <v>0.27839999999999998</v>
      </c>
      <c r="K800" s="34">
        <f t="shared" si="49"/>
        <v>0.42</v>
      </c>
      <c r="L800" s="34">
        <f t="shared" si="50"/>
        <v>1.68</v>
      </c>
      <c r="M800" s="11" t="s">
        <v>4217</v>
      </c>
      <c r="N800" s="11" t="s">
        <v>3891</v>
      </c>
      <c r="O800" s="11" t="s">
        <v>3892</v>
      </c>
      <c r="P800" s="11" t="s">
        <v>3893</v>
      </c>
      <c r="Q800" s="12">
        <v>123.444</v>
      </c>
      <c r="R800" s="12">
        <v>130.55600000000001</v>
      </c>
      <c r="S800" s="12">
        <v>3.556</v>
      </c>
      <c r="T800" s="13">
        <v>0.79</v>
      </c>
      <c r="U800" s="13">
        <f t="shared" si="51"/>
        <v>-0.8899999999999999</v>
      </c>
      <c r="V800" s="14">
        <v>96.78</v>
      </c>
      <c r="W800" s="14">
        <v>96.78</v>
      </c>
      <c r="X800" s="11">
        <v>488</v>
      </c>
      <c r="Y800" s="15" t="s">
        <v>3737</v>
      </c>
      <c r="Z800" s="16">
        <v>64.78</v>
      </c>
      <c r="AA800" s="17">
        <v>202.4</v>
      </c>
      <c r="AB800" s="18" t="s">
        <v>3945</v>
      </c>
    </row>
    <row r="801" spans="1:28" x14ac:dyDescent="0.45">
      <c r="A801" s="2" t="s">
        <v>1387</v>
      </c>
      <c r="B801" s="2" t="s">
        <v>5896</v>
      </c>
      <c r="C801" s="2" t="s">
        <v>1110</v>
      </c>
      <c r="D801" s="2" t="s">
        <v>1111</v>
      </c>
      <c r="E801" s="2" t="s">
        <v>96</v>
      </c>
      <c r="F801" s="3">
        <v>124.2</v>
      </c>
      <c r="G801" s="3">
        <v>135.6</v>
      </c>
      <c r="H801" s="2" t="s">
        <v>1297</v>
      </c>
      <c r="I801" s="19">
        <v>74</v>
      </c>
      <c r="J801" s="34">
        <f t="shared" si="48"/>
        <v>0.64379999999999993</v>
      </c>
      <c r="K801" s="34">
        <f t="shared" si="49"/>
        <v>0.97</v>
      </c>
      <c r="L801" s="34">
        <f t="shared" si="50"/>
        <v>3.88</v>
      </c>
      <c r="M801" s="20" t="s">
        <v>4218</v>
      </c>
      <c r="N801" s="20" t="s">
        <v>3891</v>
      </c>
      <c r="O801" s="20" t="s">
        <v>3892</v>
      </c>
      <c r="P801" s="20" t="s">
        <v>3893</v>
      </c>
      <c r="Q801" s="21">
        <v>124.3</v>
      </c>
      <c r="R801" s="21">
        <v>135.69999999999999</v>
      </c>
      <c r="S801" s="21">
        <v>5.7</v>
      </c>
      <c r="T801" s="22">
        <v>1.23</v>
      </c>
      <c r="U801" s="13">
        <f t="shared" si="51"/>
        <v>-2.65</v>
      </c>
      <c r="V801" s="23">
        <v>150.68</v>
      </c>
      <c r="W801" s="23">
        <v>150.68</v>
      </c>
      <c r="X801" s="20">
        <v>144</v>
      </c>
      <c r="Y801" s="24" t="s">
        <v>3713</v>
      </c>
      <c r="Z801" s="16">
        <v>76.680000000000007</v>
      </c>
      <c r="AA801" s="17">
        <v>103.6</v>
      </c>
      <c r="AB801" s="25" t="s">
        <v>4119</v>
      </c>
    </row>
    <row r="802" spans="1:28" x14ac:dyDescent="0.45">
      <c r="A802" s="4" t="s">
        <v>1388</v>
      </c>
      <c r="B802" s="4" t="s">
        <v>5897</v>
      </c>
      <c r="C802" s="4" t="s">
        <v>1110</v>
      </c>
      <c r="D802" s="4" t="s">
        <v>1111</v>
      </c>
      <c r="E802" s="4" t="s">
        <v>96</v>
      </c>
      <c r="F802" s="5">
        <v>126.37</v>
      </c>
      <c r="G802" s="5">
        <v>137.03</v>
      </c>
      <c r="H802" s="4" t="s">
        <v>1201</v>
      </c>
      <c r="I802" s="10">
        <v>54</v>
      </c>
      <c r="J802" s="34">
        <f t="shared" si="48"/>
        <v>0.4698</v>
      </c>
      <c r="K802" s="34">
        <f t="shared" si="49"/>
        <v>0.7</v>
      </c>
      <c r="L802" s="34">
        <f t="shared" si="50"/>
        <v>2.8</v>
      </c>
      <c r="M802" s="11" t="s">
        <v>4219</v>
      </c>
      <c r="N802" s="11" t="s">
        <v>3891</v>
      </c>
      <c r="O802" s="11" t="s">
        <v>3892</v>
      </c>
      <c r="P802" s="11" t="s">
        <v>3893</v>
      </c>
      <c r="Q802" s="12">
        <v>126.238</v>
      </c>
      <c r="R802" s="12">
        <v>136.90600000000001</v>
      </c>
      <c r="S802" s="12">
        <v>5.3339999999999996</v>
      </c>
      <c r="T802" s="13">
        <v>1.3</v>
      </c>
      <c r="U802" s="13">
        <f t="shared" si="51"/>
        <v>-1.4999999999999998</v>
      </c>
      <c r="V802" s="14">
        <v>159.25</v>
      </c>
      <c r="W802" s="14">
        <v>159.25</v>
      </c>
      <c r="X802" s="11">
        <v>113</v>
      </c>
      <c r="Y802" s="15" t="s">
        <v>3737</v>
      </c>
      <c r="Z802" s="16">
        <v>105.25</v>
      </c>
      <c r="AA802" s="17">
        <v>194.9</v>
      </c>
      <c r="AB802" s="18" t="s">
        <v>4189</v>
      </c>
    </row>
    <row r="803" spans="1:28" x14ac:dyDescent="0.45">
      <c r="A803" s="2" t="s">
        <v>1389</v>
      </c>
      <c r="B803" s="2" t="s">
        <v>5898</v>
      </c>
      <c r="C803" s="2" t="s">
        <v>1110</v>
      </c>
      <c r="D803" s="2" t="s">
        <v>1111</v>
      </c>
      <c r="E803" s="2" t="s">
        <v>96</v>
      </c>
      <c r="F803" s="3">
        <v>126.37</v>
      </c>
      <c r="G803" s="3">
        <v>140.35</v>
      </c>
      <c r="H803" s="2" t="s">
        <v>1368</v>
      </c>
      <c r="I803" s="19">
        <v>84</v>
      </c>
      <c r="J803" s="34">
        <f t="shared" si="48"/>
        <v>0.73079999999999989</v>
      </c>
      <c r="K803" s="34">
        <f t="shared" si="49"/>
        <v>1.1000000000000001</v>
      </c>
      <c r="L803" s="34">
        <f t="shared" si="50"/>
        <v>4.4000000000000004</v>
      </c>
      <c r="M803" s="20" t="s">
        <v>4220</v>
      </c>
      <c r="N803" s="20" t="s">
        <v>3891</v>
      </c>
      <c r="O803" s="20" t="s">
        <v>3892</v>
      </c>
      <c r="P803" s="20" t="s">
        <v>3893</v>
      </c>
      <c r="Q803" s="21">
        <v>126.238</v>
      </c>
      <c r="R803" s="21">
        <v>140.46199999999999</v>
      </c>
      <c r="S803" s="21">
        <v>7.1120000000000001</v>
      </c>
      <c r="T803" s="22">
        <v>2.02</v>
      </c>
      <c r="U803" s="13">
        <f t="shared" si="51"/>
        <v>-2.3800000000000003</v>
      </c>
      <c r="V803" s="23">
        <v>247.45</v>
      </c>
      <c r="W803" s="23">
        <v>247.45</v>
      </c>
      <c r="X803" s="20">
        <v>291</v>
      </c>
      <c r="Y803" s="24" t="s">
        <v>3737</v>
      </c>
      <c r="Z803" s="16">
        <v>163.44999999999999</v>
      </c>
      <c r="AA803" s="17">
        <v>194.6</v>
      </c>
      <c r="AB803" s="25" t="s">
        <v>4199</v>
      </c>
    </row>
    <row r="804" spans="1:28" x14ac:dyDescent="0.45">
      <c r="A804" s="4" t="s">
        <v>1390</v>
      </c>
      <c r="B804" s="4" t="s">
        <v>5899</v>
      </c>
      <c r="C804" s="4" t="s">
        <v>1110</v>
      </c>
      <c r="D804" s="4" t="s">
        <v>1111</v>
      </c>
      <c r="E804" s="4" t="s">
        <v>96</v>
      </c>
      <c r="F804" s="5">
        <v>126.59</v>
      </c>
      <c r="G804" s="5">
        <v>133.65</v>
      </c>
      <c r="H804" s="4" t="s">
        <v>1156</v>
      </c>
      <c r="I804" s="10">
        <v>34</v>
      </c>
      <c r="J804" s="34">
        <f t="shared" si="48"/>
        <v>0.29579999999999995</v>
      </c>
      <c r="K804" s="34">
        <f t="shared" si="49"/>
        <v>0.44</v>
      </c>
      <c r="L804" s="34">
        <f t="shared" si="50"/>
        <v>1.76</v>
      </c>
      <c r="M804" s="11" t="s">
        <v>4221</v>
      </c>
      <c r="N804" s="11" t="s">
        <v>3891</v>
      </c>
      <c r="O804" s="11" t="s">
        <v>3892</v>
      </c>
      <c r="P804" s="11" t="s">
        <v>3893</v>
      </c>
      <c r="Q804" s="12">
        <v>126.492</v>
      </c>
      <c r="R804" s="12">
        <v>133.60400000000001</v>
      </c>
      <c r="S804" s="12">
        <v>3.556</v>
      </c>
      <c r="T804" s="13">
        <v>0.82</v>
      </c>
      <c r="U804" s="13">
        <f t="shared" si="51"/>
        <v>-0.94000000000000006</v>
      </c>
      <c r="V804" s="14">
        <v>100.45</v>
      </c>
      <c r="W804" s="14">
        <v>100.45</v>
      </c>
      <c r="X804" s="11">
        <v>810</v>
      </c>
      <c r="Y804" s="15" t="s">
        <v>3737</v>
      </c>
      <c r="Z804" s="16">
        <v>66.45</v>
      </c>
      <c r="AA804" s="17">
        <v>195.4</v>
      </c>
      <c r="AB804" s="18" t="s">
        <v>3963</v>
      </c>
    </row>
    <row r="805" spans="1:28" x14ac:dyDescent="0.45">
      <c r="A805" s="2" t="s">
        <v>1391</v>
      </c>
      <c r="B805" s="2" t="s">
        <v>5900</v>
      </c>
      <c r="C805" s="2" t="s">
        <v>1110</v>
      </c>
      <c r="D805" s="2" t="s">
        <v>1111</v>
      </c>
      <c r="E805" s="2" t="s">
        <v>96</v>
      </c>
      <c r="F805" s="3">
        <v>126.67</v>
      </c>
      <c r="G805" s="3">
        <v>131.91</v>
      </c>
      <c r="H805" s="2" t="s">
        <v>1127</v>
      </c>
      <c r="I805" s="19">
        <v>25</v>
      </c>
      <c r="J805" s="34">
        <f t="shared" si="48"/>
        <v>0.21749999999999997</v>
      </c>
      <c r="K805" s="34">
        <f t="shared" si="49"/>
        <v>0.33</v>
      </c>
      <c r="L805" s="34">
        <f t="shared" si="50"/>
        <v>1.32</v>
      </c>
      <c r="M805" s="20" t="s">
        <v>4222</v>
      </c>
      <c r="N805" s="20" t="s">
        <v>3891</v>
      </c>
      <c r="O805" s="20" t="s">
        <v>3892</v>
      </c>
      <c r="P805" s="20" t="s">
        <v>3893</v>
      </c>
      <c r="Q805" s="21">
        <v>126.746</v>
      </c>
      <c r="R805" s="21">
        <v>131.82599999999999</v>
      </c>
      <c r="S805" s="21">
        <v>2.54</v>
      </c>
      <c r="T805" s="22">
        <v>0.56999999999999995</v>
      </c>
      <c r="U805" s="13">
        <f t="shared" si="51"/>
        <v>-0.75000000000000011</v>
      </c>
      <c r="V805" s="23">
        <v>69.819999999999993</v>
      </c>
      <c r="W805" s="23">
        <v>69.819999999999993</v>
      </c>
      <c r="X805" s="20">
        <v>71</v>
      </c>
      <c r="Y805" s="24" t="s">
        <v>3737</v>
      </c>
      <c r="Z805" s="16">
        <v>44.819999999999993</v>
      </c>
      <c r="AA805" s="17">
        <v>179.3</v>
      </c>
      <c r="AB805" s="25" t="s">
        <v>4022</v>
      </c>
    </row>
    <row r="806" spans="1:28" x14ac:dyDescent="0.45">
      <c r="A806" s="4" t="s">
        <v>1392</v>
      </c>
      <c r="B806" s="4" t="s">
        <v>5901</v>
      </c>
      <c r="C806" s="4" t="s">
        <v>1110</v>
      </c>
      <c r="D806" s="4" t="s">
        <v>1111</v>
      </c>
      <c r="E806" s="4" t="s">
        <v>96</v>
      </c>
      <c r="F806" s="5">
        <v>129.4</v>
      </c>
      <c r="G806" s="5">
        <v>135.6</v>
      </c>
      <c r="H806" s="4" t="s">
        <v>1221</v>
      </c>
      <c r="I806" s="10">
        <v>50</v>
      </c>
      <c r="J806" s="34">
        <f t="shared" si="48"/>
        <v>0.43499999999999994</v>
      </c>
      <c r="K806" s="34">
        <f t="shared" si="49"/>
        <v>0.65</v>
      </c>
      <c r="L806" s="34">
        <f t="shared" si="50"/>
        <v>2.6</v>
      </c>
      <c r="M806" s="11" t="s">
        <v>4223</v>
      </c>
      <c r="N806" s="11" t="s">
        <v>3891</v>
      </c>
      <c r="O806" s="11" t="s">
        <v>3892</v>
      </c>
      <c r="P806" s="11" t="s">
        <v>3893</v>
      </c>
      <c r="Q806" s="12">
        <v>129.4</v>
      </c>
      <c r="R806" s="12">
        <v>135.6</v>
      </c>
      <c r="S806" s="12">
        <v>3.1</v>
      </c>
      <c r="T806" s="13">
        <v>0.87</v>
      </c>
      <c r="U806" s="13">
        <f t="shared" si="51"/>
        <v>-1.73</v>
      </c>
      <c r="V806" s="14">
        <v>106.58</v>
      </c>
      <c r="W806" s="14">
        <v>106.58</v>
      </c>
      <c r="X806" s="11">
        <v>159</v>
      </c>
      <c r="Y806" s="15" t="s">
        <v>3713</v>
      </c>
      <c r="Z806" s="16">
        <v>56.58</v>
      </c>
      <c r="AA806" s="17">
        <v>113.2</v>
      </c>
      <c r="AB806" s="18" t="s">
        <v>3714</v>
      </c>
    </row>
    <row r="807" spans="1:28" x14ac:dyDescent="0.45">
      <c r="A807" s="2" t="s">
        <v>1393</v>
      </c>
      <c r="B807" s="2" t="s">
        <v>5902</v>
      </c>
      <c r="C807" s="2" t="s">
        <v>1110</v>
      </c>
      <c r="D807" s="2" t="s">
        <v>1111</v>
      </c>
      <c r="E807" s="2" t="s">
        <v>96</v>
      </c>
      <c r="F807" s="3">
        <v>129.54</v>
      </c>
      <c r="G807" s="3">
        <v>140.19999999999999</v>
      </c>
      <c r="H807" s="2" t="s">
        <v>1201</v>
      </c>
      <c r="I807" s="19">
        <v>56</v>
      </c>
      <c r="J807" s="34">
        <f t="shared" si="48"/>
        <v>0.48719999999999997</v>
      </c>
      <c r="K807" s="34">
        <f t="shared" si="49"/>
        <v>0.73</v>
      </c>
      <c r="L807" s="34">
        <f t="shared" si="50"/>
        <v>2.92</v>
      </c>
      <c r="M807" s="20" t="s">
        <v>4224</v>
      </c>
      <c r="N807" s="20" t="s">
        <v>3891</v>
      </c>
      <c r="O807" s="20" t="s">
        <v>3892</v>
      </c>
      <c r="P807" s="20" t="s">
        <v>3893</v>
      </c>
      <c r="Q807" s="21">
        <v>129.54</v>
      </c>
      <c r="R807" s="21">
        <v>140.208</v>
      </c>
      <c r="S807" s="21">
        <v>5.3339999999999996</v>
      </c>
      <c r="T807" s="22">
        <v>1.31</v>
      </c>
      <c r="U807" s="13">
        <f t="shared" si="51"/>
        <v>-1.6099999999999999</v>
      </c>
      <c r="V807" s="23">
        <v>160.47999999999999</v>
      </c>
      <c r="W807" s="23">
        <v>160.47999999999999</v>
      </c>
      <c r="X807" s="20">
        <v>320</v>
      </c>
      <c r="Y807" s="24" t="s">
        <v>3737</v>
      </c>
      <c r="Z807" s="16">
        <v>104.48</v>
      </c>
      <c r="AA807" s="17">
        <v>186.6</v>
      </c>
      <c r="AB807" s="25" t="s">
        <v>4032</v>
      </c>
    </row>
    <row r="808" spans="1:28" x14ac:dyDescent="0.45">
      <c r="A808" s="4" t="s">
        <v>1394</v>
      </c>
      <c r="B808" s="4" t="s">
        <v>5903</v>
      </c>
      <c r="C808" s="4" t="s">
        <v>1110</v>
      </c>
      <c r="D808" s="4" t="s">
        <v>1111</v>
      </c>
      <c r="E808" s="4" t="s">
        <v>96</v>
      </c>
      <c r="F808" s="5">
        <v>129.54</v>
      </c>
      <c r="G808" s="5">
        <v>143.52000000000001</v>
      </c>
      <c r="H808" s="4" t="s">
        <v>1368</v>
      </c>
      <c r="I808" s="10">
        <v>86</v>
      </c>
      <c r="J808" s="34">
        <f t="shared" si="48"/>
        <v>0.74819999999999998</v>
      </c>
      <c r="K808" s="34">
        <f t="shared" si="49"/>
        <v>1.1200000000000001</v>
      </c>
      <c r="L808" s="34">
        <f t="shared" si="50"/>
        <v>4.4800000000000004</v>
      </c>
      <c r="M808" s="11" t="s">
        <v>4225</v>
      </c>
      <c r="N808" s="11" t="s">
        <v>3891</v>
      </c>
      <c r="O808" s="11" t="s">
        <v>3892</v>
      </c>
      <c r="P808" s="11" t="s">
        <v>3893</v>
      </c>
      <c r="Q808" s="12">
        <v>129.54</v>
      </c>
      <c r="R808" s="12">
        <v>143.51</v>
      </c>
      <c r="S808" s="12">
        <v>7.1120000000000001</v>
      </c>
      <c r="T808" s="13">
        <v>1.66</v>
      </c>
      <c r="U808" s="13">
        <f t="shared" si="51"/>
        <v>-2.8200000000000003</v>
      </c>
      <c r="V808" s="14">
        <v>203.35</v>
      </c>
      <c r="W808" s="14">
        <v>203.35</v>
      </c>
      <c r="X808" s="11">
        <v>79</v>
      </c>
      <c r="Y808" s="15" t="s">
        <v>3737</v>
      </c>
      <c r="Z808" s="16">
        <v>117.35</v>
      </c>
      <c r="AA808" s="17">
        <v>136.5</v>
      </c>
      <c r="AB808" s="18" t="s">
        <v>4032</v>
      </c>
    </row>
    <row r="809" spans="1:28" x14ac:dyDescent="0.45">
      <c r="A809" s="2" t="s">
        <v>1395</v>
      </c>
      <c r="B809" s="2" t="s">
        <v>5904</v>
      </c>
      <c r="C809" s="2" t="s">
        <v>1110</v>
      </c>
      <c r="D809" s="2" t="s">
        <v>1111</v>
      </c>
      <c r="E809" s="2" t="s">
        <v>96</v>
      </c>
      <c r="F809" s="3">
        <v>129.77000000000001</v>
      </c>
      <c r="G809" s="3">
        <v>136.83000000000001</v>
      </c>
      <c r="H809" s="2" t="s">
        <v>1156</v>
      </c>
      <c r="I809" s="19">
        <v>34</v>
      </c>
      <c r="J809" s="34">
        <f t="shared" si="48"/>
        <v>0.29579999999999995</v>
      </c>
      <c r="K809" s="34">
        <f t="shared" si="49"/>
        <v>0.44</v>
      </c>
      <c r="L809" s="34">
        <f t="shared" si="50"/>
        <v>1.76</v>
      </c>
      <c r="M809" s="20" t="s">
        <v>4226</v>
      </c>
      <c r="N809" s="20" t="s">
        <v>3891</v>
      </c>
      <c r="O809" s="20" t="s">
        <v>3892</v>
      </c>
      <c r="P809" s="20" t="s">
        <v>3893</v>
      </c>
      <c r="Q809" s="21">
        <v>130</v>
      </c>
      <c r="R809" s="21">
        <v>137</v>
      </c>
      <c r="S809" s="21">
        <v>3.5</v>
      </c>
      <c r="T809" s="22">
        <v>0.92</v>
      </c>
      <c r="U809" s="13">
        <f t="shared" si="51"/>
        <v>-0.84</v>
      </c>
      <c r="V809" s="23">
        <v>112.7</v>
      </c>
      <c r="W809" s="23">
        <v>112.7</v>
      </c>
      <c r="X809" s="20">
        <v>58</v>
      </c>
      <c r="Y809" s="24" t="s">
        <v>3713</v>
      </c>
      <c r="Z809" s="16">
        <v>78.7</v>
      </c>
      <c r="AA809" s="17">
        <v>231.5</v>
      </c>
      <c r="AB809" s="25" t="s">
        <v>4227</v>
      </c>
    </row>
    <row r="810" spans="1:28" x14ac:dyDescent="0.45">
      <c r="A810" s="4" t="s">
        <v>1396</v>
      </c>
      <c r="B810" s="4" t="s">
        <v>5905</v>
      </c>
      <c r="C810" s="4" t="s">
        <v>1110</v>
      </c>
      <c r="D810" s="4" t="s">
        <v>1111</v>
      </c>
      <c r="E810" s="4" t="s">
        <v>96</v>
      </c>
      <c r="F810" s="5">
        <v>130</v>
      </c>
      <c r="G810" s="5">
        <v>140</v>
      </c>
      <c r="H810" s="4" t="s">
        <v>1245</v>
      </c>
      <c r="I810" s="10">
        <v>59</v>
      </c>
      <c r="J810" s="34">
        <f t="shared" si="48"/>
        <v>0.51329999999999998</v>
      </c>
      <c r="K810" s="34">
        <f t="shared" si="49"/>
        <v>0.77</v>
      </c>
      <c r="L810" s="34">
        <f t="shared" si="50"/>
        <v>3.08</v>
      </c>
      <c r="M810" s="11" t="s">
        <v>4228</v>
      </c>
      <c r="N810" s="11" t="s">
        <v>3891</v>
      </c>
      <c r="O810" s="11" t="s">
        <v>3892</v>
      </c>
      <c r="P810" s="11" t="s">
        <v>3893</v>
      </c>
      <c r="Q810" s="12">
        <v>130</v>
      </c>
      <c r="R810" s="12">
        <v>140</v>
      </c>
      <c r="S810" s="12">
        <v>5</v>
      </c>
      <c r="T810" s="13">
        <v>1.19</v>
      </c>
      <c r="U810" s="13">
        <f t="shared" si="51"/>
        <v>-1.8900000000000001</v>
      </c>
      <c r="V810" s="14">
        <v>145.78</v>
      </c>
      <c r="W810" s="14">
        <v>145.78</v>
      </c>
      <c r="X810" s="11">
        <v>115</v>
      </c>
      <c r="Y810" s="15" t="s">
        <v>3713</v>
      </c>
      <c r="Z810" s="16">
        <v>86.78</v>
      </c>
      <c r="AA810" s="17">
        <v>147.1</v>
      </c>
      <c r="AB810" s="18" t="s">
        <v>3714</v>
      </c>
    </row>
    <row r="811" spans="1:28" x14ac:dyDescent="0.45">
      <c r="A811" s="2" t="s">
        <v>1397</v>
      </c>
      <c r="B811" s="2" t="s">
        <v>5906</v>
      </c>
      <c r="C811" s="2" t="s">
        <v>1110</v>
      </c>
      <c r="D811" s="2" t="s">
        <v>1111</v>
      </c>
      <c r="E811" s="2" t="s">
        <v>96</v>
      </c>
      <c r="F811" s="3">
        <v>132.72</v>
      </c>
      <c r="G811" s="3">
        <v>143.38</v>
      </c>
      <c r="H811" s="2" t="s">
        <v>1201</v>
      </c>
      <c r="I811" s="19">
        <v>57</v>
      </c>
      <c r="J811" s="34">
        <f t="shared" si="48"/>
        <v>0.49589999999999995</v>
      </c>
      <c r="K811" s="34">
        <f t="shared" si="49"/>
        <v>0.74</v>
      </c>
      <c r="L811" s="34">
        <f t="shared" si="50"/>
        <v>2.96</v>
      </c>
      <c r="M811" s="20" t="s">
        <v>4229</v>
      </c>
      <c r="N811" s="20" t="s">
        <v>3891</v>
      </c>
      <c r="O811" s="20" t="s">
        <v>3892</v>
      </c>
      <c r="P811" s="20" t="s">
        <v>3893</v>
      </c>
      <c r="Q811" s="21">
        <v>132.58799999999999</v>
      </c>
      <c r="R811" s="21">
        <v>143.256</v>
      </c>
      <c r="S811" s="21">
        <v>5.3339999999999996</v>
      </c>
      <c r="T811" s="22">
        <v>1.46</v>
      </c>
      <c r="U811" s="13">
        <f t="shared" si="51"/>
        <v>-1.5</v>
      </c>
      <c r="V811" s="23">
        <v>178.85</v>
      </c>
      <c r="W811" s="23">
        <v>178.85</v>
      </c>
      <c r="X811" s="20">
        <v>36</v>
      </c>
      <c r="Y811" s="24" t="s">
        <v>3737</v>
      </c>
      <c r="Z811" s="16">
        <v>121.85</v>
      </c>
      <c r="AA811" s="17">
        <v>213.8</v>
      </c>
      <c r="AB811" s="25" t="s">
        <v>4189</v>
      </c>
    </row>
    <row r="812" spans="1:28" x14ac:dyDescent="0.45">
      <c r="A812" s="4" t="s">
        <v>1398</v>
      </c>
      <c r="B812" s="4" t="s">
        <v>5907</v>
      </c>
      <c r="C812" s="4" t="s">
        <v>1110</v>
      </c>
      <c r="D812" s="4" t="s">
        <v>1111</v>
      </c>
      <c r="E812" s="4" t="s">
        <v>96</v>
      </c>
      <c r="F812" s="5">
        <v>132.72</v>
      </c>
      <c r="G812" s="5">
        <v>146.69999999999999</v>
      </c>
      <c r="H812" s="4" t="s">
        <v>1368</v>
      </c>
      <c r="I812" s="10">
        <v>87</v>
      </c>
      <c r="J812" s="34">
        <f t="shared" si="48"/>
        <v>0.75689999999999991</v>
      </c>
      <c r="K812" s="34">
        <f t="shared" si="49"/>
        <v>1.1399999999999999</v>
      </c>
      <c r="L812" s="34">
        <f t="shared" si="50"/>
        <v>4.5599999999999996</v>
      </c>
      <c r="M812" s="11" t="s">
        <v>4230</v>
      </c>
      <c r="N812" s="11" t="s">
        <v>3891</v>
      </c>
      <c r="O812" s="11" t="s">
        <v>3892</v>
      </c>
      <c r="P812" s="11" t="s">
        <v>3893</v>
      </c>
      <c r="Q812" s="12">
        <v>132.58799999999999</v>
      </c>
      <c r="R812" s="12">
        <v>146.81200000000001</v>
      </c>
      <c r="S812" s="12">
        <v>7.1120000000000001</v>
      </c>
      <c r="T812" s="13">
        <v>2.0299999999999998</v>
      </c>
      <c r="U812" s="13">
        <f t="shared" si="51"/>
        <v>-2.5299999999999998</v>
      </c>
      <c r="V812" s="14">
        <v>248.68</v>
      </c>
      <c r="W812" s="14">
        <v>248.68</v>
      </c>
      <c r="X812" s="11">
        <v>12</v>
      </c>
      <c r="Y812" s="15" t="s">
        <v>3737</v>
      </c>
      <c r="Z812" s="16">
        <v>161.68</v>
      </c>
      <c r="AA812" s="17">
        <v>185.8</v>
      </c>
      <c r="AB812" s="18" t="s">
        <v>4199</v>
      </c>
    </row>
    <row r="813" spans="1:28" x14ac:dyDescent="0.45">
      <c r="A813" s="2" t="s">
        <v>1399</v>
      </c>
      <c r="B813" s="2" t="s">
        <v>5908</v>
      </c>
      <c r="C813" s="2" t="s">
        <v>1110</v>
      </c>
      <c r="D813" s="2" t="s">
        <v>1111</v>
      </c>
      <c r="E813" s="2" t="s">
        <v>96</v>
      </c>
      <c r="F813" s="3">
        <v>132.94</v>
      </c>
      <c r="G813" s="3">
        <v>140</v>
      </c>
      <c r="H813" s="2" t="s">
        <v>1156</v>
      </c>
      <c r="I813" s="19">
        <v>34</v>
      </c>
      <c r="J813" s="34">
        <f t="shared" si="48"/>
        <v>0.29579999999999995</v>
      </c>
      <c r="K813" s="34">
        <f t="shared" si="49"/>
        <v>0.44</v>
      </c>
      <c r="L813" s="34">
        <f t="shared" si="50"/>
        <v>1.76</v>
      </c>
      <c r="M813" s="20" t="s">
        <v>4231</v>
      </c>
      <c r="N813" s="20" t="s">
        <v>3891</v>
      </c>
      <c r="O813" s="20" t="s">
        <v>3892</v>
      </c>
      <c r="P813" s="20" t="s">
        <v>3893</v>
      </c>
      <c r="Q813" s="21">
        <v>132.84200000000001</v>
      </c>
      <c r="R813" s="21">
        <v>139.95400000000001</v>
      </c>
      <c r="S813" s="21">
        <v>3.556</v>
      </c>
      <c r="T813" s="22">
        <v>0.87</v>
      </c>
      <c r="U813" s="13">
        <f t="shared" si="51"/>
        <v>-0.89</v>
      </c>
      <c r="V813" s="23">
        <v>106.58</v>
      </c>
      <c r="W813" s="23">
        <v>106.58</v>
      </c>
      <c r="X813" s="20">
        <v>306</v>
      </c>
      <c r="Y813" s="24" t="s">
        <v>3737</v>
      </c>
      <c r="Z813" s="16">
        <v>72.58</v>
      </c>
      <c r="AA813" s="17">
        <v>213.5</v>
      </c>
      <c r="AB813" s="25" t="s">
        <v>3963</v>
      </c>
    </row>
    <row r="814" spans="1:28" x14ac:dyDescent="0.45">
      <c r="A814" s="4" t="s">
        <v>1400</v>
      </c>
      <c r="B814" s="4" t="s">
        <v>5909</v>
      </c>
      <c r="C814" s="4" t="s">
        <v>1110</v>
      </c>
      <c r="D814" s="4" t="s">
        <v>1111</v>
      </c>
      <c r="E814" s="4" t="s">
        <v>96</v>
      </c>
      <c r="F814" s="5">
        <v>133.07</v>
      </c>
      <c r="G814" s="5">
        <v>136.63</v>
      </c>
      <c r="H814" s="4" t="s">
        <v>1114</v>
      </c>
      <c r="I814" s="10">
        <v>22</v>
      </c>
      <c r="J814" s="34">
        <f t="shared" si="48"/>
        <v>0.19139999999999999</v>
      </c>
      <c r="K814" s="34">
        <f t="shared" si="49"/>
        <v>0.28999999999999998</v>
      </c>
      <c r="L814" s="34">
        <f t="shared" si="50"/>
        <v>1.1599999999999999</v>
      </c>
      <c r="M814" s="11" t="s">
        <v>4232</v>
      </c>
      <c r="N814" s="11" t="s">
        <v>3891</v>
      </c>
      <c r="O814" s="11" t="s">
        <v>3892</v>
      </c>
      <c r="P814" s="11" t="s">
        <v>3893</v>
      </c>
      <c r="Q814" s="12">
        <v>133.096</v>
      </c>
      <c r="R814" s="12">
        <v>136.65199999999999</v>
      </c>
      <c r="S814" s="12">
        <v>1.778</v>
      </c>
      <c r="T814" s="13">
        <v>0.52</v>
      </c>
      <c r="U814" s="13">
        <f t="shared" si="51"/>
        <v>-0.6399999999999999</v>
      </c>
      <c r="V814" s="14">
        <v>63.7</v>
      </c>
      <c r="W814" s="14">
        <v>63.7</v>
      </c>
      <c r="X814" s="11">
        <v>65</v>
      </c>
      <c r="Y814" s="15" t="s">
        <v>3737</v>
      </c>
      <c r="Z814" s="16">
        <v>41.7</v>
      </c>
      <c r="AA814" s="17">
        <v>189.5</v>
      </c>
      <c r="AB814" s="18" t="s">
        <v>3967</v>
      </c>
    </row>
    <row r="815" spans="1:28" x14ac:dyDescent="0.45">
      <c r="A815" s="2" t="s">
        <v>1401</v>
      </c>
      <c r="B815" s="2" t="s">
        <v>5910</v>
      </c>
      <c r="C815" s="2" t="s">
        <v>1110</v>
      </c>
      <c r="D815" s="2" t="s">
        <v>1111</v>
      </c>
      <c r="E815" s="2" t="s">
        <v>96</v>
      </c>
      <c r="F815" s="3">
        <v>134.19999999999999</v>
      </c>
      <c r="G815" s="3">
        <v>145.6</v>
      </c>
      <c r="H815" s="2" t="s">
        <v>1297</v>
      </c>
      <c r="I815" s="19">
        <v>82</v>
      </c>
      <c r="J815" s="34">
        <f t="shared" si="48"/>
        <v>0.71339999999999992</v>
      </c>
      <c r="K815" s="34">
        <f t="shared" si="49"/>
        <v>1.07</v>
      </c>
      <c r="L815" s="34">
        <f t="shared" si="50"/>
        <v>4.28</v>
      </c>
      <c r="M815" s="20" t="s">
        <v>4233</v>
      </c>
      <c r="N815" s="20" t="s">
        <v>3891</v>
      </c>
      <c r="O815" s="20" t="s">
        <v>3892</v>
      </c>
      <c r="P815" s="20" t="s">
        <v>3893</v>
      </c>
      <c r="Q815" s="21">
        <v>134.30000000000001</v>
      </c>
      <c r="R815" s="21">
        <v>145.69999999999999</v>
      </c>
      <c r="S815" s="21">
        <v>5.7</v>
      </c>
      <c r="T815" s="22">
        <v>1.37</v>
      </c>
      <c r="U815" s="13">
        <f t="shared" si="51"/>
        <v>-2.91</v>
      </c>
      <c r="V815" s="23">
        <v>167.82</v>
      </c>
      <c r="W815" s="23">
        <v>167.82</v>
      </c>
      <c r="X815" s="20">
        <v>197</v>
      </c>
      <c r="Y815" s="24" t="s">
        <v>3713</v>
      </c>
      <c r="Z815" s="16">
        <v>85.82</v>
      </c>
      <c r="AA815" s="17">
        <v>104.7</v>
      </c>
      <c r="AB815" s="25" t="s">
        <v>4119</v>
      </c>
    </row>
    <row r="816" spans="1:28" x14ac:dyDescent="0.45">
      <c r="A816" s="4" t="s">
        <v>1402</v>
      </c>
      <c r="B816" s="4" t="s">
        <v>5911</v>
      </c>
      <c r="C816" s="4" t="s">
        <v>1110</v>
      </c>
      <c r="D816" s="4" t="s">
        <v>1111</v>
      </c>
      <c r="E816" s="4" t="s">
        <v>96</v>
      </c>
      <c r="F816" s="5">
        <v>134.4</v>
      </c>
      <c r="G816" s="5">
        <v>140.6</v>
      </c>
      <c r="H816" s="4" t="s">
        <v>1221</v>
      </c>
      <c r="I816" s="10">
        <v>52</v>
      </c>
      <c r="J816" s="34">
        <f t="shared" si="48"/>
        <v>0.45239999999999997</v>
      </c>
      <c r="K816" s="34">
        <f t="shared" si="49"/>
        <v>0.68</v>
      </c>
      <c r="L816" s="34">
        <f t="shared" si="50"/>
        <v>2.72</v>
      </c>
      <c r="M816" s="11" t="s">
        <v>4234</v>
      </c>
      <c r="N816" s="11" t="s">
        <v>3891</v>
      </c>
      <c r="O816" s="11" t="s">
        <v>3892</v>
      </c>
      <c r="P816" s="11" t="s">
        <v>3893</v>
      </c>
      <c r="Q816" s="12">
        <v>134.4</v>
      </c>
      <c r="R816" s="12">
        <v>140.6</v>
      </c>
      <c r="S816" s="12">
        <v>3.1</v>
      </c>
      <c r="T816" s="13">
        <v>1.36</v>
      </c>
      <c r="U816" s="13">
        <f t="shared" si="51"/>
        <v>-1.36</v>
      </c>
      <c r="V816" s="14">
        <v>166.6</v>
      </c>
      <c r="W816" s="14">
        <v>166.6</v>
      </c>
      <c r="X816" s="11">
        <v>15</v>
      </c>
      <c r="Y816" s="15" t="s">
        <v>3713</v>
      </c>
      <c r="Z816" s="16">
        <v>114.6</v>
      </c>
      <c r="AA816" s="17">
        <v>220.4</v>
      </c>
      <c r="AB816" s="18" t="s">
        <v>3714</v>
      </c>
    </row>
    <row r="817" spans="1:28" x14ac:dyDescent="0.45">
      <c r="A817" s="2" t="s">
        <v>1403</v>
      </c>
      <c r="B817" s="2" t="s">
        <v>5912</v>
      </c>
      <c r="C817" s="2" t="s">
        <v>1110</v>
      </c>
      <c r="D817" s="2" t="s">
        <v>1111</v>
      </c>
      <c r="E817" s="2" t="s">
        <v>96</v>
      </c>
      <c r="F817" s="3">
        <v>135.88999999999999</v>
      </c>
      <c r="G817" s="3">
        <v>146.55000000000001</v>
      </c>
      <c r="H817" s="2" t="s">
        <v>1201</v>
      </c>
      <c r="I817" s="19">
        <v>59</v>
      </c>
      <c r="J817" s="34">
        <f t="shared" si="48"/>
        <v>0.51329999999999998</v>
      </c>
      <c r="K817" s="34">
        <f t="shared" si="49"/>
        <v>0.77</v>
      </c>
      <c r="L817" s="34">
        <f t="shared" si="50"/>
        <v>3.08</v>
      </c>
      <c r="M817" s="20" t="s">
        <v>4235</v>
      </c>
      <c r="N817" s="20" t="s">
        <v>3891</v>
      </c>
      <c r="O817" s="20" t="s">
        <v>3892</v>
      </c>
      <c r="P817" s="20" t="s">
        <v>3893</v>
      </c>
      <c r="Q817" s="21">
        <v>135.88999999999999</v>
      </c>
      <c r="R817" s="21">
        <v>146.55799999999999</v>
      </c>
      <c r="S817" s="21">
        <v>5.3339999999999996</v>
      </c>
      <c r="T817" s="22">
        <v>1.19</v>
      </c>
      <c r="U817" s="13">
        <f t="shared" si="51"/>
        <v>-1.8900000000000001</v>
      </c>
      <c r="V817" s="23">
        <v>145.78</v>
      </c>
      <c r="W817" s="23">
        <v>145.78</v>
      </c>
      <c r="X817" s="20">
        <v>122</v>
      </c>
      <c r="Y817" s="24" t="s">
        <v>3737</v>
      </c>
      <c r="Z817" s="16">
        <v>86.78</v>
      </c>
      <c r="AA817" s="17">
        <v>147.1</v>
      </c>
      <c r="AB817" s="25" t="s">
        <v>4032</v>
      </c>
    </row>
    <row r="818" spans="1:28" x14ac:dyDescent="0.45">
      <c r="A818" s="4" t="s">
        <v>1404</v>
      </c>
      <c r="B818" s="4" t="s">
        <v>5913</v>
      </c>
      <c r="C818" s="4" t="s">
        <v>1110</v>
      </c>
      <c r="D818" s="4" t="s">
        <v>1111</v>
      </c>
      <c r="E818" s="4" t="s">
        <v>96</v>
      </c>
      <c r="F818" s="5">
        <v>135.88999999999999</v>
      </c>
      <c r="G818" s="5">
        <v>149.87</v>
      </c>
      <c r="H818" s="4" t="s">
        <v>1368</v>
      </c>
      <c r="I818" s="10">
        <v>89</v>
      </c>
      <c r="J818" s="34">
        <f t="shared" si="48"/>
        <v>0.77429999999999999</v>
      </c>
      <c r="K818" s="34">
        <f t="shared" si="49"/>
        <v>1.1599999999999999</v>
      </c>
      <c r="L818" s="34">
        <f t="shared" si="50"/>
        <v>4.6399999999999997</v>
      </c>
      <c r="M818" s="11" t="s">
        <v>4236</v>
      </c>
      <c r="N818" s="11" t="s">
        <v>3891</v>
      </c>
      <c r="O818" s="11" t="s">
        <v>3892</v>
      </c>
      <c r="P818" s="11" t="s">
        <v>3893</v>
      </c>
      <c r="Q818" s="12">
        <v>135.88999999999999</v>
      </c>
      <c r="R818" s="12">
        <v>149.86000000000001</v>
      </c>
      <c r="S818" s="12">
        <v>7.1120000000000001</v>
      </c>
      <c r="T818" s="13">
        <v>1.76</v>
      </c>
      <c r="U818" s="13">
        <f t="shared" si="51"/>
        <v>-2.88</v>
      </c>
      <c r="V818" s="14">
        <v>215.6</v>
      </c>
      <c r="W818" s="14">
        <v>215.6</v>
      </c>
      <c r="X818" s="11">
        <v>43</v>
      </c>
      <c r="Y818" s="15" t="s">
        <v>3737</v>
      </c>
      <c r="Z818" s="16">
        <v>126.6</v>
      </c>
      <c r="AA818" s="17">
        <v>142.19999999999999</v>
      </c>
      <c r="AB818" s="18" t="s">
        <v>4032</v>
      </c>
    </row>
    <row r="819" spans="1:28" x14ac:dyDescent="0.45">
      <c r="A819" s="2" t="s">
        <v>1405</v>
      </c>
      <c r="B819" s="2" t="s">
        <v>5914</v>
      </c>
      <c r="C819" s="2" t="s">
        <v>1110</v>
      </c>
      <c r="D819" s="2" t="s">
        <v>1111</v>
      </c>
      <c r="E819" s="2" t="s">
        <v>96</v>
      </c>
      <c r="F819" s="3">
        <v>136.12</v>
      </c>
      <c r="G819" s="3">
        <v>143.18</v>
      </c>
      <c r="H819" s="2" t="s">
        <v>1156</v>
      </c>
      <c r="I819" s="19">
        <v>35</v>
      </c>
      <c r="J819" s="34">
        <f t="shared" si="48"/>
        <v>0.30449999999999999</v>
      </c>
      <c r="K819" s="34">
        <f t="shared" si="49"/>
        <v>0.46</v>
      </c>
      <c r="L819" s="34">
        <f t="shared" si="50"/>
        <v>1.84</v>
      </c>
      <c r="M819" s="20" t="s">
        <v>4237</v>
      </c>
      <c r="N819" s="20" t="s">
        <v>3891</v>
      </c>
      <c r="O819" s="20" t="s">
        <v>3892</v>
      </c>
      <c r="P819" s="20" t="s">
        <v>3893</v>
      </c>
      <c r="Q819" s="21">
        <v>136.14400000000001</v>
      </c>
      <c r="R819" s="21">
        <v>143.256</v>
      </c>
      <c r="S819" s="21">
        <v>3.556</v>
      </c>
      <c r="T819" s="22">
        <v>0.88</v>
      </c>
      <c r="U819" s="13">
        <f t="shared" si="51"/>
        <v>-0.96000000000000008</v>
      </c>
      <c r="V819" s="23">
        <v>107.8</v>
      </c>
      <c r="W819" s="23">
        <v>107.8</v>
      </c>
      <c r="X819" s="20">
        <v>253</v>
      </c>
      <c r="Y819" s="24" t="s">
        <v>3737</v>
      </c>
      <c r="Z819" s="16">
        <v>72.8</v>
      </c>
      <c r="AA819" s="17">
        <v>208</v>
      </c>
      <c r="AB819" s="25" t="s">
        <v>3945</v>
      </c>
    </row>
    <row r="820" spans="1:28" x14ac:dyDescent="0.45">
      <c r="A820" s="4" t="s">
        <v>1406</v>
      </c>
      <c r="B820" s="4" t="s">
        <v>5915</v>
      </c>
      <c r="C820" s="4" t="s">
        <v>1110</v>
      </c>
      <c r="D820" s="4" t="s">
        <v>1111</v>
      </c>
      <c r="E820" s="4" t="s">
        <v>96</v>
      </c>
      <c r="F820" s="5">
        <v>139.07</v>
      </c>
      <c r="G820" s="5">
        <v>149.72999999999999</v>
      </c>
      <c r="H820" s="4" t="s">
        <v>1201</v>
      </c>
      <c r="I820" s="10">
        <v>61</v>
      </c>
      <c r="J820" s="34">
        <f t="shared" si="48"/>
        <v>0.53069999999999995</v>
      </c>
      <c r="K820" s="34">
        <f t="shared" si="49"/>
        <v>0.8</v>
      </c>
      <c r="L820" s="34">
        <f t="shared" si="50"/>
        <v>3.2</v>
      </c>
      <c r="M820" s="11" t="s">
        <v>4238</v>
      </c>
      <c r="N820" s="11" t="s">
        <v>3891</v>
      </c>
      <c r="O820" s="11" t="s">
        <v>3892</v>
      </c>
      <c r="P820" s="11" t="s">
        <v>3893</v>
      </c>
      <c r="Q820" s="12">
        <v>138.93799999999999</v>
      </c>
      <c r="R820" s="12">
        <v>149.60599999999999</v>
      </c>
      <c r="S820" s="12">
        <v>5.3339999999999996</v>
      </c>
      <c r="T820" s="13">
        <v>1.21</v>
      </c>
      <c r="U820" s="13">
        <f t="shared" si="51"/>
        <v>-1.9900000000000002</v>
      </c>
      <c r="V820" s="14">
        <v>148.22</v>
      </c>
      <c r="W820" s="14">
        <v>148.22</v>
      </c>
      <c r="X820" s="11">
        <v>99</v>
      </c>
      <c r="Y820" s="15" t="s">
        <v>3737</v>
      </c>
      <c r="Z820" s="16">
        <v>87.22</v>
      </c>
      <c r="AA820" s="17">
        <v>143</v>
      </c>
      <c r="AB820" s="18" t="s">
        <v>4189</v>
      </c>
    </row>
    <row r="821" spans="1:28" x14ac:dyDescent="0.45">
      <c r="A821" s="2" t="s">
        <v>1407</v>
      </c>
      <c r="B821" s="2" t="s">
        <v>5916</v>
      </c>
      <c r="C821" s="2" t="s">
        <v>1110</v>
      </c>
      <c r="D821" s="2" t="s">
        <v>1111</v>
      </c>
      <c r="E821" s="2" t="s">
        <v>96</v>
      </c>
      <c r="F821" s="3">
        <v>139.07</v>
      </c>
      <c r="G821" s="3">
        <v>153.05000000000001</v>
      </c>
      <c r="H821" s="2" t="s">
        <v>1368</v>
      </c>
      <c r="I821" s="19">
        <v>93</v>
      </c>
      <c r="J821" s="34">
        <f t="shared" si="48"/>
        <v>0.80909999999999993</v>
      </c>
      <c r="K821" s="34">
        <f t="shared" si="49"/>
        <v>1.21</v>
      </c>
      <c r="L821" s="34">
        <f t="shared" si="50"/>
        <v>4.84</v>
      </c>
      <c r="M821" s="20" t="s">
        <v>4239</v>
      </c>
      <c r="N821" s="20" t="s">
        <v>3891</v>
      </c>
      <c r="O821" s="20" t="s">
        <v>3892</v>
      </c>
      <c r="P821" s="20" t="s">
        <v>3893</v>
      </c>
      <c r="Q821" s="21">
        <v>138.93799999999999</v>
      </c>
      <c r="R821" s="21">
        <v>153.16200000000001</v>
      </c>
      <c r="S821" s="21">
        <v>7.1120000000000001</v>
      </c>
      <c r="T821" s="22">
        <v>2.34</v>
      </c>
      <c r="U821" s="13">
        <f t="shared" si="51"/>
        <v>-2.5</v>
      </c>
      <c r="V821" s="23">
        <v>286.64999999999998</v>
      </c>
      <c r="W821" s="23">
        <v>286.64999999999998</v>
      </c>
      <c r="X821" s="20">
        <v>200</v>
      </c>
      <c r="Y821" s="24" t="s">
        <v>3737</v>
      </c>
      <c r="Z821" s="16">
        <v>193.65</v>
      </c>
      <c r="AA821" s="17">
        <v>208.2</v>
      </c>
      <c r="AB821" s="25" t="s">
        <v>4199</v>
      </c>
    </row>
    <row r="822" spans="1:28" x14ac:dyDescent="0.45">
      <c r="A822" s="4" t="s">
        <v>1408</v>
      </c>
      <c r="B822" s="4" t="s">
        <v>5917</v>
      </c>
      <c r="C822" s="4" t="s">
        <v>1110</v>
      </c>
      <c r="D822" s="4" t="s">
        <v>1111</v>
      </c>
      <c r="E822" s="4" t="s">
        <v>96</v>
      </c>
      <c r="F822" s="5">
        <v>139.29</v>
      </c>
      <c r="G822" s="5">
        <v>146.35</v>
      </c>
      <c r="H822" s="4" t="s">
        <v>1156</v>
      </c>
      <c r="I822" s="10">
        <v>35</v>
      </c>
      <c r="J822" s="34">
        <f t="shared" si="48"/>
        <v>0.30449999999999999</v>
      </c>
      <c r="K822" s="34">
        <f t="shared" si="49"/>
        <v>0.46</v>
      </c>
      <c r="L822" s="34">
        <f t="shared" si="50"/>
        <v>1.84</v>
      </c>
      <c r="M822" s="11" t="s">
        <v>4240</v>
      </c>
      <c r="N822" s="11" t="s">
        <v>3891</v>
      </c>
      <c r="O822" s="11" t="s">
        <v>3892</v>
      </c>
      <c r="P822" s="11" t="s">
        <v>3893</v>
      </c>
      <c r="Q822" s="12">
        <v>139.19200000000001</v>
      </c>
      <c r="R822" s="12">
        <v>146.304</v>
      </c>
      <c r="S822" s="12">
        <v>3.556</v>
      </c>
      <c r="T822" s="13">
        <v>0.9</v>
      </c>
      <c r="U822" s="13">
        <f t="shared" si="51"/>
        <v>-0.94000000000000006</v>
      </c>
      <c r="V822" s="14">
        <v>110.25</v>
      </c>
      <c r="W822" s="14">
        <v>110.25</v>
      </c>
      <c r="X822" s="11">
        <v>308</v>
      </c>
      <c r="Y822" s="15" t="s">
        <v>3737</v>
      </c>
      <c r="Z822" s="16">
        <v>75.25</v>
      </c>
      <c r="AA822" s="17">
        <v>215</v>
      </c>
      <c r="AB822" s="18" t="s">
        <v>3963</v>
      </c>
    </row>
    <row r="823" spans="1:28" x14ac:dyDescent="0.45">
      <c r="A823" s="2" t="s">
        <v>1409</v>
      </c>
      <c r="B823" s="2" t="s">
        <v>5918</v>
      </c>
      <c r="C823" s="2" t="s">
        <v>1110</v>
      </c>
      <c r="D823" s="2" t="s">
        <v>1111</v>
      </c>
      <c r="E823" s="2" t="s">
        <v>96</v>
      </c>
      <c r="F823" s="3">
        <v>139.19999999999999</v>
      </c>
      <c r="G823" s="3">
        <v>150.6</v>
      </c>
      <c r="H823" s="2" t="s">
        <v>1297</v>
      </c>
      <c r="I823" s="19">
        <v>89</v>
      </c>
      <c r="J823" s="34">
        <f t="shared" si="48"/>
        <v>0.77429999999999999</v>
      </c>
      <c r="K823" s="34">
        <f t="shared" si="49"/>
        <v>1.1599999999999999</v>
      </c>
      <c r="L823" s="34">
        <f t="shared" si="50"/>
        <v>4.6399999999999997</v>
      </c>
      <c r="M823" s="20" t="s">
        <v>4241</v>
      </c>
      <c r="N823" s="20" t="s">
        <v>3891</v>
      </c>
      <c r="O823" s="20" t="s">
        <v>3892</v>
      </c>
      <c r="P823" s="20" t="s">
        <v>3893</v>
      </c>
      <c r="Q823" s="21">
        <v>139.30000000000001</v>
      </c>
      <c r="R823" s="21">
        <v>150.69999999999999</v>
      </c>
      <c r="S823" s="21">
        <v>5.7</v>
      </c>
      <c r="T823" s="22">
        <v>1.41</v>
      </c>
      <c r="U823" s="13">
        <f t="shared" si="51"/>
        <v>-3.2299999999999995</v>
      </c>
      <c r="V823" s="23">
        <v>172.72</v>
      </c>
      <c r="W823" s="23">
        <v>172.72</v>
      </c>
      <c r="X823" s="20">
        <v>120</v>
      </c>
      <c r="Y823" s="24" t="s">
        <v>3713</v>
      </c>
      <c r="Z823" s="16">
        <v>83.72</v>
      </c>
      <c r="AA823" s="17">
        <v>94.1</v>
      </c>
      <c r="AB823" s="25" t="s">
        <v>4119</v>
      </c>
    </row>
    <row r="824" spans="1:28" x14ac:dyDescent="0.45">
      <c r="A824" s="4" t="s">
        <v>1410</v>
      </c>
      <c r="B824" s="4" t="s">
        <v>5919</v>
      </c>
      <c r="C824" s="4" t="s">
        <v>1110</v>
      </c>
      <c r="D824" s="4" t="s">
        <v>1111</v>
      </c>
      <c r="E824" s="4" t="s">
        <v>96</v>
      </c>
      <c r="F824" s="5">
        <v>139.4</v>
      </c>
      <c r="G824" s="5">
        <v>145.6</v>
      </c>
      <c r="H824" s="4" t="s">
        <v>1221</v>
      </c>
      <c r="I824" s="10">
        <v>57</v>
      </c>
      <c r="J824" s="34">
        <f t="shared" si="48"/>
        <v>0.49589999999999995</v>
      </c>
      <c r="K824" s="34">
        <f t="shared" si="49"/>
        <v>0.74</v>
      </c>
      <c r="L824" s="34">
        <f t="shared" si="50"/>
        <v>2.96</v>
      </c>
      <c r="M824" s="11" t="s">
        <v>4242</v>
      </c>
      <c r="N824" s="11" t="s">
        <v>3891</v>
      </c>
      <c r="O824" s="11" t="s">
        <v>3892</v>
      </c>
      <c r="P824" s="11" t="s">
        <v>3893</v>
      </c>
      <c r="Q824" s="12">
        <v>139.4</v>
      </c>
      <c r="R824" s="12">
        <v>145.6</v>
      </c>
      <c r="S824" s="12">
        <v>3.1</v>
      </c>
      <c r="T824" s="13">
        <v>0.89</v>
      </c>
      <c r="U824" s="13">
        <f t="shared" si="51"/>
        <v>-2.0699999999999998</v>
      </c>
      <c r="V824" s="14">
        <v>109.02</v>
      </c>
      <c r="W824" s="14">
        <v>109.02</v>
      </c>
      <c r="X824" s="11">
        <v>26</v>
      </c>
      <c r="Y824" s="15" t="s">
        <v>3713</v>
      </c>
      <c r="Z824" s="16">
        <v>52.02</v>
      </c>
      <c r="AA824" s="17">
        <v>91.3</v>
      </c>
      <c r="AB824" s="18" t="s">
        <v>3714</v>
      </c>
    </row>
    <row r="825" spans="1:28" x14ac:dyDescent="0.45">
      <c r="A825" s="2" t="s">
        <v>1411</v>
      </c>
      <c r="B825" s="2" t="s">
        <v>5920</v>
      </c>
      <c r="C825" s="2" t="s">
        <v>1110</v>
      </c>
      <c r="D825" s="2" t="s">
        <v>1111</v>
      </c>
      <c r="E825" s="2" t="s">
        <v>96</v>
      </c>
      <c r="F825" s="3">
        <v>140</v>
      </c>
      <c r="G825" s="3">
        <v>150</v>
      </c>
      <c r="H825" s="2" t="s">
        <v>1245</v>
      </c>
      <c r="I825" s="19">
        <v>67</v>
      </c>
      <c r="J825" s="34">
        <f t="shared" si="48"/>
        <v>0.58289999999999997</v>
      </c>
      <c r="K825" s="34">
        <f t="shared" si="49"/>
        <v>0.87</v>
      </c>
      <c r="L825" s="34">
        <f t="shared" si="50"/>
        <v>3.48</v>
      </c>
      <c r="M825" s="20" t="s">
        <v>4243</v>
      </c>
      <c r="N825" s="20" t="s">
        <v>3891</v>
      </c>
      <c r="O825" s="20" t="s">
        <v>3892</v>
      </c>
      <c r="P825" s="20" t="s">
        <v>3893</v>
      </c>
      <c r="Q825" s="21">
        <v>140</v>
      </c>
      <c r="R825" s="21">
        <v>150</v>
      </c>
      <c r="S825" s="21">
        <v>5</v>
      </c>
      <c r="T825" s="22">
        <v>1.1499999999999999</v>
      </c>
      <c r="U825" s="13">
        <f t="shared" si="51"/>
        <v>-2.33</v>
      </c>
      <c r="V825" s="23">
        <v>140.88</v>
      </c>
      <c r="W825" s="23">
        <v>140.88</v>
      </c>
      <c r="X825" s="20">
        <v>4</v>
      </c>
      <c r="Y825" s="24" t="s">
        <v>3713</v>
      </c>
      <c r="Z825" s="16">
        <v>73.88</v>
      </c>
      <c r="AA825" s="17">
        <v>110.3</v>
      </c>
      <c r="AB825" s="25" t="s">
        <v>3714</v>
      </c>
    </row>
    <row r="826" spans="1:28" x14ac:dyDescent="0.45">
      <c r="A826" s="4" t="s">
        <v>1412</v>
      </c>
      <c r="B826" s="4" t="s">
        <v>5921</v>
      </c>
      <c r="C826" s="4" t="s">
        <v>1110</v>
      </c>
      <c r="D826" s="4" t="s">
        <v>1111</v>
      </c>
      <c r="E826" s="4" t="s">
        <v>96</v>
      </c>
      <c r="F826" s="5">
        <v>142.24</v>
      </c>
      <c r="G826" s="5">
        <v>152.9</v>
      </c>
      <c r="H826" s="4" t="s">
        <v>1201</v>
      </c>
      <c r="I826" s="10">
        <v>62</v>
      </c>
      <c r="J826" s="34">
        <f t="shared" si="48"/>
        <v>0.53939999999999999</v>
      </c>
      <c r="K826" s="34">
        <f t="shared" si="49"/>
        <v>0.81</v>
      </c>
      <c r="L826" s="34">
        <f t="shared" si="50"/>
        <v>3.24</v>
      </c>
      <c r="M826" s="11" t="s">
        <v>4244</v>
      </c>
      <c r="N826" s="11" t="s">
        <v>3891</v>
      </c>
      <c r="O826" s="11" t="s">
        <v>3892</v>
      </c>
      <c r="P826" s="11" t="s">
        <v>3893</v>
      </c>
      <c r="Q826" s="12">
        <v>142.24</v>
      </c>
      <c r="R826" s="12">
        <v>152.90799999999999</v>
      </c>
      <c r="S826" s="12">
        <v>5.3339999999999996</v>
      </c>
      <c r="T826" s="13">
        <v>1.44</v>
      </c>
      <c r="U826" s="13">
        <f t="shared" si="51"/>
        <v>-1.8000000000000003</v>
      </c>
      <c r="V826" s="14">
        <v>176.4</v>
      </c>
      <c r="W826" s="14">
        <v>176.4</v>
      </c>
      <c r="X826" s="11">
        <v>49</v>
      </c>
      <c r="Y826" s="15" t="s">
        <v>3737</v>
      </c>
      <c r="Z826" s="16">
        <v>114.4</v>
      </c>
      <c r="AA826" s="17">
        <v>184.5</v>
      </c>
      <c r="AB826" s="18" t="s">
        <v>4032</v>
      </c>
    </row>
    <row r="827" spans="1:28" x14ac:dyDescent="0.45">
      <c r="A827" s="2" t="s">
        <v>1413</v>
      </c>
      <c r="B827" s="2" t="s">
        <v>5922</v>
      </c>
      <c r="C827" s="2" t="s">
        <v>1110</v>
      </c>
      <c r="D827" s="2" t="s">
        <v>1111</v>
      </c>
      <c r="E827" s="2" t="s">
        <v>96</v>
      </c>
      <c r="F827" s="3">
        <v>142.24</v>
      </c>
      <c r="G827" s="3">
        <v>156.22</v>
      </c>
      <c r="H827" s="2" t="s">
        <v>1368</v>
      </c>
      <c r="I827" s="19">
        <v>93</v>
      </c>
      <c r="J827" s="34">
        <f t="shared" si="48"/>
        <v>0.80909999999999993</v>
      </c>
      <c r="K827" s="34">
        <f t="shared" si="49"/>
        <v>1.21</v>
      </c>
      <c r="L827" s="34">
        <f t="shared" si="50"/>
        <v>4.84</v>
      </c>
      <c r="M827" s="20" t="s">
        <v>4245</v>
      </c>
      <c r="N827" s="20" t="s">
        <v>3891</v>
      </c>
      <c r="O827" s="20" t="s">
        <v>3892</v>
      </c>
      <c r="P827" s="20" t="s">
        <v>3893</v>
      </c>
      <c r="Q827" s="21">
        <v>142.24</v>
      </c>
      <c r="R827" s="21">
        <v>156.21</v>
      </c>
      <c r="S827" s="21">
        <v>7.1120000000000001</v>
      </c>
      <c r="T827" s="22">
        <v>1.87</v>
      </c>
      <c r="U827" s="13">
        <f t="shared" si="51"/>
        <v>-2.9699999999999998</v>
      </c>
      <c r="V827" s="23">
        <v>229.08</v>
      </c>
      <c r="W827" s="23">
        <v>229.08</v>
      </c>
      <c r="X827" s="20">
        <v>256</v>
      </c>
      <c r="Y827" s="24" t="s">
        <v>3737</v>
      </c>
      <c r="Z827" s="16">
        <v>136.08000000000001</v>
      </c>
      <c r="AA827" s="17">
        <v>146.30000000000001</v>
      </c>
      <c r="AB827" s="25" t="s">
        <v>4032</v>
      </c>
    </row>
    <row r="828" spans="1:28" x14ac:dyDescent="0.45">
      <c r="A828" s="4" t="s">
        <v>1414</v>
      </c>
      <c r="B828" s="4" t="s">
        <v>5923</v>
      </c>
      <c r="C828" s="4" t="s">
        <v>1110</v>
      </c>
      <c r="D828" s="4" t="s">
        <v>1111</v>
      </c>
      <c r="E828" s="4" t="s">
        <v>96</v>
      </c>
      <c r="F828" s="5">
        <v>142.47</v>
      </c>
      <c r="G828" s="5">
        <v>149.53</v>
      </c>
      <c r="H828" s="4" t="s">
        <v>1156</v>
      </c>
      <c r="I828" s="10">
        <v>35</v>
      </c>
      <c r="J828" s="34">
        <f t="shared" si="48"/>
        <v>0.30449999999999999</v>
      </c>
      <c r="K828" s="34">
        <f t="shared" si="49"/>
        <v>0.46</v>
      </c>
      <c r="L828" s="34">
        <f t="shared" si="50"/>
        <v>1.84</v>
      </c>
      <c r="M828" s="11" t="s">
        <v>4246</v>
      </c>
      <c r="N828" s="11" t="s">
        <v>3891</v>
      </c>
      <c r="O828" s="11" t="s">
        <v>3892</v>
      </c>
      <c r="P828" s="11" t="s">
        <v>3893</v>
      </c>
      <c r="Q828" s="12">
        <v>142.494</v>
      </c>
      <c r="R828" s="12">
        <v>149.60599999999999</v>
      </c>
      <c r="S828" s="12">
        <v>3.556</v>
      </c>
      <c r="T828" s="13">
        <v>0.9</v>
      </c>
      <c r="U828" s="13">
        <f t="shared" si="51"/>
        <v>-0.94000000000000006</v>
      </c>
      <c r="V828" s="14">
        <v>110.25</v>
      </c>
      <c r="W828" s="14">
        <v>110.25</v>
      </c>
      <c r="X828" s="11">
        <v>132</v>
      </c>
      <c r="Y828" s="15" t="s">
        <v>3737</v>
      </c>
      <c r="Z828" s="16">
        <v>75.25</v>
      </c>
      <c r="AA828" s="17">
        <v>215</v>
      </c>
      <c r="AB828" s="18" t="s">
        <v>3945</v>
      </c>
    </row>
    <row r="829" spans="1:28" x14ac:dyDescent="0.45">
      <c r="A829" s="2" t="s">
        <v>1415</v>
      </c>
      <c r="B829" s="2" t="s">
        <v>5924</v>
      </c>
      <c r="C829" s="2" t="s">
        <v>1110</v>
      </c>
      <c r="D829" s="2" t="s">
        <v>1111</v>
      </c>
      <c r="E829" s="2" t="s">
        <v>96</v>
      </c>
      <c r="F829" s="3">
        <v>144.19999999999999</v>
      </c>
      <c r="G829" s="3">
        <v>155.6</v>
      </c>
      <c r="H829" s="2" t="s">
        <v>1297</v>
      </c>
      <c r="I829" s="19">
        <v>93</v>
      </c>
      <c r="J829" s="34">
        <f t="shared" si="48"/>
        <v>0.80909999999999993</v>
      </c>
      <c r="K829" s="34">
        <f t="shared" si="49"/>
        <v>1.21</v>
      </c>
      <c r="L829" s="34">
        <f t="shared" si="50"/>
        <v>4.84</v>
      </c>
      <c r="M829" s="20" t="s">
        <v>4247</v>
      </c>
      <c r="N829" s="20" t="s">
        <v>3891</v>
      </c>
      <c r="O829" s="20" t="s">
        <v>3892</v>
      </c>
      <c r="P829" s="20" t="s">
        <v>3893</v>
      </c>
      <c r="Q829" s="21">
        <v>144.30000000000001</v>
      </c>
      <c r="R829" s="21">
        <v>155.69999999999999</v>
      </c>
      <c r="S829" s="21">
        <v>5.7</v>
      </c>
      <c r="T829" s="22">
        <v>1.57</v>
      </c>
      <c r="U829" s="13">
        <f t="shared" si="51"/>
        <v>-3.2699999999999996</v>
      </c>
      <c r="V829" s="23">
        <v>192.32</v>
      </c>
      <c r="W829" s="23">
        <v>192.32</v>
      </c>
      <c r="X829" s="20">
        <v>20</v>
      </c>
      <c r="Y829" s="24" t="s">
        <v>3713</v>
      </c>
      <c r="Z829" s="16">
        <v>99.32</v>
      </c>
      <c r="AA829" s="17">
        <v>106.8</v>
      </c>
      <c r="AB829" s="25" t="s">
        <v>4119</v>
      </c>
    </row>
    <row r="830" spans="1:28" x14ac:dyDescent="0.45">
      <c r="A830" s="4" t="s">
        <v>1416</v>
      </c>
      <c r="B830" s="4" t="s">
        <v>5925</v>
      </c>
      <c r="C830" s="4" t="s">
        <v>1110</v>
      </c>
      <c r="D830" s="4" t="s">
        <v>1111</v>
      </c>
      <c r="E830" s="4" t="s">
        <v>96</v>
      </c>
      <c r="F830" s="5">
        <v>145.41999999999999</v>
      </c>
      <c r="G830" s="5">
        <v>156.08000000000001</v>
      </c>
      <c r="H830" s="4" t="s">
        <v>1201</v>
      </c>
      <c r="I830" s="10">
        <v>67</v>
      </c>
      <c r="J830" s="34">
        <f t="shared" si="48"/>
        <v>0.58289999999999997</v>
      </c>
      <c r="K830" s="34">
        <f t="shared" si="49"/>
        <v>0.87</v>
      </c>
      <c r="L830" s="34">
        <f t="shared" si="50"/>
        <v>3.48</v>
      </c>
      <c r="M830" s="11" t="s">
        <v>4248</v>
      </c>
      <c r="N830" s="11" t="s">
        <v>3891</v>
      </c>
      <c r="O830" s="11" t="s">
        <v>3892</v>
      </c>
      <c r="P830" s="11" t="s">
        <v>3893</v>
      </c>
      <c r="Q830" s="12">
        <v>145.28800000000001</v>
      </c>
      <c r="R830" s="12">
        <v>155.95599999999999</v>
      </c>
      <c r="S830" s="12">
        <v>5.3339999999999996</v>
      </c>
      <c r="T830" s="13">
        <v>1.65</v>
      </c>
      <c r="U830" s="13">
        <f t="shared" si="51"/>
        <v>-1.83</v>
      </c>
      <c r="V830" s="14">
        <v>202.12</v>
      </c>
      <c r="W830" s="14">
        <v>202.12</v>
      </c>
      <c r="X830" s="11">
        <v>135</v>
      </c>
      <c r="Y830" s="15" t="s">
        <v>3737</v>
      </c>
      <c r="Z830" s="16">
        <v>135.12</v>
      </c>
      <c r="AA830" s="17">
        <v>201.7</v>
      </c>
      <c r="AB830" s="18" t="s">
        <v>4189</v>
      </c>
    </row>
    <row r="831" spans="1:28" x14ac:dyDescent="0.45">
      <c r="A831" s="2" t="s">
        <v>1417</v>
      </c>
      <c r="B831" s="2" t="s">
        <v>5926</v>
      </c>
      <c r="C831" s="2" t="s">
        <v>1110</v>
      </c>
      <c r="D831" s="2" t="s">
        <v>1111</v>
      </c>
      <c r="E831" s="2" t="s">
        <v>96</v>
      </c>
      <c r="F831" s="3">
        <v>145.41999999999999</v>
      </c>
      <c r="G831" s="3">
        <v>159.4</v>
      </c>
      <c r="H831" s="2" t="s">
        <v>1368</v>
      </c>
      <c r="I831" s="19">
        <v>94</v>
      </c>
      <c r="J831" s="34">
        <f t="shared" si="48"/>
        <v>0.81779999999999997</v>
      </c>
      <c r="K831" s="34">
        <f t="shared" si="49"/>
        <v>1.23</v>
      </c>
      <c r="L831" s="34">
        <f t="shared" si="50"/>
        <v>4.92</v>
      </c>
      <c r="M831" s="20" t="s">
        <v>4249</v>
      </c>
      <c r="N831" s="20" t="s">
        <v>3898</v>
      </c>
      <c r="O831" s="20" t="s">
        <v>3892</v>
      </c>
      <c r="P831" s="20" t="s">
        <v>3899</v>
      </c>
      <c r="Q831" s="21">
        <v>145.28800000000001</v>
      </c>
      <c r="R831" s="21">
        <v>159.512</v>
      </c>
      <c r="S831" s="21">
        <v>7.1120000000000001</v>
      </c>
      <c r="T831" s="22">
        <v>8.9700000000000006</v>
      </c>
      <c r="U831" s="13">
        <f t="shared" si="51"/>
        <v>4.0500000000000007</v>
      </c>
      <c r="V831" s="23">
        <v>1098.82</v>
      </c>
      <c r="W831" s="23">
        <v>1098.82</v>
      </c>
      <c r="X831" s="20">
        <v>5</v>
      </c>
      <c r="Y831" s="24" t="s">
        <v>3737</v>
      </c>
      <c r="Z831" s="16">
        <v>1004.82</v>
      </c>
      <c r="AA831" s="17">
        <v>1069</v>
      </c>
      <c r="AB831" s="25" t="s">
        <v>4199</v>
      </c>
    </row>
    <row r="832" spans="1:28" x14ac:dyDescent="0.45">
      <c r="A832" s="4" t="s">
        <v>1418</v>
      </c>
      <c r="B832" s="4" t="s">
        <v>5927</v>
      </c>
      <c r="C832" s="4" t="s">
        <v>1110</v>
      </c>
      <c r="D832" s="4" t="s">
        <v>1111</v>
      </c>
      <c r="E832" s="4" t="s">
        <v>96</v>
      </c>
      <c r="F832" s="5">
        <v>145.63999999999999</v>
      </c>
      <c r="G832" s="5">
        <v>152.69999999999999</v>
      </c>
      <c r="H832" s="4" t="s">
        <v>1156</v>
      </c>
      <c r="I832" s="10">
        <v>37</v>
      </c>
      <c r="J832" s="34">
        <f t="shared" si="48"/>
        <v>0.32189999999999996</v>
      </c>
      <c r="K832" s="34">
        <f t="shared" si="49"/>
        <v>0.48</v>
      </c>
      <c r="L832" s="34">
        <f t="shared" si="50"/>
        <v>1.92</v>
      </c>
      <c r="M832" s="11" t="s">
        <v>4250</v>
      </c>
      <c r="N832" s="11" t="s">
        <v>3891</v>
      </c>
      <c r="O832" s="11" t="s">
        <v>3892</v>
      </c>
      <c r="P832" s="11" t="s">
        <v>3893</v>
      </c>
      <c r="Q832" s="12">
        <v>145.542</v>
      </c>
      <c r="R832" s="12">
        <v>152.654</v>
      </c>
      <c r="S832" s="12">
        <v>3.556</v>
      </c>
      <c r="T832" s="13">
        <v>0.91</v>
      </c>
      <c r="U832" s="13">
        <f t="shared" si="51"/>
        <v>-1.0099999999999998</v>
      </c>
      <c r="V832" s="14">
        <v>111.48</v>
      </c>
      <c r="W832" s="14">
        <v>111.48</v>
      </c>
      <c r="X832" s="11">
        <v>356</v>
      </c>
      <c r="Y832" s="15" t="s">
        <v>3737</v>
      </c>
      <c r="Z832" s="16">
        <v>74.48</v>
      </c>
      <c r="AA832" s="17">
        <v>201.3</v>
      </c>
      <c r="AB832" s="18" t="s">
        <v>3963</v>
      </c>
    </row>
    <row r="833" spans="1:28" x14ac:dyDescent="0.45">
      <c r="A833" s="2" t="s">
        <v>1419</v>
      </c>
      <c r="B833" s="2" t="s">
        <v>5928</v>
      </c>
      <c r="C833" s="2" t="s">
        <v>1110</v>
      </c>
      <c r="D833" s="2" t="s">
        <v>1111</v>
      </c>
      <c r="E833" s="2" t="s">
        <v>96</v>
      </c>
      <c r="F833" s="3">
        <v>148.59</v>
      </c>
      <c r="G833" s="3">
        <v>159.25</v>
      </c>
      <c r="H833" s="2" t="s">
        <v>1201</v>
      </c>
      <c r="I833" s="19">
        <v>67</v>
      </c>
      <c r="J833" s="34">
        <f t="shared" si="48"/>
        <v>0.58289999999999997</v>
      </c>
      <c r="K833" s="34">
        <f t="shared" si="49"/>
        <v>0.87</v>
      </c>
      <c r="L833" s="34">
        <f t="shared" si="50"/>
        <v>3.48</v>
      </c>
      <c r="M833" s="20" t="s">
        <v>4251</v>
      </c>
      <c r="N833" s="20" t="s">
        <v>3891</v>
      </c>
      <c r="O833" s="20" t="s">
        <v>3892</v>
      </c>
      <c r="P833" s="20" t="s">
        <v>3893</v>
      </c>
      <c r="Q833" s="21">
        <v>148.59</v>
      </c>
      <c r="R833" s="21">
        <v>159.25800000000001</v>
      </c>
      <c r="S833" s="21">
        <v>5.3339999999999996</v>
      </c>
      <c r="T833" s="22">
        <v>1.58</v>
      </c>
      <c r="U833" s="13">
        <f t="shared" si="51"/>
        <v>-1.9</v>
      </c>
      <c r="V833" s="23">
        <v>193.55</v>
      </c>
      <c r="W833" s="23">
        <v>193.55</v>
      </c>
      <c r="X833" s="20">
        <v>173</v>
      </c>
      <c r="Y833" s="24" t="s">
        <v>3737</v>
      </c>
      <c r="Z833" s="16">
        <v>126.55</v>
      </c>
      <c r="AA833" s="17">
        <v>188.9</v>
      </c>
      <c r="AB833" s="25" t="s">
        <v>4032</v>
      </c>
    </row>
    <row r="834" spans="1:28" x14ac:dyDescent="0.45">
      <c r="A834" s="4" t="s">
        <v>1420</v>
      </c>
      <c r="B834" s="4" t="s">
        <v>5929</v>
      </c>
      <c r="C834" s="4" t="s">
        <v>1110</v>
      </c>
      <c r="D834" s="4" t="s">
        <v>1111</v>
      </c>
      <c r="E834" s="4" t="s">
        <v>96</v>
      </c>
      <c r="F834" s="5">
        <v>148.59</v>
      </c>
      <c r="G834" s="5">
        <v>162.57</v>
      </c>
      <c r="H834" s="4" t="s">
        <v>1368</v>
      </c>
      <c r="I834" s="10">
        <v>101</v>
      </c>
      <c r="J834" s="34">
        <f t="shared" si="48"/>
        <v>0.87869999999999993</v>
      </c>
      <c r="K834" s="34">
        <f t="shared" si="49"/>
        <v>1.32</v>
      </c>
      <c r="L834" s="34">
        <f t="shared" si="50"/>
        <v>5.28</v>
      </c>
      <c r="M834" s="11" t="s">
        <v>4252</v>
      </c>
      <c r="N834" s="11" t="s">
        <v>3891</v>
      </c>
      <c r="O834" s="11" t="s">
        <v>3892</v>
      </c>
      <c r="P834" s="11" t="s">
        <v>3893</v>
      </c>
      <c r="Q834" s="12">
        <v>148.59</v>
      </c>
      <c r="R834" s="12">
        <v>162.56</v>
      </c>
      <c r="S834" s="12">
        <v>7.1120000000000001</v>
      </c>
      <c r="T834" s="13">
        <v>2.02</v>
      </c>
      <c r="U834" s="13">
        <f t="shared" si="51"/>
        <v>-3.2600000000000002</v>
      </c>
      <c r="V834" s="14">
        <v>247.45</v>
      </c>
      <c r="W834" s="14">
        <v>247.45</v>
      </c>
      <c r="X834" s="11">
        <v>172</v>
      </c>
      <c r="Y834" s="15" t="s">
        <v>3737</v>
      </c>
      <c r="Z834" s="16">
        <v>146.44999999999999</v>
      </c>
      <c r="AA834" s="17">
        <v>145</v>
      </c>
      <c r="AB834" s="18" t="s">
        <v>4032</v>
      </c>
    </row>
    <row r="835" spans="1:28" x14ac:dyDescent="0.45">
      <c r="A835" s="2" t="s">
        <v>1421</v>
      </c>
      <c r="B835" s="2" t="s">
        <v>5930</v>
      </c>
      <c r="C835" s="2" t="s">
        <v>1110</v>
      </c>
      <c r="D835" s="2" t="s">
        <v>1111</v>
      </c>
      <c r="E835" s="2" t="s">
        <v>96</v>
      </c>
      <c r="F835" s="3">
        <v>148.82</v>
      </c>
      <c r="G835" s="3">
        <v>155.88</v>
      </c>
      <c r="H835" s="2" t="s">
        <v>1156</v>
      </c>
      <c r="I835" s="19">
        <v>37</v>
      </c>
      <c r="J835" s="34">
        <f t="shared" si="48"/>
        <v>0.32189999999999996</v>
      </c>
      <c r="K835" s="34">
        <f t="shared" si="49"/>
        <v>0.48</v>
      </c>
      <c r="L835" s="34">
        <f t="shared" si="50"/>
        <v>1.92</v>
      </c>
      <c r="M835" s="20" t="s">
        <v>4253</v>
      </c>
      <c r="N835" s="20" t="s">
        <v>3891</v>
      </c>
      <c r="O835" s="20" t="s">
        <v>3892</v>
      </c>
      <c r="P835" s="20" t="s">
        <v>3893</v>
      </c>
      <c r="Q835" s="21">
        <v>148.84399999999999</v>
      </c>
      <c r="R835" s="21">
        <v>155.95599999999999</v>
      </c>
      <c r="S835" s="21">
        <v>3.556</v>
      </c>
      <c r="T835" s="22">
        <v>0.93</v>
      </c>
      <c r="U835" s="13">
        <f t="shared" si="51"/>
        <v>-0.98999999999999988</v>
      </c>
      <c r="V835" s="23">
        <v>113.93</v>
      </c>
      <c r="W835" s="23">
        <v>113.93</v>
      </c>
      <c r="X835" s="20">
        <v>119</v>
      </c>
      <c r="Y835" s="24" t="s">
        <v>3737</v>
      </c>
      <c r="Z835" s="16">
        <v>76.930000000000007</v>
      </c>
      <c r="AA835" s="17">
        <v>207.9</v>
      </c>
      <c r="AB835" s="25" t="s">
        <v>3945</v>
      </c>
    </row>
    <row r="836" spans="1:28" x14ac:dyDescent="0.45">
      <c r="A836" s="4" t="s">
        <v>1422</v>
      </c>
      <c r="B836" s="4" t="s">
        <v>5931</v>
      </c>
      <c r="C836" s="4" t="s">
        <v>1110</v>
      </c>
      <c r="D836" s="4" t="s">
        <v>1111</v>
      </c>
      <c r="E836" s="4" t="s">
        <v>96</v>
      </c>
      <c r="F836" s="5">
        <v>150</v>
      </c>
      <c r="G836" s="5">
        <v>160</v>
      </c>
      <c r="H836" s="4" t="s">
        <v>1245</v>
      </c>
      <c r="I836" s="10">
        <v>72</v>
      </c>
      <c r="J836" s="34">
        <f t="shared" si="48"/>
        <v>0.62639999999999996</v>
      </c>
      <c r="K836" s="34">
        <f t="shared" si="49"/>
        <v>0.94</v>
      </c>
      <c r="L836" s="34">
        <f t="shared" si="50"/>
        <v>3.76</v>
      </c>
      <c r="M836" s="11" t="s">
        <v>4254</v>
      </c>
      <c r="N836" s="11" t="s">
        <v>3891</v>
      </c>
      <c r="O836" s="11" t="s">
        <v>3892</v>
      </c>
      <c r="P836" s="11" t="s">
        <v>3893</v>
      </c>
      <c r="Q836" s="12">
        <v>150</v>
      </c>
      <c r="R836" s="12">
        <v>160</v>
      </c>
      <c r="S836" s="12">
        <v>5</v>
      </c>
      <c r="T836" s="13">
        <v>1.48</v>
      </c>
      <c r="U836" s="13">
        <f t="shared" si="51"/>
        <v>-2.2799999999999998</v>
      </c>
      <c r="V836" s="14">
        <v>181.3</v>
      </c>
      <c r="W836" s="14">
        <v>181.3</v>
      </c>
      <c r="X836" s="11">
        <v>24</v>
      </c>
      <c r="Y836" s="15" t="s">
        <v>3713</v>
      </c>
      <c r="Z836" s="16">
        <v>109.3</v>
      </c>
      <c r="AA836" s="17">
        <v>151.80000000000001</v>
      </c>
      <c r="AB836" s="18" t="s">
        <v>3714</v>
      </c>
    </row>
    <row r="837" spans="1:28" x14ac:dyDescent="0.45">
      <c r="A837" s="2" t="s">
        <v>1423</v>
      </c>
      <c r="B837" s="2" t="s">
        <v>5932</v>
      </c>
      <c r="C837" s="2" t="s">
        <v>1110</v>
      </c>
      <c r="D837" s="2" t="s">
        <v>1111</v>
      </c>
      <c r="E837" s="2" t="s">
        <v>96</v>
      </c>
      <c r="F837" s="3">
        <v>151.77000000000001</v>
      </c>
      <c r="G837" s="3">
        <v>162.43</v>
      </c>
      <c r="H837" s="2" t="s">
        <v>1201</v>
      </c>
      <c r="I837" s="19">
        <v>69</v>
      </c>
      <c r="J837" s="34">
        <f t="shared" ref="J837:J900" si="52">I837*0.0087</f>
        <v>0.60029999999999994</v>
      </c>
      <c r="K837" s="34">
        <f t="shared" ref="K837:K900" si="53">ROUND(J837*1.5,2)</f>
        <v>0.9</v>
      </c>
      <c r="L837" s="34">
        <f t="shared" ref="L837:L900" si="54">K837*4</f>
        <v>3.6</v>
      </c>
      <c r="M837" s="20" t="s">
        <v>4255</v>
      </c>
      <c r="N837" s="20" t="s">
        <v>3891</v>
      </c>
      <c r="O837" s="20" t="s">
        <v>3892</v>
      </c>
      <c r="P837" s="20" t="s">
        <v>3893</v>
      </c>
      <c r="Q837" s="21">
        <v>151.63800000000001</v>
      </c>
      <c r="R837" s="21">
        <v>162.30600000000001</v>
      </c>
      <c r="S837" s="21">
        <v>5.3339999999999996</v>
      </c>
      <c r="T837" s="22">
        <v>1.62</v>
      </c>
      <c r="U837" s="13">
        <f t="shared" ref="U837:U900" si="55">T837-L837</f>
        <v>-1.98</v>
      </c>
      <c r="V837" s="23">
        <v>198.45</v>
      </c>
      <c r="W837" s="23">
        <v>198.45</v>
      </c>
      <c r="X837" s="20">
        <v>87</v>
      </c>
      <c r="Y837" s="24" t="s">
        <v>3737</v>
      </c>
      <c r="Z837" s="16">
        <v>129.44999999999999</v>
      </c>
      <c r="AA837" s="17">
        <v>187.6</v>
      </c>
      <c r="AB837" s="25" t="s">
        <v>4189</v>
      </c>
    </row>
    <row r="838" spans="1:28" x14ac:dyDescent="0.45">
      <c r="A838" s="4" t="s">
        <v>1424</v>
      </c>
      <c r="B838" s="4" t="s">
        <v>5933</v>
      </c>
      <c r="C838" s="4" t="s">
        <v>1110</v>
      </c>
      <c r="D838" s="4" t="s">
        <v>1111</v>
      </c>
      <c r="E838" s="4" t="s">
        <v>96</v>
      </c>
      <c r="F838" s="5">
        <v>151.77000000000001</v>
      </c>
      <c r="G838" s="5">
        <v>165.75</v>
      </c>
      <c r="H838" s="4" t="s">
        <v>1368</v>
      </c>
      <c r="I838" s="10">
        <v>104</v>
      </c>
      <c r="J838" s="34">
        <f t="shared" si="52"/>
        <v>0.90479999999999994</v>
      </c>
      <c r="K838" s="34">
        <f t="shared" si="53"/>
        <v>1.36</v>
      </c>
      <c r="L838" s="34">
        <f t="shared" si="54"/>
        <v>5.44</v>
      </c>
      <c r="M838" s="11" t="s">
        <v>4256</v>
      </c>
      <c r="N838" s="11" t="s">
        <v>3898</v>
      </c>
      <c r="O838" s="11" t="s">
        <v>3892</v>
      </c>
      <c r="P838" s="11" t="s">
        <v>3899</v>
      </c>
      <c r="Q838" s="12">
        <v>151.63800000000001</v>
      </c>
      <c r="R838" s="12">
        <v>165.86199999999999</v>
      </c>
      <c r="S838" s="12">
        <v>7.1120000000000001</v>
      </c>
      <c r="T838" s="13">
        <v>7.14</v>
      </c>
      <c r="U838" s="13">
        <f t="shared" si="55"/>
        <v>1.6999999999999993</v>
      </c>
      <c r="V838" s="14">
        <v>874.65</v>
      </c>
      <c r="W838" s="14">
        <v>874.65</v>
      </c>
      <c r="X838" s="11" t="s">
        <v>3722</v>
      </c>
      <c r="Y838" s="15" t="s">
        <v>3737</v>
      </c>
      <c r="Z838" s="16">
        <v>770.65</v>
      </c>
      <c r="AA838" s="17">
        <v>741</v>
      </c>
      <c r="AB838" s="18" t="s">
        <v>4199</v>
      </c>
    </row>
    <row r="839" spans="1:28" x14ac:dyDescent="0.45">
      <c r="A839" s="2" t="s">
        <v>1425</v>
      </c>
      <c r="B839" s="2" t="s">
        <v>5934</v>
      </c>
      <c r="C839" s="2" t="s">
        <v>1110</v>
      </c>
      <c r="D839" s="2" t="s">
        <v>1111</v>
      </c>
      <c r="E839" s="2" t="s">
        <v>96</v>
      </c>
      <c r="F839" s="3">
        <v>151.99</v>
      </c>
      <c r="G839" s="3">
        <v>159.05000000000001</v>
      </c>
      <c r="H839" s="2" t="s">
        <v>1156</v>
      </c>
      <c r="I839" s="19">
        <v>42</v>
      </c>
      <c r="J839" s="34">
        <f t="shared" si="52"/>
        <v>0.36539999999999995</v>
      </c>
      <c r="K839" s="34">
        <f t="shared" si="53"/>
        <v>0.55000000000000004</v>
      </c>
      <c r="L839" s="34">
        <f t="shared" si="54"/>
        <v>2.2000000000000002</v>
      </c>
      <c r="M839" s="20" t="s">
        <v>4257</v>
      </c>
      <c r="N839" s="20" t="s">
        <v>3891</v>
      </c>
      <c r="O839" s="20" t="s">
        <v>3892</v>
      </c>
      <c r="P839" s="20" t="s">
        <v>3893</v>
      </c>
      <c r="Q839" s="21">
        <v>151.892</v>
      </c>
      <c r="R839" s="21">
        <v>159.00399999999999</v>
      </c>
      <c r="S839" s="21">
        <v>3.556</v>
      </c>
      <c r="T839" s="22">
        <v>0.68</v>
      </c>
      <c r="U839" s="13">
        <f t="shared" si="55"/>
        <v>-1.52</v>
      </c>
      <c r="V839" s="23">
        <v>83.3</v>
      </c>
      <c r="W839" s="23">
        <v>83.3</v>
      </c>
      <c r="X839" s="20">
        <v>210</v>
      </c>
      <c r="Y839" s="24" t="s">
        <v>3737</v>
      </c>
      <c r="Z839" s="16">
        <v>41.3</v>
      </c>
      <c r="AA839" s="17">
        <v>98.3</v>
      </c>
      <c r="AB839" s="25" t="s">
        <v>3963</v>
      </c>
    </row>
    <row r="840" spans="1:28" x14ac:dyDescent="0.45">
      <c r="A840" s="4" t="s">
        <v>1426</v>
      </c>
      <c r="B840" s="4" t="s">
        <v>5935</v>
      </c>
      <c r="C840" s="4" t="s">
        <v>1110</v>
      </c>
      <c r="D840" s="4" t="s">
        <v>1111</v>
      </c>
      <c r="E840" s="4" t="s">
        <v>96</v>
      </c>
      <c r="F840" s="5">
        <v>154.19999999999999</v>
      </c>
      <c r="G840" s="5">
        <v>165.6</v>
      </c>
      <c r="H840" s="4" t="s">
        <v>1297</v>
      </c>
      <c r="I840" s="10">
        <v>98</v>
      </c>
      <c r="J840" s="34">
        <f t="shared" si="52"/>
        <v>0.85259999999999991</v>
      </c>
      <c r="K840" s="34">
        <f t="shared" si="53"/>
        <v>1.28</v>
      </c>
      <c r="L840" s="34">
        <f t="shared" si="54"/>
        <v>5.12</v>
      </c>
      <c r="M840" s="11" t="s">
        <v>4258</v>
      </c>
      <c r="N840" s="11" t="s">
        <v>3891</v>
      </c>
      <c r="O840" s="11" t="s">
        <v>3892</v>
      </c>
      <c r="P840" s="11" t="s">
        <v>3893</v>
      </c>
      <c r="Q840" s="12">
        <v>154.30000000000001</v>
      </c>
      <c r="R840" s="12">
        <v>165.7</v>
      </c>
      <c r="S840" s="12">
        <v>5.7</v>
      </c>
      <c r="T840" s="13">
        <v>1.68</v>
      </c>
      <c r="U840" s="13">
        <f t="shared" si="55"/>
        <v>-3.4400000000000004</v>
      </c>
      <c r="V840" s="14">
        <v>205.8</v>
      </c>
      <c r="W840" s="14">
        <v>205.8</v>
      </c>
      <c r="X840" s="11">
        <v>79</v>
      </c>
      <c r="Y840" s="15" t="s">
        <v>3713</v>
      </c>
      <c r="Z840" s="16">
        <v>107.8</v>
      </c>
      <c r="AA840" s="17">
        <v>110</v>
      </c>
      <c r="AB840" s="18" t="s">
        <v>4119</v>
      </c>
    </row>
    <row r="841" spans="1:28" x14ac:dyDescent="0.45">
      <c r="A841" s="2" t="s">
        <v>1427</v>
      </c>
      <c r="B841" s="2" t="s">
        <v>5936</v>
      </c>
      <c r="C841" s="2" t="s">
        <v>1110</v>
      </c>
      <c r="D841" s="2" t="s">
        <v>1111</v>
      </c>
      <c r="E841" s="2" t="s">
        <v>96</v>
      </c>
      <c r="F841" s="3">
        <v>158.12</v>
      </c>
      <c r="G841" s="3">
        <v>168.78</v>
      </c>
      <c r="H841" s="2" t="s">
        <v>1201</v>
      </c>
      <c r="I841" s="19">
        <v>71</v>
      </c>
      <c r="J841" s="34">
        <f t="shared" si="52"/>
        <v>0.61769999999999992</v>
      </c>
      <c r="K841" s="34">
        <f t="shared" si="53"/>
        <v>0.93</v>
      </c>
      <c r="L841" s="34">
        <f t="shared" si="54"/>
        <v>3.72</v>
      </c>
      <c r="M841" s="20" t="s">
        <v>4259</v>
      </c>
      <c r="N841" s="20" t="s">
        <v>3891</v>
      </c>
      <c r="O841" s="20" t="s">
        <v>3892</v>
      </c>
      <c r="P841" s="20" t="s">
        <v>3893</v>
      </c>
      <c r="Q841" s="21">
        <v>157.988</v>
      </c>
      <c r="R841" s="21">
        <v>168.65600000000001</v>
      </c>
      <c r="S841" s="21">
        <v>5.3339999999999996</v>
      </c>
      <c r="T841" s="22">
        <v>1.6</v>
      </c>
      <c r="U841" s="13">
        <f t="shared" si="55"/>
        <v>-2.12</v>
      </c>
      <c r="V841" s="23">
        <v>196</v>
      </c>
      <c r="W841" s="23">
        <v>196</v>
      </c>
      <c r="X841" s="20">
        <v>97</v>
      </c>
      <c r="Y841" s="24" t="s">
        <v>3737</v>
      </c>
      <c r="Z841" s="16">
        <v>125</v>
      </c>
      <c r="AA841" s="17">
        <v>176.1</v>
      </c>
      <c r="AB841" s="25" t="s">
        <v>4189</v>
      </c>
    </row>
    <row r="842" spans="1:28" x14ac:dyDescent="0.45">
      <c r="A842" s="4" t="s">
        <v>1428</v>
      </c>
      <c r="B842" s="4" t="s">
        <v>5937</v>
      </c>
      <c r="C842" s="4" t="s">
        <v>1110</v>
      </c>
      <c r="D842" s="4" t="s">
        <v>1111</v>
      </c>
      <c r="E842" s="4" t="s">
        <v>96</v>
      </c>
      <c r="F842" s="5">
        <v>158.12</v>
      </c>
      <c r="G842" s="5">
        <v>172.1</v>
      </c>
      <c r="H842" s="4" t="s">
        <v>1368</v>
      </c>
      <c r="I842" s="10">
        <v>106</v>
      </c>
      <c r="J842" s="34">
        <f t="shared" si="52"/>
        <v>0.92219999999999991</v>
      </c>
      <c r="K842" s="34">
        <f t="shared" si="53"/>
        <v>1.38</v>
      </c>
      <c r="L842" s="34">
        <f t="shared" si="54"/>
        <v>5.52</v>
      </c>
      <c r="M842" s="11" t="s">
        <v>4260</v>
      </c>
      <c r="N842" s="11" t="s">
        <v>3891</v>
      </c>
      <c r="O842" s="11" t="s">
        <v>3892</v>
      </c>
      <c r="P842" s="11" t="s">
        <v>3893</v>
      </c>
      <c r="Q842" s="12">
        <v>157.988</v>
      </c>
      <c r="R842" s="12">
        <v>172.21199999999999</v>
      </c>
      <c r="S842" s="12">
        <v>7.1120000000000001</v>
      </c>
      <c r="T842" s="13">
        <v>2.4</v>
      </c>
      <c r="U842" s="13">
        <f t="shared" si="55"/>
        <v>-3.1199999999999997</v>
      </c>
      <c r="V842" s="14">
        <v>294</v>
      </c>
      <c r="W842" s="14">
        <v>294</v>
      </c>
      <c r="X842" s="11">
        <v>55</v>
      </c>
      <c r="Y842" s="15" t="s">
        <v>3737</v>
      </c>
      <c r="Z842" s="16">
        <v>188</v>
      </c>
      <c r="AA842" s="17">
        <v>177.4</v>
      </c>
      <c r="AB842" s="18" t="s">
        <v>4199</v>
      </c>
    </row>
    <row r="843" spans="1:28" x14ac:dyDescent="0.45">
      <c r="A843" s="2" t="s">
        <v>1429</v>
      </c>
      <c r="B843" s="2" t="s">
        <v>5938</v>
      </c>
      <c r="C843" s="2" t="s">
        <v>1110</v>
      </c>
      <c r="D843" s="2" t="s">
        <v>1111</v>
      </c>
      <c r="E843" s="2" t="s">
        <v>96</v>
      </c>
      <c r="F843" s="3">
        <v>158.34</v>
      </c>
      <c r="G843" s="3">
        <v>165.4</v>
      </c>
      <c r="H843" s="2" t="s">
        <v>1156</v>
      </c>
      <c r="I843" s="19">
        <v>45</v>
      </c>
      <c r="J843" s="34">
        <f t="shared" si="52"/>
        <v>0.39149999999999996</v>
      </c>
      <c r="K843" s="34">
        <f t="shared" si="53"/>
        <v>0.59</v>
      </c>
      <c r="L843" s="34">
        <f t="shared" si="54"/>
        <v>2.36</v>
      </c>
      <c r="M843" s="20" t="s">
        <v>4261</v>
      </c>
      <c r="N843" s="20" t="s">
        <v>3891</v>
      </c>
      <c r="O843" s="20" t="s">
        <v>3892</v>
      </c>
      <c r="P843" s="20" t="s">
        <v>3893</v>
      </c>
      <c r="Q843" s="21">
        <v>158.24199999999999</v>
      </c>
      <c r="R843" s="21">
        <v>165.35400000000001</v>
      </c>
      <c r="S843" s="21">
        <v>3.556</v>
      </c>
      <c r="T843" s="22">
        <v>1</v>
      </c>
      <c r="U843" s="13">
        <f t="shared" si="55"/>
        <v>-1.3599999999999999</v>
      </c>
      <c r="V843" s="23">
        <v>122.5</v>
      </c>
      <c r="W843" s="23">
        <v>122.5</v>
      </c>
      <c r="X843" s="20">
        <v>356</v>
      </c>
      <c r="Y843" s="24" t="s">
        <v>3737</v>
      </c>
      <c r="Z843" s="16">
        <v>77.5</v>
      </c>
      <c r="AA843" s="17">
        <v>172.2</v>
      </c>
      <c r="AB843" s="25" t="s">
        <v>3963</v>
      </c>
    </row>
    <row r="844" spans="1:28" x14ac:dyDescent="0.45">
      <c r="A844" s="4" t="s">
        <v>1430</v>
      </c>
      <c r="B844" s="4" t="s">
        <v>5939</v>
      </c>
      <c r="C844" s="4" t="s">
        <v>1110</v>
      </c>
      <c r="D844" s="4" t="s">
        <v>1111</v>
      </c>
      <c r="E844" s="4" t="s">
        <v>96</v>
      </c>
      <c r="F844" s="5">
        <v>159.19999999999999</v>
      </c>
      <c r="G844" s="5">
        <v>170.6</v>
      </c>
      <c r="H844" s="4" t="s">
        <v>1297</v>
      </c>
      <c r="I844" s="10">
        <v>101</v>
      </c>
      <c r="J844" s="34">
        <f t="shared" si="52"/>
        <v>0.87869999999999993</v>
      </c>
      <c r="K844" s="34">
        <f t="shared" si="53"/>
        <v>1.32</v>
      </c>
      <c r="L844" s="34">
        <f t="shared" si="54"/>
        <v>5.28</v>
      </c>
      <c r="M844" s="11" t="s">
        <v>4262</v>
      </c>
      <c r="N844" s="11" t="s">
        <v>3891</v>
      </c>
      <c r="O844" s="11" t="s">
        <v>3892</v>
      </c>
      <c r="P844" s="11" t="s">
        <v>3893</v>
      </c>
      <c r="Q844" s="12">
        <v>159.30000000000001</v>
      </c>
      <c r="R844" s="12">
        <v>170.7</v>
      </c>
      <c r="S844" s="12">
        <v>5.7</v>
      </c>
      <c r="T844" s="13">
        <v>1.91</v>
      </c>
      <c r="U844" s="13">
        <f t="shared" si="55"/>
        <v>-3.37</v>
      </c>
      <c r="V844" s="14">
        <v>233.98</v>
      </c>
      <c r="W844" s="14">
        <v>233.98</v>
      </c>
      <c r="X844" s="11">
        <v>465</v>
      </c>
      <c r="Y844" s="15" t="s">
        <v>3713</v>
      </c>
      <c r="Z844" s="16">
        <v>132.97999999999999</v>
      </c>
      <c r="AA844" s="17">
        <v>131.69999999999999</v>
      </c>
      <c r="AB844" s="18" t="s">
        <v>4119</v>
      </c>
    </row>
    <row r="845" spans="1:28" x14ac:dyDescent="0.45">
      <c r="A845" s="2" t="s">
        <v>1431</v>
      </c>
      <c r="B845" s="2" t="s">
        <v>5940</v>
      </c>
      <c r="C845" s="2" t="s">
        <v>1110</v>
      </c>
      <c r="D845" s="2" t="s">
        <v>1111</v>
      </c>
      <c r="E845" s="2" t="s">
        <v>96</v>
      </c>
      <c r="F845" s="3">
        <v>164.2</v>
      </c>
      <c r="G845" s="3">
        <v>175.6</v>
      </c>
      <c r="H845" s="2" t="s">
        <v>1297</v>
      </c>
      <c r="I845" s="19">
        <v>104</v>
      </c>
      <c r="J845" s="34">
        <f t="shared" si="52"/>
        <v>0.90479999999999994</v>
      </c>
      <c r="K845" s="34">
        <f t="shared" si="53"/>
        <v>1.36</v>
      </c>
      <c r="L845" s="34">
        <f t="shared" si="54"/>
        <v>5.44</v>
      </c>
      <c r="M845" s="20" t="s">
        <v>4263</v>
      </c>
      <c r="N845" s="20" t="s">
        <v>3891</v>
      </c>
      <c r="O845" s="20" t="s">
        <v>3892</v>
      </c>
      <c r="P845" s="20" t="s">
        <v>3893</v>
      </c>
      <c r="Q845" s="21">
        <v>164.3</v>
      </c>
      <c r="R845" s="21">
        <v>175.7</v>
      </c>
      <c r="S845" s="21">
        <v>5.7</v>
      </c>
      <c r="T845" s="22">
        <v>2.04</v>
      </c>
      <c r="U845" s="13">
        <f t="shared" si="55"/>
        <v>-3.4000000000000004</v>
      </c>
      <c r="V845" s="23">
        <v>249.9</v>
      </c>
      <c r="W845" s="23">
        <v>249.9</v>
      </c>
      <c r="X845" s="20">
        <v>56</v>
      </c>
      <c r="Y845" s="24" t="s">
        <v>3713</v>
      </c>
      <c r="Z845" s="16">
        <v>145.9</v>
      </c>
      <c r="AA845" s="17">
        <v>140.30000000000001</v>
      </c>
      <c r="AB845" s="25" t="s">
        <v>4119</v>
      </c>
    </row>
    <row r="846" spans="1:28" x14ac:dyDescent="0.45">
      <c r="A846" s="4" t="s">
        <v>1432</v>
      </c>
      <c r="B846" s="4" t="s">
        <v>5941</v>
      </c>
      <c r="C846" s="4" t="s">
        <v>1110</v>
      </c>
      <c r="D846" s="4" t="s">
        <v>1111</v>
      </c>
      <c r="E846" s="4" t="s">
        <v>96</v>
      </c>
      <c r="F846" s="5">
        <v>164.47</v>
      </c>
      <c r="G846" s="5">
        <v>175.13</v>
      </c>
      <c r="H846" s="4" t="s">
        <v>1201</v>
      </c>
      <c r="I846" s="10">
        <v>74</v>
      </c>
      <c r="J846" s="34">
        <f t="shared" si="52"/>
        <v>0.64379999999999993</v>
      </c>
      <c r="K846" s="34">
        <f t="shared" si="53"/>
        <v>0.97</v>
      </c>
      <c r="L846" s="34">
        <f t="shared" si="54"/>
        <v>3.88</v>
      </c>
      <c r="M846" s="11" t="s">
        <v>4264</v>
      </c>
      <c r="N846" s="11" t="s">
        <v>3891</v>
      </c>
      <c r="O846" s="11" t="s">
        <v>3892</v>
      </c>
      <c r="P846" s="11" t="s">
        <v>3893</v>
      </c>
      <c r="Q846" s="12">
        <v>164.59200000000001</v>
      </c>
      <c r="R846" s="12">
        <v>175.006</v>
      </c>
      <c r="S846" s="12">
        <v>5.3339999999999996</v>
      </c>
      <c r="T846" s="13">
        <v>1.71</v>
      </c>
      <c r="U846" s="13">
        <f t="shared" si="55"/>
        <v>-2.17</v>
      </c>
      <c r="V846" s="14">
        <v>209.48</v>
      </c>
      <c r="W846" s="14">
        <v>209.48</v>
      </c>
      <c r="X846" s="11">
        <v>247</v>
      </c>
      <c r="Y846" s="15" t="s">
        <v>3737</v>
      </c>
      <c r="Z846" s="16">
        <v>135.47999999999999</v>
      </c>
      <c r="AA846" s="17">
        <v>183.1</v>
      </c>
      <c r="AB846" s="18" t="s">
        <v>4169</v>
      </c>
    </row>
    <row r="847" spans="1:28" x14ac:dyDescent="0.45">
      <c r="A847" s="2" t="s">
        <v>1433</v>
      </c>
      <c r="B847" s="2" t="s">
        <v>5942</v>
      </c>
      <c r="C847" s="2" t="s">
        <v>1110</v>
      </c>
      <c r="D847" s="2" t="s">
        <v>1111</v>
      </c>
      <c r="E847" s="2" t="s">
        <v>96</v>
      </c>
      <c r="F847" s="3">
        <v>164.47</v>
      </c>
      <c r="G847" s="3">
        <v>178.45</v>
      </c>
      <c r="H847" s="2" t="s">
        <v>1368</v>
      </c>
      <c r="I847" s="19">
        <v>111</v>
      </c>
      <c r="J847" s="34">
        <f t="shared" si="52"/>
        <v>0.96569999999999989</v>
      </c>
      <c r="K847" s="34">
        <f t="shared" si="53"/>
        <v>1.45</v>
      </c>
      <c r="L847" s="34">
        <f t="shared" si="54"/>
        <v>5.8</v>
      </c>
      <c r="M847" s="20" t="s">
        <v>4265</v>
      </c>
      <c r="N847" s="20" t="s">
        <v>3891</v>
      </c>
      <c r="O847" s="20" t="s">
        <v>3892</v>
      </c>
      <c r="P847" s="20" t="s">
        <v>3893</v>
      </c>
      <c r="Q847" s="21">
        <v>164.33799999999999</v>
      </c>
      <c r="R847" s="21">
        <v>178.56200000000001</v>
      </c>
      <c r="S847" s="21">
        <v>7.1120000000000001</v>
      </c>
      <c r="T847" s="22">
        <v>2.46</v>
      </c>
      <c r="U847" s="13">
        <f t="shared" si="55"/>
        <v>-3.34</v>
      </c>
      <c r="V847" s="23">
        <v>301.35000000000002</v>
      </c>
      <c r="W847" s="23">
        <v>301.35000000000002</v>
      </c>
      <c r="X847" s="20">
        <v>167</v>
      </c>
      <c r="Y847" s="24" t="s">
        <v>3737</v>
      </c>
      <c r="Z847" s="16">
        <v>190.35</v>
      </c>
      <c r="AA847" s="17">
        <v>171.5</v>
      </c>
      <c r="AB847" s="25" t="s">
        <v>4199</v>
      </c>
    </row>
    <row r="848" spans="1:28" x14ac:dyDescent="0.45">
      <c r="A848" s="4" t="s">
        <v>1434</v>
      </c>
      <c r="B848" s="4" t="s">
        <v>5943</v>
      </c>
      <c r="C848" s="4" t="s">
        <v>1110</v>
      </c>
      <c r="D848" s="4" t="s">
        <v>1111</v>
      </c>
      <c r="E848" s="4" t="s">
        <v>96</v>
      </c>
      <c r="F848" s="5">
        <v>164.69</v>
      </c>
      <c r="G848" s="5">
        <v>171.75</v>
      </c>
      <c r="H848" s="4" t="s">
        <v>1156</v>
      </c>
      <c r="I848" s="10">
        <v>47</v>
      </c>
      <c r="J848" s="34">
        <f t="shared" si="52"/>
        <v>0.40889999999999999</v>
      </c>
      <c r="K848" s="34">
        <f t="shared" si="53"/>
        <v>0.61</v>
      </c>
      <c r="L848" s="34">
        <f t="shared" si="54"/>
        <v>2.44</v>
      </c>
      <c r="M848" s="11" t="s">
        <v>4266</v>
      </c>
      <c r="N848" s="11" t="s">
        <v>3891</v>
      </c>
      <c r="O848" s="11" t="s">
        <v>3892</v>
      </c>
      <c r="P848" s="11" t="s">
        <v>3893</v>
      </c>
      <c r="Q848" s="12">
        <v>164.59200000000001</v>
      </c>
      <c r="R848" s="12">
        <v>171.70400000000001</v>
      </c>
      <c r="S848" s="12">
        <v>3.556</v>
      </c>
      <c r="T848" s="13">
        <v>0.93</v>
      </c>
      <c r="U848" s="13">
        <f t="shared" si="55"/>
        <v>-1.5099999999999998</v>
      </c>
      <c r="V848" s="14">
        <v>113.93</v>
      </c>
      <c r="W848" s="14">
        <v>113.93</v>
      </c>
      <c r="X848" s="11">
        <v>388</v>
      </c>
      <c r="Y848" s="15" t="s">
        <v>3737</v>
      </c>
      <c r="Z848" s="16">
        <v>66.930000000000007</v>
      </c>
      <c r="AA848" s="17">
        <v>142.4</v>
      </c>
      <c r="AB848" s="18" t="s">
        <v>3963</v>
      </c>
    </row>
    <row r="849" spans="1:28" x14ac:dyDescent="0.45">
      <c r="A849" s="2" t="s">
        <v>1435</v>
      </c>
      <c r="B849" s="2" t="s">
        <v>5944</v>
      </c>
      <c r="C849" s="2" t="s">
        <v>1110</v>
      </c>
      <c r="D849" s="2" t="s">
        <v>1111</v>
      </c>
      <c r="E849" s="2" t="s">
        <v>96</v>
      </c>
      <c r="F849" s="3">
        <v>169.2</v>
      </c>
      <c r="G849" s="3">
        <v>180.6</v>
      </c>
      <c r="H849" s="2" t="s">
        <v>1297</v>
      </c>
      <c r="I849" s="19">
        <v>109</v>
      </c>
      <c r="J849" s="34">
        <f t="shared" si="52"/>
        <v>0.94829999999999992</v>
      </c>
      <c r="K849" s="34">
        <f t="shared" si="53"/>
        <v>1.42</v>
      </c>
      <c r="L849" s="34">
        <f t="shared" si="54"/>
        <v>5.68</v>
      </c>
      <c r="M849" s="20" t="s">
        <v>4267</v>
      </c>
      <c r="N849" s="20" t="s">
        <v>3891</v>
      </c>
      <c r="O849" s="20" t="s">
        <v>3892</v>
      </c>
      <c r="P849" s="20" t="s">
        <v>3893</v>
      </c>
      <c r="Q849" s="21">
        <v>169.3</v>
      </c>
      <c r="R849" s="21">
        <v>180.7</v>
      </c>
      <c r="S849" s="21">
        <v>5.7</v>
      </c>
      <c r="T849" s="22">
        <v>2.12</v>
      </c>
      <c r="U849" s="13">
        <f t="shared" si="55"/>
        <v>-3.5599999999999996</v>
      </c>
      <c r="V849" s="23">
        <v>259.7</v>
      </c>
      <c r="W849" s="23">
        <v>259.7</v>
      </c>
      <c r="X849" s="20">
        <v>53</v>
      </c>
      <c r="Y849" s="24" t="s">
        <v>3713</v>
      </c>
      <c r="Z849" s="16">
        <v>150.69999999999999</v>
      </c>
      <c r="AA849" s="17">
        <v>138.30000000000001</v>
      </c>
      <c r="AB849" s="25" t="s">
        <v>4119</v>
      </c>
    </row>
    <row r="850" spans="1:28" x14ac:dyDescent="0.45">
      <c r="A850" s="4" t="s">
        <v>1436</v>
      </c>
      <c r="B850" s="4" t="s">
        <v>5945</v>
      </c>
      <c r="C850" s="4" t="s">
        <v>1110</v>
      </c>
      <c r="D850" s="4" t="s">
        <v>1111</v>
      </c>
      <c r="E850" s="4" t="s">
        <v>96</v>
      </c>
      <c r="F850" s="5">
        <v>170.82</v>
      </c>
      <c r="G850" s="5">
        <v>181.48</v>
      </c>
      <c r="H850" s="4" t="s">
        <v>1201</v>
      </c>
      <c r="I850" s="10">
        <v>76</v>
      </c>
      <c r="J850" s="34">
        <f t="shared" si="52"/>
        <v>0.66120000000000001</v>
      </c>
      <c r="K850" s="34">
        <f t="shared" si="53"/>
        <v>0.99</v>
      </c>
      <c r="L850" s="34">
        <f t="shared" si="54"/>
        <v>3.96</v>
      </c>
      <c r="M850" s="11" t="s">
        <v>4268</v>
      </c>
      <c r="N850" s="11" t="s">
        <v>3891</v>
      </c>
      <c r="O850" s="11" t="s">
        <v>3892</v>
      </c>
      <c r="P850" s="11" t="s">
        <v>3893</v>
      </c>
      <c r="Q850" s="12">
        <v>170.68799999999999</v>
      </c>
      <c r="R850" s="12">
        <v>181.35599999999999</v>
      </c>
      <c r="S850" s="12">
        <v>5.3339999999999996</v>
      </c>
      <c r="T850" s="13">
        <v>1.84</v>
      </c>
      <c r="U850" s="13">
        <f t="shared" si="55"/>
        <v>-2.12</v>
      </c>
      <c r="V850" s="14">
        <v>225.4</v>
      </c>
      <c r="W850" s="14">
        <v>225.4</v>
      </c>
      <c r="X850" s="11">
        <v>75</v>
      </c>
      <c r="Y850" s="15" t="s">
        <v>3737</v>
      </c>
      <c r="Z850" s="16">
        <v>149.4</v>
      </c>
      <c r="AA850" s="17">
        <v>196.6</v>
      </c>
      <c r="AB850" s="18" t="s">
        <v>4189</v>
      </c>
    </row>
    <row r="851" spans="1:28" x14ac:dyDescent="0.45">
      <c r="A851" s="2" t="s">
        <v>1437</v>
      </c>
      <c r="B851" s="2" t="s">
        <v>5946</v>
      </c>
      <c r="C851" s="2" t="s">
        <v>1110</v>
      </c>
      <c r="D851" s="2" t="s">
        <v>1111</v>
      </c>
      <c r="E851" s="2" t="s">
        <v>96</v>
      </c>
      <c r="F851" s="3">
        <v>170.82</v>
      </c>
      <c r="G851" s="3">
        <v>184.8</v>
      </c>
      <c r="H851" s="2" t="s">
        <v>1368</v>
      </c>
      <c r="I851" s="19">
        <v>114</v>
      </c>
      <c r="J851" s="34">
        <f t="shared" si="52"/>
        <v>0.9917999999999999</v>
      </c>
      <c r="K851" s="34">
        <f t="shared" si="53"/>
        <v>1.49</v>
      </c>
      <c r="L851" s="34">
        <f t="shared" si="54"/>
        <v>5.96</v>
      </c>
      <c r="M851" s="20" t="s">
        <v>4269</v>
      </c>
      <c r="N851" s="20" t="s">
        <v>3891</v>
      </c>
      <c r="O851" s="20" t="s">
        <v>3892</v>
      </c>
      <c r="P851" s="20" t="s">
        <v>3893</v>
      </c>
      <c r="Q851" s="21">
        <v>170.68799999999999</v>
      </c>
      <c r="R851" s="21">
        <v>184.91200000000001</v>
      </c>
      <c r="S851" s="21">
        <v>7.1120000000000001</v>
      </c>
      <c r="T851" s="22">
        <v>2.5299999999999998</v>
      </c>
      <c r="U851" s="13">
        <f t="shared" si="55"/>
        <v>-3.43</v>
      </c>
      <c r="V851" s="23">
        <v>309.92</v>
      </c>
      <c r="W851" s="23">
        <v>309.92</v>
      </c>
      <c r="X851" s="20">
        <v>91</v>
      </c>
      <c r="Y851" s="24" t="s">
        <v>3737</v>
      </c>
      <c r="Z851" s="16">
        <v>195.92</v>
      </c>
      <c r="AA851" s="17">
        <v>171.9</v>
      </c>
      <c r="AB851" s="25" t="s">
        <v>4199</v>
      </c>
    </row>
    <row r="852" spans="1:28" x14ac:dyDescent="0.45">
      <c r="A852" s="4" t="s">
        <v>1438</v>
      </c>
      <c r="B852" s="4" t="s">
        <v>5947</v>
      </c>
      <c r="C852" s="4" t="s">
        <v>1110</v>
      </c>
      <c r="D852" s="4" t="s">
        <v>1111</v>
      </c>
      <c r="E852" s="4" t="s">
        <v>96</v>
      </c>
      <c r="F852" s="5">
        <v>171.04</v>
      </c>
      <c r="G852" s="5">
        <v>178.1</v>
      </c>
      <c r="H852" s="4" t="s">
        <v>1156</v>
      </c>
      <c r="I852" s="10">
        <v>47</v>
      </c>
      <c r="J852" s="34">
        <f t="shared" si="52"/>
        <v>0.40889999999999999</v>
      </c>
      <c r="K852" s="34">
        <f t="shared" si="53"/>
        <v>0.61</v>
      </c>
      <c r="L852" s="34">
        <f t="shared" si="54"/>
        <v>2.44</v>
      </c>
      <c r="M852" s="11" t="s">
        <v>4270</v>
      </c>
      <c r="N852" s="11" t="s">
        <v>3891</v>
      </c>
      <c r="O852" s="11" t="s">
        <v>3892</v>
      </c>
      <c r="P852" s="11" t="s">
        <v>3893</v>
      </c>
      <c r="Q852" s="12">
        <v>170.94200000000001</v>
      </c>
      <c r="R852" s="12">
        <v>178.054</v>
      </c>
      <c r="S852" s="12">
        <v>3.556</v>
      </c>
      <c r="T852" s="13">
        <v>1.1000000000000001</v>
      </c>
      <c r="U852" s="13">
        <f t="shared" si="55"/>
        <v>-1.3399999999999999</v>
      </c>
      <c r="V852" s="14">
        <v>134.75</v>
      </c>
      <c r="W852" s="14">
        <v>134.75</v>
      </c>
      <c r="X852" s="11">
        <v>144</v>
      </c>
      <c r="Y852" s="15" t="s">
        <v>3737</v>
      </c>
      <c r="Z852" s="16">
        <v>87.75</v>
      </c>
      <c r="AA852" s="17">
        <v>186.7</v>
      </c>
      <c r="AB852" s="18" t="s">
        <v>3963</v>
      </c>
    </row>
    <row r="853" spans="1:28" x14ac:dyDescent="0.45">
      <c r="A853" s="2" t="s">
        <v>1439</v>
      </c>
      <c r="B853" s="2" t="s">
        <v>5948</v>
      </c>
      <c r="C853" s="2" t="s">
        <v>1110</v>
      </c>
      <c r="D853" s="2" t="s">
        <v>1111</v>
      </c>
      <c r="E853" s="2" t="s">
        <v>96</v>
      </c>
      <c r="F853" s="3">
        <v>174.2</v>
      </c>
      <c r="G853" s="3">
        <v>185.6</v>
      </c>
      <c r="H853" s="2" t="s">
        <v>1297</v>
      </c>
      <c r="I853" s="19">
        <v>114</v>
      </c>
      <c r="J853" s="34">
        <f t="shared" si="52"/>
        <v>0.9917999999999999</v>
      </c>
      <c r="K853" s="34">
        <f t="shared" si="53"/>
        <v>1.49</v>
      </c>
      <c r="L853" s="34">
        <f t="shared" si="54"/>
        <v>5.96</v>
      </c>
      <c r="M853" s="20" t="s">
        <v>4271</v>
      </c>
      <c r="N853" s="20" t="s">
        <v>3891</v>
      </c>
      <c r="O853" s="20" t="s">
        <v>3892</v>
      </c>
      <c r="P853" s="20" t="s">
        <v>3893</v>
      </c>
      <c r="Q853" s="21">
        <v>174.3</v>
      </c>
      <c r="R853" s="21">
        <v>185.7</v>
      </c>
      <c r="S853" s="21">
        <v>5.7</v>
      </c>
      <c r="T853" s="22">
        <v>2.2999999999999998</v>
      </c>
      <c r="U853" s="13">
        <f t="shared" si="55"/>
        <v>-3.66</v>
      </c>
      <c r="V853" s="23">
        <v>281.75</v>
      </c>
      <c r="W853" s="23">
        <v>281.75</v>
      </c>
      <c r="X853" s="20">
        <v>14</v>
      </c>
      <c r="Y853" s="24" t="s">
        <v>3713</v>
      </c>
      <c r="Z853" s="16">
        <v>167.75</v>
      </c>
      <c r="AA853" s="17">
        <v>147.1</v>
      </c>
      <c r="AB853" s="25" t="s">
        <v>4119</v>
      </c>
    </row>
    <row r="854" spans="1:28" x14ac:dyDescent="0.45">
      <c r="A854" s="4" t="s">
        <v>1440</v>
      </c>
      <c r="B854" s="4" t="s">
        <v>5949</v>
      </c>
      <c r="C854" s="4" t="s">
        <v>1110</v>
      </c>
      <c r="D854" s="4" t="s">
        <v>1111</v>
      </c>
      <c r="E854" s="4" t="s">
        <v>96</v>
      </c>
      <c r="F854" s="5">
        <v>174</v>
      </c>
      <c r="G854" s="5">
        <v>180</v>
      </c>
      <c r="H854" s="4" t="s">
        <v>1149</v>
      </c>
      <c r="I854" s="10">
        <v>50</v>
      </c>
      <c r="J854" s="34">
        <f t="shared" si="52"/>
        <v>0.43499999999999994</v>
      </c>
      <c r="K854" s="34">
        <f t="shared" si="53"/>
        <v>0.65</v>
      </c>
      <c r="L854" s="34">
        <f t="shared" si="54"/>
        <v>2.6</v>
      </c>
      <c r="M854" s="11" t="s">
        <v>4272</v>
      </c>
      <c r="N854" s="11" t="s">
        <v>3891</v>
      </c>
      <c r="O854" s="11" t="s">
        <v>3892</v>
      </c>
      <c r="P854" s="11" t="s">
        <v>3893</v>
      </c>
      <c r="Q854" s="12">
        <v>174</v>
      </c>
      <c r="R854" s="12">
        <v>180</v>
      </c>
      <c r="S854" s="12">
        <v>3</v>
      </c>
      <c r="T854" s="13">
        <v>1.62</v>
      </c>
      <c r="U854" s="13">
        <f t="shared" si="55"/>
        <v>-0.98</v>
      </c>
      <c r="V854" s="14">
        <v>198.45</v>
      </c>
      <c r="W854" s="14">
        <v>198.45</v>
      </c>
      <c r="X854" s="11">
        <v>443</v>
      </c>
      <c r="Y854" s="15" t="s">
        <v>3713</v>
      </c>
      <c r="Z854" s="16">
        <v>148.44999999999999</v>
      </c>
      <c r="AA854" s="17">
        <v>296.89999999999998</v>
      </c>
      <c r="AB854" s="18" t="s">
        <v>3714</v>
      </c>
    </row>
    <row r="855" spans="1:28" x14ac:dyDescent="0.45">
      <c r="A855" s="2" t="s">
        <v>1441</v>
      </c>
      <c r="B855" s="2" t="s">
        <v>5950</v>
      </c>
      <c r="C855" s="2" t="s">
        <v>1110</v>
      </c>
      <c r="D855" s="2" t="s">
        <v>1111</v>
      </c>
      <c r="E855" s="2" t="s">
        <v>96</v>
      </c>
      <c r="F855" s="3">
        <v>177.17</v>
      </c>
      <c r="G855" s="3">
        <v>187.83</v>
      </c>
      <c r="H855" s="2" t="s">
        <v>1201</v>
      </c>
      <c r="I855" s="19">
        <v>79</v>
      </c>
      <c r="J855" s="34">
        <f t="shared" si="52"/>
        <v>0.68729999999999991</v>
      </c>
      <c r="K855" s="34">
        <f t="shared" si="53"/>
        <v>1.03</v>
      </c>
      <c r="L855" s="34">
        <f t="shared" si="54"/>
        <v>4.12</v>
      </c>
      <c r="M855" s="20" t="s">
        <v>4273</v>
      </c>
      <c r="N855" s="20" t="s">
        <v>3891</v>
      </c>
      <c r="O855" s="20" t="s">
        <v>3892</v>
      </c>
      <c r="P855" s="20" t="s">
        <v>3893</v>
      </c>
      <c r="Q855" s="21">
        <v>177.03800000000001</v>
      </c>
      <c r="R855" s="21">
        <v>187.70599999999999</v>
      </c>
      <c r="S855" s="21">
        <v>5.3339999999999996</v>
      </c>
      <c r="T855" s="22">
        <v>1.25</v>
      </c>
      <c r="U855" s="13">
        <f t="shared" si="55"/>
        <v>-2.87</v>
      </c>
      <c r="V855" s="23">
        <v>153.12</v>
      </c>
      <c r="W855" s="23">
        <v>153.12</v>
      </c>
      <c r="X855" s="20">
        <v>117</v>
      </c>
      <c r="Y855" s="24" t="s">
        <v>3737</v>
      </c>
      <c r="Z855" s="16">
        <v>74.12</v>
      </c>
      <c r="AA855" s="17">
        <v>93.8</v>
      </c>
      <c r="AB855" s="25" t="s">
        <v>4189</v>
      </c>
    </row>
    <row r="856" spans="1:28" x14ac:dyDescent="0.45">
      <c r="A856" s="4" t="s">
        <v>1442</v>
      </c>
      <c r="B856" s="4" t="s">
        <v>5951</v>
      </c>
      <c r="C856" s="4" t="s">
        <v>1110</v>
      </c>
      <c r="D856" s="4" t="s">
        <v>1111</v>
      </c>
      <c r="E856" s="4" t="s">
        <v>96</v>
      </c>
      <c r="F856" s="5">
        <v>177.17</v>
      </c>
      <c r="G856" s="5">
        <v>191.15</v>
      </c>
      <c r="H856" s="4" t="s">
        <v>1368</v>
      </c>
      <c r="I856" s="10">
        <v>118</v>
      </c>
      <c r="J856" s="34">
        <f t="shared" si="52"/>
        <v>1.0266</v>
      </c>
      <c r="K856" s="34">
        <f t="shared" si="53"/>
        <v>1.54</v>
      </c>
      <c r="L856" s="34">
        <f t="shared" si="54"/>
        <v>6.16</v>
      </c>
      <c r="M856" s="11" t="s">
        <v>4274</v>
      </c>
      <c r="N856" s="11" t="s">
        <v>3891</v>
      </c>
      <c r="O856" s="11" t="s">
        <v>3892</v>
      </c>
      <c r="P856" s="11" t="s">
        <v>3893</v>
      </c>
      <c r="Q856" s="12">
        <v>177.03800000000001</v>
      </c>
      <c r="R856" s="12">
        <v>191.262</v>
      </c>
      <c r="S856" s="12">
        <v>7.1120000000000001</v>
      </c>
      <c r="T856" s="13">
        <v>2.56</v>
      </c>
      <c r="U856" s="13">
        <f t="shared" si="55"/>
        <v>-3.6</v>
      </c>
      <c r="V856" s="14">
        <v>313.60000000000002</v>
      </c>
      <c r="W856" s="14">
        <v>313.60000000000002</v>
      </c>
      <c r="X856" s="11">
        <v>42</v>
      </c>
      <c r="Y856" s="15" t="s">
        <v>3737</v>
      </c>
      <c r="Z856" s="16">
        <v>195.6</v>
      </c>
      <c r="AA856" s="17">
        <v>165.8</v>
      </c>
      <c r="AB856" s="18" t="s">
        <v>4199</v>
      </c>
    </row>
    <row r="857" spans="1:28" x14ac:dyDescent="0.45">
      <c r="A857" s="2" t="s">
        <v>1443</v>
      </c>
      <c r="B857" s="2" t="s">
        <v>5952</v>
      </c>
      <c r="C857" s="2" t="s">
        <v>1110</v>
      </c>
      <c r="D857" s="2" t="s">
        <v>1111</v>
      </c>
      <c r="E857" s="2" t="s">
        <v>96</v>
      </c>
      <c r="F857" s="3">
        <v>177.39</v>
      </c>
      <c r="G857" s="3">
        <v>184.45</v>
      </c>
      <c r="H857" s="2" t="s">
        <v>1156</v>
      </c>
      <c r="I857" s="19">
        <v>49</v>
      </c>
      <c r="J857" s="34">
        <f t="shared" si="52"/>
        <v>0.42629999999999996</v>
      </c>
      <c r="K857" s="34">
        <f t="shared" si="53"/>
        <v>0.64</v>
      </c>
      <c r="L857" s="34">
        <f t="shared" si="54"/>
        <v>2.56</v>
      </c>
      <c r="M857" s="20" t="s">
        <v>4275</v>
      </c>
      <c r="N857" s="20" t="s">
        <v>3891</v>
      </c>
      <c r="O857" s="20" t="s">
        <v>3892</v>
      </c>
      <c r="P857" s="20" t="s">
        <v>3893</v>
      </c>
      <c r="Q857" s="21">
        <v>177.292</v>
      </c>
      <c r="R857" s="21">
        <v>184.404</v>
      </c>
      <c r="S857" s="21">
        <v>3.556</v>
      </c>
      <c r="T857" s="22">
        <v>1.1399999999999999</v>
      </c>
      <c r="U857" s="13">
        <f t="shared" si="55"/>
        <v>-1.4200000000000002</v>
      </c>
      <c r="V857" s="23">
        <v>139.65</v>
      </c>
      <c r="W857" s="23">
        <v>139.65</v>
      </c>
      <c r="X857" s="20">
        <v>85</v>
      </c>
      <c r="Y857" s="24" t="s">
        <v>3737</v>
      </c>
      <c r="Z857" s="16">
        <v>90.65</v>
      </c>
      <c r="AA857" s="17">
        <v>185</v>
      </c>
      <c r="AB857" s="25" t="s">
        <v>3963</v>
      </c>
    </row>
    <row r="858" spans="1:28" x14ac:dyDescent="0.45">
      <c r="A858" s="4" t="s">
        <v>1444</v>
      </c>
      <c r="B858" s="4" t="s">
        <v>5953</v>
      </c>
      <c r="C858" s="4" t="s">
        <v>1110</v>
      </c>
      <c r="D858" s="4" t="s">
        <v>1111</v>
      </c>
      <c r="E858" s="4" t="s">
        <v>96</v>
      </c>
      <c r="F858" s="5">
        <v>180</v>
      </c>
      <c r="G858" s="5">
        <v>190</v>
      </c>
      <c r="H858" s="4" t="s">
        <v>1245</v>
      </c>
      <c r="I858" s="10">
        <v>86</v>
      </c>
      <c r="J858" s="34">
        <f t="shared" si="52"/>
        <v>0.74819999999999998</v>
      </c>
      <c r="K858" s="34">
        <f t="shared" si="53"/>
        <v>1.1200000000000001</v>
      </c>
      <c r="L858" s="34">
        <f t="shared" si="54"/>
        <v>4.4800000000000004</v>
      </c>
      <c r="M858" s="11" t="s">
        <v>4276</v>
      </c>
      <c r="N858" s="11" t="s">
        <v>3891</v>
      </c>
      <c r="O858" s="11" t="s">
        <v>3892</v>
      </c>
      <c r="P858" s="11" t="s">
        <v>3893</v>
      </c>
      <c r="Q858" s="12">
        <v>180</v>
      </c>
      <c r="R858" s="12">
        <v>190</v>
      </c>
      <c r="S858" s="12">
        <v>5</v>
      </c>
      <c r="T858" s="13">
        <v>2.06</v>
      </c>
      <c r="U858" s="13">
        <f t="shared" si="55"/>
        <v>-2.4200000000000004</v>
      </c>
      <c r="V858" s="14">
        <v>252.35</v>
      </c>
      <c r="W858" s="14">
        <v>252.35</v>
      </c>
      <c r="X858" s="11">
        <v>51</v>
      </c>
      <c r="Y858" s="15" t="s">
        <v>3713</v>
      </c>
      <c r="Z858" s="16">
        <v>166.35</v>
      </c>
      <c r="AA858" s="17">
        <v>193.4</v>
      </c>
      <c r="AB858" s="18" t="s">
        <v>3714</v>
      </c>
    </row>
    <row r="859" spans="1:28" x14ac:dyDescent="0.45">
      <c r="A859" s="2" t="s">
        <v>1445</v>
      </c>
      <c r="B859" s="2" t="s">
        <v>5954</v>
      </c>
      <c r="C859" s="2" t="s">
        <v>1110</v>
      </c>
      <c r="D859" s="2" t="s">
        <v>1111</v>
      </c>
      <c r="E859" s="2" t="s">
        <v>96</v>
      </c>
      <c r="F859" s="3">
        <v>183.52</v>
      </c>
      <c r="G859" s="3">
        <v>194.18</v>
      </c>
      <c r="H859" s="2" t="s">
        <v>1201</v>
      </c>
      <c r="I859" s="19">
        <v>84</v>
      </c>
      <c r="J859" s="34">
        <f t="shared" si="52"/>
        <v>0.73079999999999989</v>
      </c>
      <c r="K859" s="34">
        <f t="shared" si="53"/>
        <v>1.1000000000000001</v>
      </c>
      <c r="L859" s="34">
        <f t="shared" si="54"/>
        <v>4.4000000000000004</v>
      </c>
      <c r="M859" s="20" t="s">
        <v>4277</v>
      </c>
      <c r="N859" s="20" t="s">
        <v>3891</v>
      </c>
      <c r="O859" s="20" t="s">
        <v>3892</v>
      </c>
      <c r="P859" s="20" t="s">
        <v>3893</v>
      </c>
      <c r="Q859" s="21">
        <v>183.38800000000001</v>
      </c>
      <c r="R859" s="21">
        <v>194.05600000000001</v>
      </c>
      <c r="S859" s="21">
        <v>5.3339999999999996</v>
      </c>
      <c r="T859" s="22">
        <v>1.96</v>
      </c>
      <c r="U859" s="13">
        <f t="shared" si="55"/>
        <v>-2.4400000000000004</v>
      </c>
      <c r="V859" s="23">
        <v>240.1</v>
      </c>
      <c r="W859" s="23">
        <v>240.1</v>
      </c>
      <c r="X859" s="20">
        <v>156</v>
      </c>
      <c r="Y859" s="24" t="s">
        <v>3737</v>
      </c>
      <c r="Z859" s="16">
        <v>156.1</v>
      </c>
      <c r="AA859" s="17">
        <v>185.8</v>
      </c>
      <c r="AB859" s="25" t="s">
        <v>4189</v>
      </c>
    </row>
    <row r="860" spans="1:28" x14ac:dyDescent="0.45">
      <c r="A860" s="4" t="s">
        <v>1446</v>
      </c>
      <c r="B860" s="4" t="s">
        <v>5955</v>
      </c>
      <c r="C860" s="4" t="s">
        <v>1110</v>
      </c>
      <c r="D860" s="4" t="s">
        <v>1111</v>
      </c>
      <c r="E860" s="4" t="s">
        <v>96</v>
      </c>
      <c r="F860" s="5">
        <v>183.52</v>
      </c>
      <c r="G860" s="5">
        <v>197.5</v>
      </c>
      <c r="H860" s="4" t="s">
        <v>1368</v>
      </c>
      <c r="I860" s="10">
        <v>121</v>
      </c>
      <c r="J860" s="34">
        <f t="shared" si="52"/>
        <v>1.0527</v>
      </c>
      <c r="K860" s="34">
        <f t="shared" si="53"/>
        <v>1.58</v>
      </c>
      <c r="L860" s="34">
        <f t="shared" si="54"/>
        <v>6.32</v>
      </c>
      <c r="M860" s="11" t="s">
        <v>4278</v>
      </c>
      <c r="N860" s="11" t="s">
        <v>3891</v>
      </c>
      <c r="O860" s="11" t="s">
        <v>3892</v>
      </c>
      <c r="P860" s="11" t="s">
        <v>3893</v>
      </c>
      <c r="Q860" s="12">
        <v>183.38800000000001</v>
      </c>
      <c r="R860" s="12">
        <v>197.61199999999999</v>
      </c>
      <c r="S860" s="12">
        <v>7.1120000000000001</v>
      </c>
      <c r="T860" s="13">
        <v>2.6</v>
      </c>
      <c r="U860" s="13">
        <f t="shared" si="55"/>
        <v>-3.72</v>
      </c>
      <c r="V860" s="14">
        <v>318.5</v>
      </c>
      <c r="W860" s="14">
        <v>318.5</v>
      </c>
      <c r="X860" s="11">
        <v>45</v>
      </c>
      <c r="Y860" s="15" t="s">
        <v>3737</v>
      </c>
      <c r="Z860" s="16">
        <v>197.5</v>
      </c>
      <c r="AA860" s="17">
        <v>163.19999999999999</v>
      </c>
      <c r="AB860" s="18" t="s">
        <v>4199</v>
      </c>
    </row>
    <row r="861" spans="1:28" x14ac:dyDescent="0.45">
      <c r="A861" s="2" t="s">
        <v>1447</v>
      </c>
      <c r="B861" s="2" t="s">
        <v>5956</v>
      </c>
      <c r="C861" s="2" t="s">
        <v>1110</v>
      </c>
      <c r="D861" s="2" t="s">
        <v>1111</v>
      </c>
      <c r="E861" s="2" t="s">
        <v>96</v>
      </c>
      <c r="F861" s="3">
        <v>184.2</v>
      </c>
      <c r="G861" s="3">
        <v>195.6</v>
      </c>
      <c r="H861" s="2" t="s">
        <v>1297</v>
      </c>
      <c r="I861" s="19">
        <v>128</v>
      </c>
      <c r="J861" s="34">
        <f t="shared" si="52"/>
        <v>1.1135999999999999</v>
      </c>
      <c r="K861" s="34">
        <f t="shared" si="53"/>
        <v>1.67</v>
      </c>
      <c r="L861" s="34">
        <f t="shared" si="54"/>
        <v>6.68</v>
      </c>
      <c r="M861" s="20" t="s">
        <v>4279</v>
      </c>
      <c r="N861" s="20" t="s">
        <v>3891</v>
      </c>
      <c r="O861" s="20" t="s">
        <v>3892</v>
      </c>
      <c r="P861" s="20" t="s">
        <v>3893</v>
      </c>
      <c r="Q861" s="21">
        <v>184.3</v>
      </c>
      <c r="R861" s="21">
        <v>195.7</v>
      </c>
      <c r="S861" s="21">
        <v>5.7</v>
      </c>
      <c r="T861" s="22">
        <v>2.56</v>
      </c>
      <c r="U861" s="13">
        <f t="shared" si="55"/>
        <v>-4.1199999999999992</v>
      </c>
      <c r="V861" s="23">
        <v>313.60000000000002</v>
      </c>
      <c r="W861" s="23">
        <v>313.60000000000002</v>
      </c>
      <c r="X861" s="20">
        <v>35</v>
      </c>
      <c r="Y861" s="24" t="s">
        <v>3713</v>
      </c>
      <c r="Z861" s="16">
        <v>185.6</v>
      </c>
      <c r="AA861" s="17">
        <v>145</v>
      </c>
      <c r="AB861" s="25" t="s">
        <v>4119</v>
      </c>
    </row>
    <row r="862" spans="1:28" x14ac:dyDescent="0.45">
      <c r="A862" s="4" t="s">
        <v>1448</v>
      </c>
      <c r="B862" s="4" t="s">
        <v>5957</v>
      </c>
      <c r="C862" s="4" t="s">
        <v>1110</v>
      </c>
      <c r="D862" s="4" t="s">
        <v>1111</v>
      </c>
      <c r="E862" s="4" t="s">
        <v>96</v>
      </c>
      <c r="F862" s="5">
        <v>189.2</v>
      </c>
      <c r="G862" s="5">
        <v>200.6</v>
      </c>
      <c r="H862" s="4" t="s">
        <v>1297</v>
      </c>
      <c r="I862" s="10">
        <v>130</v>
      </c>
      <c r="J862" s="34">
        <f t="shared" si="52"/>
        <v>1.131</v>
      </c>
      <c r="K862" s="34">
        <f t="shared" si="53"/>
        <v>1.7</v>
      </c>
      <c r="L862" s="34">
        <f t="shared" si="54"/>
        <v>6.8</v>
      </c>
      <c r="M862" s="11" t="s">
        <v>4280</v>
      </c>
      <c r="N862" s="11" t="s">
        <v>3891</v>
      </c>
      <c r="O862" s="11" t="s">
        <v>3892</v>
      </c>
      <c r="P862" s="11" t="s">
        <v>3893</v>
      </c>
      <c r="Q862" s="12">
        <v>189.3</v>
      </c>
      <c r="R862" s="12">
        <v>200.7</v>
      </c>
      <c r="S862" s="12">
        <v>5.7</v>
      </c>
      <c r="T862" s="13">
        <v>2.4900000000000002</v>
      </c>
      <c r="U862" s="13">
        <f t="shared" si="55"/>
        <v>-4.3099999999999996</v>
      </c>
      <c r="V862" s="14">
        <v>305.02999999999997</v>
      </c>
      <c r="W862" s="14">
        <v>305.02999999999997</v>
      </c>
      <c r="X862" s="11">
        <v>131</v>
      </c>
      <c r="Y862" s="15" t="s">
        <v>3713</v>
      </c>
      <c r="Z862" s="16">
        <v>175.03</v>
      </c>
      <c r="AA862" s="17">
        <v>134.6</v>
      </c>
      <c r="AB862" s="18" t="s">
        <v>4119</v>
      </c>
    </row>
    <row r="863" spans="1:28" x14ac:dyDescent="0.45">
      <c r="A863" s="2" t="s">
        <v>1449</v>
      </c>
      <c r="B863" s="2" t="s">
        <v>5958</v>
      </c>
      <c r="C863" s="2" t="s">
        <v>1110</v>
      </c>
      <c r="D863" s="2" t="s">
        <v>1111</v>
      </c>
      <c r="E863" s="2" t="s">
        <v>96</v>
      </c>
      <c r="F863" s="3">
        <v>189.87</v>
      </c>
      <c r="G863" s="3">
        <v>200.53</v>
      </c>
      <c r="H863" s="2" t="s">
        <v>1201</v>
      </c>
      <c r="I863" s="19">
        <v>89</v>
      </c>
      <c r="J863" s="34">
        <f t="shared" si="52"/>
        <v>0.77429999999999999</v>
      </c>
      <c r="K863" s="34">
        <f t="shared" si="53"/>
        <v>1.1599999999999999</v>
      </c>
      <c r="L863" s="34">
        <f t="shared" si="54"/>
        <v>4.6399999999999997</v>
      </c>
      <c r="M863" s="20" t="s">
        <v>4281</v>
      </c>
      <c r="N863" s="20" t="s">
        <v>3891</v>
      </c>
      <c r="O863" s="20" t="s">
        <v>3892</v>
      </c>
      <c r="P863" s="20" t="s">
        <v>3893</v>
      </c>
      <c r="Q863" s="21">
        <v>189.738</v>
      </c>
      <c r="R863" s="21">
        <v>200.40600000000001</v>
      </c>
      <c r="S863" s="21">
        <v>5.3339999999999996</v>
      </c>
      <c r="T863" s="22">
        <v>1.99</v>
      </c>
      <c r="U863" s="13">
        <f t="shared" si="55"/>
        <v>-2.6499999999999995</v>
      </c>
      <c r="V863" s="23">
        <v>243.78</v>
      </c>
      <c r="W863" s="23">
        <v>243.78</v>
      </c>
      <c r="X863" s="20">
        <v>324</v>
      </c>
      <c r="Y863" s="24" t="s">
        <v>3737</v>
      </c>
      <c r="Z863" s="16">
        <v>154.78</v>
      </c>
      <c r="AA863" s="17">
        <v>173.9</v>
      </c>
      <c r="AB863" s="25" t="s">
        <v>4189</v>
      </c>
    </row>
    <row r="864" spans="1:28" x14ac:dyDescent="0.45">
      <c r="A864" s="4" t="s">
        <v>1450</v>
      </c>
      <c r="B864" s="4" t="s">
        <v>5959</v>
      </c>
      <c r="C864" s="4" t="s">
        <v>1110</v>
      </c>
      <c r="D864" s="4" t="s">
        <v>1111</v>
      </c>
      <c r="E864" s="4" t="s">
        <v>96</v>
      </c>
      <c r="F864" s="5">
        <v>189.87</v>
      </c>
      <c r="G864" s="5">
        <v>203.85</v>
      </c>
      <c r="H864" s="4" t="s">
        <v>1368</v>
      </c>
      <c r="I864" s="10">
        <v>124</v>
      </c>
      <c r="J864" s="34">
        <f t="shared" si="52"/>
        <v>1.0788</v>
      </c>
      <c r="K864" s="34">
        <f t="shared" si="53"/>
        <v>1.62</v>
      </c>
      <c r="L864" s="34">
        <f t="shared" si="54"/>
        <v>6.48</v>
      </c>
      <c r="M864" s="11" t="s">
        <v>4282</v>
      </c>
      <c r="N864" s="11" t="s">
        <v>3891</v>
      </c>
      <c r="O864" s="11" t="s">
        <v>3892</v>
      </c>
      <c r="P864" s="11" t="s">
        <v>3893</v>
      </c>
      <c r="Q864" s="12">
        <v>189.738</v>
      </c>
      <c r="R864" s="12">
        <v>203.96199999999999</v>
      </c>
      <c r="S864" s="12">
        <v>7.1120000000000001</v>
      </c>
      <c r="T864" s="13">
        <v>2.68</v>
      </c>
      <c r="U864" s="13">
        <f t="shared" si="55"/>
        <v>-3.8000000000000003</v>
      </c>
      <c r="V864" s="14">
        <v>328.3</v>
      </c>
      <c r="W864" s="14">
        <v>328.3</v>
      </c>
      <c r="X864" s="11">
        <v>30</v>
      </c>
      <c r="Y864" s="15" t="s">
        <v>3737</v>
      </c>
      <c r="Z864" s="16">
        <v>204.3</v>
      </c>
      <c r="AA864" s="17">
        <v>164.8</v>
      </c>
      <c r="AB864" s="18" t="s">
        <v>4199</v>
      </c>
    </row>
    <row r="865" spans="1:28" x14ac:dyDescent="0.45">
      <c r="A865" s="2" t="s">
        <v>1451</v>
      </c>
      <c r="B865" s="2" t="s">
        <v>5960</v>
      </c>
      <c r="C865" s="2" t="s">
        <v>1110</v>
      </c>
      <c r="D865" s="2" t="s">
        <v>1111</v>
      </c>
      <c r="E865" s="2" t="s">
        <v>96</v>
      </c>
      <c r="F865" s="3">
        <v>190.09</v>
      </c>
      <c r="G865" s="3">
        <v>197.15</v>
      </c>
      <c r="H865" s="2" t="s">
        <v>1156</v>
      </c>
      <c r="I865" s="19">
        <v>52</v>
      </c>
      <c r="J865" s="34">
        <f t="shared" si="52"/>
        <v>0.45239999999999997</v>
      </c>
      <c r="K865" s="34">
        <f t="shared" si="53"/>
        <v>0.68</v>
      </c>
      <c r="L865" s="34">
        <f t="shared" si="54"/>
        <v>2.72</v>
      </c>
      <c r="M865" s="20" t="s">
        <v>4283</v>
      </c>
      <c r="N865" s="20" t="s">
        <v>3891</v>
      </c>
      <c r="O865" s="20" t="s">
        <v>3892</v>
      </c>
      <c r="P865" s="20" t="s">
        <v>3893</v>
      </c>
      <c r="Q865" s="21">
        <v>190</v>
      </c>
      <c r="R865" s="21">
        <v>197</v>
      </c>
      <c r="S865" s="21">
        <v>3.5</v>
      </c>
      <c r="T865" s="22">
        <v>1.24</v>
      </c>
      <c r="U865" s="13">
        <f t="shared" si="55"/>
        <v>-1.4800000000000002</v>
      </c>
      <c r="V865" s="23">
        <v>151.9</v>
      </c>
      <c r="W865" s="23">
        <v>151.9</v>
      </c>
      <c r="X865" s="20">
        <v>12</v>
      </c>
      <c r="Y865" s="24" t="s">
        <v>3713</v>
      </c>
      <c r="Z865" s="16">
        <v>99.9</v>
      </c>
      <c r="AA865" s="17">
        <v>192.1</v>
      </c>
      <c r="AB865" s="25" t="s">
        <v>4041</v>
      </c>
    </row>
    <row r="866" spans="1:28" x14ac:dyDescent="0.45">
      <c r="A866" s="4" t="s">
        <v>1452</v>
      </c>
      <c r="B866" s="4" t="s">
        <v>5961</v>
      </c>
      <c r="C866" s="4" t="s">
        <v>1110</v>
      </c>
      <c r="D866" s="4" t="s">
        <v>1111</v>
      </c>
      <c r="E866" s="4" t="s">
        <v>96</v>
      </c>
      <c r="F866" s="5">
        <v>196.22</v>
      </c>
      <c r="G866" s="5">
        <v>206.88</v>
      </c>
      <c r="H866" s="4" t="s">
        <v>1201</v>
      </c>
      <c r="I866" s="10">
        <v>91</v>
      </c>
      <c r="J866" s="34">
        <f t="shared" si="52"/>
        <v>0.79169999999999996</v>
      </c>
      <c r="K866" s="34">
        <f t="shared" si="53"/>
        <v>1.19</v>
      </c>
      <c r="L866" s="34">
        <f t="shared" si="54"/>
        <v>4.76</v>
      </c>
      <c r="M866" s="11" t="s">
        <v>4284</v>
      </c>
      <c r="N866" s="11" t="s">
        <v>3891</v>
      </c>
      <c r="O866" s="11" t="s">
        <v>3892</v>
      </c>
      <c r="P866" s="11" t="s">
        <v>3893</v>
      </c>
      <c r="Q866" s="12">
        <v>196.08799999999999</v>
      </c>
      <c r="R866" s="12">
        <v>206.756</v>
      </c>
      <c r="S866" s="12">
        <v>5.3339999999999996</v>
      </c>
      <c r="T866" s="13">
        <v>2.09</v>
      </c>
      <c r="U866" s="13">
        <f t="shared" si="55"/>
        <v>-2.67</v>
      </c>
      <c r="V866" s="14">
        <v>256.02</v>
      </c>
      <c r="W866" s="14">
        <v>256.02</v>
      </c>
      <c r="X866" s="11">
        <v>293</v>
      </c>
      <c r="Y866" s="15" t="s">
        <v>3737</v>
      </c>
      <c r="Z866" s="16">
        <v>165.02</v>
      </c>
      <c r="AA866" s="17">
        <v>181.3</v>
      </c>
      <c r="AB866" s="18" t="s">
        <v>4189</v>
      </c>
    </row>
    <row r="867" spans="1:28" x14ac:dyDescent="0.45">
      <c r="A867" s="2" t="s">
        <v>1453</v>
      </c>
      <c r="B867" s="2" t="s">
        <v>5962</v>
      </c>
      <c r="C867" s="2" t="s">
        <v>1110</v>
      </c>
      <c r="D867" s="2" t="s">
        <v>1111</v>
      </c>
      <c r="E867" s="2" t="s">
        <v>96</v>
      </c>
      <c r="F867" s="3">
        <v>196.22</v>
      </c>
      <c r="G867" s="3">
        <v>210.2</v>
      </c>
      <c r="H867" s="2" t="s">
        <v>1368</v>
      </c>
      <c r="I867" s="19">
        <v>128</v>
      </c>
      <c r="J867" s="34">
        <f t="shared" si="52"/>
        <v>1.1135999999999999</v>
      </c>
      <c r="K867" s="34">
        <f t="shared" si="53"/>
        <v>1.67</v>
      </c>
      <c r="L867" s="34">
        <f t="shared" si="54"/>
        <v>6.68</v>
      </c>
      <c r="M867" s="20" t="s">
        <v>4285</v>
      </c>
      <c r="N867" s="20" t="s">
        <v>3891</v>
      </c>
      <c r="O867" s="20" t="s">
        <v>3892</v>
      </c>
      <c r="P867" s="20" t="s">
        <v>3893</v>
      </c>
      <c r="Q867" s="21">
        <v>196.08799999999999</v>
      </c>
      <c r="R867" s="21">
        <v>210.31200000000001</v>
      </c>
      <c r="S867" s="21">
        <v>7.1120000000000001</v>
      </c>
      <c r="T867" s="22">
        <v>3.01</v>
      </c>
      <c r="U867" s="13">
        <f t="shared" si="55"/>
        <v>-3.67</v>
      </c>
      <c r="V867" s="23">
        <v>368.72</v>
      </c>
      <c r="W867" s="23">
        <v>368.72</v>
      </c>
      <c r="X867" s="20">
        <v>113</v>
      </c>
      <c r="Y867" s="24" t="s">
        <v>3737</v>
      </c>
      <c r="Z867" s="16">
        <v>240.72</v>
      </c>
      <c r="AA867" s="17">
        <v>188.1</v>
      </c>
      <c r="AB867" s="25" t="s">
        <v>4199</v>
      </c>
    </row>
    <row r="868" spans="1:28" x14ac:dyDescent="0.45">
      <c r="A868" s="4" t="s">
        <v>1454</v>
      </c>
      <c r="B868" s="4" t="s">
        <v>5963</v>
      </c>
      <c r="C868" s="4" t="s">
        <v>1110</v>
      </c>
      <c r="D868" s="4" t="s">
        <v>1111</v>
      </c>
      <c r="E868" s="4" t="s">
        <v>96</v>
      </c>
      <c r="F868" s="5">
        <v>196.44</v>
      </c>
      <c r="G868" s="5">
        <v>203.5</v>
      </c>
      <c r="H868" s="4" t="s">
        <v>1156</v>
      </c>
      <c r="I868" s="10">
        <v>66</v>
      </c>
      <c r="J868" s="34">
        <f t="shared" si="52"/>
        <v>0.57419999999999993</v>
      </c>
      <c r="K868" s="34">
        <f t="shared" si="53"/>
        <v>0.86</v>
      </c>
      <c r="L868" s="34">
        <f t="shared" si="54"/>
        <v>3.44</v>
      </c>
      <c r="M868" s="11" t="s">
        <v>4286</v>
      </c>
      <c r="N868" s="11" t="s">
        <v>3891</v>
      </c>
      <c r="O868" s="11" t="s">
        <v>3892</v>
      </c>
      <c r="P868" s="11" t="s">
        <v>3893</v>
      </c>
      <c r="Q868" s="12">
        <v>196.34200000000001</v>
      </c>
      <c r="R868" s="12">
        <v>203.45400000000001</v>
      </c>
      <c r="S868" s="12">
        <v>3.556</v>
      </c>
      <c r="T868" s="13">
        <v>1.35</v>
      </c>
      <c r="U868" s="13">
        <f t="shared" si="55"/>
        <v>-2.09</v>
      </c>
      <c r="V868" s="14">
        <v>165.38</v>
      </c>
      <c r="W868" s="14">
        <v>165.38</v>
      </c>
      <c r="X868" s="11">
        <v>40</v>
      </c>
      <c r="Y868" s="15" t="s">
        <v>3737</v>
      </c>
      <c r="Z868" s="16">
        <v>99.38</v>
      </c>
      <c r="AA868" s="17">
        <v>150.6</v>
      </c>
      <c r="AB868" s="18" t="s">
        <v>3963</v>
      </c>
    </row>
    <row r="869" spans="1:28" x14ac:dyDescent="0.45">
      <c r="A869" s="2" t="s">
        <v>1455</v>
      </c>
      <c r="B869" s="2" t="s">
        <v>5964</v>
      </c>
      <c r="C869" s="2" t="s">
        <v>1110</v>
      </c>
      <c r="D869" s="2" t="s">
        <v>1111</v>
      </c>
      <c r="E869" s="2" t="s">
        <v>96</v>
      </c>
      <c r="F869" s="3">
        <v>202.57</v>
      </c>
      <c r="G869" s="3">
        <v>213.23</v>
      </c>
      <c r="H869" s="2" t="s">
        <v>1201</v>
      </c>
      <c r="I869" s="19">
        <v>106</v>
      </c>
      <c r="J869" s="34">
        <f t="shared" si="52"/>
        <v>0.92219999999999991</v>
      </c>
      <c r="K869" s="34">
        <f t="shared" si="53"/>
        <v>1.38</v>
      </c>
      <c r="L869" s="34">
        <f t="shared" si="54"/>
        <v>5.52</v>
      </c>
      <c r="M869" s="20" t="s">
        <v>4287</v>
      </c>
      <c r="N869" s="20" t="s">
        <v>3891</v>
      </c>
      <c r="O869" s="20" t="s">
        <v>3892</v>
      </c>
      <c r="P869" s="20" t="s">
        <v>3893</v>
      </c>
      <c r="Q869" s="21">
        <v>202.43799999999999</v>
      </c>
      <c r="R869" s="21">
        <v>213.10599999999999</v>
      </c>
      <c r="S869" s="21">
        <v>5.3339999999999996</v>
      </c>
      <c r="T869" s="22">
        <v>2.1800000000000002</v>
      </c>
      <c r="U869" s="13">
        <f t="shared" si="55"/>
        <v>-3.3399999999999994</v>
      </c>
      <c r="V869" s="23">
        <v>267.05</v>
      </c>
      <c r="W869" s="23">
        <v>267.05</v>
      </c>
      <c r="X869" s="20">
        <v>97</v>
      </c>
      <c r="Y869" s="24" t="s">
        <v>3737</v>
      </c>
      <c r="Z869" s="16">
        <v>161.05000000000001</v>
      </c>
      <c r="AA869" s="17">
        <v>151.9</v>
      </c>
      <c r="AB869" s="25" t="s">
        <v>4189</v>
      </c>
    </row>
    <row r="870" spans="1:28" x14ac:dyDescent="0.45">
      <c r="A870" s="4" t="s">
        <v>1456</v>
      </c>
      <c r="B870" s="4" t="s">
        <v>5965</v>
      </c>
      <c r="C870" s="4" t="s">
        <v>1110</v>
      </c>
      <c r="D870" s="4" t="s">
        <v>1111</v>
      </c>
      <c r="E870" s="4" t="s">
        <v>96</v>
      </c>
      <c r="F870" s="5">
        <v>202.57</v>
      </c>
      <c r="G870" s="5">
        <v>216.55</v>
      </c>
      <c r="H870" s="4" t="s">
        <v>1368</v>
      </c>
      <c r="I870" s="10">
        <v>141</v>
      </c>
      <c r="J870" s="34">
        <f t="shared" si="52"/>
        <v>1.2266999999999999</v>
      </c>
      <c r="K870" s="34">
        <f t="shared" si="53"/>
        <v>1.84</v>
      </c>
      <c r="L870" s="34">
        <f t="shared" si="54"/>
        <v>7.36</v>
      </c>
      <c r="M870" s="11" t="s">
        <v>4288</v>
      </c>
      <c r="N870" s="11" t="s">
        <v>3891</v>
      </c>
      <c r="O870" s="11" t="s">
        <v>3892</v>
      </c>
      <c r="P870" s="11" t="s">
        <v>3893</v>
      </c>
      <c r="Q870" s="12">
        <v>202.43799999999999</v>
      </c>
      <c r="R870" s="12">
        <v>216.66200000000001</v>
      </c>
      <c r="S870" s="12">
        <v>7.1120000000000001</v>
      </c>
      <c r="T870" s="13">
        <v>3.06</v>
      </c>
      <c r="U870" s="13">
        <f t="shared" si="55"/>
        <v>-4.3000000000000007</v>
      </c>
      <c r="V870" s="14">
        <v>374.85</v>
      </c>
      <c r="W870" s="14">
        <v>374.85</v>
      </c>
      <c r="X870" s="11">
        <v>7</v>
      </c>
      <c r="Y870" s="15" t="s">
        <v>3737</v>
      </c>
      <c r="Z870" s="16">
        <v>233.85</v>
      </c>
      <c r="AA870" s="17">
        <v>165.9</v>
      </c>
      <c r="AB870" s="18" t="s">
        <v>4199</v>
      </c>
    </row>
    <row r="871" spans="1:28" x14ac:dyDescent="0.45">
      <c r="A871" s="2" t="s">
        <v>1457</v>
      </c>
      <c r="B871" s="2" t="s">
        <v>5966</v>
      </c>
      <c r="C871" s="2" t="s">
        <v>1110</v>
      </c>
      <c r="D871" s="2" t="s">
        <v>1111</v>
      </c>
      <c r="E871" s="2" t="s">
        <v>96</v>
      </c>
      <c r="F871" s="3">
        <v>202.79</v>
      </c>
      <c r="G871" s="3">
        <v>209.85</v>
      </c>
      <c r="H871" s="2" t="s">
        <v>1156</v>
      </c>
      <c r="I871" s="19">
        <v>72</v>
      </c>
      <c r="J871" s="34">
        <f t="shared" si="52"/>
        <v>0.62639999999999996</v>
      </c>
      <c r="K871" s="34">
        <f t="shared" si="53"/>
        <v>0.94</v>
      </c>
      <c r="L871" s="34">
        <f t="shared" si="54"/>
        <v>3.76</v>
      </c>
      <c r="M871" s="20" t="s">
        <v>4289</v>
      </c>
      <c r="N871" s="20" t="s">
        <v>3891</v>
      </c>
      <c r="O871" s="20" t="s">
        <v>3892</v>
      </c>
      <c r="P871" s="20" t="s">
        <v>3893</v>
      </c>
      <c r="Q871" s="21">
        <v>202.69200000000001</v>
      </c>
      <c r="R871" s="21">
        <v>209.804</v>
      </c>
      <c r="S871" s="21">
        <v>3.556</v>
      </c>
      <c r="T871" s="22">
        <v>1.39</v>
      </c>
      <c r="U871" s="13">
        <f t="shared" si="55"/>
        <v>-2.37</v>
      </c>
      <c r="V871" s="23">
        <v>170.27</v>
      </c>
      <c r="W871" s="23">
        <v>170.27</v>
      </c>
      <c r="X871" s="20">
        <v>281</v>
      </c>
      <c r="Y871" s="24" t="s">
        <v>3737</v>
      </c>
      <c r="Z871" s="16">
        <v>98.27000000000001</v>
      </c>
      <c r="AA871" s="17">
        <v>136.5</v>
      </c>
      <c r="AB871" s="25" t="s">
        <v>3963</v>
      </c>
    </row>
    <row r="872" spans="1:28" x14ac:dyDescent="0.45">
      <c r="A872" s="4" t="s">
        <v>1458</v>
      </c>
      <c r="B872" s="4" t="s">
        <v>5967</v>
      </c>
      <c r="C872" s="4" t="s">
        <v>1110</v>
      </c>
      <c r="D872" s="4" t="s">
        <v>1111</v>
      </c>
      <c r="E872" s="4" t="s">
        <v>96</v>
      </c>
      <c r="F872" s="5">
        <v>208.97</v>
      </c>
      <c r="G872" s="5">
        <v>219.63</v>
      </c>
      <c r="H872" s="4" t="s">
        <v>1201</v>
      </c>
      <c r="I872" s="10">
        <v>113</v>
      </c>
      <c r="J872" s="34">
        <f t="shared" si="52"/>
        <v>0.98309999999999997</v>
      </c>
      <c r="K872" s="34">
        <f t="shared" si="53"/>
        <v>1.47</v>
      </c>
      <c r="L872" s="34">
        <f t="shared" si="54"/>
        <v>5.88</v>
      </c>
      <c r="M872" s="11" t="s">
        <v>4290</v>
      </c>
      <c r="N872" s="11" t="s">
        <v>3891</v>
      </c>
      <c r="O872" s="11" t="s">
        <v>3892</v>
      </c>
      <c r="P872" s="11" t="s">
        <v>3893</v>
      </c>
      <c r="Q872" s="12">
        <v>208.78800000000001</v>
      </c>
      <c r="R872" s="12">
        <v>219.45599999999999</v>
      </c>
      <c r="S872" s="12">
        <v>5.3339999999999996</v>
      </c>
      <c r="T872" s="13">
        <v>2.2799999999999998</v>
      </c>
      <c r="U872" s="13">
        <f t="shared" si="55"/>
        <v>-3.6</v>
      </c>
      <c r="V872" s="14">
        <v>279.3</v>
      </c>
      <c r="W872" s="14">
        <v>279.3</v>
      </c>
      <c r="X872" s="11">
        <v>32</v>
      </c>
      <c r="Y872" s="15" t="s">
        <v>3737</v>
      </c>
      <c r="Z872" s="16">
        <v>166.3</v>
      </c>
      <c r="AA872" s="17">
        <v>147.19999999999999</v>
      </c>
      <c r="AB872" s="18" t="s">
        <v>4291</v>
      </c>
    </row>
    <row r="873" spans="1:28" x14ac:dyDescent="0.45">
      <c r="A873" s="2" t="s">
        <v>1459</v>
      </c>
      <c r="B873" s="2" t="s">
        <v>5968</v>
      </c>
      <c r="C873" s="2" t="s">
        <v>1110</v>
      </c>
      <c r="D873" s="2" t="s">
        <v>1111</v>
      </c>
      <c r="E873" s="2" t="s">
        <v>96</v>
      </c>
      <c r="F873" s="3">
        <v>209.14</v>
      </c>
      <c r="G873" s="3">
        <v>216.2</v>
      </c>
      <c r="H873" s="2" t="s">
        <v>1156</v>
      </c>
      <c r="I873" s="19">
        <v>74</v>
      </c>
      <c r="J873" s="34">
        <f t="shared" si="52"/>
        <v>0.64379999999999993</v>
      </c>
      <c r="K873" s="34">
        <f t="shared" si="53"/>
        <v>0.97</v>
      </c>
      <c r="L873" s="34">
        <f t="shared" si="54"/>
        <v>3.88</v>
      </c>
      <c r="M873" s="20" t="s">
        <v>4292</v>
      </c>
      <c r="N873" s="20" t="s">
        <v>3891</v>
      </c>
      <c r="O873" s="20" t="s">
        <v>3892</v>
      </c>
      <c r="P873" s="20" t="s">
        <v>3893</v>
      </c>
      <c r="Q873" s="21">
        <v>209.042</v>
      </c>
      <c r="R873" s="21">
        <v>216.154</v>
      </c>
      <c r="S873" s="21">
        <v>3.556</v>
      </c>
      <c r="T873" s="22">
        <v>1.62</v>
      </c>
      <c r="U873" s="13">
        <f t="shared" si="55"/>
        <v>-2.2599999999999998</v>
      </c>
      <c r="V873" s="23">
        <v>198.45</v>
      </c>
      <c r="W873" s="23">
        <v>198.45</v>
      </c>
      <c r="X873" s="20">
        <v>149</v>
      </c>
      <c r="Y873" s="24" t="s">
        <v>3737</v>
      </c>
      <c r="Z873" s="16">
        <v>124.45</v>
      </c>
      <c r="AA873" s="17">
        <v>168.2</v>
      </c>
      <c r="AB873" s="25" t="s">
        <v>3963</v>
      </c>
    </row>
    <row r="874" spans="1:28" x14ac:dyDescent="0.45">
      <c r="A874" s="4" t="s">
        <v>1460</v>
      </c>
      <c r="B874" s="4" t="s">
        <v>5969</v>
      </c>
      <c r="C874" s="4" t="s">
        <v>1110</v>
      </c>
      <c r="D874" s="4" t="s">
        <v>1111</v>
      </c>
      <c r="E874" s="4" t="s">
        <v>96</v>
      </c>
      <c r="F874" s="5">
        <v>215.27</v>
      </c>
      <c r="G874" s="5">
        <v>225.93</v>
      </c>
      <c r="H874" s="4" t="s">
        <v>1201</v>
      </c>
      <c r="I874" s="10">
        <v>116</v>
      </c>
      <c r="J874" s="34">
        <f t="shared" si="52"/>
        <v>1.0091999999999999</v>
      </c>
      <c r="K874" s="34">
        <f t="shared" si="53"/>
        <v>1.51</v>
      </c>
      <c r="L874" s="34">
        <f t="shared" si="54"/>
        <v>6.04</v>
      </c>
      <c r="M874" s="11" t="s">
        <v>4293</v>
      </c>
      <c r="N874" s="11" t="s">
        <v>3891</v>
      </c>
      <c r="O874" s="11" t="s">
        <v>3892</v>
      </c>
      <c r="P874" s="11" t="s">
        <v>3893</v>
      </c>
      <c r="Q874" s="12">
        <v>215.13800000000001</v>
      </c>
      <c r="R874" s="12">
        <v>225.80600000000001</v>
      </c>
      <c r="S874" s="12">
        <v>5.3339999999999996</v>
      </c>
      <c r="T874" s="13">
        <v>2.38</v>
      </c>
      <c r="U874" s="13">
        <f t="shared" si="55"/>
        <v>-3.66</v>
      </c>
      <c r="V874" s="14">
        <v>291.55</v>
      </c>
      <c r="W874" s="14">
        <v>291.55</v>
      </c>
      <c r="X874" s="11">
        <v>48</v>
      </c>
      <c r="Y874" s="15" t="s">
        <v>3737</v>
      </c>
      <c r="Z874" s="16">
        <v>175.55</v>
      </c>
      <c r="AA874" s="17">
        <v>151.30000000000001</v>
      </c>
      <c r="AB874" s="18" t="s">
        <v>4189</v>
      </c>
    </row>
    <row r="875" spans="1:28" x14ac:dyDescent="0.45">
      <c r="A875" s="2" t="s">
        <v>1461</v>
      </c>
      <c r="B875" s="2" t="s">
        <v>5970</v>
      </c>
      <c r="C875" s="2" t="s">
        <v>1110</v>
      </c>
      <c r="D875" s="2" t="s">
        <v>1111</v>
      </c>
      <c r="E875" s="2" t="s">
        <v>96</v>
      </c>
      <c r="F875" s="3">
        <v>215.49</v>
      </c>
      <c r="G875" s="3">
        <v>222.55</v>
      </c>
      <c r="H875" s="2" t="s">
        <v>1156</v>
      </c>
      <c r="I875" s="19">
        <v>77</v>
      </c>
      <c r="J875" s="34">
        <f t="shared" si="52"/>
        <v>0.66989999999999994</v>
      </c>
      <c r="K875" s="34">
        <f t="shared" si="53"/>
        <v>1</v>
      </c>
      <c r="L875" s="34">
        <f t="shared" si="54"/>
        <v>4</v>
      </c>
      <c r="M875" s="20" t="s">
        <v>4294</v>
      </c>
      <c r="N875" s="20" t="s">
        <v>3891</v>
      </c>
      <c r="O875" s="20" t="s">
        <v>3892</v>
      </c>
      <c r="P875" s="20" t="s">
        <v>3893</v>
      </c>
      <c r="Q875" s="21">
        <v>215.392</v>
      </c>
      <c r="R875" s="21">
        <v>222.50399999999999</v>
      </c>
      <c r="S875" s="21">
        <v>3.556</v>
      </c>
      <c r="T875" s="22">
        <v>1.55</v>
      </c>
      <c r="U875" s="13">
        <f t="shared" si="55"/>
        <v>-2.4500000000000002</v>
      </c>
      <c r="V875" s="23">
        <v>189.88</v>
      </c>
      <c r="W875" s="23">
        <v>189.88</v>
      </c>
      <c r="X875" s="20">
        <v>50</v>
      </c>
      <c r="Y875" s="24" t="s">
        <v>3737</v>
      </c>
      <c r="Z875" s="16">
        <v>112.88</v>
      </c>
      <c r="AA875" s="17">
        <v>146.6</v>
      </c>
      <c r="AB875" s="25" t="s">
        <v>3963</v>
      </c>
    </row>
    <row r="876" spans="1:28" x14ac:dyDescent="0.45">
      <c r="A876" s="4" t="s">
        <v>1462</v>
      </c>
      <c r="B876" s="4" t="s">
        <v>5971</v>
      </c>
      <c r="C876" s="4" t="s">
        <v>1110</v>
      </c>
      <c r="D876" s="4" t="s">
        <v>1111</v>
      </c>
      <c r="E876" s="4" t="s">
        <v>96</v>
      </c>
      <c r="F876" s="5">
        <v>219.5</v>
      </c>
      <c r="G876" s="5">
        <v>236.3</v>
      </c>
      <c r="H876" s="4" t="s">
        <v>1463</v>
      </c>
      <c r="I876" s="10">
        <v>384</v>
      </c>
      <c r="J876" s="34">
        <f t="shared" si="52"/>
        <v>3.3407999999999998</v>
      </c>
      <c r="K876" s="34">
        <f t="shared" si="53"/>
        <v>5.01</v>
      </c>
      <c r="L876" s="34">
        <f t="shared" si="54"/>
        <v>20.04</v>
      </c>
      <c r="M876" s="11" t="s">
        <v>4295</v>
      </c>
      <c r="N876" s="11" t="s">
        <v>3891</v>
      </c>
      <c r="O876" s="11" t="s">
        <v>3892</v>
      </c>
      <c r="P876" s="11" t="s">
        <v>3893</v>
      </c>
      <c r="Q876" s="12">
        <v>219.1</v>
      </c>
      <c r="R876" s="12">
        <v>235.9</v>
      </c>
      <c r="S876" s="12">
        <v>8.4</v>
      </c>
      <c r="T876" s="13">
        <v>5.2</v>
      </c>
      <c r="U876" s="13">
        <f t="shared" si="55"/>
        <v>-14.84</v>
      </c>
      <c r="V876" s="14">
        <v>637</v>
      </c>
      <c r="W876" s="14">
        <v>637</v>
      </c>
      <c r="X876" s="11">
        <v>13</v>
      </c>
      <c r="Y876" s="15" t="s">
        <v>3713</v>
      </c>
      <c r="Z876" s="16">
        <v>253</v>
      </c>
      <c r="AA876" s="17">
        <v>65.900000000000006</v>
      </c>
      <c r="AB876" s="18" t="s">
        <v>4296</v>
      </c>
    </row>
    <row r="877" spans="1:28" x14ac:dyDescent="0.45">
      <c r="A877" s="2" t="s">
        <v>1464</v>
      </c>
      <c r="B877" s="2" t="s">
        <v>5972</v>
      </c>
      <c r="C877" s="2" t="s">
        <v>1110</v>
      </c>
      <c r="D877" s="2" t="s">
        <v>1111</v>
      </c>
      <c r="E877" s="2" t="s">
        <v>96</v>
      </c>
      <c r="F877" s="3">
        <v>221.62</v>
      </c>
      <c r="G877" s="3">
        <v>232.28</v>
      </c>
      <c r="H877" s="2" t="s">
        <v>1201</v>
      </c>
      <c r="I877" s="19">
        <v>119</v>
      </c>
      <c r="J877" s="34">
        <f t="shared" si="52"/>
        <v>1.0352999999999999</v>
      </c>
      <c r="K877" s="34">
        <f t="shared" si="53"/>
        <v>1.55</v>
      </c>
      <c r="L877" s="34">
        <f t="shared" si="54"/>
        <v>6.2</v>
      </c>
      <c r="M877" s="20" t="s">
        <v>4297</v>
      </c>
      <c r="N877" s="20" t="s">
        <v>3891</v>
      </c>
      <c r="O877" s="20" t="s">
        <v>3892</v>
      </c>
      <c r="P877" s="20" t="s">
        <v>3893</v>
      </c>
      <c r="Q877" s="21">
        <v>221.488</v>
      </c>
      <c r="R877" s="21">
        <v>232.15600000000001</v>
      </c>
      <c r="S877" s="21">
        <v>5.3339999999999996</v>
      </c>
      <c r="T877" s="22">
        <v>2.1800000000000002</v>
      </c>
      <c r="U877" s="13">
        <f t="shared" si="55"/>
        <v>-4.0199999999999996</v>
      </c>
      <c r="V877" s="23">
        <v>267.05</v>
      </c>
      <c r="W877" s="23">
        <v>267.05</v>
      </c>
      <c r="X877" s="20">
        <v>28</v>
      </c>
      <c r="Y877" s="24" t="s">
        <v>3737</v>
      </c>
      <c r="Z877" s="16">
        <v>148.05000000000001</v>
      </c>
      <c r="AA877" s="17">
        <v>124.4</v>
      </c>
      <c r="AB877" s="25" t="s">
        <v>4189</v>
      </c>
    </row>
    <row r="878" spans="1:28" x14ac:dyDescent="0.45">
      <c r="A878" s="4" t="s">
        <v>1465</v>
      </c>
      <c r="B878" s="4" t="s">
        <v>5973</v>
      </c>
      <c r="C878" s="4" t="s">
        <v>1110</v>
      </c>
      <c r="D878" s="4" t="s">
        <v>1111</v>
      </c>
      <c r="E878" s="4" t="s">
        <v>96</v>
      </c>
      <c r="F878" s="5">
        <v>221.84</v>
      </c>
      <c r="G878" s="5">
        <v>228.9</v>
      </c>
      <c r="H878" s="4" t="s">
        <v>1156</v>
      </c>
      <c r="I878" s="10">
        <v>79</v>
      </c>
      <c r="J878" s="34">
        <f t="shared" si="52"/>
        <v>0.68729999999999991</v>
      </c>
      <c r="K878" s="34">
        <f t="shared" si="53"/>
        <v>1.03</v>
      </c>
      <c r="L878" s="34">
        <f t="shared" si="54"/>
        <v>4.12</v>
      </c>
      <c r="M878" s="11" t="s">
        <v>4298</v>
      </c>
      <c r="N878" s="11" t="s">
        <v>3891</v>
      </c>
      <c r="O878" s="11" t="s">
        <v>3892</v>
      </c>
      <c r="P878" s="11" t="s">
        <v>3893</v>
      </c>
      <c r="Q878" s="12">
        <v>221.74199999999999</v>
      </c>
      <c r="R878" s="12">
        <v>228.85400000000001</v>
      </c>
      <c r="S878" s="12">
        <v>3.556</v>
      </c>
      <c r="T878" s="13">
        <v>1.49</v>
      </c>
      <c r="U878" s="13">
        <f t="shared" si="55"/>
        <v>-2.63</v>
      </c>
      <c r="V878" s="14">
        <v>182.52</v>
      </c>
      <c r="W878" s="14">
        <v>182.52</v>
      </c>
      <c r="X878" s="11">
        <v>38</v>
      </c>
      <c r="Y878" s="15" t="s">
        <v>3737</v>
      </c>
      <c r="Z878" s="16">
        <v>103.52</v>
      </c>
      <c r="AA878" s="17">
        <v>131</v>
      </c>
      <c r="AB878" s="18" t="s">
        <v>3963</v>
      </c>
    </row>
    <row r="879" spans="1:28" x14ac:dyDescent="0.45">
      <c r="A879" s="2" t="s">
        <v>1466</v>
      </c>
      <c r="B879" s="2" t="s">
        <v>5974</v>
      </c>
      <c r="C879" s="2" t="s">
        <v>1110</v>
      </c>
      <c r="D879" s="2" t="s">
        <v>1111</v>
      </c>
      <c r="E879" s="2" t="s">
        <v>96</v>
      </c>
      <c r="F879" s="3">
        <v>227.97</v>
      </c>
      <c r="G879" s="3">
        <v>238.63</v>
      </c>
      <c r="H879" s="2" t="s">
        <v>1201</v>
      </c>
      <c r="I879" s="19">
        <v>123</v>
      </c>
      <c r="J879" s="34">
        <f t="shared" si="52"/>
        <v>1.0700999999999998</v>
      </c>
      <c r="K879" s="34">
        <f t="shared" si="53"/>
        <v>1.61</v>
      </c>
      <c r="L879" s="34">
        <f t="shared" si="54"/>
        <v>6.44</v>
      </c>
      <c r="M879" s="20" t="s">
        <v>4299</v>
      </c>
      <c r="N879" s="20" t="s">
        <v>3891</v>
      </c>
      <c r="O879" s="20" t="s">
        <v>3892</v>
      </c>
      <c r="P879" s="20" t="s">
        <v>3893</v>
      </c>
      <c r="Q879" s="21">
        <v>227.83799999999999</v>
      </c>
      <c r="R879" s="21">
        <v>238.506</v>
      </c>
      <c r="S879" s="21">
        <v>5.3339999999999996</v>
      </c>
      <c r="T879" s="22">
        <v>2.48</v>
      </c>
      <c r="U879" s="13">
        <f t="shared" si="55"/>
        <v>-3.9600000000000004</v>
      </c>
      <c r="V879" s="23">
        <v>303.8</v>
      </c>
      <c r="W879" s="23">
        <v>303.8</v>
      </c>
      <c r="X879" s="20">
        <v>20</v>
      </c>
      <c r="Y879" s="24" t="s">
        <v>3737</v>
      </c>
      <c r="Z879" s="16">
        <v>180.8</v>
      </c>
      <c r="AA879" s="17">
        <v>147</v>
      </c>
      <c r="AB879" s="25" t="s">
        <v>4189</v>
      </c>
    </row>
    <row r="880" spans="1:28" x14ac:dyDescent="0.45">
      <c r="A880" s="4" t="s">
        <v>1467</v>
      </c>
      <c r="B880" s="4" t="s">
        <v>5975</v>
      </c>
      <c r="C880" s="4" t="s">
        <v>1110</v>
      </c>
      <c r="D880" s="4" t="s">
        <v>1111</v>
      </c>
      <c r="E880" s="4" t="s">
        <v>96</v>
      </c>
      <c r="F880" s="5">
        <v>227.97</v>
      </c>
      <c r="G880" s="5">
        <v>241.95</v>
      </c>
      <c r="H880" s="4" t="s">
        <v>1368</v>
      </c>
      <c r="I880" s="10">
        <v>162</v>
      </c>
      <c r="J880" s="34">
        <f t="shared" si="52"/>
        <v>1.4094</v>
      </c>
      <c r="K880" s="34">
        <f t="shared" si="53"/>
        <v>2.11</v>
      </c>
      <c r="L880" s="34">
        <f t="shared" si="54"/>
        <v>8.44</v>
      </c>
      <c r="M880" s="11" t="s">
        <v>4300</v>
      </c>
      <c r="N880" s="11" t="s">
        <v>3891</v>
      </c>
      <c r="O880" s="11" t="s">
        <v>3892</v>
      </c>
      <c r="P880" s="11" t="s">
        <v>3893</v>
      </c>
      <c r="Q880" s="12">
        <v>227.83799999999999</v>
      </c>
      <c r="R880" s="12">
        <v>242.06200000000001</v>
      </c>
      <c r="S880" s="12">
        <v>7.1120000000000001</v>
      </c>
      <c r="T880" s="13">
        <v>3.94</v>
      </c>
      <c r="U880" s="13">
        <f t="shared" si="55"/>
        <v>-4.5</v>
      </c>
      <c r="V880" s="14">
        <v>482.65</v>
      </c>
      <c r="W880" s="14">
        <v>482.65</v>
      </c>
      <c r="X880" s="11">
        <v>208</v>
      </c>
      <c r="Y880" s="15" t="s">
        <v>3737</v>
      </c>
      <c r="Z880" s="16">
        <v>320.64999999999998</v>
      </c>
      <c r="AA880" s="17">
        <v>197.9</v>
      </c>
      <c r="AB880" s="18" t="s">
        <v>4199</v>
      </c>
    </row>
    <row r="881" spans="1:28" x14ac:dyDescent="0.45">
      <c r="A881" s="2" t="s">
        <v>1468</v>
      </c>
      <c r="B881" s="2" t="s">
        <v>5976</v>
      </c>
      <c r="C881" s="2" t="s">
        <v>1110</v>
      </c>
      <c r="D881" s="2" t="s">
        <v>1111</v>
      </c>
      <c r="E881" s="2" t="s">
        <v>96</v>
      </c>
      <c r="F881" s="3">
        <v>228.19</v>
      </c>
      <c r="G881" s="3">
        <v>235.25</v>
      </c>
      <c r="H881" s="2" t="s">
        <v>1156</v>
      </c>
      <c r="I881" s="19">
        <v>79</v>
      </c>
      <c r="J881" s="34">
        <f t="shared" si="52"/>
        <v>0.68729999999999991</v>
      </c>
      <c r="K881" s="34">
        <f t="shared" si="53"/>
        <v>1.03</v>
      </c>
      <c r="L881" s="34">
        <f t="shared" si="54"/>
        <v>4.12</v>
      </c>
      <c r="M881" s="20" t="s">
        <v>4301</v>
      </c>
      <c r="N881" s="20" t="s">
        <v>3891</v>
      </c>
      <c r="O881" s="20" t="s">
        <v>3892</v>
      </c>
      <c r="P881" s="20" t="s">
        <v>3893</v>
      </c>
      <c r="Q881" s="21">
        <v>228.09200000000001</v>
      </c>
      <c r="R881" s="21">
        <v>235.20400000000001</v>
      </c>
      <c r="S881" s="21">
        <v>3.556</v>
      </c>
      <c r="T881" s="22">
        <v>1.8</v>
      </c>
      <c r="U881" s="13">
        <f t="shared" si="55"/>
        <v>-2.3200000000000003</v>
      </c>
      <c r="V881" s="23">
        <v>220.5</v>
      </c>
      <c r="W881" s="23">
        <v>220.5</v>
      </c>
      <c r="X881" s="20">
        <v>216</v>
      </c>
      <c r="Y881" s="24" t="s">
        <v>3737</v>
      </c>
      <c r="Z881" s="16">
        <v>141.5</v>
      </c>
      <c r="AA881" s="17">
        <v>179.1</v>
      </c>
      <c r="AB881" s="25" t="s">
        <v>3963</v>
      </c>
    </row>
    <row r="882" spans="1:28" x14ac:dyDescent="0.45">
      <c r="A882" s="4" t="s">
        <v>1469</v>
      </c>
      <c r="B882" s="4" t="s">
        <v>5977</v>
      </c>
      <c r="C882" s="4" t="s">
        <v>1110</v>
      </c>
      <c r="D882" s="4" t="s">
        <v>1111</v>
      </c>
      <c r="E882" s="4" t="s">
        <v>96</v>
      </c>
      <c r="F882" s="5">
        <v>234.32</v>
      </c>
      <c r="G882" s="5">
        <v>244.98</v>
      </c>
      <c r="H882" s="4" t="s">
        <v>1201</v>
      </c>
      <c r="I882" s="10">
        <v>124</v>
      </c>
      <c r="J882" s="34">
        <f t="shared" si="52"/>
        <v>1.0788</v>
      </c>
      <c r="K882" s="34">
        <f t="shared" si="53"/>
        <v>1.62</v>
      </c>
      <c r="L882" s="34">
        <f t="shared" si="54"/>
        <v>6.48</v>
      </c>
      <c r="M882" s="11" t="s">
        <v>4302</v>
      </c>
      <c r="N882" s="11" t="s">
        <v>3891</v>
      </c>
      <c r="O882" s="11" t="s">
        <v>3892</v>
      </c>
      <c r="P882" s="11" t="s">
        <v>3893</v>
      </c>
      <c r="Q882" s="12">
        <v>234.18799999999999</v>
      </c>
      <c r="R882" s="12">
        <v>244.85599999999999</v>
      </c>
      <c r="S882" s="12">
        <v>5.3339999999999996</v>
      </c>
      <c r="T882" s="13">
        <v>2.6</v>
      </c>
      <c r="U882" s="13">
        <f t="shared" si="55"/>
        <v>-3.8800000000000003</v>
      </c>
      <c r="V882" s="14">
        <v>318.5</v>
      </c>
      <c r="W882" s="14">
        <v>318.5</v>
      </c>
      <c r="X882" s="11">
        <v>23</v>
      </c>
      <c r="Y882" s="15" t="s">
        <v>3737</v>
      </c>
      <c r="Z882" s="16">
        <v>194.5</v>
      </c>
      <c r="AA882" s="17">
        <v>156.9</v>
      </c>
      <c r="AB882" s="18" t="s">
        <v>4189</v>
      </c>
    </row>
    <row r="883" spans="1:28" x14ac:dyDescent="0.45">
      <c r="A883" s="2" t="s">
        <v>1470</v>
      </c>
      <c r="B883" s="2" t="s">
        <v>5978</v>
      </c>
      <c r="C883" s="2" t="s">
        <v>1110</v>
      </c>
      <c r="D883" s="2" t="s">
        <v>1111</v>
      </c>
      <c r="E883" s="2" t="s">
        <v>96</v>
      </c>
      <c r="F883" s="3">
        <v>234.54</v>
      </c>
      <c r="G883" s="3">
        <v>241.6</v>
      </c>
      <c r="H883" s="2" t="s">
        <v>1156</v>
      </c>
      <c r="I883" s="19">
        <v>81</v>
      </c>
      <c r="J883" s="34">
        <f t="shared" si="52"/>
        <v>0.70469999999999999</v>
      </c>
      <c r="K883" s="34">
        <f t="shared" si="53"/>
        <v>1.06</v>
      </c>
      <c r="L883" s="34">
        <f t="shared" si="54"/>
        <v>4.24</v>
      </c>
      <c r="M883" s="20" t="s">
        <v>4303</v>
      </c>
      <c r="N883" s="20" t="s">
        <v>3891</v>
      </c>
      <c r="O883" s="20" t="s">
        <v>3892</v>
      </c>
      <c r="P883" s="20" t="s">
        <v>3893</v>
      </c>
      <c r="Q883" s="21">
        <v>234.44200000000001</v>
      </c>
      <c r="R883" s="21">
        <v>241.554</v>
      </c>
      <c r="S883" s="21">
        <v>3.556</v>
      </c>
      <c r="T883" s="22">
        <v>1.91</v>
      </c>
      <c r="U883" s="13">
        <f t="shared" si="55"/>
        <v>-2.33</v>
      </c>
      <c r="V883" s="23">
        <v>233.98</v>
      </c>
      <c r="W883" s="23">
        <v>233.98</v>
      </c>
      <c r="X883" s="20">
        <v>101</v>
      </c>
      <c r="Y883" s="24" t="s">
        <v>3737</v>
      </c>
      <c r="Z883" s="16">
        <v>152.97999999999999</v>
      </c>
      <c r="AA883" s="17">
        <v>188.9</v>
      </c>
      <c r="AB883" s="25" t="s">
        <v>3963</v>
      </c>
    </row>
    <row r="884" spans="1:28" x14ac:dyDescent="0.45">
      <c r="A884" s="4" t="s">
        <v>1471</v>
      </c>
      <c r="B884" s="4" t="s">
        <v>5979</v>
      </c>
      <c r="C884" s="4" t="s">
        <v>1110</v>
      </c>
      <c r="D884" s="4" t="s">
        <v>1111</v>
      </c>
      <c r="E884" s="4" t="s">
        <v>96</v>
      </c>
      <c r="F884" s="5">
        <v>234.5</v>
      </c>
      <c r="G884" s="5">
        <v>251.3</v>
      </c>
      <c r="H884" s="4" t="s">
        <v>1463</v>
      </c>
      <c r="I884" s="10">
        <v>464</v>
      </c>
      <c r="J884" s="34">
        <f t="shared" si="52"/>
        <v>4.0367999999999995</v>
      </c>
      <c r="K884" s="34">
        <f t="shared" si="53"/>
        <v>6.06</v>
      </c>
      <c r="L884" s="34">
        <f t="shared" si="54"/>
        <v>24.24</v>
      </c>
      <c r="M884" s="11" t="s">
        <v>4304</v>
      </c>
      <c r="N884" s="11" t="s">
        <v>3891</v>
      </c>
      <c r="O884" s="11" t="s">
        <v>3892</v>
      </c>
      <c r="P884" s="11" t="s">
        <v>3893</v>
      </c>
      <c r="Q884" s="12">
        <v>234.5</v>
      </c>
      <c r="R884" s="12">
        <v>251.3</v>
      </c>
      <c r="S884" s="12">
        <v>8.4</v>
      </c>
      <c r="T884" s="13">
        <v>5.5</v>
      </c>
      <c r="U884" s="13">
        <f t="shared" si="55"/>
        <v>-18.739999999999998</v>
      </c>
      <c r="V884" s="14">
        <v>673.75</v>
      </c>
      <c r="W884" s="14">
        <v>673.75</v>
      </c>
      <c r="X884" s="11">
        <v>8</v>
      </c>
      <c r="Y884" s="15" t="s">
        <v>3713</v>
      </c>
      <c r="Z884" s="16">
        <v>209.75</v>
      </c>
      <c r="AA884" s="17">
        <v>45.2</v>
      </c>
      <c r="AB884" s="18" t="s">
        <v>3714</v>
      </c>
    </row>
    <row r="885" spans="1:28" x14ac:dyDescent="0.45">
      <c r="A885" s="2" t="s">
        <v>1472</v>
      </c>
      <c r="B885" s="2" t="s">
        <v>5980</v>
      </c>
      <c r="C885" s="2" t="s">
        <v>1110</v>
      </c>
      <c r="D885" s="2" t="s">
        <v>1111</v>
      </c>
      <c r="E885" s="2" t="s">
        <v>96</v>
      </c>
      <c r="F885" s="3">
        <v>240.67</v>
      </c>
      <c r="G885" s="3">
        <v>251.33</v>
      </c>
      <c r="H885" s="2" t="s">
        <v>1201</v>
      </c>
      <c r="I885" s="19">
        <v>126</v>
      </c>
      <c r="J885" s="34">
        <f t="shared" si="52"/>
        <v>1.0961999999999998</v>
      </c>
      <c r="K885" s="34">
        <f t="shared" si="53"/>
        <v>1.64</v>
      </c>
      <c r="L885" s="34">
        <f t="shared" si="54"/>
        <v>6.56</v>
      </c>
      <c r="M885" s="20" t="s">
        <v>4305</v>
      </c>
      <c r="N885" s="20" t="s">
        <v>3891</v>
      </c>
      <c r="O885" s="20" t="s">
        <v>3892</v>
      </c>
      <c r="P885" s="20" t="s">
        <v>3893</v>
      </c>
      <c r="Q885" s="21">
        <v>240.53800000000001</v>
      </c>
      <c r="R885" s="21">
        <v>251.20599999999999</v>
      </c>
      <c r="S885" s="21">
        <v>5.3339999999999996</v>
      </c>
      <c r="T885" s="22">
        <v>2.6</v>
      </c>
      <c r="U885" s="13">
        <f t="shared" si="55"/>
        <v>-3.9599999999999995</v>
      </c>
      <c r="V885" s="23">
        <v>318.5</v>
      </c>
      <c r="W885" s="23">
        <v>318.5</v>
      </c>
      <c r="X885" s="20">
        <v>20</v>
      </c>
      <c r="Y885" s="24" t="s">
        <v>3737</v>
      </c>
      <c r="Z885" s="16">
        <v>192.5</v>
      </c>
      <c r="AA885" s="17">
        <v>152.80000000000001</v>
      </c>
      <c r="AB885" s="25" t="s">
        <v>4189</v>
      </c>
    </row>
    <row r="886" spans="1:28" x14ac:dyDescent="0.45">
      <c r="A886" s="4" t="s">
        <v>1473</v>
      </c>
      <c r="B886" s="4" t="s">
        <v>5981</v>
      </c>
      <c r="C886" s="4" t="s">
        <v>1110</v>
      </c>
      <c r="D886" s="4" t="s">
        <v>1111</v>
      </c>
      <c r="E886" s="4" t="s">
        <v>96</v>
      </c>
      <c r="F886" s="5">
        <v>240.67</v>
      </c>
      <c r="G886" s="5">
        <v>254.65</v>
      </c>
      <c r="H886" s="4" t="s">
        <v>1368</v>
      </c>
      <c r="I886" s="10">
        <v>170</v>
      </c>
      <c r="J886" s="34">
        <f t="shared" si="52"/>
        <v>1.4789999999999999</v>
      </c>
      <c r="K886" s="34">
        <f t="shared" si="53"/>
        <v>2.2200000000000002</v>
      </c>
      <c r="L886" s="34">
        <f t="shared" si="54"/>
        <v>8.8800000000000008</v>
      </c>
      <c r="M886" s="11" t="s">
        <v>4306</v>
      </c>
      <c r="N886" s="11" t="s">
        <v>3891</v>
      </c>
      <c r="O886" s="11" t="s">
        <v>3892</v>
      </c>
      <c r="P886" s="11" t="s">
        <v>3893</v>
      </c>
      <c r="Q886" s="12">
        <v>240.53800000000001</v>
      </c>
      <c r="R886" s="12">
        <v>254.762</v>
      </c>
      <c r="S886" s="12">
        <v>7.1120000000000001</v>
      </c>
      <c r="T886" s="13">
        <v>4.63</v>
      </c>
      <c r="U886" s="13">
        <f t="shared" si="55"/>
        <v>-4.2500000000000009</v>
      </c>
      <c r="V886" s="14">
        <v>567.16999999999996</v>
      </c>
      <c r="W886" s="14">
        <v>567.16999999999996</v>
      </c>
      <c r="X886" s="11">
        <v>97</v>
      </c>
      <c r="Y886" s="15" t="s">
        <v>3737</v>
      </c>
      <c r="Z886" s="16">
        <v>397.17</v>
      </c>
      <c r="AA886" s="17">
        <v>233.6</v>
      </c>
      <c r="AB886" s="18" t="s">
        <v>4199</v>
      </c>
    </row>
    <row r="887" spans="1:28" x14ac:dyDescent="0.45">
      <c r="A887" s="2" t="s">
        <v>1474</v>
      </c>
      <c r="B887" s="2" t="s">
        <v>5982</v>
      </c>
      <c r="C887" s="2" t="s">
        <v>1110</v>
      </c>
      <c r="D887" s="2" t="s">
        <v>1111</v>
      </c>
      <c r="E887" s="2" t="s">
        <v>96</v>
      </c>
      <c r="F887" s="3">
        <v>247.02</v>
      </c>
      <c r="G887" s="3">
        <v>257.68</v>
      </c>
      <c r="H887" s="2" t="s">
        <v>1201</v>
      </c>
      <c r="I887" s="19">
        <v>135</v>
      </c>
      <c r="J887" s="34">
        <f t="shared" si="52"/>
        <v>1.1744999999999999</v>
      </c>
      <c r="K887" s="34">
        <f t="shared" si="53"/>
        <v>1.76</v>
      </c>
      <c r="L887" s="34">
        <f t="shared" si="54"/>
        <v>7.04</v>
      </c>
      <c r="M887" s="20" t="s">
        <v>4307</v>
      </c>
      <c r="N887" s="20" t="s">
        <v>3891</v>
      </c>
      <c r="O887" s="20" t="s">
        <v>3892</v>
      </c>
      <c r="P887" s="20" t="s">
        <v>3893</v>
      </c>
      <c r="Q887" s="21">
        <v>246.88800000000001</v>
      </c>
      <c r="R887" s="21">
        <v>257.55599999999998</v>
      </c>
      <c r="S887" s="21">
        <v>5.3339999999999996</v>
      </c>
      <c r="T887" s="22">
        <v>3.06</v>
      </c>
      <c r="U887" s="13">
        <f t="shared" si="55"/>
        <v>-3.98</v>
      </c>
      <c r="V887" s="23">
        <v>374.85</v>
      </c>
      <c r="W887" s="23">
        <v>374.85</v>
      </c>
      <c r="X887" s="20">
        <v>55</v>
      </c>
      <c r="Y887" s="24" t="s">
        <v>3737</v>
      </c>
      <c r="Z887" s="16">
        <v>239.85</v>
      </c>
      <c r="AA887" s="17">
        <v>177.7</v>
      </c>
      <c r="AB887" s="25" t="s">
        <v>4189</v>
      </c>
    </row>
    <row r="888" spans="1:28" x14ac:dyDescent="0.45">
      <c r="A888" s="4" t="s">
        <v>1475</v>
      </c>
      <c r="B888" s="4" t="s">
        <v>5983</v>
      </c>
      <c r="C888" s="4" t="s">
        <v>1110</v>
      </c>
      <c r="D888" s="4" t="s">
        <v>1111</v>
      </c>
      <c r="E888" s="4" t="s">
        <v>96</v>
      </c>
      <c r="F888" s="5">
        <v>247.24</v>
      </c>
      <c r="G888" s="5">
        <v>254.3</v>
      </c>
      <c r="H888" s="4" t="s">
        <v>1156</v>
      </c>
      <c r="I888" s="10">
        <v>82</v>
      </c>
      <c r="J888" s="34">
        <f t="shared" si="52"/>
        <v>0.71339999999999992</v>
      </c>
      <c r="K888" s="34">
        <f t="shared" si="53"/>
        <v>1.07</v>
      </c>
      <c r="L888" s="34">
        <f t="shared" si="54"/>
        <v>4.28</v>
      </c>
      <c r="M888" s="11" t="s">
        <v>4308</v>
      </c>
      <c r="N888" s="11" t="s">
        <v>3891</v>
      </c>
      <c r="O888" s="11" t="s">
        <v>3892</v>
      </c>
      <c r="P888" s="11" t="s">
        <v>3893</v>
      </c>
      <c r="Q888" s="12">
        <v>247.142</v>
      </c>
      <c r="R888" s="12">
        <v>254.25399999999999</v>
      </c>
      <c r="S888" s="12">
        <v>3.556</v>
      </c>
      <c r="T888" s="13">
        <v>1.85</v>
      </c>
      <c r="U888" s="13">
        <f t="shared" si="55"/>
        <v>-2.4300000000000002</v>
      </c>
      <c r="V888" s="14">
        <v>226.62</v>
      </c>
      <c r="W888" s="14">
        <v>226.62</v>
      </c>
      <c r="X888" s="11">
        <v>31</v>
      </c>
      <c r="Y888" s="15" t="s">
        <v>3737</v>
      </c>
      <c r="Z888" s="16">
        <v>144.62</v>
      </c>
      <c r="AA888" s="17">
        <v>176.4</v>
      </c>
      <c r="AB888" s="18" t="s">
        <v>3963</v>
      </c>
    </row>
    <row r="889" spans="1:28" x14ac:dyDescent="0.45">
      <c r="A889" s="2" t="s">
        <v>1476</v>
      </c>
      <c r="B889" s="2" t="s">
        <v>5984</v>
      </c>
      <c r="C889" s="2" t="s">
        <v>1110</v>
      </c>
      <c r="D889" s="2" t="s">
        <v>1111</v>
      </c>
      <c r="E889" s="2" t="s">
        <v>96</v>
      </c>
      <c r="F889" s="3">
        <v>249.5</v>
      </c>
      <c r="G889" s="3">
        <v>266.3</v>
      </c>
      <c r="H889" s="2" t="s">
        <v>1463</v>
      </c>
      <c r="I889" s="19">
        <v>518</v>
      </c>
      <c r="J889" s="34">
        <f t="shared" si="52"/>
        <v>4.5065999999999997</v>
      </c>
      <c r="K889" s="34">
        <f t="shared" si="53"/>
        <v>6.76</v>
      </c>
      <c r="L889" s="34">
        <f t="shared" si="54"/>
        <v>27.04</v>
      </c>
      <c r="M889" s="20" t="s">
        <v>4309</v>
      </c>
      <c r="N889" s="20" t="s">
        <v>3891</v>
      </c>
      <c r="O889" s="20" t="s">
        <v>3892</v>
      </c>
      <c r="P889" s="20" t="s">
        <v>3893</v>
      </c>
      <c r="Q889" s="21">
        <v>249.1</v>
      </c>
      <c r="R889" s="21">
        <v>265.89999999999998</v>
      </c>
      <c r="S889" s="21">
        <v>8.4</v>
      </c>
      <c r="T889" s="22">
        <v>5.95</v>
      </c>
      <c r="U889" s="13">
        <f t="shared" si="55"/>
        <v>-21.09</v>
      </c>
      <c r="V889" s="23">
        <v>728.88</v>
      </c>
      <c r="W889" s="23">
        <v>728.88</v>
      </c>
      <c r="X889" s="20">
        <v>126</v>
      </c>
      <c r="Y889" s="24" t="s">
        <v>3713</v>
      </c>
      <c r="Z889" s="16">
        <v>210.88</v>
      </c>
      <c r="AA889" s="17">
        <v>40.700000000000003</v>
      </c>
      <c r="AB889" s="25" t="s">
        <v>4296</v>
      </c>
    </row>
    <row r="890" spans="1:28" x14ac:dyDescent="0.45">
      <c r="A890" s="4" t="s">
        <v>1477</v>
      </c>
      <c r="B890" s="4" t="s">
        <v>5985</v>
      </c>
      <c r="C890" s="4" t="s">
        <v>1110</v>
      </c>
      <c r="D890" s="4" t="s">
        <v>1111</v>
      </c>
      <c r="E890" s="4" t="s">
        <v>96</v>
      </c>
      <c r="F890" s="5">
        <v>253.37</v>
      </c>
      <c r="G890" s="5">
        <v>264.02999999999997</v>
      </c>
      <c r="H890" s="4" t="s">
        <v>1201</v>
      </c>
      <c r="I890" s="10">
        <v>140</v>
      </c>
      <c r="J890" s="34">
        <f t="shared" si="52"/>
        <v>1.218</v>
      </c>
      <c r="K890" s="34">
        <f t="shared" si="53"/>
        <v>1.83</v>
      </c>
      <c r="L890" s="34">
        <f t="shared" si="54"/>
        <v>7.32</v>
      </c>
      <c r="M890" s="11" t="s">
        <v>4310</v>
      </c>
      <c r="N890" s="11" t="s">
        <v>3891</v>
      </c>
      <c r="O890" s="11" t="s">
        <v>3892</v>
      </c>
      <c r="P890" s="11" t="s">
        <v>3893</v>
      </c>
      <c r="Q890" s="12">
        <v>253.238</v>
      </c>
      <c r="R890" s="12">
        <v>263.90600000000001</v>
      </c>
      <c r="S890" s="12">
        <v>5.3339999999999996</v>
      </c>
      <c r="T890" s="13">
        <v>3.06</v>
      </c>
      <c r="U890" s="13">
        <f t="shared" si="55"/>
        <v>-4.26</v>
      </c>
      <c r="V890" s="14">
        <v>374.85</v>
      </c>
      <c r="W890" s="14">
        <v>374.85</v>
      </c>
      <c r="X890" s="11">
        <v>48</v>
      </c>
      <c r="Y890" s="15" t="s">
        <v>3737</v>
      </c>
      <c r="Z890" s="16">
        <v>234.85</v>
      </c>
      <c r="AA890" s="17">
        <v>167.8</v>
      </c>
      <c r="AB890" s="18" t="s">
        <v>4189</v>
      </c>
    </row>
    <row r="891" spans="1:28" x14ac:dyDescent="0.45">
      <c r="A891" s="2" t="s">
        <v>1478</v>
      </c>
      <c r="B891" s="2" t="s">
        <v>5986</v>
      </c>
      <c r="C891" s="2" t="s">
        <v>1110</v>
      </c>
      <c r="D891" s="2" t="s">
        <v>1111</v>
      </c>
      <c r="E891" s="2" t="s">
        <v>96</v>
      </c>
      <c r="F891" s="3">
        <v>253.37</v>
      </c>
      <c r="G891" s="3">
        <v>267.35000000000002</v>
      </c>
      <c r="H891" s="2" t="s">
        <v>1368</v>
      </c>
      <c r="I891" s="19">
        <v>197</v>
      </c>
      <c r="J891" s="34">
        <f t="shared" si="52"/>
        <v>1.7139</v>
      </c>
      <c r="K891" s="34">
        <f t="shared" si="53"/>
        <v>2.57</v>
      </c>
      <c r="L891" s="34">
        <f t="shared" si="54"/>
        <v>10.28</v>
      </c>
      <c r="M891" s="20" t="s">
        <v>4311</v>
      </c>
      <c r="N891" s="20" t="s">
        <v>3891</v>
      </c>
      <c r="O891" s="20" t="s">
        <v>3892</v>
      </c>
      <c r="P891" s="20" t="s">
        <v>3893</v>
      </c>
      <c r="Q891" s="21">
        <v>253.238</v>
      </c>
      <c r="R891" s="21">
        <v>267.46199999999999</v>
      </c>
      <c r="S891" s="21">
        <v>7.1120000000000001</v>
      </c>
      <c r="T891" s="22">
        <v>4.2300000000000004</v>
      </c>
      <c r="U891" s="13">
        <f t="shared" si="55"/>
        <v>-6.0499999999999989</v>
      </c>
      <c r="V891" s="23">
        <v>518.17999999999995</v>
      </c>
      <c r="W891" s="23">
        <v>518.17999999999995</v>
      </c>
      <c r="X891" s="20">
        <v>45</v>
      </c>
      <c r="Y891" s="24" t="s">
        <v>3737</v>
      </c>
      <c r="Z891" s="16">
        <v>321.17999999999989</v>
      </c>
      <c r="AA891" s="17">
        <v>163</v>
      </c>
      <c r="AB891" s="25" t="s">
        <v>4199</v>
      </c>
    </row>
    <row r="892" spans="1:28" x14ac:dyDescent="0.45">
      <c r="A892" s="4" t="s">
        <v>1479</v>
      </c>
      <c r="B892" s="4" t="s">
        <v>5987</v>
      </c>
      <c r="C892" s="4" t="s">
        <v>1110</v>
      </c>
      <c r="D892" s="4" t="s">
        <v>1111</v>
      </c>
      <c r="E892" s="4" t="s">
        <v>96</v>
      </c>
      <c r="F892" s="5">
        <v>253.59</v>
      </c>
      <c r="G892" s="5">
        <v>260.64999999999998</v>
      </c>
      <c r="H892" s="4" t="s">
        <v>1156</v>
      </c>
      <c r="I892" s="10">
        <v>84</v>
      </c>
      <c r="J892" s="34">
        <f t="shared" si="52"/>
        <v>0.73079999999999989</v>
      </c>
      <c r="K892" s="34">
        <f t="shared" si="53"/>
        <v>1.1000000000000001</v>
      </c>
      <c r="L892" s="34">
        <f t="shared" si="54"/>
        <v>4.4000000000000004</v>
      </c>
      <c r="M892" s="11" t="s">
        <v>4312</v>
      </c>
      <c r="N892" s="11" t="s">
        <v>3891</v>
      </c>
      <c r="O892" s="11" t="s">
        <v>3892</v>
      </c>
      <c r="P892" s="11" t="s">
        <v>3893</v>
      </c>
      <c r="Q892" s="12">
        <v>253.49199999999999</v>
      </c>
      <c r="R892" s="12">
        <v>260.60399999999998</v>
      </c>
      <c r="S892" s="12">
        <v>3.556</v>
      </c>
      <c r="T892" s="13">
        <v>1.85</v>
      </c>
      <c r="U892" s="13">
        <f t="shared" si="55"/>
        <v>-2.5500000000000003</v>
      </c>
      <c r="V892" s="14">
        <v>226.62</v>
      </c>
      <c r="W892" s="14">
        <v>226.62</v>
      </c>
      <c r="X892" s="11">
        <v>188</v>
      </c>
      <c r="Y892" s="15" t="s">
        <v>3737</v>
      </c>
      <c r="Z892" s="16">
        <v>142.62</v>
      </c>
      <c r="AA892" s="17">
        <v>169.8</v>
      </c>
      <c r="AB892" s="18" t="s">
        <v>3963</v>
      </c>
    </row>
    <row r="893" spans="1:28" x14ac:dyDescent="0.45">
      <c r="A893" s="2" t="s">
        <v>1480</v>
      </c>
      <c r="B893" s="2" t="s">
        <v>5988</v>
      </c>
      <c r="C893" s="2" t="s">
        <v>1110</v>
      </c>
      <c r="D893" s="2" t="s">
        <v>1111</v>
      </c>
      <c r="E893" s="2" t="s">
        <v>96</v>
      </c>
      <c r="F893" s="3">
        <v>266.07</v>
      </c>
      <c r="G893" s="3">
        <v>276.73</v>
      </c>
      <c r="H893" s="2" t="s">
        <v>1201</v>
      </c>
      <c r="I893" s="19">
        <v>145</v>
      </c>
      <c r="J893" s="34">
        <f t="shared" si="52"/>
        <v>1.2614999999999998</v>
      </c>
      <c r="K893" s="34">
        <f t="shared" si="53"/>
        <v>1.89</v>
      </c>
      <c r="L893" s="34">
        <f t="shared" si="54"/>
        <v>7.56</v>
      </c>
      <c r="M893" s="20" t="s">
        <v>4313</v>
      </c>
      <c r="N893" s="20" t="s">
        <v>3891</v>
      </c>
      <c r="O893" s="20" t="s">
        <v>3892</v>
      </c>
      <c r="P893" s="20" t="s">
        <v>3893</v>
      </c>
      <c r="Q893" s="21">
        <v>265.93799999999999</v>
      </c>
      <c r="R893" s="21">
        <v>276.60599999999999</v>
      </c>
      <c r="S893" s="21">
        <v>5.3339999999999996</v>
      </c>
      <c r="T893" s="22">
        <v>2.99</v>
      </c>
      <c r="U893" s="13">
        <f t="shared" si="55"/>
        <v>-4.5699999999999994</v>
      </c>
      <c r="V893" s="23">
        <v>366.28</v>
      </c>
      <c r="W893" s="23">
        <v>366.28</v>
      </c>
      <c r="X893" s="20">
        <v>22</v>
      </c>
      <c r="Y893" s="24" t="s">
        <v>3737</v>
      </c>
      <c r="Z893" s="16">
        <v>221.28</v>
      </c>
      <c r="AA893" s="17">
        <v>152.6</v>
      </c>
      <c r="AB893" s="25" t="s">
        <v>4189</v>
      </c>
    </row>
    <row r="894" spans="1:28" x14ac:dyDescent="0.45">
      <c r="A894" s="4" t="s">
        <v>1481</v>
      </c>
      <c r="B894" s="4" t="s">
        <v>5989</v>
      </c>
      <c r="C894" s="4" t="s">
        <v>1110</v>
      </c>
      <c r="D894" s="4" t="s">
        <v>1111</v>
      </c>
      <c r="E894" s="4" t="s">
        <v>96</v>
      </c>
      <c r="F894" s="5">
        <v>266.07</v>
      </c>
      <c r="G894" s="5">
        <v>280.05</v>
      </c>
      <c r="H894" s="4" t="s">
        <v>1368</v>
      </c>
      <c r="I894" s="10">
        <v>207</v>
      </c>
      <c r="J894" s="34">
        <f t="shared" si="52"/>
        <v>1.8008999999999999</v>
      </c>
      <c r="K894" s="34">
        <f t="shared" si="53"/>
        <v>2.7</v>
      </c>
      <c r="L894" s="34">
        <f t="shared" si="54"/>
        <v>10.8</v>
      </c>
      <c r="M894" s="11" t="s">
        <v>4314</v>
      </c>
      <c r="N894" s="11" t="s">
        <v>3891</v>
      </c>
      <c r="O894" s="11" t="s">
        <v>3892</v>
      </c>
      <c r="P894" s="11" t="s">
        <v>3893</v>
      </c>
      <c r="Q894" s="12">
        <v>265.93799999999999</v>
      </c>
      <c r="R894" s="12">
        <v>280.16199999999998</v>
      </c>
      <c r="S894" s="12">
        <v>7.1120000000000001</v>
      </c>
      <c r="T894" s="13">
        <v>4.55</v>
      </c>
      <c r="U894" s="13">
        <f t="shared" si="55"/>
        <v>-6.2500000000000009</v>
      </c>
      <c r="V894" s="14">
        <v>557.38</v>
      </c>
      <c r="W894" s="14">
        <v>557.38</v>
      </c>
      <c r="X894" s="11">
        <v>21</v>
      </c>
      <c r="Y894" s="15" t="s">
        <v>3737</v>
      </c>
      <c r="Z894" s="16">
        <v>350.38</v>
      </c>
      <c r="AA894" s="17">
        <v>169.3</v>
      </c>
      <c r="AB894" s="18" t="s">
        <v>4199</v>
      </c>
    </row>
    <row r="895" spans="1:28" x14ac:dyDescent="0.45">
      <c r="A895" s="2" t="s">
        <v>1482</v>
      </c>
      <c r="B895" s="2" t="s">
        <v>5990</v>
      </c>
      <c r="C895" s="2" t="s">
        <v>1110</v>
      </c>
      <c r="D895" s="2" t="s">
        <v>1111</v>
      </c>
      <c r="E895" s="2" t="s">
        <v>96</v>
      </c>
      <c r="F895" s="3">
        <v>266.29000000000002</v>
      </c>
      <c r="G895" s="3">
        <v>273.35000000000002</v>
      </c>
      <c r="H895" s="2" t="s">
        <v>1156</v>
      </c>
      <c r="I895" s="19">
        <v>87</v>
      </c>
      <c r="J895" s="34">
        <f t="shared" si="52"/>
        <v>0.75689999999999991</v>
      </c>
      <c r="K895" s="34">
        <f t="shared" si="53"/>
        <v>1.1399999999999999</v>
      </c>
      <c r="L895" s="34">
        <f t="shared" si="54"/>
        <v>4.5599999999999996</v>
      </c>
      <c r="M895" s="20" t="s">
        <v>4315</v>
      </c>
      <c r="N895" s="20" t="s">
        <v>3891</v>
      </c>
      <c r="O895" s="20" t="s">
        <v>3892</v>
      </c>
      <c r="P895" s="20" t="s">
        <v>3893</v>
      </c>
      <c r="Q895" s="21">
        <v>266.19200000000001</v>
      </c>
      <c r="R895" s="21">
        <v>273.30399999999997</v>
      </c>
      <c r="S895" s="21">
        <v>3.556</v>
      </c>
      <c r="T895" s="22">
        <v>2.25</v>
      </c>
      <c r="U895" s="13">
        <f t="shared" si="55"/>
        <v>-2.3099999999999996</v>
      </c>
      <c r="V895" s="23">
        <v>275.62</v>
      </c>
      <c r="W895" s="23">
        <v>275.62</v>
      </c>
      <c r="X895" s="20">
        <v>2807</v>
      </c>
      <c r="Y895" s="24" t="s">
        <v>3737</v>
      </c>
      <c r="Z895" s="16">
        <v>188.62</v>
      </c>
      <c r="AA895" s="17">
        <v>216.8</v>
      </c>
      <c r="AB895" s="25" t="s">
        <v>3963</v>
      </c>
    </row>
    <row r="896" spans="1:28" x14ac:dyDescent="0.45">
      <c r="A896" s="4" t="s">
        <v>1483</v>
      </c>
      <c r="B896" s="4" t="s">
        <v>5991</v>
      </c>
      <c r="C896" s="4" t="s">
        <v>1110</v>
      </c>
      <c r="D896" s="4" t="s">
        <v>1111</v>
      </c>
      <c r="E896" s="4" t="s">
        <v>96</v>
      </c>
      <c r="F896" s="5">
        <v>278.77</v>
      </c>
      <c r="G896" s="5">
        <v>289.43</v>
      </c>
      <c r="H896" s="4" t="s">
        <v>1201</v>
      </c>
      <c r="I896" s="10">
        <v>148</v>
      </c>
      <c r="J896" s="34">
        <f t="shared" si="52"/>
        <v>1.2875999999999999</v>
      </c>
      <c r="K896" s="34">
        <f t="shared" si="53"/>
        <v>1.93</v>
      </c>
      <c r="L896" s="34">
        <f t="shared" si="54"/>
        <v>7.72</v>
      </c>
      <c r="M896" s="11" t="s">
        <v>4316</v>
      </c>
      <c r="N896" s="11" t="s">
        <v>3891</v>
      </c>
      <c r="O896" s="11" t="s">
        <v>3892</v>
      </c>
      <c r="P896" s="11" t="s">
        <v>3893</v>
      </c>
      <c r="Q896" s="12">
        <v>278.63799999999998</v>
      </c>
      <c r="R896" s="12">
        <v>289.30599999999998</v>
      </c>
      <c r="S896" s="12">
        <v>5.3339999999999996</v>
      </c>
      <c r="T896" s="13">
        <v>3.51</v>
      </c>
      <c r="U896" s="13">
        <f t="shared" si="55"/>
        <v>-4.21</v>
      </c>
      <c r="V896" s="14">
        <v>429.98</v>
      </c>
      <c r="W896" s="14">
        <v>429.98</v>
      </c>
      <c r="X896" s="11">
        <v>3</v>
      </c>
      <c r="Y896" s="15" t="s">
        <v>3737</v>
      </c>
      <c r="Z896" s="16">
        <v>281.98</v>
      </c>
      <c r="AA896" s="17">
        <v>190.5</v>
      </c>
      <c r="AB896" s="18" t="s">
        <v>4189</v>
      </c>
    </row>
    <row r="897" spans="1:28" x14ac:dyDescent="0.45">
      <c r="A897" s="2" t="s">
        <v>1484</v>
      </c>
      <c r="B897" s="2" t="s">
        <v>5992</v>
      </c>
      <c r="C897" s="2" t="s">
        <v>1110</v>
      </c>
      <c r="D897" s="2" t="s">
        <v>1111</v>
      </c>
      <c r="E897" s="2" t="s">
        <v>96</v>
      </c>
      <c r="F897" s="3">
        <v>278.77</v>
      </c>
      <c r="G897" s="3">
        <v>292.75</v>
      </c>
      <c r="H897" s="2" t="s">
        <v>1368</v>
      </c>
      <c r="I897" s="19">
        <v>219</v>
      </c>
      <c r="J897" s="34">
        <f t="shared" si="52"/>
        <v>1.9052999999999998</v>
      </c>
      <c r="K897" s="34">
        <f t="shared" si="53"/>
        <v>2.86</v>
      </c>
      <c r="L897" s="34">
        <f t="shared" si="54"/>
        <v>11.44</v>
      </c>
      <c r="M897" s="20" t="s">
        <v>4317</v>
      </c>
      <c r="N897" s="20" t="s">
        <v>3891</v>
      </c>
      <c r="O897" s="20" t="s">
        <v>3892</v>
      </c>
      <c r="P897" s="20" t="s">
        <v>3893</v>
      </c>
      <c r="Q897" s="21">
        <v>278.63799999999998</v>
      </c>
      <c r="R897" s="21">
        <v>292.86200000000002</v>
      </c>
      <c r="S897" s="21">
        <v>7.1120000000000001</v>
      </c>
      <c r="T897" s="22">
        <v>4.76</v>
      </c>
      <c r="U897" s="13">
        <f t="shared" si="55"/>
        <v>-6.68</v>
      </c>
      <c r="V897" s="23">
        <v>583.1</v>
      </c>
      <c r="W897" s="23">
        <v>583.1</v>
      </c>
      <c r="X897" s="20">
        <v>78</v>
      </c>
      <c r="Y897" s="24" t="s">
        <v>3737</v>
      </c>
      <c r="Z897" s="16">
        <v>364.1</v>
      </c>
      <c r="AA897" s="17">
        <v>166.3</v>
      </c>
      <c r="AB897" s="25" t="s">
        <v>4199</v>
      </c>
    </row>
    <row r="898" spans="1:28" x14ac:dyDescent="0.45">
      <c r="A898" s="4" t="s">
        <v>1485</v>
      </c>
      <c r="B898" s="4" t="s">
        <v>5993</v>
      </c>
      <c r="C898" s="4" t="s">
        <v>1110</v>
      </c>
      <c r="D898" s="4" t="s">
        <v>1111</v>
      </c>
      <c r="E898" s="4" t="s">
        <v>96</v>
      </c>
      <c r="F898" s="5">
        <v>278.99</v>
      </c>
      <c r="G898" s="5">
        <v>286.05</v>
      </c>
      <c r="H898" s="4" t="s">
        <v>1156</v>
      </c>
      <c r="I898" s="10">
        <v>91</v>
      </c>
      <c r="J898" s="34">
        <f t="shared" si="52"/>
        <v>0.79169999999999996</v>
      </c>
      <c r="K898" s="34">
        <f t="shared" si="53"/>
        <v>1.19</v>
      </c>
      <c r="L898" s="34">
        <f t="shared" si="54"/>
        <v>4.76</v>
      </c>
      <c r="M898" s="11" t="s">
        <v>4318</v>
      </c>
      <c r="N898" s="11" t="s">
        <v>3891</v>
      </c>
      <c r="O898" s="11" t="s">
        <v>3892</v>
      </c>
      <c r="P898" s="11" t="s">
        <v>3893</v>
      </c>
      <c r="Q898" s="12">
        <v>278.892</v>
      </c>
      <c r="R898" s="12">
        <v>286.00400000000002</v>
      </c>
      <c r="S898" s="12">
        <v>3.556</v>
      </c>
      <c r="T898" s="13">
        <v>1.46</v>
      </c>
      <c r="U898" s="13">
        <f t="shared" si="55"/>
        <v>-3.3</v>
      </c>
      <c r="V898" s="14">
        <v>178.85</v>
      </c>
      <c r="W898" s="14">
        <v>178.85</v>
      </c>
      <c r="X898" s="11">
        <v>220</v>
      </c>
      <c r="Y898" s="15" t="s">
        <v>3737</v>
      </c>
      <c r="Z898" s="16">
        <v>87.85</v>
      </c>
      <c r="AA898" s="17">
        <v>96.5</v>
      </c>
      <c r="AB898" s="18" t="s">
        <v>3963</v>
      </c>
    </row>
    <row r="899" spans="1:28" x14ac:dyDescent="0.45">
      <c r="A899" s="2" t="s">
        <v>1486</v>
      </c>
      <c r="B899" s="2" t="s">
        <v>5994</v>
      </c>
      <c r="C899" s="2" t="s">
        <v>1110</v>
      </c>
      <c r="D899" s="2" t="s">
        <v>1111</v>
      </c>
      <c r="E899" s="2" t="s">
        <v>96</v>
      </c>
      <c r="F899" s="3">
        <v>291.47000000000003</v>
      </c>
      <c r="G899" s="3">
        <v>302.13000000000011</v>
      </c>
      <c r="H899" s="2" t="s">
        <v>1201</v>
      </c>
      <c r="I899" s="19">
        <v>151</v>
      </c>
      <c r="J899" s="34">
        <f t="shared" si="52"/>
        <v>1.3136999999999999</v>
      </c>
      <c r="K899" s="34">
        <f t="shared" si="53"/>
        <v>1.97</v>
      </c>
      <c r="L899" s="34">
        <f t="shared" si="54"/>
        <v>7.88</v>
      </c>
      <c r="M899" s="20" t="s">
        <v>4319</v>
      </c>
      <c r="N899" s="20" t="s">
        <v>3891</v>
      </c>
      <c r="O899" s="20" t="s">
        <v>3892</v>
      </c>
      <c r="P899" s="20" t="s">
        <v>3893</v>
      </c>
      <c r="Q899" s="21">
        <v>291.33800000000002</v>
      </c>
      <c r="R899" s="21">
        <v>302.00599999999997</v>
      </c>
      <c r="S899" s="21">
        <v>5.3339999999999996</v>
      </c>
      <c r="T899" s="22">
        <v>3.62</v>
      </c>
      <c r="U899" s="13">
        <f t="shared" si="55"/>
        <v>-4.26</v>
      </c>
      <c r="V899" s="23">
        <v>443.45</v>
      </c>
      <c r="W899" s="23">
        <v>443.45</v>
      </c>
      <c r="X899" s="20">
        <v>17</v>
      </c>
      <c r="Y899" s="24" t="s">
        <v>3737</v>
      </c>
      <c r="Z899" s="16">
        <v>292.45</v>
      </c>
      <c r="AA899" s="17">
        <v>193.7</v>
      </c>
      <c r="AB899" s="25" t="s">
        <v>4189</v>
      </c>
    </row>
    <row r="900" spans="1:28" x14ac:dyDescent="0.45">
      <c r="A900" s="4" t="s">
        <v>1487</v>
      </c>
      <c r="B900" s="4" t="s">
        <v>5995</v>
      </c>
      <c r="C900" s="4" t="s">
        <v>1110</v>
      </c>
      <c r="D900" s="4" t="s">
        <v>1111</v>
      </c>
      <c r="E900" s="4" t="s">
        <v>96</v>
      </c>
      <c r="F900" s="5">
        <v>291.47000000000003</v>
      </c>
      <c r="G900" s="5">
        <v>305.45</v>
      </c>
      <c r="H900" s="4" t="s">
        <v>1368</v>
      </c>
      <c r="I900" s="10">
        <v>227</v>
      </c>
      <c r="J900" s="34">
        <f t="shared" si="52"/>
        <v>1.9748999999999999</v>
      </c>
      <c r="K900" s="34">
        <f t="shared" si="53"/>
        <v>2.96</v>
      </c>
      <c r="L900" s="34">
        <f t="shared" si="54"/>
        <v>11.84</v>
      </c>
      <c r="M900" s="11" t="s">
        <v>4320</v>
      </c>
      <c r="N900" s="11" t="s">
        <v>3891</v>
      </c>
      <c r="O900" s="11" t="s">
        <v>3892</v>
      </c>
      <c r="P900" s="11" t="s">
        <v>3893</v>
      </c>
      <c r="Q900" s="12">
        <v>291.33800000000002</v>
      </c>
      <c r="R900" s="12">
        <v>305.56200000000001</v>
      </c>
      <c r="S900" s="12">
        <v>7.1120000000000001</v>
      </c>
      <c r="T900" s="13">
        <v>7.49</v>
      </c>
      <c r="U900" s="13">
        <f t="shared" si="55"/>
        <v>-4.3499999999999996</v>
      </c>
      <c r="V900" s="14">
        <v>917.52</v>
      </c>
      <c r="W900" s="14">
        <v>917.52</v>
      </c>
      <c r="X900" s="11">
        <v>74</v>
      </c>
      <c r="Y900" s="15" t="s">
        <v>3737</v>
      </c>
      <c r="Z900" s="16">
        <v>690.52</v>
      </c>
      <c r="AA900" s="17">
        <v>304.2</v>
      </c>
      <c r="AB900" s="18" t="s">
        <v>4199</v>
      </c>
    </row>
    <row r="901" spans="1:28" x14ac:dyDescent="0.45">
      <c r="A901" s="2" t="s">
        <v>1488</v>
      </c>
      <c r="B901" s="2" t="s">
        <v>5996</v>
      </c>
      <c r="C901" s="2" t="s">
        <v>1110</v>
      </c>
      <c r="D901" s="2" t="s">
        <v>1111</v>
      </c>
      <c r="E901" s="2" t="s">
        <v>96</v>
      </c>
      <c r="F901" s="3">
        <v>304.17</v>
      </c>
      <c r="G901" s="3">
        <v>318.14999999999998</v>
      </c>
      <c r="H901" s="2" t="s">
        <v>1368</v>
      </c>
      <c r="I901" s="19">
        <v>251</v>
      </c>
      <c r="J901" s="34">
        <f t="shared" ref="J901:J964" si="56">I901*0.0087</f>
        <v>2.1837</v>
      </c>
      <c r="K901" s="34">
        <f t="shared" ref="K901:K964" si="57">ROUND(J901*1.5,2)</f>
        <v>3.28</v>
      </c>
      <c r="L901" s="34">
        <f t="shared" ref="L901:L964" si="58">K901*4</f>
        <v>13.12</v>
      </c>
      <c r="M901" s="20" t="s">
        <v>4321</v>
      </c>
      <c r="N901" s="20" t="s">
        <v>3891</v>
      </c>
      <c r="O901" s="20" t="s">
        <v>3892</v>
      </c>
      <c r="P901" s="20" t="s">
        <v>3893</v>
      </c>
      <c r="Q901" s="21">
        <v>304.03800000000001</v>
      </c>
      <c r="R901" s="21">
        <v>318.262</v>
      </c>
      <c r="S901" s="21">
        <v>7.1120000000000001</v>
      </c>
      <c r="T901" s="22">
        <v>5.5</v>
      </c>
      <c r="U901" s="13">
        <f t="shared" ref="U901:U964" si="59">T901-L901</f>
        <v>-7.6199999999999992</v>
      </c>
      <c r="V901" s="23">
        <v>673.75</v>
      </c>
      <c r="W901" s="23">
        <v>673.75</v>
      </c>
      <c r="X901" s="20">
        <v>23</v>
      </c>
      <c r="Y901" s="24" t="s">
        <v>3737</v>
      </c>
      <c r="Z901" s="16">
        <v>422.75</v>
      </c>
      <c r="AA901" s="17">
        <v>168.4</v>
      </c>
      <c r="AB901" s="25" t="s">
        <v>4199</v>
      </c>
    </row>
    <row r="902" spans="1:28" x14ac:dyDescent="0.45">
      <c r="A902" s="4" t="s">
        <v>1489</v>
      </c>
      <c r="B902" s="4" t="s">
        <v>5997</v>
      </c>
      <c r="C902" s="4" t="s">
        <v>1110</v>
      </c>
      <c r="D902" s="4" t="s">
        <v>1111</v>
      </c>
      <c r="E902" s="4" t="s">
        <v>96</v>
      </c>
      <c r="F902" s="5">
        <v>304.2</v>
      </c>
      <c r="G902" s="5">
        <v>315.60000000000002</v>
      </c>
      <c r="H902" s="4" t="s">
        <v>1297</v>
      </c>
      <c r="I902" s="10">
        <v>303</v>
      </c>
      <c r="J902" s="34">
        <f t="shared" si="56"/>
        <v>2.6360999999999999</v>
      </c>
      <c r="K902" s="34">
        <f t="shared" si="57"/>
        <v>3.95</v>
      </c>
      <c r="L902" s="34">
        <f t="shared" si="58"/>
        <v>15.8</v>
      </c>
      <c r="M902" s="11" t="s">
        <v>4322</v>
      </c>
      <c r="N902" s="11" t="s">
        <v>3891</v>
      </c>
      <c r="O902" s="11" t="s">
        <v>3892</v>
      </c>
      <c r="P902" s="11" t="s">
        <v>3893</v>
      </c>
      <c r="Q902" s="12">
        <v>304.3</v>
      </c>
      <c r="R902" s="12">
        <v>315.7</v>
      </c>
      <c r="S902" s="12">
        <v>5.7</v>
      </c>
      <c r="T902" s="13">
        <v>5.58</v>
      </c>
      <c r="U902" s="13">
        <f t="shared" si="59"/>
        <v>-10.220000000000001</v>
      </c>
      <c r="V902" s="14">
        <v>683.55</v>
      </c>
      <c r="W902" s="14">
        <v>683.55</v>
      </c>
      <c r="X902" s="11">
        <v>65</v>
      </c>
      <c r="Y902" s="15" t="s">
        <v>3713</v>
      </c>
      <c r="Z902" s="16">
        <v>380.55</v>
      </c>
      <c r="AA902" s="17">
        <v>125.6</v>
      </c>
      <c r="AB902" s="18" t="s">
        <v>4119</v>
      </c>
    </row>
    <row r="903" spans="1:28" x14ac:dyDescent="0.45">
      <c r="A903" s="2" t="s">
        <v>1490</v>
      </c>
      <c r="B903" s="2" t="s">
        <v>5998</v>
      </c>
      <c r="C903" s="2" t="s">
        <v>1110</v>
      </c>
      <c r="D903" s="2" t="s">
        <v>1111</v>
      </c>
      <c r="E903" s="2" t="s">
        <v>96</v>
      </c>
      <c r="F903" s="3">
        <v>316.87</v>
      </c>
      <c r="G903" s="3">
        <v>330.85</v>
      </c>
      <c r="H903" s="2" t="s">
        <v>1368</v>
      </c>
      <c r="I903" s="19">
        <v>268</v>
      </c>
      <c r="J903" s="34">
        <f t="shared" si="56"/>
        <v>2.3315999999999999</v>
      </c>
      <c r="K903" s="34">
        <f t="shared" si="57"/>
        <v>3.5</v>
      </c>
      <c r="L903" s="34">
        <f t="shared" si="58"/>
        <v>14</v>
      </c>
      <c r="M903" s="20" t="s">
        <v>4323</v>
      </c>
      <c r="N903" s="20" t="s">
        <v>3891</v>
      </c>
      <c r="O903" s="20" t="s">
        <v>3892</v>
      </c>
      <c r="P903" s="20" t="s">
        <v>3893</v>
      </c>
      <c r="Q903" s="21">
        <v>316.738</v>
      </c>
      <c r="R903" s="21">
        <v>330.96199999999999</v>
      </c>
      <c r="S903" s="21">
        <v>7.1120000000000001</v>
      </c>
      <c r="T903" s="22">
        <v>5.5</v>
      </c>
      <c r="U903" s="13">
        <f t="shared" si="59"/>
        <v>-8.5</v>
      </c>
      <c r="V903" s="23">
        <v>673.75</v>
      </c>
      <c r="W903" s="23">
        <v>673.75</v>
      </c>
      <c r="X903" s="20">
        <v>33</v>
      </c>
      <c r="Y903" s="24" t="s">
        <v>3737</v>
      </c>
      <c r="Z903" s="16">
        <v>405.75</v>
      </c>
      <c r="AA903" s="17">
        <v>151.4</v>
      </c>
      <c r="AB903" s="25" t="s">
        <v>4199</v>
      </c>
    </row>
    <row r="904" spans="1:28" x14ac:dyDescent="0.45">
      <c r="A904" s="4" t="s">
        <v>1491</v>
      </c>
      <c r="B904" s="4" t="s">
        <v>5999</v>
      </c>
      <c r="C904" s="4" t="s">
        <v>1110</v>
      </c>
      <c r="D904" s="4" t="s">
        <v>1111</v>
      </c>
      <c r="E904" s="4" t="s">
        <v>96</v>
      </c>
      <c r="F904" s="5">
        <v>329.57</v>
      </c>
      <c r="G904" s="5">
        <v>340.23</v>
      </c>
      <c r="H904" s="4" t="s">
        <v>1201</v>
      </c>
      <c r="I904" s="10">
        <v>251</v>
      </c>
      <c r="J904" s="34">
        <f t="shared" si="56"/>
        <v>2.1837</v>
      </c>
      <c r="K904" s="34">
        <f t="shared" si="57"/>
        <v>3.28</v>
      </c>
      <c r="L904" s="34">
        <f t="shared" si="58"/>
        <v>13.12</v>
      </c>
      <c r="M904" s="11" t="s">
        <v>4324</v>
      </c>
      <c r="N904" s="11" t="s">
        <v>3891</v>
      </c>
      <c r="O904" s="11" t="s">
        <v>3892</v>
      </c>
      <c r="P904" s="11" t="s">
        <v>3893</v>
      </c>
      <c r="Q904" s="12">
        <v>329.43799999999999</v>
      </c>
      <c r="R904" s="12">
        <v>340.10599999999999</v>
      </c>
      <c r="S904" s="12">
        <v>5.3339999999999996</v>
      </c>
      <c r="T904" s="13">
        <v>5.97</v>
      </c>
      <c r="U904" s="13">
        <f t="shared" si="59"/>
        <v>-7.1499999999999995</v>
      </c>
      <c r="V904" s="14">
        <v>731.32</v>
      </c>
      <c r="W904" s="14">
        <v>731.32</v>
      </c>
      <c r="X904" s="11">
        <v>14</v>
      </c>
      <c r="Y904" s="15" t="s">
        <v>3737</v>
      </c>
      <c r="Z904" s="16">
        <v>480.32000000000011</v>
      </c>
      <c r="AA904" s="17">
        <v>191.4</v>
      </c>
      <c r="AB904" s="18" t="s">
        <v>4189</v>
      </c>
    </row>
    <row r="905" spans="1:28" x14ac:dyDescent="0.45">
      <c r="A905" s="2" t="s">
        <v>1492</v>
      </c>
      <c r="B905" s="2" t="s">
        <v>6000</v>
      </c>
      <c r="C905" s="2" t="s">
        <v>1110</v>
      </c>
      <c r="D905" s="2" t="s">
        <v>1111</v>
      </c>
      <c r="E905" s="2" t="s">
        <v>96</v>
      </c>
      <c r="F905" s="3">
        <v>329.57</v>
      </c>
      <c r="G905" s="3">
        <v>343.55</v>
      </c>
      <c r="H905" s="2" t="s">
        <v>1368</v>
      </c>
      <c r="I905" s="19">
        <v>268</v>
      </c>
      <c r="J905" s="34">
        <f t="shared" si="56"/>
        <v>2.3315999999999999</v>
      </c>
      <c r="K905" s="34">
        <f t="shared" si="57"/>
        <v>3.5</v>
      </c>
      <c r="L905" s="34">
        <f t="shared" si="58"/>
        <v>14</v>
      </c>
      <c r="M905" s="20" t="s">
        <v>4325</v>
      </c>
      <c r="N905" s="20" t="s">
        <v>3891</v>
      </c>
      <c r="O905" s="20" t="s">
        <v>3892</v>
      </c>
      <c r="P905" s="20" t="s">
        <v>3893</v>
      </c>
      <c r="Q905" s="21">
        <v>329.43799999999999</v>
      </c>
      <c r="R905" s="21">
        <v>343.66199999999998</v>
      </c>
      <c r="S905" s="21">
        <v>7.1120000000000001</v>
      </c>
      <c r="T905" s="22">
        <v>5.91</v>
      </c>
      <c r="U905" s="13">
        <f t="shared" si="59"/>
        <v>-8.09</v>
      </c>
      <c r="V905" s="23">
        <v>723.98</v>
      </c>
      <c r="W905" s="23">
        <v>723.98</v>
      </c>
      <c r="X905" s="20">
        <v>8</v>
      </c>
      <c r="Y905" s="24" t="s">
        <v>3737</v>
      </c>
      <c r="Z905" s="16">
        <v>455.98</v>
      </c>
      <c r="AA905" s="17">
        <v>170.1</v>
      </c>
      <c r="AB905" s="25" t="s">
        <v>4199</v>
      </c>
    </row>
    <row r="906" spans="1:28" x14ac:dyDescent="0.45">
      <c r="A906" s="4" t="s">
        <v>1493</v>
      </c>
      <c r="B906" s="4" t="s">
        <v>6001</v>
      </c>
      <c r="C906" s="4" t="s">
        <v>1110</v>
      </c>
      <c r="D906" s="4" t="s">
        <v>1111</v>
      </c>
      <c r="E906" s="4" t="s">
        <v>96</v>
      </c>
      <c r="F906" s="5">
        <v>342.27</v>
      </c>
      <c r="G906" s="5">
        <v>356.25</v>
      </c>
      <c r="H906" s="4" t="s">
        <v>1368</v>
      </c>
      <c r="I906" s="10">
        <v>411</v>
      </c>
      <c r="J906" s="34">
        <f t="shared" si="56"/>
        <v>3.5756999999999999</v>
      </c>
      <c r="K906" s="34">
        <f t="shared" si="57"/>
        <v>5.36</v>
      </c>
      <c r="L906" s="34">
        <f t="shared" si="58"/>
        <v>21.44</v>
      </c>
      <c r="M906" s="11" t="s">
        <v>4326</v>
      </c>
      <c r="N906" s="11" t="s">
        <v>3891</v>
      </c>
      <c r="O906" s="11" t="s">
        <v>3892</v>
      </c>
      <c r="P906" s="11" t="s">
        <v>3893</v>
      </c>
      <c r="Q906" s="12">
        <v>342.13799999999998</v>
      </c>
      <c r="R906" s="12">
        <v>356.36200000000002</v>
      </c>
      <c r="S906" s="12">
        <v>7.1120000000000001</v>
      </c>
      <c r="T906" s="13">
        <v>6</v>
      </c>
      <c r="U906" s="13">
        <f t="shared" si="59"/>
        <v>-15.440000000000001</v>
      </c>
      <c r="V906" s="14">
        <v>735</v>
      </c>
      <c r="W906" s="14">
        <v>735</v>
      </c>
      <c r="X906" s="11">
        <v>22</v>
      </c>
      <c r="Y906" s="15" t="s">
        <v>3737</v>
      </c>
      <c r="Z906" s="16">
        <v>324</v>
      </c>
      <c r="AA906" s="17">
        <v>78.8</v>
      </c>
      <c r="AB906" s="18" t="s">
        <v>4199</v>
      </c>
    </row>
    <row r="907" spans="1:28" x14ac:dyDescent="0.45">
      <c r="A907" s="2" t="s">
        <v>1494</v>
      </c>
      <c r="B907" s="2" t="s">
        <v>6002</v>
      </c>
      <c r="C907" s="2" t="s">
        <v>1110</v>
      </c>
      <c r="D907" s="2" t="s">
        <v>1111</v>
      </c>
      <c r="E907" s="2" t="s">
        <v>96</v>
      </c>
      <c r="F907" s="3">
        <v>354.97</v>
      </c>
      <c r="G907" s="3">
        <v>365.63000000000011</v>
      </c>
      <c r="H907" s="2" t="s">
        <v>1201</v>
      </c>
      <c r="I907" s="19">
        <v>321</v>
      </c>
      <c r="J907" s="34">
        <f t="shared" si="56"/>
        <v>2.7927</v>
      </c>
      <c r="K907" s="34">
        <f t="shared" si="57"/>
        <v>4.1900000000000004</v>
      </c>
      <c r="L907" s="34">
        <f t="shared" si="58"/>
        <v>16.760000000000002</v>
      </c>
      <c r="M907" s="20" t="s">
        <v>4327</v>
      </c>
      <c r="N907" s="20" t="s">
        <v>3891</v>
      </c>
      <c r="O907" s="20" t="s">
        <v>3892</v>
      </c>
      <c r="P907" s="20" t="s">
        <v>3893</v>
      </c>
      <c r="Q907" s="21">
        <v>354.83800000000002</v>
      </c>
      <c r="R907" s="21">
        <v>365.50599999999997</v>
      </c>
      <c r="S907" s="21">
        <v>5.3339999999999996</v>
      </c>
      <c r="T907" s="22">
        <v>4.33</v>
      </c>
      <c r="U907" s="13">
        <f t="shared" si="59"/>
        <v>-12.430000000000001</v>
      </c>
      <c r="V907" s="23">
        <v>530.41999999999996</v>
      </c>
      <c r="W907" s="23">
        <v>530.41999999999996</v>
      </c>
      <c r="X907" s="20">
        <v>12</v>
      </c>
      <c r="Y907" s="24" t="s">
        <v>3737</v>
      </c>
      <c r="Z907" s="16">
        <v>209.42</v>
      </c>
      <c r="AA907" s="17">
        <v>65.2</v>
      </c>
      <c r="AB907" s="25" t="s">
        <v>4189</v>
      </c>
    </row>
    <row r="908" spans="1:28" x14ac:dyDescent="0.45">
      <c r="A908" s="4" t="s">
        <v>1495</v>
      </c>
      <c r="B908" s="4" t="s">
        <v>6003</v>
      </c>
      <c r="C908" s="4" t="s">
        <v>1110</v>
      </c>
      <c r="D908" s="4" t="s">
        <v>1111</v>
      </c>
      <c r="E908" s="4" t="s">
        <v>96</v>
      </c>
      <c r="F908" s="5">
        <v>354.97</v>
      </c>
      <c r="G908" s="5">
        <v>368.95</v>
      </c>
      <c r="H908" s="4" t="s">
        <v>1368</v>
      </c>
      <c r="I908" s="10">
        <v>481</v>
      </c>
      <c r="J908" s="34">
        <f t="shared" si="56"/>
        <v>4.1846999999999994</v>
      </c>
      <c r="K908" s="34">
        <f t="shared" si="57"/>
        <v>6.28</v>
      </c>
      <c r="L908" s="34">
        <f t="shared" si="58"/>
        <v>25.12</v>
      </c>
      <c r="M908" s="11" t="s">
        <v>4328</v>
      </c>
      <c r="N908" s="11" t="s">
        <v>3891</v>
      </c>
      <c r="O908" s="11" t="s">
        <v>3892</v>
      </c>
      <c r="P908" s="11" t="s">
        <v>3893</v>
      </c>
      <c r="Q908" s="12">
        <v>354.83800000000002</v>
      </c>
      <c r="R908" s="12">
        <v>369.06200000000001</v>
      </c>
      <c r="S908" s="12">
        <v>7.1120000000000001</v>
      </c>
      <c r="T908" s="13">
        <v>8.36</v>
      </c>
      <c r="U908" s="13">
        <f t="shared" si="59"/>
        <v>-16.760000000000002</v>
      </c>
      <c r="V908" s="14">
        <v>1024.0999999999999</v>
      </c>
      <c r="W908" s="14">
        <v>1024.0999999999999</v>
      </c>
      <c r="X908" s="11">
        <v>20</v>
      </c>
      <c r="Y908" s="15" t="s">
        <v>3737</v>
      </c>
      <c r="Z908" s="16">
        <v>543.09999999999991</v>
      </c>
      <c r="AA908" s="17">
        <v>112.9</v>
      </c>
      <c r="AB908" s="18" t="s">
        <v>4199</v>
      </c>
    </row>
    <row r="909" spans="1:28" x14ac:dyDescent="0.45">
      <c r="A909" s="2" t="s">
        <v>1496</v>
      </c>
      <c r="B909" s="2" t="s">
        <v>6004</v>
      </c>
      <c r="C909" s="2" t="s">
        <v>1110</v>
      </c>
      <c r="D909" s="2" t="s">
        <v>1111</v>
      </c>
      <c r="E909" s="2" t="s">
        <v>96</v>
      </c>
      <c r="F909" s="3">
        <v>367.67</v>
      </c>
      <c r="G909" s="3">
        <v>381.65</v>
      </c>
      <c r="H909" s="2" t="s">
        <v>1368</v>
      </c>
      <c r="I909" s="19">
        <v>481</v>
      </c>
      <c r="J909" s="34">
        <f t="shared" si="56"/>
        <v>4.1846999999999994</v>
      </c>
      <c r="K909" s="34">
        <f t="shared" si="57"/>
        <v>6.28</v>
      </c>
      <c r="L909" s="34">
        <f t="shared" si="58"/>
        <v>25.12</v>
      </c>
      <c r="M909" s="20" t="s">
        <v>4329</v>
      </c>
      <c r="N909" s="20" t="s">
        <v>3891</v>
      </c>
      <c r="O909" s="20" t="s">
        <v>3892</v>
      </c>
      <c r="P909" s="20" t="s">
        <v>3893</v>
      </c>
      <c r="Q909" s="21">
        <v>367.53800000000001</v>
      </c>
      <c r="R909" s="21">
        <v>381.762</v>
      </c>
      <c r="S909" s="21">
        <v>7.1120000000000001</v>
      </c>
      <c r="T909" s="22">
        <v>9.52</v>
      </c>
      <c r="U909" s="13">
        <f t="shared" si="59"/>
        <v>-15.600000000000001</v>
      </c>
      <c r="V909" s="23">
        <v>1166.2</v>
      </c>
      <c r="W909" s="23">
        <v>1166.2</v>
      </c>
      <c r="X909" s="20">
        <v>29</v>
      </c>
      <c r="Y909" s="24" t="s">
        <v>3737</v>
      </c>
      <c r="Z909" s="16">
        <v>685.2</v>
      </c>
      <c r="AA909" s="17">
        <v>142.5</v>
      </c>
      <c r="AB909" s="25" t="s">
        <v>4199</v>
      </c>
    </row>
    <row r="910" spans="1:28" x14ac:dyDescent="0.45">
      <c r="A910" s="4" t="s">
        <v>1497</v>
      </c>
      <c r="B910" s="4" t="s">
        <v>6005</v>
      </c>
      <c r="C910" s="4" t="s">
        <v>1110</v>
      </c>
      <c r="D910" s="4" t="s">
        <v>1111</v>
      </c>
      <c r="E910" s="4" t="s">
        <v>96</v>
      </c>
      <c r="F910" s="5">
        <v>380.37</v>
      </c>
      <c r="G910" s="5">
        <v>394.35</v>
      </c>
      <c r="H910" s="4" t="s">
        <v>1368</v>
      </c>
      <c r="I910" s="10">
        <v>500</v>
      </c>
      <c r="J910" s="34">
        <f t="shared" si="56"/>
        <v>4.3499999999999996</v>
      </c>
      <c r="K910" s="34">
        <f t="shared" si="57"/>
        <v>6.53</v>
      </c>
      <c r="L910" s="34">
        <f t="shared" si="58"/>
        <v>26.12</v>
      </c>
      <c r="M910" s="11" t="s">
        <v>4330</v>
      </c>
      <c r="N910" s="11" t="s">
        <v>3891</v>
      </c>
      <c r="O910" s="11" t="s">
        <v>3892</v>
      </c>
      <c r="P910" s="11" t="s">
        <v>3893</v>
      </c>
      <c r="Q910" s="12">
        <v>380.238</v>
      </c>
      <c r="R910" s="12">
        <v>394.46199999999999</v>
      </c>
      <c r="S910" s="12">
        <v>7.1120000000000001</v>
      </c>
      <c r="T910" s="13">
        <v>7.09</v>
      </c>
      <c r="U910" s="13">
        <f t="shared" si="59"/>
        <v>-19.03</v>
      </c>
      <c r="V910" s="14">
        <v>868.52</v>
      </c>
      <c r="W910" s="14">
        <v>868.52</v>
      </c>
      <c r="X910" s="11">
        <v>81</v>
      </c>
      <c r="Y910" s="15" t="s">
        <v>3737</v>
      </c>
      <c r="Z910" s="16">
        <v>368.52</v>
      </c>
      <c r="AA910" s="17">
        <v>73.7</v>
      </c>
      <c r="AB910" s="18" t="s">
        <v>4199</v>
      </c>
    </row>
    <row r="911" spans="1:28" x14ac:dyDescent="0.45">
      <c r="A911" s="2" t="s">
        <v>1498</v>
      </c>
      <c r="B911" s="2" t="s">
        <v>6006</v>
      </c>
      <c r="C911" s="2" t="s">
        <v>1110</v>
      </c>
      <c r="D911" s="2" t="s">
        <v>1111</v>
      </c>
      <c r="E911" s="2" t="s">
        <v>96</v>
      </c>
      <c r="F911" s="3">
        <v>393.07</v>
      </c>
      <c r="G911" s="3">
        <v>407.05</v>
      </c>
      <c r="H911" s="2" t="s">
        <v>1368</v>
      </c>
      <c r="I911" s="19">
        <v>500</v>
      </c>
      <c r="J911" s="34">
        <f t="shared" si="56"/>
        <v>4.3499999999999996</v>
      </c>
      <c r="K911" s="34">
        <f t="shared" si="57"/>
        <v>6.53</v>
      </c>
      <c r="L911" s="34">
        <f t="shared" si="58"/>
        <v>26.12</v>
      </c>
      <c r="M911" s="20" t="s">
        <v>4331</v>
      </c>
      <c r="N911" s="20" t="s">
        <v>3891</v>
      </c>
      <c r="O911" s="20" t="s">
        <v>3892</v>
      </c>
      <c r="P911" s="20" t="s">
        <v>3893</v>
      </c>
      <c r="Q911" s="21">
        <v>392.93799999999999</v>
      </c>
      <c r="R911" s="21">
        <v>406.90800000000002</v>
      </c>
      <c r="S911" s="21">
        <v>7.1120000000000001</v>
      </c>
      <c r="T911" s="22">
        <v>8.52</v>
      </c>
      <c r="U911" s="13">
        <f t="shared" si="59"/>
        <v>-17.600000000000001</v>
      </c>
      <c r="V911" s="23">
        <v>1043.7</v>
      </c>
      <c r="W911" s="23">
        <v>1043.7</v>
      </c>
      <c r="X911" s="20">
        <v>20</v>
      </c>
      <c r="Y911" s="24" t="s">
        <v>3737</v>
      </c>
      <c r="Z911" s="16">
        <v>543.70000000000005</v>
      </c>
      <c r="AA911" s="17">
        <v>108.7</v>
      </c>
      <c r="AB911" s="25" t="s">
        <v>4152</v>
      </c>
    </row>
    <row r="912" spans="1:28" x14ac:dyDescent="0.45">
      <c r="A912" s="4" t="s">
        <v>1499</v>
      </c>
      <c r="B912" s="4" t="s">
        <v>6007</v>
      </c>
      <c r="C912" s="4" t="s">
        <v>1110</v>
      </c>
      <c r="D912" s="4" t="s">
        <v>1111</v>
      </c>
      <c r="E912" s="4" t="s">
        <v>96</v>
      </c>
      <c r="F912" s="5">
        <v>405.26</v>
      </c>
      <c r="G912" s="5">
        <v>419.24</v>
      </c>
      <c r="H912" s="4" t="s">
        <v>1368</v>
      </c>
      <c r="I912" s="10">
        <v>589</v>
      </c>
      <c r="J912" s="34">
        <f t="shared" si="56"/>
        <v>5.1242999999999999</v>
      </c>
      <c r="K912" s="34">
        <f t="shared" si="57"/>
        <v>7.69</v>
      </c>
      <c r="L912" s="34">
        <f t="shared" si="58"/>
        <v>30.76</v>
      </c>
      <c r="M912" s="11" t="s">
        <v>4332</v>
      </c>
      <c r="N912" s="11" t="s">
        <v>3891</v>
      </c>
      <c r="O912" s="11" t="s">
        <v>3892</v>
      </c>
      <c r="P912" s="11" t="s">
        <v>3893</v>
      </c>
      <c r="Q912" s="12">
        <v>405.38400000000001</v>
      </c>
      <c r="R912" s="12">
        <v>419.1</v>
      </c>
      <c r="S912" s="12">
        <v>7.1120000000000001</v>
      </c>
      <c r="T912" s="13">
        <v>8.36</v>
      </c>
      <c r="U912" s="13">
        <f t="shared" si="59"/>
        <v>-22.400000000000002</v>
      </c>
      <c r="V912" s="14">
        <v>1024.0999999999999</v>
      </c>
      <c r="W912" s="14">
        <v>1024.0999999999999</v>
      </c>
      <c r="X912" s="11">
        <v>6</v>
      </c>
      <c r="Y912" s="15" t="s">
        <v>3737</v>
      </c>
      <c r="Z912" s="16">
        <v>435.09999999999991</v>
      </c>
      <c r="AA912" s="17">
        <v>73.900000000000006</v>
      </c>
      <c r="AB912" s="18" t="s">
        <v>4333</v>
      </c>
    </row>
    <row r="913" spans="1:28" x14ac:dyDescent="0.45">
      <c r="A913" s="2" t="s">
        <v>1500</v>
      </c>
      <c r="B913" s="2" t="s">
        <v>6008</v>
      </c>
      <c r="C913" s="2" t="s">
        <v>1110</v>
      </c>
      <c r="D913" s="2" t="s">
        <v>1111</v>
      </c>
      <c r="E913" s="2" t="s">
        <v>96</v>
      </c>
      <c r="F913" s="3">
        <v>417.96</v>
      </c>
      <c r="G913" s="3">
        <v>431.94</v>
      </c>
      <c r="H913" s="2" t="s">
        <v>1368</v>
      </c>
      <c r="I913" s="19">
        <v>606</v>
      </c>
      <c r="J913" s="34">
        <f t="shared" si="56"/>
        <v>5.2721999999999998</v>
      </c>
      <c r="K913" s="34">
        <f t="shared" si="57"/>
        <v>7.91</v>
      </c>
      <c r="L913" s="34">
        <f t="shared" si="58"/>
        <v>31.64</v>
      </c>
      <c r="M913" s="20" t="s">
        <v>4334</v>
      </c>
      <c r="N913" s="20" t="s">
        <v>3891</v>
      </c>
      <c r="O913" s="20" t="s">
        <v>3892</v>
      </c>
      <c r="P913" s="20" t="s">
        <v>3893</v>
      </c>
      <c r="Q913" s="21">
        <v>417.83</v>
      </c>
      <c r="R913" s="21">
        <v>431.8</v>
      </c>
      <c r="S913" s="21">
        <v>7.1120000000000001</v>
      </c>
      <c r="T913" s="22">
        <v>8.2799999999999994</v>
      </c>
      <c r="U913" s="13">
        <f t="shared" si="59"/>
        <v>-23.36</v>
      </c>
      <c r="V913" s="23">
        <v>1014.3</v>
      </c>
      <c r="W913" s="23">
        <v>1014.3</v>
      </c>
      <c r="X913" s="20">
        <v>58</v>
      </c>
      <c r="Y913" s="24" t="s">
        <v>3737</v>
      </c>
      <c r="Z913" s="16">
        <v>408.3</v>
      </c>
      <c r="AA913" s="17">
        <v>67.400000000000006</v>
      </c>
      <c r="AB913" s="25" t="s">
        <v>4152</v>
      </c>
    </row>
    <row r="914" spans="1:28" x14ac:dyDescent="0.45">
      <c r="A914" s="4" t="s">
        <v>1501</v>
      </c>
      <c r="B914" s="4" t="s">
        <v>6009</v>
      </c>
      <c r="C914" s="4" t="s">
        <v>1110</v>
      </c>
      <c r="D914" s="4" t="s">
        <v>1111</v>
      </c>
      <c r="E914" s="4" t="s">
        <v>96</v>
      </c>
      <c r="F914" s="5">
        <v>430.66</v>
      </c>
      <c r="G914" s="5">
        <v>444.64</v>
      </c>
      <c r="H914" s="4" t="s">
        <v>1368</v>
      </c>
      <c r="I914" s="10">
        <v>606</v>
      </c>
      <c r="J914" s="34">
        <f t="shared" si="56"/>
        <v>5.2721999999999998</v>
      </c>
      <c r="K914" s="34">
        <f t="shared" si="57"/>
        <v>7.91</v>
      </c>
      <c r="L914" s="34">
        <f t="shared" si="58"/>
        <v>31.64</v>
      </c>
      <c r="M914" s="11" t="s">
        <v>4335</v>
      </c>
      <c r="N914" s="11" t="s">
        <v>3891</v>
      </c>
      <c r="O914" s="11" t="s">
        <v>3892</v>
      </c>
      <c r="P914" s="11" t="s">
        <v>3893</v>
      </c>
      <c r="Q914" s="12">
        <v>430.53</v>
      </c>
      <c r="R914" s="12">
        <v>444.5</v>
      </c>
      <c r="S914" s="12">
        <v>7.1120000000000001</v>
      </c>
      <c r="T914" s="13">
        <v>11.59</v>
      </c>
      <c r="U914" s="13">
        <f t="shared" si="59"/>
        <v>-20.05</v>
      </c>
      <c r="V914" s="14">
        <v>1419.78</v>
      </c>
      <c r="W914" s="14">
        <v>1419.78</v>
      </c>
      <c r="X914" s="11">
        <v>38</v>
      </c>
      <c r="Y914" s="15" t="s">
        <v>3737</v>
      </c>
      <c r="Z914" s="16">
        <v>813.78</v>
      </c>
      <c r="AA914" s="17">
        <v>134.30000000000001</v>
      </c>
      <c r="AB914" s="18" t="s">
        <v>4152</v>
      </c>
    </row>
    <row r="915" spans="1:28" x14ac:dyDescent="0.45">
      <c r="A915" s="2" t="s">
        <v>1502</v>
      </c>
      <c r="B915" s="2" t="s">
        <v>6010</v>
      </c>
      <c r="C915" s="2" t="s">
        <v>1110</v>
      </c>
      <c r="D915" s="2" t="s">
        <v>1111</v>
      </c>
      <c r="E915" s="2" t="s">
        <v>96</v>
      </c>
      <c r="F915" s="3">
        <v>443.36</v>
      </c>
      <c r="G915" s="3">
        <v>457.34</v>
      </c>
      <c r="H915" s="2" t="s">
        <v>1368</v>
      </c>
      <c r="I915" s="19">
        <v>624</v>
      </c>
      <c r="J915" s="34">
        <f t="shared" si="56"/>
        <v>5.4287999999999998</v>
      </c>
      <c r="K915" s="34">
        <f t="shared" si="57"/>
        <v>8.14</v>
      </c>
      <c r="L915" s="34">
        <f t="shared" si="58"/>
        <v>32.56</v>
      </c>
      <c r="M915" s="20" t="s">
        <v>4336</v>
      </c>
      <c r="N915" s="20" t="s">
        <v>3891</v>
      </c>
      <c r="O915" s="20" t="s">
        <v>3892</v>
      </c>
      <c r="P915" s="20" t="s">
        <v>3893</v>
      </c>
      <c r="Q915" s="21">
        <v>443.23</v>
      </c>
      <c r="R915" s="21">
        <v>457.2</v>
      </c>
      <c r="S915" s="21">
        <v>7.1120000000000001</v>
      </c>
      <c r="T915" s="22">
        <v>11.18</v>
      </c>
      <c r="U915" s="13">
        <f t="shared" si="59"/>
        <v>-21.380000000000003</v>
      </c>
      <c r="V915" s="23">
        <v>1369.55</v>
      </c>
      <c r="W915" s="23">
        <v>1369.55</v>
      </c>
      <c r="X915" s="20">
        <v>13</v>
      </c>
      <c r="Y915" s="24" t="s">
        <v>3737</v>
      </c>
      <c r="Z915" s="16">
        <v>745.55</v>
      </c>
      <c r="AA915" s="17">
        <v>119.5</v>
      </c>
      <c r="AB915" s="25" t="s">
        <v>4152</v>
      </c>
    </row>
    <row r="916" spans="1:28" x14ac:dyDescent="0.45">
      <c r="A916" s="4" t="s">
        <v>1503</v>
      </c>
      <c r="B916" s="4" t="s">
        <v>6011</v>
      </c>
      <c r="C916" s="4" t="s">
        <v>1110</v>
      </c>
      <c r="D916" s="4" t="s">
        <v>1111</v>
      </c>
      <c r="E916" s="4" t="s">
        <v>96</v>
      </c>
      <c r="F916" s="5">
        <v>468.76</v>
      </c>
      <c r="G916" s="5">
        <v>482.74</v>
      </c>
      <c r="H916" s="4" t="s">
        <v>1368</v>
      </c>
      <c r="I916" s="10">
        <v>643</v>
      </c>
      <c r="J916" s="34">
        <f t="shared" si="56"/>
        <v>5.5940999999999992</v>
      </c>
      <c r="K916" s="34">
        <f t="shared" si="57"/>
        <v>8.39</v>
      </c>
      <c r="L916" s="34">
        <f t="shared" si="58"/>
        <v>33.56</v>
      </c>
      <c r="M916" s="11" t="s">
        <v>4337</v>
      </c>
      <c r="N916" s="11" t="s">
        <v>3891</v>
      </c>
      <c r="O916" s="11" t="s">
        <v>3892</v>
      </c>
      <c r="P916" s="11" t="s">
        <v>3893</v>
      </c>
      <c r="Q916" s="12">
        <v>468.63</v>
      </c>
      <c r="R916" s="12">
        <v>482.6</v>
      </c>
      <c r="S916" s="12">
        <v>7.1120000000000001</v>
      </c>
      <c r="T916" s="13">
        <v>9.32</v>
      </c>
      <c r="U916" s="13">
        <f t="shared" si="59"/>
        <v>-24.240000000000002</v>
      </c>
      <c r="V916" s="14">
        <v>1141.7</v>
      </c>
      <c r="W916" s="14">
        <v>1141.7</v>
      </c>
      <c r="X916" s="11">
        <v>7</v>
      </c>
      <c r="Y916" s="15" t="s">
        <v>3737</v>
      </c>
      <c r="Z916" s="16">
        <v>498.7</v>
      </c>
      <c r="AA916" s="17">
        <v>77.599999999999994</v>
      </c>
      <c r="AB916" s="18" t="s">
        <v>4152</v>
      </c>
    </row>
    <row r="917" spans="1:28" x14ac:dyDescent="0.45">
      <c r="A917" s="2" t="s">
        <v>1504</v>
      </c>
      <c r="B917" s="2" t="s">
        <v>6012</v>
      </c>
      <c r="C917" s="2" t="s">
        <v>1110</v>
      </c>
      <c r="D917" s="2" t="s">
        <v>1111</v>
      </c>
      <c r="E917" s="2" t="s">
        <v>96</v>
      </c>
      <c r="F917" s="3">
        <v>481.46</v>
      </c>
      <c r="G917" s="3">
        <v>495.44</v>
      </c>
      <c r="H917" s="2" t="s">
        <v>1368</v>
      </c>
      <c r="I917" s="19">
        <v>660</v>
      </c>
      <c r="J917" s="34">
        <f t="shared" si="56"/>
        <v>5.742</v>
      </c>
      <c r="K917" s="34">
        <f t="shared" si="57"/>
        <v>8.61</v>
      </c>
      <c r="L917" s="34">
        <f t="shared" si="58"/>
        <v>34.44</v>
      </c>
      <c r="M917" s="20" t="s">
        <v>4338</v>
      </c>
      <c r="N917" s="20" t="s">
        <v>3891</v>
      </c>
      <c r="O917" s="20" t="s">
        <v>3892</v>
      </c>
      <c r="P917" s="20" t="s">
        <v>3893</v>
      </c>
      <c r="Q917" s="21">
        <v>481.33</v>
      </c>
      <c r="R917" s="21">
        <v>495.3</v>
      </c>
      <c r="S917" s="21">
        <v>7.1120000000000001</v>
      </c>
      <c r="T917" s="22">
        <v>7.31</v>
      </c>
      <c r="U917" s="13">
        <f t="shared" si="59"/>
        <v>-27.13</v>
      </c>
      <c r="V917" s="23">
        <v>895.47</v>
      </c>
      <c r="W917" s="23">
        <v>895.47</v>
      </c>
      <c r="X917" s="20">
        <v>5</v>
      </c>
      <c r="Y917" s="24" t="s">
        <v>3737</v>
      </c>
      <c r="Z917" s="16">
        <v>235.47</v>
      </c>
      <c r="AA917" s="17">
        <v>35.700000000000003</v>
      </c>
      <c r="AB917" s="25" t="s">
        <v>4152</v>
      </c>
    </row>
    <row r="918" spans="1:28" x14ac:dyDescent="0.45">
      <c r="A918" s="4" t="s">
        <v>1505</v>
      </c>
      <c r="B918" s="4" t="s">
        <v>6013</v>
      </c>
      <c r="C918" s="4" t="s">
        <v>1110</v>
      </c>
      <c r="D918" s="4" t="s">
        <v>1111</v>
      </c>
      <c r="E918" s="4" t="s">
        <v>96</v>
      </c>
      <c r="F918" s="5">
        <v>494.16</v>
      </c>
      <c r="G918" s="5">
        <v>508.14</v>
      </c>
      <c r="H918" s="4" t="s">
        <v>1368</v>
      </c>
      <c r="I918" s="10">
        <v>678</v>
      </c>
      <c r="J918" s="34">
        <f t="shared" si="56"/>
        <v>5.8985999999999992</v>
      </c>
      <c r="K918" s="34">
        <f t="shared" si="57"/>
        <v>8.85</v>
      </c>
      <c r="L918" s="34">
        <f t="shared" si="58"/>
        <v>35.4</v>
      </c>
      <c r="M918" s="11" t="s">
        <v>4339</v>
      </c>
      <c r="N918" s="11" t="s">
        <v>3891</v>
      </c>
      <c r="O918" s="11" t="s">
        <v>3892</v>
      </c>
      <c r="P918" s="11" t="s">
        <v>3893</v>
      </c>
      <c r="Q918" s="12">
        <v>494.03</v>
      </c>
      <c r="R918" s="12">
        <v>508</v>
      </c>
      <c r="S918" s="12">
        <v>7.1120000000000001</v>
      </c>
      <c r="T918" s="13">
        <v>9.32</v>
      </c>
      <c r="U918" s="13">
        <f t="shared" si="59"/>
        <v>-26.08</v>
      </c>
      <c r="V918" s="14">
        <v>1141.7</v>
      </c>
      <c r="W918" s="14">
        <v>1141.7</v>
      </c>
      <c r="X918" s="11">
        <v>9</v>
      </c>
      <c r="Y918" s="15" t="s">
        <v>3737</v>
      </c>
      <c r="Z918" s="16">
        <v>463.7</v>
      </c>
      <c r="AA918" s="17">
        <v>68.400000000000006</v>
      </c>
      <c r="AB918" s="18" t="s">
        <v>4152</v>
      </c>
    </row>
    <row r="919" spans="1:28" x14ac:dyDescent="0.45">
      <c r="A919" s="2" t="s">
        <v>1506</v>
      </c>
      <c r="B919" s="2" t="s">
        <v>6014</v>
      </c>
      <c r="C919" s="2" t="s">
        <v>1110</v>
      </c>
      <c r="D919" s="2" t="s">
        <v>1111</v>
      </c>
      <c r="E919" s="2" t="s">
        <v>96</v>
      </c>
      <c r="F919" s="3">
        <v>506.86</v>
      </c>
      <c r="G919" s="3">
        <v>520.84</v>
      </c>
      <c r="H919" s="2" t="s">
        <v>1368</v>
      </c>
      <c r="I919" s="19">
        <v>732</v>
      </c>
      <c r="J919" s="34">
        <f t="shared" si="56"/>
        <v>6.3683999999999994</v>
      </c>
      <c r="K919" s="34">
        <f t="shared" si="57"/>
        <v>9.5500000000000007</v>
      </c>
      <c r="L919" s="34">
        <f t="shared" si="58"/>
        <v>38.200000000000003</v>
      </c>
      <c r="M919" s="20" t="s">
        <v>4340</v>
      </c>
      <c r="N919" s="20" t="s">
        <v>3891</v>
      </c>
      <c r="O919" s="20" t="s">
        <v>3892</v>
      </c>
      <c r="P919" s="20" t="s">
        <v>3893</v>
      </c>
      <c r="Q919" s="21">
        <v>506.73</v>
      </c>
      <c r="R919" s="21">
        <v>520.70000000000005</v>
      </c>
      <c r="S919" s="21">
        <v>7.1120000000000001</v>
      </c>
      <c r="T919" s="22">
        <v>14.08</v>
      </c>
      <c r="U919" s="13">
        <f t="shared" si="59"/>
        <v>-24.120000000000005</v>
      </c>
      <c r="V919" s="23">
        <v>1724.8</v>
      </c>
      <c r="W919" s="23">
        <v>1724.8</v>
      </c>
      <c r="X919" s="20">
        <v>15</v>
      </c>
      <c r="Y919" s="24" t="s">
        <v>3737</v>
      </c>
      <c r="Z919" s="16">
        <v>992.8</v>
      </c>
      <c r="AA919" s="17">
        <v>135.6</v>
      </c>
      <c r="AB919" s="25" t="s">
        <v>4152</v>
      </c>
    </row>
    <row r="920" spans="1:28" x14ac:dyDescent="0.45">
      <c r="A920" s="4" t="s">
        <v>1507</v>
      </c>
      <c r="B920" s="4" t="s">
        <v>6015</v>
      </c>
      <c r="C920" s="4" t="s">
        <v>1110</v>
      </c>
      <c r="D920" s="4" t="s">
        <v>1111</v>
      </c>
      <c r="E920" s="4" t="s">
        <v>96</v>
      </c>
      <c r="F920" s="5">
        <v>532.26</v>
      </c>
      <c r="G920" s="5">
        <v>546.24</v>
      </c>
      <c r="H920" s="4" t="s">
        <v>1368</v>
      </c>
      <c r="I920" s="10">
        <v>749</v>
      </c>
      <c r="J920" s="34">
        <f t="shared" si="56"/>
        <v>6.5162999999999993</v>
      </c>
      <c r="K920" s="34">
        <f t="shared" si="57"/>
        <v>9.77</v>
      </c>
      <c r="L920" s="34">
        <f t="shared" si="58"/>
        <v>39.08</v>
      </c>
      <c r="M920" s="11" t="s">
        <v>4341</v>
      </c>
      <c r="N920" s="11" t="s">
        <v>3891</v>
      </c>
      <c r="O920" s="11" t="s">
        <v>3892</v>
      </c>
      <c r="P920" s="11" t="s">
        <v>3893</v>
      </c>
      <c r="Q920" s="12">
        <v>532.13</v>
      </c>
      <c r="R920" s="12">
        <v>546.1</v>
      </c>
      <c r="S920" s="12">
        <v>7.1120000000000001</v>
      </c>
      <c r="T920" s="13">
        <v>19.100000000000001</v>
      </c>
      <c r="U920" s="13">
        <f t="shared" si="59"/>
        <v>-19.979999999999997</v>
      </c>
      <c r="V920" s="14">
        <v>2339.75</v>
      </c>
      <c r="W920" s="14">
        <v>2339.75</v>
      </c>
      <c r="X920" s="11">
        <v>4</v>
      </c>
      <c r="Y920" s="15" t="s">
        <v>3737</v>
      </c>
      <c r="Z920" s="16">
        <v>1590.75</v>
      </c>
      <c r="AA920" s="17">
        <v>212.4</v>
      </c>
      <c r="AB920" s="18" t="s">
        <v>4152</v>
      </c>
    </row>
    <row r="921" spans="1:28" x14ac:dyDescent="0.45">
      <c r="A921" s="2" t="s">
        <v>1508</v>
      </c>
      <c r="B921" s="2" t="s">
        <v>6016</v>
      </c>
      <c r="C921" s="2" t="s">
        <v>1110</v>
      </c>
      <c r="D921" s="2" t="s">
        <v>1509</v>
      </c>
      <c r="E921" s="2" t="s">
        <v>96</v>
      </c>
      <c r="F921" s="3">
        <v>2.8</v>
      </c>
      <c r="G921" s="3">
        <v>6.6</v>
      </c>
      <c r="H921" s="2" t="s">
        <v>1112</v>
      </c>
      <c r="I921" s="19">
        <v>2</v>
      </c>
      <c r="J921" s="34">
        <f t="shared" si="56"/>
        <v>1.7399999999999999E-2</v>
      </c>
      <c r="K921" s="34">
        <f t="shared" si="57"/>
        <v>0.03</v>
      </c>
      <c r="L921" s="34">
        <f t="shared" si="58"/>
        <v>0.12</v>
      </c>
      <c r="M921" s="20" t="s">
        <v>4342</v>
      </c>
      <c r="N921" s="20" t="s">
        <v>3891</v>
      </c>
      <c r="O921" s="20" t="s">
        <v>3892</v>
      </c>
      <c r="P921" s="20" t="s">
        <v>3893</v>
      </c>
      <c r="Q921" s="21">
        <v>2.5</v>
      </c>
      <c r="R921" s="21">
        <v>6.5</v>
      </c>
      <c r="S921" s="21">
        <v>2</v>
      </c>
      <c r="T921" s="22">
        <v>0.4</v>
      </c>
      <c r="U921" s="13">
        <f t="shared" si="59"/>
        <v>0.28000000000000003</v>
      </c>
      <c r="V921" s="23">
        <v>49</v>
      </c>
      <c r="W921" s="23">
        <v>49</v>
      </c>
      <c r="X921" s="20">
        <v>2820</v>
      </c>
      <c r="Y921" s="24" t="s">
        <v>3713</v>
      </c>
      <c r="Z921" s="16">
        <v>47</v>
      </c>
      <c r="AA921" s="17">
        <v>2350</v>
      </c>
      <c r="AB921" s="25" t="s">
        <v>4343</v>
      </c>
    </row>
    <row r="922" spans="1:28" x14ac:dyDescent="0.45">
      <c r="A922" s="4" t="s">
        <v>1510</v>
      </c>
      <c r="B922" s="4" t="s">
        <v>6017</v>
      </c>
      <c r="C922" s="4" t="s">
        <v>1110</v>
      </c>
      <c r="D922" s="4" t="s">
        <v>1509</v>
      </c>
      <c r="E922" s="4" t="s">
        <v>96</v>
      </c>
      <c r="F922" s="5">
        <v>2.9</v>
      </c>
      <c r="G922" s="5">
        <v>6.46</v>
      </c>
      <c r="H922" s="4" t="s">
        <v>1114</v>
      </c>
      <c r="I922" s="10">
        <v>2</v>
      </c>
      <c r="J922" s="34">
        <f t="shared" si="56"/>
        <v>1.7399999999999999E-2</v>
      </c>
      <c r="K922" s="34">
        <f t="shared" si="57"/>
        <v>0.03</v>
      </c>
      <c r="L922" s="34">
        <f t="shared" si="58"/>
        <v>0.12</v>
      </c>
      <c r="M922" s="11" t="s">
        <v>4344</v>
      </c>
      <c r="N922" s="11" t="s">
        <v>3898</v>
      </c>
      <c r="O922" s="11" t="s">
        <v>3892</v>
      </c>
      <c r="P922" s="11" t="s">
        <v>3899</v>
      </c>
      <c r="Q922" s="12">
        <v>3.1</v>
      </c>
      <c r="R922" s="12">
        <v>6.3</v>
      </c>
      <c r="S922" s="12">
        <v>1.6</v>
      </c>
      <c r="T922" s="13">
        <v>0.2</v>
      </c>
      <c r="U922" s="13">
        <f t="shared" si="59"/>
        <v>8.0000000000000016E-2</v>
      </c>
      <c r="V922" s="14">
        <v>24.5</v>
      </c>
      <c r="W922" s="14">
        <v>24.5</v>
      </c>
      <c r="X922" s="11">
        <v>227</v>
      </c>
      <c r="Y922" s="15" t="s">
        <v>3713</v>
      </c>
      <c r="Z922" s="16">
        <v>22.5</v>
      </c>
      <c r="AA922" s="17">
        <v>1125</v>
      </c>
      <c r="AB922" s="18" t="s">
        <v>4345</v>
      </c>
    </row>
    <row r="923" spans="1:28" x14ac:dyDescent="0.45">
      <c r="A923" s="2" t="s">
        <v>1511</v>
      </c>
      <c r="B923" s="2" t="s">
        <v>6018</v>
      </c>
      <c r="C923" s="2" t="s">
        <v>1110</v>
      </c>
      <c r="D923" s="2" t="s">
        <v>1509</v>
      </c>
      <c r="E923" s="2" t="s">
        <v>96</v>
      </c>
      <c r="F923" s="3">
        <v>3.68</v>
      </c>
      <c r="G923" s="3">
        <v>7.24</v>
      </c>
      <c r="H923" s="2" t="s">
        <v>1114</v>
      </c>
      <c r="I923" s="19">
        <v>2</v>
      </c>
      <c r="J923" s="34">
        <f t="shared" si="56"/>
        <v>1.7399999999999999E-2</v>
      </c>
      <c r="K923" s="34">
        <f t="shared" si="57"/>
        <v>0.03</v>
      </c>
      <c r="L923" s="34">
        <f t="shared" si="58"/>
        <v>0.12</v>
      </c>
      <c r="M923" s="20" t="s">
        <v>3890</v>
      </c>
      <c r="N923" s="20" t="s">
        <v>3891</v>
      </c>
      <c r="O923" s="20" t="s">
        <v>3892</v>
      </c>
      <c r="P923" s="20" t="s">
        <v>3893</v>
      </c>
      <c r="Q923" s="21">
        <v>3.8</v>
      </c>
      <c r="R923" s="21">
        <v>7.6</v>
      </c>
      <c r="S923" s="21">
        <v>1.9</v>
      </c>
      <c r="T923" s="22">
        <v>0.2</v>
      </c>
      <c r="U923" s="13">
        <f t="shared" si="59"/>
        <v>8.0000000000000016E-2</v>
      </c>
      <c r="V923" s="23">
        <v>24.5</v>
      </c>
      <c r="W923" s="23">
        <v>24.5</v>
      </c>
      <c r="X923" s="20">
        <v>1</v>
      </c>
      <c r="Y923" s="24" t="s">
        <v>3713</v>
      </c>
      <c r="Z923" s="16">
        <v>22.5</v>
      </c>
      <c r="AA923" s="17">
        <v>1125</v>
      </c>
      <c r="AB923" s="25" t="s">
        <v>4346</v>
      </c>
    </row>
    <row r="924" spans="1:28" x14ac:dyDescent="0.45">
      <c r="A924" s="4" t="s">
        <v>1512</v>
      </c>
      <c r="B924" s="4" t="s">
        <v>6019</v>
      </c>
      <c r="C924" s="4" t="s">
        <v>1110</v>
      </c>
      <c r="D924" s="4" t="s">
        <v>1509</v>
      </c>
      <c r="E924" s="4" t="s">
        <v>96</v>
      </c>
      <c r="F924" s="5">
        <v>3.8</v>
      </c>
      <c r="G924" s="5">
        <v>7.6</v>
      </c>
      <c r="H924" s="4" t="s">
        <v>1112</v>
      </c>
      <c r="I924" s="10">
        <v>2</v>
      </c>
      <c r="J924" s="34">
        <f t="shared" si="56"/>
        <v>1.7399999999999999E-2</v>
      </c>
      <c r="K924" s="34">
        <f t="shared" si="57"/>
        <v>0.03</v>
      </c>
      <c r="L924" s="34">
        <f t="shared" si="58"/>
        <v>0.12</v>
      </c>
      <c r="M924" s="11" t="s">
        <v>3890</v>
      </c>
      <c r="N924" s="11" t="s">
        <v>3891</v>
      </c>
      <c r="O924" s="11" t="s">
        <v>3892</v>
      </c>
      <c r="P924" s="11" t="s">
        <v>3893</v>
      </c>
      <c r="Q924" s="12">
        <v>3.8</v>
      </c>
      <c r="R924" s="12">
        <v>7.6</v>
      </c>
      <c r="S924" s="12">
        <v>1.9</v>
      </c>
      <c r="T924" s="13">
        <v>0.2</v>
      </c>
      <c r="U924" s="13">
        <f t="shared" si="59"/>
        <v>8.0000000000000016E-2</v>
      </c>
      <c r="V924" s="14">
        <v>24.5</v>
      </c>
      <c r="W924" s="14">
        <v>24.5</v>
      </c>
      <c r="X924" s="11">
        <v>1</v>
      </c>
      <c r="Y924" s="15" t="s">
        <v>3713</v>
      </c>
      <c r="Z924" s="16">
        <v>22.5</v>
      </c>
      <c r="AA924" s="17">
        <v>1125</v>
      </c>
      <c r="AB924" s="18" t="s">
        <v>3714</v>
      </c>
    </row>
    <row r="925" spans="1:28" x14ac:dyDescent="0.45">
      <c r="A925" s="2" t="s">
        <v>1513</v>
      </c>
      <c r="B925" s="2" t="s">
        <v>6020</v>
      </c>
      <c r="C925" s="2" t="s">
        <v>1110</v>
      </c>
      <c r="D925" s="2" t="s">
        <v>1509</v>
      </c>
      <c r="E925" s="2" t="s">
        <v>96</v>
      </c>
      <c r="F925" s="3">
        <v>3</v>
      </c>
      <c r="G925" s="3">
        <v>6.2</v>
      </c>
      <c r="H925" s="2" t="s">
        <v>1514</v>
      </c>
      <c r="I925" s="19">
        <v>2</v>
      </c>
      <c r="J925" s="34">
        <f t="shared" si="56"/>
        <v>1.7399999999999999E-2</v>
      </c>
      <c r="K925" s="34">
        <f t="shared" si="57"/>
        <v>0.03</v>
      </c>
      <c r="L925" s="34">
        <f t="shared" si="58"/>
        <v>0.12</v>
      </c>
      <c r="M925" s="20" t="s">
        <v>4344</v>
      </c>
      <c r="N925" s="20" t="s">
        <v>3898</v>
      </c>
      <c r="O925" s="20" t="s">
        <v>3892</v>
      </c>
      <c r="P925" s="20" t="s">
        <v>3899</v>
      </c>
      <c r="Q925" s="21">
        <v>3.1</v>
      </c>
      <c r="R925" s="21">
        <v>6.3</v>
      </c>
      <c r="S925" s="21">
        <v>1.6</v>
      </c>
      <c r="T925" s="22">
        <v>0.2</v>
      </c>
      <c r="U925" s="13">
        <f t="shared" si="59"/>
        <v>8.0000000000000016E-2</v>
      </c>
      <c r="V925" s="23">
        <v>24.5</v>
      </c>
      <c r="W925" s="23">
        <v>24.5</v>
      </c>
      <c r="X925" s="20">
        <v>227</v>
      </c>
      <c r="Y925" s="24" t="s">
        <v>3713</v>
      </c>
      <c r="Z925" s="16">
        <v>22.5</v>
      </c>
      <c r="AA925" s="17">
        <v>1125</v>
      </c>
      <c r="AB925" s="25" t="s">
        <v>4119</v>
      </c>
    </row>
    <row r="926" spans="1:28" x14ac:dyDescent="0.45">
      <c r="A926" s="4" t="s">
        <v>1515</v>
      </c>
      <c r="B926" s="4" t="s">
        <v>6021</v>
      </c>
      <c r="C926" s="4" t="s">
        <v>1110</v>
      </c>
      <c r="D926" s="4" t="s">
        <v>1509</v>
      </c>
      <c r="E926" s="4" t="s">
        <v>96</v>
      </c>
      <c r="F926" s="5">
        <v>4.47</v>
      </c>
      <c r="G926" s="5">
        <v>8.0299999999999994</v>
      </c>
      <c r="H926" s="4" t="s">
        <v>1114</v>
      </c>
      <c r="I926" s="10">
        <v>2</v>
      </c>
      <c r="J926" s="34">
        <f t="shared" si="56"/>
        <v>1.7399999999999999E-2</v>
      </c>
      <c r="K926" s="34">
        <f t="shared" si="57"/>
        <v>0.03</v>
      </c>
      <c r="L926" s="34">
        <f t="shared" si="58"/>
        <v>0.12</v>
      </c>
      <c r="M926" s="11" t="s">
        <v>3894</v>
      </c>
      <c r="N926" s="11" t="s">
        <v>3891</v>
      </c>
      <c r="O926" s="11" t="s">
        <v>3892</v>
      </c>
      <c r="P926" s="11" t="s">
        <v>3893</v>
      </c>
      <c r="Q926" s="12">
        <v>4.7</v>
      </c>
      <c r="R926" s="12">
        <v>7.9</v>
      </c>
      <c r="S926" s="12">
        <v>1.6</v>
      </c>
      <c r="T926" s="13">
        <v>0.26</v>
      </c>
      <c r="U926" s="13">
        <f t="shared" si="59"/>
        <v>0.14000000000000001</v>
      </c>
      <c r="V926" s="14">
        <v>31.85</v>
      </c>
      <c r="W926" s="14">
        <v>31.85</v>
      </c>
      <c r="X926" s="11">
        <v>1094</v>
      </c>
      <c r="Y926" s="15" t="s">
        <v>3713</v>
      </c>
      <c r="Z926" s="16">
        <v>29.85</v>
      </c>
      <c r="AA926" s="17">
        <v>1492.5</v>
      </c>
      <c r="AB926" s="18" t="s">
        <v>3895</v>
      </c>
    </row>
    <row r="927" spans="1:28" x14ac:dyDescent="0.45">
      <c r="A927" s="2" t="s">
        <v>1516</v>
      </c>
      <c r="B927" s="2" t="s">
        <v>6022</v>
      </c>
      <c r="C927" s="2" t="s">
        <v>1110</v>
      </c>
      <c r="D927" s="2" t="s">
        <v>1509</v>
      </c>
      <c r="E927" s="2" t="s">
        <v>96</v>
      </c>
      <c r="F927" s="3">
        <v>4.8</v>
      </c>
      <c r="G927" s="3">
        <v>8.6</v>
      </c>
      <c r="H927" s="2" t="s">
        <v>1112</v>
      </c>
      <c r="I927" s="19">
        <v>2</v>
      </c>
      <c r="J927" s="34">
        <f t="shared" si="56"/>
        <v>1.7399999999999999E-2</v>
      </c>
      <c r="K927" s="34">
        <f t="shared" si="57"/>
        <v>0.03</v>
      </c>
      <c r="L927" s="34">
        <f t="shared" si="58"/>
        <v>0.12</v>
      </c>
      <c r="M927" s="20" t="s">
        <v>3896</v>
      </c>
      <c r="N927" s="20" t="s">
        <v>3891</v>
      </c>
      <c r="O927" s="20" t="s">
        <v>3892</v>
      </c>
      <c r="P927" s="20" t="s">
        <v>3893</v>
      </c>
      <c r="Q927" s="21">
        <v>4.8</v>
      </c>
      <c r="R927" s="21">
        <v>8.6</v>
      </c>
      <c r="S927" s="21">
        <v>1.9</v>
      </c>
      <c r="T927" s="22">
        <v>0.2</v>
      </c>
      <c r="U927" s="13">
        <f t="shared" si="59"/>
        <v>8.0000000000000016E-2</v>
      </c>
      <c r="V927" s="23">
        <v>24.5</v>
      </c>
      <c r="W927" s="23">
        <v>24.5</v>
      </c>
      <c r="X927" s="20">
        <v>22</v>
      </c>
      <c r="Y927" s="24" t="s">
        <v>3713</v>
      </c>
      <c r="Z927" s="16">
        <v>22.5</v>
      </c>
      <c r="AA927" s="17">
        <v>1125</v>
      </c>
      <c r="AB927" s="25" t="s">
        <v>3714</v>
      </c>
    </row>
    <row r="928" spans="1:28" x14ac:dyDescent="0.45">
      <c r="A928" s="4" t="s">
        <v>1517</v>
      </c>
      <c r="B928" s="4" t="s">
        <v>6023</v>
      </c>
      <c r="C928" s="4" t="s">
        <v>1110</v>
      </c>
      <c r="D928" s="4" t="s">
        <v>1509</v>
      </c>
      <c r="E928" s="4" t="s">
        <v>96</v>
      </c>
      <c r="F928" s="5">
        <v>4</v>
      </c>
      <c r="G928" s="5">
        <v>6</v>
      </c>
      <c r="H928" s="4" t="s">
        <v>1117</v>
      </c>
      <c r="I928" s="10">
        <v>3</v>
      </c>
      <c r="J928" s="34">
        <f t="shared" si="56"/>
        <v>2.6099999999999998E-2</v>
      </c>
      <c r="K928" s="34">
        <f t="shared" si="57"/>
        <v>0.04</v>
      </c>
      <c r="L928" s="34">
        <f t="shared" si="58"/>
        <v>0.16</v>
      </c>
      <c r="M928" s="11" t="s">
        <v>3897</v>
      </c>
      <c r="N928" s="11" t="s">
        <v>3898</v>
      </c>
      <c r="O928" s="11" t="s">
        <v>3892</v>
      </c>
      <c r="P928" s="11" t="s">
        <v>3899</v>
      </c>
      <c r="Q928" s="12">
        <v>4</v>
      </c>
      <c r="R928" s="12">
        <v>6</v>
      </c>
      <c r="S928" s="12">
        <v>1</v>
      </c>
      <c r="T928" s="13">
        <v>0.51</v>
      </c>
      <c r="U928" s="13">
        <f t="shared" si="59"/>
        <v>0.35</v>
      </c>
      <c r="V928" s="14">
        <v>62.48</v>
      </c>
      <c r="W928" s="14">
        <v>62.48</v>
      </c>
      <c r="X928" s="11">
        <v>574</v>
      </c>
      <c r="Y928" s="15" t="s">
        <v>3713</v>
      </c>
      <c r="Z928" s="16">
        <v>59.48</v>
      </c>
      <c r="AA928" s="17">
        <v>1982.7</v>
      </c>
      <c r="AB928" s="18" t="s">
        <v>3714</v>
      </c>
    </row>
    <row r="929" spans="1:28" x14ac:dyDescent="0.45">
      <c r="A929" s="2" t="s">
        <v>1518</v>
      </c>
      <c r="B929" s="2" t="s">
        <v>6024</v>
      </c>
      <c r="C929" s="2" t="s">
        <v>1110</v>
      </c>
      <c r="D929" s="2" t="s">
        <v>1509</v>
      </c>
      <c r="E929" s="2" t="s">
        <v>96</v>
      </c>
      <c r="F929" s="3">
        <v>4</v>
      </c>
      <c r="G929" s="3">
        <v>7</v>
      </c>
      <c r="H929" s="2" t="s">
        <v>1120</v>
      </c>
      <c r="I929" s="19">
        <v>2</v>
      </c>
      <c r="J929" s="34">
        <f t="shared" si="56"/>
        <v>1.7399999999999999E-2</v>
      </c>
      <c r="K929" s="34">
        <f t="shared" si="57"/>
        <v>0.03</v>
      </c>
      <c r="L929" s="34">
        <f t="shared" si="58"/>
        <v>0.12</v>
      </c>
      <c r="M929" s="20" t="s">
        <v>4347</v>
      </c>
      <c r="N929" s="20" t="s">
        <v>3891</v>
      </c>
      <c r="O929" s="20" t="s">
        <v>3892</v>
      </c>
      <c r="P929" s="20" t="s">
        <v>3893</v>
      </c>
      <c r="Q929" s="21">
        <v>4</v>
      </c>
      <c r="R929" s="21">
        <v>7</v>
      </c>
      <c r="S929" s="21">
        <v>1.5</v>
      </c>
      <c r="T929" s="22">
        <v>0.2</v>
      </c>
      <c r="U929" s="13">
        <f t="shared" si="59"/>
        <v>8.0000000000000016E-2</v>
      </c>
      <c r="V929" s="23">
        <v>24.5</v>
      </c>
      <c r="W929" s="23">
        <v>24.5</v>
      </c>
      <c r="X929" s="20">
        <v>355</v>
      </c>
      <c r="Y929" s="24" t="s">
        <v>3713</v>
      </c>
      <c r="Z929" s="16">
        <v>22.5</v>
      </c>
      <c r="AA929" s="17">
        <v>1125</v>
      </c>
      <c r="AB929" s="25" t="s">
        <v>3714</v>
      </c>
    </row>
    <row r="930" spans="1:28" x14ac:dyDescent="0.45">
      <c r="A930" s="4" t="s">
        <v>1519</v>
      </c>
      <c r="B930" s="4" t="s">
        <v>6025</v>
      </c>
      <c r="C930" s="4" t="s">
        <v>1110</v>
      </c>
      <c r="D930" s="4" t="s">
        <v>1509</v>
      </c>
      <c r="E930" s="4" t="s">
        <v>96</v>
      </c>
      <c r="F930" s="5">
        <v>4</v>
      </c>
      <c r="G930" s="5">
        <v>10</v>
      </c>
      <c r="H930" s="4" t="s">
        <v>1149</v>
      </c>
      <c r="I930" s="10">
        <v>2</v>
      </c>
      <c r="J930" s="34">
        <f t="shared" si="56"/>
        <v>1.7399999999999999E-2</v>
      </c>
      <c r="K930" s="34">
        <f t="shared" si="57"/>
        <v>0.03</v>
      </c>
      <c r="L930" s="34">
        <f t="shared" si="58"/>
        <v>0.12</v>
      </c>
      <c r="M930" s="11" t="s">
        <v>4348</v>
      </c>
      <c r="N930" s="11" t="s">
        <v>3891</v>
      </c>
      <c r="O930" s="11" t="s">
        <v>3892</v>
      </c>
      <c r="P930" s="11" t="s">
        <v>3893</v>
      </c>
      <c r="Q930" s="12">
        <v>4</v>
      </c>
      <c r="R930" s="12">
        <v>10</v>
      </c>
      <c r="S930" s="12">
        <v>3</v>
      </c>
      <c r="T930" s="13">
        <v>0.2</v>
      </c>
      <c r="U930" s="13">
        <f t="shared" si="59"/>
        <v>8.0000000000000016E-2</v>
      </c>
      <c r="V930" s="14">
        <v>24.5</v>
      </c>
      <c r="W930" s="14">
        <v>24.5</v>
      </c>
      <c r="X930" s="11">
        <v>2496</v>
      </c>
      <c r="Y930" s="15" t="s">
        <v>3713</v>
      </c>
      <c r="Z930" s="16">
        <v>22.5</v>
      </c>
      <c r="AA930" s="17">
        <v>1125</v>
      </c>
      <c r="AB930" s="18" t="s">
        <v>3714</v>
      </c>
    </row>
    <row r="931" spans="1:28" x14ac:dyDescent="0.45">
      <c r="A931" s="2" t="s">
        <v>1520</v>
      </c>
      <c r="B931" s="2" t="s">
        <v>6026</v>
      </c>
      <c r="C931" s="2" t="s">
        <v>1110</v>
      </c>
      <c r="D931" s="2" t="s">
        <v>1509</v>
      </c>
      <c r="E931" s="2" t="s">
        <v>96</v>
      </c>
      <c r="F931" s="3">
        <v>5.23</v>
      </c>
      <c r="G931" s="3">
        <v>10.47</v>
      </c>
      <c r="H931" s="2" t="s">
        <v>1127</v>
      </c>
      <c r="I931" s="19">
        <v>2</v>
      </c>
      <c r="J931" s="34">
        <f t="shared" si="56"/>
        <v>1.7399999999999999E-2</v>
      </c>
      <c r="K931" s="34">
        <f t="shared" si="57"/>
        <v>0.03</v>
      </c>
      <c r="L931" s="34">
        <f t="shared" si="58"/>
        <v>0.12</v>
      </c>
      <c r="M931" s="20" t="s">
        <v>4349</v>
      </c>
      <c r="N931" s="20" t="s">
        <v>3891</v>
      </c>
      <c r="O931" s="20" t="s">
        <v>3892</v>
      </c>
      <c r="P931" s="20" t="s">
        <v>3893</v>
      </c>
      <c r="Q931" s="21">
        <v>5.5</v>
      </c>
      <c r="R931" s="21">
        <v>10.5</v>
      </c>
      <c r="S931" s="21">
        <v>2.5</v>
      </c>
      <c r="T931" s="22">
        <v>0.2</v>
      </c>
      <c r="U931" s="13">
        <f t="shared" si="59"/>
        <v>8.0000000000000016E-2</v>
      </c>
      <c r="V931" s="23">
        <v>24.5</v>
      </c>
      <c r="W931" s="23">
        <v>24.5</v>
      </c>
      <c r="X931" s="20" t="s">
        <v>3722</v>
      </c>
      <c r="Y931" s="24" t="s">
        <v>3713</v>
      </c>
      <c r="Z931" s="16">
        <v>22.5</v>
      </c>
      <c r="AA931" s="17">
        <v>1125</v>
      </c>
      <c r="AB931" s="25" t="s">
        <v>4350</v>
      </c>
    </row>
    <row r="932" spans="1:28" x14ac:dyDescent="0.45">
      <c r="A932" s="4" t="s">
        <v>1521</v>
      </c>
      <c r="B932" s="4" t="s">
        <v>6027</v>
      </c>
      <c r="C932" s="4" t="s">
        <v>1110</v>
      </c>
      <c r="D932" s="4" t="s">
        <v>1509</v>
      </c>
      <c r="E932" s="4" t="s">
        <v>96</v>
      </c>
      <c r="F932" s="5">
        <v>5.28</v>
      </c>
      <c r="G932" s="5">
        <v>8.84</v>
      </c>
      <c r="H932" s="4" t="s">
        <v>1114</v>
      </c>
      <c r="I932" s="10">
        <v>2</v>
      </c>
      <c r="J932" s="34">
        <f t="shared" si="56"/>
        <v>1.7399999999999999E-2</v>
      </c>
      <c r="K932" s="34">
        <f t="shared" si="57"/>
        <v>0.03</v>
      </c>
      <c r="L932" s="34">
        <f t="shared" si="58"/>
        <v>0.12</v>
      </c>
      <c r="M932" s="11" t="s">
        <v>4351</v>
      </c>
      <c r="N932" s="11" t="s">
        <v>3891</v>
      </c>
      <c r="O932" s="11" t="s">
        <v>3892</v>
      </c>
      <c r="P932" s="11" t="s">
        <v>3893</v>
      </c>
      <c r="Q932" s="12">
        <v>5.3339999999999996</v>
      </c>
      <c r="R932" s="12">
        <v>8.89</v>
      </c>
      <c r="S932" s="12">
        <v>1.778</v>
      </c>
      <c r="T932" s="13">
        <v>0.2</v>
      </c>
      <c r="U932" s="13">
        <f t="shared" si="59"/>
        <v>8.0000000000000016E-2</v>
      </c>
      <c r="V932" s="14">
        <v>24.5</v>
      </c>
      <c r="W932" s="14">
        <v>24.5</v>
      </c>
      <c r="X932" s="11">
        <v>1658</v>
      </c>
      <c r="Y932" s="15" t="s">
        <v>3737</v>
      </c>
      <c r="Z932" s="16">
        <v>22.5</v>
      </c>
      <c r="AA932" s="17">
        <v>1125</v>
      </c>
      <c r="AB932" s="18" t="s">
        <v>3920</v>
      </c>
    </row>
    <row r="933" spans="1:28" x14ac:dyDescent="0.45">
      <c r="A933" s="2" t="s">
        <v>1522</v>
      </c>
      <c r="B933" s="2" t="s">
        <v>6028</v>
      </c>
      <c r="C933" s="2" t="s">
        <v>1110</v>
      </c>
      <c r="D933" s="2" t="s">
        <v>1509</v>
      </c>
      <c r="E933" s="2" t="s">
        <v>96</v>
      </c>
      <c r="F933" s="3">
        <v>5.4</v>
      </c>
      <c r="G933" s="3">
        <v>10</v>
      </c>
      <c r="H933" s="2" t="s">
        <v>1523</v>
      </c>
      <c r="I933" s="19">
        <v>2</v>
      </c>
      <c r="J933" s="34">
        <f t="shared" si="56"/>
        <v>1.7399999999999999E-2</v>
      </c>
      <c r="K933" s="34">
        <f t="shared" si="57"/>
        <v>0.03</v>
      </c>
      <c r="L933" s="34">
        <f t="shared" si="58"/>
        <v>0.12</v>
      </c>
      <c r="M933" s="20" t="s">
        <v>4352</v>
      </c>
      <c r="N933" s="20" t="s">
        <v>3891</v>
      </c>
      <c r="O933" s="20" t="s">
        <v>3892</v>
      </c>
      <c r="P933" s="20" t="s">
        <v>3893</v>
      </c>
      <c r="Q933" s="21">
        <v>5.3</v>
      </c>
      <c r="R933" s="21">
        <v>10.1</v>
      </c>
      <c r="S933" s="21">
        <v>2.4</v>
      </c>
      <c r="T933" s="22">
        <v>0.2</v>
      </c>
      <c r="U933" s="13">
        <f t="shared" si="59"/>
        <v>8.0000000000000016E-2</v>
      </c>
      <c r="V933" s="23">
        <v>24.5</v>
      </c>
      <c r="W933" s="23">
        <v>24.5</v>
      </c>
      <c r="X933" s="20">
        <v>36</v>
      </c>
      <c r="Y933" s="24" t="s">
        <v>3713</v>
      </c>
      <c r="Z933" s="16">
        <v>22.5</v>
      </c>
      <c r="AA933" s="17">
        <v>1125</v>
      </c>
      <c r="AB933" s="25" t="s">
        <v>4119</v>
      </c>
    </row>
    <row r="934" spans="1:28" x14ac:dyDescent="0.45">
      <c r="A934" s="4" t="s">
        <v>1524</v>
      </c>
      <c r="B934" s="4" t="s">
        <v>6029</v>
      </c>
      <c r="C934" s="4" t="s">
        <v>1110</v>
      </c>
      <c r="D934" s="4" t="s">
        <v>1509</v>
      </c>
      <c r="E934" s="4" t="s">
        <v>96</v>
      </c>
      <c r="F934" s="5">
        <v>5.8</v>
      </c>
      <c r="G934" s="5">
        <v>9.6</v>
      </c>
      <c r="H934" s="4" t="s">
        <v>1112</v>
      </c>
      <c r="I934" s="10">
        <v>2</v>
      </c>
      <c r="J934" s="34">
        <f t="shared" si="56"/>
        <v>1.7399999999999999E-2</v>
      </c>
      <c r="K934" s="34">
        <f t="shared" si="57"/>
        <v>0.03</v>
      </c>
      <c r="L934" s="34">
        <f t="shared" si="58"/>
        <v>0.12</v>
      </c>
      <c r="M934" s="11" t="s">
        <v>3900</v>
      </c>
      <c r="N934" s="11" t="s">
        <v>3891</v>
      </c>
      <c r="O934" s="11" t="s">
        <v>3892</v>
      </c>
      <c r="P934" s="11" t="s">
        <v>3893</v>
      </c>
      <c r="Q934" s="12">
        <v>5.8</v>
      </c>
      <c r="R934" s="12">
        <v>9.6</v>
      </c>
      <c r="S934" s="12">
        <v>1.9</v>
      </c>
      <c r="T934" s="13">
        <v>0.2</v>
      </c>
      <c r="U934" s="13">
        <f t="shared" si="59"/>
        <v>8.0000000000000016E-2</v>
      </c>
      <c r="V934" s="14">
        <v>24.5</v>
      </c>
      <c r="W934" s="14">
        <v>24.5</v>
      </c>
      <c r="X934" s="11">
        <v>1524</v>
      </c>
      <c r="Y934" s="15" t="s">
        <v>3713</v>
      </c>
      <c r="Z934" s="16">
        <v>22.5</v>
      </c>
      <c r="AA934" s="17">
        <v>1125</v>
      </c>
      <c r="AB934" s="18" t="s">
        <v>3714</v>
      </c>
    </row>
    <row r="935" spans="1:28" x14ac:dyDescent="0.45">
      <c r="A935" s="2" t="s">
        <v>1525</v>
      </c>
      <c r="B935" s="2" t="s">
        <v>6030</v>
      </c>
      <c r="C935" s="2" t="s">
        <v>1110</v>
      </c>
      <c r="D935" s="2" t="s">
        <v>1509</v>
      </c>
      <c r="E935" s="2" t="s">
        <v>96</v>
      </c>
      <c r="F935" s="3">
        <v>5</v>
      </c>
      <c r="G935" s="3">
        <v>7</v>
      </c>
      <c r="H935" s="2" t="s">
        <v>1117</v>
      </c>
      <c r="I935" s="19">
        <v>3</v>
      </c>
      <c r="J935" s="34">
        <f t="shared" si="56"/>
        <v>2.6099999999999998E-2</v>
      </c>
      <c r="K935" s="34">
        <f t="shared" si="57"/>
        <v>0.04</v>
      </c>
      <c r="L935" s="34">
        <f t="shared" si="58"/>
        <v>0.16</v>
      </c>
      <c r="M935" s="20" t="s">
        <v>4353</v>
      </c>
      <c r="N935" s="20" t="s">
        <v>3891</v>
      </c>
      <c r="O935" s="20" t="s">
        <v>3892</v>
      </c>
      <c r="P935" s="20" t="s">
        <v>3893</v>
      </c>
      <c r="Q935" s="21">
        <v>5</v>
      </c>
      <c r="R935" s="21">
        <v>7</v>
      </c>
      <c r="S935" s="21">
        <v>1</v>
      </c>
      <c r="T935" s="22">
        <v>0.2</v>
      </c>
      <c r="U935" s="13">
        <f t="shared" si="59"/>
        <v>4.0000000000000008E-2</v>
      </c>
      <c r="V935" s="23">
        <v>24.5</v>
      </c>
      <c r="W935" s="23">
        <v>24.5</v>
      </c>
      <c r="X935" s="20">
        <v>852</v>
      </c>
      <c r="Y935" s="24" t="s">
        <v>3713</v>
      </c>
      <c r="Z935" s="16">
        <v>21.5</v>
      </c>
      <c r="AA935" s="17">
        <v>716.7</v>
      </c>
      <c r="AB935" s="25" t="s">
        <v>3714</v>
      </c>
    </row>
    <row r="936" spans="1:28" x14ac:dyDescent="0.45">
      <c r="A936" s="4" t="s">
        <v>1526</v>
      </c>
      <c r="B936" s="4" t="s">
        <v>6031</v>
      </c>
      <c r="C936" s="4" t="s">
        <v>1110</v>
      </c>
      <c r="D936" s="4" t="s">
        <v>1509</v>
      </c>
      <c r="E936" s="4" t="s">
        <v>96</v>
      </c>
      <c r="F936" s="5">
        <v>5</v>
      </c>
      <c r="G936" s="5">
        <v>8</v>
      </c>
      <c r="H936" s="4" t="s">
        <v>1120</v>
      </c>
      <c r="I936" s="10">
        <v>2</v>
      </c>
      <c r="J936" s="34">
        <f t="shared" si="56"/>
        <v>1.7399999999999999E-2</v>
      </c>
      <c r="K936" s="34">
        <f t="shared" si="57"/>
        <v>0.03</v>
      </c>
      <c r="L936" s="34">
        <f t="shared" si="58"/>
        <v>0.12</v>
      </c>
      <c r="M936" s="11" t="s">
        <v>3901</v>
      </c>
      <c r="N936" s="11" t="s">
        <v>3891</v>
      </c>
      <c r="O936" s="11" t="s">
        <v>3892</v>
      </c>
      <c r="P936" s="11" t="s">
        <v>3893</v>
      </c>
      <c r="Q936" s="12">
        <v>5</v>
      </c>
      <c r="R936" s="12">
        <v>8</v>
      </c>
      <c r="S936" s="12">
        <v>1.5</v>
      </c>
      <c r="T936" s="13">
        <v>0.2</v>
      </c>
      <c r="U936" s="13">
        <f t="shared" si="59"/>
        <v>8.0000000000000016E-2</v>
      </c>
      <c r="V936" s="14">
        <v>24.5</v>
      </c>
      <c r="W936" s="14">
        <v>24.5</v>
      </c>
      <c r="X936" s="11">
        <v>1165</v>
      </c>
      <c r="Y936" s="15" t="s">
        <v>3713</v>
      </c>
      <c r="Z936" s="16">
        <v>22.5</v>
      </c>
      <c r="AA936" s="17">
        <v>1125</v>
      </c>
      <c r="AB936" s="18" t="s">
        <v>3714</v>
      </c>
    </row>
    <row r="937" spans="1:28" x14ac:dyDescent="0.45">
      <c r="A937" s="2" t="s">
        <v>1527</v>
      </c>
      <c r="B937" s="2" t="s">
        <v>6032</v>
      </c>
      <c r="C937" s="2" t="s">
        <v>1110</v>
      </c>
      <c r="D937" s="2" t="s">
        <v>1509</v>
      </c>
      <c r="E937" s="2" t="s">
        <v>96</v>
      </c>
      <c r="F937" s="3">
        <v>5</v>
      </c>
      <c r="G937" s="3">
        <v>9</v>
      </c>
      <c r="H937" s="2" t="s">
        <v>1122</v>
      </c>
      <c r="I937" s="19">
        <v>2</v>
      </c>
      <c r="J937" s="34">
        <f t="shared" si="56"/>
        <v>1.7399999999999999E-2</v>
      </c>
      <c r="K937" s="34">
        <f t="shared" si="57"/>
        <v>0.03</v>
      </c>
      <c r="L937" s="34">
        <f t="shared" si="58"/>
        <v>0.12</v>
      </c>
      <c r="M937" s="20" t="s">
        <v>3902</v>
      </c>
      <c r="N937" s="20" t="s">
        <v>3898</v>
      </c>
      <c r="O937" s="20" t="s">
        <v>3892</v>
      </c>
      <c r="P937" s="20" t="s">
        <v>3899</v>
      </c>
      <c r="Q937" s="21">
        <v>5</v>
      </c>
      <c r="R937" s="21">
        <v>9</v>
      </c>
      <c r="S937" s="21">
        <v>2</v>
      </c>
      <c r="T937" s="22">
        <v>0.37</v>
      </c>
      <c r="U937" s="13">
        <f t="shared" si="59"/>
        <v>0.25</v>
      </c>
      <c r="V937" s="23">
        <v>45.32</v>
      </c>
      <c r="W937" s="23">
        <v>45.32</v>
      </c>
      <c r="X937" s="20" t="s">
        <v>3722</v>
      </c>
      <c r="Y937" s="24" t="s">
        <v>3713</v>
      </c>
      <c r="Z937" s="16">
        <v>43.32</v>
      </c>
      <c r="AA937" s="17">
        <v>2166</v>
      </c>
      <c r="AB937" s="25" t="s">
        <v>3714</v>
      </c>
    </row>
    <row r="938" spans="1:28" x14ac:dyDescent="0.45">
      <c r="A938" s="4" t="s">
        <v>1528</v>
      </c>
      <c r="B938" s="4" t="s">
        <v>6033</v>
      </c>
      <c r="C938" s="4" t="s">
        <v>1110</v>
      </c>
      <c r="D938" s="4" t="s">
        <v>1509</v>
      </c>
      <c r="E938" s="4" t="s">
        <v>96</v>
      </c>
      <c r="F938" s="5">
        <v>6.02</v>
      </c>
      <c r="G938" s="5">
        <v>11.26</v>
      </c>
      <c r="H938" s="4" t="s">
        <v>1127</v>
      </c>
      <c r="I938" s="10">
        <v>2</v>
      </c>
      <c r="J938" s="34">
        <f t="shared" si="56"/>
        <v>1.7399999999999999E-2</v>
      </c>
      <c r="K938" s="34">
        <f t="shared" si="57"/>
        <v>0.03</v>
      </c>
      <c r="L938" s="34">
        <f t="shared" si="58"/>
        <v>0.12</v>
      </c>
      <c r="M938" s="11" t="s">
        <v>4354</v>
      </c>
      <c r="N938" s="11" t="s">
        <v>3898</v>
      </c>
      <c r="O938" s="11" t="s">
        <v>3892</v>
      </c>
      <c r="P938" s="11" t="s">
        <v>3899</v>
      </c>
      <c r="Q938" s="12">
        <v>6</v>
      </c>
      <c r="R938" s="12">
        <v>11</v>
      </c>
      <c r="S938" s="12">
        <v>2.5</v>
      </c>
      <c r="T938" s="13">
        <v>0.67</v>
      </c>
      <c r="U938" s="13">
        <f t="shared" si="59"/>
        <v>0.55000000000000004</v>
      </c>
      <c r="V938" s="14">
        <v>82.08</v>
      </c>
      <c r="W938" s="14">
        <v>82.08</v>
      </c>
      <c r="X938" s="11" t="s">
        <v>3722</v>
      </c>
      <c r="Y938" s="15" t="s">
        <v>3713</v>
      </c>
      <c r="Z938" s="16">
        <v>80.08</v>
      </c>
      <c r="AA938" s="17">
        <v>4004</v>
      </c>
      <c r="AB938" s="18" t="s">
        <v>4355</v>
      </c>
    </row>
    <row r="939" spans="1:28" x14ac:dyDescent="0.45">
      <c r="A939" s="2" t="s">
        <v>1529</v>
      </c>
      <c r="B939" s="2" t="s">
        <v>6034</v>
      </c>
      <c r="C939" s="2" t="s">
        <v>1110</v>
      </c>
      <c r="D939" s="2" t="s">
        <v>1509</v>
      </c>
      <c r="E939" s="2" t="s">
        <v>96</v>
      </c>
      <c r="F939" s="3">
        <v>6.07</v>
      </c>
      <c r="G939" s="3">
        <v>9.6300000000000008</v>
      </c>
      <c r="H939" s="2" t="s">
        <v>1114</v>
      </c>
      <c r="I939" s="19">
        <v>2</v>
      </c>
      <c r="J939" s="34">
        <f t="shared" si="56"/>
        <v>1.7399999999999999E-2</v>
      </c>
      <c r="K939" s="34">
        <f t="shared" si="57"/>
        <v>0.03</v>
      </c>
      <c r="L939" s="34">
        <f t="shared" si="58"/>
        <v>0.12</v>
      </c>
      <c r="M939" s="20" t="s">
        <v>3903</v>
      </c>
      <c r="N939" s="20" t="s">
        <v>3891</v>
      </c>
      <c r="O939" s="20" t="s">
        <v>3892</v>
      </c>
      <c r="P939" s="20" t="s">
        <v>3893</v>
      </c>
      <c r="Q939" s="21">
        <v>6</v>
      </c>
      <c r="R939" s="21">
        <v>9.6</v>
      </c>
      <c r="S939" s="21">
        <v>1.8</v>
      </c>
      <c r="T939" s="22">
        <v>0.2</v>
      </c>
      <c r="U939" s="13">
        <f t="shared" si="59"/>
        <v>8.0000000000000016E-2</v>
      </c>
      <c r="V939" s="23">
        <v>24.5</v>
      </c>
      <c r="W939" s="23">
        <v>24.5</v>
      </c>
      <c r="X939" s="20">
        <v>3735</v>
      </c>
      <c r="Y939" s="24" t="s">
        <v>3713</v>
      </c>
      <c r="Z939" s="16">
        <v>22.5</v>
      </c>
      <c r="AA939" s="17">
        <v>1125</v>
      </c>
      <c r="AB939" s="25" t="s">
        <v>3904</v>
      </c>
    </row>
    <row r="940" spans="1:28" x14ac:dyDescent="0.45">
      <c r="A940" s="4" t="s">
        <v>1530</v>
      </c>
      <c r="B940" s="4" t="s">
        <v>6035</v>
      </c>
      <c r="C940" s="4" t="s">
        <v>1110</v>
      </c>
      <c r="D940" s="4" t="s">
        <v>1509</v>
      </c>
      <c r="E940" s="4" t="s">
        <v>96</v>
      </c>
      <c r="F940" s="5">
        <v>6.8</v>
      </c>
      <c r="G940" s="5">
        <v>10.6</v>
      </c>
      <c r="H940" s="4" t="s">
        <v>1112</v>
      </c>
      <c r="I940" s="10">
        <v>2</v>
      </c>
      <c r="J940" s="34">
        <f t="shared" si="56"/>
        <v>1.7399999999999999E-2</v>
      </c>
      <c r="K940" s="34">
        <f t="shared" si="57"/>
        <v>0.03</v>
      </c>
      <c r="L940" s="34">
        <f t="shared" si="58"/>
        <v>0.12</v>
      </c>
      <c r="M940" s="11" t="s">
        <v>3905</v>
      </c>
      <c r="N940" s="11" t="s">
        <v>3891</v>
      </c>
      <c r="O940" s="11" t="s">
        <v>3892</v>
      </c>
      <c r="P940" s="11" t="s">
        <v>3893</v>
      </c>
      <c r="Q940" s="12">
        <v>6.8</v>
      </c>
      <c r="R940" s="12">
        <v>10.6</v>
      </c>
      <c r="S940" s="12">
        <v>1.9</v>
      </c>
      <c r="T940" s="13">
        <v>0.2</v>
      </c>
      <c r="U940" s="13">
        <f t="shared" si="59"/>
        <v>8.0000000000000016E-2</v>
      </c>
      <c r="V940" s="14">
        <v>24.5</v>
      </c>
      <c r="W940" s="14">
        <v>24.5</v>
      </c>
      <c r="X940" s="11">
        <v>642</v>
      </c>
      <c r="Y940" s="15" t="s">
        <v>3713</v>
      </c>
      <c r="Z940" s="16">
        <v>22.5</v>
      </c>
      <c r="AA940" s="17">
        <v>1125</v>
      </c>
      <c r="AB940" s="18" t="s">
        <v>3714</v>
      </c>
    </row>
    <row r="941" spans="1:28" x14ac:dyDescent="0.45">
      <c r="A941" s="2" t="s">
        <v>1531</v>
      </c>
      <c r="B941" s="2" t="s">
        <v>6036</v>
      </c>
      <c r="C941" s="2" t="s">
        <v>1110</v>
      </c>
      <c r="D941" s="2" t="s">
        <v>1509</v>
      </c>
      <c r="E941" s="2" t="s">
        <v>96</v>
      </c>
      <c r="F941" s="3">
        <v>6</v>
      </c>
      <c r="G941" s="3">
        <v>10</v>
      </c>
      <c r="H941" s="2" t="s">
        <v>1122</v>
      </c>
      <c r="I941" s="19">
        <v>2</v>
      </c>
      <c r="J941" s="34">
        <f t="shared" si="56"/>
        <v>1.7399999999999999E-2</v>
      </c>
      <c r="K941" s="34">
        <f t="shared" si="57"/>
        <v>0.03</v>
      </c>
      <c r="L941" s="34">
        <f t="shared" si="58"/>
        <v>0.12</v>
      </c>
      <c r="M941" s="20" t="s">
        <v>3906</v>
      </c>
      <c r="N941" s="20" t="s">
        <v>3898</v>
      </c>
      <c r="O941" s="20" t="s">
        <v>3892</v>
      </c>
      <c r="P941" s="20" t="s">
        <v>3899</v>
      </c>
      <c r="Q941" s="21">
        <v>6</v>
      </c>
      <c r="R941" s="21">
        <v>10</v>
      </c>
      <c r="S941" s="21">
        <v>2</v>
      </c>
      <c r="T941" s="22">
        <v>3.81</v>
      </c>
      <c r="U941" s="13">
        <f t="shared" si="59"/>
        <v>3.69</v>
      </c>
      <c r="V941" s="23">
        <v>466.72</v>
      </c>
      <c r="W941" s="23">
        <v>466.72</v>
      </c>
      <c r="X941" s="20">
        <v>123</v>
      </c>
      <c r="Y941" s="24" t="s">
        <v>3713</v>
      </c>
      <c r="Z941" s="16">
        <v>464.72</v>
      </c>
      <c r="AA941" s="17">
        <v>23236</v>
      </c>
      <c r="AB941" s="25" t="s">
        <v>3714</v>
      </c>
    </row>
    <row r="942" spans="1:28" x14ac:dyDescent="0.45">
      <c r="A942" s="4" t="s">
        <v>1532</v>
      </c>
      <c r="B942" s="4" t="s">
        <v>6037</v>
      </c>
      <c r="C942" s="4" t="s">
        <v>1110</v>
      </c>
      <c r="D942" s="4" t="s">
        <v>1509</v>
      </c>
      <c r="E942" s="4" t="s">
        <v>96</v>
      </c>
      <c r="F942" s="5">
        <v>7.65</v>
      </c>
      <c r="G942" s="5">
        <v>11.21</v>
      </c>
      <c r="H942" s="4" t="s">
        <v>1114</v>
      </c>
      <c r="I942" s="10">
        <v>2</v>
      </c>
      <c r="J942" s="34">
        <f t="shared" si="56"/>
        <v>1.7399999999999999E-2</v>
      </c>
      <c r="K942" s="34">
        <f t="shared" si="57"/>
        <v>0.03</v>
      </c>
      <c r="L942" s="34">
        <f t="shared" si="58"/>
        <v>0.12</v>
      </c>
      <c r="M942" s="11" t="s">
        <v>3909</v>
      </c>
      <c r="N942" s="11" t="s">
        <v>3891</v>
      </c>
      <c r="O942" s="11" t="s">
        <v>3892</v>
      </c>
      <c r="P942" s="11" t="s">
        <v>3893</v>
      </c>
      <c r="Q942" s="12">
        <v>7.6</v>
      </c>
      <c r="R942" s="12">
        <v>11.2</v>
      </c>
      <c r="S942" s="12">
        <v>1.8</v>
      </c>
      <c r="T942" s="13">
        <v>0.21</v>
      </c>
      <c r="U942" s="13">
        <f t="shared" si="59"/>
        <v>0.09</v>
      </c>
      <c r="V942" s="14">
        <v>25.72</v>
      </c>
      <c r="W942" s="14">
        <v>25.72</v>
      </c>
      <c r="X942" s="11">
        <v>958</v>
      </c>
      <c r="Y942" s="15" t="s">
        <v>3713</v>
      </c>
      <c r="Z942" s="16">
        <v>23.72</v>
      </c>
      <c r="AA942" s="17">
        <v>1186</v>
      </c>
      <c r="AB942" s="18" t="s">
        <v>3910</v>
      </c>
    </row>
    <row r="943" spans="1:28" x14ac:dyDescent="0.45">
      <c r="A943" s="2" t="s">
        <v>1533</v>
      </c>
      <c r="B943" s="2" t="s">
        <v>6038</v>
      </c>
      <c r="C943" s="2" t="s">
        <v>1110</v>
      </c>
      <c r="D943" s="2" t="s">
        <v>1509</v>
      </c>
      <c r="E943" s="2" t="s">
        <v>96</v>
      </c>
      <c r="F943" s="3">
        <v>7.8</v>
      </c>
      <c r="G943" s="3">
        <v>11.6</v>
      </c>
      <c r="H943" s="2" t="s">
        <v>1112</v>
      </c>
      <c r="I943" s="19">
        <v>2</v>
      </c>
      <c r="J943" s="34">
        <f t="shared" si="56"/>
        <v>1.7399999999999999E-2</v>
      </c>
      <c r="K943" s="34">
        <f t="shared" si="57"/>
        <v>0.03</v>
      </c>
      <c r="L943" s="34">
        <f t="shared" si="58"/>
        <v>0.12</v>
      </c>
      <c r="M943" s="20" t="s">
        <v>3911</v>
      </c>
      <c r="N943" s="20" t="s">
        <v>3891</v>
      </c>
      <c r="O943" s="20" t="s">
        <v>3892</v>
      </c>
      <c r="P943" s="20" t="s">
        <v>3893</v>
      </c>
      <c r="Q943" s="21">
        <v>7.8</v>
      </c>
      <c r="R943" s="21">
        <v>11.6</v>
      </c>
      <c r="S943" s="21">
        <v>1.9</v>
      </c>
      <c r="T943" s="22">
        <v>0.2</v>
      </c>
      <c r="U943" s="13">
        <f t="shared" si="59"/>
        <v>8.0000000000000016E-2</v>
      </c>
      <c r="V943" s="23">
        <v>24.5</v>
      </c>
      <c r="W943" s="23">
        <v>24.5</v>
      </c>
      <c r="X943" s="20">
        <v>1910</v>
      </c>
      <c r="Y943" s="24" t="s">
        <v>3713</v>
      </c>
      <c r="Z943" s="16">
        <v>22.5</v>
      </c>
      <c r="AA943" s="17">
        <v>1125</v>
      </c>
      <c r="AB943" s="25" t="s">
        <v>3714</v>
      </c>
    </row>
    <row r="944" spans="1:28" x14ac:dyDescent="0.45">
      <c r="A944" s="4" t="s">
        <v>1534</v>
      </c>
      <c r="B944" s="4" t="s">
        <v>6039</v>
      </c>
      <c r="C944" s="4" t="s">
        <v>1110</v>
      </c>
      <c r="D944" s="4" t="s">
        <v>1509</v>
      </c>
      <c r="E944" s="4" t="s">
        <v>96</v>
      </c>
      <c r="F944" s="5">
        <v>7</v>
      </c>
      <c r="G944" s="5">
        <v>10</v>
      </c>
      <c r="H944" s="4" t="s">
        <v>1120</v>
      </c>
      <c r="I944" s="10">
        <v>2</v>
      </c>
      <c r="J944" s="34">
        <f t="shared" si="56"/>
        <v>1.7399999999999999E-2</v>
      </c>
      <c r="K944" s="34">
        <f t="shared" si="57"/>
        <v>0.03</v>
      </c>
      <c r="L944" s="34">
        <f t="shared" si="58"/>
        <v>0.12</v>
      </c>
      <c r="M944" s="11" t="s">
        <v>3912</v>
      </c>
      <c r="N944" s="11" t="s">
        <v>3913</v>
      </c>
      <c r="O944" s="11" t="s">
        <v>3892</v>
      </c>
      <c r="P944" s="11" t="s">
        <v>3914</v>
      </c>
      <c r="Q944" s="12">
        <v>7</v>
      </c>
      <c r="R944" s="12">
        <v>10</v>
      </c>
      <c r="S944" s="12">
        <v>1.5</v>
      </c>
      <c r="T944" s="13">
        <v>0.35</v>
      </c>
      <c r="U944" s="13">
        <f t="shared" si="59"/>
        <v>0.22999999999999998</v>
      </c>
      <c r="V944" s="14">
        <v>42.88</v>
      </c>
      <c r="W944" s="14">
        <v>42.88</v>
      </c>
      <c r="X944" s="11">
        <v>603</v>
      </c>
      <c r="Y944" s="15" t="s">
        <v>3713</v>
      </c>
      <c r="Z944" s="16">
        <v>40.880000000000003</v>
      </c>
      <c r="AA944" s="17">
        <v>2044</v>
      </c>
      <c r="AB944" s="18" t="s">
        <v>3714</v>
      </c>
    </row>
    <row r="945" spans="1:28" x14ac:dyDescent="0.45">
      <c r="A945" s="2" t="s">
        <v>1535</v>
      </c>
      <c r="B945" s="2" t="s">
        <v>6040</v>
      </c>
      <c r="C945" s="2" t="s">
        <v>1110</v>
      </c>
      <c r="D945" s="2" t="s">
        <v>1509</v>
      </c>
      <c r="E945" s="2" t="s">
        <v>96</v>
      </c>
      <c r="F945" s="3">
        <v>7</v>
      </c>
      <c r="G945" s="3">
        <v>11</v>
      </c>
      <c r="H945" s="2" t="s">
        <v>1122</v>
      </c>
      <c r="I945" s="19">
        <v>2</v>
      </c>
      <c r="J945" s="34">
        <f t="shared" si="56"/>
        <v>1.7399999999999999E-2</v>
      </c>
      <c r="K945" s="34">
        <f t="shared" si="57"/>
        <v>0.03</v>
      </c>
      <c r="L945" s="34">
        <f t="shared" si="58"/>
        <v>0.12</v>
      </c>
      <c r="M945" s="20" t="s">
        <v>3915</v>
      </c>
      <c r="N945" s="20" t="s">
        <v>3891</v>
      </c>
      <c r="O945" s="20" t="s">
        <v>3892</v>
      </c>
      <c r="P945" s="20" t="s">
        <v>3893</v>
      </c>
      <c r="Q945" s="21">
        <v>7</v>
      </c>
      <c r="R945" s="21">
        <v>11</v>
      </c>
      <c r="S945" s="21">
        <v>2</v>
      </c>
      <c r="T945" s="22">
        <v>0.2</v>
      </c>
      <c r="U945" s="13">
        <f t="shared" si="59"/>
        <v>8.0000000000000016E-2</v>
      </c>
      <c r="V945" s="23">
        <v>24.5</v>
      </c>
      <c r="W945" s="23">
        <v>24.5</v>
      </c>
      <c r="X945" s="20">
        <v>620</v>
      </c>
      <c r="Y945" s="24" t="s">
        <v>3713</v>
      </c>
      <c r="Z945" s="16">
        <v>22.5</v>
      </c>
      <c r="AA945" s="17">
        <v>1125</v>
      </c>
      <c r="AB945" s="25" t="s">
        <v>3714</v>
      </c>
    </row>
    <row r="946" spans="1:28" x14ac:dyDescent="0.45">
      <c r="A946" s="4" t="s">
        <v>1536</v>
      </c>
      <c r="B946" s="4" t="s">
        <v>6041</v>
      </c>
      <c r="C946" s="4" t="s">
        <v>1110</v>
      </c>
      <c r="D946" s="4" t="s">
        <v>1509</v>
      </c>
      <c r="E946" s="4" t="s">
        <v>96</v>
      </c>
      <c r="F946" s="5">
        <v>8.8000000000000007</v>
      </c>
      <c r="G946" s="5">
        <v>12.6</v>
      </c>
      <c r="H946" s="4" t="s">
        <v>1112</v>
      </c>
      <c r="I946" s="10">
        <v>2</v>
      </c>
      <c r="J946" s="34">
        <f t="shared" si="56"/>
        <v>1.7399999999999999E-2</v>
      </c>
      <c r="K946" s="34">
        <f t="shared" si="57"/>
        <v>0.03</v>
      </c>
      <c r="L946" s="34">
        <f t="shared" si="58"/>
        <v>0.12</v>
      </c>
      <c r="M946" s="11" t="s">
        <v>3916</v>
      </c>
      <c r="N946" s="11" t="s">
        <v>3891</v>
      </c>
      <c r="O946" s="11" t="s">
        <v>3892</v>
      </c>
      <c r="P946" s="11" t="s">
        <v>3893</v>
      </c>
      <c r="Q946" s="12">
        <v>8.8000000000000007</v>
      </c>
      <c r="R946" s="12">
        <v>12.6</v>
      </c>
      <c r="S946" s="12">
        <v>1.9</v>
      </c>
      <c r="T946" s="13">
        <v>0.2</v>
      </c>
      <c r="U946" s="13">
        <f t="shared" si="59"/>
        <v>8.0000000000000016E-2</v>
      </c>
      <c r="V946" s="14">
        <v>24.5</v>
      </c>
      <c r="W946" s="14">
        <v>24.5</v>
      </c>
      <c r="X946" s="11">
        <v>1264</v>
      </c>
      <c r="Y946" s="15" t="s">
        <v>3713</v>
      </c>
      <c r="Z946" s="16">
        <v>22.5</v>
      </c>
      <c r="AA946" s="17">
        <v>1125</v>
      </c>
      <c r="AB946" s="18" t="s">
        <v>3714</v>
      </c>
    </row>
    <row r="947" spans="1:28" x14ac:dyDescent="0.45">
      <c r="A947" s="2" t="s">
        <v>1537</v>
      </c>
      <c r="B947" s="2" t="s">
        <v>6042</v>
      </c>
      <c r="C947" s="2" t="s">
        <v>1110</v>
      </c>
      <c r="D947" s="2" t="s">
        <v>1509</v>
      </c>
      <c r="E947" s="2" t="s">
        <v>96</v>
      </c>
      <c r="F947" s="3">
        <v>8</v>
      </c>
      <c r="G947" s="3">
        <v>12</v>
      </c>
      <c r="H947" s="2" t="s">
        <v>1122</v>
      </c>
      <c r="I947" s="19">
        <v>2</v>
      </c>
      <c r="J947" s="34">
        <f t="shared" si="56"/>
        <v>1.7399999999999999E-2</v>
      </c>
      <c r="K947" s="34">
        <f t="shared" si="57"/>
        <v>0.03</v>
      </c>
      <c r="L947" s="34">
        <f t="shared" si="58"/>
        <v>0.12</v>
      </c>
      <c r="M947" s="20" t="s">
        <v>3917</v>
      </c>
      <c r="N947" s="20" t="s">
        <v>3898</v>
      </c>
      <c r="O947" s="20" t="s">
        <v>3892</v>
      </c>
      <c r="P947" s="20" t="s">
        <v>3899</v>
      </c>
      <c r="Q947" s="21">
        <v>8</v>
      </c>
      <c r="R947" s="21">
        <v>12</v>
      </c>
      <c r="S947" s="21">
        <v>2</v>
      </c>
      <c r="T947" s="22">
        <v>0.2</v>
      </c>
      <c r="U947" s="13">
        <f t="shared" si="59"/>
        <v>8.0000000000000016E-2</v>
      </c>
      <c r="V947" s="23">
        <v>24.5</v>
      </c>
      <c r="W947" s="23">
        <v>24.5</v>
      </c>
      <c r="X947" s="20">
        <v>1537</v>
      </c>
      <c r="Y947" s="24" t="s">
        <v>3713</v>
      </c>
      <c r="Z947" s="16">
        <v>22.5</v>
      </c>
      <c r="AA947" s="17">
        <v>1125</v>
      </c>
      <c r="AB947" s="25" t="s">
        <v>3714</v>
      </c>
    </row>
    <row r="948" spans="1:28" x14ac:dyDescent="0.45">
      <c r="A948" s="4" t="s">
        <v>1538</v>
      </c>
      <c r="B948" s="4" t="s">
        <v>6043</v>
      </c>
      <c r="C948" s="4" t="s">
        <v>1110</v>
      </c>
      <c r="D948" s="4" t="s">
        <v>1509</v>
      </c>
      <c r="E948" s="4" t="s">
        <v>96</v>
      </c>
      <c r="F948" s="5">
        <v>8</v>
      </c>
      <c r="G948" s="5">
        <v>13</v>
      </c>
      <c r="H948" s="4" t="s">
        <v>1135</v>
      </c>
      <c r="I948" s="10">
        <v>2</v>
      </c>
      <c r="J948" s="34">
        <f t="shared" si="56"/>
        <v>1.7399999999999999E-2</v>
      </c>
      <c r="K948" s="34">
        <f t="shared" si="57"/>
        <v>0.03</v>
      </c>
      <c r="L948" s="34">
        <f t="shared" si="58"/>
        <v>0.12</v>
      </c>
      <c r="M948" s="11" t="s">
        <v>3918</v>
      </c>
      <c r="N948" s="11" t="s">
        <v>3898</v>
      </c>
      <c r="O948" s="11" t="s">
        <v>3892</v>
      </c>
      <c r="P948" s="11" t="s">
        <v>3899</v>
      </c>
      <c r="Q948" s="12">
        <v>8</v>
      </c>
      <c r="R948" s="12">
        <v>13</v>
      </c>
      <c r="S948" s="12">
        <v>2.5</v>
      </c>
      <c r="T948" s="13">
        <v>0.32</v>
      </c>
      <c r="U948" s="13">
        <f t="shared" si="59"/>
        <v>0.2</v>
      </c>
      <c r="V948" s="14">
        <v>39.200000000000003</v>
      </c>
      <c r="W948" s="14">
        <v>39.200000000000003</v>
      </c>
      <c r="X948" s="11">
        <v>85</v>
      </c>
      <c r="Y948" s="15" t="s">
        <v>3713</v>
      </c>
      <c r="Z948" s="16">
        <v>37.200000000000003</v>
      </c>
      <c r="AA948" s="17">
        <v>1860</v>
      </c>
      <c r="AB948" s="18" t="s">
        <v>3714</v>
      </c>
    </row>
    <row r="949" spans="1:28" x14ac:dyDescent="0.45">
      <c r="A949" s="2" t="s">
        <v>1539</v>
      </c>
      <c r="B949" s="2" t="s">
        <v>6044</v>
      </c>
      <c r="C949" s="2" t="s">
        <v>1110</v>
      </c>
      <c r="D949" s="2" t="s">
        <v>1509</v>
      </c>
      <c r="E949" s="2" t="s">
        <v>96</v>
      </c>
      <c r="F949" s="3">
        <v>8</v>
      </c>
      <c r="G949" s="3">
        <v>14</v>
      </c>
      <c r="H949" s="2" t="s">
        <v>1149</v>
      </c>
      <c r="I949" s="19">
        <v>15</v>
      </c>
      <c r="J949" s="34">
        <f t="shared" si="56"/>
        <v>0.1305</v>
      </c>
      <c r="K949" s="34">
        <f t="shared" si="57"/>
        <v>0.2</v>
      </c>
      <c r="L949" s="34">
        <f t="shared" si="58"/>
        <v>0.8</v>
      </c>
      <c r="M949" s="20" t="s">
        <v>4356</v>
      </c>
      <c r="N949" s="20" t="s">
        <v>3898</v>
      </c>
      <c r="O949" s="20" t="s">
        <v>3892</v>
      </c>
      <c r="P949" s="20" t="s">
        <v>3899</v>
      </c>
      <c r="Q949" s="21">
        <v>8</v>
      </c>
      <c r="R949" s="21">
        <v>14</v>
      </c>
      <c r="S949" s="21">
        <v>3</v>
      </c>
      <c r="T949" s="22">
        <v>0.2</v>
      </c>
      <c r="U949" s="13">
        <f t="shared" si="59"/>
        <v>-0.60000000000000009</v>
      </c>
      <c r="V949" s="23">
        <v>24.5</v>
      </c>
      <c r="W949" s="23">
        <v>24.5</v>
      </c>
      <c r="X949" s="20" t="s">
        <v>3722</v>
      </c>
      <c r="Y949" s="24" t="s">
        <v>3713</v>
      </c>
      <c r="Z949" s="16">
        <v>9.5</v>
      </c>
      <c r="AA949" s="17">
        <v>63.3</v>
      </c>
      <c r="AB949" s="25" t="s">
        <v>3714</v>
      </c>
    </row>
    <row r="950" spans="1:28" x14ac:dyDescent="0.45">
      <c r="A950" s="4" t="s">
        <v>1540</v>
      </c>
      <c r="B950" s="4" t="s">
        <v>6045</v>
      </c>
      <c r="C950" s="4" t="s">
        <v>1110</v>
      </c>
      <c r="D950" s="4" t="s">
        <v>1509</v>
      </c>
      <c r="E950" s="4" t="s">
        <v>96</v>
      </c>
      <c r="F950" s="5">
        <v>9.19</v>
      </c>
      <c r="G950" s="5">
        <v>14.43</v>
      </c>
      <c r="H950" s="4" t="s">
        <v>1127</v>
      </c>
      <c r="I950" s="10">
        <v>2</v>
      </c>
      <c r="J950" s="34">
        <f t="shared" si="56"/>
        <v>1.7399999999999999E-2</v>
      </c>
      <c r="K950" s="34">
        <f t="shared" si="57"/>
        <v>0.03</v>
      </c>
      <c r="L950" s="34">
        <f t="shared" si="58"/>
        <v>0.12</v>
      </c>
      <c r="M950" s="11" t="s">
        <v>3919</v>
      </c>
      <c r="N950" s="11" t="s">
        <v>3898</v>
      </c>
      <c r="O950" s="11" t="s">
        <v>3892</v>
      </c>
      <c r="P950" s="11" t="s">
        <v>3899</v>
      </c>
      <c r="Q950" s="12">
        <v>9.1440000000000001</v>
      </c>
      <c r="R950" s="12">
        <v>14.478</v>
      </c>
      <c r="S950" s="12">
        <v>2.54</v>
      </c>
      <c r="T950" s="13">
        <v>0.2</v>
      </c>
      <c r="U950" s="13">
        <f t="shared" si="59"/>
        <v>8.0000000000000016E-2</v>
      </c>
      <c r="V950" s="14">
        <v>24.5</v>
      </c>
      <c r="W950" s="14">
        <v>24.5</v>
      </c>
      <c r="X950" s="11" t="s">
        <v>3722</v>
      </c>
      <c r="Y950" s="15" t="s">
        <v>3737</v>
      </c>
      <c r="Z950" s="16">
        <v>22.5</v>
      </c>
      <c r="AA950" s="17">
        <v>1125</v>
      </c>
      <c r="AB950" s="18" t="s">
        <v>3920</v>
      </c>
    </row>
    <row r="951" spans="1:28" x14ac:dyDescent="0.45">
      <c r="A951" s="2" t="s">
        <v>1541</v>
      </c>
      <c r="B951" s="2" t="s">
        <v>6046</v>
      </c>
      <c r="C951" s="2" t="s">
        <v>1110</v>
      </c>
      <c r="D951" s="2" t="s">
        <v>1509</v>
      </c>
      <c r="E951" s="2" t="s">
        <v>96</v>
      </c>
      <c r="F951" s="3">
        <v>9.1</v>
      </c>
      <c r="G951" s="3">
        <v>12.3</v>
      </c>
      <c r="H951" s="2" t="s">
        <v>1514</v>
      </c>
      <c r="I951" s="19">
        <v>2</v>
      </c>
      <c r="J951" s="34">
        <f t="shared" si="56"/>
        <v>1.7399999999999999E-2</v>
      </c>
      <c r="K951" s="34">
        <f t="shared" si="57"/>
        <v>0.03</v>
      </c>
      <c r="L951" s="34">
        <f t="shared" si="58"/>
        <v>0.12</v>
      </c>
      <c r="M951" s="20" t="s">
        <v>4357</v>
      </c>
      <c r="N951" s="20" t="s">
        <v>3891</v>
      </c>
      <c r="O951" s="20" t="s">
        <v>3892</v>
      </c>
      <c r="P951" s="20" t="s">
        <v>3893</v>
      </c>
      <c r="Q951" s="21">
        <v>9.1</v>
      </c>
      <c r="R951" s="21">
        <v>12.3</v>
      </c>
      <c r="S951" s="21">
        <v>1.6</v>
      </c>
      <c r="T951" s="22">
        <v>0.2</v>
      </c>
      <c r="U951" s="13">
        <f t="shared" si="59"/>
        <v>8.0000000000000016E-2</v>
      </c>
      <c r="V951" s="23">
        <v>24.5</v>
      </c>
      <c r="W951" s="23">
        <v>24.5</v>
      </c>
      <c r="X951" s="20">
        <v>574</v>
      </c>
      <c r="Y951" s="24" t="s">
        <v>3713</v>
      </c>
      <c r="Z951" s="16">
        <v>22.5</v>
      </c>
      <c r="AA951" s="17">
        <v>1125</v>
      </c>
      <c r="AB951" s="25" t="s">
        <v>3714</v>
      </c>
    </row>
    <row r="952" spans="1:28" x14ac:dyDescent="0.45">
      <c r="A952" s="4" t="s">
        <v>1542</v>
      </c>
      <c r="B952" s="4" t="s">
        <v>6047</v>
      </c>
      <c r="C952" s="4" t="s">
        <v>1110</v>
      </c>
      <c r="D952" s="4" t="s">
        <v>1509</v>
      </c>
      <c r="E952" s="4" t="s">
        <v>96</v>
      </c>
      <c r="F952" s="5">
        <v>9.25</v>
      </c>
      <c r="G952" s="5">
        <v>12.81</v>
      </c>
      <c r="H952" s="4" t="s">
        <v>1114</v>
      </c>
      <c r="I952" s="10">
        <v>2</v>
      </c>
      <c r="J952" s="34">
        <f t="shared" si="56"/>
        <v>1.7399999999999999E-2</v>
      </c>
      <c r="K952" s="34">
        <f t="shared" si="57"/>
        <v>0.03</v>
      </c>
      <c r="L952" s="34">
        <f t="shared" si="58"/>
        <v>0.12</v>
      </c>
      <c r="M952" s="11" t="s">
        <v>3921</v>
      </c>
      <c r="N952" s="11" t="s">
        <v>3891</v>
      </c>
      <c r="O952" s="11" t="s">
        <v>3892</v>
      </c>
      <c r="P952" s="11" t="s">
        <v>3893</v>
      </c>
      <c r="Q952" s="12">
        <v>9.5</v>
      </c>
      <c r="R952" s="12">
        <v>12.7</v>
      </c>
      <c r="S952" s="12">
        <v>1.6</v>
      </c>
      <c r="T952" s="13">
        <v>0.2</v>
      </c>
      <c r="U952" s="13">
        <f t="shared" si="59"/>
        <v>8.0000000000000016E-2</v>
      </c>
      <c r="V952" s="14">
        <v>24.5</v>
      </c>
      <c r="W952" s="14">
        <v>24.5</v>
      </c>
      <c r="X952" s="11">
        <v>87</v>
      </c>
      <c r="Y952" s="15" t="s">
        <v>3713</v>
      </c>
      <c r="Z952" s="16">
        <v>22.5</v>
      </c>
      <c r="AA952" s="17">
        <v>1125</v>
      </c>
      <c r="AB952" s="18" t="s">
        <v>3922</v>
      </c>
    </row>
    <row r="953" spans="1:28" x14ac:dyDescent="0.45">
      <c r="A953" s="2" t="s">
        <v>1543</v>
      </c>
      <c r="B953" s="2" t="s">
        <v>6048</v>
      </c>
      <c r="C953" s="2" t="s">
        <v>1110</v>
      </c>
      <c r="D953" s="2" t="s">
        <v>1509</v>
      </c>
      <c r="E953" s="2" t="s">
        <v>96</v>
      </c>
      <c r="F953" s="3">
        <v>9.8000000000000007</v>
      </c>
      <c r="G953" s="3">
        <v>13.6</v>
      </c>
      <c r="H953" s="2" t="s">
        <v>1112</v>
      </c>
      <c r="I953" s="19">
        <v>2</v>
      </c>
      <c r="J953" s="34">
        <f t="shared" si="56"/>
        <v>1.7399999999999999E-2</v>
      </c>
      <c r="K953" s="34">
        <f t="shared" si="57"/>
        <v>0.03</v>
      </c>
      <c r="L953" s="34">
        <f t="shared" si="58"/>
        <v>0.12</v>
      </c>
      <c r="M953" s="20" t="s">
        <v>3923</v>
      </c>
      <c r="N953" s="20" t="s">
        <v>3913</v>
      </c>
      <c r="O953" s="20" t="s">
        <v>3892</v>
      </c>
      <c r="P953" s="20" t="s">
        <v>3914</v>
      </c>
      <c r="Q953" s="21">
        <v>9.8000000000000007</v>
      </c>
      <c r="R953" s="21">
        <v>13.6</v>
      </c>
      <c r="S953" s="21">
        <v>1.9</v>
      </c>
      <c r="T953" s="22">
        <v>0.28999999999999998</v>
      </c>
      <c r="U953" s="13">
        <f t="shared" si="59"/>
        <v>0.16999999999999998</v>
      </c>
      <c r="V953" s="23">
        <v>35.520000000000003</v>
      </c>
      <c r="W953" s="23">
        <v>35.520000000000003</v>
      </c>
      <c r="X953" s="20">
        <v>4160</v>
      </c>
      <c r="Y953" s="24" t="s">
        <v>3713</v>
      </c>
      <c r="Z953" s="16">
        <v>33.520000000000003</v>
      </c>
      <c r="AA953" s="17">
        <v>1676</v>
      </c>
      <c r="AB953" s="25" t="s">
        <v>3714</v>
      </c>
    </row>
    <row r="954" spans="1:28" x14ac:dyDescent="0.45">
      <c r="A954" s="4" t="s">
        <v>1544</v>
      </c>
      <c r="B954" s="4" t="s">
        <v>6049</v>
      </c>
      <c r="C954" s="4" t="s">
        <v>1110</v>
      </c>
      <c r="D954" s="4" t="s">
        <v>1509</v>
      </c>
      <c r="E954" s="4" t="s">
        <v>96</v>
      </c>
      <c r="F954" s="5">
        <v>9.8000000000000007</v>
      </c>
      <c r="G954" s="5">
        <v>14.6</v>
      </c>
      <c r="H954" s="4" t="s">
        <v>1140</v>
      </c>
      <c r="I954" s="10">
        <v>2</v>
      </c>
      <c r="J954" s="34">
        <f t="shared" si="56"/>
        <v>1.7399999999999999E-2</v>
      </c>
      <c r="K954" s="34">
        <f t="shared" si="57"/>
        <v>0.03</v>
      </c>
      <c r="L954" s="34">
        <f t="shared" si="58"/>
        <v>0.12</v>
      </c>
      <c r="M954" s="11" t="s">
        <v>3924</v>
      </c>
      <c r="N954" s="11" t="s">
        <v>3925</v>
      </c>
      <c r="O954" s="11" t="s">
        <v>3892</v>
      </c>
      <c r="P954" s="11" t="s">
        <v>3926</v>
      </c>
      <c r="Q954" s="12">
        <v>9.8000000000000007</v>
      </c>
      <c r="R954" s="12">
        <v>14.6</v>
      </c>
      <c r="S954" s="12">
        <v>2.4</v>
      </c>
      <c r="T954" s="13">
        <v>0.71</v>
      </c>
      <c r="U954" s="13">
        <f t="shared" si="59"/>
        <v>0.59</v>
      </c>
      <c r="V954" s="14">
        <v>86.98</v>
      </c>
      <c r="W954" s="14">
        <v>86.98</v>
      </c>
      <c r="X954" s="11">
        <v>1485</v>
      </c>
      <c r="Y954" s="15" t="s">
        <v>3713</v>
      </c>
      <c r="Z954" s="16">
        <v>84.98</v>
      </c>
      <c r="AA954" s="17">
        <v>4249</v>
      </c>
      <c r="AB954" s="18" t="s">
        <v>3714</v>
      </c>
    </row>
    <row r="955" spans="1:28" x14ac:dyDescent="0.45">
      <c r="A955" s="2" t="s">
        <v>1545</v>
      </c>
      <c r="B955" s="2" t="s">
        <v>6050</v>
      </c>
      <c r="C955" s="2" t="s">
        <v>1110</v>
      </c>
      <c r="D955" s="2" t="s">
        <v>1509</v>
      </c>
      <c r="E955" s="2" t="s">
        <v>96</v>
      </c>
      <c r="F955" s="3">
        <v>9</v>
      </c>
      <c r="G955" s="3">
        <v>12</v>
      </c>
      <c r="H955" s="2" t="s">
        <v>1120</v>
      </c>
      <c r="I955" s="19">
        <v>2</v>
      </c>
      <c r="J955" s="34">
        <f t="shared" si="56"/>
        <v>1.7399999999999999E-2</v>
      </c>
      <c r="K955" s="34">
        <f t="shared" si="57"/>
        <v>0.03</v>
      </c>
      <c r="L955" s="34">
        <f t="shared" si="58"/>
        <v>0.12</v>
      </c>
      <c r="M955" s="20" t="s">
        <v>4358</v>
      </c>
      <c r="N955" s="20" t="s">
        <v>3891</v>
      </c>
      <c r="O955" s="20" t="s">
        <v>3892</v>
      </c>
      <c r="P955" s="20" t="s">
        <v>3893</v>
      </c>
      <c r="Q955" s="21">
        <v>9</v>
      </c>
      <c r="R955" s="21">
        <v>12</v>
      </c>
      <c r="S955" s="21">
        <v>1.5</v>
      </c>
      <c r="T955" s="22">
        <v>0.2</v>
      </c>
      <c r="U955" s="13">
        <f t="shared" si="59"/>
        <v>8.0000000000000016E-2</v>
      </c>
      <c r="V955" s="23">
        <v>24.5</v>
      </c>
      <c r="W955" s="23">
        <v>24.5</v>
      </c>
      <c r="X955" s="20">
        <v>230</v>
      </c>
      <c r="Y955" s="24" t="s">
        <v>3713</v>
      </c>
      <c r="Z955" s="16">
        <v>22.5</v>
      </c>
      <c r="AA955" s="17">
        <v>1125</v>
      </c>
      <c r="AB955" s="25" t="s">
        <v>3714</v>
      </c>
    </row>
    <row r="956" spans="1:28" x14ac:dyDescent="0.45">
      <c r="A956" s="4" t="s">
        <v>1546</v>
      </c>
      <c r="B956" s="4" t="s">
        <v>6051</v>
      </c>
      <c r="C956" s="4" t="s">
        <v>1110</v>
      </c>
      <c r="D956" s="4" t="s">
        <v>1509</v>
      </c>
      <c r="E956" s="4" t="s">
        <v>96</v>
      </c>
      <c r="F956" s="5">
        <v>9</v>
      </c>
      <c r="G956" s="5">
        <v>13</v>
      </c>
      <c r="H956" s="4" t="s">
        <v>1122</v>
      </c>
      <c r="I956" s="10">
        <v>2</v>
      </c>
      <c r="J956" s="34">
        <f t="shared" si="56"/>
        <v>1.7399999999999999E-2</v>
      </c>
      <c r="K956" s="34">
        <f t="shared" si="57"/>
        <v>0.03</v>
      </c>
      <c r="L956" s="34">
        <f t="shared" si="58"/>
        <v>0.12</v>
      </c>
      <c r="M956" s="11" t="s">
        <v>4359</v>
      </c>
      <c r="N956" s="11" t="s">
        <v>3898</v>
      </c>
      <c r="O956" s="11" t="s">
        <v>3892</v>
      </c>
      <c r="P956" s="11" t="s">
        <v>3899</v>
      </c>
      <c r="Q956" s="12">
        <v>9</v>
      </c>
      <c r="R956" s="12">
        <v>13</v>
      </c>
      <c r="S956" s="12">
        <v>2</v>
      </c>
      <c r="T956" s="13">
        <v>0.2</v>
      </c>
      <c r="U956" s="13">
        <f t="shared" si="59"/>
        <v>8.0000000000000016E-2</v>
      </c>
      <c r="V956" s="14">
        <v>24.5</v>
      </c>
      <c r="W956" s="14">
        <v>24.5</v>
      </c>
      <c r="X956" s="11">
        <v>460</v>
      </c>
      <c r="Y956" s="15" t="s">
        <v>3713</v>
      </c>
      <c r="Z956" s="16">
        <v>22.5</v>
      </c>
      <c r="AA956" s="17">
        <v>1125</v>
      </c>
      <c r="AB956" s="18" t="s">
        <v>3714</v>
      </c>
    </row>
    <row r="957" spans="1:28" x14ac:dyDescent="0.45">
      <c r="A957" s="2" t="s">
        <v>1547</v>
      </c>
      <c r="B957" s="2" t="s">
        <v>6052</v>
      </c>
      <c r="C957" s="2" t="s">
        <v>1110</v>
      </c>
      <c r="D957" s="2" t="s">
        <v>1509</v>
      </c>
      <c r="E957" s="2" t="s">
        <v>96</v>
      </c>
      <c r="F957" s="3">
        <v>10.69</v>
      </c>
      <c r="G957" s="3">
        <v>17.75</v>
      </c>
      <c r="H957" s="2" t="s">
        <v>1156</v>
      </c>
      <c r="I957" s="19">
        <v>3</v>
      </c>
      <c r="J957" s="34">
        <f t="shared" si="56"/>
        <v>2.6099999999999998E-2</v>
      </c>
      <c r="K957" s="34">
        <f t="shared" si="57"/>
        <v>0.04</v>
      </c>
      <c r="L957" s="34">
        <f t="shared" si="58"/>
        <v>0.16</v>
      </c>
      <c r="M957" s="20" t="s">
        <v>4360</v>
      </c>
      <c r="N957" s="20" t="s">
        <v>3891</v>
      </c>
      <c r="O957" s="20" t="s">
        <v>3892</v>
      </c>
      <c r="P957" s="20" t="s">
        <v>3893</v>
      </c>
      <c r="Q957" s="21">
        <v>10.667999999999999</v>
      </c>
      <c r="R957" s="21">
        <v>17.78</v>
      </c>
      <c r="S957" s="21">
        <v>3.556</v>
      </c>
      <c r="T957" s="22">
        <v>0.2</v>
      </c>
      <c r="U957" s="13">
        <f t="shared" si="59"/>
        <v>4.0000000000000008E-2</v>
      </c>
      <c r="V957" s="23">
        <v>24.5</v>
      </c>
      <c r="W957" s="23">
        <v>24.5</v>
      </c>
      <c r="X957" s="20">
        <v>83</v>
      </c>
      <c r="Y957" s="24" t="s">
        <v>3737</v>
      </c>
      <c r="Z957" s="16">
        <v>21.5</v>
      </c>
      <c r="AA957" s="17">
        <v>716.7</v>
      </c>
      <c r="AB957" s="25" t="s">
        <v>3983</v>
      </c>
    </row>
    <row r="958" spans="1:28" x14ac:dyDescent="0.45">
      <c r="A958" s="4" t="s">
        <v>1548</v>
      </c>
      <c r="B958" s="4" t="s">
        <v>6053</v>
      </c>
      <c r="C958" s="4" t="s">
        <v>1110</v>
      </c>
      <c r="D958" s="4" t="s">
        <v>1509</v>
      </c>
      <c r="E958" s="4" t="s">
        <v>96</v>
      </c>
      <c r="F958" s="5">
        <v>10.77</v>
      </c>
      <c r="G958" s="5">
        <v>16.010000000000002</v>
      </c>
      <c r="H958" s="4" t="s">
        <v>1127</v>
      </c>
      <c r="I958" s="10">
        <v>2</v>
      </c>
      <c r="J958" s="34">
        <f t="shared" si="56"/>
        <v>1.7399999999999999E-2</v>
      </c>
      <c r="K958" s="34">
        <f t="shared" si="57"/>
        <v>0.03</v>
      </c>
      <c r="L958" s="34">
        <f t="shared" si="58"/>
        <v>0.12</v>
      </c>
      <c r="M958" s="11" t="s">
        <v>3927</v>
      </c>
      <c r="N958" s="11" t="s">
        <v>3891</v>
      </c>
      <c r="O958" s="11" t="s">
        <v>3892</v>
      </c>
      <c r="P958" s="11" t="s">
        <v>3893</v>
      </c>
      <c r="Q958" s="12">
        <v>11</v>
      </c>
      <c r="R958" s="12">
        <v>16</v>
      </c>
      <c r="S958" s="12">
        <v>2.5</v>
      </c>
      <c r="T958" s="13">
        <v>0.2</v>
      </c>
      <c r="U958" s="13">
        <f t="shared" si="59"/>
        <v>8.0000000000000016E-2</v>
      </c>
      <c r="V958" s="14">
        <v>24.5</v>
      </c>
      <c r="W958" s="14">
        <v>24.5</v>
      </c>
      <c r="X958" s="11">
        <v>747</v>
      </c>
      <c r="Y958" s="15" t="s">
        <v>3713</v>
      </c>
      <c r="Z958" s="16">
        <v>22.5</v>
      </c>
      <c r="AA958" s="17">
        <v>1125</v>
      </c>
      <c r="AB958" s="18" t="s">
        <v>3928</v>
      </c>
    </row>
    <row r="959" spans="1:28" x14ac:dyDescent="0.45">
      <c r="A959" s="2" t="s">
        <v>1549</v>
      </c>
      <c r="B959" s="2" t="s">
        <v>6054</v>
      </c>
      <c r="C959" s="2" t="s">
        <v>1110</v>
      </c>
      <c r="D959" s="2" t="s">
        <v>1509</v>
      </c>
      <c r="E959" s="2" t="s">
        <v>96</v>
      </c>
      <c r="F959" s="3">
        <v>10.82</v>
      </c>
      <c r="G959" s="3">
        <v>14.38</v>
      </c>
      <c r="H959" s="2" t="s">
        <v>1114</v>
      </c>
      <c r="I959" s="19">
        <v>2</v>
      </c>
      <c r="J959" s="34">
        <f t="shared" si="56"/>
        <v>1.7399999999999999E-2</v>
      </c>
      <c r="K959" s="34">
        <f t="shared" si="57"/>
        <v>0.03</v>
      </c>
      <c r="L959" s="34">
        <f t="shared" si="58"/>
        <v>0.12</v>
      </c>
      <c r="M959" s="20" t="s">
        <v>3929</v>
      </c>
      <c r="N959" s="20" t="s">
        <v>3891</v>
      </c>
      <c r="O959" s="20" t="s">
        <v>3892</v>
      </c>
      <c r="P959" s="20" t="s">
        <v>3893</v>
      </c>
      <c r="Q959" s="21">
        <v>11.1</v>
      </c>
      <c r="R959" s="21">
        <v>14.3</v>
      </c>
      <c r="S959" s="21">
        <v>1.6</v>
      </c>
      <c r="T959" s="22">
        <v>0.2</v>
      </c>
      <c r="U959" s="13">
        <f t="shared" si="59"/>
        <v>8.0000000000000016E-2</v>
      </c>
      <c r="V959" s="23">
        <v>24.5</v>
      </c>
      <c r="W959" s="23">
        <v>24.5</v>
      </c>
      <c r="X959" s="20">
        <v>527</v>
      </c>
      <c r="Y959" s="24" t="s">
        <v>3713</v>
      </c>
      <c r="Z959" s="16">
        <v>22.5</v>
      </c>
      <c r="AA959" s="17">
        <v>1125</v>
      </c>
      <c r="AB959" s="25" t="s">
        <v>3930</v>
      </c>
    </row>
    <row r="960" spans="1:28" x14ac:dyDescent="0.45">
      <c r="A960" s="4" t="s">
        <v>1550</v>
      </c>
      <c r="B960" s="4" t="s">
        <v>6055</v>
      </c>
      <c r="C960" s="4" t="s">
        <v>1110</v>
      </c>
      <c r="D960" s="4" t="s">
        <v>1509</v>
      </c>
      <c r="E960" s="4" t="s">
        <v>96</v>
      </c>
      <c r="F960" s="5">
        <v>10.8</v>
      </c>
      <c r="G960" s="5">
        <v>15.6</v>
      </c>
      <c r="H960" s="4" t="s">
        <v>1140</v>
      </c>
      <c r="I960" s="10">
        <v>2</v>
      </c>
      <c r="J960" s="34">
        <f t="shared" si="56"/>
        <v>1.7399999999999999E-2</v>
      </c>
      <c r="K960" s="34">
        <f t="shared" si="57"/>
        <v>0.03</v>
      </c>
      <c r="L960" s="34">
        <f t="shared" si="58"/>
        <v>0.12</v>
      </c>
      <c r="M960" s="11" t="s">
        <v>3931</v>
      </c>
      <c r="N960" s="11" t="s">
        <v>3891</v>
      </c>
      <c r="O960" s="11" t="s">
        <v>3892</v>
      </c>
      <c r="P960" s="11" t="s">
        <v>3893</v>
      </c>
      <c r="Q960" s="12">
        <v>10.8</v>
      </c>
      <c r="R960" s="12">
        <v>15.6</v>
      </c>
      <c r="S960" s="12">
        <v>2.4</v>
      </c>
      <c r="T960" s="13">
        <v>0.2</v>
      </c>
      <c r="U960" s="13">
        <f t="shared" si="59"/>
        <v>8.0000000000000016E-2</v>
      </c>
      <c r="V960" s="14">
        <v>24.5</v>
      </c>
      <c r="W960" s="14">
        <v>24.5</v>
      </c>
      <c r="X960" s="11">
        <v>1396</v>
      </c>
      <c r="Y960" s="15" t="s">
        <v>3713</v>
      </c>
      <c r="Z960" s="16">
        <v>22.5</v>
      </c>
      <c r="AA960" s="17">
        <v>1125</v>
      </c>
      <c r="AB960" s="18" t="s">
        <v>3714</v>
      </c>
    </row>
    <row r="961" spans="1:28" x14ac:dyDescent="0.45">
      <c r="A961" s="2" t="s">
        <v>1551</v>
      </c>
      <c r="B961" s="2" t="s">
        <v>6056</v>
      </c>
      <c r="C961" s="2" t="s">
        <v>1110</v>
      </c>
      <c r="D961" s="2" t="s">
        <v>1509</v>
      </c>
      <c r="E961" s="2" t="s">
        <v>96</v>
      </c>
      <c r="F961" s="3">
        <v>10.9</v>
      </c>
      <c r="G961" s="3">
        <v>15.5</v>
      </c>
      <c r="H961" s="2" t="s">
        <v>1523</v>
      </c>
      <c r="I961" s="19">
        <v>2</v>
      </c>
      <c r="J961" s="34">
        <f t="shared" si="56"/>
        <v>1.7399999999999999E-2</v>
      </c>
      <c r="K961" s="34">
        <f t="shared" si="57"/>
        <v>0.03</v>
      </c>
      <c r="L961" s="34">
        <f t="shared" si="58"/>
        <v>0.12</v>
      </c>
      <c r="M961" s="20" t="s">
        <v>3931</v>
      </c>
      <c r="N961" s="20" t="s">
        <v>3891</v>
      </c>
      <c r="O961" s="20" t="s">
        <v>3892</v>
      </c>
      <c r="P961" s="20" t="s">
        <v>3893</v>
      </c>
      <c r="Q961" s="21">
        <v>10.8</v>
      </c>
      <c r="R961" s="21">
        <v>15.6</v>
      </c>
      <c r="S961" s="21">
        <v>2.4</v>
      </c>
      <c r="T961" s="22">
        <v>0.2</v>
      </c>
      <c r="U961" s="13">
        <f t="shared" si="59"/>
        <v>8.0000000000000016E-2</v>
      </c>
      <c r="V961" s="23">
        <v>24.5</v>
      </c>
      <c r="W961" s="23">
        <v>24.5</v>
      </c>
      <c r="X961" s="20">
        <v>1396</v>
      </c>
      <c r="Y961" s="24" t="s">
        <v>3713</v>
      </c>
      <c r="Z961" s="16">
        <v>22.5</v>
      </c>
      <c r="AA961" s="17">
        <v>1125</v>
      </c>
      <c r="AB961" s="25" t="s">
        <v>4119</v>
      </c>
    </row>
    <row r="962" spans="1:28" x14ac:dyDescent="0.45">
      <c r="A962" s="4" t="s">
        <v>1552</v>
      </c>
      <c r="B962" s="4" t="s">
        <v>6057</v>
      </c>
      <c r="C962" s="4" t="s">
        <v>1110</v>
      </c>
      <c r="D962" s="4" t="s">
        <v>1509</v>
      </c>
      <c r="E962" s="4" t="s">
        <v>96</v>
      </c>
      <c r="F962" s="5">
        <v>10</v>
      </c>
      <c r="G962" s="5">
        <v>14</v>
      </c>
      <c r="H962" s="4" t="s">
        <v>1122</v>
      </c>
      <c r="I962" s="10">
        <v>2</v>
      </c>
      <c r="J962" s="34">
        <f t="shared" si="56"/>
        <v>1.7399999999999999E-2</v>
      </c>
      <c r="K962" s="34">
        <f t="shared" si="57"/>
        <v>0.03</v>
      </c>
      <c r="L962" s="34">
        <f t="shared" si="58"/>
        <v>0.12</v>
      </c>
      <c r="M962" s="11" t="s">
        <v>4361</v>
      </c>
      <c r="N962" s="11" t="s">
        <v>3898</v>
      </c>
      <c r="O962" s="11" t="s">
        <v>3892</v>
      </c>
      <c r="P962" s="11" t="s">
        <v>3899</v>
      </c>
      <c r="Q962" s="12">
        <v>10</v>
      </c>
      <c r="R962" s="12">
        <v>14</v>
      </c>
      <c r="S962" s="12">
        <v>2</v>
      </c>
      <c r="T962" s="13">
        <v>0.3</v>
      </c>
      <c r="U962" s="13">
        <f t="shared" si="59"/>
        <v>0.18</v>
      </c>
      <c r="V962" s="14">
        <v>36.75</v>
      </c>
      <c r="W962" s="14">
        <v>36.75</v>
      </c>
      <c r="X962" s="11" t="s">
        <v>3722</v>
      </c>
      <c r="Y962" s="15" t="s">
        <v>3713</v>
      </c>
      <c r="Z962" s="16">
        <v>34.75</v>
      </c>
      <c r="AA962" s="17">
        <v>1737.5</v>
      </c>
      <c r="AB962" s="18" t="s">
        <v>3714</v>
      </c>
    </row>
    <row r="963" spans="1:28" x14ac:dyDescent="0.45">
      <c r="A963" s="2" t="s">
        <v>1553</v>
      </c>
      <c r="B963" s="2" t="s">
        <v>6058</v>
      </c>
      <c r="C963" s="2" t="s">
        <v>1110</v>
      </c>
      <c r="D963" s="2" t="s">
        <v>1509</v>
      </c>
      <c r="E963" s="2" t="s">
        <v>96</v>
      </c>
      <c r="F963" s="3">
        <v>10</v>
      </c>
      <c r="G963" s="3">
        <v>14.4</v>
      </c>
      <c r="H963" s="2" t="s">
        <v>1554</v>
      </c>
      <c r="I963" s="19">
        <v>2</v>
      </c>
      <c r="J963" s="34">
        <f t="shared" si="56"/>
        <v>1.7399999999999999E-2</v>
      </c>
      <c r="K963" s="34">
        <f t="shared" si="57"/>
        <v>0.03</v>
      </c>
      <c r="L963" s="34">
        <f t="shared" si="58"/>
        <v>0.12</v>
      </c>
      <c r="M963" s="20" t="s">
        <v>4362</v>
      </c>
      <c r="N963" s="20" t="s">
        <v>3891</v>
      </c>
      <c r="O963" s="20" t="s">
        <v>3892</v>
      </c>
      <c r="P963" s="20" t="s">
        <v>3893</v>
      </c>
      <c r="Q963" s="21">
        <v>10</v>
      </c>
      <c r="R963" s="21">
        <v>14.4</v>
      </c>
      <c r="S963" s="21">
        <v>2.2000000000000002</v>
      </c>
      <c r="T963" s="22">
        <v>0.2</v>
      </c>
      <c r="U963" s="13">
        <f t="shared" si="59"/>
        <v>8.0000000000000016E-2</v>
      </c>
      <c r="V963" s="23">
        <v>24.5</v>
      </c>
      <c r="W963" s="23">
        <v>24.5</v>
      </c>
      <c r="X963" s="20">
        <v>1404</v>
      </c>
      <c r="Y963" s="24" t="s">
        <v>3713</v>
      </c>
      <c r="Z963" s="16">
        <v>22.5</v>
      </c>
      <c r="AA963" s="17">
        <v>1125</v>
      </c>
      <c r="AB963" s="25" t="s">
        <v>3714</v>
      </c>
    </row>
    <row r="964" spans="1:28" x14ac:dyDescent="0.45">
      <c r="A964" s="4" t="s">
        <v>1555</v>
      </c>
      <c r="B964" s="4" t="s">
        <v>6059</v>
      </c>
      <c r="C964" s="4" t="s">
        <v>1110</v>
      </c>
      <c r="D964" s="4" t="s">
        <v>1509</v>
      </c>
      <c r="E964" s="4" t="s">
        <v>96</v>
      </c>
      <c r="F964" s="5">
        <v>10</v>
      </c>
      <c r="G964" s="5">
        <v>15</v>
      </c>
      <c r="H964" s="4" t="s">
        <v>1135</v>
      </c>
      <c r="I964" s="10">
        <v>2</v>
      </c>
      <c r="J964" s="34">
        <f t="shared" si="56"/>
        <v>1.7399999999999999E-2</v>
      </c>
      <c r="K964" s="34">
        <f t="shared" si="57"/>
        <v>0.03</v>
      </c>
      <c r="L964" s="34">
        <f t="shared" si="58"/>
        <v>0.12</v>
      </c>
      <c r="M964" s="11" t="s">
        <v>3932</v>
      </c>
      <c r="N964" s="11" t="s">
        <v>3898</v>
      </c>
      <c r="O964" s="11" t="s">
        <v>3892</v>
      </c>
      <c r="P964" s="11" t="s">
        <v>3899</v>
      </c>
      <c r="Q964" s="12">
        <v>10</v>
      </c>
      <c r="R964" s="12">
        <v>15</v>
      </c>
      <c r="S964" s="12">
        <v>2.5</v>
      </c>
      <c r="T964" s="13">
        <v>0.25</v>
      </c>
      <c r="U964" s="13">
        <f t="shared" si="59"/>
        <v>0.13</v>
      </c>
      <c r="V964" s="14">
        <v>30.62</v>
      </c>
      <c r="W964" s="14">
        <v>30.62</v>
      </c>
      <c r="X964" s="11">
        <v>57</v>
      </c>
      <c r="Y964" s="15" t="s">
        <v>3713</v>
      </c>
      <c r="Z964" s="16">
        <v>28.62</v>
      </c>
      <c r="AA964" s="17">
        <v>1431</v>
      </c>
      <c r="AB964" s="18" t="s">
        <v>3714</v>
      </c>
    </row>
    <row r="965" spans="1:28" x14ac:dyDescent="0.45">
      <c r="A965" s="2" t="s">
        <v>1556</v>
      </c>
      <c r="B965" s="2" t="s">
        <v>6060</v>
      </c>
      <c r="C965" s="2" t="s">
        <v>1110</v>
      </c>
      <c r="D965" s="2" t="s">
        <v>1509</v>
      </c>
      <c r="E965" s="2" t="s">
        <v>96</v>
      </c>
      <c r="F965" s="3">
        <v>11.8</v>
      </c>
      <c r="G965" s="3">
        <v>15.6</v>
      </c>
      <c r="H965" s="2" t="s">
        <v>1112</v>
      </c>
      <c r="I965" s="19">
        <v>2</v>
      </c>
      <c r="J965" s="34">
        <f t="shared" ref="J965:J1028" si="60">I965*0.0087</f>
        <v>1.7399999999999999E-2</v>
      </c>
      <c r="K965" s="34">
        <f t="shared" ref="K965:K1028" si="61">ROUND(J965*1.5,2)</f>
        <v>0.03</v>
      </c>
      <c r="L965" s="34">
        <f t="shared" ref="L965:L1028" si="62">K965*4</f>
        <v>0.12</v>
      </c>
      <c r="M965" s="20" t="s">
        <v>4363</v>
      </c>
      <c r="N965" s="20" t="s">
        <v>3891</v>
      </c>
      <c r="O965" s="20" t="s">
        <v>3892</v>
      </c>
      <c r="P965" s="20" t="s">
        <v>3893</v>
      </c>
      <c r="Q965" s="21">
        <v>11.8</v>
      </c>
      <c r="R965" s="21">
        <v>15.4</v>
      </c>
      <c r="S965" s="21">
        <v>1.8</v>
      </c>
      <c r="T965" s="22">
        <v>0.2</v>
      </c>
      <c r="U965" s="13">
        <f t="shared" ref="U965:U1028" si="63">T965-L965</f>
        <v>8.0000000000000016E-2</v>
      </c>
      <c r="V965" s="23">
        <v>24.5</v>
      </c>
      <c r="W965" s="23">
        <v>24.5</v>
      </c>
      <c r="X965" s="20">
        <v>1421</v>
      </c>
      <c r="Y965" s="24" t="s">
        <v>3713</v>
      </c>
      <c r="Z965" s="16">
        <v>22.5</v>
      </c>
      <c r="AA965" s="17">
        <v>1125</v>
      </c>
      <c r="AB965" s="25" t="s">
        <v>3793</v>
      </c>
    </row>
    <row r="966" spans="1:28" x14ac:dyDescent="0.45">
      <c r="A966" s="4" t="s">
        <v>1557</v>
      </c>
      <c r="B966" s="4" t="s">
        <v>6061</v>
      </c>
      <c r="C966" s="4" t="s">
        <v>1110</v>
      </c>
      <c r="D966" s="4" t="s">
        <v>1509</v>
      </c>
      <c r="E966" s="4" t="s">
        <v>96</v>
      </c>
      <c r="F966" s="5">
        <v>11.8</v>
      </c>
      <c r="G966" s="5">
        <v>16.600000000000001</v>
      </c>
      <c r="H966" s="4" t="s">
        <v>1140</v>
      </c>
      <c r="I966" s="10">
        <v>3</v>
      </c>
      <c r="J966" s="34">
        <f t="shared" si="60"/>
        <v>2.6099999999999998E-2</v>
      </c>
      <c r="K966" s="34">
        <f t="shared" si="61"/>
        <v>0.04</v>
      </c>
      <c r="L966" s="34">
        <f t="shared" si="62"/>
        <v>0.16</v>
      </c>
      <c r="M966" s="11" t="s">
        <v>4364</v>
      </c>
      <c r="N966" s="11" t="s">
        <v>3891</v>
      </c>
      <c r="O966" s="11" t="s">
        <v>3892</v>
      </c>
      <c r="P966" s="11" t="s">
        <v>3893</v>
      </c>
      <c r="Q966" s="12">
        <v>11.8</v>
      </c>
      <c r="R966" s="12">
        <v>16.600000000000001</v>
      </c>
      <c r="S966" s="12">
        <v>2.4</v>
      </c>
      <c r="T966" s="13">
        <v>0.2</v>
      </c>
      <c r="U966" s="13">
        <f t="shared" si="63"/>
        <v>4.0000000000000008E-2</v>
      </c>
      <c r="V966" s="14">
        <v>24.5</v>
      </c>
      <c r="W966" s="14">
        <v>24.5</v>
      </c>
      <c r="X966" s="11">
        <v>88</v>
      </c>
      <c r="Y966" s="15" t="s">
        <v>3713</v>
      </c>
      <c r="Z966" s="16">
        <v>21.5</v>
      </c>
      <c r="AA966" s="17">
        <v>716.7</v>
      </c>
      <c r="AB966" s="18" t="s">
        <v>3714</v>
      </c>
    </row>
    <row r="967" spans="1:28" x14ac:dyDescent="0.45">
      <c r="A967" s="2" t="s">
        <v>1558</v>
      </c>
      <c r="B967" s="2" t="s">
        <v>6062</v>
      </c>
      <c r="C967" s="2" t="s">
        <v>1110</v>
      </c>
      <c r="D967" s="2" t="s">
        <v>1509</v>
      </c>
      <c r="E967" s="2" t="s">
        <v>96</v>
      </c>
      <c r="F967" s="3">
        <v>11</v>
      </c>
      <c r="G967" s="3">
        <v>13.6</v>
      </c>
      <c r="H967" s="2" t="s">
        <v>1559</v>
      </c>
      <c r="I967" s="19">
        <v>3</v>
      </c>
      <c r="J967" s="34">
        <f t="shared" si="60"/>
        <v>2.6099999999999998E-2</v>
      </c>
      <c r="K967" s="34">
        <f t="shared" si="61"/>
        <v>0.04</v>
      </c>
      <c r="L967" s="34">
        <f t="shared" si="62"/>
        <v>0.16</v>
      </c>
      <c r="M967" s="20" t="s">
        <v>4365</v>
      </c>
      <c r="N967" s="20" t="s">
        <v>3891</v>
      </c>
      <c r="O967" s="20" t="s">
        <v>3892</v>
      </c>
      <c r="P967" s="20" t="s">
        <v>3893</v>
      </c>
      <c r="Q967" s="21">
        <v>11</v>
      </c>
      <c r="R967" s="21">
        <v>13.6</v>
      </c>
      <c r="S967" s="21">
        <v>1.3</v>
      </c>
      <c r="T967" s="22">
        <v>0.2</v>
      </c>
      <c r="U967" s="13">
        <f t="shared" si="63"/>
        <v>4.0000000000000008E-2</v>
      </c>
      <c r="V967" s="23">
        <v>24.5</v>
      </c>
      <c r="W967" s="23">
        <v>24.5</v>
      </c>
      <c r="X967" s="20">
        <v>4547</v>
      </c>
      <c r="Y967" s="24" t="s">
        <v>3713</v>
      </c>
      <c r="Z967" s="16">
        <v>21.5</v>
      </c>
      <c r="AA967" s="17">
        <v>716.7</v>
      </c>
      <c r="AB967" s="25" t="s">
        <v>3714</v>
      </c>
    </row>
    <row r="968" spans="1:28" x14ac:dyDescent="0.45">
      <c r="A968" s="4" t="s">
        <v>1560</v>
      </c>
      <c r="B968" s="4" t="s">
        <v>6063</v>
      </c>
      <c r="C968" s="4" t="s">
        <v>1110</v>
      </c>
      <c r="D968" s="4" t="s">
        <v>1509</v>
      </c>
      <c r="E968" s="4" t="s">
        <v>96</v>
      </c>
      <c r="F968" s="5">
        <v>11</v>
      </c>
      <c r="G968" s="5">
        <v>14</v>
      </c>
      <c r="H968" s="4" t="s">
        <v>1120</v>
      </c>
      <c r="I968" s="10">
        <v>2</v>
      </c>
      <c r="J968" s="34">
        <f t="shared" si="60"/>
        <v>1.7399999999999999E-2</v>
      </c>
      <c r="K968" s="34">
        <f t="shared" si="61"/>
        <v>0.03</v>
      </c>
      <c r="L968" s="34">
        <f t="shared" si="62"/>
        <v>0.12</v>
      </c>
      <c r="M968" s="11" t="s">
        <v>4366</v>
      </c>
      <c r="N968" s="11" t="s">
        <v>3891</v>
      </c>
      <c r="O968" s="11" t="s">
        <v>3892</v>
      </c>
      <c r="P968" s="11" t="s">
        <v>3893</v>
      </c>
      <c r="Q968" s="12">
        <v>11</v>
      </c>
      <c r="R968" s="12">
        <v>14</v>
      </c>
      <c r="S968" s="12">
        <v>1.5</v>
      </c>
      <c r="T968" s="13">
        <v>0.2</v>
      </c>
      <c r="U968" s="13">
        <f t="shared" si="63"/>
        <v>8.0000000000000016E-2</v>
      </c>
      <c r="V968" s="14">
        <v>24.5</v>
      </c>
      <c r="W968" s="14">
        <v>24.5</v>
      </c>
      <c r="X968" s="11">
        <v>225</v>
      </c>
      <c r="Y968" s="15" t="s">
        <v>3713</v>
      </c>
      <c r="Z968" s="16">
        <v>22.5</v>
      </c>
      <c r="AA968" s="17">
        <v>1125</v>
      </c>
      <c r="AB968" s="18" t="s">
        <v>3714</v>
      </c>
    </row>
    <row r="969" spans="1:28" x14ac:dyDescent="0.45">
      <c r="A969" s="2" t="s">
        <v>1561</v>
      </c>
      <c r="B969" s="2" t="s">
        <v>6064</v>
      </c>
      <c r="C969" s="2" t="s">
        <v>1110</v>
      </c>
      <c r="D969" s="2" t="s">
        <v>1509</v>
      </c>
      <c r="E969" s="2" t="s">
        <v>96</v>
      </c>
      <c r="F969" s="3">
        <v>11</v>
      </c>
      <c r="G969" s="3">
        <v>15</v>
      </c>
      <c r="H969" s="2" t="s">
        <v>1122</v>
      </c>
      <c r="I969" s="19">
        <v>2</v>
      </c>
      <c r="J969" s="34">
        <f t="shared" si="60"/>
        <v>1.7399999999999999E-2</v>
      </c>
      <c r="K969" s="34">
        <f t="shared" si="61"/>
        <v>0.03</v>
      </c>
      <c r="L969" s="34">
        <f t="shared" si="62"/>
        <v>0.12</v>
      </c>
      <c r="M969" s="20" t="s">
        <v>4367</v>
      </c>
      <c r="N969" s="20" t="s">
        <v>3898</v>
      </c>
      <c r="O969" s="20" t="s">
        <v>3892</v>
      </c>
      <c r="P969" s="20" t="s">
        <v>3899</v>
      </c>
      <c r="Q969" s="21">
        <v>11</v>
      </c>
      <c r="R969" s="21">
        <v>15</v>
      </c>
      <c r="S969" s="21">
        <v>2</v>
      </c>
      <c r="T969" s="22">
        <v>0.7</v>
      </c>
      <c r="U969" s="13">
        <f t="shared" si="63"/>
        <v>0.57999999999999996</v>
      </c>
      <c r="V969" s="23">
        <v>85.75</v>
      </c>
      <c r="W969" s="23">
        <v>85.75</v>
      </c>
      <c r="X969" s="20">
        <v>434</v>
      </c>
      <c r="Y969" s="24" t="s">
        <v>3713</v>
      </c>
      <c r="Z969" s="16">
        <v>83.75</v>
      </c>
      <c r="AA969" s="17">
        <v>4187.5</v>
      </c>
      <c r="AB969" s="25" t="s">
        <v>3714</v>
      </c>
    </row>
    <row r="970" spans="1:28" x14ac:dyDescent="0.45">
      <c r="A970" s="4" t="s">
        <v>1562</v>
      </c>
      <c r="B970" s="4" t="s">
        <v>6065</v>
      </c>
      <c r="C970" s="4" t="s">
        <v>1110</v>
      </c>
      <c r="D970" s="4" t="s">
        <v>1509</v>
      </c>
      <c r="E970" s="4" t="s">
        <v>96</v>
      </c>
      <c r="F970" s="5">
        <v>11</v>
      </c>
      <c r="G970" s="5">
        <v>16</v>
      </c>
      <c r="H970" s="4" t="s">
        <v>1135</v>
      </c>
      <c r="I970" s="10">
        <v>2</v>
      </c>
      <c r="J970" s="34">
        <f t="shared" si="60"/>
        <v>1.7399999999999999E-2</v>
      </c>
      <c r="K970" s="34">
        <f t="shared" si="61"/>
        <v>0.03</v>
      </c>
      <c r="L970" s="34">
        <f t="shared" si="62"/>
        <v>0.12</v>
      </c>
      <c r="M970" s="11" t="s">
        <v>3927</v>
      </c>
      <c r="N970" s="11" t="s">
        <v>3891</v>
      </c>
      <c r="O970" s="11" t="s">
        <v>3892</v>
      </c>
      <c r="P970" s="11" t="s">
        <v>3893</v>
      </c>
      <c r="Q970" s="12">
        <v>11</v>
      </c>
      <c r="R970" s="12">
        <v>16</v>
      </c>
      <c r="S970" s="12">
        <v>2.5</v>
      </c>
      <c r="T970" s="13">
        <v>0.2</v>
      </c>
      <c r="U970" s="13">
        <f t="shared" si="63"/>
        <v>8.0000000000000016E-2</v>
      </c>
      <c r="V970" s="14">
        <v>24.5</v>
      </c>
      <c r="W970" s="14">
        <v>24.5</v>
      </c>
      <c r="X970" s="11">
        <v>747</v>
      </c>
      <c r="Y970" s="15" t="s">
        <v>3713</v>
      </c>
      <c r="Z970" s="16">
        <v>22.5</v>
      </c>
      <c r="AA970" s="17">
        <v>1125</v>
      </c>
      <c r="AB970" s="18" t="s">
        <v>3714</v>
      </c>
    </row>
    <row r="971" spans="1:28" x14ac:dyDescent="0.45">
      <c r="A971" s="2" t="s">
        <v>1563</v>
      </c>
      <c r="B971" s="2" t="s">
        <v>6066</v>
      </c>
      <c r="C971" s="2" t="s">
        <v>1110</v>
      </c>
      <c r="D971" s="2" t="s">
        <v>1509</v>
      </c>
      <c r="E971" s="2" t="s">
        <v>96</v>
      </c>
      <c r="F971" s="3">
        <v>12.29</v>
      </c>
      <c r="G971" s="3">
        <v>19.350000000000001</v>
      </c>
      <c r="H971" s="2" t="s">
        <v>1156</v>
      </c>
      <c r="I971" s="19">
        <v>3</v>
      </c>
      <c r="J971" s="34">
        <f t="shared" si="60"/>
        <v>2.6099999999999998E-2</v>
      </c>
      <c r="K971" s="34">
        <f t="shared" si="61"/>
        <v>0.04</v>
      </c>
      <c r="L971" s="34">
        <f t="shared" si="62"/>
        <v>0.16</v>
      </c>
      <c r="M971" s="20" t="s">
        <v>4368</v>
      </c>
      <c r="N971" s="20" t="s">
        <v>3891</v>
      </c>
      <c r="O971" s="20" t="s">
        <v>3892</v>
      </c>
      <c r="P971" s="20" t="s">
        <v>3893</v>
      </c>
      <c r="Q971" s="21">
        <v>12.192</v>
      </c>
      <c r="R971" s="21">
        <v>19.303999999999998</v>
      </c>
      <c r="S971" s="21">
        <v>3.556</v>
      </c>
      <c r="T971" s="22">
        <v>0.2</v>
      </c>
      <c r="U971" s="13">
        <f t="shared" si="63"/>
        <v>4.0000000000000008E-2</v>
      </c>
      <c r="V971" s="23">
        <v>24.5</v>
      </c>
      <c r="W971" s="23">
        <v>24.5</v>
      </c>
      <c r="X971" s="20">
        <v>610</v>
      </c>
      <c r="Y971" s="24" t="s">
        <v>3737</v>
      </c>
      <c r="Z971" s="16">
        <v>21.5</v>
      </c>
      <c r="AA971" s="17">
        <v>716.7</v>
      </c>
      <c r="AB971" s="25" t="s">
        <v>3963</v>
      </c>
    </row>
    <row r="972" spans="1:28" x14ac:dyDescent="0.45">
      <c r="A972" s="4" t="s">
        <v>1564</v>
      </c>
      <c r="B972" s="4" t="s">
        <v>6067</v>
      </c>
      <c r="C972" s="4" t="s">
        <v>1110</v>
      </c>
      <c r="D972" s="4" t="s">
        <v>1509</v>
      </c>
      <c r="E972" s="4" t="s">
        <v>96</v>
      </c>
      <c r="F972" s="5">
        <v>12.37</v>
      </c>
      <c r="G972" s="5">
        <v>17.61</v>
      </c>
      <c r="H972" s="4" t="s">
        <v>1127</v>
      </c>
      <c r="I972" s="10">
        <v>2</v>
      </c>
      <c r="J972" s="34">
        <f t="shared" si="60"/>
        <v>1.7399999999999999E-2</v>
      </c>
      <c r="K972" s="34">
        <f t="shared" si="61"/>
        <v>0.03</v>
      </c>
      <c r="L972" s="34">
        <f t="shared" si="62"/>
        <v>0.12</v>
      </c>
      <c r="M972" s="11" t="s">
        <v>3933</v>
      </c>
      <c r="N972" s="11" t="s">
        <v>3891</v>
      </c>
      <c r="O972" s="11" t="s">
        <v>3892</v>
      </c>
      <c r="P972" s="11" t="s">
        <v>3893</v>
      </c>
      <c r="Q972" s="12">
        <v>12.5</v>
      </c>
      <c r="R972" s="12">
        <v>17.5</v>
      </c>
      <c r="S972" s="12">
        <v>2.5</v>
      </c>
      <c r="T972" s="13">
        <v>0.2</v>
      </c>
      <c r="U972" s="13">
        <f t="shared" si="63"/>
        <v>8.0000000000000016E-2</v>
      </c>
      <c r="V972" s="14">
        <v>24.5</v>
      </c>
      <c r="W972" s="14">
        <v>24.5</v>
      </c>
      <c r="X972" s="11">
        <v>547</v>
      </c>
      <c r="Y972" s="15" t="s">
        <v>3713</v>
      </c>
      <c r="Z972" s="16">
        <v>22.5</v>
      </c>
      <c r="AA972" s="17">
        <v>1125</v>
      </c>
      <c r="AB972" s="18" t="s">
        <v>3934</v>
      </c>
    </row>
    <row r="973" spans="1:28" x14ac:dyDescent="0.45">
      <c r="A973" s="2" t="s">
        <v>1565</v>
      </c>
      <c r="B973" s="2" t="s">
        <v>6068</v>
      </c>
      <c r="C973" s="2" t="s">
        <v>1110</v>
      </c>
      <c r="D973" s="2" t="s">
        <v>1509</v>
      </c>
      <c r="E973" s="2" t="s">
        <v>96</v>
      </c>
      <c r="F973" s="3">
        <v>12.3</v>
      </c>
      <c r="G973" s="3">
        <v>17.100000000000001</v>
      </c>
      <c r="H973" s="2" t="s">
        <v>1140</v>
      </c>
      <c r="I973" s="19">
        <v>3</v>
      </c>
      <c r="J973" s="34">
        <f t="shared" si="60"/>
        <v>2.6099999999999998E-2</v>
      </c>
      <c r="K973" s="34">
        <f t="shared" si="61"/>
        <v>0.04</v>
      </c>
      <c r="L973" s="34">
        <f t="shared" si="62"/>
        <v>0.16</v>
      </c>
      <c r="M973" s="20" t="s">
        <v>4369</v>
      </c>
      <c r="N973" s="20" t="s">
        <v>3891</v>
      </c>
      <c r="O973" s="20" t="s">
        <v>3892</v>
      </c>
      <c r="P973" s="20" t="s">
        <v>3893</v>
      </c>
      <c r="Q973" s="21">
        <v>12.3</v>
      </c>
      <c r="R973" s="21">
        <v>17.100000000000001</v>
      </c>
      <c r="S973" s="21">
        <v>2.4</v>
      </c>
      <c r="T973" s="22">
        <v>0.2</v>
      </c>
      <c r="U973" s="13">
        <f t="shared" si="63"/>
        <v>4.0000000000000008E-2</v>
      </c>
      <c r="V973" s="23">
        <v>24.5</v>
      </c>
      <c r="W973" s="23">
        <v>24.5</v>
      </c>
      <c r="X973" s="20">
        <v>13</v>
      </c>
      <c r="Y973" s="24" t="s">
        <v>3713</v>
      </c>
      <c r="Z973" s="16">
        <v>21.5</v>
      </c>
      <c r="AA973" s="17">
        <v>716.7</v>
      </c>
      <c r="AB973" s="25" t="s">
        <v>3714</v>
      </c>
    </row>
    <row r="974" spans="1:28" x14ac:dyDescent="0.45">
      <c r="A974" s="4" t="s">
        <v>1566</v>
      </c>
      <c r="B974" s="4" t="s">
        <v>6069</v>
      </c>
      <c r="C974" s="4" t="s">
        <v>1110</v>
      </c>
      <c r="D974" s="4" t="s">
        <v>1509</v>
      </c>
      <c r="E974" s="4" t="s">
        <v>96</v>
      </c>
      <c r="F974" s="5">
        <v>12.42</v>
      </c>
      <c r="G974" s="5">
        <v>15.98</v>
      </c>
      <c r="H974" s="4" t="s">
        <v>1114</v>
      </c>
      <c r="I974" s="10">
        <v>2</v>
      </c>
      <c r="J974" s="34">
        <f t="shared" si="60"/>
        <v>1.7399999999999999E-2</v>
      </c>
      <c r="K974" s="34">
        <f t="shared" si="61"/>
        <v>0.03</v>
      </c>
      <c r="L974" s="34">
        <f t="shared" si="62"/>
        <v>0.12</v>
      </c>
      <c r="M974" s="11" t="s">
        <v>3935</v>
      </c>
      <c r="N974" s="11" t="s">
        <v>3891</v>
      </c>
      <c r="O974" s="11" t="s">
        <v>3892</v>
      </c>
      <c r="P974" s="11" t="s">
        <v>3893</v>
      </c>
      <c r="Q974" s="12">
        <v>12.5</v>
      </c>
      <c r="R974" s="12">
        <v>16.100000000000001</v>
      </c>
      <c r="S974" s="12">
        <v>1.8</v>
      </c>
      <c r="T974" s="13">
        <v>0.2</v>
      </c>
      <c r="U974" s="13">
        <f t="shared" si="63"/>
        <v>8.0000000000000016E-2</v>
      </c>
      <c r="V974" s="14">
        <v>24.5</v>
      </c>
      <c r="W974" s="14">
        <v>24.5</v>
      </c>
      <c r="X974" s="11">
        <v>2136</v>
      </c>
      <c r="Y974" s="15" t="s">
        <v>3713</v>
      </c>
      <c r="Z974" s="16">
        <v>22.5</v>
      </c>
      <c r="AA974" s="17">
        <v>1125</v>
      </c>
      <c r="AB974" s="18" t="s">
        <v>3936</v>
      </c>
    </row>
    <row r="975" spans="1:28" x14ac:dyDescent="0.45">
      <c r="A975" s="2" t="s">
        <v>1567</v>
      </c>
      <c r="B975" s="2" t="s">
        <v>6070</v>
      </c>
      <c r="C975" s="2" t="s">
        <v>1110</v>
      </c>
      <c r="D975" s="2" t="s">
        <v>1509</v>
      </c>
      <c r="E975" s="2" t="s">
        <v>96</v>
      </c>
      <c r="F975" s="3">
        <v>12</v>
      </c>
      <c r="G975" s="3">
        <v>15</v>
      </c>
      <c r="H975" s="2" t="s">
        <v>1120</v>
      </c>
      <c r="I975" s="19">
        <v>2</v>
      </c>
      <c r="J975" s="34">
        <f t="shared" si="60"/>
        <v>1.7399999999999999E-2</v>
      </c>
      <c r="K975" s="34">
        <f t="shared" si="61"/>
        <v>0.03</v>
      </c>
      <c r="L975" s="34">
        <f t="shared" si="62"/>
        <v>0.12</v>
      </c>
      <c r="M975" s="20" t="s">
        <v>4370</v>
      </c>
      <c r="N975" s="20" t="s">
        <v>3891</v>
      </c>
      <c r="O975" s="20" t="s">
        <v>3892</v>
      </c>
      <c r="P975" s="20" t="s">
        <v>3893</v>
      </c>
      <c r="Q975" s="21">
        <v>12</v>
      </c>
      <c r="R975" s="21">
        <v>15</v>
      </c>
      <c r="S975" s="21">
        <v>1.5</v>
      </c>
      <c r="T975" s="22">
        <v>0.2</v>
      </c>
      <c r="U975" s="13">
        <f t="shared" si="63"/>
        <v>8.0000000000000016E-2</v>
      </c>
      <c r="V975" s="23">
        <v>24.5</v>
      </c>
      <c r="W975" s="23">
        <v>24.5</v>
      </c>
      <c r="X975" s="20">
        <v>311</v>
      </c>
      <c r="Y975" s="24" t="s">
        <v>3713</v>
      </c>
      <c r="Z975" s="16">
        <v>22.5</v>
      </c>
      <c r="AA975" s="17">
        <v>1125</v>
      </c>
      <c r="AB975" s="25" t="s">
        <v>3714</v>
      </c>
    </row>
    <row r="976" spans="1:28" x14ac:dyDescent="0.45">
      <c r="A976" s="4" t="s">
        <v>1568</v>
      </c>
      <c r="B976" s="4" t="s">
        <v>6071</v>
      </c>
      <c r="C976" s="4" t="s">
        <v>1110</v>
      </c>
      <c r="D976" s="4" t="s">
        <v>1509</v>
      </c>
      <c r="E976" s="4" t="s">
        <v>96</v>
      </c>
      <c r="F976" s="5">
        <v>12</v>
      </c>
      <c r="G976" s="5">
        <v>16</v>
      </c>
      <c r="H976" s="4" t="s">
        <v>1122</v>
      </c>
      <c r="I976" s="10">
        <v>2</v>
      </c>
      <c r="J976" s="34">
        <f t="shared" si="60"/>
        <v>1.7399999999999999E-2</v>
      </c>
      <c r="K976" s="34">
        <f t="shared" si="61"/>
        <v>0.03</v>
      </c>
      <c r="L976" s="34">
        <f t="shared" si="62"/>
        <v>0.12</v>
      </c>
      <c r="M976" s="11" t="s">
        <v>3937</v>
      </c>
      <c r="N976" s="11" t="s">
        <v>3898</v>
      </c>
      <c r="O976" s="11" t="s">
        <v>3892</v>
      </c>
      <c r="P976" s="11" t="s">
        <v>3899</v>
      </c>
      <c r="Q976" s="12">
        <v>12</v>
      </c>
      <c r="R976" s="12">
        <v>16</v>
      </c>
      <c r="S976" s="12">
        <v>2</v>
      </c>
      <c r="T976" s="13">
        <v>0.2</v>
      </c>
      <c r="U976" s="13">
        <f t="shared" si="63"/>
        <v>8.0000000000000016E-2</v>
      </c>
      <c r="V976" s="14">
        <v>24.5</v>
      </c>
      <c r="W976" s="14">
        <v>24.5</v>
      </c>
      <c r="X976" s="11">
        <v>128</v>
      </c>
      <c r="Y976" s="15" t="s">
        <v>3713</v>
      </c>
      <c r="Z976" s="16">
        <v>22.5</v>
      </c>
      <c r="AA976" s="17">
        <v>1125</v>
      </c>
      <c r="AB976" s="18" t="s">
        <v>3714</v>
      </c>
    </row>
    <row r="977" spans="1:28" x14ac:dyDescent="0.45">
      <c r="A977" s="2" t="s">
        <v>1569</v>
      </c>
      <c r="B977" s="2" t="s">
        <v>6072</v>
      </c>
      <c r="C977" s="2" t="s">
        <v>1110</v>
      </c>
      <c r="D977" s="2" t="s">
        <v>1509</v>
      </c>
      <c r="E977" s="2" t="s">
        <v>96</v>
      </c>
      <c r="F977" s="3">
        <v>12</v>
      </c>
      <c r="G977" s="3">
        <v>17</v>
      </c>
      <c r="H977" s="2" t="s">
        <v>1135</v>
      </c>
      <c r="I977" s="19">
        <v>2</v>
      </c>
      <c r="J977" s="34">
        <f t="shared" si="60"/>
        <v>1.7399999999999999E-2</v>
      </c>
      <c r="K977" s="34">
        <f t="shared" si="61"/>
        <v>0.03</v>
      </c>
      <c r="L977" s="34">
        <f t="shared" si="62"/>
        <v>0.12</v>
      </c>
      <c r="M977" s="20" t="s">
        <v>4371</v>
      </c>
      <c r="N977" s="20" t="s">
        <v>3898</v>
      </c>
      <c r="O977" s="20" t="s">
        <v>3892</v>
      </c>
      <c r="P977" s="20" t="s">
        <v>3899</v>
      </c>
      <c r="Q977" s="21">
        <v>12</v>
      </c>
      <c r="R977" s="21">
        <v>17</v>
      </c>
      <c r="S977" s="21">
        <v>2.5</v>
      </c>
      <c r="T977" s="22">
        <v>0.2</v>
      </c>
      <c r="U977" s="13">
        <f t="shared" si="63"/>
        <v>8.0000000000000016E-2</v>
      </c>
      <c r="V977" s="23">
        <v>24.5</v>
      </c>
      <c r="W977" s="23">
        <v>24.5</v>
      </c>
      <c r="X977" s="20">
        <v>80710</v>
      </c>
      <c r="Y977" s="24" t="s">
        <v>3713</v>
      </c>
      <c r="Z977" s="16">
        <v>22.5</v>
      </c>
      <c r="AA977" s="17">
        <v>1125</v>
      </c>
      <c r="AB977" s="25" t="s">
        <v>3714</v>
      </c>
    </row>
    <row r="978" spans="1:28" x14ac:dyDescent="0.45">
      <c r="A978" s="4" t="s">
        <v>1570</v>
      </c>
      <c r="B978" s="4" t="s">
        <v>6073</v>
      </c>
      <c r="C978" s="4" t="s">
        <v>1110</v>
      </c>
      <c r="D978" s="4" t="s">
        <v>1509</v>
      </c>
      <c r="E978" s="4" t="s">
        <v>96</v>
      </c>
      <c r="F978" s="5">
        <v>12</v>
      </c>
      <c r="G978" s="5">
        <v>18</v>
      </c>
      <c r="H978" s="4" t="s">
        <v>1149</v>
      </c>
      <c r="I978" s="10">
        <v>3</v>
      </c>
      <c r="J978" s="34">
        <f t="shared" si="60"/>
        <v>2.6099999999999998E-2</v>
      </c>
      <c r="K978" s="34">
        <f t="shared" si="61"/>
        <v>0.04</v>
      </c>
      <c r="L978" s="34">
        <f t="shared" si="62"/>
        <v>0.16</v>
      </c>
      <c r="M978" s="11" t="s">
        <v>3938</v>
      </c>
      <c r="N978" s="11" t="s">
        <v>3891</v>
      </c>
      <c r="O978" s="11" t="s">
        <v>3892</v>
      </c>
      <c r="P978" s="11" t="s">
        <v>3893</v>
      </c>
      <c r="Q978" s="12">
        <v>12</v>
      </c>
      <c r="R978" s="12">
        <v>18</v>
      </c>
      <c r="S978" s="12">
        <v>3</v>
      </c>
      <c r="T978" s="13">
        <v>0.2</v>
      </c>
      <c r="U978" s="13">
        <f t="shared" si="63"/>
        <v>4.0000000000000008E-2</v>
      </c>
      <c r="V978" s="14">
        <v>24.5</v>
      </c>
      <c r="W978" s="14">
        <v>24.5</v>
      </c>
      <c r="X978" s="11">
        <v>116</v>
      </c>
      <c r="Y978" s="15" t="s">
        <v>3713</v>
      </c>
      <c r="Z978" s="16">
        <v>21.5</v>
      </c>
      <c r="AA978" s="17">
        <v>716.7</v>
      </c>
      <c r="AB978" s="18" t="s">
        <v>3714</v>
      </c>
    </row>
    <row r="979" spans="1:28" x14ac:dyDescent="0.45">
      <c r="A979" s="2" t="s">
        <v>1571</v>
      </c>
      <c r="B979" s="2" t="s">
        <v>6074</v>
      </c>
      <c r="C979" s="2" t="s">
        <v>1110</v>
      </c>
      <c r="D979" s="2" t="s">
        <v>1509</v>
      </c>
      <c r="E979" s="2" t="s">
        <v>96</v>
      </c>
      <c r="F979" s="3">
        <v>13.8</v>
      </c>
      <c r="G979" s="3">
        <v>18.600000000000001</v>
      </c>
      <c r="H979" s="2" t="s">
        <v>1140</v>
      </c>
      <c r="I979" s="19">
        <v>3</v>
      </c>
      <c r="J979" s="34">
        <f t="shared" si="60"/>
        <v>2.6099999999999998E-2</v>
      </c>
      <c r="K979" s="34">
        <f t="shared" si="61"/>
        <v>0.04</v>
      </c>
      <c r="L979" s="34">
        <f t="shared" si="62"/>
        <v>0.16</v>
      </c>
      <c r="M979" s="20" t="s">
        <v>3939</v>
      </c>
      <c r="N979" s="20" t="s">
        <v>3891</v>
      </c>
      <c r="O979" s="20" t="s">
        <v>3892</v>
      </c>
      <c r="P979" s="20" t="s">
        <v>3893</v>
      </c>
      <c r="Q979" s="21">
        <v>13.8</v>
      </c>
      <c r="R979" s="21">
        <v>18.600000000000001</v>
      </c>
      <c r="S979" s="21">
        <v>2.4</v>
      </c>
      <c r="T979" s="22">
        <v>0.46</v>
      </c>
      <c r="U979" s="13">
        <f t="shared" si="63"/>
        <v>0.30000000000000004</v>
      </c>
      <c r="V979" s="23">
        <v>56.35</v>
      </c>
      <c r="W979" s="23">
        <v>56.35</v>
      </c>
      <c r="X979" s="20">
        <v>103</v>
      </c>
      <c r="Y979" s="24" t="s">
        <v>3713</v>
      </c>
      <c r="Z979" s="16">
        <v>53.35</v>
      </c>
      <c r="AA979" s="17">
        <v>1778.3</v>
      </c>
      <c r="AB979" s="25" t="s">
        <v>3714</v>
      </c>
    </row>
    <row r="980" spans="1:28" x14ac:dyDescent="0.45">
      <c r="A980" s="4" t="s">
        <v>1572</v>
      </c>
      <c r="B980" s="4" t="s">
        <v>6075</v>
      </c>
      <c r="C980" s="4" t="s">
        <v>1110</v>
      </c>
      <c r="D980" s="4" t="s">
        <v>1509</v>
      </c>
      <c r="E980" s="4" t="s">
        <v>96</v>
      </c>
      <c r="F980" s="5">
        <v>13.94</v>
      </c>
      <c r="G980" s="5">
        <v>19.18</v>
      </c>
      <c r="H980" s="4" t="s">
        <v>1127</v>
      </c>
      <c r="I980" s="10">
        <v>3</v>
      </c>
      <c r="J980" s="34">
        <f t="shared" si="60"/>
        <v>2.6099999999999998E-2</v>
      </c>
      <c r="K980" s="34">
        <f t="shared" si="61"/>
        <v>0.04</v>
      </c>
      <c r="L980" s="34">
        <f t="shared" si="62"/>
        <v>0.16</v>
      </c>
      <c r="M980" s="11" t="s">
        <v>3940</v>
      </c>
      <c r="N980" s="11" t="s">
        <v>3891</v>
      </c>
      <c r="O980" s="11" t="s">
        <v>3892</v>
      </c>
      <c r="P980" s="11" t="s">
        <v>3893</v>
      </c>
      <c r="Q980" s="12">
        <v>14</v>
      </c>
      <c r="R980" s="12">
        <v>19</v>
      </c>
      <c r="S980" s="12">
        <v>2.5</v>
      </c>
      <c r="T980" s="13">
        <v>0.2</v>
      </c>
      <c r="U980" s="13">
        <f t="shared" si="63"/>
        <v>4.0000000000000008E-2</v>
      </c>
      <c r="V980" s="14">
        <v>24.5</v>
      </c>
      <c r="W980" s="14">
        <v>24.5</v>
      </c>
      <c r="X980" s="11">
        <v>1508</v>
      </c>
      <c r="Y980" s="15" t="s">
        <v>3713</v>
      </c>
      <c r="Z980" s="16">
        <v>21.5</v>
      </c>
      <c r="AA980" s="17">
        <v>716.7</v>
      </c>
      <c r="AB980" s="18" t="s">
        <v>3941</v>
      </c>
    </row>
    <row r="981" spans="1:28" x14ac:dyDescent="0.45">
      <c r="A981" s="2" t="s">
        <v>1573</v>
      </c>
      <c r="B981" s="2" t="s">
        <v>6076</v>
      </c>
      <c r="C981" s="2" t="s">
        <v>1110</v>
      </c>
      <c r="D981" s="2" t="s">
        <v>1509</v>
      </c>
      <c r="E981" s="2" t="s">
        <v>96</v>
      </c>
      <c r="F981" s="3">
        <v>13.94</v>
      </c>
      <c r="G981" s="3">
        <v>21</v>
      </c>
      <c r="H981" s="2" t="s">
        <v>1156</v>
      </c>
      <c r="I981" s="19">
        <v>3</v>
      </c>
      <c r="J981" s="34">
        <f t="shared" si="60"/>
        <v>2.6099999999999998E-2</v>
      </c>
      <c r="K981" s="34">
        <f t="shared" si="61"/>
        <v>0.04</v>
      </c>
      <c r="L981" s="34">
        <f t="shared" si="62"/>
        <v>0.16</v>
      </c>
      <c r="M981" s="20" t="s">
        <v>4372</v>
      </c>
      <c r="N981" s="20" t="s">
        <v>3891</v>
      </c>
      <c r="O981" s="20" t="s">
        <v>3892</v>
      </c>
      <c r="P981" s="20" t="s">
        <v>3893</v>
      </c>
      <c r="Q981" s="21">
        <v>14</v>
      </c>
      <c r="R981" s="21">
        <v>21</v>
      </c>
      <c r="S981" s="21">
        <v>3.5</v>
      </c>
      <c r="T981" s="22">
        <v>0.66</v>
      </c>
      <c r="U981" s="13">
        <f t="shared" si="63"/>
        <v>0.5</v>
      </c>
      <c r="V981" s="23">
        <v>80.849999999999994</v>
      </c>
      <c r="W981" s="23">
        <v>80.849999999999994</v>
      </c>
      <c r="X981" s="20">
        <v>678</v>
      </c>
      <c r="Y981" s="24" t="s">
        <v>3713</v>
      </c>
      <c r="Z981" s="16">
        <v>77.849999999999994</v>
      </c>
      <c r="AA981" s="17">
        <v>2595</v>
      </c>
      <c r="AB981" s="25" t="s">
        <v>4373</v>
      </c>
    </row>
    <row r="982" spans="1:28" x14ac:dyDescent="0.45">
      <c r="A982" s="4" t="s">
        <v>1574</v>
      </c>
      <c r="B982" s="4" t="s">
        <v>6077</v>
      </c>
      <c r="C982" s="4" t="s">
        <v>1110</v>
      </c>
      <c r="D982" s="4" t="s">
        <v>1509</v>
      </c>
      <c r="E982" s="4" t="s">
        <v>96</v>
      </c>
      <c r="F982" s="5">
        <v>13</v>
      </c>
      <c r="G982" s="5">
        <v>17</v>
      </c>
      <c r="H982" s="4" t="s">
        <v>1122</v>
      </c>
      <c r="I982" s="10">
        <v>2</v>
      </c>
      <c r="J982" s="34">
        <f t="shared" si="60"/>
        <v>1.7399999999999999E-2</v>
      </c>
      <c r="K982" s="34">
        <f t="shared" si="61"/>
        <v>0.03</v>
      </c>
      <c r="L982" s="34">
        <f t="shared" si="62"/>
        <v>0.12</v>
      </c>
      <c r="M982" s="11" t="s">
        <v>4374</v>
      </c>
      <c r="N982" s="11" t="s">
        <v>3898</v>
      </c>
      <c r="O982" s="11" t="s">
        <v>3892</v>
      </c>
      <c r="P982" s="11" t="s">
        <v>3899</v>
      </c>
      <c r="Q982" s="12">
        <v>13</v>
      </c>
      <c r="R982" s="12">
        <v>17</v>
      </c>
      <c r="S982" s="12">
        <v>2</v>
      </c>
      <c r="T982" s="13">
        <v>0.2</v>
      </c>
      <c r="U982" s="13">
        <f t="shared" si="63"/>
        <v>8.0000000000000016E-2</v>
      </c>
      <c r="V982" s="14">
        <v>24.5</v>
      </c>
      <c r="W982" s="14">
        <v>24.5</v>
      </c>
      <c r="X982" s="11">
        <v>70</v>
      </c>
      <c r="Y982" s="15" t="s">
        <v>3713</v>
      </c>
      <c r="Z982" s="16">
        <v>22.5</v>
      </c>
      <c r="AA982" s="17">
        <v>1125</v>
      </c>
      <c r="AB982" s="18" t="s">
        <v>3714</v>
      </c>
    </row>
    <row r="983" spans="1:28" x14ac:dyDescent="0.45">
      <c r="A983" s="2" t="s">
        <v>1575</v>
      </c>
      <c r="B983" s="2" t="s">
        <v>6078</v>
      </c>
      <c r="C983" s="2" t="s">
        <v>1110</v>
      </c>
      <c r="D983" s="2" t="s">
        <v>1509</v>
      </c>
      <c r="E983" s="2" t="s">
        <v>96</v>
      </c>
      <c r="F983" s="3">
        <v>13</v>
      </c>
      <c r="G983" s="3">
        <v>18</v>
      </c>
      <c r="H983" s="2" t="s">
        <v>1135</v>
      </c>
      <c r="I983" s="19">
        <v>3</v>
      </c>
      <c r="J983" s="34">
        <f t="shared" si="60"/>
        <v>2.6099999999999998E-2</v>
      </c>
      <c r="K983" s="34">
        <f t="shared" si="61"/>
        <v>0.04</v>
      </c>
      <c r="L983" s="34">
        <f t="shared" si="62"/>
        <v>0.16</v>
      </c>
      <c r="M983" s="20" t="s">
        <v>4375</v>
      </c>
      <c r="N983" s="20" t="s">
        <v>3898</v>
      </c>
      <c r="O983" s="20" t="s">
        <v>3892</v>
      </c>
      <c r="P983" s="20" t="s">
        <v>3899</v>
      </c>
      <c r="Q983" s="21">
        <v>13</v>
      </c>
      <c r="R983" s="21">
        <v>18</v>
      </c>
      <c r="S983" s="21">
        <v>2.5</v>
      </c>
      <c r="T983" s="22">
        <v>0.27</v>
      </c>
      <c r="U983" s="13">
        <f t="shared" si="63"/>
        <v>0.11000000000000001</v>
      </c>
      <c r="V983" s="23">
        <v>33.08</v>
      </c>
      <c r="W983" s="23">
        <v>33.08</v>
      </c>
      <c r="X983" s="20" t="s">
        <v>3722</v>
      </c>
      <c r="Y983" s="24" t="s">
        <v>3713</v>
      </c>
      <c r="Z983" s="16">
        <v>30.08</v>
      </c>
      <c r="AA983" s="17">
        <v>1002.7</v>
      </c>
      <c r="AB983" s="25" t="s">
        <v>3714</v>
      </c>
    </row>
    <row r="984" spans="1:28" x14ac:dyDescent="0.45">
      <c r="A984" s="4" t="s">
        <v>1576</v>
      </c>
      <c r="B984" s="4" t="s">
        <v>6079</v>
      </c>
      <c r="C984" s="4" t="s">
        <v>1110</v>
      </c>
      <c r="D984" s="4" t="s">
        <v>1509</v>
      </c>
      <c r="E984" s="4" t="s">
        <v>96</v>
      </c>
      <c r="F984" s="5">
        <v>14.8</v>
      </c>
      <c r="G984" s="5">
        <v>18.600000000000001</v>
      </c>
      <c r="H984" s="4" t="s">
        <v>1112</v>
      </c>
      <c r="I984" s="10">
        <v>2</v>
      </c>
      <c r="J984" s="34">
        <f t="shared" si="60"/>
        <v>1.7399999999999999E-2</v>
      </c>
      <c r="K984" s="34">
        <f t="shared" si="61"/>
        <v>0.03</v>
      </c>
      <c r="L984" s="34">
        <f t="shared" si="62"/>
        <v>0.12</v>
      </c>
      <c r="M984" s="11" t="s">
        <v>4376</v>
      </c>
      <c r="N984" s="11" t="s">
        <v>3891</v>
      </c>
      <c r="O984" s="11" t="s">
        <v>3892</v>
      </c>
      <c r="P984" s="11" t="s">
        <v>3893</v>
      </c>
      <c r="Q984" s="12">
        <v>15</v>
      </c>
      <c r="R984" s="12">
        <v>18.600000000000001</v>
      </c>
      <c r="S984" s="12">
        <v>1.8</v>
      </c>
      <c r="T984" s="13">
        <v>0.24</v>
      </c>
      <c r="U984" s="13">
        <f t="shared" si="63"/>
        <v>0.12</v>
      </c>
      <c r="V984" s="14">
        <v>29.4</v>
      </c>
      <c r="W984" s="14">
        <v>29.4</v>
      </c>
      <c r="X984" s="11">
        <v>184</v>
      </c>
      <c r="Y984" s="15" t="s">
        <v>3713</v>
      </c>
      <c r="Z984" s="16">
        <v>27.4</v>
      </c>
      <c r="AA984" s="17">
        <v>1370</v>
      </c>
      <c r="AB984" s="18" t="s">
        <v>4377</v>
      </c>
    </row>
    <row r="985" spans="1:28" x14ac:dyDescent="0.45">
      <c r="A985" s="2" t="s">
        <v>1577</v>
      </c>
      <c r="B985" s="2" t="s">
        <v>6080</v>
      </c>
      <c r="C985" s="2" t="s">
        <v>1110</v>
      </c>
      <c r="D985" s="2" t="s">
        <v>1509</v>
      </c>
      <c r="E985" s="2" t="s">
        <v>96</v>
      </c>
      <c r="F985" s="3">
        <v>14.8</v>
      </c>
      <c r="G985" s="3">
        <v>19.600000000000001</v>
      </c>
      <c r="H985" s="2" t="s">
        <v>1140</v>
      </c>
      <c r="I985" s="19">
        <v>3</v>
      </c>
      <c r="J985" s="34">
        <f t="shared" si="60"/>
        <v>2.6099999999999998E-2</v>
      </c>
      <c r="K985" s="34">
        <f t="shared" si="61"/>
        <v>0.04</v>
      </c>
      <c r="L985" s="34">
        <f t="shared" si="62"/>
        <v>0.16</v>
      </c>
      <c r="M985" s="20" t="s">
        <v>4378</v>
      </c>
      <c r="N985" s="20" t="s">
        <v>3891</v>
      </c>
      <c r="O985" s="20" t="s">
        <v>3892</v>
      </c>
      <c r="P985" s="20" t="s">
        <v>3893</v>
      </c>
      <c r="Q985" s="21">
        <v>14.8</v>
      </c>
      <c r="R985" s="21">
        <v>19.600000000000001</v>
      </c>
      <c r="S985" s="21">
        <v>2.4</v>
      </c>
      <c r="T985" s="22">
        <v>0.2</v>
      </c>
      <c r="U985" s="13">
        <f t="shared" si="63"/>
        <v>4.0000000000000008E-2</v>
      </c>
      <c r="V985" s="23">
        <v>24.5</v>
      </c>
      <c r="W985" s="23">
        <v>24.5</v>
      </c>
      <c r="X985" s="20">
        <v>506</v>
      </c>
      <c r="Y985" s="24" t="s">
        <v>3713</v>
      </c>
      <c r="Z985" s="16">
        <v>21.5</v>
      </c>
      <c r="AA985" s="17">
        <v>716.7</v>
      </c>
      <c r="AB985" s="25" t="s">
        <v>3714</v>
      </c>
    </row>
    <row r="986" spans="1:28" x14ac:dyDescent="0.45">
      <c r="A986" s="4" t="s">
        <v>1578</v>
      </c>
      <c r="B986" s="4" t="s">
        <v>6081</v>
      </c>
      <c r="C986" s="4" t="s">
        <v>1110</v>
      </c>
      <c r="D986" s="4" t="s">
        <v>1509</v>
      </c>
      <c r="E986" s="4" t="s">
        <v>96</v>
      </c>
      <c r="F986" s="5">
        <v>14</v>
      </c>
      <c r="G986" s="5">
        <v>17</v>
      </c>
      <c r="H986" s="4" t="s">
        <v>1120</v>
      </c>
      <c r="I986" s="10">
        <v>2</v>
      </c>
      <c r="J986" s="34">
        <f t="shared" si="60"/>
        <v>1.7399999999999999E-2</v>
      </c>
      <c r="K986" s="34">
        <f t="shared" si="61"/>
        <v>0.03</v>
      </c>
      <c r="L986" s="34">
        <f t="shared" si="62"/>
        <v>0.12</v>
      </c>
      <c r="M986" s="11" t="s">
        <v>3942</v>
      </c>
      <c r="N986" s="11" t="s">
        <v>3891</v>
      </c>
      <c r="O986" s="11" t="s">
        <v>3892</v>
      </c>
      <c r="P986" s="11" t="s">
        <v>3893</v>
      </c>
      <c r="Q986" s="12">
        <v>14</v>
      </c>
      <c r="R986" s="12">
        <v>17</v>
      </c>
      <c r="S986" s="12">
        <v>1.5</v>
      </c>
      <c r="T986" s="13">
        <v>0.2</v>
      </c>
      <c r="U986" s="13">
        <f t="shared" si="63"/>
        <v>8.0000000000000016E-2</v>
      </c>
      <c r="V986" s="14">
        <v>24.5</v>
      </c>
      <c r="W986" s="14">
        <v>24.5</v>
      </c>
      <c r="X986" s="11">
        <v>595</v>
      </c>
      <c r="Y986" s="15" t="s">
        <v>3713</v>
      </c>
      <c r="Z986" s="16">
        <v>22.5</v>
      </c>
      <c r="AA986" s="17">
        <v>1125</v>
      </c>
      <c r="AB986" s="18" t="s">
        <v>3714</v>
      </c>
    </row>
    <row r="987" spans="1:28" x14ac:dyDescent="0.45">
      <c r="A987" s="2" t="s">
        <v>1579</v>
      </c>
      <c r="B987" s="2" t="s">
        <v>6082</v>
      </c>
      <c r="C987" s="2" t="s">
        <v>1110</v>
      </c>
      <c r="D987" s="2" t="s">
        <v>1509</v>
      </c>
      <c r="E987" s="2" t="s">
        <v>96</v>
      </c>
      <c r="F987" s="3">
        <v>14</v>
      </c>
      <c r="G987" s="3">
        <v>17.559999999999999</v>
      </c>
      <c r="H987" s="2" t="s">
        <v>1114</v>
      </c>
      <c r="I987" s="19">
        <v>2</v>
      </c>
      <c r="J987" s="34">
        <f t="shared" si="60"/>
        <v>1.7399999999999999E-2</v>
      </c>
      <c r="K987" s="34">
        <f t="shared" si="61"/>
        <v>0.03</v>
      </c>
      <c r="L987" s="34">
        <f t="shared" si="62"/>
        <v>0.12</v>
      </c>
      <c r="M987" s="20" t="s">
        <v>4379</v>
      </c>
      <c r="N987" s="20" t="s">
        <v>3891</v>
      </c>
      <c r="O987" s="20" t="s">
        <v>3892</v>
      </c>
      <c r="P987" s="20" t="s">
        <v>3893</v>
      </c>
      <c r="Q987" s="21">
        <v>14</v>
      </c>
      <c r="R987" s="21">
        <v>17.600000000000001</v>
      </c>
      <c r="S987" s="21">
        <v>1.8</v>
      </c>
      <c r="T987" s="22">
        <v>0.2</v>
      </c>
      <c r="U987" s="13">
        <f t="shared" si="63"/>
        <v>8.0000000000000016E-2</v>
      </c>
      <c r="V987" s="23">
        <v>24.5</v>
      </c>
      <c r="W987" s="23">
        <v>24.5</v>
      </c>
      <c r="X987" s="20">
        <v>399</v>
      </c>
      <c r="Y987" s="24" t="s">
        <v>3713</v>
      </c>
      <c r="Z987" s="16">
        <v>22.5</v>
      </c>
      <c r="AA987" s="17">
        <v>1125</v>
      </c>
      <c r="AB987" s="25" t="s">
        <v>4380</v>
      </c>
    </row>
    <row r="988" spans="1:28" x14ac:dyDescent="0.45">
      <c r="A988" s="4" t="s">
        <v>1580</v>
      </c>
      <c r="B988" s="4" t="s">
        <v>6083</v>
      </c>
      <c r="C988" s="4" t="s">
        <v>1110</v>
      </c>
      <c r="D988" s="4" t="s">
        <v>1509</v>
      </c>
      <c r="E988" s="4" t="s">
        <v>96</v>
      </c>
      <c r="F988" s="5">
        <v>14</v>
      </c>
      <c r="G988" s="5">
        <v>18</v>
      </c>
      <c r="H988" s="4" t="s">
        <v>1122</v>
      </c>
      <c r="I988" s="10">
        <v>2</v>
      </c>
      <c r="J988" s="34">
        <f t="shared" si="60"/>
        <v>1.7399999999999999E-2</v>
      </c>
      <c r="K988" s="34">
        <f t="shared" si="61"/>
        <v>0.03</v>
      </c>
      <c r="L988" s="34">
        <f t="shared" si="62"/>
        <v>0.12</v>
      </c>
      <c r="M988" s="11" t="s">
        <v>3943</v>
      </c>
      <c r="N988" s="11" t="s">
        <v>3898</v>
      </c>
      <c r="O988" s="11" t="s">
        <v>3892</v>
      </c>
      <c r="P988" s="11" t="s">
        <v>3899</v>
      </c>
      <c r="Q988" s="12">
        <v>14</v>
      </c>
      <c r="R988" s="12">
        <v>18</v>
      </c>
      <c r="S988" s="12">
        <v>2</v>
      </c>
      <c r="T988" s="13">
        <v>0.24</v>
      </c>
      <c r="U988" s="13">
        <f t="shared" si="63"/>
        <v>0.12</v>
      </c>
      <c r="V988" s="14">
        <v>29.4</v>
      </c>
      <c r="W988" s="14">
        <v>29.4</v>
      </c>
      <c r="X988" s="11" t="s">
        <v>3722</v>
      </c>
      <c r="Y988" s="15" t="s">
        <v>3713</v>
      </c>
      <c r="Z988" s="16">
        <v>27.4</v>
      </c>
      <c r="AA988" s="17">
        <v>1370</v>
      </c>
      <c r="AB988" s="18" t="s">
        <v>3714</v>
      </c>
    </row>
    <row r="989" spans="1:28" x14ac:dyDescent="0.45">
      <c r="A989" s="2" t="s">
        <v>1581</v>
      </c>
      <c r="B989" s="2" t="s">
        <v>6084</v>
      </c>
      <c r="C989" s="2" t="s">
        <v>1110</v>
      </c>
      <c r="D989" s="2" t="s">
        <v>1509</v>
      </c>
      <c r="E989" s="2" t="s">
        <v>96</v>
      </c>
      <c r="F989" s="3">
        <v>14</v>
      </c>
      <c r="G989" s="3">
        <v>19</v>
      </c>
      <c r="H989" s="2" t="s">
        <v>1135</v>
      </c>
      <c r="I989" s="19">
        <v>3</v>
      </c>
      <c r="J989" s="34">
        <f t="shared" si="60"/>
        <v>2.6099999999999998E-2</v>
      </c>
      <c r="K989" s="34">
        <f t="shared" si="61"/>
        <v>0.04</v>
      </c>
      <c r="L989" s="34">
        <f t="shared" si="62"/>
        <v>0.16</v>
      </c>
      <c r="M989" s="20" t="s">
        <v>3940</v>
      </c>
      <c r="N989" s="20" t="s">
        <v>3891</v>
      </c>
      <c r="O989" s="20" t="s">
        <v>3892</v>
      </c>
      <c r="P989" s="20" t="s">
        <v>3893</v>
      </c>
      <c r="Q989" s="21">
        <v>14</v>
      </c>
      <c r="R989" s="21">
        <v>19</v>
      </c>
      <c r="S989" s="21">
        <v>2.5</v>
      </c>
      <c r="T989" s="22">
        <v>0.2</v>
      </c>
      <c r="U989" s="13">
        <f t="shared" si="63"/>
        <v>4.0000000000000008E-2</v>
      </c>
      <c r="V989" s="23">
        <v>24.5</v>
      </c>
      <c r="W989" s="23">
        <v>24.5</v>
      </c>
      <c r="X989" s="20">
        <v>1508</v>
      </c>
      <c r="Y989" s="24" t="s">
        <v>3713</v>
      </c>
      <c r="Z989" s="16">
        <v>21.5</v>
      </c>
      <c r="AA989" s="17">
        <v>716.7</v>
      </c>
      <c r="AB989" s="25" t="s">
        <v>3714</v>
      </c>
    </row>
    <row r="990" spans="1:28" x14ac:dyDescent="0.45">
      <c r="A990" s="4" t="s">
        <v>1582</v>
      </c>
      <c r="B990" s="4" t="s">
        <v>6085</v>
      </c>
      <c r="C990" s="4" t="s">
        <v>1110</v>
      </c>
      <c r="D990" s="4" t="s">
        <v>1509</v>
      </c>
      <c r="E990" s="4" t="s">
        <v>96</v>
      </c>
      <c r="F990" s="5">
        <v>14</v>
      </c>
      <c r="G990" s="5">
        <v>20</v>
      </c>
      <c r="H990" s="4" t="s">
        <v>1149</v>
      </c>
      <c r="I990" s="10">
        <v>3</v>
      </c>
      <c r="J990" s="34">
        <f t="shared" si="60"/>
        <v>2.6099999999999998E-2</v>
      </c>
      <c r="K990" s="34">
        <f t="shared" si="61"/>
        <v>0.04</v>
      </c>
      <c r="L990" s="34">
        <f t="shared" si="62"/>
        <v>0.16</v>
      </c>
      <c r="M990" s="11" t="s">
        <v>4381</v>
      </c>
      <c r="N990" s="11" t="s">
        <v>3891</v>
      </c>
      <c r="O990" s="11" t="s">
        <v>3892</v>
      </c>
      <c r="P990" s="11" t="s">
        <v>3893</v>
      </c>
      <c r="Q990" s="12">
        <v>14</v>
      </c>
      <c r="R990" s="12">
        <v>20</v>
      </c>
      <c r="S990" s="12">
        <v>3</v>
      </c>
      <c r="T990" s="13">
        <v>0.2</v>
      </c>
      <c r="U990" s="13">
        <f t="shared" si="63"/>
        <v>4.0000000000000008E-2</v>
      </c>
      <c r="V990" s="14">
        <v>24.5</v>
      </c>
      <c r="W990" s="14">
        <v>24.5</v>
      </c>
      <c r="X990" s="11">
        <v>418</v>
      </c>
      <c r="Y990" s="15" t="s">
        <v>3713</v>
      </c>
      <c r="Z990" s="16">
        <v>21.5</v>
      </c>
      <c r="AA990" s="17">
        <v>716.7</v>
      </c>
      <c r="AB990" s="18" t="s">
        <v>3714</v>
      </c>
    </row>
    <row r="991" spans="1:28" x14ac:dyDescent="0.45">
      <c r="A991" s="2" t="s">
        <v>1583</v>
      </c>
      <c r="B991" s="2" t="s">
        <v>6086</v>
      </c>
      <c r="C991" s="2" t="s">
        <v>1110</v>
      </c>
      <c r="D991" s="2" t="s">
        <v>1509</v>
      </c>
      <c r="E991" s="2" t="s">
        <v>96</v>
      </c>
      <c r="F991" s="3">
        <v>15.47</v>
      </c>
      <c r="G991" s="3">
        <v>22.53</v>
      </c>
      <c r="H991" s="2" t="s">
        <v>1156</v>
      </c>
      <c r="I991" s="19">
        <v>5</v>
      </c>
      <c r="J991" s="34">
        <f t="shared" si="60"/>
        <v>4.3499999999999997E-2</v>
      </c>
      <c r="K991" s="34">
        <f t="shared" si="61"/>
        <v>7.0000000000000007E-2</v>
      </c>
      <c r="L991" s="34">
        <f t="shared" si="62"/>
        <v>0.28000000000000003</v>
      </c>
      <c r="M991" s="20" t="s">
        <v>3944</v>
      </c>
      <c r="N991" s="20" t="s">
        <v>3891</v>
      </c>
      <c r="O991" s="20" t="s">
        <v>3892</v>
      </c>
      <c r="P991" s="20" t="s">
        <v>3893</v>
      </c>
      <c r="Q991" s="21">
        <v>15.494</v>
      </c>
      <c r="R991" s="21">
        <v>22.606000000000002</v>
      </c>
      <c r="S991" s="21">
        <v>3.556</v>
      </c>
      <c r="T991" s="22">
        <v>0.2</v>
      </c>
      <c r="U991" s="13">
        <f t="shared" si="63"/>
        <v>-8.0000000000000016E-2</v>
      </c>
      <c r="V991" s="23">
        <v>24.5</v>
      </c>
      <c r="W991" s="23">
        <v>24.5</v>
      </c>
      <c r="X991" s="20">
        <v>464</v>
      </c>
      <c r="Y991" s="24" t="s">
        <v>3737</v>
      </c>
      <c r="Z991" s="16">
        <v>19.5</v>
      </c>
      <c r="AA991" s="17">
        <v>390</v>
      </c>
      <c r="AB991" s="25" t="s">
        <v>3945</v>
      </c>
    </row>
    <row r="992" spans="1:28" x14ac:dyDescent="0.45">
      <c r="A992" s="4" t="s">
        <v>1584</v>
      </c>
      <c r="B992" s="4" t="s">
        <v>6087</v>
      </c>
      <c r="C992" s="4" t="s">
        <v>1110</v>
      </c>
      <c r="D992" s="4" t="s">
        <v>1509</v>
      </c>
      <c r="E992" s="4" t="s">
        <v>96</v>
      </c>
      <c r="F992" s="5">
        <v>15.54</v>
      </c>
      <c r="G992" s="5">
        <v>20.78</v>
      </c>
      <c r="H992" s="4" t="s">
        <v>1127</v>
      </c>
      <c r="I992" s="10">
        <v>3</v>
      </c>
      <c r="J992" s="34">
        <f t="shared" si="60"/>
        <v>2.6099999999999998E-2</v>
      </c>
      <c r="K992" s="34">
        <f t="shared" si="61"/>
        <v>0.04</v>
      </c>
      <c r="L992" s="34">
        <f t="shared" si="62"/>
        <v>0.16</v>
      </c>
      <c r="M992" s="11" t="s">
        <v>3946</v>
      </c>
      <c r="N992" s="11" t="s">
        <v>3898</v>
      </c>
      <c r="O992" s="11" t="s">
        <v>3892</v>
      </c>
      <c r="P992" s="11" t="s">
        <v>3899</v>
      </c>
      <c r="Q992" s="12">
        <v>15.494</v>
      </c>
      <c r="R992" s="12">
        <v>20.827999999999999</v>
      </c>
      <c r="S992" s="12">
        <v>2.54</v>
      </c>
      <c r="T992" s="13">
        <v>0.2</v>
      </c>
      <c r="U992" s="13">
        <f t="shared" si="63"/>
        <v>4.0000000000000008E-2</v>
      </c>
      <c r="V992" s="14">
        <v>24.5</v>
      </c>
      <c r="W992" s="14">
        <v>24.5</v>
      </c>
      <c r="X992" s="11">
        <v>220</v>
      </c>
      <c r="Y992" s="15" t="s">
        <v>3737</v>
      </c>
      <c r="Z992" s="16">
        <v>21.5</v>
      </c>
      <c r="AA992" s="17">
        <v>716.7</v>
      </c>
      <c r="AB992" s="18" t="s">
        <v>3920</v>
      </c>
    </row>
    <row r="993" spans="1:28" x14ac:dyDescent="0.45">
      <c r="A993" s="2" t="s">
        <v>1585</v>
      </c>
      <c r="B993" s="2" t="s">
        <v>6088</v>
      </c>
      <c r="C993" s="2" t="s">
        <v>1110</v>
      </c>
      <c r="D993" s="2" t="s">
        <v>1509</v>
      </c>
      <c r="E993" s="2" t="s">
        <v>96</v>
      </c>
      <c r="F993" s="3">
        <v>15.6</v>
      </c>
      <c r="G993" s="3">
        <v>19.16</v>
      </c>
      <c r="H993" s="2" t="s">
        <v>1114</v>
      </c>
      <c r="I993" s="19">
        <v>2</v>
      </c>
      <c r="J993" s="34">
        <f t="shared" si="60"/>
        <v>1.7399999999999999E-2</v>
      </c>
      <c r="K993" s="34">
        <f t="shared" si="61"/>
        <v>0.03</v>
      </c>
      <c r="L993" s="34">
        <f t="shared" si="62"/>
        <v>0.12</v>
      </c>
      <c r="M993" s="20" t="s">
        <v>3947</v>
      </c>
      <c r="N993" s="20" t="s">
        <v>3913</v>
      </c>
      <c r="O993" s="20" t="s">
        <v>3892</v>
      </c>
      <c r="P993" s="20" t="s">
        <v>3914</v>
      </c>
      <c r="Q993" s="21">
        <v>15.5</v>
      </c>
      <c r="R993" s="21">
        <v>19.5</v>
      </c>
      <c r="S993" s="21">
        <v>2</v>
      </c>
      <c r="T993" s="22">
        <v>0.42</v>
      </c>
      <c r="U993" s="13">
        <f t="shared" si="63"/>
        <v>0.3</v>
      </c>
      <c r="V993" s="23">
        <v>51.45</v>
      </c>
      <c r="W993" s="23">
        <v>51.45</v>
      </c>
      <c r="X993" s="20">
        <v>639</v>
      </c>
      <c r="Y993" s="24" t="s">
        <v>3713</v>
      </c>
      <c r="Z993" s="16">
        <v>49.45</v>
      </c>
      <c r="AA993" s="17">
        <v>2472.5</v>
      </c>
      <c r="AB993" s="25" t="s">
        <v>3948</v>
      </c>
    </row>
    <row r="994" spans="1:28" x14ac:dyDescent="0.45">
      <c r="A994" s="4" t="s">
        <v>1586</v>
      </c>
      <c r="B994" s="4" t="s">
        <v>6089</v>
      </c>
      <c r="C994" s="4" t="s">
        <v>1110</v>
      </c>
      <c r="D994" s="4" t="s">
        <v>1509</v>
      </c>
      <c r="E994" s="4" t="s">
        <v>96</v>
      </c>
      <c r="F994" s="5">
        <v>15.8</v>
      </c>
      <c r="G994" s="5">
        <v>20.6</v>
      </c>
      <c r="H994" s="4" t="s">
        <v>1140</v>
      </c>
      <c r="I994" s="10">
        <v>3</v>
      </c>
      <c r="J994" s="34">
        <f t="shared" si="60"/>
        <v>2.6099999999999998E-2</v>
      </c>
      <c r="K994" s="34">
        <f t="shared" si="61"/>
        <v>0.04</v>
      </c>
      <c r="L994" s="34">
        <f t="shared" si="62"/>
        <v>0.16</v>
      </c>
      <c r="M994" s="11" t="s">
        <v>3949</v>
      </c>
      <c r="N994" s="11" t="s">
        <v>3891</v>
      </c>
      <c r="O994" s="11" t="s">
        <v>3892</v>
      </c>
      <c r="P994" s="11" t="s">
        <v>3893</v>
      </c>
      <c r="Q994" s="12">
        <v>15.8</v>
      </c>
      <c r="R994" s="12">
        <v>20.6</v>
      </c>
      <c r="S994" s="12">
        <v>2.4</v>
      </c>
      <c r="T994" s="13">
        <v>0.4</v>
      </c>
      <c r="U994" s="13">
        <f t="shared" si="63"/>
        <v>0.24000000000000002</v>
      </c>
      <c r="V994" s="14">
        <v>49</v>
      </c>
      <c r="W994" s="14">
        <v>49</v>
      </c>
      <c r="X994" s="11">
        <v>468</v>
      </c>
      <c r="Y994" s="15" t="s">
        <v>3713</v>
      </c>
      <c r="Z994" s="16">
        <v>46</v>
      </c>
      <c r="AA994" s="17">
        <v>1533.3</v>
      </c>
      <c r="AB994" s="18" t="s">
        <v>3714</v>
      </c>
    </row>
    <row r="995" spans="1:28" x14ac:dyDescent="0.45">
      <c r="A995" s="2" t="s">
        <v>1587</v>
      </c>
      <c r="B995" s="2" t="s">
        <v>6090</v>
      </c>
      <c r="C995" s="2" t="s">
        <v>1110</v>
      </c>
      <c r="D995" s="2" t="s">
        <v>1509</v>
      </c>
      <c r="E995" s="2" t="s">
        <v>96</v>
      </c>
      <c r="F995" s="3">
        <v>15</v>
      </c>
      <c r="G995" s="3">
        <v>19</v>
      </c>
      <c r="H995" s="2" t="s">
        <v>1122</v>
      </c>
      <c r="I995" s="19">
        <v>2</v>
      </c>
      <c r="J995" s="34">
        <f t="shared" si="60"/>
        <v>1.7399999999999999E-2</v>
      </c>
      <c r="K995" s="34">
        <f t="shared" si="61"/>
        <v>0.03</v>
      </c>
      <c r="L995" s="34">
        <f t="shared" si="62"/>
        <v>0.12</v>
      </c>
      <c r="M995" s="20" t="s">
        <v>4382</v>
      </c>
      <c r="N995" s="20" t="s">
        <v>3891</v>
      </c>
      <c r="O995" s="20" t="s">
        <v>3892</v>
      </c>
      <c r="P995" s="20" t="s">
        <v>3893</v>
      </c>
      <c r="Q995" s="21">
        <v>15</v>
      </c>
      <c r="R995" s="21">
        <v>19</v>
      </c>
      <c r="S995" s="21">
        <v>2</v>
      </c>
      <c r="T995" s="22">
        <v>0.2</v>
      </c>
      <c r="U995" s="13">
        <f t="shared" si="63"/>
        <v>8.0000000000000016E-2</v>
      </c>
      <c r="V995" s="23">
        <v>24.5</v>
      </c>
      <c r="W995" s="23">
        <v>24.5</v>
      </c>
      <c r="X995" s="20">
        <v>212</v>
      </c>
      <c r="Y995" s="24" t="s">
        <v>3713</v>
      </c>
      <c r="Z995" s="16">
        <v>22.5</v>
      </c>
      <c r="AA995" s="17">
        <v>1125</v>
      </c>
      <c r="AB995" s="25" t="s">
        <v>3714</v>
      </c>
    </row>
    <row r="996" spans="1:28" x14ac:dyDescent="0.45">
      <c r="A996" s="4" t="s">
        <v>1588</v>
      </c>
      <c r="B996" s="4" t="s">
        <v>6091</v>
      </c>
      <c r="C996" s="4" t="s">
        <v>1110</v>
      </c>
      <c r="D996" s="4" t="s">
        <v>1509</v>
      </c>
      <c r="E996" s="4" t="s">
        <v>96</v>
      </c>
      <c r="F996" s="5">
        <v>15</v>
      </c>
      <c r="G996" s="5">
        <v>20</v>
      </c>
      <c r="H996" s="4" t="s">
        <v>1135</v>
      </c>
      <c r="I996" s="10">
        <v>3</v>
      </c>
      <c r="J996" s="34">
        <f t="shared" si="60"/>
        <v>2.6099999999999998E-2</v>
      </c>
      <c r="K996" s="34">
        <f t="shared" si="61"/>
        <v>0.04</v>
      </c>
      <c r="L996" s="34">
        <f t="shared" si="62"/>
        <v>0.16</v>
      </c>
      <c r="M996" s="11" t="s">
        <v>4383</v>
      </c>
      <c r="N996" s="11" t="s">
        <v>3891</v>
      </c>
      <c r="O996" s="11" t="s">
        <v>3892</v>
      </c>
      <c r="P996" s="11" t="s">
        <v>3893</v>
      </c>
      <c r="Q996" s="12">
        <v>15</v>
      </c>
      <c r="R996" s="12">
        <v>20</v>
      </c>
      <c r="S996" s="12">
        <v>2.5</v>
      </c>
      <c r="T996" s="13">
        <v>0.2</v>
      </c>
      <c r="U996" s="13">
        <f t="shared" si="63"/>
        <v>4.0000000000000008E-2</v>
      </c>
      <c r="V996" s="14">
        <v>24.5</v>
      </c>
      <c r="W996" s="14">
        <v>24.5</v>
      </c>
      <c r="X996" s="11">
        <v>1211</v>
      </c>
      <c r="Y996" s="15" t="s">
        <v>3713</v>
      </c>
      <c r="Z996" s="16">
        <v>21.5</v>
      </c>
      <c r="AA996" s="17">
        <v>716.7</v>
      </c>
      <c r="AB996" s="18" t="s">
        <v>3714</v>
      </c>
    </row>
    <row r="997" spans="1:28" x14ac:dyDescent="0.45">
      <c r="A997" s="2" t="s">
        <v>1589</v>
      </c>
      <c r="B997" s="2" t="s">
        <v>6092</v>
      </c>
      <c r="C997" s="2" t="s">
        <v>1110</v>
      </c>
      <c r="D997" s="2" t="s">
        <v>1509</v>
      </c>
      <c r="E997" s="2" t="s">
        <v>96</v>
      </c>
      <c r="F997" s="3">
        <v>15</v>
      </c>
      <c r="G997" s="3">
        <v>21</v>
      </c>
      <c r="H997" s="2" t="s">
        <v>1149</v>
      </c>
      <c r="I997" s="19">
        <v>3</v>
      </c>
      <c r="J997" s="34">
        <f t="shared" si="60"/>
        <v>2.6099999999999998E-2</v>
      </c>
      <c r="K997" s="34">
        <f t="shared" si="61"/>
        <v>0.04</v>
      </c>
      <c r="L997" s="34">
        <f t="shared" si="62"/>
        <v>0.16</v>
      </c>
      <c r="M997" s="20" t="s">
        <v>4384</v>
      </c>
      <c r="N997" s="20" t="s">
        <v>3891</v>
      </c>
      <c r="O997" s="20" t="s">
        <v>3892</v>
      </c>
      <c r="P997" s="20" t="s">
        <v>3893</v>
      </c>
      <c r="Q997" s="21">
        <v>15</v>
      </c>
      <c r="R997" s="21">
        <v>21</v>
      </c>
      <c r="S997" s="21">
        <v>3</v>
      </c>
      <c r="T997" s="22">
        <v>0.2</v>
      </c>
      <c r="U997" s="13">
        <f t="shared" si="63"/>
        <v>4.0000000000000008E-2</v>
      </c>
      <c r="V997" s="23">
        <v>24.5</v>
      </c>
      <c r="W997" s="23">
        <v>24.5</v>
      </c>
      <c r="X997" s="20">
        <v>59</v>
      </c>
      <c r="Y997" s="24" t="s">
        <v>3713</v>
      </c>
      <c r="Z997" s="16">
        <v>21.5</v>
      </c>
      <c r="AA997" s="17">
        <v>716.7</v>
      </c>
      <c r="AB997" s="25" t="s">
        <v>3714</v>
      </c>
    </row>
    <row r="998" spans="1:28" x14ac:dyDescent="0.45">
      <c r="A998" s="4" t="s">
        <v>1590</v>
      </c>
      <c r="B998" s="4" t="s">
        <v>6093</v>
      </c>
      <c r="C998" s="4" t="s">
        <v>1110</v>
      </c>
      <c r="D998" s="4" t="s">
        <v>1509</v>
      </c>
      <c r="E998" s="4" t="s">
        <v>96</v>
      </c>
      <c r="F998" s="5">
        <v>16.36</v>
      </c>
      <c r="G998" s="5">
        <v>20.78</v>
      </c>
      <c r="H998" s="4" t="s">
        <v>1161</v>
      </c>
      <c r="I998" s="10">
        <v>2</v>
      </c>
      <c r="J998" s="34">
        <f t="shared" si="60"/>
        <v>1.7399999999999999E-2</v>
      </c>
      <c r="K998" s="34">
        <f t="shared" si="61"/>
        <v>0.03</v>
      </c>
      <c r="L998" s="34">
        <f t="shared" si="62"/>
        <v>0.12</v>
      </c>
      <c r="M998" s="11" t="s">
        <v>3950</v>
      </c>
      <c r="N998" s="11" t="s">
        <v>3891</v>
      </c>
      <c r="O998" s="11" t="s">
        <v>3892</v>
      </c>
      <c r="P998" s="11" t="s">
        <v>3893</v>
      </c>
      <c r="Q998" s="12">
        <v>16.3</v>
      </c>
      <c r="R998" s="12">
        <v>20.7</v>
      </c>
      <c r="S998" s="12">
        <v>2.2000000000000002</v>
      </c>
      <c r="T998" s="13">
        <v>0.2</v>
      </c>
      <c r="U998" s="13">
        <f t="shared" si="63"/>
        <v>8.0000000000000016E-2</v>
      </c>
      <c r="V998" s="14">
        <v>24.5</v>
      </c>
      <c r="W998" s="14">
        <v>24.5</v>
      </c>
      <c r="X998" s="11">
        <v>441</v>
      </c>
      <c r="Y998" s="15" t="s">
        <v>3713</v>
      </c>
      <c r="Z998" s="16">
        <v>22.5</v>
      </c>
      <c r="AA998" s="17">
        <v>1125</v>
      </c>
      <c r="AB998" s="18" t="s">
        <v>3951</v>
      </c>
    </row>
    <row r="999" spans="1:28" x14ac:dyDescent="0.45">
      <c r="A999" s="2" t="s">
        <v>1591</v>
      </c>
      <c r="B999" s="2" t="s">
        <v>6094</v>
      </c>
      <c r="C999" s="2" t="s">
        <v>1110</v>
      </c>
      <c r="D999" s="2" t="s">
        <v>1509</v>
      </c>
      <c r="E999" s="2" t="s">
        <v>96</v>
      </c>
      <c r="F999" s="3">
        <v>16</v>
      </c>
      <c r="G999" s="3">
        <v>19.2</v>
      </c>
      <c r="H999" s="2" t="s">
        <v>1514</v>
      </c>
      <c r="I999" s="19">
        <v>3</v>
      </c>
      <c r="J999" s="34">
        <f t="shared" si="60"/>
        <v>2.6099999999999998E-2</v>
      </c>
      <c r="K999" s="34">
        <f t="shared" si="61"/>
        <v>0.04</v>
      </c>
      <c r="L999" s="34">
        <f t="shared" si="62"/>
        <v>0.16</v>
      </c>
      <c r="M999" s="20" t="s">
        <v>4385</v>
      </c>
      <c r="N999" s="20" t="s">
        <v>3891</v>
      </c>
      <c r="O999" s="20" t="s">
        <v>3892</v>
      </c>
      <c r="P999" s="20" t="s">
        <v>3893</v>
      </c>
      <c r="Q999" s="21">
        <v>16</v>
      </c>
      <c r="R999" s="21">
        <v>19</v>
      </c>
      <c r="S999" s="21">
        <v>1.5</v>
      </c>
      <c r="T999" s="22">
        <v>0.2</v>
      </c>
      <c r="U999" s="13">
        <f t="shared" si="63"/>
        <v>4.0000000000000008E-2</v>
      </c>
      <c r="V999" s="23">
        <v>24.5</v>
      </c>
      <c r="W999" s="23">
        <v>24.5</v>
      </c>
      <c r="X999" s="20">
        <v>152</v>
      </c>
      <c r="Y999" s="24" t="s">
        <v>3713</v>
      </c>
      <c r="Z999" s="16">
        <v>21.5</v>
      </c>
      <c r="AA999" s="17">
        <v>716.7</v>
      </c>
      <c r="AB999" s="25" t="s">
        <v>3793</v>
      </c>
    </row>
    <row r="1000" spans="1:28" x14ac:dyDescent="0.45">
      <c r="A1000" s="4" t="s">
        <v>1592</v>
      </c>
      <c r="B1000" s="4" t="s">
        <v>6095</v>
      </c>
      <c r="C1000" s="4" t="s">
        <v>1110</v>
      </c>
      <c r="D1000" s="4" t="s">
        <v>1509</v>
      </c>
      <c r="E1000" s="4" t="s">
        <v>96</v>
      </c>
      <c r="F1000" s="5">
        <v>16</v>
      </c>
      <c r="G1000" s="5">
        <v>20</v>
      </c>
      <c r="H1000" s="4" t="s">
        <v>1122</v>
      </c>
      <c r="I1000" s="10">
        <v>2</v>
      </c>
      <c r="J1000" s="34">
        <f t="shared" si="60"/>
        <v>1.7399999999999999E-2</v>
      </c>
      <c r="K1000" s="34">
        <f t="shared" si="61"/>
        <v>0.03</v>
      </c>
      <c r="L1000" s="34">
        <f t="shared" si="62"/>
        <v>0.12</v>
      </c>
      <c r="M1000" s="11" t="s">
        <v>3952</v>
      </c>
      <c r="N1000" s="11" t="s">
        <v>3898</v>
      </c>
      <c r="O1000" s="11" t="s">
        <v>3892</v>
      </c>
      <c r="P1000" s="11" t="s">
        <v>3899</v>
      </c>
      <c r="Q1000" s="12">
        <v>16</v>
      </c>
      <c r="R1000" s="12">
        <v>20</v>
      </c>
      <c r="S1000" s="12">
        <v>2</v>
      </c>
      <c r="T1000" s="13">
        <v>0.2</v>
      </c>
      <c r="U1000" s="13">
        <f t="shared" si="63"/>
        <v>8.0000000000000016E-2</v>
      </c>
      <c r="V1000" s="14">
        <v>24.5</v>
      </c>
      <c r="W1000" s="14">
        <v>24.5</v>
      </c>
      <c r="X1000" s="11">
        <v>328</v>
      </c>
      <c r="Y1000" s="15" t="s">
        <v>3713</v>
      </c>
      <c r="Z1000" s="16">
        <v>22.5</v>
      </c>
      <c r="AA1000" s="17">
        <v>1125</v>
      </c>
      <c r="AB1000" s="18" t="s">
        <v>3714</v>
      </c>
    </row>
    <row r="1001" spans="1:28" x14ac:dyDescent="0.45">
      <c r="A1001" s="2" t="s">
        <v>1593</v>
      </c>
      <c r="B1001" s="2" t="s">
        <v>6096</v>
      </c>
      <c r="C1001" s="2" t="s">
        <v>1110</v>
      </c>
      <c r="D1001" s="2" t="s">
        <v>1509</v>
      </c>
      <c r="E1001" s="2" t="s">
        <v>96</v>
      </c>
      <c r="F1001" s="3">
        <v>16</v>
      </c>
      <c r="G1001" s="3">
        <v>21</v>
      </c>
      <c r="H1001" s="2" t="s">
        <v>1135</v>
      </c>
      <c r="I1001" s="19">
        <v>3</v>
      </c>
      <c r="J1001" s="34">
        <f t="shared" si="60"/>
        <v>2.6099999999999998E-2</v>
      </c>
      <c r="K1001" s="34">
        <f t="shared" si="61"/>
        <v>0.04</v>
      </c>
      <c r="L1001" s="34">
        <f t="shared" si="62"/>
        <v>0.16</v>
      </c>
      <c r="M1001" s="20" t="s">
        <v>3953</v>
      </c>
      <c r="N1001" s="20" t="s">
        <v>3898</v>
      </c>
      <c r="O1001" s="20" t="s">
        <v>3892</v>
      </c>
      <c r="P1001" s="20" t="s">
        <v>3899</v>
      </c>
      <c r="Q1001" s="21">
        <v>16</v>
      </c>
      <c r="R1001" s="21">
        <v>21</v>
      </c>
      <c r="S1001" s="21">
        <v>2.5</v>
      </c>
      <c r="T1001" s="22">
        <v>0.67</v>
      </c>
      <c r="U1001" s="13">
        <f t="shared" si="63"/>
        <v>0.51</v>
      </c>
      <c r="V1001" s="23">
        <v>82.08</v>
      </c>
      <c r="W1001" s="23">
        <v>82.08</v>
      </c>
      <c r="X1001" s="20">
        <v>4</v>
      </c>
      <c r="Y1001" s="24" t="s">
        <v>3713</v>
      </c>
      <c r="Z1001" s="16">
        <v>79.08</v>
      </c>
      <c r="AA1001" s="17">
        <v>2636</v>
      </c>
      <c r="AB1001" s="25" t="s">
        <v>3714</v>
      </c>
    </row>
    <row r="1002" spans="1:28" x14ac:dyDescent="0.45">
      <c r="A1002" s="4" t="s">
        <v>1594</v>
      </c>
      <c r="B1002" s="4" t="s">
        <v>6097</v>
      </c>
      <c r="C1002" s="4" t="s">
        <v>1110</v>
      </c>
      <c r="D1002" s="4" t="s">
        <v>1509</v>
      </c>
      <c r="E1002" s="4" t="s">
        <v>96</v>
      </c>
      <c r="F1002" s="5">
        <v>16</v>
      </c>
      <c r="G1002" s="5">
        <v>22</v>
      </c>
      <c r="H1002" s="4" t="s">
        <v>1149</v>
      </c>
      <c r="I1002" s="10">
        <v>3</v>
      </c>
      <c r="J1002" s="34">
        <f t="shared" si="60"/>
        <v>2.6099999999999998E-2</v>
      </c>
      <c r="K1002" s="34">
        <f t="shared" si="61"/>
        <v>0.04</v>
      </c>
      <c r="L1002" s="34">
        <f t="shared" si="62"/>
        <v>0.16</v>
      </c>
      <c r="M1002" s="11" t="s">
        <v>4386</v>
      </c>
      <c r="N1002" s="11" t="s">
        <v>3891</v>
      </c>
      <c r="O1002" s="11" t="s">
        <v>3892</v>
      </c>
      <c r="P1002" s="11" t="s">
        <v>3893</v>
      </c>
      <c r="Q1002" s="12">
        <v>16</v>
      </c>
      <c r="R1002" s="12">
        <v>22</v>
      </c>
      <c r="S1002" s="12">
        <v>3</v>
      </c>
      <c r="T1002" s="13">
        <v>0.2</v>
      </c>
      <c r="U1002" s="13">
        <f t="shared" si="63"/>
        <v>4.0000000000000008E-2</v>
      </c>
      <c r="V1002" s="14">
        <v>24.5</v>
      </c>
      <c r="W1002" s="14">
        <v>24.5</v>
      </c>
      <c r="X1002" s="11">
        <v>769</v>
      </c>
      <c r="Y1002" s="15" t="s">
        <v>3713</v>
      </c>
      <c r="Z1002" s="16">
        <v>21.5</v>
      </c>
      <c r="AA1002" s="17">
        <v>716.7</v>
      </c>
      <c r="AB1002" s="18" t="s">
        <v>3714</v>
      </c>
    </row>
    <row r="1003" spans="1:28" x14ac:dyDescent="0.45">
      <c r="A1003" s="2" t="s">
        <v>1595</v>
      </c>
      <c r="B1003" s="2" t="s">
        <v>6098</v>
      </c>
      <c r="C1003" s="2" t="s">
        <v>1110</v>
      </c>
      <c r="D1003" s="2" t="s">
        <v>1509</v>
      </c>
      <c r="E1003" s="2" t="s">
        <v>96</v>
      </c>
      <c r="F1003" s="3">
        <v>17.04</v>
      </c>
      <c r="G1003" s="3">
        <v>24.1</v>
      </c>
      <c r="H1003" s="2" t="s">
        <v>1156</v>
      </c>
      <c r="I1003" s="19">
        <v>5</v>
      </c>
      <c r="J1003" s="34">
        <f t="shared" si="60"/>
        <v>4.3499999999999997E-2</v>
      </c>
      <c r="K1003" s="34">
        <f t="shared" si="61"/>
        <v>7.0000000000000007E-2</v>
      </c>
      <c r="L1003" s="34">
        <f t="shared" si="62"/>
        <v>0.28000000000000003</v>
      </c>
      <c r="M1003" s="20" t="s">
        <v>3954</v>
      </c>
      <c r="N1003" s="20" t="s">
        <v>3891</v>
      </c>
      <c r="O1003" s="20" t="s">
        <v>3892</v>
      </c>
      <c r="P1003" s="20" t="s">
        <v>3893</v>
      </c>
      <c r="Q1003" s="21">
        <v>17</v>
      </c>
      <c r="R1003" s="21">
        <v>24</v>
      </c>
      <c r="S1003" s="21">
        <v>3.5</v>
      </c>
      <c r="T1003" s="22">
        <v>0.2</v>
      </c>
      <c r="U1003" s="13">
        <f t="shared" si="63"/>
        <v>-8.0000000000000016E-2</v>
      </c>
      <c r="V1003" s="23">
        <v>24.5</v>
      </c>
      <c r="W1003" s="23">
        <v>24.5</v>
      </c>
      <c r="X1003" s="20">
        <v>986</v>
      </c>
      <c r="Y1003" s="24" t="s">
        <v>3713</v>
      </c>
      <c r="Z1003" s="16">
        <v>19.5</v>
      </c>
      <c r="AA1003" s="17">
        <v>390</v>
      </c>
      <c r="AB1003" s="25" t="s">
        <v>3955</v>
      </c>
    </row>
    <row r="1004" spans="1:28" x14ac:dyDescent="0.45">
      <c r="A1004" s="4" t="s">
        <v>1596</v>
      </c>
      <c r="B1004" s="4" t="s">
        <v>6099</v>
      </c>
      <c r="C1004" s="4" t="s">
        <v>1110</v>
      </c>
      <c r="D1004" s="4" t="s">
        <v>1509</v>
      </c>
      <c r="E1004" s="4" t="s">
        <v>96</v>
      </c>
      <c r="F1004" s="5">
        <v>17.12</v>
      </c>
      <c r="G1004" s="5">
        <v>22.36</v>
      </c>
      <c r="H1004" s="4" t="s">
        <v>1127</v>
      </c>
      <c r="I1004" s="10">
        <v>3</v>
      </c>
      <c r="J1004" s="34">
        <f t="shared" si="60"/>
        <v>2.6099999999999998E-2</v>
      </c>
      <c r="K1004" s="34">
        <f t="shared" si="61"/>
        <v>0.04</v>
      </c>
      <c r="L1004" s="34">
        <f t="shared" si="62"/>
        <v>0.16</v>
      </c>
      <c r="M1004" s="11" t="s">
        <v>3956</v>
      </c>
      <c r="N1004" s="11" t="s">
        <v>3891</v>
      </c>
      <c r="O1004" s="11" t="s">
        <v>3892</v>
      </c>
      <c r="P1004" s="11" t="s">
        <v>3893</v>
      </c>
      <c r="Q1004" s="12">
        <v>16.899999999999999</v>
      </c>
      <c r="R1004" s="12">
        <v>22.3</v>
      </c>
      <c r="S1004" s="12">
        <v>2.7</v>
      </c>
      <c r="T1004" s="13">
        <v>0.2</v>
      </c>
      <c r="U1004" s="13">
        <f t="shared" si="63"/>
        <v>4.0000000000000008E-2</v>
      </c>
      <c r="V1004" s="14">
        <v>24.5</v>
      </c>
      <c r="W1004" s="14">
        <v>24.5</v>
      </c>
      <c r="X1004" s="11" t="s">
        <v>3722</v>
      </c>
      <c r="Y1004" s="15" t="s">
        <v>3713</v>
      </c>
      <c r="Z1004" s="16">
        <v>21.5</v>
      </c>
      <c r="AA1004" s="17">
        <v>716.7</v>
      </c>
      <c r="AB1004" s="18" t="s">
        <v>3957</v>
      </c>
    </row>
    <row r="1005" spans="1:28" x14ac:dyDescent="0.45">
      <c r="A1005" s="2" t="s">
        <v>1597</v>
      </c>
      <c r="B1005" s="2" t="s">
        <v>6100</v>
      </c>
      <c r="C1005" s="2" t="s">
        <v>1110</v>
      </c>
      <c r="D1005" s="2" t="s">
        <v>1509</v>
      </c>
      <c r="E1005" s="2" t="s">
        <v>96</v>
      </c>
      <c r="F1005" s="3">
        <v>17.170000000000002</v>
      </c>
      <c r="G1005" s="3">
        <v>20.73</v>
      </c>
      <c r="H1005" s="2" t="s">
        <v>1114</v>
      </c>
      <c r="I1005" s="19">
        <v>2</v>
      </c>
      <c r="J1005" s="34">
        <f t="shared" si="60"/>
        <v>1.7399999999999999E-2</v>
      </c>
      <c r="K1005" s="34">
        <f t="shared" si="61"/>
        <v>0.03</v>
      </c>
      <c r="L1005" s="34">
        <f t="shared" si="62"/>
        <v>0.12</v>
      </c>
      <c r="M1005" s="20" t="s">
        <v>3958</v>
      </c>
      <c r="N1005" s="20" t="s">
        <v>3898</v>
      </c>
      <c r="O1005" s="20" t="s">
        <v>3892</v>
      </c>
      <c r="P1005" s="20" t="s">
        <v>3899</v>
      </c>
      <c r="Q1005" s="21">
        <v>17</v>
      </c>
      <c r="R1005" s="21">
        <v>21</v>
      </c>
      <c r="S1005" s="21">
        <v>2</v>
      </c>
      <c r="T1005" s="22">
        <v>0.2</v>
      </c>
      <c r="U1005" s="13">
        <f t="shared" si="63"/>
        <v>8.0000000000000016E-2</v>
      </c>
      <c r="V1005" s="23">
        <v>24.5</v>
      </c>
      <c r="W1005" s="23">
        <v>24.5</v>
      </c>
      <c r="X1005" s="20">
        <v>220</v>
      </c>
      <c r="Y1005" s="24" t="s">
        <v>3713</v>
      </c>
      <c r="Z1005" s="16">
        <v>22.5</v>
      </c>
      <c r="AA1005" s="17">
        <v>1125</v>
      </c>
      <c r="AB1005" s="25" t="s">
        <v>3959</v>
      </c>
    </row>
    <row r="1006" spans="1:28" x14ac:dyDescent="0.45">
      <c r="A1006" s="4" t="s">
        <v>1598</v>
      </c>
      <c r="B1006" s="4" t="s">
        <v>6101</v>
      </c>
      <c r="C1006" s="4" t="s">
        <v>1110</v>
      </c>
      <c r="D1006" s="4" t="s">
        <v>1509</v>
      </c>
      <c r="E1006" s="4" t="s">
        <v>96</v>
      </c>
      <c r="F1006" s="5">
        <v>17.100000000000001</v>
      </c>
      <c r="G1006" s="5">
        <v>20.3</v>
      </c>
      <c r="H1006" s="4" t="s">
        <v>1514</v>
      </c>
      <c r="I1006" s="10">
        <v>3</v>
      </c>
      <c r="J1006" s="34">
        <f t="shared" si="60"/>
        <v>2.6099999999999998E-2</v>
      </c>
      <c r="K1006" s="34">
        <f t="shared" si="61"/>
        <v>0.04</v>
      </c>
      <c r="L1006" s="34">
        <f t="shared" si="62"/>
        <v>0.16</v>
      </c>
      <c r="M1006" s="11" t="s">
        <v>4387</v>
      </c>
      <c r="N1006" s="11" t="s">
        <v>3891</v>
      </c>
      <c r="O1006" s="11" t="s">
        <v>3892</v>
      </c>
      <c r="P1006" s="11" t="s">
        <v>3893</v>
      </c>
      <c r="Q1006" s="12">
        <v>17.100000000000001</v>
      </c>
      <c r="R1006" s="12">
        <v>20.3</v>
      </c>
      <c r="S1006" s="12">
        <v>1.6</v>
      </c>
      <c r="T1006" s="13">
        <v>0.2</v>
      </c>
      <c r="U1006" s="13">
        <f t="shared" si="63"/>
        <v>4.0000000000000008E-2</v>
      </c>
      <c r="V1006" s="14">
        <v>24.5</v>
      </c>
      <c r="W1006" s="14">
        <v>24.5</v>
      </c>
      <c r="X1006" s="11">
        <v>1125</v>
      </c>
      <c r="Y1006" s="15" t="s">
        <v>3713</v>
      </c>
      <c r="Z1006" s="16">
        <v>21.5</v>
      </c>
      <c r="AA1006" s="17">
        <v>716.7</v>
      </c>
      <c r="AB1006" s="18" t="s">
        <v>3714</v>
      </c>
    </row>
    <row r="1007" spans="1:28" x14ac:dyDescent="0.45">
      <c r="A1007" s="2" t="s">
        <v>1599</v>
      </c>
      <c r="B1007" s="2" t="s">
        <v>6102</v>
      </c>
      <c r="C1007" s="2" t="s">
        <v>1110</v>
      </c>
      <c r="D1007" s="2" t="s">
        <v>1509</v>
      </c>
      <c r="E1007" s="2" t="s">
        <v>96</v>
      </c>
      <c r="F1007" s="3">
        <v>17.8</v>
      </c>
      <c r="G1007" s="3">
        <v>22.6</v>
      </c>
      <c r="H1007" s="2" t="s">
        <v>1140</v>
      </c>
      <c r="I1007" s="19">
        <v>3</v>
      </c>
      <c r="J1007" s="34">
        <f t="shared" si="60"/>
        <v>2.6099999999999998E-2</v>
      </c>
      <c r="K1007" s="34">
        <f t="shared" si="61"/>
        <v>0.04</v>
      </c>
      <c r="L1007" s="34">
        <f t="shared" si="62"/>
        <v>0.16</v>
      </c>
      <c r="M1007" s="20" t="s">
        <v>3960</v>
      </c>
      <c r="N1007" s="20" t="s">
        <v>3891</v>
      </c>
      <c r="O1007" s="20" t="s">
        <v>3892</v>
      </c>
      <c r="P1007" s="20" t="s">
        <v>3893</v>
      </c>
      <c r="Q1007" s="21">
        <v>17.8</v>
      </c>
      <c r="R1007" s="21">
        <v>22.6</v>
      </c>
      <c r="S1007" s="21">
        <v>2.4</v>
      </c>
      <c r="T1007" s="22">
        <v>0.2</v>
      </c>
      <c r="U1007" s="13">
        <f t="shared" si="63"/>
        <v>4.0000000000000008E-2</v>
      </c>
      <c r="V1007" s="23">
        <v>24.5</v>
      </c>
      <c r="W1007" s="23">
        <v>24.5</v>
      </c>
      <c r="X1007" s="20">
        <v>6714</v>
      </c>
      <c r="Y1007" s="24" t="s">
        <v>3713</v>
      </c>
      <c r="Z1007" s="16">
        <v>21.5</v>
      </c>
      <c r="AA1007" s="17">
        <v>716.7</v>
      </c>
      <c r="AB1007" s="25" t="s">
        <v>3714</v>
      </c>
    </row>
    <row r="1008" spans="1:28" x14ac:dyDescent="0.45">
      <c r="A1008" s="4" t="s">
        <v>1600</v>
      </c>
      <c r="B1008" s="4" t="s">
        <v>6103</v>
      </c>
      <c r="C1008" s="4" t="s">
        <v>1110</v>
      </c>
      <c r="D1008" s="4" t="s">
        <v>1509</v>
      </c>
      <c r="E1008" s="4" t="s">
        <v>96</v>
      </c>
      <c r="F1008" s="5">
        <v>17</v>
      </c>
      <c r="G1008" s="5">
        <v>21</v>
      </c>
      <c r="H1008" s="4" t="s">
        <v>1122</v>
      </c>
      <c r="I1008" s="10">
        <v>2</v>
      </c>
      <c r="J1008" s="34">
        <f t="shared" si="60"/>
        <v>1.7399999999999999E-2</v>
      </c>
      <c r="K1008" s="34">
        <f t="shared" si="61"/>
        <v>0.03</v>
      </c>
      <c r="L1008" s="34">
        <f t="shared" si="62"/>
        <v>0.12</v>
      </c>
      <c r="M1008" s="11" t="s">
        <v>3958</v>
      </c>
      <c r="N1008" s="11" t="s">
        <v>3898</v>
      </c>
      <c r="O1008" s="11" t="s">
        <v>3892</v>
      </c>
      <c r="P1008" s="11" t="s">
        <v>3899</v>
      </c>
      <c r="Q1008" s="12">
        <v>17</v>
      </c>
      <c r="R1008" s="12">
        <v>21</v>
      </c>
      <c r="S1008" s="12">
        <v>2</v>
      </c>
      <c r="T1008" s="13">
        <v>0.2</v>
      </c>
      <c r="U1008" s="13">
        <f t="shared" si="63"/>
        <v>8.0000000000000016E-2</v>
      </c>
      <c r="V1008" s="14">
        <v>24.5</v>
      </c>
      <c r="W1008" s="14">
        <v>24.5</v>
      </c>
      <c r="X1008" s="11">
        <v>220</v>
      </c>
      <c r="Y1008" s="15" t="s">
        <v>3713</v>
      </c>
      <c r="Z1008" s="16">
        <v>22.5</v>
      </c>
      <c r="AA1008" s="17">
        <v>1125</v>
      </c>
      <c r="AB1008" s="18" t="s">
        <v>3714</v>
      </c>
    </row>
    <row r="1009" spans="1:28" x14ac:dyDescent="0.45">
      <c r="A1009" s="2" t="s">
        <v>1601</v>
      </c>
      <c r="B1009" s="2" t="s">
        <v>6104</v>
      </c>
      <c r="C1009" s="2" t="s">
        <v>1110</v>
      </c>
      <c r="D1009" s="2" t="s">
        <v>1509</v>
      </c>
      <c r="E1009" s="2" t="s">
        <v>96</v>
      </c>
      <c r="F1009" s="3">
        <v>17</v>
      </c>
      <c r="G1009" s="3">
        <v>22</v>
      </c>
      <c r="H1009" s="2" t="s">
        <v>1135</v>
      </c>
      <c r="I1009" s="19">
        <v>3</v>
      </c>
      <c r="J1009" s="34">
        <f t="shared" si="60"/>
        <v>2.6099999999999998E-2</v>
      </c>
      <c r="K1009" s="34">
        <f t="shared" si="61"/>
        <v>0.04</v>
      </c>
      <c r="L1009" s="34">
        <f t="shared" si="62"/>
        <v>0.16</v>
      </c>
      <c r="M1009" s="20" t="s">
        <v>3961</v>
      </c>
      <c r="N1009" s="20" t="s">
        <v>3891</v>
      </c>
      <c r="O1009" s="20" t="s">
        <v>3892</v>
      </c>
      <c r="P1009" s="20" t="s">
        <v>3893</v>
      </c>
      <c r="Q1009" s="21">
        <v>17</v>
      </c>
      <c r="R1009" s="21">
        <v>22</v>
      </c>
      <c r="S1009" s="21">
        <v>2.5</v>
      </c>
      <c r="T1009" s="22">
        <v>0.2</v>
      </c>
      <c r="U1009" s="13">
        <f t="shared" si="63"/>
        <v>4.0000000000000008E-2</v>
      </c>
      <c r="V1009" s="23">
        <v>24.5</v>
      </c>
      <c r="W1009" s="23">
        <v>24.5</v>
      </c>
      <c r="X1009" s="20">
        <v>1615</v>
      </c>
      <c r="Y1009" s="24" t="s">
        <v>3713</v>
      </c>
      <c r="Z1009" s="16">
        <v>21.5</v>
      </c>
      <c r="AA1009" s="17">
        <v>716.7</v>
      </c>
      <c r="AB1009" s="25" t="s">
        <v>3714</v>
      </c>
    </row>
    <row r="1010" spans="1:28" x14ac:dyDescent="0.45">
      <c r="A1010" s="4" t="s">
        <v>1602</v>
      </c>
      <c r="B1010" s="4" t="s">
        <v>6105</v>
      </c>
      <c r="C1010" s="4" t="s">
        <v>1110</v>
      </c>
      <c r="D1010" s="4" t="s">
        <v>1509</v>
      </c>
      <c r="E1010" s="4" t="s">
        <v>96</v>
      </c>
      <c r="F1010" s="5">
        <v>18.64</v>
      </c>
      <c r="G1010" s="5">
        <v>25.7</v>
      </c>
      <c r="H1010" s="4" t="s">
        <v>1156</v>
      </c>
      <c r="I1010" s="10">
        <v>5</v>
      </c>
      <c r="J1010" s="34">
        <f t="shared" si="60"/>
        <v>4.3499999999999997E-2</v>
      </c>
      <c r="K1010" s="34">
        <f t="shared" si="61"/>
        <v>7.0000000000000007E-2</v>
      </c>
      <c r="L1010" s="34">
        <f t="shared" si="62"/>
        <v>0.28000000000000003</v>
      </c>
      <c r="M1010" s="11" t="s">
        <v>3962</v>
      </c>
      <c r="N1010" s="11" t="s">
        <v>3891</v>
      </c>
      <c r="O1010" s="11" t="s">
        <v>3892</v>
      </c>
      <c r="P1010" s="11" t="s">
        <v>3893</v>
      </c>
      <c r="Q1010" s="12">
        <v>18.542000000000002</v>
      </c>
      <c r="R1010" s="12">
        <v>25.654</v>
      </c>
      <c r="S1010" s="12">
        <v>3.556</v>
      </c>
      <c r="T1010" s="13">
        <v>0.2</v>
      </c>
      <c r="U1010" s="13">
        <f t="shared" si="63"/>
        <v>-8.0000000000000016E-2</v>
      </c>
      <c r="V1010" s="14">
        <v>24.5</v>
      </c>
      <c r="W1010" s="14">
        <v>24.5</v>
      </c>
      <c r="X1010" s="11">
        <v>14</v>
      </c>
      <c r="Y1010" s="15" t="s">
        <v>3737</v>
      </c>
      <c r="Z1010" s="16">
        <v>19.5</v>
      </c>
      <c r="AA1010" s="17">
        <v>390</v>
      </c>
      <c r="AB1010" s="18" t="s">
        <v>3963</v>
      </c>
    </row>
    <row r="1011" spans="1:28" x14ac:dyDescent="0.45">
      <c r="A1011" s="2" t="s">
        <v>1603</v>
      </c>
      <c r="B1011" s="2" t="s">
        <v>6106</v>
      </c>
      <c r="C1011" s="2" t="s">
        <v>1110</v>
      </c>
      <c r="D1011" s="2" t="s">
        <v>1509</v>
      </c>
      <c r="E1011" s="2" t="s">
        <v>96</v>
      </c>
      <c r="F1011" s="3">
        <v>18.72</v>
      </c>
      <c r="G1011" s="3">
        <v>23.96</v>
      </c>
      <c r="H1011" s="2" t="s">
        <v>1127</v>
      </c>
      <c r="I1011" s="19">
        <v>3</v>
      </c>
      <c r="J1011" s="34">
        <f t="shared" si="60"/>
        <v>2.6099999999999998E-2</v>
      </c>
      <c r="K1011" s="34">
        <f t="shared" si="61"/>
        <v>0.04</v>
      </c>
      <c r="L1011" s="34">
        <f t="shared" si="62"/>
        <v>0.16</v>
      </c>
      <c r="M1011" s="20" t="s">
        <v>3964</v>
      </c>
      <c r="N1011" s="20" t="s">
        <v>3891</v>
      </c>
      <c r="O1011" s="20" t="s">
        <v>3892</v>
      </c>
      <c r="P1011" s="20" t="s">
        <v>3893</v>
      </c>
      <c r="Q1011" s="21">
        <v>19</v>
      </c>
      <c r="R1011" s="21">
        <v>24</v>
      </c>
      <c r="S1011" s="21">
        <v>2.5</v>
      </c>
      <c r="T1011" s="22">
        <v>0.2</v>
      </c>
      <c r="U1011" s="13">
        <f t="shared" si="63"/>
        <v>4.0000000000000008E-2</v>
      </c>
      <c r="V1011" s="23">
        <v>24.5</v>
      </c>
      <c r="W1011" s="23">
        <v>24.5</v>
      </c>
      <c r="X1011" s="20">
        <v>1349</v>
      </c>
      <c r="Y1011" s="24" t="s">
        <v>3713</v>
      </c>
      <c r="Z1011" s="16">
        <v>21.5</v>
      </c>
      <c r="AA1011" s="17">
        <v>716.7</v>
      </c>
      <c r="AB1011" s="25" t="s">
        <v>3965</v>
      </c>
    </row>
    <row r="1012" spans="1:28" x14ac:dyDescent="0.45">
      <c r="A1012" s="4" t="s">
        <v>1604</v>
      </c>
      <c r="B1012" s="4" t="s">
        <v>6107</v>
      </c>
      <c r="C1012" s="4" t="s">
        <v>1110</v>
      </c>
      <c r="D1012" s="4" t="s">
        <v>1509</v>
      </c>
      <c r="E1012" s="4" t="s">
        <v>96</v>
      </c>
      <c r="F1012" s="5">
        <v>18.77</v>
      </c>
      <c r="G1012" s="5">
        <v>22.33</v>
      </c>
      <c r="H1012" s="4" t="s">
        <v>1114</v>
      </c>
      <c r="I1012" s="10">
        <v>2</v>
      </c>
      <c r="J1012" s="34">
        <f t="shared" si="60"/>
        <v>1.7399999999999999E-2</v>
      </c>
      <c r="K1012" s="34">
        <f t="shared" si="61"/>
        <v>0.03</v>
      </c>
      <c r="L1012" s="34">
        <f t="shared" si="62"/>
        <v>0.12</v>
      </c>
      <c r="M1012" s="11" t="s">
        <v>3966</v>
      </c>
      <c r="N1012" s="11" t="s">
        <v>3898</v>
      </c>
      <c r="O1012" s="11" t="s">
        <v>3892</v>
      </c>
      <c r="P1012" s="11" t="s">
        <v>3899</v>
      </c>
      <c r="Q1012" s="12">
        <v>18.795999999999999</v>
      </c>
      <c r="R1012" s="12">
        <v>22.352</v>
      </c>
      <c r="S1012" s="12">
        <v>1.778</v>
      </c>
      <c r="T1012" s="13">
        <v>0.2</v>
      </c>
      <c r="U1012" s="13">
        <f t="shared" si="63"/>
        <v>8.0000000000000016E-2</v>
      </c>
      <c r="V1012" s="14">
        <v>24.5</v>
      </c>
      <c r="W1012" s="14">
        <v>24.5</v>
      </c>
      <c r="X1012" s="11">
        <v>1927</v>
      </c>
      <c r="Y1012" s="15" t="s">
        <v>3737</v>
      </c>
      <c r="Z1012" s="16">
        <v>22.5</v>
      </c>
      <c r="AA1012" s="17">
        <v>1125</v>
      </c>
      <c r="AB1012" s="18" t="s">
        <v>3967</v>
      </c>
    </row>
    <row r="1013" spans="1:28" x14ac:dyDescent="0.45">
      <c r="A1013" s="2" t="s">
        <v>1605</v>
      </c>
      <c r="B1013" s="2" t="s">
        <v>6108</v>
      </c>
      <c r="C1013" s="2" t="s">
        <v>1110</v>
      </c>
      <c r="D1013" s="2" t="s">
        <v>1509</v>
      </c>
      <c r="E1013" s="2" t="s">
        <v>96</v>
      </c>
      <c r="F1013" s="3">
        <v>18</v>
      </c>
      <c r="G1013" s="3">
        <v>22</v>
      </c>
      <c r="H1013" s="2" t="s">
        <v>1122</v>
      </c>
      <c r="I1013" s="19">
        <v>3</v>
      </c>
      <c r="J1013" s="34">
        <f t="shared" si="60"/>
        <v>2.6099999999999998E-2</v>
      </c>
      <c r="K1013" s="34">
        <f t="shared" si="61"/>
        <v>0.04</v>
      </c>
      <c r="L1013" s="34">
        <f t="shared" si="62"/>
        <v>0.16</v>
      </c>
      <c r="M1013" s="20" t="s">
        <v>4388</v>
      </c>
      <c r="N1013" s="20" t="s">
        <v>3891</v>
      </c>
      <c r="O1013" s="20" t="s">
        <v>3892</v>
      </c>
      <c r="P1013" s="20" t="s">
        <v>3893</v>
      </c>
      <c r="Q1013" s="21">
        <v>18</v>
      </c>
      <c r="R1013" s="21">
        <v>22</v>
      </c>
      <c r="S1013" s="21">
        <v>2</v>
      </c>
      <c r="T1013" s="22">
        <v>0.2</v>
      </c>
      <c r="U1013" s="13">
        <f t="shared" si="63"/>
        <v>4.0000000000000008E-2</v>
      </c>
      <c r="V1013" s="23">
        <v>24.5</v>
      </c>
      <c r="W1013" s="23">
        <v>24.5</v>
      </c>
      <c r="X1013" s="20">
        <v>1103</v>
      </c>
      <c r="Y1013" s="24" t="s">
        <v>3713</v>
      </c>
      <c r="Z1013" s="16">
        <v>21.5</v>
      </c>
      <c r="AA1013" s="17">
        <v>716.7</v>
      </c>
      <c r="AB1013" s="25" t="s">
        <v>3714</v>
      </c>
    </row>
    <row r="1014" spans="1:28" x14ac:dyDescent="0.45">
      <c r="A1014" s="4" t="s">
        <v>1606</v>
      </c>
      <c r="B1014" s="4" t="s">
        <v>6109</v>
      </c>
      <c r="C1014" s="4" t="s">
        <v>1110</v>
      </c>
      <c r="D1014" s="4" t="s">
        <v>1509</v>
      </c>
      <c r="E1014" s="4" t="s">
        <v>96</v>
      </c>
      <c r="F1014" s="5">
        <v>18</v>
      </c>
      <c r="G1014" s="5">
        <v>23</v>
      </c>
      <c r="H1014" s="4" t="s">
        <v>1135</v>
      </c>
      <c r="I1014" s="10">
        <v>3</v>
      </c>
      <c r="J1014" s="34">
        <f t="shared" si="60"/>
        <v>2.6099999999999998E-2</v>
      </c>
      <c r="K1014" s="34">
        <f t="shared" si="61"/>
        <v>0.04</v>
      </c>
      <c r="L1014" s="34">
        <f t="shared" si="62"/>
        <v>0.16</v>
      </c>
      <c r="M1014" s="11" t="s">
        <v>4389</v>
      </c>
      <c r="N1014" s="11" t="s">
        <v>3891</v>
      </c>
      <c r="O1014" s="11" t="s">
        <v>3892</v>
      </c>
      <c r="P1014" s="11" t="s">
        <v>3893</v>
      </c>
      <c r="Q1014" s="12">
        <v>18</v>
      </c>
      <c r="R1014" s="12">
        <v>23</v>
      </c>
      <c r="S1014" s="12">
        <v>2.5</v>
      </c>
      <c r="T1014" s="13">
        <v>0.2</v>
      </c>
      <c r="U1014" s="13">
        <f t="shared" si="63"/>
        <v>4.0000000000000008E-2</v>
      </c>
      <c r="V1014" s="14">
        <v>24.5</v>
      </c>
      <c r="W1014" s="14">
        <v>24.5</v>
      </c>
      <c r="X1014" s="11">
        <v>1227</v>
      </c>
      <c r="Y1014" s="15" t="s">
        <v>3713</v>
      </c>
      <c r="Z1014" s="16">
        <v>21.5</v>
      </c>
      <c r="AA1014" s="17">
        <v>716.7</v>
      </c>
      <c r="AB1014" s="18" t="s">
        <v>3714</v>
      </c>
    </row>
    <row r="1015" spans="1:28" x14ac:dyDescent="0.45">
      <c r="A1015" s="2" t="s">
        <v>1607</v>
      </c>
      <c r="B1015" s="2" t="s">
        <v>6110</v>
      </c>
      <c r="C1015" s="2" t="s">
        <v>1110</v>
      </c>
      <c r="D1015" s="2" t="s">
        <v>1509</v>
      </c>
      <c r="E1015" s="2" t="s">
        <v>96</v>
      </c>
      <c r="F1015" s="3">
        <v>18</v>
      </c>
      <c r="G1015" s="3">
        <v>24</v>
      </c>
      <c r="H1015" s="2" t="s">
        <v>1149</v>
      </c>
      <c r="I1015" s="19">
        <v>3</v>
      </c>
      <c r="J1015" s="34">
        <f t="shared" si="60"/>
        <v>2.6099999999999998E-2</v>
      </c>
      <c r="K1015" s="34">
        <f t="shared" si="61"/>
        <v>0.04</v>
      </c>
      <c r="L1015" s="34">
        <f t="shared" si="62"/>
        <v>0.16</v>
      </c>
      <c r="M1015" s="20" t="s">
        <v>4390</v>
      </c>
      <c r="N1015" s="20" t="s">
        <v>3898</v>
      </c>
      <c r="O1015" s="20" t="s">
        <v>3892</v>
      </c>
      <c r="P1015" s="20" t="s">
        <v>3899</v>
      </c>
      <c r="Q1015" s="21">
        <v>18</v>
      </c>
      <c r="R1015" s="21">
        <v>24</v>
      </c>
      <c r="S1015" s="21">
        <v>3</v>
      </c>
      <c r="T1015" s="22">
        <v>0.2</v>
      </c>
      <c r="U1015" s="13">
        <f t="shared" si="63"/>
        <v>4.0000000000000008E-2</v>
      </c>
      <c r="V1015" s="23">
        <v>24.5</v>
      </c>
      <c r="W1015" s="23">
        <v>24.5</v>
      </c>
      <c r="X1015" s="20" t="s">
        <v>3722</v>
      </c>
      <c r="Y1015" s="24" t="s">
        <v>3713</v>
      </c>
      <c r="Z1015" s="16">
        <v>21.5</v>
      </c>
      <c r="AA1015" s="17">
        <v>716.7</v>
      </c>
      <c r="AB1015" s="25" t="s">
        <v>3714</v>
      </c>
    </row>
    <row r="1016" spans="1:28" x14ac:dyDescent="0.45">
      <c r="A1016" s="4" t="s">
        <v>1608</v>
      </c>
      <c r="B1016" s="4" t="s">
        <v>6111</v>
      </c>
      <c r="C1016" s="4" t="s">
        <v>1110</v>
      </c>
      <c r="D1016" s="4" t="s">
        <v>1509</v>
      </c>
      <c r="E1016" s="4" t="s">
        <v>96</v>
      </c>
      <c r="F1016" s="5">
        <v>19.8</v>
      </c>
      <c r="G1016" s="5">
        <v>24.6</v>
      </c>
      <c r="H1016" s="4" t="s">
        <v>1140</v>
      </c>
      <c r="I1016" s="10">
        <v>3</v>
      </c>
      <c r="J1016" s="34">
        <f t="shared" si="60"/>
        <v>2.6099999999999998E-2</v>
      </c>
      <c r="K1016" s="34">
        <f t="shared" si="61"/>
        <v>0.04</v>
      </c>
      <c r="L1016" s="34">
        <f t="shared" si="62"/>
        <v>0.16</v>
      </c>
      <c r="M1016" s="11" t="s">
        <v>3968</v>
      </c>
      <c r="N1016" s="11" t="s">
        <v>3891</v>
      </c>
      <c r="O1016" s="11" t="s">
        <v>3892</v>
      </c>
      <c r="P1016" s="11" t="s">
        <v>3893</v>
      </c>
      <c r="Q1016" s="12">
        <v>19.8</v>
      </c>
      <c r="R1016" s="12">
        <v>24.6</v>
      </c>
      <c r="S1016" s="12">
        <v>2.4</v>
      </c>
      <c r="T1016" s="13">
        <v>0.2</v>
      </c>
      <c r="U1016" s="13">
        <f t="shared" si="63"/>
        <v>4.0000000000000008E-2</v>
      </c>
      <c r="V1016" s="14">
        <v>24.5</v>
      </c>
      <c r="W1016" s="14">
        <v>24.5</v>
      </c>
      <c r="X1016" s="11">
        <v>331</v>
      </c>
      <c r="Y1016" s="15" t="s">
        <v>3713</v>
      </c>
      <c r="Z1016" s="16">
        <v>21.5</v>
      </c>
      <c r="AA1016" s="17">
        <v>716.7</v>
      </c>
      <c r="AB1016" s="18" t="s">
        <v>3714</v>
      </c>
    </row>
    <row r="1017" spans="1:28" x14ac:dyDescent="0.45">
      <c r="A1017" s="2" t="s">
        <v>1609</v>
      </c>
      <c r="B1017" s="2" t="s">
        <v>6112</v>
      </c>
      <c r="C1017" s="2" t="s">
        <v>1110</v>
      </c>
      <c r="D1017" s="2" t="s">
        <v>1509</v>
      </c>
      <c r="E1017" s="2" t="s">
        <v>96</v>
      </c>
      <c r="F1017" s="3">
        <v>19</v>
      </c>
      <c r="G1017" s="3">
        <v>24</v>
      </c>
      <c r="H1017" s="2" t="s">
        <v>1135</v>
      </c>
      <c r="I1017" s="19">
        <v>3</v>
      </c>
      <c r="J1017" s="34">
        <f t="shared" si="60"/>
        <v>2.6099999999999998E-2</v>
      </c>
      <c r="K1017" s="34">
        <f t="shared" si="61"/>
        <v>0.04</v>
      </c>
      <c r="L1017" s="34">
        <f t="shared" si="62"/>
        <v>0.16</v>
      </c>
      <c r="M1017" s="20" t="s">
        <v>3964</v>
      </c>
      <c r="N1017" s="20" t="s">
        <v>3891</v>
      </c>
      <c r="O1017" s="20" t="s">
        <v>3892</v>
      </c>
      <c r="P1017" s="20" t="s">
        <v>3893</v>
      </c>
      <c r="Q1017" s="21">
        <v>19</v>
      </c>
      <c r="R1017" s="21">
        <v>24</v>
      </c>
      <c r="S1017" s="21">
        <v>2.5</v>
      </c>
      <c r="T1017" s="22">
        <v>0.2</v>
      </c>
      <c r="U1017" s="13">
        <f t="shared" si="63"/>
        <v>4.0000000000000008E-2</v>
      </c>
      <c r="V1017" s="23">
        <v>24.5</v>
      </c>
      <c r="W1017" s="23">
        <v>24.5</v>
      </c>
      <c r="X1017" s="20">
        <v>1349</v>
      </c>
      <c r="Y1017" s="24" t="s">
        <v>3713</v>
      </c>
      <c r="Z1017" s="16">
        <v>21.5</v>
      </c>
      <c r="AA1017" s="17">
        <v>716.7</v>
      </c>
      <c r="AB1017" s="25" t="s">
        <v>3714</v>
      </c>
    </row>
    <row r="1018" spans="1:28" x14ac:dyDescent="0.45">
      <c r="A1018" s="4" t="s">
        <v>1610</v>
      </c>
      <c r="B1018" s="4" t="s">
        <v>6113</v>
      </c>
      <c r="C1018" s="4" t="s">
        <v>1110</v>
      </c>
      <c r="D1018" s="4" t="s">
        <v>1509</v>
      </c>
      <c r="E1018" s="4" t="s">
        <v>96</v>
      </c>
      <c r="F1018" s="5">
        <v>19</v>
      </c>
      <c r="G1018" s="5">
        <v>25</v>
      </c>
      <c r="H1018" s="4" t="s">
        <v>1149</v>
      </c>
      <c r="I1018" s="10">
        <v>3</v>
      </c>
      <c r="J1018" s="34">
        <f t="shared" si="60"/>
        <v>2.6099999999999998E-2</v>
      </c>
      <c r="K1018" s="34">
        <f t="shared" si="61"/>
        <v>0.04</v>
      </c>
      <c r="L1018" s="34">
        <f t="shared" si="62"/>
        <v>0.16</v>
      </c>
      <c r="M1018" s="11" t="s">
        <v>4391</v>
      </c>
      <c r="N1018" s="11" t="s">
        <v>3891</v>
      </c>
      <c r="O1018" s="11" t="s">
        <v>3892</v>
      </c>
      <c r="P1018" s="11" t="s">
        <v>3893</v>
      </c>
      <c r="Q1018" s="12">
        <v>19</v>
      </c>
      <c r="R1018" s="12">
        <v>25</v>
      </c>
      <c r="S1018" s="12">
        <v>3</v>
      </c>
      <c r="T1018" s="13">
        <v>0.2</v>
      </c>
      <c r="U1018" s="13">
        <f t="shared" si="63"/>
        <v>4.0000000000000008E-2</v>
      </c>
      <c r="V1018" s="14">
        <v>24.5</v>
      </c>
      <c r="W1018" s="14">
        <v>24.5</v>
      </c>
      <c r="X1018" s="11">
        <v>1169</v>
      </c>
      <c r="Y1018" s="15" t="s">
        <v>3713</v>
      </c>
      <c r="Z1018" s="16">
        <v>21.5</v>
      </c>
      <c r="AA1018" s="17">
        <v>716.7</v>
      </c>
      <c r="AB1018" s="18" t="s">
        <v>3714</v>
      </c>
    </row>
    <row r="1019" spans="1:28" x14ac:dyDescent="0.45">
      <c r="A1019" s="2" t="s">
        <v>1611</v>
      </c>
      <c r="B1019" s="2" t="s">
        <v>6114</v>
      </c>
      <c r="C1019" s="2" t="s">
        <v>1110</v>
      </c>
      <c r="D1019" s="2" t="s">
        <v>1509</v>
      </c>
      <c r="E1019" s="2" t="s">
        <v>96</v>
      </c>
      <c r="F1019" s="3">
        <v>20.22</v>
      </c>
      <c r="G1019" s="3">
        <v>27.28</v>
      </c>
      <c r="H1019" s="2" t="s">
        <v>1156</v>
      </c>
      <c r="I1019" s="19">
        <v>5</v>
      </c>
      <c r="J1019" s="34">
        <f t="shared" si="60"/>
        <v>4.3499999999999997E-2</v>
      </c>
      <c r="K1019" s="34">
        <f t="shared" si="61"/>
        <v>7.0000000000000007E-2</v>
      </c>
      <c r="L1019" s="34">
        <f t="shared" si="62"/>
        <v>0.28000000000000003</v>
      </c>
      <c r="M1019" s="20" t="s">
        <v>3969</v>
      </c>
      <c r="N1019" s="20" t="s">
        <v>3891</v>
      </c>
      <c r="O1019" s="20" t="s">
        <v>3892</v>
      </c>
      <c r="P1019" s="20" t="s">
        <v>3893</v>
      </c>
      <c r="Q1019" s="21">
        <v>20</v>
      </c>
      <c r="R1019" s="21">
        <v>27</v>
      </c>
      <c r="S1019" s="21">
        <v>3.5</v>
      </c>
      <c r="T1019" s="22">
        <v>0.2</v>
      </c>
      <c r="U1019" s="13">
        <f t="shared" si="63"/>
        <v>-8.0000000000000016E-2</v>
      </c>
      <c r="V1019" s="23">
        <v>24.5</v>
      </c>
      <c r="W1019" s="23">
        <v>24.5</v>
      </c>
      <c r="X1019" s="20">
        <v>840</v>
      </c>
      <c r="Y1019" s="24" t="s">
        <v>3713</v>
      </c>
      <c r="Z1019" s="16">
        <v>19.5</v>
      </c>
      <c r="AA1019" s="17">
        <v>390</v>
      </c>
      <c r="AB1019" s="25" t="s">
        <v>3970</v>
      </c>
    </row>
    <row r="1020" spans="1:28" x14ac:dyDescent="0.45">
      <c r="A1020" s="4" t="s">
        <v>1612</v>
      </c>
      <c r="B1020" s="4" t="s">
        <v>6115</v>
      </c>
      <c r="C1020" s="4" t="s">
        <v>1110</v>
      </c>
      <c r="D1020" s="4" t="s">
        <v>1509</v>
      </c>
      <c r="E1020" s="4" t="s">
        <v>96</v>
      </c>
      <c r="F1020" s="5">
        <v>20.29</v>
      </c>
      <c r="G1020" s="5">
        <v>25.53</v>
      </c>
      <c r="H1020" s="4" t="s">
        <v>1127</v>
      </c>
      <c r="I1020" s="10">
        <v>3</v>
      </c>
      <c r="J1020" s="34">
        <f t="shared" si="60"/>
        <v>2.6099999999999998E-2</v>
      </c>
      <c r="K1020" s="34">
        <f t="shared" si="61"/>
        <v>0.04</v>
      </c>
      <c r="L1020" s="34">
        <f t="shared" si="62"/>
        <v>0.16</v>
      </c>
      <c r="M1020" s="11" t="s">
        <v>3971</v>
      </c>
      <c r="N1020" s="11" t="s">
        <v>3891</v>
      </c>
      <c r="O1020" s="11" t="s">
        <v>3892</v>
      </c>
      <c r="P1020" s="11" t="s">
        <v>3893</v>
      </c>
      <c r="Q1020" s="12">
        <v>20.3</v>
      </c>
      <c r="R1020" s="12">
        <v>25.1</v>
      </c>
      <c r="S1020" s="12">
        <v>2.4</v>
      </c>
      <c r="T1020" s="13">
        <v>0.2</v>
      </c>
      <c r="U1020" s="13">
        <f t="shared" si="63"/>
        <v>4.0000000000000008E-2</v>
      </c>
      <c r="V1020" s="14">
        <v>24.5</v>
      </c>
      <c r="W1020" s="14">
        <v>24.5</v>
      </c>
      <c r="X1020" s="11">
        <v>256</v>
      </c>
      <c r="Y1020" s="15" t="s">
        <v>3713</v>
      </c>
      <c r="Z1020" s="16">
        <v>21.5</v>
      </c>
      <c r="AA1020" s="17">
        <v>716.7</v>
      </c>
      <c r="AB1020" s="18" t="s">
        <v>3908</v>
      </c>
    </row>
    <row r="1021" spans="1:28" x14ac:dyDescent="0.45">
      <c r="A1021" s="2" t="s">
        <v>1613</v>
      </c>
      <c r="B1021" s="2" t="s">
        <v>6116</v>
      </c>
      <c r="C1021" s="2" t="s">
        <v>1110</v>
      </c>
      <c r="D1021" s="2" t="s">
        <v>1509</v>
      </c>
      <c r="E1021" s="2" t="s">
        <v>96</v>
      </c>
      <c r="F1021" s="3">
        <v>20.350000000000001</v>
      </c>
      <c r="G1021" s="3">
        <v>23.91</v>
      </c>
      <c r="H1021" s="2" t="s">
        <v>1114</v>
      </c>
      <c r="I1021" s="19">
        <v>2</v>
      </c>
      <c r="J1021" s="34">
        <f t="shared" si="60"/>
        <v>1.7399999999999999E-2</v>
      </c>
      <c r="K1021" s="34">
        <f t="shared" si="61"/>
        <v>0.03</v>
      </c>
      <c r="L1021" s="34">
        <f t="shared" si="62"/>
        <v>0.12</v>
      </c>
      <c r="M1021" s="20" t="s">
        <v>3972</v>
      </c>
      <c r="N1021" s="20" t="s">
        <v>3891</v>
      </c>
      <c r="O1021" s="20" t="s">
        <v>3892</v>
      </c>
      <c r="P1021" s="20" t="s">
        <v>3893</v>
      </c>
      <c r="Q1021" s="21">
        <v>20.32</v>
      </c>
      <c r="R1021" s="21">
        <v>23.876000000000001</v>
      </c>
      <c r="S1021" s="21">
        <v>1.778</v>
      </c>
      <c r="T1021" s="22">
        <v>0.2</v>
      </c>
      <c r="U1021" s="13">
        <f t="shared" si="63"/>
        <v>8.0000000000000016E-2</v>
      </c>
      <c r="V1021" s="23">
        <v>24.5</v>
      </c>
      <c r="W1021" s="23">
        <v>24.5</v>
      </c>
      <c r="X1021" s="20">
        <v>1293</v>
      </c>
      <c r="Y1021" s="24" t="s">
        <v>3737</v>
      </c>
      <c r="Z1021" s="16">
        <v>22.5</v>
      </c>
      <c r="AA1021" s="17">
        <v>1125</v>
      </c>
      <c r="AB1021" s="25" t="s">
        <v>3973</v>
      </c>
    </row>
    <row r="1022" spans="1:28" x14ac:dyDescent="0.45">
      <c r="A1022" s="4" t="s">
        <v>1614</v>
      </c>
      <c r="B1022" s="4" t="s">
        <v>6117</v>
      </c>
      <c r="C1022" s="4" t="s">
        <v>1110</v>
      </c>
      <c r="D1022" s="4" t="s">
        <v>1509</v>
      </c>
      <c r="E1022" s="4" t="s">
        <v>96</v>
      </c>
      <c r="F1022" s="5">
        <v>20.8</v>
      </c>
      <c r="G1022" s="5">
        <v>25.6</v>
      </c>
      <c r="H1022" s="4" t="s">
        <v>1140</v>
      </c>
      <c r="I1022" s="10">
        <v>3</v>
      </c>
      <c r="J1022" s="34">
        <f t="shared" si="60"/>
        <v>2.6099999999999998E-2</v>
      </c>
      <c r="K1022" s="34">
        <f t="shared" si="61"/>
        <v>0.04</v>
      </c>
      <c r="L1022" s="34">
        <f t="shared" si="62"/>
        <v>0.16</v>
      </c>
      <c r="M1022" s="11" t="s">
        <v>4392</v>
      </c>
      <c r="N1022" s="11" t="s">
        <v>3891</v>
      </c>
      <c r="O1022" s="11" t="s">
        <v>3892</v>
      </c>
      <c r="P1022" s="11" t="s">
        <v>3893</v>
      </c>
      <c r="Q1022" s="12">
        <v>20.8</v>
      </c>
      <c r="R1022" s="12">
        <v>25.6</v>
      </c>
      <c r="S1022" s="12">
        <v>2.4</v>
      </c>
      <c r="T1022" s="13">
        <v>0.2</v>
      </c>
      <c r="U1022" s="13">
        <f t="shared" si="63"/>
        <v>4.0000000000000008E-2</v>
      </c>
      <c r="V1022" s="14">
        <v>24.5</v>
      </c>
      <c r="W1022" s="14">
        <v>24.5</v>
      </c>
      <c r="X1022" s="11">
        <v>1676</v>
      </c>
      <c r="Y1022" s="15" t="s">
        <v>3713</v>
      </c>
      <c r="Z1022" s="16">
        <v>21.5</v>
      </c>
      <c r="AA1022" s="17">
        <v>716.7</v>
      </c>
      <c r="AB1022" s="18" t="s">
        <v>3714</v>
      </c>
    </row>
    <row r="1023" spans="1:28" x14ac:dyDescent="0.45">
      <c r="A1023" s="2" t="s">
        <v>1615</v>
      </c>
      <c r="B1023" s="2" t="s">
        <v>6118</v>
      </c>
      <c r="C1023" s="2" t="s">
        <v>1110</v>
      </c>
      <c r="D1023" s="2" t="s">
        <v>1509</v>
      </c>
      <c r="E1023" s="2" t="s">
        <v>96</v>
      </c>
      <c r="F1023" s="3">
        <v>20</v>
      </c>
      <c r="G1023" s="3">
        <v>24</v>
      </c>
      <c r="H1023" s="2" t="s">
        <v>1122</v>
      </c>
      <c r="I1023" s="19">
        <v>3</v>
      </c>
      <c r="J1023" s="34">
        <f t="shared" si="60"/>
        <v>2.6099999999999998E-2</v>
      </c>
      <c r="K1023" s="34">
        <f t="shared" si="61"/>
        <v>0.04</v>
      </c>
      <c r="L1023" s="34">
        <f t="shared" si="62"/>
        <v>0.16</v>
      </c>
      <c r="M1023" s="20" t="s">
        <v>4393</v>
      </c>
      <c r="N1023" s="20" t="s">
        <v>3891</v>
      </c>
      <c r="O1023" s="20" t="s">
        <v>3892</v>
      </c>
      <c r="P1023" s="20" t="s">
        <v>3893</v>
      </c>
      <c r="Q1023" s="21">
        <v>20</v>
      </c>
      <c r="R1023" s="21">
        <v>24</v>
      </c>
      <c r="S1023" s="21">
        <v>2</v>
      </c>
      <c r="T1023" s="22">
        <v>0.2</v>
      </c>
      <c r="U1023" s="13">
        <f t="shared" si="63"/>
        <v>4.0000000000000008E-2</v>
      </c>
      <c r="V1023" s="23">
        <v>24.5</v>
      </c>
      <c r="W1023" s="23">
        <v>24.5</v>
      </c>
      <c r="X1023" s="20">
        <v>5476</v>
      </c>
      <c r="Y1023" s="24" t="s">
        <v>3713</v>
      </c>
      <c r="Z1023" s="16">
        <v>21.5</v>
      </c>
      <c r="AA1023" s="17">
        <v>716.7</v>
      </c>
      <c r="AB1023" s="25" t="s">
        <v>3714</v>
      </c>
    </row>
    <row r="1024" spans="1:28" x14ac:dyDescent="0.45">
      <c r="A1024" s="4" t="s">
        <v>1616</v>
      </c>
      <c r="B1024" s="4" t="s">
        <v>6119</v>
      </c>
      <c r="C1024" s="4" t="s">
        <v>1110</v>
      </c>
      <c r="D1024" s="4" t="s">
        <v>1509</v>
      </c>
      <c r="E1024" s="4" t="s">
        <v>96</v>
      </c>
      <c r="F1024" s="5">
        <v>20</v>
      </c>
      <c r="G1024" s="5">
        <v>25</v>
      </c>
      <c r="H1024" s="4" t="s">
        <v>1135</v>
      </c>
      <c r="I1024" s="10">
        <v>3</v>
      </c>
      <c r="J1024" s="34">
        <f t="shared" si="60"/>
        <v>2.6099999999999998E-2</v>
      </c>
      <c r="K1024" s="34">
        <f t="shared" si="61"/>
        <v>0.04</v>
      </c>
      <c r="L1024" s="34">
        <f t="shared" si="62"/>
        <v>0.16</v>
      </c>
      <c r="M1024" s="11" t="s">
        <v>4394</v>
      </c>
      <c r="N1024" s="11" t="s">
        <v>3898</v>
      </c>
      <c r="O1024" s="11" t="s">
        <v>3892</v>
      </c>
      <c r="P1024" s="11" t="s">
        <v>3899</v>
      </c>
      <c r="Q1024" s="12">
        <v>20</v>
      </c>
      <c r="R1024" s="12">
        <v>25</v>
      </c>
      <c r="S1024" s="12">
        <v>2.5</v>
      </c>
      <c r="T1024" s="13">
        <v>0.75</v>
      </c>
      <c r="U1024" s="13">
        <f t="shared" si="63"/>
        <v>0.59</v>
      </c>
      <c r="V1024" s="14">
        <v>91.88</v>
      </c>
      <c r="W1024" s="14">
        <v>91.88</v>
      </c>
      <c r="X1024" s="11">
        <v>130</v>
      </c>
      <c r="Y1024" s="15" t="s">
        <v>3713</v>
      </c>
      <c r="Z1024" s="16">
        <v>88.88</v>
      </c>
      <c r="AA1024" s="17">
        <v>2962.7</v>
      </c>
      <c r="AB1024" s="18" t="s">
        <v>3714</v>
      </c>
    </row>
    <row r="1025" spans="1:28" x14ac:dyDescent="0.45">
      <c r="A1025" s="2" t="s">
        <v>1617</v>
      </c>
      <c r="B1025" s="2" t="s">
        <v>6120</v>
      </c>
      <c r="C1025" s="2" t="s">
        <v>1110</v>
      </c>
      <c r="D1025" s="2" t="s">
        <v>1509</v>
      </c>
      <c r="E1025" s="2" t="s">
        <v>96</v>
      </c>
      <c r="F1025" s="3">
        <v>21.7</v>
      </c>
      <c r="G1025" s="3">
        <v>28.7</v>
      </c>
      <c r="H1025" s="2" t="s">
        <v>1187</v>
      </c>
      <c r="I1025" s="19">
        <v>5</v>
      </c>
      <c r="J1025" s="34">
        <f t="shared" si="60"/>
        <v>4.3499999999999997E-2</v>
      </c>
      <c r="K1025" s="34">
        <f t="shared" si="61"/>
        <v>7.0000000000000007E-2</v>
      </c>
      <c r="L1025" s="34">
        <f t="shared" si="62"/>
        <v>0.28000000000000003</v>
      </c>
      <c r="M1025" s="20" t="s">
        <v>4395</v>
      </c>
      <c r="N1025" s="20" t="s">
        <v>3925</v>
      </c>
      <c r="O1025" s="20" t="s">
        <v>3892</v>
      </c>
      <c r="P1025" s="20" t="s">
        <v>3926</v>
      </c>
      <c r="Q1025" s="21">
        <v>21.7</v>
      </c>
      <c r="R1025" s="21">
        <v>28.7</v>
      </c>
      <c r="S1025" s="21">
        <v>3.5</v>
      </c>
      <c r="T1025" s="22">
        <v>0.22</v>
      </c>
      <c r="U1025" s="13">
        <f t="shared" si="63"/>
        <v>-6.0000000000000026E-2</v>
      </c>
      <c r="V1025" s="23">
        <v>26.95</v>
      </c>
      <c r="W1025" s="23">
        <v>26.95</v>
      </c>
      <c r="X1025" s="20">
        <v>49</v>
      </c>
      <c r="Y1025" s="24" t="s">
        <v>3713</v>
      </c>
      <c r="Z1025" s="16">
        <v>21.95</v>
      </c>
      <c r="AA1025" s="17">
        <v>439</v>
      </c>
      <c r="AB1025" s="25" t="s">
        <v>3714</v>
      </c>
    </row>
    <row r="1026" spans="1:28" x14ac:dyDescent="0.45">
      <c r="A1026" s="4" t="s">
        <v>1618</v>
      </c>
      <c r="B1026" s="4" t="s">
        <v>6121</v>
      </c>
      <c r="C1026" s="4" t="s">
        <v>1110</v>
      </c>
      <c r="D1026" s="4" t="s">
        <v>1509</v>
      </c>
      <c r="E1026" s="4" t="s">
        <v>96</v>
      </c>
      <c r="F1026" s="5">
        <v>21.82</v>
      </c>
      <c r="G1026" s="5">
        <v>28.88</v>
      </c>
      <c r="H1026" s="4" t="s">
        <v>1156</v>
      </c>
      <c r="I1026" s="10">
        <v>5</v>
      </c>
      <c r="J1026" s="34">
        <f t="shared" si="60"/>
        <v>4.3499999999999997E-2</v>
      </c>
      <c r="K1026" s="34">
        <f t="shared" si="61"/>
        <v>7.0000000000000007E-2</v>
      </c>
      <c r="L1026" s="34">
        <f t="shared" si="62"/>
        <v>0.28000000000000003</v>
      </c>
      <c r="M1026" s="11" t="s">
        <v>3974</v>
      </c>
      <c r="N1026" s="11" t="s">
        <v>3891</v>
      </c>
      <c r="O1026" s="11" t="s">
        <v>3892</v>
      </c>
      <c r="P1026" s="11" t="s">
        <v>3893</v>
      </c>
      <c r="Q1026" s="12">
        <v>22</v>
      </c>
      <c r="R1026" s="12">
        <v>29</v>
      </c>
      <c r="S1026" s="12">
        <v>3.5</v>
      </c>
      <c r="T1026" s="13">
        <v>0.2</v>
      </c>
      <c r="U1026" s="13">
        <f t="shared" si="63"/>
        <v>-8.0000000000000016E-2</v>
      </c>
      <c r="V1026" s="14">
        <v>24.5</v>
      </c>
      <c r="W1026" s="14">
        <v>24.5</v>
      </c>
      <c r="X1026" s="11">
        <v>1188</v>
      </c>
      <c r="Y1026" s="15" t="s">
        <v>3713</v>
      </c>
      <c r="Z1026" s="16">
        <v>19.5</v>
      </c>
      <c r="AA1026" s="17">
        <v>390</v>
      </c>
      <c r="AB1026" s="18" t="s">
        <v>3975</v>
      </c>
    </row>
    <row r="1027" spans="1:28" x14ac:dyDescent="0.45">
      <c r="A1027" s="2" t="s">
        <v>1619</v>
      </c>
      <c r="B1027" s="2" t="s">
        <v>6122</v>
      </c>
      <c r="C1027" s="2" t="s">
        <v>1110</v>
      </c>
      <c r="D1027" s="2" t="s">
        <v>1509</v>
      </c>
      <c r="E1027" s="2" t="s">
        <v>96</v>
      </c>
      <c r="F1027" s="3">
        <v>21.89</v>
      </c>
      <c r="G1027" s="3">
        <v>27.13</v>
      </c>
      <c r="H1027" s="2" t="s">
        <v>1127</v>
      </c>
      <c r="I1027" s="19">
        <v>3</v>
      </c>
      <c r="J1027" s="34">
        <f t="shared" si="60"/>
        <v>2.6099999999999998E-2</v>
      </c>
      <c r="K1027" s="34">
        <f t="shared" si="61"/>
        <v>0.04</v>
      </c>
      <c r="L1027" s="34">
        <f t="shared" si="62"/>
        <v>0.16</v>
      </c>
      <c r="M1027" s="20" t="s">
        <v>3976</v>
      </c>
      <c r="N1027" s="20" t="s">
        <v>3898</v>
      </c>
      <c r="O1027" s="20" t="s">
        <v>3892</v>
      </c>
      <c r="P1027" s="20" t="s">
        <v>3899</v>
      </c>
      <c r="Q1027" s="21">
        <v>22</v>
      </c>
      <c r="R1027" s="21">
        <v>27</v>
      </c>
      <c r="S1027" s="21">
        <v>2.5</v>
      </c>
      <c r="T1027" s="22">
        <v>0.2</v>
      </c>
      <c r="U1027" s="13">
        <f t="shared" si="63"/>
        <v>4.0000000000000008E-2</v>
      </c>
      <c r="V1027" s="23">
        <v>24.5</v>
      </c>
      <c r="W1027" s="23">
        <v>24.5</v>
      </c>
      <c r="X1027" s="20">
        <v>432</v>
      </c>
      <c r="Y1027" s="24" t="s">
        <v>3713</v>
      </c>
      <c r="Z1027" s="16">
        <v>21.5</v>
      </c>
      <c r="AA1027" s="17">
        <v>716.7</v>
      </c>
      <c r="AB1027" s="25" t="s">
        <v>3977</v>
      </c>
    </row>
    <row r="1028" spans="1:28" x14ac:dyDescent="0.45">
      <c r="A1028" s="4" t="s">
        <v>1620</v>
      </c>
      <c r="B1028" s="4" t="s">
        <v>6123</v>
      </c>
      <c r="C1028" s="4" t="s">
        <v>1110</v>
      </c>
      <c r="D1028" s="4" t="s">
        <v>1509</v>
      </c>
      <c r="E1028" s="4" t="s">
        <v>96</v>
      </c>
      <c r="F1028" s="5">
        <v>21.8</v>
      </c>
      <c r="G1028" s="5">
        <v>26.6</v>
      </c>
      <c r="H1028" s="4" t="s">
        <v>1140</v>
      </c>
      <c r="I1028" s="10">
        <v>3</v>
      </c>
      <c r="J1028" s="34">
        <f t="shared" si="60"/>
        <v>2.6099999999999998E-2</v>
      </c>
      <c r="K1028" s="34">
        <f t="shared" si="61"/>
        <v>0.04</v>
      </c>
      <c r="L1028" s="34">
        <f t="shared" si="62"/>
        <v>0.16</v>
      </c>
      <c r="M1028" s="11" t="s">
        <v>3978</v>
      </c>
      <c r="N1028" s="11" t="s">
        <v>3891</v>
      </c>
      <c r="O1028" s="11" t="s">
        <v>3892</v>
      </c>
      <c r="P1028" s="11" t="s">
        <v>3893</v>
      </c>
      <c r="Q1028" s="12">
        <v>21.8</v>
      </c>
      <c r="R1028" s="12">
        <v>26.6</v>
      </c>
      <c r="S1028" s="12">
        <v>2.4</v>
      </c>
      <c r="T1028" s="13">
        <v>0.2</v>
      </c>
      <c r="U1028" s="13">
        <f t="shared" si="63"/>
        <v>4.0000000000000008E-2</v>
      </c>
      <c r="V1028" s="14">
        <v>24.5</v>
      </c>
      <c r="W1028" s="14">
        <v>24.5</v>
      </c>
      <c r="X1028" s="11">
        <v>8</v>
      </c>
      <c r="Y1028" s="15" t="s">
        <v>3713</v>
      </c>
      <c r="Z1028" s="16">
        <v>21.5</v>
      </c>
      <c r="AA1028" s="17">
        <v>716.7</v>
      </c>
      <c r="AB1028" s="18" t="s">
        <v>3714</v>
      </c>
    </row>
    <row r="1029" spans="1:28" x14ac:dyDescent="0.45">
      <c r="A1029" s="2" t="s">
        <v>1621</v>
      </c>
      <c r="B1029" s="2" t="s">
        <v>6124</v>
      </c>
      <c r="C1029" s="2" t="s">
        <v>1110</v>
      </c>
      <c r="D1029" s="2" t="s">
        <v>1509</v>
      </c>
      <c r="E1029" s="2" t="s">
        <v>96</v>
      </c>
      <c r="F1029" s="3">
        <v>21.95</v>
      </c>
      <c r="G1029" s="3">
        <v>25.51</v>
      </c>
      <c r="H1029" s="2" t="s">
        <v>1114</v>
      </c>
      <c r="I1029" s="19">
        <v>3</v>
      </c>
      <c r="J1029" s="34">
        <f t="shared" ref="J1029:J1092" si="64">I1029*0.0087</f>
        <v>2.6099999999999998E-2</v>
      </c>
      <c r="K1029" s="34">
        <f t="shared" ref="K1029:K1092" si="65">ROUND(J1029*1.5,2)</f>
        <v>0.04</v>
      </c>
      <c r="L1029" s="34">
        <f t="shared" ref="L1029:L1092" si="66">K1029*4</f>
        <v>0.16</v>
      </c>
      <c r="M1029" s="20" t="s">
        <v>3979</v>
      </c>
      <c r="N1029" s="20" t="s">
        <v>3891</v>
      </c>
      <c r="O1029" s="20" t="s">
        <v>3892</v>
      </c>
      <c r="P1029" s="20" t="s">
        <v>3893</v>
      </c>
      <c r="Q1029" s="21">
        <v>22</v>
      </c>
      <c r="R1029" s="21">
        <v>25.6</v>
      </c>
      <c r="S1029" s="21">
        <v>1.8</v>
      </c>
      <c r="T1029" s="22">
        <v>0.85</v>
      </c>
      <c r="U1029" s="13">
        <f t="shared" ref="U1029:U1092" si="67">T1029-L1029</f>
        <v>0.69</v>
      </c>
      <c r="V1029" s="23">
        <v>104.12</v>
      </c>
      <c r="W1029" s="23">
        <v>104.12</v>
      </c>
      <c r="X1029" s="20">
        <v>924</v>
      </c>
      <c r="Y1029" s="24" t="s">
        <v>3713</v>
      </c>
      <c r="Z1029" s="16">
        <v>101.12</v>
      </c>
      <c r="AA1029" s="17">
        <v>3370.7</v>
      </c>
      <c r="AB1029" s="25" t="s">
        <v>3980</v>
      </c>
    </row>
    <row r="1030" spans="1:28" x14ac:dyDescent="0.45">
      <c r="A1030" s="4" t="s">
        <v>1622</v>
      </c>
      <c r="B1030" s="4" t="s">
        <v>6125</v>
      </c>
      <c r="C1030" s="4" t="s">
        <v>1110</v>
      </c>
      <c r="D1030" s="4" t="s">
        <v>1509</v>
      </c>
      <c r="E1030" s="4" t="s">
        <v>96</v>
      </c>
      <c r="F1030" s="5">
        <v>21</v>
      </c>
      <c r="G1030" s="5">
        <v>25</v>
      </c>
      <c r="H1030" s="4" t="s">
        <v>1122</v>
      </c>
      <c r="I1030" s="10">
        <v>3</v>
      </c>
      <c r="J1030" s="34">
        <f t="shared" si="64"/>
        <v>2.6099999999999998E-2</v>
      </c>
      <c r="K1030" s="34">
        <f t="shared" si="65"/>
        <v>0.04</v>
      </c>
      <c r="L1030" s="34">
        <f t="shared" si="66"/>
        <v>0.16</v>
      </c>
      <c r="M1030" s="11" t="s">
        <v>3981</v>
      </c>
      <c r="N1030" s="11" t="s">
        <v>3891</v>
      </c>
      <c r="O1030" s="11" t="s">
        <v>3892</v>
      </c>
      <c r="P1030" s="11" t="s">
        <v>3893</v>
      </c>
      <c r="Q1030" s="12">
        <v>21</v>
      </c>
      <c r="R1030" s="12">
        <v>25</v>
      </c>
      <c r="S1030" s="12">
        <v>2</v>
      </c>
      <c r="T1030" s="13">
        <v>0.2</v>
      </c>
      <c r="U1030" s="13">
        <f t="shared" si="67"/>
        <v>4.0000000000000008E-2</v>
      </c>
      <c r="V1030" s="14">
        <v>24.5</v>
      </c>
      <c r="W1030" s="14">
        <v>24.5</v>
      </c>
      <c r="X1030" s="11">
        <v>92</v>
      </c>
      <c r="Y1030" s="15" t="s">
        <v>3713</v>
      </c>
      <c r="Z1030" s="16">
        <v>21.5</v>
      </c>
      <c r="AA1030" s="17">
        <v>716.7</v>
      </c>
      <c r="AB1030" s="18" t="s">
        <v>3714</v>
      </c>
    </row>
    <row r="1031" spans="1:28" x14ac:dyDescent="0.45">
      <c r="A1031" s="2" t="s">
        <v>1623</v>
      </c>
      <c r="B1031" s="2" t="s">
        <v>6126</v>
      </c>
      <c r="C1031" s="2" t="s">
        <v>1110</v>
      </c>
      <c r="D1031" s="2" t="s">
        <v>1509</v>
      </c>
      <c r="E1031" s="2" t="s">
        <v>96</v>
      </c>
      <c r="F1031" s="3">
        <v>22</v>
      </c>
      <c r="G1031" s="3">
        <v>26</v>
      </c>
      <c r="H1031" s="2" t="s">
        <v>1122</v>
      </c>
      <c r="I1031" s="19">
        <v>3</v>
      </c>
      <c r="J1031" s="34">
        <f t="shared" si="64"/>
        <v>2.6099999999999998E-2</v>
      </c>
      <c r="K1031" s="34">
        <f t="shared" si="65"/>
        <v>0.04</v>
      </c>
      <c r="L1031" s="34">
        <f t="shared" si="66"/>
        <v>0.16</v>
      </c>
      <c r="M1031" s="20" t="s">
        <v>4396</v>
      </c>
      <c r="N1031" s="20" t="s">
        <v>3891</v>
      </c>
      <c r="O1031" s="20" t="s">
        <v>3892</v>
      </c>
      <c r="P1031" s="20" t="s">
        <v>3893</v>
      </c>
      <c r="Q1031" s="21">
        <v>22</v>
      </c>
      <c r="R1031" s="21">
        <v>26</v>
      </c>
      <c r="S1031" s="21">
        <v>2</v>
      </c>
      <c r="T1031" s="22">
        <v>0.2</v>
      </c>
      <c r="U1031" s="13">
        <f t="shared" si="67"/>
        <v>4.0000000000000008E-2</v>
      </c>
      <c r="V1031" s="23">
        <v>24.5</v>
      </c>
      <c r="W1031" s="23">
        <v>24.5</v>
      </c>
      <c r="X1031" s="20">
        <v>139</v>
      </c>
      <c r="Y1031" s="24" t="s">
        <v>3713</v>
      </c>
      <c r="Z1031" s="16">
        <v>21.5</v>
      </c>
      <c r="AA1031" s="17">
        <v>716.7</v>
      </c>
      <c r="AB1031" s="25" t="s">
        <v>3714</v>
      </c>
    </row>
    <row r="1032" spans="1:28" x14ac:dyDescent="0.45">
      <c r="A1032" s="4" t="s">
        <v>1624</v>
      </c>
      <c r="B1032" s="4" t="s">
        <v>6127</v>
      </c>
      <c r="C1032" s="4" t="s">
        <v>1110</v>
      </c>
      <c r="D1032" s="4" t="s">
        <v>1509</v>
      </c>
      <c r="E1032" s="4" t="s">
        <v>96</v>
      </c>
      <c r="F1032" s="5">
        <v>22</v>
      </c>
      <c r="G1032" s="5">
        <v>27</v>
      </c>
      <c r="H1032" s="4" t="s">
        <v>1135</v>
      </c>
      <c r="I1032" s="10">
        <v>3</v>
      </c>
      <c r="J1032" s="34">
        <f t="shared" si="64"/>
        <v>2.6099999999999998E-2</v>
      </c>
      <c r="K1032" s="34">
        <f t="shared" si="65"/>
        <v>0.04</v>
      </c>
      <c r="L1032" s="34">
        <f t="shared" si="66"/>
        <v>0.16</v>
      </c>
      <c r="M1032" s="11" t="s">
        <v>3976</v>
      </c>
      <c r="N1032" s="11" t="s">
        <v>3898</v>
      </c>
      <c r="O1032" s="11" t="s">
        <v>3892</v>
      </c>
      <c r="P1032" s="11" t="s">
        <v>3899</v>
      </c>
      <c r="Q1032" s="12">
        <v>22</v>
      </c>
      <c r="R1032" s="12">
        <v>27</v>
      </c>
      <c r="S1032" s="12">
        <v>2.5</v>
      </c>
      <c r="T1032" s="13">
        <v>0.2</v>
      </c>
      <c r="U1032" s="13">
        <f t="shared" si="67"/>
        <v>4.0000000000000008E-2</v>
      </c>
      <c r="V1032" s="14">
        <v>24.5</v>
      </c>
      <c r="W1032" s="14">
        <v>24.5</v>
      </c>
      <c r="X1032" s="11">
        <v>432</v>
      </c>
      <c r="Y1032" s="15" t="s">
        <v>3713</v>
      </c>
      <c r="Z1032" s="16">
        <v>21.5</v>
      </c>
      <c r="AA1032" s="17">
        <v>716.7</v>
      </c>
      <c r="AB1032" s="18" t="s">
        <v>3714</v>
      </c>
    </row>
    <row r="1033" spans="1:28" x14ac:dyDescent="0.45">
      <c r="A1033" s="2" t="s">
        <v>1625</v>
      </c>
      <c r="B1033" s="2" t="s">
        <v>6128</v>
      </c>
      <c r="C1033" s="2" t="s">
        <v>1110</v>
      </c>
      <c r="D1033" s="2" t="s">
        <v>1509</v>
      </c>
      <c r="E1033" s="2" t="s">
        <v>96</v>
      </c>
      <c r="F1033" s="3">
        <v>22</v>
      </c>
      <c r="G1033" s="3">
        <v>28</v>
      </c>
      <c r="H1033" s="2" t="s">
        <v>1149</v>
      </c>
      <c r="I1033" s="19">
        <v>3</v>
      </c>
      <c r="J1033" s="34">
        <f t="shared" si="64"/>
        <v>2.6099999999999998E-2</v>
      </c>
      <c r="K1033" s="34">
        <f t="shared" si="65"/>
        <v>0.04</v>
      </c>
      <c r="L1033" s="34">
        <f t="shared" si="66"/>
        <v>0.16</v>
      </c>
      <c r="M1033" s="20" t="s">
        <v>4397</v>
      </c>
      <c r="N1033" s="20" t="s">
        <v>3898</v>
      </c>
      <c r="O1033" s="20" t="s">
        <v>3892</v>
      </c>
      <c r="P1033" s="20" t="s">
        <v>3899</v>
      </c>
      <c r="Q1033" s="21">
        <v>22</v>
      </c>
      <c r="R1033" s="21">
        <v>28</v>
      </c>
      <c r="S1033" s="21">
        <v>3</v>
      </c>
      <c r="T1033" s="22">
        <v>0.5</v>
      </c>
      <c r="U1033" s="13">
        <f t="shared" si="67"/>
        <v>0.33999999999999997</v>
      </c>
      <c r="V1033" s="23">
        <v>61.25</v>
      </c>
      <c r="W1033" s="23">
        <v>61.25</v>
      </c>
      <c r="X1033" s="20">
        <v>24</v>
      </c>
      <c r="Y1033" s="24" t="s">
        <v>3713</v>
      </c>
      <c r="Z1033" s="16">
        <v>58.25</v>
      </c>
      <c r="AA1033" s="17">
        <v>1941.7</v>
      </c>
      <c r="AB1033" s="25" t="s">
        <v>3714</v>
      </c>
    </row>
    <row r="1034" spans="1:28" x14ac:dyDescent="0.45">
      <c r="A1034" s="4" t="s">
        <v>1626</v>
      </c>
      <c r="B1034" s="4" t="s">
        <v>6129</v>
      </c>
      <c r="C1034" s="4" t="s">
        <v>1110</v>
      </c>
      <c r="D1034" s="4" t="s">
        <v>1509</v>
      </c>
      <c r="E1034" s="4" t="s">
        <v>96</v>
      </c>
      <c r="F1034" s="5">
        <v>22</v>
      </c>
      <c r="G1034" s="5">
        <v>32</v>
      </c>
      <c r="H1034" s="4" t="s">
        <v>1245</v>
      </c>
      <c r="I1034" s="10">
        <v>12</v>
      </c>
      <c r="J1034" s="34">
        <f t="shared" si="64"/>
        <v>0.10439999999999999</v>
      </c>
      <c r="K1034" s="34">
        <f t="shared" si="65"/>
        <v>0.16</v>
      </c>
      <c r="L1034" s="34">
        <f t="shared" si="66"/>
        <v>0.64</v>
      </c>
      <c r="M1034" s="11" t="s">
        <v>4398</v>
      </c>
      <c r="N1034" s="11" t="s">
        <v>3891</v>
      </c>
      <c r="O1034" s="11" t="s">
        <v>3892</v>
      </c>
      <c r="P1034" s="11" t="s">
        <v>3893</v>
      </c>
      <c r="Q1034" s="12">
        <v>22</v>
      </c>
      <c r="R1034" s="12">
        <v>32</v>
      </c>
      <c r="S1034" s="12">
        <v>5</v>
      </c>
      <c r="T1034" s="13">
        <v>0.2</v>
      </c>
      <c r="U1034" s="13">
        <f t="shared" si="67"/>
        <v>-0.44</v>
      </c>
      <c r="V1034" s="14">
        <v>24.5</v>
      </c>
      <c r="W1034" s="14">
        <v>24.5</v>
      </c>
      <c r="X1034" s="11">
        <v>37</v>
      </c>
      <c r="Y1034" s="15" t="s">
        <v>3713</v>
      </c>
      <c r="Z1034" s="16">
        <v>12.5</v>
      </c>
      <c r="AA1034" s="17">
        <v>104.2</v>
      </c>
      <c r="AB1034" s="18" t="s">
        <v>3714</v>
      </c>
    </row>
    <row r="1035" spans="1:28" x14ac:dyDescent="0.45">
      <c r="A1035" s="2" t="s">
        <v>1627</v>
      </c>
      <c r="B1035" s="2" t="s">
        <v>6130</v>
      </c>
      <c r="C1035" s="2" t="s">
        <v>1110</v>
      </c>
      <c r="D1035" s="2" t="s">
        <v>1509</v>
      </c>
      <c r="E1035" s="2" t="s">
        <v>96</v>
      </c>
      <c r="F1035" s="3">
        <v>23.39</v>
      </c>
      <c r="G1035" s="3">
        <v>30.45</v>
      </c>
      <c r="H1035" s="2" t="s">
        <v>1156</v>
      </c>
      <c r="I1035" s="19">
        <v>5</v>
      </c>
      <c r="J1035" s="34">
        <f t="shared" si="64"/>
        <v>4.3499999999999997E-2</v>
      </c>
      <c r="K1035" s="34">
        <f t="shared" si="65"/>
        <v>7.0000000000000007E-2</v>
      </c>
      <c r="L1035" s="34">
        <f t="shared" si="66"/>
        <v>0.28000000000000003</v>
      </c>
      <c r="M1035" s="20" t="s">
        <v>3982</v>
      </c>
      <c r="N1035" s="20" t="s">
        <v>3898</v>
      </c>
      <c r="O1035" s="20" t="s">
        <v>3892</v>
      </c>
      <c r="P1035" s="20" t="s">
        <v>3899</v>
      </c>
      <c r="Q1035" s="21">
        <v>23.367999999999999</v>
      </c>
      <c r="R1035" s="21">
        <v>30.48</v>
      </c>
      <c r="S1035" s="21">
        <v>3.556</v>
      </c>
      <c r="T1035" s="22">
        <v>13.81</v>
      </c>
      <c r="U1035" s="13">
        <f t="shared" si="67"/>
        <v>13.530000000000001</v>
      </c>
      <c r="V1035" s="23">
        <v>1691.72</v>
      </c>
      <c r="W1035" s="23">
        <v>1691.72</v>
      </c>
      <c r="X1035" s="20" t="s">
        <v>3722</v>
      </c>
      <c r="Y1035" s="24" t="s">
        <v>3737</v>
      </c>
      <c r="Z1035" s="16">
        <v>1686.72</v>
      </c>
      <c r="AA1035" s="17">
        <v>33734.400000000001</v>
      </c>
      <c r="AB1035" s="25" t="s">
        <v>3983</v>
      </c>
    </row>
    <row r="1036" spans="1:28" x14ac:dyDescent="0.45">
      <c r="A1036" s="4" t="s">
        <v>1628</v>
      </c>
      <c r="B1036" s="4" t="s">
        <v>6131</v>
      </c>
      <c r="C1036" s="4" t="s">
        <v>1110</v>
      </c>
      <c r="D1036" s="4" t="s">
        <v>1509</v>
      </c>
      <c r="E1036" s="4" t="s">
        <v>96</v>
      </c>
      <c r="F1036" s="5">
        <v>23.47</v>
      </c>
      <c r="G1036" s="5">
        <v>28.71</v>
      </c>
      <c r="H1036" s="4" t="s">
        <v>1127</v>
      </c>
      <c r="I1036" s="10">
        <v>3</v>
      </c>
      <c r="J1036" s="34">
        <f t="shared" si="64"/>
        <v>2.6099999999999998E-2</v>
      </c>
      <c r="K1036" s="34">
        <f t="shared" si="65"/>
        <v>0.04</v>
      </c>
      <c r="L1036" s="34">
        <f t="shared" si="66"/>
        <v>0.16</v>
      </c>
      <c r="M1036" s="11" t="s">
        <v>3984</v>
      </c>
      <c r="N1036" s="11" t="s">
        <v>3898</v>
      </c>
      <c r="O1036" s="11" t="s">
        <v>3892</v>
      </c>
      <c r="P1036" s="11" t="s">
        <v>3899</v>
      </c>
      <c r="Q1036" s="12">
        <v>23.367999999999999</v>
      </c>
      <c r="R1036" s="12">
        <v>28.702000000000002</v>
      </c>
      <c r="S1036" s="12">
        <v>2.54</v>
      </c>
      <c r="T1036" s="13">
        <v>0.2</v>
      </c>
      <c r="U1036" s="13">
        <f t="shared" si="67"/>
        <v>4.0000000000000008E-2</v>
      </c>
      <c r="V1036" s="14">
        <v>24.5</v>
      </c>
      <c r="W1036" s="14">
        <v>24.5</v>
      </c>
      <c r="X1036" s="11">
        <v>193</v>
      </c>
      <c r="Y1036" s="15" t="s">
        <v>3737</v>
      </c>
      <c r="Z1036" s="16">
        <v>21.5</v>
      </c>
      <c r="AA1036" s="17">
        <v>716.7</v>
      </c>
      <c r="AB1036" s="18" t="s">
        <v>3985</v>
      </c>
    </row>
    <row r="1037" spans="1:28" x14ac:dyDescent="0.45">
      <c r="A1037" s="2" t="s">
        <v>1629</v>
      </c>
      <c r="B1037" s="2" t="s">
        <v>6132</v>
      </c>
      <c r="C1037" s="2" t="s">
        <v>1110</v>
      </c>
      <c r="D1037" s="2" t="s">
        <v>1509</v>
      </c>
      <c r="E1037" s="2" t="s">
        <v>96</v>
      </c>
      <c r="F1037" s="3">
        <v>23.52</v>
      </c>
      <c r="G1037" s="3">
        <v>27.08</v>
      </c>
      <c r="H1037" s="2" t="s">
        <v>1114</v>
      </c>
      <c r="I1037" s="19">
        <v>3</v>
      </c>
      <c r="J1037" s="34">
        <f t="shared" si="64"/>
        <v>2.6099999999999998E-2</v>
      </c>
      <c r="K1037" s="34">
        <f t="shared" si="65"/>
        <v>0.04</v>
      </c>
      <c r="L1037" s="34">
        <f t="shared" si="66"/>
        <v>0.16</v>
      </c>
      <c r="M1037" s="20" t="s">
        <v>3986</v>
      </c>
      <c r="N1037" s="20" t="s">
        <v>3891</v>
      </c>
      <c r="O1037" s="20" t="s">
        <v>3892</v>
      </c>
      <c r="P1037" s="20" t="s">
        <v>3893</v>
      </c>
      <c r="Q1037" s="21">
        <v>23.5</v>
      </c>
      <c r="R1037" s="21">
        <v>27.5</v>
      </c>
      <c r="S1037" s="21">
        <v>2</v>
      </c>
      <c r="T1037" s="22">
        <v>0.2</v>
      </c>
      <c r="U1037" s="13">
        <f t="shared" si="67"/>
        <v>4.0000000000000008E-2</v>
      </c>
      <c r="V1037" s="23">
        <v>24.5</v>
      </c>
      <c r="W1037" s="23">
        <v>24.5</v>
      </c>
      <c r="X1037" s="20">
        <v>41</v>
      </c>
      <c r="Y1037" s="24" t="s">
        <v>3713</v>
      </c>
      <c r="Z1037" s="16">
        <v>21.5</v>
      </c>
      <c r="AA1037" s="17">
        <v>716.7</v>
      </c>
      <c r="AB1037" s="25" t="s">
        <v>3987</v>
      </c>
    </row>
    <row r="1038" spans="1:28" x14ac:dyDescent="0.45">
      <c r="A1038" s="4" t="s">
        <v>1630</v>
      </c>
      <c r="B1038" s="4" t="s">
        <v>6133</v>
      </c>
      <c r="C1038" s="4" t="s">
        <v>1110</v>
      </c>
      <c r="D1038" s="4" t="s">
        <v>1509</v>
      </c>
      <c r="E1038" s="4" t="s">
        <v>96</v>
      </c>
      <c r="F1038" s="5">
        <v>23.5</v>
      </c>
      <c r="G1038" s="5">
        <v>29.5</v>
      </c>
      <c r="H1038" s="4" t="s">
        <v>1149</v>
      </c>
      <c r="I1038" s="10">
        <v>5</v>
      </c>
      <c r="J1038" s="34">
        <f t="shared" si="64"/>
        <v>4.3499999999999997E-2</v>
      </c>
      <c r="K1038" s="34">
        <f t="shared" si="65"/>
        <v>7.0000000000000007E-2</v>
      </c>
      <c r="L1038" s="34">
        <f t="shared" si="66"/>
        <v>0.28000000000000003</v>
      </c>
      <c r="M1038" s="11" t="s">
        <v>3988</v>
      </c>
      <c r="N1038" s="11" t="s">
        <v>3925</v>
      </c>
      <c r="O1038" s="11" t="s">
        <v>3892</v>
      </c>
      <c r="P1038" s="11" t="s">
        <v>3926</v>
      </c>
      <c r="Q1038" s="12">
        <v>23.5</v>
      </c>
      <c r="R1038" s="12">
        <v>29.5</v>
      </c>
      <c r="S1038" s="12">
        <v>3</v>
      </c>
      <c r="T1038" s="13">
        <v>0.25</v>
      </c>
      <c r="U1038" s="13">
        <f t="shared" si="67"/>
        <v>-3.0000000000000027E-2</v>
      </c>
      <c r="V1038" s="14">
        <v>30.62</v>
      </c>
      <c r="W1038" s="14">
        <v>30.62</v>
      </c>
      <c r="X1038" s="11">
        <v>1152</v>
      </c>
      <c r="Y1038" s="15" t="s">
        <v>3713</v>
      </c>
      <c r="Z1038" s="16">
        <v>25.62</v>
      </c>
      <c r="AA1038" s="17">
        <v>512.4</v>
      </c>
      <c r="AB1038" s="18" t="s">
        <v>3714</v>
      </c>
    </row>
    <row r="1039" spans="1:28" x14ac:dyDescent="0.45">
      <c r="A1039" s="2" t="s">
        <v>1631</v>
      </c>
      <c r="B1039" s="2" t="s">
        <v>6134</v>
      </c>
      <c r="C1039" s="2" t="s">
        <v>1110</v>
      </c>
      <c r="D1039" s="2" t="s">
        <v>1509</v>
      </c>
      <c r="E1039" s="2" t="s">
        <v>96</v>
      </c>
      <c r="F1039" s="3">
        <v>23.7</v>
      </c>
      <c r="G1039" s="3">
        <v>30.7</v>
      </c>
      <c r="H1039" s="2" t="s">
        <v>1187</v>
      </c>
      <c r="I1039" s="19">
        <v>5</v>
      </c>
      <c r="J1039" s="34">
        <f t="shared" si="64"/>
        <v>4.3499999999999997E-2</v>
      </c>
      <c r="K1039" s="34">
        <f t="shared" si="65"/>
        <v>7.0000000000000007E-2</v>
      </c>
      <c r="L1039" s="34">
        <f t="shared" si="66"/>
        <v>0.28000000000000003</v>
      </c>
      <c r="M1039" s="20" t="s">
        <v>3989</v>
      </c>
      <c r="N1039" s="20" t="s">
        <v>3925</v>
      </c>
      <c r="O1039" s="20" t="s">
        <v>3892</v>
      </c>
      <c r="P1039" s="20" t="s">
        <v>3926</v>
      </c>
      <c r="Q1039" s="21">
        <v>23.7</v>
      </c>
      <c r="R1039" s="21">
        <v>30.7</v>
      </c>
      <c r="S1039" s="21">
        <v>3.5</v>
      </c>
      <c r="T1039" s="22">
        <v>0.25</v>
      </c>
      <c r="U1039" s="13">
        <f t="shared" si="67"/>
        <v>-3.0000000000000027E-2</v>
      </c>
      <c r="V1039" s="23">
        <v>30.62</v>
      </c>
      <c r="W1039" s="23">
        <v>30.62</v>
      </c>
      <c r="X1039" s="20">
        <v>74</v>
      </c>
      <c r="Y1039" s="24" t="s">
        <v>3713</v>
      </c>
      <c r="Z1039" s="16">
        <v>25.62</v>
      </c>
      <c r="AA1039" s="17">
        <v>512.4</v>
      </c>
      <c r="AB1039" s="25" t="s">
        <v>3714</v>
      </c>
    </row>
    <row r="1040" spans="1:28" x14ac:dyDescent="0.45">
      <c r="A1040" s="4" t="s">
        <v>1632</v>
      </c>
      <c r="B1040" s="4" t="s">
        <v>6135</v>
      </c>
      <c r="C1040" s="4" t="s">
        <v>1110</v>
      </c>
      <c r="D1040" s="4" t="s">
        <v>1509</v>
      </c>
      <c r="E1040" s="4" t="s">
        <v>96</v>
      </c>
      <c r="F1040" s="5">
        <v>23</v>
      </c>
      <c r="G1040" s="5">
        <v>28</v>
      </c>
      <c r="H1040" s="4" t="s">
        <v>1135</v>
      </c>
      <c r="I1040" s="10">
        <v>3</v>
      </c>
      <c r="J1040" s="34">
        <f t="shared" si="64"/>
        <v>2.6099999999999998E-2</v>
      </c>
      <c r="K1040" s="34">
        <f t="shared" si="65"/>
        <v>0.04</v>
      </c>
      <c r="L1040" s="34">
        <f t="shared" si="66"/>
        <v>0.16</v>
      </c>
      <c r="M1040" s="11" t="s">
        <v>4399</v>
      </c>
      <c r="N1040" s="11" t="s">
        <v>3891</v>
      </c>
      <c r="O1040" s="11" t="s">
        <v>3892</v>
      </c>
      <c r="P1040" s="11" t="s">
        <v>3893</v>
      </c>
      <c r="Q1040" s="12">
        <v>23</v>
      </c>
      <c r="R1040" s="12">
        <v>28</v>
      </c>
      <c r="S1040" s="12">
        <v>2.5</v>
      </c>
      <c r="T1040" s="13">
        <v>0.2</v>
      </c>
      <c r="U1040" s="13">
        <f t="shared" si="67"/>
        <v>4.0000000000000008E-2</v>
      </c>
      <c r="V1040" s="14">
        <v>24.5</v>
      </c>
      <c r="W1040" s="14">
        <v>24.5</v>
      </c>
      <c r="X1040" s="11">
        <v>482</v>
      </c>
      <c r="Y1040" s="15" t="s">
        <v>3713</v>
      </c>
      <c r="Z1040" s="16">
        <v>21.5</v>
      </c>
      <c r="AA1040" s="17">
        <v>716.7</v>
      </c>
      <c r="AB1040" s="18" t="s">
        <v>3714</v>
      </c>
    </row>
    <row r="1041" spans="1:28" x14ac:dyDescent="0.45">
      <c r="A1041" s="2" t="s">
        <v>1633</v>
      </c>
      <c r="B1041" s="2" t="s">
        <v>6136</v>
      </c>
      <c r="C1041" s="2" t="s">
        <v>1110</v>
      </c>
      <c r="D1041" s="2" t="s">
        <v>1509</v>
      </c>
      <c r="E1041" s="2" t="s">
        <v>96</v>
      </c>
      <c r="F1041" s="3">
        <v>23</v>
      </c>
      <c r="G1041" s="3">
        <v>29</v>
      </c>
      <c r="H1041" s="2" t="s">
        <v>1149</v>
      </c>
      <c r="I1041" s="19">
        <v>3</v>
      </c>
      <c r="J1041" s="34">
        <f t="shared" si="64"/>
        <v>2.6099999999999998E-2</v>
      </c>
      <c r="K1041" s="34">
        <f t="shared" si="65"/>
        <v>0.04</v>
      </c>
      <c r="L1041" s="34">
        <f t="shared" si="66"/>
        <v>0.16</v>
      </c>
      <c r="M1041" s="20" t="s">
        <v>4400</v>
      </c>
      <c r="N1041" s="20" t="s">
        <v>3891</v>
      </c>
      <c r="O1041" s="20" t="s">
        <v>3892</v>
      </c>
      <c r="P1041" s="20" t="s">
        <v>3893</v>
      </c>
      <c r="Q1041" s="21">
        <v>23</v>
      </c>
      <c r="R1041" s="21">
        <v>29</v>
      </c>
      <c r="S1041" s="21">
        <v>3</v>
      </c>
      <c r="T1041" s="22">
        <v>0.2</v>
      </c>
      <c r="U1041" s="13">
        <f t="shared" si="67"/>
        <v>4.0000000000000008E-2</v>
      </c>
      <c r="V1041" s="23">
        <v>24.5</v>
      </c>
      <c r="W1041" s="23">
        <v>24.5</v>
      </c>
      <c r="X1041" s="20">
        <v>152</v>
      </c>
      <c r="Y1041" s="24" t="s">
        <v>3713</v>
      </c>
      <c r="Z1041" s="16">
        <v>21.5</v>
      </c>
      <c r="AA1041" s="17">
        <v>716.7</v>
      </c>
      <c r="AB1041" s="25" t="s">
        <v>3714</v>
      </c>
    </row>
    <row r="1042" spans="1:28" x14ac:dyDescent="0.45">
      <c r="A1042" s="4" t="s">
        <v>1634</v>
      </c>
      <c r="B1042" s="4" t="s">
        <v>6137</v>
      </c>
      <c r="C1042" s="4" t="s">
        <v>1110</v>
      </c>
      <c r="D1042" s="4" t="s">
        <v>1509</v>
      </c>
      <c r="E1042" s="4" t="s">
        <v>96</v>
      </c>
      <c r="F1042" s="5">
        <v>23</v>
      </c>
      <c r="G1042" s="5">
        <v>35</v>
      </c>
      <c r="H1042" s="4" t="s">
        <v>1635</v>
      </c>
      <c r="I1042" s="10">
        <v>12</v>
      </c>
      <c r="J1042" s="34">
        <f t="shared" si="64"/>
        <v>0.10439999999999999</v>
      </c>
      <c r="K1042" s="34">
        <f t="shared" si="65"/>
        <v>0.16</v>
      </c>
      <c r="L1042" s="34">
        <f t="shared" si="66"/>
        <v>0.64</v>
      </c>
      <c r="M1042" s="11" t="s">
        <v>4401</v>
      </c>
      <c r="N1042" s="11" t="s">
        <v>3891</v>
      </c>
      <c r="O1042" s="11" t="s">
        <v>3892</v>
      </c>
      <c r="P1042" s="11" t="s">
        <v>3893</v>
      </c>
      <c r="Q1042" s="12">
        <v>23</v>
      </c>
      <c r="R1042" s="12">
        <v>35</v>
      </c>
      <c r="S1042" s="12">
        <v>6</v>
      </c>
      <c r="T1042" s="13">
        <v>0.27</v>
      </c>
      <c r="U1042" s="13">
        <f t="shared" si="67"/>
        <v>-0.37</v>
      </c>
      <c r="V1042" s="14">
        <v>33.08</v>
      </c>
      <c r="W1042" s="14">
        <v>33.08</v>
      </c>
      <c r="X1042" s="11">
        <v>442</v>
      </c>
      <c r="Y1042" s="15" t="s">
        <v>3713</v>
      </c>
      <c r="Z1042" s="16">
        <v>21.08</v>
      </c>
      <c r="AA1042" s="17">
        <v>175.7</v>
      </c>
      <c r="AB1042" s="18" t="s">
        <v>3714</v>
      </c>
    </row>
    <row r="1043" spans="1:28" x14ac:dyDescent="0.45">
      <c r="A1043" s="2" t="s">
        <v>1636</v>
      </c>
      <c r="B1043" s="2" t="s">
        <v>6138</v>
      </c>
      <c r="C1043" s="2" t="s">
        <v>1110</v>
      </c>
      <c r="D1043" s="2" t="s">
        <v>1509</v>
      </c>
      <c r="E1043" s="2" t="s">
        <v>96</v>
      </c>
      <c r="F1043" s="3">
        <v>24.4</v>
      </c>
      <c r="G1043" s="3">
        <v>30.6</v>
      </c>
      <c r="H1043" s="2" t="s">
        <v>1221</v>
      </c>
      <c r="I1043" s="19">
        <v>7</v>
      </c>
      <c r="J1043" s="34">
        <f t="shared" si="64"/>
        <v>6.0899999999999996E-2</v>
      </c>
      <c r="K1043" s="34">
        <f t="shared" si="65"/>
        <v>0.09</v>
      </c>
      <c r="L1043" s="34">
        <f t="shared" si="66"/>
        <v>0.36</v>
      </c>
      <c r="M1043" s="20" t="s">
        <v>4402</v>
      </c>
      <c r="N1043" s="20" t="s">
        <v>3891</v>
      </c>
      <c r="O1043" s="20" t="s">
        <v>3892</v>
      </c>
      <c r="P1043" s="20" t="s">
        <v>3893</v>
      </c>
      <c r="Q1043" s="21">
        <v>24.4</v>
      </c>
      <c r="R1043" s="21">
        <v>30.6</v>
      </c>
      <c r="S1043" s="21">
        <v>3.1</v>
      </c>
      <c r="T1043" s="22">
        <v>0.21</v>
      </c>
      <c r="U1043" s="13">
        <f t="shared" si="67"/>
        <v>-0.15</v>
      </c>
      <c r="V1043" s="23">
        <v>25.72</v>
      </c>
      <c r="W1043" s="23">
        <v>25.72</v>
      </c>
      <c r="X1043" s="20">
        <v>36</v>
      </c>
      <c r="Y1043" s="24" t="s">
        <v>3713</v>
      </c>
      <c r="Z1043" s="16">
        <v>18.72</v>
      </c>
      <c r="AA1043" s="17">
        <v>267.39999999999998</v>
      </c>
      <c r="AB1043" s="25" t="s">
        <v>3714</v>
      </c>
    </row>
    <row r="1044" spans="1:28" x14ac:dyDescent="0.45">
      <c r="A1044" s="4" t="s">
        <v>1637</v>
      </c>
      <c r="B1044" s="4" t="s">
        <v>6139</v>
      </c>
      <c r="C1044" s="4" t="s">
        <v>1110</v>
      </c>
      <c r="D1044" s="4" t="s">
        <v>1509</v>
      </c>
      <c r="E1044" s="4" t="s">
        <v>96</v>
      </c>
      <c r="F1044" s="5">
        <v>24.7</v>
      </c>
      <c r="G1044" s="5">
        <v>31.7</v>
      </c>
      <c r="H1044" s="4" t="s">
        <v>1187</v>
      </c>
      <c r="I1044" s="10">
        <v>7</v>
      </c>
      <c r="J1044" s="34">
        <f t="shared" si="64"/>
        <v>6.0899999999999996E-2</v>
      </c>
      <c r="K1044" s="34">
        <f t="shared" si="65"/>
        <v>0.09</v>
      </c>
      <c r="L1044" s="34">
        <f t="shared" si="66"/>
        <v>0.36</v>
      </c>
      <c r="M1044" s="11" t="s">
        <v>4403</v>
      </c>
      <c r="N1044" s="11" t="s">
        <v>3891</v>
      </c>
      <c r="O1044" s="11" t="s">
        <v>3892</v>
      </c>
      <c r="P1044" s="11" t="s">
        <v>3893</v>
      </c>
      <c r="Q1044" s="12">
        <v>24.7</v>
      </c>
      <c r="R1044" s="12">
        <v>31.7</v>
      </c>
      <c r="S1044" s="12">
        <v>3.5</v>
      </c>
      <c r="T1044" s="13">
        <v>0.2</v>
      </c>
      <c r="U1044" s="13">
        <f t="shared" si="67"/>
        <v>-0.15999999999999998</v>
      </c>
      <c r="V1044" s="14">
        <v>24.5</v>
      </c>
      <c r="W1044" s="14">
        <v>24.5</v>
      </c>
      <c r="X1044" s="11">
        <v>914</v>
      </c>
      <c r="Y1044" s="15" t="s">
        <v>3713</v>
      </c>
      <c r="Z1044" s="16">
        <v>17.5</v>
      </c>
      <c r="AA1044" s="17">
        <v>250</v>
      </c>
      <c r="AB1044" s="18" t="s">
        <v>3714</v>
      </c>
    </row>
    <row r="1045" spans="1:28" x14ac:dyDescent="0.45">
      <c r="A1045" s="2" t="s">
        <v>1638</v>
      </c>
      <c r="B1045" s="2" t="s">
        <v>6140</v>
      </c>
      <c r="C1045" s="2" t="s">
        <v>1110</v>
      </c>
      <c r="D1045" s="2" t="s">
        <v>1509</v>
      </c>
      <c r="E1045" s="2" t="s">
        <v>96</v>
      </c>
      <c r="F1045" s="3">
        <v>24.99</v>
      </c>
      <c r="G1045" s="3">
        <v>32.049999999999997</v>
      </c>
      <c r="H1045" s="2" t="s">
        <v>1156</v>
      </c>
      <c r="I1045" s="19">
        <v>5</v>
      </c>
      <c r="J1045" s="34">
        <f t="shared" si="64"/>
        <v>4.3499999999999997E-2</v>
      </c>
      <c r="K1045" s="34">
        <f t="shared" si="65"/>
        <v>7.0000000000000007E-2</v>
      </c>
      <c r="L1045" s="34">
        <f t="shared" si="66"/>
        <v>0.28000000000000003</v>
      </c>
      <c r="M1045" s="20" t="s">
        <v>3990</v>
      </c>
      <c r="N1045" s="20" t="s">
        <v>3891</v>
      </c>
      <c r="O1045" s="20" t="s">
        <v>3892</v>
      </c>
      <c r="P1045" s="20" t="s">
        <v>3893</v>
      </c>
      <c r="Q1045" s="21">
        <v>25</v>
      </c>
      <c r="R1045" s="21">
        <v>32</v>
      </c>
      <c r="S1045" s="21">
        <v>3.5</v>
      </c>
      <c r="T1045" s="22">
        <v>0.2</v>
      </c>
      <c r="U1045" s="13">
        <f t="shared" si="67"/>
        <v>-8.0000000000000016E-2</v>
      </c>
      <c r="V1045" s="23">
        <v>24.5</v>
      </c>
      <c r="W1045" s="23">
        <v>24.5</v>
      </c>
      <c r="X1045" s="20">
        <v>5318</v>
      </c>
      <c r="Y1045" s="24" t="s">
        <v>3713</v>
      </c>
      <c r="Z1045" s="16">
        <v>19.5</v>
      </c>
      <c r="AA1045" s="17">
        <v>390</v>
      </c>
      <c r="AB1045" s="25" t="s">
        <v>3991</v>
      </c>
    </row>
    <row r="1046" spans="1:28" x14ac:dyDescent="0.45">
      <c r="A1046" s="4" t="s">
        <v>1639</v>
      </c>
      <c r="B1046" s="4" t="s">
        <v>6141</v>
      </c>
      <c r="C1046" s="4" t="s">
        <v>1110</v>
      </c>
      <c r="D1046" s="4" t="s">
        <v>1509</v>
      </c>
      <c r="E1046" s="4" t="s">
        <v>96</v>
      </c>
      <c r="F1046" s="5">
        <v>24</v>
      </c>
      <c r="G1046" s="5">
        <v>27</v>
      </c>
      <c r="H1046" s="4" t="s">
        <v>1120</v>
      </c>
      <c r="I1046" s="10">
        <v>3</v>
      </c>
      <c r="J1046" s="34">
        <f t="shared" si="64"/>
        <v>2.6099999999999998E-2</v>
      </c>
      <c r="K1046" s="34">
        <f t="shared" si="65"/>
        <v>0.04</v>
      </c>
      <c r="L1046" s="34">
        <f t="shared" si="66"/>
        <v>0.16</v>
      </c>
      <c r="M1046" s="11" t="s">
        <v>4404</v>
      </c>
      <c r="N1046" s="11" t="s">
        <v>3891</v>
      </c>
      <c r="O1046" s="11" t="s">
        <v>3892</v>
      </c>
      <c r="P1046" s="11" t="s">
        <v>3893</v>
      </c>
      <c r="Q1046" s="12">
        <v>24</v>
      </c>
      <c r="R1046" s="12">
        <v>27</v>
      </c>
      <c r="S1046" s="12">
        <v>1.5</v>
      </c>
      <c r="T1046" s="13">
        <v>0.2</v>
      </c>
      <c r="U1046" s="13">
        <f t="shared" si="67"/>
        <v>4.0000000000000008E-2</v>
      </c>
      <c r="V1046" s="14">
        <v>24.5</v>
      </c>
      <c r="W1046" s="14">
        <v>24.5</v>
      </c>
      <c r="X1046" s="11">
        <v>99</v>
      </c>
      <c r="Y1046" s="15" t="s">
        <v>3713</v>
      </c>
      <c r="Z1046" s="16">
        <v>21.5</v>
      </c>
      <c r="AA1046" s="17">
        <v>716.7</v>
      </c>
      <c r="AB1046" s="18" t="s">
        <v>3714</v>
      </c>
    </row>
    <row r="1047" spans="1:28" x14ac:dyDescent="0.45">
      <c r="A1047" s="2" t="s">
        <v>1640</v>
      </c>
      <c r="B1047" s="2" t="s">
        <v>6142</v>
      </c>
      <c r="C1047" s="2" t="s">
        <v>1110</v>
      </c>
      <c r="D1047" s="2" t="s">
        <v>1509</v>
      </c>
      <c r="E1047" s="2" t="s">
        <v>96</v>
      </c>
      <c r="F1047" s="3">
        <v>24</v>
      </c>
      <c r="G1047" s="3">
        <v>28</v>
      </c>
      <c r="H1047" s="2" t="s">
        <v>1122</v>
      </c>
      <c r="I1047" s="19">
        <v>3</v>
      </c>
      <c r="J1047" s="34">
        <f t="shared" si="64"/>
        <v>2.6099999999999998E-2</v>
      </c>
      <c r="K1047" s="34">
        <f t="shared" si="65"/>
        <v>0.04</v>
      </c>
      <c r="L1047" s="34">
        <f t="shared" si="66"/>
        <v>0.16</v>
      </c>
      <c r="M1047" s="20" t="s">
        <v>3992</v>
      </c>
      <c r="N1047" s="20" t="s">
        <v>3891</v>
      </c>
      <c r="O1047" s="20" t="s">
        <v>3892</v>
      </c>
      <c r="P1047" s="20" t="s">
        <v>3893</v>
      </c>
      <c r="Q1047" s="21">
        <v>24</v>
      </c>
      <c r="R1047" s="21">
        <v>28</v>
      </c>
      <c r="S1047" s="21">
        <v>2</v>
      </c>
      <c r="T1047" s="22">
        <v>0.2</v>
      </c>
      <c r="U1047" s="13">
        <f t="shared" si="67"/>
        <v>4.0000000000000008E-2</v>
      </c>
      <c r="V1047" s="23">
        <v>24.5</v>
      </c>
      <c r="W1047" s="23">
        <v>24.5</v>
      </c>
      <c r="X1047" s="20">
        <v>123</v>
      </c>
      <c r="Y1047" s="24" t="s">
        <v>3713</v>
      </c>
      <c r="Z1047" s="16">
        <v>21.5</v>
      </c>
      <c r="AA1047" s="17">
        <v>716.7</v>
      </c>
      <c r="AB1047" s="25" t="s">
        <v>3714</v>
      </c>
    </row>
    <row r="1048" spans="1:28" x14ac:dyDescent="0.45">
      <c r="A1048" s="4" t="s">
        <v>1641</v>
      </c>
      <c r="B1048" s="4" t="s">
        <v>6143</v>
      </c>
      <c r="C1048" s="4" t="s">
        <v>1110</v>
      </c>
      <c r="D1048" s="4" t="s">
        <v>1509</v>
      </c>
      <c r="E1048" s="4" t="s">
        <v>96</v>
      </c>
      <c r="F1048" s="5">
        <v>24</v>
      </c>
      <c r="G1048" s="5">
        <v>29</v>
      </c>
      <c r="H1048" s="4" t="s">
        <v>1135</v>
      </c>
      <c r="I1048" s="10">
        <v>3</v>
      </c>
      <c r="J1048" s="34">
        <f t="shared" si="64"/>
        <v>2.6099999999999998E-2</v>
      </c>
      <c r="K1048" s="34">
        <f t="shared" si="65"/>
        <v>0.04</v>
      </c>
      <c r="L1048" s="34">
        <f t="shared" si="66"/>
        <v>0.16</v>
      </c>
      <c r="M1048" s="11" t="s">
        <v>4405</v>
      </c>
      <c r="N1048" s="11" t="s">
        <v>3898</v>
      </c>
      <c r="O1048" s="11" t="s">
        <v>3892</v>
      </c>
      <c r="P1048" s="11" t="s">
        <v>3899</v>
      </c>
      <c r="Q1048" s="12">
        <v>24</v>
      </c>
      <c r="R1048" s="12">
        <v>29</v>
      </c>
      <c r="S1048" s="12">
        <v>2.5</v>
      </c>
      <c r="T1048" s="13">
        <v>0.2</v>
      </c>
      <c r="U1048" s="13">
        <f t="shared" si="67"/>
        <v>4.0000000000000008E-2</v>
      </c>
      <c r="V1048" s="14">
        <v>24.5</v>
      </c>
      <c r="W1048" s="14">
        <v>24.5</v>
      </c>
      <c r="X1048" s="11" t="s">
        <v>3722</v>
      </c>
      <c r="Y1048" s="15" t="s">
        <v>3713</v>
      </c>
      <c r="Z1048" s="16">
        <v>21.5</v>
      </c>
      <c r="AA1048" s="17">
        <v>716.7</v>
      </c>
      <c r="AB1048" s="18" t="s">
        <v>3714</v>
      </c>
    </row>
    <row r="1049" spans="1:28" x14ac:dyDescent="0.45">
      <c r="A1049" s="2" t="s">
        <v>1642</v>
      </c>
      <c r="B1049" s="2" t="s">
        <v>6144</v>
      </c>
      <c r="C1049" s="2" t="s">
        <v>1110</v>
      </c>
      <c r="D1049" s="2" t="s">
        <v>1509</v>
      </c>
      <c r="E1049" s="2" t="s">
        <v>96</v>
      </c>
      <c r="F1049" s="3">
        <v>24</v>
      </c>
      <c r="G1049" s="3">
        <v>32</v>
      </c>
      <c r="H1049" s="2" t="s">
        <v>1216</v>
      </c>
      <c r="I1049" s="19">
        <v>7</v>
      </c>
      <c r="J1049" s="34">
        <f t="shared" si="64"/>
        <v>6.0899999999999996E-2</v>
      </c>
      <c r="K1049" s="34">
        <f t="shared" si="65"/>
        <v>0.09</v>
      </c>
      <c r="L1049" s="34">
        <f t="shared" si="66"/>
        <v>0.36</v>
      </c>
      <c r="M1049" s="20" t="s">
        <v>4406</v>
      </c>
      <c r="N1049" s="20" t="s">
        <v>3891</v>
      </c>
      <c r="O1049" s="20" t="s">
        <v>3892</v>
      </c>
      <c r="P1049" s="20" t="s">
        <v>3893</v>
      </c>
      <c r="Q1049" s="21">
        <v>24</v>
      </c>
      <c r="R1049" s="21">
        <v>32</v>
      </c>
      <c r="S1049" s="21">
        <v>4</v>
      </c>
      <c r="T1049" s="22">
        <v>0.2</v>
      </c>
      <c r="U1049" s="13">
        <f t="shared" si="67"/>
        <v>-0.15999999999999998</v>
      </c>
      <c r="V1049" s="23">
        <v>24.5</v>
      </c>
      <c r="W1049" s="23">
        <v>24.5</v>
      </c>
      <c r="X1049" s="20">
        <v>356</v>
      </c>
      <c r="Y1049" s="24" t="s">
        <v>3713</v>
      </c>
      <c r="Z1049" s="16">
        <v>17.5</v>
      </c>
      <c r="AA1049" s="17">
        <v>250</v>
      </c>
      <c r="AB1049" s="25" t="s">
        <v>3714</v>
      </c>
    </row>
    <row r="1050" spans="1:28" x14ac:dyDescent="0.45">
      <c r="A1050" s="4" t="s">
        <v>1643</v>
      </c>
      <c r="B1050" s="4" t="s">
        <v>6145</v>
      </c>
      <c r="C1050" s="4" t="s">
        <v>1110</v>
      </c>
      <c r="D1050" s="4" t="s">
        <v>1509</v>
      </c>
      <c r="E1050" s="4" t="s">
        <v>96</v>
      </c>
      <c r="F1050" s="5">
        <v>25.07</v>
      </c>
      <c r="G1050" s="5">
        <v>30.31</v>
      </c>
      <c r="H1050" s="4" t="s">
        <v>1127</v>
      </c>
      <c r="I1050" s="10">
        <v>3</v>
      </c>
      <c r="J1050" s="34">
        <f t="shared" si="64"/>
        <v>2.6099999999999998E-2</v>
      </c>
      <c r="K1050" s="34">
        <f t="shared" si="65"/>
        <v>0.04</v>
      </c>
      <c r="L1050" s="34">
        <f t="shared" si="66"/>
        <v>0.16</v>
      </c>
      <c r="M1050" s="11" t="s">
        <v>3993</v>
      </c>
      <c r="N1050" s="11" t="s">
        <v>3891</v>
      </c>
      <c r="O1050" s="11" t="s">
        <v>3892</v>
      </c>
      <c r="P1050" s="11" t="s">
        <v>3893</v>
      </c>
      <c r="Q1050" s="12">
        <v>25</v>
      </c>
      <c r="R1050" s="12">
        <v>30</v>
      </c>
      <c r="S1050" s="12">
        <v>2.5</v>
      </c>
      <c r="T1050" s="13">
        <v>0.2</v>
      </c>
      <c r="U1050" s="13">
        <f t="shared" si="67"/>
        <v>4.0000000000000008E-2</v>
      </c>
      <c r="V1050" s="14">
        <v>24.5</v>
      </c>
      <c r="W1050" s="14">
        <v>24.5</v>
      </c>
      <c r="X1050" s="11">
        <v>225</v>
      </c>
      <c r="Y1050" s="15" t="s">
        <v>3713</v>
      </c>
      <c r="Z1050" s="16">
        <v>21.5</v>
      </c>
      <c r="AA1050" s="17">
        <v>716.7</v>
      </c>
      <c r="AB1050" s="18" t="s">
        <v>3994</v>
      </c>
    </row>
    <row r="1051" spans="1:28" x14ac:dyDescent="0.45">
      <c r="A1051" s="2" t="s">
        <v>1644</v>
      </c>
      <c r="B1051" s="2" t="s">
        <v>6146</v>
      </c>
      <c r="C1051" s="2" t="s">
        <v>1110</v>
      </c>
      <c r="D1051" s="2" t="s">
        <v>1509</v>
      </c>
      <c r="E1051" s="2" t="s">
        <v>96</v>
      </c>
      <c r="F1051" s="3">
        <v>25.12</v>
      </c>
      <c r="G1051" s="3">
        <v>28.68</v>
      </c>
      <c r="H1051" s="2" t="s">
        <v>1114</v>
      </c>
      <c r="I1051" s="19">
        <v>3</v>
      </c>
      <c r="J1051" s="34">
        <f t="shared" si="64"/>
        <v>2.6099999999999998E-2</v>
      </c>
      <c r="K1051" s="34">
        <f t="shared" si="65"/>
        <v>0.04</v>
      </c>
      <c r="L1051" s="34">
        <f t="shared" si="66"/>
        <v>0.16</v>
      </c>
      <c r="M1051" s="20" t="s">
        <v>3995</v>
      </c>
      <c r="N1051" s="20" t="s">
        <v>3891</v>
      </c>
      <c r="O1051" s="20" t="s">
        <v>3892</v>
      </c>
      <c r="P1051" s="20" t="s">
        <v>3893</v>
      </c>
      <c r="Q1051" s="21">
        <v>25.146000000000001</v>
      </c>
      <c r="R1051" s="21">
        <v>28.702000000000002</v>
      </c>
      <c r="S1051" s="21">
        <v>1.778</v>
      </c>
      <c r="T1051" s="22">
        <v>0.2</v>
      </c>
      <c r="U1051" s="13">
        <f t="shared" si="67"/>
        <v>4.0000000000000008E-2</v>
      </c>
      <c r="V1051" s="23">
        <v>24.5</v>
      </c>
      <c r="W1051" s="23">
        <v>24.5</v>
      </c>
      <c r="X1051" s="20">
        <v>692</v>
      </c>
      <c r="Y1051" s="24" t="s">
        <v>3737</v>
      </c>
      <c r="Z1051" s="16">
        <v>21.5</v>
      </c>
      <c r="AA1051" s="17">
        <v>716.7</v>
      </c>
      <c r="AB1051" s="25" t="s">
        <v>3967</v>
      </c>
    </row>
    <row r="1052" spans="1:28" x14ac:dyDescent="0.45">
      <c r="A1052" s="4" t="s">
        <v>1645</v>
      </c>
      <c r="B1052" s="4" t="s">
        <v>6147</v>
      </c>
      <c r="C1052" s="4" t="s">
        <v>1110</v>
      </c>
      <c r="D1052" s="4" t="s">
        <v>1509</v>
      </c>
      <c r="E1052" s="4" t="s">
        <v>96</v>
      </c>
      <c r="F1052" s="5">
        <v>25.7</v>
      </c>
      <c r="G1052" s="5">
        <v>32.700000000000003</v>
      </c>
      <c r="H1052" s="4" t="s">
        <v>1187</v>
      </c>
      <c r="I1052" s="10">
        <v>7</v>
      </c>
      <c r="J1052" s="34">
        <f t="shared" si="64"/>
        <v>6.0899999999999996E-2</v>
      </c>
      <c r="K1052" s="34">
        <f t="shared" si="65"/>
        <v>0.09</v>
      </c>
      <c r="L1052" s="34">
        <f t="shared" si="66"/>
        <v>0.36</v>
      </c>
      <c r="M1052" s="11" t="s">
        <v>3996</v>
      </c>
      <c r="N1052" s="11" t="s">
        <v>3925</v>
      </c>
      <c r="O1052" s="11" t="s">
        <v>3892</v>
      </c>
      <c r="P1052" s="11" t="s">
        <v>3926</v>
      </c>
      <c r="Q1052" s="12">
        <v>25.7</v>
      </c>
      <c r="R1052" s="12">
        <v>32.700000000000003</v>
      </c>
      <c r="S1052" s="12">
        <v>3.5</v>
      </c>
      <c r="T1052" s="13">
        <v>0.25</v>
      </c>
      <c r="U1052" s="13">
        <f t="shared" si="67"/>
        <v>-0.10999999999999999</v>
      </c>
      <c r="V1052" s="14">
        <v>30.62</v>
      </c>
      <c r="W1052" s="14">
        <v>30.62</v>
      </c>
      <c r="X1052" s="11">
        <v>336</v>
      </c>
      <c r="Y1052" s="15" t="s">
        <v>3713</v>
      </c>
      <c r="Z1052" s="16">
        <v>23.62</v>
      </c>
      <c r="AA1052" s="17">
        <v>337.4</v>
      </c>
      <c r="AB1052" s="18" t="s">
        <v>3714</v>
      </c>
    </row>
    <row r="1053" spans="1:28" x14ac:dyDescent="0.45">
      <c r="A1053" s="2" t="s">
        <v>1646</v>
      </c>
      <c r="B1053" s="2" t="s">
        <v>6148</v>
      </c>
      <c r="C1053" s="2" t="s">
        <v>1110</v>
      </c>
      <c r="D1053" s="2" t="s">
        <v>1509</v>
      </c>
      <c r="E1053" s="2" t="s">
        <v>96</v>
      </c>
      <c r="F1053" s="3">
        <v>25</v>
      </c>
      <c r="G1053" s="3">
        <v>28</v>
      </c>
      <c r="H1053" s="2" t="s">
        <v>1120</v>
      </c>
      <c r="I1053" s="19">
        <v>3</v>
      </c>
      <c r="J1053" s="34">
        <f t="shared" si="64"/>
        <v>2.6099999999999998E-2</v>
      </c>
      <c r="K1053" s="34">
        <f t="shared" si="65"/>
        <v>0.04</v>
      </c>
      <c r="L1053" s="34">
        <f t="shared" si="66"/>
        <v>0.16</v>
      </c>
      <c r="M1053" s="20" t="s">
        <v>4407</v>
      </c>
      <c r="N1053" s="20" t="s">
        <v>3891</v>
      </c>
      <c r="O1053" s="20" t="s">
        <v>3892</v>
      </c>
      <c r="P1053" s="20" t="s">
        <v>3893</v>
      </c>
      <c r="Q1053" s="21">
        <v>25</v>
      </c>
      <c r="R1053" s="21">
        <v>28</v>
      </c>
      <c r="S1053" s="21">
        <v>1.5</v>
      </c>
      <c r="T1053" s="22">
        <v>0.2</v>
      </c>
      <c r="U1053" s="13">
        <f t="shared" si="67"/>
        <v>4.0000000000000008E-2</v>
      </c>
      <c r="V1053" s="23">
        <v>24.5</v>
      </c>
      <c r="W1053" s="23">
        <v>24.5</v>
      </c>
      <c r="X1053" s="20">
        <v>188</v>
      </c>
      <c r="Y1053" s="24" t="s">
        <v>3713</v>
      </c>
      <c r="Z1053" s="16">
        <v>21.5</v>
      </c>
      <c r="AA1053" s="17">
        <v>716.7</v>
      </c>
      <c r="AB1053" s="25" t="s">
        <v>3714</v>
      </c>
    </row>
    <row r="1054" spans="1:28" x14ac:dyDescent="0.45">
      <c r="A1054" s="4" t="s">
        <v>1647</v>
      </c>
      <c r="B1054" s="4" t="s">
        <v>6149</v>
      </c>
      <c r="C1054" s="4" t="s">
        <v>1110</v>
      </c>
      <c r="D1054" s="4" t="s">
        <v>1509</v>
      </c>
      <c r="E1054" s="4" t="s">
        <v>96</v>
      </c>
      <c r="F1054" s="5">
        <v>25</v>
      </c>
      <c r="G1054" s="5">
        <v>29</v>
      </c>
      <c r="H1054" s="4" t="s">
        <v>1122</v>
      </c>
      <c r="I1054" s="10">
        <v>3</v>
      </c>
      <c r="J1054" s="34">
        <f t="shared" si="64"/>
        <v>2.6099999999999998E-2</v>
      </c>
      <c r="K1054" s="34">
        <f t="shared" si="65"/>
        <v>0.04</v>
      </c>
      <c r="L1054" s="34">
        <f t="shared" si="66"/>
        <v>0.16</v>
      </c>
      <c r="M1054" s="11" t="s">
        <v>3997</v>
      </c>
      <c r="N1054" s="11" t="s">
        <v>3891</v>
      </c>
      <c r="O1054" s="11" t="s">
        <v>3892</v>
      </c>
      <c r="P1054" s="11" t="s">
        <v>3893</v>
      </c>
      <c r="Q1054" s="12">
        <v>25</v>
      </c>
      <c r="R1054" s="12">
        <v>29</v>
      </c>
      <c r="S1054" s="12">
        <v>2</v>
      </c>
      <c r="T1054" s="13">
        <v>0.2</v>
      </c>
      <c r="U1054" s="13">
        <f t="shared" si="67"/>
        <v>4.0000000000000008E-2</v>
      </c>
      <c r="V1054" s="14">
        <v>24.5</v>
      </c>
      <c r="W1054" s="14">
        <v>24.5</v>
      </c>
      <c r="X1054" s="11">
        <v>318</v>
      </c>
      <c r="Y1054" s="15" t="s">
        <v>3713</v>
      </c>
      <c r="Z1054" s="16">
        <v>21.5</v>
      </c>
      <c r="AA1054" s="17">
        <v>716.7</v>
      </c>
      <c r="AB1054" s="18" t="s">
        <v>3714</v>
      </c>
    </row>
    <row r="1055" spans="1:28" x14ac:dyDescent="0.45">
      <c r="A1055" s="2" t="s">
        <v>1648</v>
      </c>
      <c r="B1055" s="2" t="s">
        <v>6150</v>
      </c>
      <c r="C1055" s="2" t="s">
        <v>1110</v>
      </c>
      <c r="D1055" s="2" t="s">
        <v>1509</v>
      </c>
      <c r="E1055" s="2" t="s">
        <v>96</v>
      </c>
      <c r="F1055" s="3">
        <v>25</v>
      </c>
      <c r="G1055" s="3">
        <v>30</v>
      </c>
      <c r="H1055" s="2" t="s">
        <v>1135</v>
      </c>
      <c r="I1055" s="19">
        <v>3</v>
      </c>
      <c r="J1055" s="34">
        <f t="shared" si="64"/>
        <v>2.6099999999999998E-2</v>
      </c>
      <c r="K1055" s="34">
        <f t="shared" si="65"/>
        <v>0.04</v>
      </c>
      <c r="L1055" s="34">
        <f t="shared" si="66"/>
        <v>0.16</v>
      </c>
      <c r="M1055" s="20" t="s">
        <v>3993</v>
      </c>
      <c r="N1055" s="20" t="s">
        <v>3891</v>
      </c>
      <c r="O1055" s="20" t="s">
        <v>3892</v>
      </c>
      <c r="P1055" s="20" t="s">
        <v>3893</v>
      </c>
      <c r="Q1055" s="21">
        <v>25</v>
      </c>
      <c r="R1055" s="21">
        <v>30</v>
      </c>
      <c r="S1055" s="21">
        <v>2.5</v>
      </c>
      <c r="T1055" s="22">
        <v>0.2</v>
      </c>
      <c r="U1055" s="13">
        <f t="shared" si="67"/>
        <v>4.0000000000000008E-2</v>
      </c>
      <c r="V1055" s="23">
        <v>24.5</v>
      </c>
      <c r="W1055" s="23">
        <v>24.5</v>
      </c>
      <c r="X1055" s="20">
        <v>225</v>
      </c>
      <c r="Y1055" s="24" t="s">
        <v>3713</v>
      </c>
      <c r="Z1055" s="16">
        <v>21.5</v>
      </c>
      <c r="AA1055" s="17">
        <v>716.7</v>
      </c>
      <c r="AB1055" s="25" t="s">
        <v>3714</v>
      </c>
    </row>
    <row r="1056" spans="1:28" x14ac:dyDescent="0.45">
      <c r="A1056" s="4" t="s">
        <v>1649</v>
      </c>
      <c r="B1056" s="4" t="s">
        <v>6151</v>
      </c>
      <c r="C1056" s="4" t="s">
        <v>1110</v>
      </c>
      <c r="D1056" s="4" t="s">
        <v>1509</v>
      </c>
      <c r="E1056" s="4" t="s">
        <v>96</v>
      </c>
      <c r="F1056" s="5">
        <v>25</v>
      </c>
      <c r="G1056" s="5">
        <v>31</v>
      </c>
      <c r="H1056" s="4" t="s">
        <v>1149</v>
      </c>
      <c r="I1056" s="10">
        <v>5</v>
      </c>
      <c r="J1056" s="34">
        <f t="shared" si="64"/>
        <v>4.3499999999999997E-2</v>
      </c>
      <c r="K1056" s="34">
        <f t="shared" si="65"/>
        <v>7.0000000000000007E-2</v>
      </c>
      <c r="L1056" s="34">
        <f t="shared" si="66"/>
        <v>0.28000000000000003</v>
      </c>
      <c r="M1056" s="11" t="s">
        <v>4408</v>
      </c>
      <c r="N1056" s="11" t="s">
        <v>3898</v>
      </c>
      <c r="O1056" s="11" t="s">
        <v>3892</v>
      </c>
      <c r="P1056" s="11" t="s">
        <v>3899</v>
      </c>
      <c r="Q1056" s="12">
        <v>25</v>
      </c>
      <c r="R1056" s="12">
        <v>31</v>
      </c>
      <c r="S1056" s="12">
        <v>3</v>
      </c>
      <c r="T1056" s="13">
        <v>0.69</v>
      </c>
      <c r="U1056" s="13">
        <f t="shared" si="67"/>
        <v>0.40999999999999992</v>
      </c>
      <c r="V1056" s="14">
        <v>84.52</v>
      </c>
      <c r="W1056" s="14">
        <v>84.52</v>
      </c>
      <c r="X1056" s="11">
        <v>73</v>
      </c>
      <c r="Y1056" s="15" t="s">
        <v>3713</v>
      </c>
      <c r="Z1056" s="16">
        <v>79.52</v>
      </c>
      <c r="AA1056" s="17">
        <v>1590.4</v>
      </c>
      <c r="AB1056" s="18" t="s">
        <v>3714</v>
      </c>
    </row>
    <row r="1057" spans="1:28" x14ac:dyDescent="0.45">
      <c r="A1057" s="2" t="s">
        <v>1650</v>
      </c>
      <c r="B1057" s="2" t="s">
        <v>6152</v>
      </c>
      <c r="C1057" s="2" t="s">
        <v>1110</v>
      </c>
      <c r="D1057" s="2" t="s">
        <v>1509</v>
      </c>
      <c r="E1057" s="2" t="s">
        <v>96</v>
      </c>
      <c r="F1057" s="3">
        <v>25</v>
      </c>
      <c r="G1057" s="3">
        <v>35</v>
      </c>
      <c r="H1057" s="2" t="s">
        <v>1245</v>
      </c>
      <c r="I1057" s="19">
        <v>12</v>
      </c>
      <c r="J1057" s="34">
        <f t="shared" si="64"/>
        <v>0.10439999999999999</v>
      </c>
      <c r="K1057" s="34">
        <f t="shared" si="65"/>
        <v>0.16</v>
      </c>
      <c r="L1057" s="34">
        <f t="shared" si="66"/>
        <v>0.64</v>
      </c>
      <c r="M1057" s="20" t="s">
        <v>4409</v>
      </c>
      <c r="N1057" s="20" t="s">
        <v>3891</v>
      </c>
      <c r="O1057" s="20" t="s">
        <v>3892</v>
      </c>
      <c r="P1057" s="20" t="s">
        <v>3893</v>
      </c>
      <c r="Q1057" s="21">
        <v>25</v>
      </c>
      <c r="R1057" s="21">
        <v>35</v>
      </c>
      <c r="S1057" s="21">
        <v>5</v>
      </c>
      <c r="T1057" s="22">
        <v>0.22</v>
      </c>
      <c r="U1057" s="13">
        <f t="shared" si="67"/>
        <v>-0.42000000000000004</v>
      </c>
      <c r="V1057" s="23">
        <v>26.95</v>
      </c>
      <c r="W1057" s="23">
        <v>26.95</v>
      </c>
      <c r="X1057" s="20">
        <v>40</v>
      </c>
      <c r="Y1057" s="24" t="s">
        <v>3713</v>
      </c>
      <c r="Z1057" s="16">
        <v>14.95</v>
      </c>
      <c r="AA1057" s="17">
        <v>124.6</v>
      </c>
      <c r="AB1057" s="25" t="s">
        <v>3714</v>
      </c>
    </row>
    <row r="1058" spans="1:28" x14ac:dyDescent="0.45">
      <c r="A1058" s="4" t="s">
        <v>1651</v>
      </c>
      <c r="B1058" s="4" t="s">
        <v>6153</v>
      </c>
      <c r="C1058" s="4" t="s">
        <v>1110</v>
      </c>
      <c r="D1058" s="4" t="s">
        <v>1509</v>
      </c>
      <c r="E1058" s="4" t="s">
        <v>96</v>
      </c>
      <c r="F1058" s="5">
        <v>26.57</v>
      </c>
      <c r="G1058" s="5">
        <v>33.630000000000003</v>
      </c>
      <c r="H1058" s="4" t="s">
        <v>1156</v>
      </c>
      <c r="I1058" s="10">
        <v>7</v>
      </c>
      <c r="J1058" s="34">
        <f t="shared" si="64"/>
        <v>6.0899999999999996E-2</v>
      </c>
      <c r="K1058" s="34">
        <f t="shared" si="65"/>
        <v>0.09</v>
      </c>
      <c r="L1058" s="34">
        <f t="shared" si="66"/>
        <v>0.36</v>
      </c>
      <c r="M1058" s="11" t="s">
        <v>3998</v>
      </c>
      <c r="N1058" s="11" t="s">
        <v>3898</v>
      </c>
      <c r="O1058" s="11" t="s">
        <v>3892</v>
      </c>
      <c r="P1058" s="11" t="s">
        <v>3899</v>
      </c>
      <c r="Q1058" s="12">
        <v>26.67</v>
      </c>
      <c r="R1058" s="12">
        <v>33.527999999999999</v>
      </c>
      <c r="S1058" s="12">
        <v>3.556</v>
      </c>
      <c r="T1058" s="13">
        <v>1.66</v>
      </c>
      <c r="U1058" s="13">
        <f t="shared" si="67"/>
        <v>1.2999999999999998</v>
      </c>
      <c r="V1058" s="14">
        <v>203.35</v>
      </c>
      <c r="W1058" s="14">
        <v>203.35</v>
      </c>
      <c r="X1058" s="11">
        <v>19</v>
      </c>
      <c r="Y1058" s="15" t="s">
        <v>3737</v>
      </c>
      <c r="Z1058" s="16">
        <v>196.35</v>
      </c>
      <c r="AA1058" s="17">
        <v>2805</v>
      </c>
      <c r="AB1058" s="18" t="s">
        <v>3999</v>
      </c>
    </row>
    <row r="1059" spans="1:28" x14ac:dyDescent="0.45">
      <c r="A1059" s="2" t="s">
        <v>1652</v>
      </c>
      <c r="B1059" s="2" t="s">
        <v>6154</v>
      </c>
      <c r="C1059" s="2" t="s">
        <v>1110</v>
      </c>
      <c r="D1059" s="2" t="s">
        <v>1509</v>
      </c>
      <c r="E1059" s="2" t="s">
        <v>96</v>
      </c>
      <c r="F1059" s="3">
        <v>26.64</v>
      </c>
      <c r="G1059" s="3">
        <v>31.88</v>
      </c>
      <c r="H1059" s="2" t="s">
        <v>1127</v>
      </c>
      <c r="I1059" s="19">
        <v>5</v>
      </c>
      <c r="J1059" s="34">
        <f t="shared" si="64"/>
        <v>4.3499999999999997E-2</v>
      </c>
      <c r="K1059" s="34">
        <f t="shared" si="65"/>
        <v>7.0000000000000007E-2</v>
      </c>
      <c r="L1059" s="34">
        <f t="shared" si="66"/>
        <v>0.28000000000000003</v>
      </c>
      <c r="M1059" s="20" t="s">
        <v>4000</v>
      </c>
      <c r="N1059" s="20" t="s">
        <v>3898</v>
      </c>
      <c r="O1059" s="20" t="s">
        <v>3892</v>
      </c>
      <c r="P1059" s="20" t="s">
        <v>3899</v>
      </c>
      <c r="Q1059" s="21">
        <v>26.67</v>
      </c>
      <c r="R1059" s="21">
        <v>31.75</v>
      </c>
      <c r="S1059" s="21">
        <v>2.54</v>
      </c>
      <c r="T1059" s="22">
        <v>0.2</v>
      </c>
      <c r="U1059" s="13">
        <f t="shared" si="67"/>
        <v>-8.0000000000000016E-2</v>
      </c>
      <c r="V1059" s="23">
        <v>24.5</v>
      </c>
      <c r="W1059" s="23">
        <v>24.5</v>
      </c>
      <c r="X1059" s="20">
        <v>143</v>
      </c>
      <c r="Y1059" s="24" t="s">
        <v>3737</v>
      </c>
      <c r="Z1059" s="16">
        <v>19.5</v>
      </c>
      <c r="AA1059" s="17">
        <v>390</v>
      </c>
      <c r="AB1059" s="25" t="s">
        <v>4001</v>
      </c>
    </row>
    <row r="1060" spans="1:28" x14ac:dyDescent="0.45">
      <c r="A1060" s="4" t="s">
        <v>1653</v>
      </c>
      <c r="B1060" s="4" t="s">
        <v>6155</v>
      </c>
      <c r="C1060" s="4" t="s">
        <v>1110</v>
      </c>
      <c r="D1060" s="4" t="s">
        <v>1509</v>
      </c>
      <c r="E1060" s="4" t="s">
        <v>96</v>
      </c>
      <c r="F1060" s="5">
        <v>26.7</v>
      </c>
      <c r="G1060" s="5">
        <v>30.26</v>
      </c>
      <c r="H1060" s="4" t="s">
        <v>1114</v>
      </c>
      <c r="I1060" s="10">
        <v>3</v>
      </c>
      <c r="J1060" s="34">
        <f t="shared" si="64"/>
        <v>2.6099999999999998E-2</v>
      </c>
      <c r="K1060" s="34">
        <f t="shared" si="65"/>
        <v>0.04</v>
      </c>
      <c r="L1060" s="34">
        <f t="shared" si="66"/>
        <v>0.16</v>
      </c>
      <c r="M1060" s="11" t="s">
        <v>4410</v>
      </c>
      <c r="N1060" s="11" t="s">
        <v>3898</v>
      </c>
      <c r="O1060" s="11" t="s">
        <v>3892</v>
      </c>
      <c r="P1060" s="11" t="s">
        <v>3899</v>
      </c>
      <c r="Q1060" s="12">
        <v>26.67</v>
      </c>
      <c r="R1060" s="12">
        <v>30.225999999999999</v>
      </c>
      <c r="S1060" s="12">
        <v>1.778</v>
      </c>
      <c r="T1060" s="13">
        <v>0.2</v>
      </c>
      <c r="U1060" s="13">
        <f t="shared" si="67"/>
        <v>4.0000000000000008E-2</v>
      </c>
      <c r="V1060" s="14">
        <v>24.5</v>
      </c>
      <c r="W1060" s="14">
        <v>24.5</v>
      </c>
      <c r="X1060" s="11">
        <v>14</v>
      </c>
      <c r="Y1060" s="15" t="s">
        <v>3737</v>
      </c>
      <c r="Z1060" s="16">
        <v>21.5</v>
      </c>
      <c r="AA1060" s="17">
        <v>716.7</v>
      </c>
      <c r="AB1060" s="18" t="s">
        <v>3973</v>
      </c>
    </row>
    <row r="1061" spans="1:28" x14ac:dyDescent="0.45">
      <c r="A1061" s="2" t="s">
        <v>1654</v>
      </c>
      <c r="B1061" s="2" t="s">
        <v>6156</v>
      </c>
      <c r="C1061" s="2" t="s">
        <v>1110</v>
      </c>
      <c r="D1061" s="2" t="s">
        <v>1509</v>
      </c>
      <c r="E1061" s="2" t="s">
        <v>96</v>
      </c>
      <c r="F1061" s="3">
        <v>26</v>
      </c>
      <c r="G1061" s="3">
        <v>32</v>
      </c>
      <c r="H1061" s="2" t="s">
        <v>1149</v>
      </c>
      <c r="I1061" s="19">
        <v>3</v>
      </c>
      <c r="J1061" s="34">
        <f t="shared" si="64"/>
        <v>2.6099999999999998E-2</v>
      </c>
      <c r="K1061" s="34">
        <f t="shared" si="65"/>
        <v>0.04</v>
      </c>
      <c r="L1061" s="34">
        <f t="shared" si="66"/>
        <v>0.16</v>
      </c>
      <c r="M1061" s="20" t="s">
        <v>4411</v>
      </c>
      <c r="N1061" s="20" t="s">
        <v>3891</v>
      </c>
      <c r="O1061" s="20" t="s">
        <v>3892</v>
      </c>
      <c r="P1061" s="20" t="s">
        <v>3893</v>
      </c>
      <c r="Q1061" s="21">
        <v>26</v>
      </c>
      <c r="R1061" s="21">
        <v>32</v>
      </c>
      <c r="S1061" s="21">
        <v>3</v>
      </c>
      <c r="T1061" s="22">
        <v>0.2</v>
      </c>
      <c r="U1061" s="13">
        <f t="shared" si="67"/>
        <v>4.0000000000000008E-2</v>
      </c>
      <c r="V1061" s="23">
        <v>24.5</v>
      </c>
      <c r="W1061" s="23">
        <v>24.5</v>
      </c>
      <c r="X1061" s="20">
        <v>472</v>
      </c>
      <c r="Y1061" s="24" t="s">
        <v>3713</v>
      </c>
      <c r="Z1061" s="16">
        <v>21.5</v>
      </c>
      <c r="AA1061" s="17">
        <v>716.7</v>
      </c>
      <c r="AB1061" s="25" t="s">
        <v>3714</v>
      </c>
    </row>
    <row r="1062" spans="1:28" x14ac:dyDescent="0.45">
      <c r="A1062" s="4" t="s">
        <v>1655</v>
      </c>
      <c r="B1062" s="4" t="s">
        <v>6157</v>
      </c>
      <c r="C1062" s="4" t="s">
        <v>1110</v>
      </c>
      <c r="D1062" s="4" t="s">
        <v>1509</v>
      </c>
      <c r="E1062" s="4" t="s">
        <v>96</v>
      </c>
      <c r="F1062" s="5">
        <v>27.7</v>
      </c>
      <c r="G1062" s="5">
        <v>34.700000000000003</v>
      </c>
      <c r="H1062" s="4" t="s">
        <v>1187</v>
      </c>
      <c r="I1062" s="10">
        <v>7</v>
      </c>
      <c r="J1062" s="34">
        <f t="shared" si="64"/>
        <v>6.0899999999999996E-2</v>
      </c>
      <c r="K1062" s="34">
        <f t="shared" si="65"/>
        <v>0.09</v>
      </c>
      <c r="L1062" s="34">
        <f t="shared" si="66"/>
        <v>0.36</v>
      </c>
      <c r="M1062" s="11" t="s">
        <v>4002</v>
      </c>
      <c r="N1062" s="11" t="s">
        <v>3891</v>
      </c>
      <c r="O1062" s="11" t="s">
        <v>3892</v>
      </c>
      <c r="P1062" s="11" t="s">
        <v>3893</v>
      </c>
      <c r="Q1062" s="12">
        <v>27.7</v>
      </c>
      <c r="R1062" s="12">
        <v>34.700000000000003</v>
      </c>
      <c r="S1062" s="12">
        <v>3.5</v>
      </c>
      <c r="T1062" s="13">
        <v>0.2</v>
      </c>
      <c r="U1062" s="13">
        <f t="shared" si="67"/>
        <v>-0.15999999999999998</v>
      </c>
      <c r="V1062" s="14">
        <v>24.5</v>
      </c>
      <c r="W1062" s="14">
        <v>24.5</v>
      </c>
      <c r="X1062" s="11">
        <v>606</v>
      </c>
      <c r="Y1062" s="15" t="s">
        <v>3713</v>
      </c>
      <c r="Z1062" s="16">
        <v>17.5</v>
      </c>
      <c r="AA1062" s="17">
        <v>250</v>
      </c>
      <c r="AB1062" s="18" t="s">
        <v>3714</v>
      </c>
    </row>
    <row r="1063" spans="1:28" x14ac:dyDescent="0.45">
      <c r="A1063" s="2" t="s">
        <v>1656</v>
      </c>
      <c r="B1063" s="2" t="s">
        <v>6158</v>
      </c>
      <c r="C1063" s="2" t="s">
        <v>1110</v>
      </c>
      <c r="D1063" s="2" t="s">
        <v>1509</v>
      </c>
      <c r="E1063" s="2" t="s">
        <v>96</v>
      </c>
      <c r="F1063" s="3">
        <v>27</v>
      </c>
      <c r="G1063" s="3">
        <v>32</v>
      </c>
      <c r="H1063" s="2" t="s">
        <v>1135</v>
      </c>
      <c r="I1063" s="19">
        <v>5</v>
      </c>
      <c r="J1063" s="34">
        <f t="shared" si="64"/>
        <v>4.3499999999999997E-2</v>
      </c>
      <c r="K1063" s="34">
        <f t="shared" si="65"/>
        <v>7.0000000000000007E-2</v>
      </c>
      <c r="L1063" s="34">
        <f t="shared" si="66"/>
        <v>0.28000000000000003</v>
      </c>
      <c r="M1063" s="20" t="s">
        <v>4412</v>
      </c>
      <c r="N1063" s="20" t="s">
        <v>3891</v>
      </c>
      <c r="O1063" s="20" t="s">
        <v>3892</v>
      </c>
      <c r="P1063" s="20" t="s">
        <v>3893</v>
      </c>
      <c r="Q1063" s="21">
        <v>27</v>
      </c>
      <c r="R1063" s="21">
        <v>32</v>
      </c>
      <c r="S1063" s="21">
        <v>2.5</v>
      </c>
      <c r="T1063" s="22">
        <v>0.2</v>
      </c>
      <c r="U1063" s="13">
        <f t="shared" si="67"/>
        <v>-8.0000000000000016E-2</v>
      </c>
      <c r="V1063" s="23">
        <v>24.5</v>
      </c>
      <c r="W1063" s="23">
        <v>24.5</v>
      </c>
      <c r="X1063" s="20">
        <v>250</v>
      </c>
      <c r="Y1063" s="24" t="s">
        <v>3713</v>
      </c>
      <c r="Z1063" s="16">
        <v>19.5</v>
      </c>
      <c r="AA1063" s="17">
        <v>390</v>
      </c>
      <c r="AB1063" s="25" t="s">
        <v>3714</v>
      </c>
    </row>
    <row r="1064" spans="1:28" x14ac:dyDescent="0.45">
      <c r="A1064" s="4" t="s">
        <v>1657</v>
      </c>
      <c r="B1064" s="4" t="s">
        <v>6159</v>
      </c>
      <c r="C1064" s="4" t="s">
        <v>1110</v>
      </c>
      <c r="D1064" s="4" t="s">
        <v>1509</v>
      </c>
      <c r="E1064" s="4" t="s">
        <v>96</v>
      </c>
      <c r="F1064" s="5">
        <v>27</v>
      </c>
      <c r="G1064" s="5">
        <v>33</v>
      </c>
      <c r="H1064" s="4" t="s">
        <v>1149</v>
      </c>
      <c r="I1064" s="10">
        <v>5</v>
      </c>
      <c r="J1064" s="34">
        <f t="shared" si="64"/>
        <v>4.3499999999999997E-2</v>
      </c>
      <c r="K1064" s="34">
        <f t="shared" si="65"/>
        <v>7.0000000000000007E-2</v>
      </c>
      <c r="L1064" s="34">
        <f t="shared" si="66"/>
        <v>0.28000000000000003</v>
      </c>
      <c r="M1064" s="11" t="s">
        <v>4413</v>
      </c>
      <c r="N1064" s="11" t="s">
        <v>3891</v>
      </c>
      <c r="O1064" s="11" t="s">
        <v>3892</v>
      </c>
      <c r="P1064" s="11" t="s">
        <v>3893</v>
      </c>
      <c r="Q1064" s="12">
        <v>27</v>
      </c>
      <c r="R1064" s="12">
        <v>33</v>
      </c>
      <c r="S1064" s="12">
        <v>3</v>
      </c>
      <c r="T1064" s="13">
        <v>0.2</v>
      </c>
      <c r="U1064" s="13">
        <f t="shared" si="67"/>
        <v>-8.0000000000000016E-2</v>
      </c>
      <c r="V1064" s="14">
        <v>24.5</v>
      </c>
      <c r="W1064" s="14">
        <v>24.5</v>
      </c>
      <c r="X1064" s="11">
        <v>131</v>
      </c>
      <c r="Y1064" s="15" t="s">
        <v>3713</v>
      </c>
      <c r="Z1064" s="16">
        <v>19.5</v>
      </c>
      <c r="AA1064" s="17">
        <v>390</v>
      </c>
      <c r="AB1064" s="18" t="s">
        <v>3714</v>
      </c>
    </row>
    <row r="1065" spans="1:28" x14ac:dyDescent="0.45">
      <c r="A1065" s="2" t="s">
        <v>1658</v>
      </c>
      <c r="B1065" s="2" t="s">
        <v>6160</v>
      </c>
      <c r="C1065" s="2" t="s">
        <v>1110</v>
      </c>
      <c r="D1065" s="2" t="s">
        <v>1509</v>
      </c>
      <c r="E1065" s="2" t="s">
        <v>96</v>
      </c>
      <c r="F1065" s="3">
        <v>28.17</v>
      </c>
      <c r="G1065" s="3">
        <v>35.229999999999997</v>
      </c>
      <c r="H1065" s="2" t="s">
        <v>1156</v>
      </c>
      <c r="I1065" s="19">
        <v>7</v>
      </c>
      <c r="J1065" s="34">
        <f t="shared" si="64"/>
        <v>6.0899999999999996E-2</v>
      </c>
      <c r="K1065" s="34">
        <f t="shared" si="65"/>
        <v>0.09</v>
      </c>
      <c r="L1065" s="34">
        <f t="shared" si="66"/>
        <v>0.36</v>
      </c>
      <c r="M1065" s="20" t="s">
        <v>4003</v>
      </c>
      <c r="N1065" s="20" t="s">
        <v>3913</v>
      </c>
      <c r="O1065" s="20" t="s">
        <v>3892</v>
      </c>
      <c r="P1065" s="20" t="s">
        <v>3914</v>
      </c>
      <c r="Q1065" s="21">
        <v>28.193999999999999</v>
      </c>
      <c r="R1065" s="21">
        <v>35.305999999999997</v>
      </c>
      <c r="S1065" s="21">
        <v>3.556</v>
      </c>
      <c r="T1065" s="22">
        <v>4.68</v>
      </c>
      <c r="U1065" s="13">
        <f t="shared" si="67"/>
        <v>4.3199999999999994</v>
      </c>
      <c r="V1065" s="23">
        <v>573.29999999999995</v>
      </c>
      <c r="W1065" s="23">
        <v>573.29999999999995</v>
      </c>
      <c r="X1065" s="20">
        <v>8</v>
      </c>
      <c r="Y1065" s="24" t="s">
        <v>3737</v>
      </c>
      <c r="Z1065" s="16">
        <v>566.29999999999995</v>
      </c>
      <c r="AA1065" s="17">
        <v>8090</v>
      </c>
      <c r="AB1065" s="25" t="s">
        <v>3945</v>
      </c>
    </row>
    <row r="1066" spans="1:28" x14ac:dyDescent="0.45">
      <c r="A1066" s="4" t="s">
        <v>1659</v>
      </c>
      <c r="B1066" s="4" t="s">
        <v>6161</v>
      </c>
      <c r="C1066" s="4" t="s">
        <v>1110</v>
      </c>
      <c r="D1066" s="4" t="s">
        <v>1509</v>
      </c>
      <c r="E1066" s="4" t="s">
        <v>96</v>
      </c>
      <c r="F1066" s="5">
        <v>28.24</v>
      </c>
      <c r="G1066" s="5">
        <v>33.479999999999997</v>
      </c>
      <c r="H1066" s="4" t="s">
        <v>1127</v>
      </c>
      <c r="I1066" s="10">
        <v>5</v>
      </c>
      <c r="J1066" s="34">
        <f t="shared" si="64"/>
        <v>4.3499999999999997E-2</v>
      </c>
      <c r="K1066" s="34">
        <f t="shared" si="65"/>
        <v>7.0000000000000007E-2</v>
      </c>
      <c r="L1066" s="34">
        <f t="shared" si="66"/>
        <v>0.28000000000000003</v>
      </c>
      <c r="M1066" s="11" t="s">
        <v>4004</v>
      </c>
      <c r="N1066" s="11" t="s">
        <v>3898</v>
      </c>
      <c r="O1066" s="11" t="s">
        <v>3892</v>
      </c>
      <c r="P1066" s="11" t="s">
        <v>3899</v>
      </c>
      <c r="Q1066" s="12">
        <v>28.193999999999999</v>
      </c>
      <c r="R1066" s="12">
        <v>33.527999999999999</v>
      </c>
      <c r="S1066" s="12">
        <v>2.54</v>
      </c>
      <c r="T1066" s="13">
        <v>1.49</v>
      </c>
      <c r="U1066" s="13">
        <f t="shared" si="67"/>
        <v>1.21</v>
      </c>
      <c r="V1066" s="14">
        <v>182.52</v>
      </c>
      <c r="W1066" s="14">
        <v>182.52</v>
      </c>
      <c r="X1066" s="11" t="s">
        <v>3722</v>
      </c>
      <c r="Y1066" s="15" t="s">
        <v>3737</v>
      </c>
      <c r="Z1066" s="16">
        <v>177.52</v>
      </c>
      <c r="AA1066" s="17">
        <v>3550.4</v>
      </c>
      <c r="AB1066" s="18" t="s">
        <v>3920</v>
      </c>
    </row>
    <row r="1067" spans="1:28" x14ac:dyDescent="0.45">
      <c r="A1067" s="2" t="s">
        <v>1660</v>
      </c>
      <c r="B1067" s="2" t="s">
        <v>6162</v>
      </c>
      <c r="C1067" s="2" t="s">
        <v>1110</v>
      </c>
      <c r="D1067" s="2" t="s">
        <v>1509</v>
      </c>
      <c r="E1067" s="2" t="s">
        <v>96</v>
      </c>
      <c r="F1067" s="3">
        <v>28.3</v>
      </c>
      <c r="G1067" s="3">
        <v>31.86</v>
      </c>
      <c r="H1067" s="2" t="s">
        <v>1114</v>
      </c>
      <c r="I1067" s="19">
        <v>3</v>
      </c>
      <c r="J1067" s="34">
        <f t="shared" si="64"/>
        <v>2.6099999999999998E-2</v>
      </c>
      <c r="K1067" s="34">
        <f t="shared" si="65"/>
        <v>0.04</v>
      </c>
      <c r="L1067" s="34">
        <f t="shared" si="66"/>
        <v>0.16</v>
      </c>
      <c r="M1067" s="20" t="s">
        <v>4005</v>
      </c>
      <c r="N1067" s="20" t="s">
        <v>3891</v>
      </c>
      <c r="O1067" s="20" t="s">
        <v>3892</v>
      </c>
      <c r="P1067" s="20" t="s">
        <v>3893</v>
      </c>
      <c r="Q1067" s="21">
        <v>28</v>
      </c>
      <c r="R1067" s="21">
        <v>32</v>
      </c>
      <c r="S1067" s="21">
        <v>2</v>
      </c>
      <c r="T1067" s="22">
        <v>0.2</v>
      </c>
      <c r="U1067" s="13">
        <f t="shared" si="67"/>
        <v>4.0000000000000008E-2</v>
      </c>
      <c r="V1067" s="23">
        <v>24.5</v>
      </c>
      <c r="W1067" s="23">
        <v>24.5</v>
      </c>
      <c r="X1067" s="20">
        <v>613</v>
      </c>
      <c r="Y1067" s="24" t="s">
        <v>3713</v>
      </c>
      <c r="Z1067" s="16">
        <v>21.5</v>
      </c>
      <c r="AA1067" s="17">
        <v>716.7</v>
      </c>
      <c r="AB1067" s="25" t="s">
        <v>4006</v>
      </c>
    </row>
    <row r="1068" spans="1:28" x14ac:dyDescent="0.45">
      <c r="A1068" s="4" t="s">
        <v>1661</v>
      </c>
      <c r="B1068" s="4" t="s">
        <v>6163</v>
      </c>
      <c r="C1068" s="4" t="s">
        <v>1110</v>
      </c>
      <c r="D1068" s="4" t="s">
        <v>1509</v>
      </c>
      <c r="E1068" s="4" t="s">
        <v>96</v>
      </c>
      <c r="F1068" s="5">
        <v>28.7</v>
      </c>
      <c r="G1068" s="5">
        <v>35.700000000000003</v>
      </c>
      <c r="H1068" s="4" t="s">
        <v>1187</v>
      </c>
      <c r="I1068" s="10">
        <v>7</v>
      </c>
      <c r="J1068" s="34">
        <f t="shared" si="64"/>
        <v>6.0899999999999996E-2</v>
      </c>
      <c r="K1068" s="34">
        <f t="shared" si="65"/>
        <v>0.09</v>
      </c>
      <c r="L1068" s="34">
        <f t="shared" si="66"/>
        <v>0.36</v>
      </c>
      <c r="M1068" s="11" t="s">
        <v>4414</v>
      </c>
      <c r="N1068" s="11" t="s">
        <v>3925</v>
      </c>
      <c r="O1068" s="11" t="s">
        <v>3892</v>
      </c>
      <c r="P1068" s="11" t="s">
        <v>3926</v>
      </c>
      <c r="Q1068" s="12">
        <v>28.7</v>
      </c>
      <c r="R1068" s="12">
        <v>35.700000000000003</v>
      </c>
      <c r="S1068" s="12">
        <v>3.5</v>
      </c>
      <c r="T1068" s="13">
        <v>0.22</v>
      </c>
      <c r="U1068" s="13">
        <f t="shared" si="67"/>
        <v>-0.13999999999999999</v>
      </c>
      <c r="V1068" s="14">
        <v>26.95</v>
      </c>
      <c r="W1068" s="14">
        <v>26.95</v>
      </c>
      <c r="X1068" s="11">
        <v>24</v>
      </c>
      <c r="Y1068" s="15" t="s">
        <v>3713</v>
      </c>
      <c r="Z1068" s="16">
        <v>19.95</v>
      </c>
      <c r="AA1068" s="17">
        <v>285</v>
      </c>
      <c r="AB1068" s="18" t="s">
        <v>3714</v>
      </c>
    </row>
    <row r="1069" spans="1:28" x14ac:dyDescent="0.45">
      <c r="A1069" s="2" t="s">
        <v>1662</v>
      </c>
      <c r="B1069" s="2" t="s">
        <v>6164</v>
      </c>
      <c r="C1069" s="2" t="s">
        <v>1110</v>
      </c>
      <c r="D1069" s="2" t="s">
        <v>1509</v>
      </c>
      <c r="E1069" s="2" t="s">
        <v>96</v>
      </c>
      <c r="F1069" s="3">
        <v>28</v>
      </c>
      <c r="G1069" s="3">
        <v>33</v>
      </c>
      <c r="H1069" s="2" t="s">
        <v>1135</v>
      </c>
      <c r="I1069" s="19">
        <v>5</v>
      </c>
      <c r="J1069" s="34">
        <f t="shared" si="64"/>
        <v>4.3499999999999997E-2</v>
      </c>
      <c r="K1069" s="34">
        <f t="shared" si="65"/>
        <v>7.0000000000000007E-2</v>
      </c>
      <c r="L1069" s="34">
        <f t="shared" si="66"/>
        <v>0.28000000000000003</v>
      </c>
      <c r="M1069" s="20" t="s">
        <v>4415</v>
      </c>
      <c r="N1069" s="20" t="s">
        <v>3891</v>
      </c>
      <c r="O1069" s="20" t="s">
        <v>3892</v>
      </c>
      <c r="P1069" s="20" t="s">
        <v>3893</v>
      </c>
      <c r="Q1069" s="21">
        <v>28</v>
      </c>
      <c r="R1069" s="21">
        <v>33</v>
      </c>
      <c r="S1069" s="21">
        <v>2.5</v>
      </c>
      <c r="T1069" s="22">
        <v>0.2</v>
      </c>
      <c r="U1069" s="13">
        <f t="shared" si="67"/>
        <v>-8.0000000000000016E-2</v>
      </c>
      <c r="V1069" s="23">
        <v>24.5</v>
      </c>
      <c r="W1069" s="23">
        <v>24.5</v>
      </c>
      <c r="X1069" s="20">
        <v>424</v>
      </c>
      <c r="Y1069" s="24" t="s">
        <v>3713</v>
      </c>
      <c r="Z1069" s="16">
        <v>19.5</v>
      </c>
      <c r="AA1069" s="17">
        <v>390</v>
      </c>
      <c r="AB1069" s="25" t="s">
        <v>3714</v>
      </c>
    </row>
    <row r="1070" spans="1:28" x14ac:dyDescent="0.45">
      <c r="A1070" s="4" t="s">
        <v>1663</v>
      </c>
      <c r="B1070" s="4" t="s">
        <v>6165</v>
      </c>
      <c r="C1070" s="4" t="s">
        <v>1110</v>
      </c>
      <c r="D1070" s="4" t="s">
        <v>1509</v>
      </c>
      <c r="E1070" s="4" t="s">
        <v>96</v>
      </c>
      <c r="F1070" s="5">
        <v>29.4</v>
      </c>
      <c r="G1070" s="5">
        <v>35.6</v>
      </c>
      <c r="H1070" s="4" t="s">
        <v>1221</v>
      </c>
      <c r="I1070" s="10">
        <v>8</v>
      </c>
      <c r="J1070" s="34">
        <f t="shared" si="64"/>
        <v>6.9599999999999995E-2</v>
      </c>
      <c r="K1070" s="34">
        <f t="shared" si="65"/>
        <v>0.1</v>
      </c>
      <c r="L1070" s="34">
        <f t="shared" si="66"/>
        <v>0.4</v>
      </c>
      <c r="M1070" s="11" t="s">
        <v>4416</v>
      </c>
      <c r="N1070" s="11" t="s">
        <v>3891</v>
      </c>
      <c r="O1070" s="11" t="s">
        <v>3892</v>
      </c>
      <c r="P1070" s="11" t="s">
        <v>3893</v>
      </c>
      <c r="Q1070" s="12">
        <v>29.4</v>
      </c>
      <c r="R1070" s="12">
        <v>35.6</v>
      </c>
      <c r="S1070" s="12">
        <v>3.1</v>
      </c>
      <c r="T1070" s="13">
        <v>0.2</v>
      </c>
      <c r="U1070" s="13">
        <f t="shared" si="67"/>
        <v>-0.2</v>
      </c>
      <c r="V1070" s="14">
        <v>24.5</v>
      </c>
      <c r="W1070" s="14">
        <v>24.5</v>
      </c>
      <c r="X1070" s="11">
        <v>22</v>
      </c>
      <c r="Y1070" s="15" t="s">
        <v>3713</v>
      </c>
      <c r="Z1070" s="16">
        <v>16.5</v>
      </c>
      <c r="AA1070" s="17">
        <v>206.2</v>
      </c>
      <c r="AB1070" s="18" t="s">
        <v>3714</v>
      </c>
    </row>
    <row r="1071" spans="1:28" x14ac:dyDescent="0.45">
      <c r="A1071" s="2" t="s">
        <v>1664</v>
      </c>
      <c r="B1071" s="2" t="s">
        <v>6166</v>
      </c>
      <c r="C1071" s="2" t="s">
        <v>1110</v>
      </c>
      <c r="D1071" s="2" t="s">
        <v>1509</v>
      </c>
      <c r="E1071" s="2" t="s">
        <v>96</v>
      </c>
      <c r="F1071" s="3">
        <v>29.51</v>
      </c>
      <c r="G1071" s="3">
        <v>40.17</v>
      </c>
      <c r="H1071" s="2" t="s">
        <v>1201</v>
      </c>
      <c r="I1071" s="19">
        <v>13</v>
      </c>
      <c r="J1071" s="34">
        <f t="shared" si="64"/>
        <v>0.11309999999999999</v>
      </c>
      <c r="K1071" s="34">
        <f t="shared" si="65"/>
        <v>0.17</v>
      </c>
      <c r="L1071" s="34">
        <f t="shared" si="66"/>
        <v>0.68</v>
      </c>
      <c r="M1071" s="20" t="s">
        <v>4007</v>
      </c>
      <c r="N1071" s="20" t="s">
        <v>3891</v>
      </c>
      <c r="O1071" s="20" t="s">
        <v>3892</v>
      </c>
      <c r="P1071" s="20" t="s">
        <v>3893</v>
      </c>
      <c r="Q1071" s="21">
        <v>29.463999999999999</v>
      </c>
      <c r="R1071" s="21">
        <v>40.131999999999998</v>
      </c>
      <c r="S1071" s="21">
        <v>5.3339999999999996</v>
      </c>
      <c r="T1071" s="22">
        <v>0.34</v>
      </c>
      <c r="U1071" s="13">
        <f t="shared" si="67"/>
        <v>-0.34</v>
      </c>
      <c r="V1071" s="23">
        <v>41.65</v>
      </c>
      <c r="W1071" s="23">
        <v>41.65</v>
      </c>
      <c r="X1071" s="20">
        <v>248</v>
      </c>
      <c r="Y1071" s="24" t="s">
        <v>3737</v>
      </c>
      <c r="Z1071" s="16">
        <v>28.65</v>
      </c>
      <c r="AA1071" s="17">
        <v>220.4</v>
      </c>
      <c r="AB1071" s="25" t="s">
        <v>4008</v>
      </c>
    </row>
    <row r="1072" spans="1:28" x14ac:dyDescent="0.45">
      <c r="A1072" s="4" t="s">
        <v>1665</v>
      </c>
      <c r="B1072" s="4" t="s">
        <v>6167</v>
      </c>
      <c r="C1072" s="4" t="s">
        <v>1110</v>
      </c>
      <c r="D1072" s="4" t="s">
        <v>1509</v>
      </c>
      <c r="E1072" s="4" t="s">
        <v>96</v>
      </c>
      <c r="F1072" s="5">
        <v>29.74</v>
      </c>
      <c r="G1072" s="5">
        <v>36.799999999999997</v>
      </c>
      <c r="H1072" s="4" t="s">
        <v>1156</v>
      </c>
      <c r="I1072" s="10">
        <v>7</v>
      </c>
      <c r="J1072" s="34">
        <f t="shared" si="64"/>
        <v>6.0899999999999996E-2</v>
      </c>
      <c r="K1072" s="34">
        <f t="shared" si="65"/>
        <v>0.09</v>
      </c>
      <c r="L1072" s="34">
        <f t="shared" si="66"/>
        <v>0.36</v>
      </c>
      <c r="M1072" s="11" t="s">
        <v>4009</v>
      </c>
      <c r="N1072" s="11" t="s">
        <v>3925</v>
      </c>
      <c r="O1072" s="11" t="s">
        <v>3892</v>
      </c>
      <c r="P1072" s="11" t="s">
        <v>3926</v>
      </c>
      <c r="Q1072" s="12">
        <v>29.7</v>
      </c>
      <c r="R1072" s="12">
        <v>36.700000000000003</v>
      </c>
      <c r="S1072" s="12">
        <v>3.5</v>
      </c>
      <c r="T1072" s="13">
        <v>0.23</v>
      </c>
      <c r="U1072" s="13">
        <f t="shared" si="67"/>
        <v>-0.12999999999999998</v>
      </c>
      <c r="V1072" s="14">
        <v>28.18</v>
      </c>
      <c r="W1072" s="14">
        <v>28.18</v>
      </c>
      <c r="X1072" s="11">
        <v>38</v>
      </c>
      <c r="Y1072" s="15" t="s">
        <v>3713</v>
      </c>
      <c r="Z1072" s="16">
        <v>21.18</v>
      </c>
      <c r="AA1072" s="17">
        <v>302.60000000000002</v>
      </c>
      <c r="AB1072" s="18" t="s">
        <v>3955</v>
      </c>
    </row>
    <row r="1073" spans="1:28" x14ac:dyDescent="0.45">
      <c r="A1073" s="2" t="s">
        <v>1666</v>
      </c>
      <c r="B1073" s="2" t="s">
        <v>6168</v>
      </c>
      <c r="C1073" s="2" t="s">
        <v>1110</v>
      </c>
      <c r="D1073" s="2" t="s">
        <v>1509</v>
      </c>
      <c r="E1073" s="2" t="s">
        <v>96</v>
      </c>
      <c r="F1073" s="3">
        <v>29.7</v>
      </c>
      <c r="G1073" s="3">
        <v>36.700000000000003</v>
      </c>
      <c r="H1073" s="2" t="s">
        <v>1187</v>
      </c>
      <c r="I1073" s="19">
        <v>8</v>
      </c>
      <c r="J1073" s="34">
        <f t="shared" si="64"/>
        <v>6.9599999999999995E-2</v>
      </c>
      <c r="K1073" s="34">
        <f t="shared" si="65"/>
        <v>0.1</v>
      </c>
      <c r="L1073" s="34">
        <f t="shared" si="66"/>
        <v>0.4</v>
      </c>
      <c r="M1073" s="20" t="s">
        <v>4009</v>
      </c>
      <c r="N1073" s="20" t="s">
        <v>3925</v>
      </c>
      <c r="O1073" s="20" t="s">
        <v>3892</v>
      </c>
      <c r="P1073" s="20" t="s">
        <v>3926</v>
      </c>
      <c r="Q1073" s="21">
        <v>29.7</v>
      </c>
      <c r="R1073" s="21">
        <v>36.700000000000003</v>
      </c>
      <c r="S1073" s="21">
        <v>3.5</v>
      </c>
      <c r="T1073" s="22">
        <v>0.23</v>
      </c>
      <c r="U1073" s="13">
        <f t="shared" si="67"/>
        <v>-0.17</v>
      </c>
      <c r="V1073" s="23">
        <v>28.18</v>
      </c>
      <c r="W1073" s="23">
        <v>28.18</v>
      </c>
      <c r="X1073" s="20">
        <v>38</v>
      </c>
      <c r="Y1073" s="24" t="s">
        <v>3713</v>
      </c>
      <c r="Z1073" s="16">
        <v>20.18</v>
      </c>
      <c r="AA1073" s="17">
        <v>252.2</v>
      </c>
      <c r="AB1073" s="25" t="s">
        <v>3714</v>
      </c>
    </row>
    <row r="1074" spans="1:28" x14ac:dyDescent="0.45">
      <c r="A1074" s="4" t="s">
        <v>1667</v>
      </c>
      <c r="B1074" s="4" t="s">
        <v>6169</v>
      </c>
      <c r="C1074" s="4" t="s">
        <v>1110</v>
      </c>
      <c r="D1074" s="4" t="s">
        <v>1509</v>
      </c>
      <c r="E1074" s="4" t="s">
        <v>96</v>
      </c>
      <c r="F1074" s="5">
        <v>29.82</v>
      </c>
      <c r="G1074" s="5">
        <v>35.06</v>
      </c>
      <c r="H1074" s="4" t="s">
        <v>1127</v>
      </c>
      <c r="I1074" s="10">
        <v>5</v>
      </c>
      <c r="J1074" s="34">
        <f t="shared" si="64"/>
        <v>4.3499999999999997E-2</v>
      </c>
      <c r="K1074" s="34">
        <f t="shared" si="65"/>
        <v>7.0000000000000007E-2</v>
      </c>
      <c r="L1074" s="34">
        <f t="shared" si="66"/>
        <v>0.28000000000000003</v>
      </c>
      <c r="M1074" s="11" t="s">
        <v>4010</v>
      </c>
      <c r="N1074" s="11" t="s">
        <v>3891</v>
      </c>
      <c r="O1074" s="11" t="s">
        <v>3892</v>
      </c>
      <c r="P1074" s="11" t="s">
        <v>3893</v>
      </c>
      <c r="Q1074" s="12">
        <v>30</v>
      </c>
      <c r="R1074" s="12">
        <v>35</v>
      </c>
      <c r="S1074" s="12">
        <v>2.5</v>
      </c>
      <c r="T1074" s="13">
        <v>0.2</v>
      </c>
      <c r="U1074" s="13">
        <f t="shared" si="67"/>
        <v>-8.0000000000000016E-2</v>
      </c>
      <c r="V1074" s="14">
        <v>24.5</v>
      </c>
      <c r="W1074" s="14">
        <v>24.5</v>
      </c>
      <c r="X1074" s="11">
        <v>286</v>
      </c>
      <c r="Y1074" s="15" t="s">
        <v>3713</v>
      </c>
      <c r="Z1074" s="16">
        <v>19.5</v>
      </c>
      <c r="AA1074" s="17">
        <v>390</v>
      </c>
      <c r="AB1074" s="18" t="s">
        <v>4011</v>
      </c>
    </row>
    <row r="1075" spans="1:28" x14ac:dyDescent="0.45">
      <c r="A1075" s="2" t="s">
        <v>1668</v>
      </c>
      <c r="B1075" s="2" t="s">
        <v>6170</v>
      </c>
      <c r="C1075" s="2" t="s">
        <v>1110</v>
      </c>
      <c r="D1075" s="2" t="s">
        <v>1509</v>
      </c>
      <c r="E1075" s="2" t="s">
        <v>96</v>
      </c>
      <c r="F1075" s="3">
        <v>29.87</v>
      </c>
      <c r="G1075" s="3">
        <v>33.43</v>
      </c>
      <c r="H1075" s="2" t="s">
        <v>1114</v>
      </c>
      <c r="I1075" s="19">
        <v>3</v>
      </c>
      <c r="J1075" s="34">
        <f t="shared" si="64"/>
        <v>2.6099999999999998E-2</v>
      </c>
      <c r="K1075" s="34">
        <f t="shared" si="65"/>
        <v>0.04</v>
      </c>
      <c r="L1075" s="34">
        <f t="shared" si="66"/>
        <v>0.16</v>
      </c>
      <c r="M1075" s="20" t="s">
        <v>4012</v>
      </c>
      <c r="N1075" s="20" t="s">
        <v>3898</v>
      </c>
      <c r="O1075" s="20" t="s">
        <v>3892</v>
      </c>
      <c r="P1075" s="20" t="s">
        <v>3899</v>
      </c>
      <c r="Q1075" s="21">
        <v>29.972000000000001</v>
      </c>
      <c r="R1075" s="21">
        <v>33.527999999999999</v>
      </c>
      <c r="S1075" s="21">
        <v>1.778</v>
      </c>
      <c r="T1075" s="22">
        <v>0.21</v>
      </c>
      <c r="U1075" s="13">
        <f t="shared" si="67"/>
        <v>4.9999999999999989E-2</v>
      </c>
      <c r="V1075" s="23">
        <v>25.72</v>
      </c>
      <c r="W1075" s="23">
        <v>25.72</v>
      </c>
      <c r="X1075" s="20" t="s">
        <v>3722</v>
      </c>
      <c r="Y1075" s="24" t="s">
        <v>3737</v>
      </c>
      <c r="Z1075" s="16">
        <v>22.72</v>
      </c>
      <c r="AA1075" s="17">
        <v>757.3</v>
      </c>
      <c r="AB1075" s="25" t="s">
        <v>3999</v>
      </c>
    </row>
    <row r="1076" spans="1:28" x14ac:dyDescent="0.45">
      <c r="A1076" s="4" t="s">
        <v>1669</v>
      </c>
      <c r="B1076" s="4" t="s">
        <v>6171</v>
      </c>
      <c r="C1076" s="4" t="s">
        <v>1110</v>
      </c>
      <c r="D1076" s="4" t="s">
        <v>1509</v>
      </c>
      <c r="E1076" s="4" t="s">
        <v>96</v>
      </c>
      <c r="F1076" s="5">
        <v>29</v>
      </c>
      <c r="G1076" s="5">
        <v>34</v>
      </c>
      <c r="H1076" s="4" t="s">
        <v>1135</v>
      </c>
      <c r="I1076" s="10">
        <v>5</v>
      </c>
      <c r="J1076" s="34">
        <f t="shared" si="64"/>
        <v>4.3499999999999997E-2</v>
      </c>
      <c r="K1076" s="34">
        <f t="shared" si="65"/>
        <v>7.0000000000000007E-2</v>
      </c>
      <c r="L1076" s="34">
        <f t="shared" si="66"/>
        <v>0.28000000000000003</v>
      </c>
      <c r="M1076" s="11" t="s">
        <v>4417</v>
      </c>
      <c r="N1076" s="11" t="s">
        <v>3891</v>
      </c>
      <c r="O1076" s="11" t="s">
        <v>3892</v>
      </c>
      <c r="P1076" s="11" t="s">
        <v>3893</v>
      </c>
      <c r="Q1076" s="12">
        <v>29</v>
      </c>
      <c r="R1076" s="12">
        <v>34</v>
      </c>
      <c r="S1076" s="12">
        <v>2.5</v>
      </c>
      <c r="T1076" s="13">
        <v>0.2</v>
      </c>
      <c r="U1076" s="13">
        <f t="shared" si="67"/>
        <v>-8.0000000000000016E-2</v>
      </c>
      <c r="V1076" s="14">
        <v>24.5</v>
      </c>
      <c r="W1076" s="14">
        <v>24.5</v>
      </c>
      <c r="X1076" s="11">
        <v>3081</v>
      </c>
      <c r="Y1076" s="15" t="s">
        <v>3713</v>
      </c>
      <c r="Z1076" s="16">
        <v>19.5</v>
      </c>
      <c r="AA1076" s="17">
        <v>390</v>
      </c>
      <c r="AB1076" s="18" t="s">
        <v>3714</v>
      </c>
    </row>
    <row r="1077" spans="1:28" x14ac:dyDescent="0.45">
      <c r="A1077" s="2" t="s">
        <v>1670</v>
      </c>
      <c r="B1077" s="2" t="s">
        <v>6172</v>
      </c>
      <c r="C1077" s="2" t="s">
        <v>1110</v>
      </c>
      <c r="D1077" s="2" t="s">
        <v>1509</v>
      </c>
      <c r="E1077" s="2" t="s">
        <v>96</v>
      </c>
      <c r="F1077" s="3">
        <v>29</v>
      </c>
      <c r="G1077" s="3">
        <v>35</v>
      </c>
      <c r="H1077" s="2" t="s">
        <v>1149</v>
      </c>
      <c r="I1077" s="19">
        <v>5</v>
      </c>
      <c r="J1077" s="34">
        <f t="shared" si="64"/>
        <v>4.3499999999999997E-2</v>
      </c>
      <c r="K1077" s="34">
        <f t="shared" si="65"/>
        <v>7.0000000000000007E-2</v>
      </c>
      <c r="L1077" s="34">
        <f t="shared" si="66"/>
        <v>0.28000000000000003</v>
      </c>
      <c r="M1077" s="20" t="s">
        <v>4013</v>
      </c>
      <c r="N1077" s="20" t="s">
        <v>3891</v>
      </c>
      <c r="O1077" s="20" t="s">
        <v>3892</v>
      </c>
      <c r="P1077" s="20" t="s">
        <v>3893</v>
      </c>
      <c r="Q1077" s="21">
        <v>29</v>
      </c>
      <c r="R1077" s="21">
        <v>35</v>
      </c>
      <c r="S1077" s="21">
        <v>3</v>
      </c>
      <c r="T1077" s="22">
        <v>0.2</v>
      </c>
      <c r="U1077" s="13">
        <f t="shared" si="67"/>
        <v>-8.0000000000000016E-2</v>
      </c>
      <c r="V1077" s="23">
        <v>24.5</v>
      </c>
      <c r="W1077" s="23">
        <v>24.5</v>
      </c>
      <c r="X1077" s="20">
        <v>924</v>
      </c>
      <c r="Y1077" s="24" t="s">
        <v>3713</v>
      </c>
      <c r="Z1077" s="16">
        <v>19.5</v>
      </c>
      <c r="AA1077" s="17">
        <v>390</v>
      </c>
      <c r="AB1077" s="25" t="s">
        <v>3714</v>
      </c>
    </row>
    <row r="1078" spans="1:28" x14ac:dyDescent="0.45">
      <c r="A1078" s="4" t="s">
        <v>1671</v>
      </c>
      <c r="B1078" s="4" t="s">
        <v>6173</v>
      </c>
      <c r="C1078" s="4" t="s">
        <v>1110</v>
      </c>
      <c r="D1078" s="4" t="s">
        <v>1509</v>
      </c>
      <c r="E1078" s="4" t="s">
        <v>96</v>
      </c>
      <c r="F1078" s="5">
        <v>30.7</v>
      </c>
      <c r="G1078" s="5">
        <v>37.700000000000003</v>
      </c>
      <c r="H1078" s="4" t="s">
        <v>1187</v>
      </c>
      <c r="I1078" s="10">
        <v>8</v>
      </c>
      <c r="J1078" s="34">
        <f t="shared" si="64"/>
        <v>6.9599999999999995E-2</v>
      </c>
      <c r="K1078" s="34">
        <f t="shared" si="65"/>
        <v>0.1</v>
      </c>
      <c r="L1078" s="34">
        <f t="shared" si="66"/>
        <v>0.4</v>
      </c>
      <c r="M1078" s="11" t="s">
        <v>4418</v>
      </c>
      <c r="N1078" s="11" t="s">
        <v>3891</v>
      </c>
      <c r="O1078" s="11" t="s">
        <v>3892</v>
      </c>
      <c r="P1078" s="11" t="s">
        <v>3893</v>
      </c>
      <c r="Q1078" s="12">
        <v>30.7</v>
      </c>
      <c r="R1078" s="12">
        <v>37.700000000000003</v>
      </c>
      <c r="S1078" s="12">
        <v>3.5</v>
      </c>
      <c r="T1078" s="13">
        <v>0.35</v>
      </c>
      <c r="U1078" s="13">
        <f t="shared" si="67"/>
        <v>-5.0000000000000044E-2</v>
      </c>
      <c r="V1078" s="14">
        <v>42.88</v>
      </c>
      <c r="W1078" s="14">
        <v>42.88</v>
      </c>
      <c r="X1078" s="11">
        <v>85</v>
      </c>
      <c r="Y1078" s="15" t="s">
        <v>3713</v>
      </c>
      <c r="Z1078" s="16">
        <v>34.880000000000003</v>
      </c>
      <c r="AA1078" s="17">
        <v>436</v>
      </c>
      <c r="AB1078" s="18" t="s">
        <v>3714</v>
      </c>
    </row>
    <row r="1079" spans="1:28" x14ac:dyDescent="0.45">
      <c r="A1079" s="2" t="s">
        <v>1672</v>
      </c>
      <c r="B1079" s="2" t="s">
        <v>6174</v>
      </c>
      <c r="C1079" s="2" t="s">
        <v>1110</v>
      </c>
      <c r="D1079" s="2" t="s">
        <v>1509</v>
      </c>
      <c r="E1079" s="2" t="s">
        <v>96</v>
      </c>
      <c r="F1079" s="3">
        <v>30</v>
      </c>
      <c r="G1079" s="3">
        <v>34</v>
      </c>
      <c r="H1079" s="2" t="s">
        <v>1122</v>
      </c>
      <c r="I1079" s="19">
        <v>5</v>
      </c>
      <c r="J1079" s="34">
        <f t="shared" si="64"/>
        <v>4.3499999999999997E-2</v>
      </c>
      <c r="K1079" s="34">
        <f t="shared" si="65"/>
        <v>7.0000000000000007E-2</v>
      </c>
      <c r="L1079" s="34">
        <f t="shared" si="66"/>
        <v>0.28000000000000003</v>
      </c>
      <c r="M1079" s="20" t="s">
        <v>4419</v>
      </c>
      <c r="N1079" s="20" t="s">
        <v>3891</v>
      </c>
      <c r="O1079" s="20" t="s">
        <v>3892</v>
      </c>
      <c r="P1079" s="20" t="s">
        <v>3893</v>
      </c>
      <c r="Q1079" s="21">
        <v>30</v>
      </c>
      <c r="R1079" s="21">
        <v>34</v>
      </c>
      <c r="S1079" s="21">
        <v>2</v>
      </c>
      <c r="T1079" s="22">
        <v>0.2</v>
      </c>
      <c r="U1079" s="13">
        <f t="shared" si="67"/>
        <v>-8.0000000000000016E-2</v>
      </c>
      <c r="V1079" s="23">
        <v>24.5</v>
      </c>
      <c r="W1079" s="23">
        <v>24.5</v>
      </c>
      <c r="X1079" s="20">
        <v>338</v>
      </c>
      <c r="Y1079" s="24" t="s">
        <v>3713</v>
      </c>
      <c r="Z1079" s="16">
        <v>19.5</v>
      </c>
      <c r="AA1079" s="17">
        <v>390</v>
      </c>
      <c r="AB1079" s="25" t="s">
        <v>3714</v>
      </c>
    </row>
    <row r="1080" spans="1:28" x14ac:dyDescent="0.45">
      <c r="A1080" s="4" t="s">
        <v>1673</v>
      </c>
      <c r="B1080" s="4" t="s">
        <v>6175</v>
      </c>
      <c r="C1080" s="4" t="s">
        <v>1110</v>
      </c>
      <c r="D1080" s="4" t="s">
        <v>1509</v>
      </c>
      <c r="E1080" s="4" t="s">
        <v>96</v>
      </c>
      <c r="F1080" s="5">
        <v>30</v>
      </c>
      <c r="G1080" s="5">
        <v>35</v>
      </c>
      <c r="H1080" s="4" t="s">
        <v>1135</v>
      </c>
      <c r="I1080" s="10">
        <v>5</v>
      </c>
      <c r="J1080" s="34">
        <f t="shared" si="64"/>
        <v>4.3499999999999997E-2</v>
      </c>
      <c r="K1080" s="34">
        <f t="shared" si="65"/>
        <v>7.0000000000000007E-2</v>
      </c>
      <c r="L1080" s="34">
        <f t="shared" si="66"/>
        <v>0.28000000000000003</v>
      </c>
      <c r="M1080" s="11" t="s">
        <v>4010</v>
      </c>
      <c r="N1080" s="11" t="s">
        <v>3891</v>
      </c>
      <c r="O1080" s="11" t="s">
        <v>3892</v>
      </c>
      <c r="P1080" s="11" t="s">
        <v>3893</v>
      </c>
      <c r="Q1080" s="12">
        <v>30</v>
      </c>
      <c r="R1080" s="12">
        <v>35</v>
      </c>
      <c r="S1080" s="12">
        <v>2.5</v>
      </c>
      <c r="T1080" s="13">
        <v>0.2</v>
      </c>
      <c r="U1080" s="13">
        <f t="shared" si="67"/>
        <v>-8.0000000000000016E-2</v>
      </c>
      <c r="V1080" s="14">
        <v>24.5</v>
      </c>
      <c r="W1080" s="14">
        <v>24.5</v>
      </c>
      <c r="X1080" s="11">
        <v>286</v>
      </c>
      <c r="Y1080" s="15" t="s">
        <v>3713</v>
      </c>
      <c r="Z1080" s="16">
        <v>19.5</v>
      </c>
      <c r="AA1080" s="17">
        <v>390</v>
      </c>
      <c r="AB1080" s="18" t="s">
        <v>3714</v>
      </c>
    </row>
    <row r="1081" spans="1:28" x14ac:dyDescent="0.45">
      <c r="A1081" s="2" t="s">
        <v>1674</v>
      </c>
      <c r="B1081" s="2" t="s">
        <v>6176</v>
      </c>
      <c r="C1081" s="2" t="s">
        <v>1110</v>
      </c>
      <c r="D1081" s="2" t="s">
        <v>1509</v>
      </c>
      <c r="E1081" s="2" t="s">
        <v>96</v>
      </c>
      <c r="F1081" s="3">
        <v>30</v>
      </c>
      <c r="G1081" s="3">
        <v>36</v>
      </c>
      <c r="H1081" s="2" t="s">
        <v>1149</v>
      </c>
      <c r="I1081" s="19">
        <v>5</v>
      </c>
      <c r="J1081" s="34">
        <f t="shared" si="64"/>
        <v>4.3499999999999997E-2</v>
      </c>
      <c r="K1081" s="34">
        <f t="shared" si="65"/>
        <v>7.0000000000000007E-2</v>
      </c>
      <c r="L1081" s="34">
        <f t="shared" si="66"/>
        <v>0.28000000000000003</v>
      </c>
      <c r="M1081" s="20" t="s">
        <v>4014</v>
      </c>
      <c r="N1081" s="20" t="s">
        <v>3898</v>
      </c>
      <c r="O1081" s="20" t="s">
        <v>3892</v>
      </c>
      <c r="P1081" s="20" t="s">
        <v>3899</v>
      </c>
      <c r="Q1081" s="21">
        <v>30</v>
      </c>
      <c r="R1081" s="21">
        <v>36</v>
      </c>
      <c r="S1081" s="21">
        <v>3</v>
      </c>
      <c r="T1081" s="22">
        <v>0.77</v>
      </c>
      <c r="U1081" s="13">
        <f t="shared" si="67"/>
        <v>0.49</v>
      </c>
      <c r="V1081" s="23">
        <v>94.32</v>
      </c>
      <c r="W1081" s="23">
        <v>94.32</v>
      </c>
      <c r="X1081" s="20">
        <v>7</v>
      </c>
      <c r="Y1081" s="24" t="s">
        <v>3713</v>
      </c>
      <c r="Z1081" s="16">
        <v>89.32</v>
      </c>
      <c r="AA1081" s="17">
        <v>1786.4</v>
      </c>
      <c r="AB1081" s="25" t="s">
        <v>3714</v>
      </c>
    </row>
    <row r="1082" spans="1:28" x14ac:dyDescent="0.45">
      <c r="A1082" s="4" t="s">
        <v>1675</v>
      </c>
      <c r="B1082" s="4" t="s">
        <v>6177</v>
      </c>
      <c r="C1082" s="4" t="s">
        <v>1110</v>
      </c>
      <c r="D1082" s="4" t="s">
        <v>1509</v>
      </c>
      <c r="E1082" s="4" t="s">
        <v>96</v>
      </c>
      <c r="F1082" s="5">
        <v>30</v>
      </c>
      <c r="G1082" s="5">
        <v>38</v>
      </c>
      <c r="H1082" s="4" t="s">
        <v>1216</v>
      </c>
      <c r="I1082" s="10">
        <v>7</v>
      </c>
      <c r="J1082" s="34">
        <f t="shared" si="64"/>
        <v>6.0899999999999996E-2</v>
      </c>
      <c r="K1082" s="34">
        <f t="shared" si="65"/>
        <v>0.09</v>
      </c>
      <c r="L1082" s="34">
        <f t="shared" si="66"/>
        <v>0.36</v>
      </c>
      <c r="M1082" s="11" t="s">
        <v>4420</v>
      </c>
      <c r="N1082" s="11" t="s">
        <v>3891</v>
      </c>
      <c r="O1082" s="11" t="s">
        <v>3892</v>
      </c>
      <c r="P1082" s="11" t="s">
        <v>3893</v>
      </c>
      <c r="Q1082" s="12">
        <v>30</v>
      </c>
      <c r="R1082" s="12">
        <v>38</v>
      </c>
      <c r="S1082" s="12">
        <v>4</v>
      </c>
      <c r="T1082" s="13">
        <v>0.2</v>
      </c>
      <c r="U1082" s="13">
        <f t="shared" si="67"/>
        <v>-0.15999999999999998</v>
      </c>
      <c r="V1082" s="14">
        <v>24.5</v>
      </c>
      <c r="W1082" s="14">
        <v>24.5</v>
      </c>
      <c r="X1082" s="11">
        <v>19</v>
      </c>
      <c r="Y1082" s="15" t="s">
        <v>3713</v>
      </c>
      <c r="Z1082" s="16">
        <v>17.5</v>
      </c>
      <c r="AA1082" s="17">
        <v>250</v>
      </c>
      <c r="AB1082" s="18" t="s">
        <v>3714</v>
      </c>
    </row>
    <row r="1083" spans="1:28" x14ac:dyDescent="0.45">
      <c r="A1083" s="2" t="s">
        <v>1676</v>
      </c>
      <c r="B1083" s="2" t="s">
        <v>6178</v>
      </c>
      <c r="C1083" s="2" t="s">
        <v>1110</v>
      </c>
      <c r="D1083" s="2" t="s">
        <v>1509</v>
      </c>
      <c r="E1083" s="2" t="s">
        <v>96</v>
      </c>
      <c r="F1083" s="3">
        <v>30</v>
      </c>
      <c r="G1083" s="3">
        <v>40</v>
      </c>
      <c r="H1083" s="2" t="s">
        <v>1245</v>
      </c>
      <c r="I1083" s="19">
        <v>13</v>
      </c>
      <c r="J1083" s="34">
        <f t="shared" si="64"/>
        <v>0.11309999999999999</v>
      </c>
      <c r="K1083" s="34">
        <f t="shared" si="65"/>
        <v>0.17</v>
      </c>
      <c r="L1083" s="34">
        <f t="shared" si="66"/>
        <v>0.68</v>
      </c>
      <c r="M1083" s="20" t="s">
        <v>4421</v>
      </c>
      <c r="N1083" s="20" t="s">
        <v>3891</v>
      </c>
      <c r="O1083" s="20" t="s">
        <v>3892</v>
      </c>
      <c r="P1083" s="20" t="s">
        <v>3893</v>
      </c>
      <c r="Q1083" s="21">
        <v>30</v>
      </c>
      <c r="R1083" s="21">
        <v>40</v>
      </c>
      <c r="S1083" s="21">
        <v>5</v>
      </c>
      <c r="T1083" s="22">
        <v>0.27</v>
      </c>
      <c r="U1083" s="13">
        <f t="shared" si="67"/>
        <v>-0.41000000000000003</v>
      </c>
      <c r="V1083" s="23">
        <v>33.08</v>
      </c>
      <c r="W1083" s="23">
        <v>33.08</v>
      </c>
      <c r="X1083" s="20">
        <v>149</v>
      </c>
      <c r="Y1083" s="24" t="s">
        <v>3713</v>
      </c>
      <c r="Z1083" s="16">
        <v>20.079999999999998</v>
      </c>
      <c r="AA1083" s="17">
        <v>154.5</v>
      </c>
      <c r="AB1083" s="25" t="s">
        <v>3714</v>
      </c>
    </row>
    <row r="1084" spans="1:28" x14ac:dyDescent="0.45">
      <c r="A1084" s="4" t="s">
        <v>1677</v>
      </c>
      <c r="B1084" s="4" t="s">
        <v>6179</v>
      </c>
      <c r="C1084" s="4" t="s">
        <v>1110</v>
      </c>
      <c r="D1084" s="4" t="s">
        <v>1509</v>
      </c>
      <c r="E1084" s="4" t="s">
        <v>96</v>
      </c>
      <c r="F1084" s="5">
        <v>31.12</v>
      </c>
      <c r="G1084" s="5">
        <v>41.78</v>
      </c>
      <c r="H1084" s="4" t="s">
        <v>1201</v>
      </c>
      <c r="I1084" s="10">
        <v>13</v>
      </c>
      <c r="J1084" s="34">
        <f t="shared" si="64"/>
        <v>0.11309999999999999</v>
      </c>
      <c r="K1084" s="34">
        <f t="shared" si="65"/>
        <v>0.17</v>
      </c>
      <c r="L1084" s="34">
        <f t="shared" si="66"/>
        <v>0.68</v>
      </c>
      <c r="M1084" s="11" t="s">
        <v>4015</v>
      </c>
      <c r="N1084" s="11" t="s">
        <v>3898</v>
      </c>
      <c r="O1084" s="11" t="s">
        <v>3892</v>
      </c>
      <c r="P1084" s="11" t="s">
        <v>3899</v>
      </c>
      <c r="Q1084" s="12">
        <v>31.242000000000001</v>
      </c>
      <c r="R1084" s="12">
        <v>41.91</v>
      </c>
      <c r="S1084" s="12">
        <v>5.3339999999999996</v>
      </c>
      <c r="T1084" s="13">
        <v>2.64</v>
      </c>
      <c r="U1084" s="13">
        <f t="shared" si="67"/>
        <v>1.96</v>
      </c>
      <c r="V1084" s="14">
        <v>323.39999999999998</v>
      </c>
      <c r="W1084" s="14">
        <v>323.39999999999998</v>
      </c>
      <c r="X1084" s="11" t="s">
        <v>3722</v>
      </c>
      <c r="Y1084" s="15" t="s">
        <v>3737</v>
      </c>
      <c r="Z1084" s="16">
        <v>310.39999999999998</v>
      </c>
      <c r="AA1084" s="17">
        <v>2387.6999999999998</v>
      </c>
      <c r="AB1084" s="18" t="s">
        <v>4016</v>
      </c>
    </row>
    <row r="1085" spans="1:28" x14ac:dyDescent="0.45">
      <c r="A1085" s="2" t="s">
        <v>1678</v>
      </c>
      <c r="B1085" s="2" t="s">
        <v>6180</v>
      </c>
      <c r="C1085" s="2" t="s">
        <v>1110</v>
      </c>
      <c r="D1085" s="2" t="s">
        <v>1509</v>
      </c>
      <c r="E1085" s="2" t="s">
        <v>96</v>
      </c>
      <c r="F1085" s="3">
        <v>31.34</v>
      </c>
      <c r="G1085" s="3">
        <v>38.4</v>
      </c>
      <c r="H1085" s="2" t="s">
        <v>1156</v>
      </c>
      <c r="I1085" s="19">
        <v>7</v>
      </c>
      <c r="J1085" s="34">
        <f t="shared" si="64"/>
        <v>6.0899999999999996E-2</v>
      </c>
      <c r="K1085" s="34">
        <f t="shared" si="65"/>
        <v>0.09</v>
      </c>
      <c r="L1085" s="34">
        <f t="shared" si="66"/>
        <v>0.36</v>
      </c>
      <c r="M1085" s="20" t="s">
        <v>4017</v>
      </c>
      <c r="N1085" s="20" t="s">
        <v>3913</v>
      </c>
      <c r="O1085" s="20" t="s">
        <v>3892</v>
      </c>
      <c r="P1085" s="20" t="s">
        <v>3914</v>
      </c>
      <c r="Q1085" s="21">
        <v>31.242000000000001</v>
      </c>
      <c r="R1085" s="21">
        <v>38.353999999999999</v>
      </c>
      <c r="S1085" s="21">
        <v>3.556</v>
      </c>
      <c r="T1085" s="22">
        <v>4.3499999999999996</v>
      </c>
      <c r="U1085" s="13">
        <f t="shared" si="67"/>
        <v>3.9899999999999998</v>
      </c>
      <c r="V1085" s="23">
        <v>532.88</v>
      </c>
      <c r="W1085" s="23">
        <v>532.88</v>
      </c>
      <c r="X1085" s="20" t="s">
        <v>3722</v>
      </c>
      <c r="Y1085" s="24" t="s">
        <v>3737</v>
      </c>
      <c r="Z1085" s="16">
        <v>525.88</v>
      </c>
      <c r="AA1085" s="17">
        <v>7512.6</v>
      </c>
      <c r="AB1085" s="25" t="s">
        <v>3963</v>
      </c>
    </row>
    <row r="1086" spans="1:28" x14ac:dyDescent="0.45">
      <c r="A1086" s="4" t="s">
        <v>1679</v>
      </c>
      <c r="B1086" s="4" t="s">
        <v>6181</v>
      </c>
      <c r="C1086" s="4" t="s">
        <v>1110</v>
      </c>
      <c r="D1086" s="4" t="s">
        <v>1509</v>
      </c>
      <c r="E1086" s="4" t="s">
        <v>96</v>
      </c>
      <c r="F1086" s="5">
        <v>31.42</v>
      </c>
      <c r="G1086" s="5">
        <v>36.659999999999997</v>
      </c>
      <c r="H1086" s="4" t="s">
        <v>1127</v>
      </c>
      <c r="I1086" s="10">
        <v>5</v>
      </c>
      <c r="J1086" s="34">
        <f t="shared" si="64"/>
        <v>4.3499999999999997E-2</v>
      </c>
      <c r="K1086" s="34">
        <f t="shared" si="65"/>
        <v>7.0000000000000007E-2</v>
      </c>
      <c r="L1086" s="34">
        <f t="shared" si="66"/>
        <v>0.28000000000000003</v>
      </c>
      <c r="M1086" s="11" t="s">
        <v>4018</v>
      </c>
      <c r="N1086" s="11" t="s">
        <v>3891</v>
      </c>
      <c r="O1086" s="11" t="s">
        <v>3892</v>
      </c>
      <c r="P1086" s="11" t="s">
        <v>3893</v>
      </c>
      <c r="Q1086" s="12">
        <v>31.6</v>
      </c>
      <c r="R1086" s="12">
        <v>36.4</v>
      </c>
      <c r="S1086" s="12">
        <v>2.4</v>
      </c>
      <c r="T1086" s="13">
        <v>0.2</v>
      </c>
      <c r="U1086" s="13">
        <f t="shared" si="67"/>
        <v>-8.0000000000000016E-2</v>
      </c>
      <c r="V1086" s="14">
        <v>24.5</v>
      </c>
      <c r="W1086" s="14">
        <v>24.5</v>
      </c>
      <c r="X1086" s="11">
        <v>5</v>
      </c>
      <c r="Y1086" s="15" t="s">
        <v>3713</v>
      </c>
      <c r="Z1086" s="16">
        <v>19.5</v>
      </c>
      <c r="AA1086" s="17">
        <v>390</v>
      </c>
      <c r="AB1086" s="18" t="s">
        <v>4019</v>
      </c>
    </row>
    <row r="1087" spans="1:28" x14ac:dyDescent="0.45">
      <c r="A1087" s="2" t="s">
        <v>1680</v>
      </c>
      <c r="B1087" s="2" t="s">
        <v>6182</v>
      </c>
      <c r="C1087" s="2" t="s">
        <v>1110</v>
      </c>
      <c r="D1087" s="2" t="s">
        <v>1509</v>
      </c>
      <c r="E1087" s="2" t="s">
        <v>96</v>
      </c>
      <c r="F1087" s="3">
        <v>31.47</v>
      </c>
      <c r="G1087" s="3">
        <v>35.03</v>
      </c>
      <c r="H1087" s="2" t="s">
        <v>1114</v>
      </c>
      <c r="I1087" s="19">
        <v>3</v>
      </c>
      <c r="J1087" s="34">
        <f t="shared" si="64"/>
        <v>2.6099999999999998E-2</v>
      </c>
      <c r="K1087" s="34">
        <f t="shared" si="65"/>
        <v>0.04</v>
      </c>
      <c r="L1087" s="34">
        <f t="shared" si="66"/>
        <v>0.16</v>
      </c>
      <c r="M1087" s="20" t="s">
        <v>4020</v>
      </c>
      <c r="N1087" s="20" t="s">
        <v>3898</v>
      </c>
      <c r="O1087" s="20" t="s">
        <v>3892</v>
      </c>
      <c r="P1087" s="20" t="s">
        <v>3899</v>
      </c>
      <c r="Q1087" s="21">
        <v>31.495999999999999</v>
      </c>
      <c r="R1087" s="21">
        <v>35.052</v>
      </c>
      <c r="S1087" s="21">
        <v>1.778</v>
      </c>
      <c r="T1087" s="22">
        <v>0.2</v>
      </c>
      <c r="U1087" s="13">
        <f t="shared" si="67"/>
        <v>4.0000000000000008E-2</v>
      </c>
      <c r="V1087" s="23">
        <v>24.5</v>
      </c>
      <c r="W1087" s="23">
        <v>24.5</v>
      </c>
      <c r="X1087" s="20">
        <v>259</v>
      </c>
      <c r="Y1087" s="24" t="s">
        <v>3737</v>
      </c>
      <c r="Z1087" s="16">
        <v>21.5</v>
      </c>
      <c r="AA1087" s="17">
        <v>716.7</v>
      </c>
      <c r="AB1087" s="25" t="s">
        <v>3967</v>
      </c>
    </row>
    <row r="1088" spans="1:28" x14ac:dyDescent="0.45">
      <c r="A1088" s="4" t="s">
        <v>1681</v>
      </c>
      <c r="B1088" s="4" t="s">
        <v>6183</v>
      </c>
      <c r="C1088" s="4" t="s">
        <v>1110</v>
      </c>
      <c r="D1088" s="4" t="s">
        <v>1509</v>
      </c>
      <c r="E1088" s="4" t="s">
        <v>96</v>
      </c>
      <c r="F1088" s="5">
        <v>31.7</v>
      </c>
      <c r="G1088" s="5">
        <v>38.700000000000003</v>
      </c>
      <c r="H1088" s="4" t="s">
        <v>1187</v>
      </c>
      <c r="I1088" s="10">
        <v>8</v>
      </c>
      <c r="J1088" s="34">
        <f t="shared" si="64"/>
        <v>6.9599999999999995E-2</v>
      </c>
      <c r="K1088" s="34">
        <f t="shared" si="65"/>
        <v>0.1</v>
      </c>
      <c r="L1088" s="34">
        <f t="shared" si="66"/>
        <v>0.4</v>
      </c>
      <c r="M1088" s="11" t="s">
        <v>4422</v>
      </c>
      <c r="N1088" s="11" t="s">
        <v>3891</v>
      </c>
      <c r="O1088" s="11" t="s">
        <v>3892</v>
      </c>
      <c r="P1088" s="11" t="s">
        <v>3893</v>
      </c>
      <c r="Q1088" s="12">
        <v>31.7</v>
      </c>
      <c r="R1088" s="12">
        <v>38.700000000000003</v>
      </c>
      <c r="S1088" s="12">
        <v>3.5</v>
      </c>
      <c r="T1088" s="13">
        <v>0.28000000000000003</v>
      </c>
      <c r="U1088" s="13">
        <f t="shared" si="67"/>
        <v>-0.12</v>
      </c>
      <c r="V1088" s="14">
        <v>34.299999999999997</v>
      </c>
      <c r="W1088" s="14">
        <v>34.299999999999997</v>
      </c>
      <c r="X1088" s="11">
        <v>10</v>
      </c>
      <c r="Y1088" s="15" t="s">
        <v>3713</v>
      </c>
      <c r="Z1088" s="16">
        <v>26.3</v>
      </c>
      <c r="AA1088" s="17">
        <v>328.7</v>
      </c>
      <c r="AB1088" s="18" t="s">
        <v>3714</v>
      </c>
    </row>
    <row r="1089" spans="1:28" x14ac:dyDescent="0.45">
      <c r="A1089" s="2" t="s">
        <v>1682</v>
      </c>
      <c r="B1089" s="2" t="s">
        <v>6184</v>
      </c>
      <c r="C1089" s="2" t="s">
        <v>1110</v>
      </c>
      <c r="D1089" s="2" t="s">
        <v>1509</v>
      </c>
      <c r="E1089" s="2" t="s">
        <v>96</v>
      </c>
      <c r="F1089" s="3">
        <v>31</v>
      </c>
      <c r="G1089" s="3">
        <v>37</v>
      </c>
      <c r="H1089" s="2" t="s">
        <v>1149</v>
      </c>
      <c r="I1089" s="19">
        <v>7</v>
      </c>
      <c r="J1089" s="34">
        <f t="shared" si="64"/>
        <v>6.0899999999999996E-2</v>
      </c>
      <c r="K1089" s="34">
        <f t="shared" si="65"/>
        <v>0.09</v>
      </c>
      <c r="L1089" s="34">
        <f t="shared" si="66"/>
        <v>0.36</v>
      </c>
      <c r="M1089" s="20" t="s">
        <v>4423</v>
      </c>
      <c r="N1089" s="20" t="s">
        <v>3891</v>
      </c>
      <c r="O1089" s="20" t="s">
        <v>3892</v>
      </c>
      <c r="P1089" s="20" t="s">
        <v>3893</v>
      </c>
      <c r="Q1089" s="21">
        <v>31</v>
      </c>
      <c r="R1089" s="21">
        <v>37</v>
      </c>
      <c r="S1089" s="21">
        <v>3</v>
      </c>
      <c r="T1089" s="22">
        <v>0.2</v>
      </c>
      <c r="U1089" s="13">
        <f t="shared" si="67"/>
        <v>-0.15999999999999998</v>
      </c>
      <c r="V1089" s="23">
        <v>24.5</v>
      </c>
      <c r="W1089" s="23">
        <v>24.5</v>
      </c>
      <c r="X1089" s="20">
        <v>117</v>
      </c>
      <c r="Y1089" s="24" t="s">
        <v>3713</v>
      </c>
      <c r="Z1089" s="16">
        <v>17.5</v>
      </c>
      <c r="AA1089" s="17">
        <v>250</v>
      </c>
      <c r="AB1089" s="25" t="s">
        <v>3714</v>
      </c>
    </row>
    <row r="1090" spans="1:28" x14ac:dyDescent="0.45">
      <c r="A1090" s="4" t="s">
        <v>1683</v>
      </c>
      <c r="B1090" s="4" t="s">
        <v>6185</v>
      </c>
      <c r="C1090" s="4" t="s">
        <v>1110</v>
      </c>
      <c r="D1090" s="4" t="s">
        <v>1509</v>
      </c>
      <c r="E1090" s="4" t="s">
        <v>96</v>
      </c>
      <c r="F1090" s="5">
        <v>32.69</v>
      </c>
      <c r="G1090" s="5">
        <v>43.349999999999987</v>
      </c>
      <c r="H1090" s="4" t="s">
        <v>1201</v>
      </c>
      <c r="I1090" s="10">
        <v>13</v>
      </c>
      <c r="J1090" s="34">
        <f t="shared" si="64"/>
        <v>0.11309999999999999</v>
      </c>
      <c r="K1090" s="34">
        <f t="shared" si="65"/>
        <v>0.17</v>
      </c>
      <c r="L1090" s="34">
        <f t="shared" si="66"/>
        <v>0.68</v>
      </c>
      <c r="M1090" s="11" t="s">
        <v>4021</v>
      </c>
      <c r="N1090" s="11" t="s">
        <v>3891</v>
      </c>
      <c r="O1090" s="11" t="s">
        <v>3892</v>
      </c>
      <c r="P1090" s="11" t="s">
        <v>3893</v>
      </c>
      <c r="Q1090" s="12">
        <v>32.765999999999998</v>
      </c>
      <c r="R1090" s="12">
        <v>43.433999999999997</v>
      </c>
      <c r="S1090" s="12">
        <v>5.3339999999999996</v>
      </c>
      <c r="T1090" s="13">
        <v>0.32</v>
      </c>
      <c r="U1090" s="13">
        <f t="shared" si="67"/>
        <v>-0.36000000000000004</v>
      </c>
      <c r="V1090" s="14">
        <v>39.200000000000003</v>
      </c>
      <c r="W1090" s="14">
        <v>39.200000000000003</v>
      </c>
      <c r="X1090" s="11">
        <v>180</v>
      </c>
      <c r="Y1090" s="15" t="s">
        <v>3737</v>
      </c>
      <c r="Z1090" s="16">
        <v>26.2</v>
      </c>
      <c r="AA1090" s="17">
        <v>201.5</v>
      </c>
      <c r="AB1090" s="18" t="s">
        <v>4022</v>
      </c>
    </row>
    <row r="1091" spans="1:28" x14ac:dyDescent="0.45">
      <c r="A1091" s="2" t="s">
        <v>1684</v>
      </c>
      <c r="B1091" s="2" t="s">
        <v>6186</v>
      </c>
      <c r="C1091" s="2" t="s">
        <v>1110</v>
      </c>
      <c r="D1091" s="2" t="s">
        <v>1509</v>
      </c>
      <c r="E1091" s="2" t="s">
        <v>96</v>
      </c>
      <c r="F1091" s="3">
        <v>32.92</v>
      </c>
      <c r="G1091" s="3">
        <v>39.979999999999997</v>
      </c>
      <c r="H1091" s="2" t="s">
        <v>1156</v>
      </c>
      <c r="I1091" s="19">
        <v>7</v>
      </c>
      <c r="J1091" s="34">
        <f t="shared" si="64"/>
        <v>6.0899999999999996E-2</v>
      </c>
      <c r="K1091" s="34">
        <f t="shared" si="65"/>
        <v>0.09</v>
      </c>
      <c r="L1091" s="34">
        <f t="shared" si="66"/>
        <v>0.36</v>
      </c>
      <c r="M1091" s="20" t="s">
        <v>4023</v>
      </c>
      <c r="N1091" s="20" t="s">
        <v>3891</v>
      </c>
      <c r="O1091" s="20" t="s">
        <v>3892</v>
      </c>
      <c r="P1091" s="20" t="s">
        <v>3893</v>
      </c>
      <c r="Q1091" s="21">
        <v>33</v>
      </c>
      <c r="R1091" s="21">
        <v>40</v>
      </c>
      <c r="S1091" s="21">
        <v>3.5</v>
      </c>
      <c r="T1091" s="22">
        <v>0.2</v>
      </c>
      <c r="U1091" s="13">
        <f t="shared" si="67"/>
        <v>-0.15999999999999998</v>
      </c>
      <c r="V1091" s="23">
        <v>24.5</v>
      </c>
      <c r="W1091" s="23">
        <v>24.5</v>
      </c>
      <c r="X1091" s="20">
        <v>150</v>
      </c>
      <c r="Y1091" s="24" t="s">
        <v>3713</v>
      </c>
      <c r="Z1091" s="16">
        <v>17.5</v>
      </c>
      <c r="AA1091" s="17">
        <v>250</v>
      </c>
      <c r="AB1091" s="25" t="s">
        <v>4024</v>
      </c>
    </row>
    <row r="1092" spans="1:28" x14ac:dyDescent="0.45">
      <c r="A1092" s="4" t="s">
        <v>1685</v>
      </c>
      <c r="B1092" s="4" t="s">
        <v>6187</v>
      </c>
      <c r="C1092" s="4" t="s">
        <v>1110</v>
      </c>
      <c r="D1092" s="4" t="s">
        <v>1509</v>
      </c>
      <c r="E1092" s="4" t="s">
        <v>96</v>
      </c>
      <c r="F1092" s="5">
        <v>32.99</v>
      </c>
      <c r="G1092" s="5">
        <v>38.229999999999997</v>
      </c>
      <c r="H1092" s="4" t="s">
        <v>1127</v>
      </c>
      <c r="I1092" s="10">
        <v>5</v>
      </c>
      <c r="J1092" s="34">
        <f t="shared" si="64"/>
        <v>4.3499999999999997E-2</v>
      </c>
      <c r="K1092" s="34">
        <f t="shared" si="65"/>
        <v>7.0000000000000007E-2</v>
      </c>
      <c r="L1092" s="34">
        <f t="shared" si="66"/>
        <v>0.28000000000000003</v>
      </c>
      <c r="M1092" s="11" t="s">
        <v>4025</v>
      </c>
      <c r="N1092" s="11" t="s">
        <v>3891</v>
      </c>
      <c r="O1092" s="11" t="s">
        <v>3892</v>
      </c>
      <c r="P1092" s="11" t="s">
        <v>3893</v>
      </c>
      <c r="Q1092" s="12">
        <v>33</v>
      </c>
      <c r="R1092" s="12">
        <v>38</v>
      </c>
      <c r="S1092" s="12">
        <v>2.5</v>
      </c>
      <c r="T1092" s="13">
        <v>0.2</v>
      </c>
      <c r="U1092" s="13">
        <f t="shared" si="67"/>
        <v>-8.0000000000000016E-2</v>
      </c>
      <c r="V1092" s="14">
        <v>24.5</v>
      </c>
      <c r="W1092" s="14">
        <v>24.5</v>
      </c>
      <c r="X1092" s="11">
        <v>866</v>
      </c>
      <c r="Y1092" s="15" t="s">
        <v>3713</v>
      </c>
      <c r="Z1092" s="16">
        <v>19.5</v>
      </c>
      <c r="AA1092" s="17">
        <v>390</v>
      </c>
      <c r="AB1092" s="18" t="s">
        <v>4026</v>
      </c>
    </row>
    <row r="1093" spans="1:28" x14ac:dyDescent="0.45">
      <c r="A1093" s="2" t="s">
        <v>1686</v>
      </c>
      <c r="B1093" s="2" t="s">
        <v>6188</v>
      </c>
      <c r="C1093" s="2" t="s">
        <v>1110</v>
      </c>
      <c r="D1093" s="2" t="s">
        <v>1509</v>
      </c>
      <c r="E1093" s="2" t="s">
        <v>96</v>
      </c>
      <c r="F1093" s="3">
        <v>32</v>
      </c>
      <c r="G1093" s="3">
        <v>37</v>
      </c>
      <c r="H1093" s="2" t="s">
        <v>1135</v>
      </c>
      <c r="I1093" s="19">
        <v>5</v>
      </c>
      <c r="J1093" s="34">
        <f t="shared" ref="J1093:J1156" si="68">I1093*0.0087</f>
        <v>4.3499999999999997E-2</v>
      </c>
      <c r="K1093" s="34">
        <f t="shared" ref="K1093:K1156" si="69">ROUND(J1093*1.5,2)</f>
        <v>7.0000000000000007E-2</v>
      </c>
      <c r="L1093" s="34">
        <f t="shared" ref="L1093:L1156" si="70">K1093*4</f>
        <v>0.28000000000000003</v>
      </c>
      <c r="M1093" s="20" t="s">
        <v>4424</v>
      </c>
      <c r="N1093" s="20" t="s">
        <v>3891</v>
      </c>
      <c r="O1093" s="20" t="s">
        <v>3892</v>
      </c>
      <c r="P1093" s="20" t="s">
        <v>3893</v>
      </c>
      <c r="Q1093" s="21">
        <v>32</v>
      </c>
      <c r="R1093" s="21">
        <v>37</v>
      </c>
      <c r="S1093" s="21">
        <v>2.5</v>
      </c>
      <c r="T1093" s="22">
        <v>0.2</v>
      </c>
      <c r="U1093" s="13">
        <f t="shared" ref="U1093:U1156" si="71">T1093-L1093</f>
        <v>-8.0000000000000016E-2</v>
      </c>
      <c r="V1093" s="23">
        <v>24.5</v>
      </c>
      <c r="W1093" s="23">
        <v>24.5</v>
      </c>
      <c r="X1093" s="20">
        <v>147</v>
      </c>
      <c r="Y1093" s="24" t="s">
        <v>3713</v>
      </c>
      <c r="Z1093" s="16">
        <v>19.5</v>
      </c>
      <c r="AA1093" s="17">
        <v>390</v>
      </c>
      <c r="AB1093" s="25" t="s">
        <v>3714</v>
      </c>
    </row>
    <row r="1094" spans="1:28" x14ac:dyDescent="0.45">
      <c r="A1094" s="4" t="s">
        <v>1687</v>
      </c>
      <c r="B1094" s="4" t="s">
        <v>6189</v>
      </c>
      <c r="C1094" s="4" t="s">
        <v>1110</v>
      </c>
      <c r="D1094" s="4" t="s">
        <v>1509</v>
      </c>
      <c r="E1094" s="4" t="s">
        <v>96</v>
      </c>
      <c r="F1094" s="5">
        <v>32</v>
      </c>
      <c r="G1094" s="5">
        <v>38</v>
      </c>
      <c r="H1094" s="4" t="s">
        <v>1149</v>
      </c>
      <c r="I1094" s="10">
        <v>7</v>
      </c>
      <c r="J1094" s="34">
        <f t="shared" si="68"/>
        <v>6.0899999999999996E-2</v>
      </c>
      <c r="K1094" s="34">
        <f t="shared" si="69"/>
        <v>0.09</v>
      </c>
      <c r="L1094" s="34">
        <f t="shared" si="70"/>
        <v>0.36</v>
      </c>
      <c r="M1094" s="11" t="s">
        <v>4027</v>
      </c>
      <c r="N1094" s="11" t="s">
        <v>3891</v>
      </c>
      <c r="O1094" s="11" t="s">
        <v>3892</v>
      </c>
      <c r="P1094" s="11" t="s">
        <v>3893</v>
      </c>
      <c r="Q1094" s="12">
        <v>32</v>
      </c>
      <c r="R1094" s="12">
        <v>38</v>
      </c>
      <c r="S1094" s="12">
        <v>3</v>
      </c>
      <c r="T1094" s="13">
        <v>0.2</v>
      </c>
      <c r="U1094" s="13">
        <f t="shared" si="71"/>
        <v>-0.15999999999999998</v>
      </c>
      <c r="V1094" s="14">
        <v>24.5</v>
      </c>
      <c r="W1094" s="14">
        <v>24.5</v>
      </c>
      <c r="X1094" s="11">
        <v>1043</v>
      </c>
      <c r="Y1094" s="15" t="s">
        <v>3713</v>
      </c>
      <c r="Z1094" s="16">
        <v>17.5</v>
      </c>
      <c r="AA1094" s="17">
        <v>250</v>
      </c>
      <c r="AB1094" s="18" t="s">
        <v>3714</v>
      </c>
    </row>
    <row r="1095" spans="1:28" x14ac:dyDescent="0.45">
      <c r="A1095" s="2" t="s">
        <v>1688</v>
      </c>
      <c r="B1095" s="2" t="s">
        <v>6190</v>
      </c>
      <c r="C1095" s="2" t="s">
        <v>1110</v>
      </c>
      <c r="D1095" s="2" t="s">
        <v>1509</v>
      </c>
      <c r="E1095" s="2" t="s">
        <v>96</v>
      </c>
      <c r="F1095" s="3">
        <v>32</v>
      </c>
      <c r="G1095" s="3">
        <v>40</v>
      </c>
      <c r="H1095" s="2" t="s">
        <v>1216</v>
      </c>
      <c r="I1095" s="19">
        <v>8</v>
      </c>
      <c r="J1095" s="34">
        <f t="shared" si="68"/>
        <v>6.9599999999999995E-2</v>
      </c>
      <c r="K1095" s="34">
        <f t="shared" si="69"/>
        <v>0.1</v>
      </c>
      <c r="L1095" s="34">
        <f t="shared" si="70"/>
        <v>0.4</v>
      </c>
      <c r="M1095" s="20" t="s">
        <v>4028</v>
      </c>
      <c r="N1095" s="20" t="s">
        <v>3891</v>
      </c>
      <c r="O1095" s="20" t="s">
        <v>3892</v>
      </c>
      <c r="P1095" s="20" t="s">
        <v>3893</v>
      </c>
      <c r="Q1095" s="21">
        <v>32</v>
      </c>
      <c r="R1095" s="21">
        <v>40</v>
      </c>
      <c r="S1095" s="21">
        <v>4</v>
      </c>
      <c r="T1095" s="22">
        <v>0.24</v>
      </c>
      <c r="U1095" s="13">
        <f t="shared" si="71"/>
        <v>-0.16000000000000003</v>
      </c>
      <c r="V1095" s="23">
        <v>29.4</v>
      </c>
      <c r="W1095" s="23">
        <v>29.4</v>
      </c>
      <c r="X1095" s="20">
        <v>52</v>
      </c>
      <c r="Y1095" s="24" t="s">
        <v>3713</v>
      </c>
      <c r="Z1095" s="16">
        <v>21.4</v>
      </c>
      <c r="AA1095" s="17">
        <v>267.5</v>
      </c>
      <c r="AB1095" s="25" t="s">
        <v>3714</v>
      </c>
    </row>
    <row r="1096" spans="1:28" x14ac:dyDescent="0.45">
      <c r="A1096" s="4" t="s">
        <v>1689</v>
      </c>
      <c r="B1096" s="4" t="s">
        <v>6191</v>
      </c>
      <c r="C1096" s="4" t="s">
        <v>1110</v>
      </c>
      <c r="D1096" s="4" t="s">
        <v>1509</v>
      </c>
      <c r="E1096" s="4" t="s">
        <v>96</v>
      </c>
      <c r="F1096" s="5">
        <v>33.049999999999997</v>
      </c>
      <c r="G1096" s="5">
        <v>36.61</v>
      </c>
      <c r="H1096" s="4" t="s">
        <v>1114</v>
      </c>
      <c r="I1096" s="10">
        <v>3</v>
      </c>
      <c r="J1096" s="34">
        <f t="shared" si="68"/>
        <v>2.6099999999999998E-2</v>
      </c>
      <c r="K1096" s="34">
        <f t="shared" si="69"/>
        <v>0.04</v>
      </c>
      <c r="L1096" s="34">
        <f t="shared" si="70"/>
        <v>0.16</v>
      </c>
      <c r="M1096" s="11" t="s">
        <v>4029</v>
      </c>
      <c r="N1096" s="11" t="s">
        <v>3891</v>
      </c>
      <c r="O1096" s="11" t="s">
        <v>3892</v>
      </c>
      <c r="P1096" s="11" t="s">
        <v>3893</v>
      </c>
      <c r="Q1096" s="12">
        <v>33.020000000000003</v>
      </c>
      <c r="R1096" s="12">
        <v>36.576000000000001</v>
      </c>
      <c r="S1096" s="12">
        <v>1.778</v>
      </c>
      <c r="T1096" s="13">
        <v>0.2</v>
      </c>
      <c r="U1096" s="13">
        <f t="shared" si="71"/>
        <v>4.0000000000000008E-2</v>
      </c>
      <c r="V1096" s="14">
        <v>24.5</v>
      </c>
      <c r="W1096" s="14">
        <v>24.5</v>
      </c>
      <c r="X1096" s="11">
        <v>4884</v>
      </c>
      <c r="Y1096" s="15" t="s">
        <v>3737</v>
      </c>
      <c r="Z1096" s="16">
        <v>21.5</v>
      </c>
      <c r="AA1096" s="17">
        <v>716.7</v>
      </c>
      <c r="AB1096" s="18" t="s">
        <v>3973</v>
      </c>
    </row>
    <row r="1097" spans="1:28" x14ac:dyDescent="0.45">
      <c r="A1097" s="2" t="s">
        <v>1690</v>
      </c>
      <c r="B1097" s="2" t="s">
        <v>6192</v>
      </c>
      <c r="C1097" s="2" t="s">
        <v>1110</v>
      </c>
      <c r="D1097" s="2" t="s">
        <v>1509</v>
      </c>
      <c r="E1097" s="2" t="s">
        <v>96</v>
      </c>
      <c r="F1097" s="3">
        <v>33.700000000000003</v>
      </c>
      <c r="G1097" s="3">
        <v>40.700000000000003</v>
      </c>
      <c r="H1097" s="2" t="s">
        <v>1187</v>
      </c>
      <c r="I1097" s="19">
        <v>8</v>
      </c>
      <c r="J1097" s="34">
        <f t="shared" si="68"/>
        <v>6.9599999999999995E-2</v>
      </c>
      <c r="K1097" s="34">
        <f t="shared" si="69"/>
        <v>0.1</v>
      </c>
      <c r="L1097" s="34">
        <f t="shared" si="70"/>
        <v>0.4</v>
      </c>
      <c r="M1097" s="20" t="s">
        <v>4030</v>
      </c>
      <c r="N1097" s="20" t="s">
        <v>3891</v>
      </c>
      <c r="O1097" s="20" t="s">
        <v>3892</v>
      </c>
      <c r="P1097" s="20" t="s">
        <v>3893</v>
      </c>
      <c r="Q1097" s="21">
        <v>33.700000000000003</v>
      </c>
      <c r="R1097" s="21">
        <v>40.700000000000003</v>
      </c>
      <c r="S1097" s="21">
        <v>3.5</v>
      </c>
      <c r="T1097" s="22">
        <v>0.3</v>
      </c>
      <c r="U1097" s="13">
        <f t="shared" si="71"/>
        <v>-0.10000000000000003</v>
      </c>
      <c r="V1097" s="23">
        <v>36.75</v>
      </c>
      <c r="W1097" s="23">
        <v>36.75</v>
      </c>
      <c r="X1097" s="20">
        <v>8</v>
      </c>
      <c r="Y1097" s="24" t="s">
        <v>3713</v>
      </c>
      <c r="Z1097" s="16">
        <v>28.75</v>
      </c>
      <c r="AA1097" s="17">
        <v>359.4</v>
      </c>
      <c r="AB1097" s="25" t="s">
        <v>3714</v>
      </c>
    </row>
    <row r="1098" spans="1:28" x14ac:dyDescent="0.45">
      <c r="A1098" s="4" t="s">
        <v>1691</v>
      </c>
      <c r="B1098" s="4" t="s">
        <v>6193</v>
      </c>
      <c r="C1098" s="4" t="s">
        <v>1110</v>
      </c>
      <c r="D1098" s="4" t="s">
        <v>1509</v>
      </c>
      <c r="E1098" s="4" t="s">
        <v>96</v>
      </c>
      <c r="F1098" s="5">
        <v>34.29</v>
      </c>
      <c r="G1098" s="5">
        <v>44.95</v>
      </c>
      <c r="H1098" s="4" t="s">
        <v>1201</v>
      </c>
      <c r="I1098" s="10">
        <v>15</v>
      </c>
      <c r="J1098" s="34">
        <f t="shared" si="68"/>
        <v>0.1305</v>
      </c>
      <c r="K1098" s="34">
        <f t="shared" si="69"/>
        <v>0.2</v>
      </c>
      <c r="L1098" s="34">
        <f t="shared" si="70"/>
        <v>0.8</v>
      </c>
      <c r="M1098" s="11" t="s">
        <v>4031</v>
      </c>
      <c r="N1098" s="11" t="s">
        <v>3891</v>
      </c>
      <c r="O1098" s="11" t="s">
        <v>3892</v>
      </c>
      <c r="P1098" s="11" t="s">
        <v>3893</v>
      </c>
      <c r="Q1098" s="12">
        <v>34.29</v>
      </c>
      <c r="R1098" s="12">
        <v>44.957999999999998</v>
      </c>
      <c r="S1098" s="12">
        <v>5.3339999999999996</v>
      </c>
      <c r="T1098" s="13">
        <v>0.36</v>
      </c>
      <c r="U1098" s="13">
        <f t="shared" si="71"/>
        <v>-0.44000000000000006</v>
      </c>
      <c r="V1098" s="14">
        <v>44.1</v>
      </c>
      <c r="W1098" s="14">
        <v>44.1</v>
      </c>
      <c r="X1098" s="11">
        <v>155</v>
      </c>
      <c r="Y1098" s="15" t="s">
        <v>3737</v>
      </c>
      <c r="Z1098" s="16">
        <v>29.1</v>
      </c>
      <c r="AA1098" s="17">
        <v>194</v>
      </c>
      <c r="AB1098" s="18" t="s">
        <v>4032</v>
      </c>
    </row>
    <row r="1099" spans="1:28" x14ac:dyDescent="0.45">
      <c r="A1099" s="2" t="s">
        <v>1692</v>
      </c>
      <c r="B1099" s="2" t="s">
        <v>6194</v>
      </c>
      <c r="C1099" s="2" t="s">
        <v>1110</v>
      </c>
      <c r="D1099" s="2" t="s">
        <v>1509</v>
      </c>
      <c r="E1099" s="2" t="s">
        <v>96</v>
      </c>
      <c r="F1099" s="3">
        <v>34.4</v>
      </c>
      <c r="G1099" s="3">
        <v>40.6</v>
      </c>
      <c r="H1099" s="2" t="s">
        <v>1221</v>
      </c>
      <c r="I1099" s="19">
        <v>8</v>
      </c>
      <c r="J1099" s="34">
        <f t="shared" si="68"/>
        <v>6.9599999999999995E-2</v>
      </c>
      <c r="K1099" s="34">
        <f t="shared" si="69"/>
        <v>0.1</v>
      </c>
      <c r="L1099" s="34">
        <f t="shared" si="70"/>
        <v>0.4</v>
      </c>
      <c r="M1099" s="20" t="s">
        <v>4033</v>
      </c>
      <c r="N1099" s="20" t="s">
        <v>3891</v>
      </c>
      <c r="O1099" s="20" t="s">
        <v>3892</v>
      </c>
      <c r="P1099" s="20" t="s">
        <v>3893</v>
      </c>
      <c r="Q1099" s="21">
        <v>34.4</v>
      </c>
      <c r="R1099" s="21">
        <v>40.6</v>
      </c>
      <c r="S1099" s="21">
        <v>3.1</v>
      </c>
      <c r="T1099" s="22">
        <v>0.35</v>
      </c>
      <c r="U1099" s="13">
        <f t="shared" si="71"/>
        <v>-5.0000000000000044E-2</v>
      </c>
      <c r="V1099" s="23">
        <v>42.88</v>
      </c>
      <c r="W1099" s="23">
        <v>42.88</v>
      </c>
      <c r="X1099" s="20">
        <v>185</v>
      </c>
      <c r="Y1099" s="24" t="s">
        <v>3713</v>
      </c>
      <c r="Z1099" s="16">
        <v>34.880000000000003</v>
      </c>
      <c r="AA1099" s="17">
        <v>436</v>
      </c>
      <c r="AB1099" s="25" t="s">
        <v>3714</v>
      </c>
    </row>
    <row r="1100" spans="1:28" x14ac:dyDescent="0.45">
      <c r="A1100" s="4" t="s">
        <v>1693</v>
      </c>
      <c r="B1100" s="4" t="s">
        <v>6195</v>
      </c>
      <c r="C1100" s="4" t="s">
        <v>1110</v>
      </c>
      <c r="D1100" s="4" t="s">
        <v>1509</v>
      </c>
      <c r="E1100" s="4" t="s">
        <v>96</v>
      </c>
      <c r="F1100" s="5">
        <v>34.520000000000003</v>
      </c>
      <c r="G1100" s="5">
        <v>41.580000000000013</v>
      </c>
      <c r="H1100" s="4" t="s">
        <v>1156</v>
      </c>
      <c r="I1100" s="10">
        <v>8</v>
      </c>
      <c r="J1100" s="34">
        <f t="shared" si="68"/>
        <v>6.9599999999999995E-2</v>
      </c>
      <c r="K1100" s="34">
        <f t="shared" si="69"/>
        <v>0.1</v>
      </c>
      <c r="L1100" s="34">
        <f t="shared" si="70"/>
        <v>0.4</v>
      </c>
      <c r="M1100" s="11" t="s">
        <v>4034</v>
      </c>
      <c r="N1100" s="11" t="s">
        <v>3891</v>
      </c>
      <c r="O1100" s="11" t="s">
        <v>3892</v>
      </c>
      <c r="P1100" s="11" t="s">
        <v>3893</v>
      </c>
      <c r="Q1100" s="12">
        <v>34.700000000000003</v>
      </c>
      <c r="R1100" s="12">
        <v>41.7</v>
      </c>
      <c r="S1100" s="12">
        <v>3.5</v>
      </c>
      <c r="T1100" s="13">
        <v>0.2</v>
      </c>
      <c r="U1100" s="13">
        <f t="shared" si="71"/>
        <v>-0.2</v>
      </c>
      <c r="V1100" s="14">
        <v>24.5</v>
      </c>
      <c r="W1100" s="14">
        <v>24.5</v>
      </c>
      <c r="X1100" s="11">
        <v>4</v>
      </c>
      <c r="Y1100" s="15" t="s">
        <v>3713</v>
      </c>
      <c r="Z1100" s="16">
        <v>16.5</v>
      </c>
      <c r="AA1100" s="17">
        <v>206.2</v>
      </c>
      <c r="AB1100" s="18" t="s">
        <v>3975</v>
      </c>
    </row>
    <row r="1101" spans="1:28" x14ac:dyDescent="0.45">
      <c r="A1101" s="2" t="s">
        <v>1694</v>
      </c>
      <c r="B1101" s="2" t="s">
        <v>6196</v>
      </c>
      <c r="C1101" s="2" t="s">
        <v>1110</v>
      </c>
      <c r="D1101" s="2" t="s">
        <v>1509</v>
      </c>
      <c r="E1101" s="2" t="s">
        <v>96</v>
      </c>
      <c r="F1101" s="3">
        <v>34.590000000000003</v>
      </c>
      <c r="G1101" s="3">
        <v>39.830000000000013</v>
      </c>
      <c r="H1101" s="2" t="s">
        <v>1127</v>
      </c>
      <c r="I1101" s="19">
        <v>5</v>
      </c>
      <c r="J1101" s="34">
        <f t="shared" si="68"/>
        <v>4.3499999999999997E-2</v>
      </c>
      <c r="K1101" s="34">
        <f t="shared" si="69"/>
        <v>7.0000000000000007E-2</v>
      </c>
      <c r="L1101" s="34">
        <f t="shared" si="70"/>
        <v>0.28000000000000003</v>
      </c>
      <c r="M1101" s="20" t="s">
        <v>4035</v>
      </c>
      <c r="N1101" s="20" t="s">
        <v>3891</v>
      </c>
      <c r="O1101" s="20" t="s">
        <v>3892</v>
      </c>
      <c r="P1101" s="20" t="s">
        <v>3893</v>
      </c>
      <c r="Q1101" s="21">
        <v>34.543999999999997</v>
      </c>
      <c r="R1101" s="21">
        <v>39.878</v>
      </c>
      <c r="S1101" s="21">
        <v>2.54</v>
      </c>
      <c r="T1101" s="22">
        <v>0.2</v>
      </c>
      <c r="U1101" s="13">
        <f t="shared" si="71"/>
        <v>-8.0000000000000016E-2</v>
      </c>
      <c r="V1101" s="23">
        <v>24.5</v>
      </c>
      <c r="W1101" s="23">
        <v>24.5</v>
      </c>
      <c r="X1101" s="20">
        <v>879</v>
      </c>
      <c r="Y1101" s="24" t="s">
        <v>3737</v>
      </c>
      <c r="Z1101" s="16">
        <v>19.5</v>
      </c>
      <c r="AA1101" s="17">
        <v>390</v>
      </c>
      <c r="AB1101" s="25" t="s">
        <v>3920</v>
      </c>
    </row>
    <row r="1102" spans="1:28" x14ac:dyDescent="0.45">
      <c r="A1102" s="4" t="s">
        <v>1695</v>
      </c>
      <c r="B1102" s="4" t="s">
        <v>6197</v>
      </c>
      <c r="C1102" s="4" t="s">
        <v>1110</v>
      </c>
      <c r="D1102" s="4" t="s">
        <v>1509</v>
      </c>
      <c r="E1102" s="4" t="s">
        <v>96</v>
      </c>
      <c r="F1102" s="5">
        <v>34.65</v>
      </c>
      <c r="G1102" s="5">
        <v>38.21</v>
      </c>
      <c r="H1102" s="4" t="s">
        <v>1114</v>
      </c>
      <c r="I1102" s="10">
        <v>3</v>
      </c>
      <c r="J1102" s="34">
        <f t="shared" si="68"/>
        <v>2.6099999999999998E-2</v>
      </c>
      <c r="K1102" s="34">
        <f t="shared" si="69"/>
        <v>0.04</v>
      </c>
      <c r="L1102" s="34">
        <f t="shared" si="70"/>
        <v>0.16</v>
      </c>
      <c r="M1102" s="11" t="s">
        <v>4036</v>
      </c>
      <c r="N1102" s="11" t="s">
        <v>3913</v>
      </c>
      <c r="O1102" s="11" t="s">
        <v>3892</v>
      </c>
      <c r="P1102" s="11" t="s">
        <v>3914</v>
      </c>
      <c r="Q1102" s="12">
        <v>34.543999999999997</v>
      </c>
      <c r="R1102" s="12">
        <v>38.1</v>
      </c>
      <c r="S1102" s="12">
        <v>1.778</v>
      </c>
      <c r="T1102" s="13">
        <v>0.34</v>
      </c>
      <c r="U1102" s="13">
        <f t="shared" si="71"/>
        <v>0.18000000000000002</v>
      </c>
      <c r="V1102" s="14">
        <v>41.65</v>
      </c>
      <c r="W1102" s="14">
        <v>41.65</v>
      </c>
      <c r="X1102" s="11">
        <v>28</v>
      </c>
      <c r="Y1102" s="15" t="s">
        <v>3737</v>
      </c>
      <c r="Z1102" s="16">
        <v>38.65</v>
      </c>
      <c r="AA1102" s="17">
        <v>1288.3</v>
      </c>
      <c r="AB1102" s="18" t="s">
        <v>4037</v>
      </c>
    </row>
    <row r="1103" spans="1:28" x14ac:dyDescent="0.45">
      <c r="A1103" s="2" t="s">
        <v>1696</v>
      </c>
      <c r="B1103" s="2" t="s">
        <v>6198</v>
      </c>
      <c r="C1103" s="2" t="s">
        <v>1110</v>
      </c>
      <c r="D1103" s="2" t="s">
        <v>1509</v>
      </c>
      <c r="E1103" s="2" t="s">
        <v>96</v>
      </c>
      <c r="F1103" s="3">
        <v>34.700000000000003</v>
      </c>
      <c r="G1103" s="3">
        <v>41.7</v>
      </c>
      <c r="H1103" s="2" t="s">
        <v>1187</v>
      </c>
      <c r="I1103" s="19">
        <v>8</v>
      </c>
      <c r="J1103" s="34">
        <f t="shared" si="68"/>
        <v>6.9599999999999995E-2</v>
      </c>
      <c r="K1103" s="34">
        <f t="shared" si="69"/>
        <v>0.1</v>
      </c>
      <c r="L1103" s="34">
        <f t="shared" si="70"/>
        <v>0.4</v>
      </c>
      <c r="M1103" s="20" t="s">
        <v>4034</v>
      </c>
      <c r="N1103" s="20" t="s">
        <v>3891</v>
      </c>
      <c r="O1103" s="20" t="s">
        <v>3892</v>
      </c>
      <c r="P1103" s="20" t="s">
        <v>3893</v>
      </c>
      <c r="Q1103" s="21">
        <v>34.700000000000003</v>
      </c>
      <c r="R1103" s="21">
        <v>41.7</v>
      </c>
      <c r="S1103" s="21">
        <v>3.5</v>
      </c>
      <c r="T1103" s="22">
        <v>0.2</v>
      </c>
      <c r="U1103" s="13">
        <f t="shared" si="71"/>
        <v>-0.2</v>
      </c>
      <c r="V1103" s="23">
        <v>24.5</v>
      </c>
      <c r="W1103" s="23">
        <v>24.5</v>
      </c>
      <c r="X1103" s="20">
        <v>4</v>
      </c>
      <c r="Y1103" s="24" t="s">
        <v>3713</v>
      </c>
      <c r="Z1103" s="16">
        <v>16.5</v>
      </c>
      <c r="AA1103" s="17">
        <v>206.2</v>
      </c>
      <c r="AB1103" s="25" t="s">
        <v>3714</v>
      </c>
    </row>
    <row r="1104" spans="1:28" x14ac:dyDescent="0.45">
      <c r="A1104" s="4" t="s">
        <v>1697</v>
      </c>
      <c r="B1104" s="4" t="s">
        <v>6199</v>
      </c>
      <c r="C1104" s="4" t="s">
        <v>1110</v>
      </c>
      <c r="D1104" s="4" t="s">
        <v>1509</v>
      </c>
      <c r="E1104" s="4" t="s">
        <v>96</v>
      </c>
      <c r="F1104" s="5">
        <v>34</v>
      </c>
      <c r="G1104" s="5">
        <v>40</v>
      </c>
      <c r="H1104" s="4" t="s">
        <v>1149</v>
      </c>
      <c r="I1104" s="10">
        <v>7</v>
      </c>
      <c r="J1104" s="34">
        <f t="shared" si="68"/>
        <v>6.0899999999999996E-2</v>
      </c>
      <c r="K1104" s="34">
        <f t="shared" si="69"/>
        <v>0.09</v>
      </c>
      <c r="L1104" s="34">
        <f t="shared" si="70"/>
        <v>0.36</v>
      </c>
      <c r="M1104" s="11" t="s">
        <v>4038</v>
      </c>
      <c r="N1104" s="11" t="s">
        <v>3891</v>
      </c>
      <c r="O1104" s="11" t="s">
        <v>3892</v>
      </c>
      <c r="P1104" s="11" t="s">
        <v>3893</v>
      </c>
      <c r="Q1104" s="12">
        <v>34</v>
      </c>
      <c r="R1104" s="12">
        <v>40</v>
      </c>
      <c r="S1104" s="12">
        <v>3</v>
      </c>
      <c r="T1104" s="13">
        <v>0.2</v>
      </c>
      <c r="U1104" s="13">
        <f t="shared" si="71"/>
        <v>-0.15999999999999998</v>
      </c>
      <c r="V1104" s="14">
        <v>24.5</v>
      </c>
      <c r="W1104" s="14">
        <v>24.5</v>
      </c>
      <c r="X1104" s="11">
        <v>126</v>
      </c>
      <c r="Y1104" s="15" t="s">
        <v>3713</v>
      </c>
      <c r="Z1104" s="16">
        <v>17.5</v>
      </c>
      <c r="AA1104" s="17">
        <v>250</v>
      </c>
      <c r="AB1104" s="18" t="s">
        <v>3714</v>
      </c>
    </row>
    <row r="1105" spans="1:28" x14ac:dyDescent="0.45">
      <c r="A1105" s="2" t="s">
        <v>1698</v>
      </c>
      <c r="B1105" s="2" t="s">
        <v>6200</v>
      </c>
      <c r="C1105" s="2" t="s">
        <v>1110</v>
      </c>
      <c r="D1105" s="2" t="s">
        <v>1509</v>
      </c>
      <c r="E1105" s="2" t="s">
        <v>96</v>
      </c>
      <c r="F1105" s="3">
        <v>34</v>
      </c>
      <c r="G1105" s="3">
        <v>42</v>
      </c>
      <c r="H1105" s="2" t="s">
        <v>1216</v>
      </c>
      <c r="I1105" s="19">
        <v>8</v>
      </c>
      <c r="J1105" s="34">
        <f t="shared" si="68"/>
        <v>6.9599999999999995E-2</v>
      </c>
      <c r="K1105" s="34">
        <f t="shared" si="69"/>
        <v>0.1</v>
      </c>
      <c r="L1105" s="34">
        <f t="shared" si="70"/>
        <v>0.4</v>
      </c>
      <c r="M1105" s="20" t="s">
        <v>4425</v>
      </c>
      <c r="N1105" s="20" t="s">
        <v>3891</v>
      </c>
      <c r="O1105" s="20" t="s">
        <v>3892</v>
      </c>
      <c r="P1105" s="20" t="s">
        <v>3893</v>
      </c>
      <c r="Q1105" s="21">
        <v>34</v>
      </c>
      <c r="R1105" s="21">
        <v>42</v>
      </c>
      <c r="S1105" s="21">
        <v>4</v>
      </c>
      <c r="T1105" s="22">
        <v>0.27</v>
      </c>
      <c r="U1105" s="13">
        <f t="shared" si="71"/>
        <v>-0.13</v>
      </c>
      <c r="V1105" s="23">
        <v>33.08</v>
      </c>
      <c r="W1105" s="23">
        <v>33.08</v>
      </c>
      <c r="X1105" s="20">
        <v>39</v>
      </c>
      <c r="Y1105" s="24" t="s">
        <v>3713</v>
      </c>
      <c r="Z1105" s="16">
        <v>25.08</v>
      </c>
      <c r="AA1105" s="17">
        <v>313.5</v>
      </c>
      <c r="AB1105" s="25" t="s">
        <v>3714</v>
      </c>
    </row>
    <row r="1106" spans="1:28" x14ac:dyDescent="0.45">
      <c r="A1106" s="4" t="s">
        <v>1699</v>
      </c>
      <c r="B1106" s="4" t="s">
        <v>6201</v>
      </c>
      <c r="C1106" s="4" t="s">
        <v>1110</v>
      </c>
      <c r="D1106" s="4" t="s">
        <v>1509</v>
      </c>
      <c r="E1106" s="4" t="s">
        <v>96</v>
      </c>
      <c r="F1106" s="5">
        <v>35.700000000000003</v>
      </c>
      <c r="G1106" s="5">
        <v>42.7</v>
      </c>
      <c r="H1106" s="4" t="s">
        <v>1187</v>
      </c>
      <c r="I1106" s="10">
        <v>8</v>
      </c>
      <c r="J1106" s="34">
        <f t="shared" si="68"/>
        <v>6.9599999999999995E-2</v>
      </c>
      <c r="K1106" s="34">
        <f t="shared" si="69"/>
        <v>0.1</v>
      </c>
      <c r="L1106" s="34">
        <f t="shared" si="70"/>
        <v>0.4</v>
      </c>
      <c r="M1106" s="11" t="s">
        <v>4426</v>
      </c>
      <c r="N1106" s="11" t="s">
        <v>3925</v>
      </c>
      <c r="O1106" s="11" t="s">
        <v>3892</v>
      </c>
      <c r="P1106" s="11" t="s">
        <v>3926</v>
      </c>
      <c r="Q1106" s="12">
        <v>35.700000000000003</v>
      </c>
      <c r="R1106" s="12">
        <v>42.7</v>
      </c>
      <c r="S1106" s="12">
        <v>3.5</v>
      </c>
      <c r="T1106" s="13">
        <v>0.2</v>
      </c>
      <c r="U1106" s="13">
        <f t="shared" si="71"/>
        <v>-0.2</v>
      </c>
      <c r="V1106" s="14">
        <v>24.5</v>
      </c>
      <c r="W1106" s="14">
        <v>24.5</v>
      </c>
      <c r="X1106" s="11">
        <v>2</v>
      </c>
      <c r="Y1106" s="15" t="s">
        <v>3713</v>
      </c>
      <c r="Z1106" s="16">
        <v>16.5</v>
      </c>
      <c r="AA1106" s="17">
        <v>206.2</v>
      </c>
      <c r="AB1106" s="18" t="s">
        <v>3714</v>
      </c>
    </row>
    <row r="1107" spans="1:28" x14ac:dyDescent="0.45">
      <c r="A1107" s="2" t="s">
        <v>1700</v>
      </c>
      <c r="B1107" s="2" t="s">
        <v>6202</v>
      </c>
      <c r="C1107" s="2" t="s">
        <v>1110</v>
      </c>
      <c r="D1107" s="2" t="s">
        <v>1509</v>
      </c>
      <c r="E1107" s="2" t="s">
        <v>96</v>
      </c>
      <c r="F1107" s="3">
        <v>35</v>
      </c>
      <c r="G1107" s="3">
        <v>39</v>
      </c>
      <c r="H1107" s="2" t="s">
        <v>1122</v>
      </c>
      <c r="I1107" s="19">
        <v>5</v>
      </c>
      <c r="J1107" s="34">
        <f t="shared" si="68"/>
        <v>4.3499999999999997E-2</v>
      </c>
      <c r="K1107" s="34">
        <f t="shared" si="69"/>
        <v>7.0000000000000007E-2</v>
      </c>
      <c r="L1107" s="34">
        <f t="shared" si="70"/>
        <v>0.28000000000000003</v>
      </c>
      <c r="M1107" s="20" t="s">
        <v>4039</v>
      </c>
      <c r="N1107" s="20" t="s">
        <v>3891</v>
      </c>
      <c r="O1107" s="20" t="s">
        <v>3892</v>
      </c>
      <c r="P1107" s="20" t="s">
        <v>3893</v>
      </c>
      <c r="Q1107" s="21">
        <v>35</v>
      </c>
      <c r="R1107" s="21">
        <v>39</v>
      </c>
      <c r="S1107" s="21">
        <v>2</v>
      </c>
      <c r="T1107" s="22">
        <v>0.2</v>
      </c>
      <c r="U1107" s="13">
        <f t="shared" si="71"/>
        <v>-8.0000000000000016E-2</v>
      </c>
      <c r="V1107" s="23">
        <v>24.5</v>
      </c>
      <c r="W1107" s="23">
        <v>24.5</v>
      </c>
      <c r="X1107" s="20">
        <v>146</v>
      </c>
      <c r="Y1107" s="24" t="s">
        <v>3713</v>
      </c>
      <c r="Z1107" s="16">
        <v>19.5</v>
      </c>
      <c r="AA1107" s="17">
        <v>390</v>
      </c>
      <c r="AB1107" s="25" t="s">
        <v>3714</v>
      </c>
    </row>
    <row r="1108" spans="1:28" x14ac:dyDescent="0.45">
      <c r="A1108" s="4" t="s">
        <v>1701</v>
      </c>
      <c r="B1108" s="4" t="s">
        <v>6203</v>
      </c>
      <c r="C1108" s="4" t="s">
        <v>1110</v>
      </c>
      <c r="D1108" s="4" t="s">
        <v>1509</v>
      </c>
      <c r="E1108" s="4" t="s">
        <v>96</v>
      </c>
      <c r="F1108" s="5">
        <v>35</v>
      </c>
      <c r="G1108" s="5">
        <v>40</v>
      </c>
      <c r="H1108" s="4" t="s">
        <v>1135</v>
      </c>
      <c r="I1108" s="10">
        <v>5</v>
      </c>
      <c r="J1108" s="34">
        <f t="shared" si="68"/>
        <v>4.3499999999999997E-2</v>
      </c>
      <c r="K1108" s="34">
        <f t="shared" si="69"/>
        <v>7.0000000000000007E-2</v>
      </c>
      <c r="L1108" s="34">
        <f t="shared" si="70"/>
        <v>0.28000000000000003</v>
      </c>
      <c r="M1108" s="11" t="s">
        <v>4427</v>
      </c>
      <c r="N1108" s="11" t="s">
        <v>3891</v>
      </c>
      <c r="O1108" s="11" t="s">
        <v>3892</v>
      </c>
      <c r="P1108" s="11" t="s">
        <v>3893</v>
      </c>
      <c r="Q1108" s="12">
        <v>35</v>
      </c>
      <c r="R1108" s="12">
        <v>40</v>
      </c>
      <c r="S1108" s="12">
        <v>2.5</v>
      </c>
      <c r="T1108" s="13">
        <v>0.2</v>
      </c>
      <c r="U1108" s="13">
        <f t="shared" si="71"/>
        <v>-8.0000000000000016E-2</v>
      </c>
      <c r="V1108" s="14">
        <v>24.5</v>
      </c>
      <c r="W1108" s="14">
        <v>24.5</v>
      </c>
      <c r="X1108" s="11">
        <v>658</v>
      </c>
      <c r="Y1108" s="15" t="s">
        <v>3713</v>
      </c>
      <c r="Z1108" s="16">
        <v>19.5</v>
      </c>
      <c r="AA1108" s="17">
        <v>390</v>
      </c>
      <c r="AB1108" s="18" t="s">
        <v>3714</v>
      </c>
    </row>
    <row r="1109" spans="1:28" x14ac:dyDescent="0.45">
      <c r="A1109" s="2" t="s">
        <v>1702</v>
      </c>
      <c r="B1109" s="2" t="s">
        <v>6204</v>
      </c>
      <c r="C1109" s="2" t="s">
        <v>1110</v>
      </c>
      <c r="D1109" s="2" t="s">
        <v>1509</v>
      </c>
      <c r="E1109" s="2" t="s">
        <v>96</v>
      </c>
      <c r="F1109" s="3">
        <v>35</v>
      </c>
      <c r="G1109" s="3">
        <v>41</v>
      </c>
      <c r="H1109" s="2" t="s">
        <v>1149</v>
      </c>
      <c r="I1109" s="19">
        <v>7</v>
      </c>
      <c r="J1109" s="34">
        <f t="shared" si="68"/>
        <v>6.0899999999999996E-2</v>
      </c>
      <c r="K1109" s="34">
        <f t="shared" si="69"/>
        <v>0.09</v>
      </c>
      <c r="L1109" s="34">
        <f t="shared" si="70"/>
        <v>0.36</v>
      </c>
      <c r="M1109" s="20" t="s">
        <v>4428</v>
      </c>
      <c r="N1109" s="20" t="s">
        <v>3891</v>
      </c>
      <c r="O1109" s="20" t="s">
        <v>3892</v>
      </c>
      <c r="P1109" s="20" t="s">
        <v>3893</v>
      </c>
      <c r="Q1109" s="21">
        <v>35</v>
      </c>
      <c r="R1109" s="21">
        <v>41</v>
      </c>
      <c r="S1109" s="21">
        <v>3</v>
      </c>
      <c r="T1109" s="22">
        <v>0.2</v>
      </c>
      <c r="U1109" s="13">
        <f t="shared" si="71"/>
        <v>-0.15999999999999998</v>
      </c>
      <c r="V1109" s="23">
        <v>24.5</v>
      </c>
      <c r="W1109" s="23">
        <v>24.5</v>
      </c>
      <c r="X1109" s="20">
        <v>190</v>
      </c>
      <c r="Y1109" s="24" t="s">
        <v>3713</v>
      </c>
      <c r="Z1109" s="16">
        <v>17.5</v>
      </c>
      <c r="AA1109" s="17">
        <v>250</v>
      </c>
      <c r="AB1109" s="25" t="s">
        <v>3714</v>
      </c>
    </row>
    <row r="1110" spans="1:28" x14ac:dyDescent="0.45">
      <c r="A1110" s="4" t="s">
        <v>1703</v>
      </c>
      <c r="B1110" s="4" t="s">
        <v>6205</v>
      </c>
      <c r="C1110" s="4" t="s">
        <v>1110</v>
      </c>
      <c r="D1110" s="4" t="s">
        <v>1509</v>
      </c>
      <c r="E1110" s="4" t="s">
        <v>96</v>
      </c>
      <c r="F1110" s="5">
        <v>35</v>
      </c>
      <c r="G1110" s="5">
        <v>43</v>
      </c>
      <c r="H1110" s="4" t="s">
        <v>1216</v>
      </c>
      <c r="I1110" s="10">
        <v>8</v>
      </c>
      <c r="J1110" s="34">
        <f t="shared" si="68"/>
        <v>6.9599999999999995E-2</v>
      </c>
      <c r="K1110" s="34">
        <f t="shared" si="69"/>
        <v>0.1</v>
      </c>
      <c r="L1110" s="34">
        <f t="shared" si="70"/>
        <v>0.4</v>
      </c>
      <c r="M1110" s="11" t="s">
        <v>4429</v>
      </c>
      <c r="N1110" s="11" t="s">
        <v>3891</v>
      </c>
      <c r="O1110" s="11" t="s">
        <v>3892</v>
      </c>
      <c r="P1110" s="11" t="s">
        <v>3893</v>
      </c>
      <c r="Q1110" s="12">
        <v>35</v>
      </c>
      <c r="R1110" s="12">
        <v>43</v>
      </c>
      <c r="S1110" s="12">
        <v>4</v>
      </c>
      <c r="T1110" s="13">
        <v>0.28000000000000003</v>
      </c>
      <c r="U1110" s="13">
        <f t="shared" si="71"/>
        <v>-0.12</v>
      </c>
      <c r="V1110" s="14">
        <v>34.299999999999997</v>
      </c>
      <c r="W1110" s="14">
        <v>34.299999999999997</v>
      </c>
      <c r="X1110" s="11">
        <v>121</v>
      </c>
      <c r="Y1110" s="15" t="s">
        <v>3713</v>
      </c>
      <c r="Z1110" s="16">
        <v>26.3</v>
      </c>
      <c r="AA1110" s="17">
        <v>328.7</v>
      </c>
      <c r="AB1110" s="18" t="s">
        <v>3714</v>
      </c>
    </row>
    <row r="1111" spans="1:28" x14ac:dyDescent="0.45">
      <c r="A1111" s="2" t="s">
        <v>1704</v>
      </c>
      <c r="B1111" s="2" t="s">
        <v>6206</v>
      </c>
      <c r="C1111" s="2" t="s">
        <v>1110</v>
      </c>
      <c r="D1111" s="2" t="s">
        <v>1509</v>
      </c>
      <c r="E1111" s="2" t="s">
        <v>96</v>
      </c>
      <c r="F1111" s="3">
        <v>36.090000000000003</v>
      </c>
      <c r="G1111" s="3">
        <v>43.150000000000013</v>
      </c>
      <c r="H1111" s="2" t="s">
        <v>1156</v>
      </c>
      <c r="I1111" s="19">
        <v>8</v>
      </c>
      <c r="J1111" s="34">
        <f t="shared" si="68"/>
        <v>6.9599999999999995E-2</v>
      </c>
      <c r="K1111" s="34">
        <f t="shared" si="69"/>
        <v>0.1</v>
      </c>
      <c r="L1111" s="34">
        <f t="shared" si="70"/>
        <v>0.4</v>
      </c>
      <c r="M1111" s="20" t="s">
        <v>4040</v>
      </c>
      <c r="N1111" s="20" t="s">
        <v>3891</v>
      </c>
      <c r="O1111" s="20" t="s">
        <v>3892</v>
      </c>
      <c r="P1111" s="20" t="s">
        <v>3893</v>
      </c>
      <c r="Q1111" s="21">
        <v>36</v>
      </c>
      <c r="R1111" s="21">
        <v>43</v>
      </c>
      <c r="S1111" s="21">
        <v>3.5</v>
      </c>
      <c r="T1111" s="22">
        <v>0.2</v>
      </c>
      <c r="U1111" s="13">
        <f t="shared" si="71"/>
        <v>-0.2</v>
      </c>
      <c r="V1111" s="23">
        <v>24.5</v>
      </c>
      <c r="W1111" s="23">
        <v>24.5</v>
      </c>
      <c r="X1111" s="20">
        <v>9</v>
      </c>
      <c r="Y1111" s="24" t="s">
        <v>3713</v>
      </c>
      <c r="Z1111" s="16">
        <v>16.5</v>
      </c>
      <c r="AA1111" s="17">
        <v>206.2</v>
      </c>
      <c r="AB1111" s="25" t="s">
        <v>4041</v>
      </c>
    </row>
    <row r="1112" spans="1:28" x14ac:dyDescent="0.45">
      <c r="A1112" s="4" t="s">
        <v>1705</v>
      </c>
      <c r="B1112" s="4" t="s">
        <v>6207</v>
      </c>
      <c r="C1112" s="4" t="s">
        <v>1110</v>
      </c>
      <c r="D1112" s="4" t="s">
        <v>1509</v>
      </c>
      <c r="E1112" s="4" t="s">
        <v>96</v>
      </c>
      <c r="F1112" s="5">
        <v>36.17</v>
      </c>
      <c r="G1112" s="5">
        <v>41.41</v>
      </c>
      <c r="H1112" s="4" t="s">
        <v>1127</v>
      </c>
      <c r="I1112" s="10">
        <v>7</v>
      </c>
      <c r="J1112" s="34">
        <f t="shared" si="68"/>
        <v>6.0899999999999996E-2</v>
      </c>
      <c r="K1112" s="34">
        <f t="shared" si="69"/>
        <v>0.09</v>
      </c>
      <c r="L1112" s="34">
        <f t="shared" si="70"/>
        <v>0.36</v>
      </c>
      <c r="M1112" s="11" t="s">
        <v>4042</v>
      </c>
      <c r="N1112" s="11" t="s">
        <v>3898</v>
      </c>
      <c r="O1112" s="11" t="s">
        <v>3892</v>
      </c>
      <c r="P1112" s="11" t="s">
        <v>3899</v>
      </c>
      <c r="Q1112" s="12">
        <v>36.067999999999998</v>
      </c>
      <c r="R1112" s="12">
        <v>41.402000000000001</v>
      </c>
      <c r="S1112" s="12">
        <v>2.54</v>
      </c>
      <c r="T1112" s="13">
        <v>0.24</v>
      </c>
      <c r="U1112" s="13">
        <f t="shared" si="71"/>
        <v>-0.12</v>
      </c>
      <c r="V1112" s="14">
        <v>29.4</v>
      </c>
      <c r="W1112" s="14">
        <v>29.4</v>
      </c>
      <c r="X1112" s="11" t="s">
        <v>3722</v>
      </c>
      <c r="Y1112" s="15" t="s">
        <v>3737</v>
      </c>
      <c r="Z1112" s="16">
        <v>22.4</v>
      </c>
      <c r="AA1112" s="17">
        <v>320</v>
      </c>
      <c r="AB1112" s="18" t="s">
        <v>3985</v>
      </c>
    </row>
    <row r="1113" spans="1:28" x14ac:dyDescent="0.45">
      <c r="A1113" s="2" t="s">
        <v>1706</v>
      </c>
      <c r="B1113" s="2" t="s">
        <v>6208</v>
      </c>
      <c r="C1113" s="2" t="s">
        <v>1110</v>
      </c>
      <c r="D1113" s="2" t="s">
        <v>1509</v>
      </c>
      <c r="E1113" s="2" t="s">
        <v>96</v>
      </c>
      <c r="F1113" s="3">
        <v>37.47</v>
      </c>
      <c r="G1113" s="3">
        <v>48.13</v>
      </c>
      <c r="H1113" s="2" t="s">
        <v>1201</v>
      </c>
      <c r="I1113" s="19">
        <v>15</v>
      </c>
      <c r="J1113" s="34">
        <f t="shared" si="68"/>
        <v>0.1305</v>
      </c>
      <c r="K1113" s="34">
        <f t="shared" si="69"/>
        <v>0.2</v>
      </c>
      <c r="L1113" s="34">
        <f t="shared" si="70"/>
        <v>0.8</v>
      </c>
      <c r="M1113" s="20" t="s">
        <v>4043</v>
      </c>
      <c r="N1113" s="20" t="s">
        <v>3891</v>
      </c>
      <c r="O1113" s="20" t="s">
        <v>3892</v>
      </c>
      <c r="P1113" s="20" t="s">
        <v>3893</v>
      </c>
      <c r="Q1113" s="21">
        <v>37.591999999999999</v>
      </c>
      <c r="R1113" s="21">
        <v>48.26</v>
      </c>
      <c r="S1113" s="21">
        <v>5.3339999999999996</v>
      </c>
      <c r="T1113" s="22">
        <v>0.36</v>
      </c>
      <c r="U1113" s="13">
        <f t="shared" si="71"/>
        <v>-0.44000000000000006</v>
      </c>
      <c r="V1113" s="23">
        <v>44.1</v>
      </c>
      <c r="W1113" s="23">
        <v>44.1</v>
      </c>
      <c r="X1113" s="20">
        <v>46</v>
      </c>
      <c r="Y1113" s="24" t="s">
        <v>3737</v>
      </c>
      <c r="Z1113" s="16">
        <v>29.1</v>
      </c>
      <c r="AA1113" s="17">
        <v>194</v>
      </c>
      <c r="AB1113" s="25" t="s">
        <v>4016</v>
      </c>
    </row>
    <row r="1114" spans="1:28" x14ac:dyDescent="0.45">
      <c r="A1114" s="4" t="s">
        <v>1707</v>
      </c>
      <c r="B1114" s="4" t="s">
        <v>6209</v>
      </c>
      <c r="C1114" s="4" t="s">
        <v>1110</v>
      </c>
      <c r="D1114" s="4" t="s">
        <v>1509</v>
      </c>
      <c r="E1114" s="4" t="s">
        <v>96</v>
      </c>
      <c r="F1114" s="5">
        <v>37.5</v>
      </c>
      <c r="G1114" s="5">
        <v>43.5</v>
      </c>
      <c r="H1114" s="4" t="s">
        <v>1149</v>
      </c>
      <c r="I1114" s="10">
        <v>8</v>
      </c>
      <c r="J1114" s="34">
        <f t="shared" si="68"/>
        <v>6.9599999999999995E-2</v>
      </c>
      <c r="K1114" s="34">
        <f t="shared" si="69"/>
        <v>0.1</v>
      </c>
      <c r="L1114" s="34">
        <f t="shared" si="70"/>
        <v>0.4</v>
      </c>
      <c r="M1114" s="11" t="s">
        <v>4044</v>
      </c>
      <c r="N1114" s="11" t="s">
        <v>3891</v>
      </c>
      <c r="O1114" s="11" t="s">
        <v>3892</v>
      </c>
      <c r="P1114" s="11" t="s">
        <v>3893</v>
      </c>
      <c r="Q1114" s="12">
        <v>37.5</v>
      </c>
      <c r="R1114" s="12">
        <v>43.5</v>
      </c>
      <c r="S1114" s="12">
        <v>3</v>
      </c>
      <c r="T1114" s="13">
        <v>0.2</v>
      </c>
      <c r="U1114" s="13">
        <f t="shared" si="71"/>
        <v>-0.2</v>
      </c>
      <c r="V1114" s="14">
        <v>24.5</v>
      </c>
      <c r="W1114" s="14">
        <v>24.5</v>
      </c>
      <c r="X1114" s="11">
        <v>424</v>
      </c>
      <c r="Y1114" s="15" t="s">
        <v>3713</v>
      </c>
      <c r="Z1114" s="16">
        <v>16.5</v>
      </c>
      <c r="AA1114" s="17">
        <v>206.2</v>
      </c>
      <c r="AB1114" s="18" t="s">
        <v>3714</v>
      </c>
    </row>
    <row r="1115" spans="1:28" x14ac:dyDescent="0.45">
      <c r="A1115" s="2" t="s">
        <v>1708</v>
      </c>
      <c r="B1115" s="2" t="s">
        <v>6210</v>
      </c>
      <c r="C1115" s="2" t="s">
        <v>1110</v>
      </c>
      <c r="D1115" s="2" t="s">
        <v>1509</v>
      </c>
      <c r="E1115" s="2" t="s">
        <v>96</v>
      </c>
      <c r="F1115" s="3">
        <v>37.69</v>
      </c>
      <c r="G1115" s="3">
        <v>44.75</v>
      </c>
      <c r="H1115" s="2" t="s">
        <v>1156</v>
      </c>
      <c r="I1115" s="19">
        <v>8</v>
      </c>
      <c r="J1115" s="34">
        <f t="shared" si="68"/>
        <v>6.9599999999999995E-2</v>
      </c>
      <c r="K1115" s="34">
        <f t="shared" si="69"/>
        <v>0.1</v>
      </c>
      <c r="L1115" s="34">
        <f t="shared" si="70"/>
        <v>0.4</v>
      </c>
      <c r="M1115" s="20" t="s">
        <v>4045</v>
      </c>
      <c r="N1115" s="20" t="s">
        <v>3925</v>
      </c>
      <c r="O1115" s="20" t="s">
        <v>3892</v>
      </c>
      <c r="P1115" s="20" t="s">
        <v>3926</v>
      </c>
      <c r="Q1115" s="21">
        <v>37.700000000000003</v>
      </c>
      <c r="R1115" s="21">
        <v>44.7</v>
      </c>
      <c r="S1115" s="21">
        <v>3.5</v>
      </c>
      <c r="T1115" s="22">
        <v>0.23</v>
      </c>
      <c r="U1115" s="13">
        <f t="shared" si="71"/>
        <v>-0.17</v>
      </c>
      <c r="V1115" s="23">
        <v>28.18</v>
      </c>
      <c r="W1115" s="23">
        <v>28.18</v>
      </c>
      <c r="X1115" s="20">
        <v>4</v>
      </c>
      <c r="Y1115" s="24" t="s">
        <v>3713</v>
      </c>
      <c r="Z1115" s="16">
        <v>20.18</v>
      </c>
      <c r="AA1115" s="17">
        <v>252.2</v>
      </c>
      <c r="AB1115" s="25" t="s">
        <v>3991</v>
      </c>
    </row>
    <row r="1116" spans="1:28" x14ac:dyDescent="0.45">
      <c r="A1116" s="4" t="s">
        <v>1709</v>
      </c>
      <c r="B1116" s="4" t="s">
        <v>6211</v>
      </c>
      <c r="C1116" s="4" t="s">
        <v>1110</v>
      </c>
      <c r="D1116" s="4" t="s">
        <v>1509</v>
      </c>
      <c r="E1116" s="4" t="s">
        <v>96</v>
      </c>
      <c r="F1116" s="5">
        <v>37.770000000000003</v>
      </c>
      <c r="G1116" s="5">
        <v>43.010000000000012</v>
      </c>
      <c r="H1116" s="4" t="s">
        <v>1127</v>
      </c>
      <c r="I1116" s="10">
        <v>7</v>
      </c>
      <c r="J1116" s="34">
        <f t="shared" si="68"/>
        <v>6.0899999999999996E-2</v>
      </c>
      <c r="K1116" s="34">
        <f t="shared" si="69"/>
        <v>0.09</v>
      </c>
      <c r="L1116" s="34">
        <f t="shared" si="70"/>
        <v>0.36</v>
      </c>
      <c r="M1116" s="11" t="s">
        <v>4046</v>
      </c>
      <c r="N1116" s="11" t="s">
        <v>3891</v>
      </c>
      <c r="O1116" s="11" t="s">
        <v>3892</v>
      </c>
      <c r="P1116" s="11" t="s">
        <v>3893</v>
      </c>
      <c r="Q1116" s="12">
        <v>38</v>
      </c>
      <c r="R1116" s="12">
        <v>43</v>
      </c>
      <c r="S1116" s="12">
        <v>2.5</v>
      </c>
      <c r="T1116" s="13">
        <v>0.2</v>
      </c>
      <c r="U1116" s="13">
        <f t="shared" si="71"/>
        <v>-0.15999999999999998</v>
      </c>
      <c r="V1116" s="14">
        <v>24.5</v>
      </c>
      <c r="W1116" s="14">
        <v>24.5</v>
      </c>
      <c r="X1116" s="11">
        <v>191</v>
      </c>
      <c r="Y1116" s="15" t="s">
        <v>3713</v>
      </c>
      <c r="Z1116" s="16">
        <v>17.5</v>
      </c>
      <c r="AA1116" s="17">
        <v>250</v>
      </c>
      <c r="AB1116" s="18" t="s">
        <v>3928</v>
      </c>
    </row>
    <row r="1117" spans="1:28" x14ac:dyDescent="0.45">
      <c r="A1117" s="2" t="s">
        <v>1710</v>
      </c>
      <c r="B1117" s="2" t="s">
        <v>6212</v>
      </c>
      <c r="C1117" s="2" t="s">
        <v>1110</v>
      </c>
      <c r="D1117" s="2" t="s">
        <v>1509</v>
      </c>
      <c r="E1117" s="2" t="s">
        <v>96</v>
      </c>
      <c r="F1117" s="3">
        <v>37.700000000000003</v>
      </c>
      <c r="G1117" s="3">
        <v>44.7</v>
      </c>
      <c r="H1117" s="2" t="s">
        <v>1187</v>
      </c>
      <c r="I1117" s="19">
        <v>10</v>
      </c>
      <c r="J1117" s="34">
        <f t="shared" si="68"/>
        <v>8.6999999999999994E-2</v>
      </c>
      <c r="K1117" s="34">
        <f t="shared" si="69"/>
        <v>0.13</v>
      </c>
      <c r="L1117" s="34">
        <f t="shared" si="70"/>
        <v>0.52</v>
      </c>
      <c r="M1117" s="20" t="s">
        <v>4045</v>
      </c>
      <c r="N1117" s="20" t="s">
        <v>3925</v>
      </c>
      <c r="O1117" s="20" t="s">
        <v>3892</v>
      </c>
      <c r="P1117" s="20" t="s">
        <v>3926</v>
      </c>
      <c r="Q1117" s="21">
        <v>37.700000000000003</v>
      </c>
      <c r="R1117" s="21">
        <v>44.7</v>
      </c>
      <c r="S1117" s="21">
        <v>3.5</v>
      </c>
      <c r="T1117" s="22">
        <v>0.23</v>
      </c>
      <c r="U1117" s="13">
        <f t="shared" si="71"/>
        <v>-0.29000000000000004</v>
      </c>
      <c r="V1117" s="23">
        <v>28.18</v>
      </c>
      <c r="W1117" s="23">
        <v>28.18</v>
      </c>
      <c r="X1117" s="20">
        <v>4</v>
      </c>
      <c r="Y1117" s="24" t="s">
        <v>3713</v>
      </c>
      <c r="Z1117" s="16">
        <v>18.18</v>
      </c>
      <c r="AA1117" s="17">
        <v>181.8</v>
      </c>
      <c r="AB1117" s="25" t="s">
        <v>3714</v>
      </c>
    </row>
    <row r="1118" spans="1:28" x14ac:dyDescent="0.45">
      <c r="A1118" s="4" t="s">
        <v>1711</v>
      </c>
      <c r="B1118" s="4" t="s">
        <v>6213</v>
      </c>
      <c r="C1118" s="4" t="s">
        <v>1110</v>
      </c>
      <c r="D1118" s="4" t="s">
        <v>1509</v>
      </c>
      <c r="E1118" s="4" t="s">
        <v>96</v>
      </c>
      <c r="F1118" s="5">
        <v>37.82</v>
      </c>
      <c r="G1118" s="5">
        <v>41.38</v>
      </c>
      <c r="H1118" s="4" t="s">
        <v>1114</v>
      </c>
      <c r="I1118" s="10">
        <v>5</v>
      </c>
      <c r="J1118" s="34">
        <f t="shared" si="68"/>
        <v>4.3499999999999997E-2</v>
      </c>
      <c r="K1118" s="34">
        <f t="shared" si="69"/>
        <v>7.0000000000000007E-2</v>
      </c>
      <c r="L1118" s="34">
        <f t="shared" si="70"/>
        <v>0.28000000000000003</v>
      </c>
      <c r="M1118" s="11" t="s">
        <v>4047</v>
      </c>
      <c r="N1118" s="11" t="s">
        <v>3898</v>
      </c>
      <c r="O1118" s="11" t="s">
        <v>3892</v>
      </c>
      <c r="P1118" s="11" t="s">
        <v>3899</v>
      </c>
      <c r="Q1118" s="12">
        <v>37.845999999999997</v>
      </c>
      <c r="R1118" s="12">
        <v>41.402000000000001</v>
      </c>
      <c r="S1118" s="12">
        <v>1.778</v>
      </c>
      <c r="T1118" s="13">
        <v>0.53</v>
      </c>
      <c r="U1118" s="13">
        <f t="shared" si="71"/>
        <v>0.25</v>
      </c>
      <c r="V1118" s="14">
        <v>64.92</v>
      </c>
      <c r="W1118" s="14">
        <v>64.92</v>
      </c>
      <c r="X1118" s="11">
        <v>49</v>
      </c>
      <c r="Y1118" s="15" t="s">
        <v>3737</v>
      </c>
      <c r="Z1118" s="16">
        <v>59.92</v>
      </c>
      <c r="AA1118" s="17">
        <v>1198.4000000000001</v>
      </c>
      <c r="AB1118" s="18" t="s">
        <v>3967</v>
      </c>
    </row>
    <row r="1119" spans="1:28" x14ac:dyDescent="0.45">
      <c r="A1119" s="2" t="s">
        <v>1712</v>
      </c>
      <c r="B1119" s="2" t="s">
        <v>6214</v>
      </c>
      <c r="C1119" s="2" t="s">
        <v>1110</v>
      </c>
      <c r="D1119" s="2" t="s">
        <v>1509</v>
      </c>
      <c r="E1119" s="2" t="s">
        <v>96</v>
      </c>
      <c r="F1119" s="3">
        <v>37</v>
      </c>
      <c r="G1119" s="3">
        <v>42</v>
      </c>
      <c r="H1119" s="2" t="s">
        <v>1135</v>
      </c>
      <c r="I1119" s="19">
        <v>7</v>
      </c>
      <c r="J1119" s="34">
        <f t="shared" si="68"/>
        <v>6.0899999999999996E-2</v>
      </c>
      <c r="K1119" s="34">
        <f t="shared" si="69"/>
        <v>0.09</v>
      </c>
      <c r="L1119" s="34">
        <f t="shared" si="70"/>
        <v>0.36</v>
      </c>
      <c r="M1119" s="20" t="s">
        <v>4430</v>
      </c>
      <c r="N1119" s="20" t="s">
        <v>3891</v>
      </c>
      <c r="O1119" s="20" t="s">
        <v>3892</v>
      </c>
      <c r="P1119" s="20" t="s">
        <v>3893</v>
      </c>
      <c r="Q1119" s="21">
        <v>37</v>
      </c>
      <c r="R1119" s="21">
        <v>42</v>
      </c>
      <c r="S1119" s="21">
        <v>2.5</v>
      </c>
      <c r="T1119" s="22">
        <v>0.2</v>
      </c>
      <c r="U1119" s="13">
        <f t="shared" si="71"/>
        <v>-0.15999999999999998</v>
      </c>
      <c r="V1119" s="23">
        <v>24.5</v>
      </c>
      <c r="W1119" s="23">
        <v>24.5</v>
      </c>
      <c r="X1119" s="20">
        <v>111</v>
      </c>
      <c r="Y1119" s="24" t="s">
        <v>3713</v>
      </c>
      <c r="Z1119" s="16">
        <v>17.5</v>
      </c>
      <c r="AA1119" s="17">
        <v>250</v>
      </c>
      <c r="AB1119" s="25" t="s">
        <v>3714</v>
      </c>
    </row>
    <row r="1120" spans="1:28" x14ac:dyDescent="0.45">
      <c r="A1120" s="4" t="s">
        <v>1713</v>
      </c>
      <c r="B1120" s="4" t="s">
        <v>6215</v>
      </c>
      <c r="C1120" s="4" t="s">
        <v>1110</v>
      </c>
      <c r="D1120" s="4" t="s">
        <v>1509</v>
      </c>
      <c r="E1120" s="4" t="s">
        <v>96</v>
      </c>
      <c r="F1120" s="5">
        <v>38.700000000000003</v>
      </c>
      <c r="G1120" s="5">
        <v>45.7</v>
      </c>
      <c r="H1120" s="4" t="s">
        <v>1187</v>
      </c>
      <c r="I1120" s="10">
        <v>10</v>
      </c>
      <c r="J1120" s="34">
        <f t="shared" si="68"/>
        <v>8.6999999999999994E-2</v>
      </c>
      <c r="K1120" s="34">
        <f t="shared" si="69"/>
        <v>0.13</v>
      </c>
      <c r="L1120" s="34">
        <f t="shared" si="70"/>
        <v>0.52</v>
      </c>
      <c r="M1120" s="11" t="s">
        <v>4048</v>
      </c>
      <c r="N1120" s="11" t="s">
        <v>3925</v>
      </c>
      <c r="O1120" s="11" t="s">
        <v>3892</v>
      </c>
      <c r="P1120" s="11" t="s">
        <v>3926</v>
      </c>
      <c r="Q1120" s="12">
        <v>38.700000000000003</v>
      </c>
      <c r="R1120" s="12">
        <v>45.7</v>
      </c>
      <c r="S1120" s="12">
        <v>3.5</v>
      </c>
      <c r="T1120" s="13">
        <v>0.23</v>
      </c>
      <c r="U1120" s="13">
        <f t="shared" si="71"/>
        <v>-0.29000000000000004</v>
      </c>
      <c r="V1120" s="14">
        <v>28.18</v>
      </c>
      <c r="W1120" s="14">
        <v>28.18</v>
      </c>
      <c r="X1120" s="11">
        <v>11</v>
      </c>
      <c r="Y1120" s="15" t="s">
        <v>3713</v>
      </c>
      <c r="Z1120" s="16">
        <v>18.18</v>
      </c>
      <c r="AA1120" s="17">
        <v>181.8</v>
      </c>
      <c r="AB1120" s="18" t="s">
        <v>3714</v>
      </c>
    </row>
    <row r="1121" spans="1:28" x14ac:dyDescent="0.45">
      <c r="A1121" s="2" t="s">
        <v>1714</v>
      </c>
      <c r="B1121" s="2" t="s">
        <v>6216</v>
      </c>
      <c r="C1121" s="2" t="s">
        <v>1110</v>
      </c>
      <c r="D1121" s="2" t="s">
        <v>1509</v>
      </c>
      <c r="E1121" s="2" t="s">
        <v>96</v>
      </c>
      <c r="F1121" s="3">
        <v>38</v>
      </c>
      <c r="G1121" s="3">
        <v>42</v>
      </c>
      <c r="H1121" s="2" t="s">
        <v>1122</v>
      </c>
      <c r="I1121" s="19">
        <v>5</v>
      </c>
      <c r="J1121" s="34">
        <f t="shared" si="68"/>
        <v>4.3499999999999997E-2</v>
      </c>
      <c r="K1121" s="34">
        <f t="shared" si="69"/>
        <v>7.0000000000000007E-2</v>
      </c>
      <c r="L1121" s="34">
        <f t="shared" si="70"/>
        <v>0.28000000000000003</v>
      </c>
      <c r="M1121" s="20" t="s">
        <v>4049</v>
      </c>
      <c r="N1121" s="20" t="s">
        <v>3891</v>
      </c>
      <c r="O1121" s="20" t="s">
        <v>3892</v>
      </c>
      <c r="P1121" s="20" t="s">
        <v>3893</v>
      </c>
      <c r="Q1121" s="21">
        <v>38</v>
      </c>
      <c r="R1121" s="21">
        <v>42</v>
      </c>
      <c r="S1121" s="21">
        <v>2</v>
      </c>
      <c r="T1121" s="22">
        <v>0.2</v>
      </c>
      <c r="U1121" s="13">
        <f t="shared" si="71"/>
        <v>-8.0000000000000016E-2</v>
      </c>
      <c r="V1121" s="23">
        <v>24.5</v>
      </c>
      <c r="W1121" s="23">
        <v>24.5</v>
      </c>
      <c r="X1121" s="20">
        <v>100</v>
      </c>
      <c r="Y1121" s="24" t="s">
        <v>3713</v>
      </c>
      <c r="Z1121" s="16">
        <v>19.5</v>
      </c>
      <c r="AA1121" s="17">
        <v>390</v>
      </c>
      <c r="AB1121" s="25" t="s">
        <v>3714</v>
      </c>
    </row>
    <row r="1122" spans="1:28" x14ac:dyDescent="0.45">
      <c r="A1122" s="4" t="s">
        <v>1715</v>
      </c>
      <c r="B1122" s="4" t="s">
        <v>6217</v>
      </c>
      <c r="C1122" s="4" t="s">
        <v>1110</v>
      </c>
      <c r="D1122" s="4" t="s">
        <v>1509</v>
      </c>
      <c r="E1122" s="4" t="s">
        <v>96</v>
      </c>
      <c r="F1122" s="5">
        <v>38</v>
      </c>
      <c r="G1122" s="5">
        <v>46</v>
      </c>
      <c r="H1122" s="4" t="s">
        <v>1216</v>
      </c>
      <c r="I1122" s="10">
        <v>10</v>
      </c>
      <c r="J1122" s="34">
        <f t="shared" si="68"/>
        <v>8.6999999999999994E-2</v>
      </c>
      <c r="K1122" s="34">
        <f t="shared" si="69"/>
        <v>0.13</v>
      </c>
      <c r="L1122" s="34">
        <f t="shared" si="70"/>
        <v>0.52</v>
      </c>
      <c r="M1122" s="11" t="s">
        <v>4431</v>
      </c>
      <c r="N1122" s="11" t="s">
        <v>3891</v>
      </c>
      <c r="O1122" s="11" t="s">
        <v>3892</v>
      </c>
      <c r="P1122" s="11" t="s">
        <v>3893</v>
      </c>
      <c r="Q1122" s="12">
        <v>38</v>
      </c>
      <c r="R1122" s="12">
        <v>46</v>
      </c>
      <c r="S1122" s="12">
        <v>4</v>
      </c>
      <c r="T1122" s="13">
        <v>0.45</v>
      </c>
      <c r="U1122" s="13">
        <f t="shared" si="71"/>
        <v>-7.0000000000000007E-2</v>
      </c>
      <c r="V1122" s="14">
        <v>55.12</v>
      </c>
      <c r="W1122" s="14">
        <v>55.12</v>
      </c>
      <c r="X1122" s="11">
        <v>390</v>
      </c>
      <c r="Y1122" s="15" t="s">
        <v>3713</v>
      </c>
      <c r="Z1122" s="16">
        <v>45.12</v>
      </c>
      <c r="AA1122" s="17">
        <v>451.2</v>
      </c>
      <c r="AB1122" s="18" t="s">
        <v>3714</v>
      </c>
    </row>
    <row r="1123" spans="1:28" x14ac:dyDescent="0.45">
      <c r="A1123" s="2" t="s">
        <v>1716</v>
      </c>
      <c r="B1123" s="2" t="s">
        <v>6218</v>
      </c>
      <c r="C1123" s="2" t="s">
        <v>1110</v>
      </c>
      <c r="D1123" s="2" t="s">
        <v>1509</v>
      </c>
      <c r="E1123" s="2" t="s">
        <v>96</v>
      </c>
      <c r="F1123" s="3">
        <v>39.340000000000003</v>
      </c>
      <c r="G1123" s="3">
        <v>44.580000000000013</v>
      </c>
      <c r="H1123" s="2" t="s">
        <v>1127</v>
      </c>
      <c r="I1123" s="19">
        <v>7</v>
      </c>
      <c r="J1123" s="34">
        <f t="shared" si="68"/>
        <v>6.0899999999999996E-2</v>
      </c>
      <c r="K1123" s="34">
        <f t="shared" si="69"/>
        <v>0.09</v>
      </c>
      <c r="L1123" s="34">
        <f t="shared" si="70"/>
        <v>0.36</v>
      </c>
      <c r="M1123" s="20" t="s">
        <v>4050</v>
      </c>
      <c r="N1123" s="20" t="s">
        <v>3891</v>
      </c>
      <c r="O1123" s="20" t="s">
        <v>3892</v>
      </c>
      <c r="P1123" s="20" t="s">
        <v>3893</v>
      </c>
      <c r="Q1123" s="21">
        <v>39.6</v>
      </c>
      <c r="R1123" s="21">
        <v>44.4</v>
      </c>
      <c r="S1123" s="21">
        <v>2.4</v>
      </c>
      <c r="T1123" s="22">
        <v>0.2</v>
      </c>
      <c r="U1123" s="13">
        <f t="shared" si="71"/>
        <v>-0.15999999999999998</v>
      </c>
      <c r="V1123" s="23">
        <v>24.5</v>
      </c>
      <c r="W1123" s="23">
        <v>24.5</v>
      </c>
      <c r="X1123" s="20">
        <v>636</v>
      </c>
      <c r="Y1123" s="24" t="s">
        <v>3713</v>
      </c>
      <c r="Z1123" s="16">
        <v>17.5</v>
      </c>
      <c r="AA1123" s="17">
        <v>250</v>
      </c>
      <c r="AB1123" s="25" t="s">
        <v>4051</v>
      </c>
    </row>
    <row r="1124" spans="1:28" x14ac:dyDescent="0.45">
      <c r="A1124" s="4" t="s">
        <v>1717</v>
      </c>
      <c r="B1124" s="4" t="s">
        <v>6219</v>
      </c>
      <c r="C1124" s="4" t="s">
        <v>1110</v>
      </c>
      <c r="D1124" s="4" t="s">
        <v>1509</v>
      </c>
      <c r="E1124" s="4" t="s">
        <v>96</v>
      </c>
      <c r="F1124" s="5">
        <v>39.4</v>
      </c>
      <c r="G1124" s="5">
        <v>45.6</v>
      </c>
      <c r="H1124" s="4" t="s">
        <v>1221</v>
      </c>
      <c r="I1124" s="10">
        <v>10</v>
      </c>
      <c r="J1124" s="34">
        <f t="shared" si="68"/>
        <v>8.6999999999999994E-2</v>
      </c>
      <c r="K1124" s="34">
        <f t="shared" si="69"/>
        <v>0.13</v>
      </c>
      <c r="L1124" s="34">
        <f t="shared" si="70"/>
        <v>0.52</v>
      </c>
      <c r="M1124" s="11" t="s">
        <v>4052</v>
      </c>
      <c r="N1124" s="11" t="s">
        <v>3891</v>
      </c>
      <c r="O1124" s="11" t="s">
        <v>3892</v>
      </c>
      <c r="P1124" s="11" t="s">
        <v>3893</v>
      </c>
      <c r="Q1124" s="12">
        <v>39.4</v>
      </c>
      <c r="R1124" s="12">
        <v>45.6</v>
      </c>
      <c r="S1124" s="12">
        <v>3.1</v>
      </c>
      <c r="T1124" s="13">
        <v>0.27</v>
      </c>
      <c r="U1124" s="13">
        <f t="shared" si="71"/>
        <v>-0.25</v>
      </c>
      <c r="V1124" s="14">
        <v>33.08</v>
      </c>
      <c r="W1124" s="14">
        <v>33.08</v>
      </c>
      <c r="X1124" s="11">
        <v>62</v>
      </c>
      <c r="Y1124" s="15" t="s">
        <v>3713</v>
      </c>
      <c r="Z1124" s="16">
        <v>23.08</v>
      </c>
      <c r="AA1124" s="17">
        <v>230.8</v>
      </c>
      <c r="AB1124" s="18" t="s">
        <v>3714</v>
      </c>
    </row>
    <row r="1125" spans="1:28" x14ac:dyDescent="0.45">
      <c r="A1125" s="2" t="s">
        <v>1718</v>
      </c>
      <c r="B1125" s="2" t="s">
        <v>6220</v>
      </c>
      <c r="C1125" s="2" t="s">
        <v>1110</v>
      </c>
      <c r="D1125" s="2" t="s">
        <v>1509</v>
      </c>
      <c r="E1125" s="2" t="s">
        <v>96</v>
      </c>
      <c r="F1125" s="3">
        <v>39.700000000000003</v>
      </c>
      <c r="G1125" s="3">
        <v>46.7</v>
      </c>
      <c r="H1125" s="2" t="s">
        <v>1187</v>
      </c>
      <c r="I1125" s="19">
        <v>10</v>
      </c>
      <c r="J1125" s="34">
        <f t="shared" si="68"/>
        <v>8.6999999999999994E-2</v>
      </c>
      <c r="K1125" s="34">
        <f t="shared" si="69"/>
        <v>0.13</v>
      </c>
      <c r="L1125" s="34">
        <f t="shared" si="70"/>
        <v>0.52</v>
      </c>
      <c r="M1125" s="20" t="s">
        <v>4053</v>
      </c>
      <c r="N1125" s="20" t="s">
        <v>3891</v>
      </c>
      <c r="O1125" s="20" t="s">
        <v>3892</v>
      </c>
      <c r="P1125" s="20" t="s">
        <v>3893</v>
      </c>
      <c r="Q1125" s="21">
        <v>39.700000000000003</v>
      </c>
      <c r="R1125" s="21">
        <v>46.7</v>
      </c>
      <c r="S1125" s="21">
        <v>3.5</v>
      </c>
      <c r="T1125" s="22">
        <v>0.27</v>
      </c>
      <c r="U1125" s="13">
        <f t="shared" si="71"/>
        <v>-0.25</v>
      </c>
      <c r="V1125" s="23">
        <v>33.08</v>
      </c>
      <c r="W1125" s="23">
        <v>33.08</v>
      </c>
      <c r="X1125" s="20">
        <v>64</v>
      </c>
      <c r="Y1125" s="24" t="s">
        <v>3713</v>
      </c>
      <c r="Z1125" s="16">
        <v>23.08</v>
      </c>
      <c r="AA1125" s="17">
        <v>230.8</v>
      </c>
      <c r="AB1125" s="25" t="s">
        <v>3714</v>
      </c>
    </row>
    <row r="1126" spans="1:28" x14ac:dyDescent="0.45">
      <c r="A1126" s="4" t="s">
        <v>1719</v>
      </c>
      <c r="B1126" s="4" t="s">
        <v>6221</v>
      </c>
      <c r="C1126" s="4" t="s">
        <v>1110</v>
      </c>
      <c r="D1126" s="4" t="s">
        <v>1509</v>
      </c>
      <c r="E1126" s="4" t="s">
        <v>96</v>
      </c>
      <c r="F1126" s="5">
        <v>40.64</v>
      </c>
      <c r="G1126" s="5">
        <v>51.3</v>
      </c>
      <c r="H1126" s="4" t="s">
        <v>1201</v>
      </c>
      <c r="I1126" s="10">
        <v>17</v>
      </c>
      <c r="J1126" s="34">
        <f t="shared" si="68"/>
        <v>0.14789999999999998</v>
      </c>
      <c r="K1126" s="34">
        <f t="shared" si="69"/>
        <v>0.22</v>
      </c>
      <c r="L1126" s="34">
        <f t="shared" si="70"/>
        <v>0.88</v>
      </c>
      <c r="M1126" s="11" t="s">
        <v>4054</v>
      </c>
      <c r="N1126" s="11" t="s">
        <v>3891</v>
      </c>
      <c r="O1126" s="11" t="s">
        <v>3892</v>
      </c>
      <c r="P1126" s="11" t="s">
        <v>3893</v>
      </c>
      <c r="Q1126" s="12">
        <v>40.64</v>
      </c>
      <c r="R1126" s="12">
        <v>51.308</v>
      </c>
      <c r="S1126" s="12">
        <v>5.3339999999999996</v>
      </c>
      <c r="T1126" s="13">
        <v>0.39</v>
      </c>
      <c r="U1126" s="13">
        <f t="shared" si="71"/>
        <v>-0.49</v>
      </c>
      <c r="V1126" s="14">
        <v>47.78</v>
      </c>
      <c r="W1126" s="14">
        <v>47.78</v>
      </c>
      <c r="X1126" s="11">
        <v>139</v>
      </c>
      <c r="Y1126" s="15" t="s">
        <v>3737</v>
      </c>
      <c r="Z1126" s="16">
        <v>30.78</v>
      </c>
      <c r="AA1126" s="17">
        <v>181.1</v>
      </c>
      <c r="AB1126" s="18" t="s">
        <v>4032</v>
      </c>
    </row>
    <row r="1127" spans="1:28" x14ac:dyDescent="0.45">
      <c r="A1127" s="2" t="s">
        <v>1720</v>
      </c>
      <c r="B1127" s="2" t="s">
        <v>6222</v>
      </c>
      <c r="C1127" s="2" t="s">
        <v>1110</v>
      </c>
      <c r="D1127" s="2" t="s">
        <v>1509</v>
      </c>
      <c r="E1127" s="2" t="s">
        <v>96</v>
      </c>
      <c r="F1127" s="3">
        <v>40.869999999999997</v>
      </c>
      <c r="G1127" s="3">
        <v>47.93</v>
      </c>
      <c r="H1127" s="2" t="s">
        <v>1156</v>
      </c>
      <c r="I1127" s="19">
        <v>8</v>
      </c>
      <c r="J1127" s="34">
        <f t="shared" si="68"/>
        <v>6.9599999999999995E-2</v>
      </c>
      <c r="K1127" s="34">
        <f t="shared" si="69"/>
        <v>0.1</v>
      </c>
      <c r="L1127" s="34">
        <f t="shared" si="70"/>
        <v>0.4</v>
      </c>
      <c r="M1127" s="20" t="s">
        <v>4055</v>
      </c>
      <c r="N1127" s="20" t="s">
        <v>3891</v>
      </c>
      <c r="O1127" s="20" t="s">
        <v>3892</v>
      </c>
      <c r="P1127" s="20" t="s">
        <v>3893</v>
      </c>
      <c r="Q1127" s="21">
        <v>41</v>
      </c>
      <c r="R1127" s="21">
        <v>48</v>
      </c>
      <c r="S1127" s="21">
        <v>3.5</v>
      </c>
      <c r="T1127" s="22">
        <v>0.23</v>
      </c>
      <c r="U1127" s="13">
        <f t="shared" si="71"/>
        <v>-0.17</v>
      </c>
      <c r="V1127" s="23">
        <v>28.18</v>
      </c>
      <c r="W1127" s="23">
        <v>28.18</v>
      </c>
      <c r="X1127" s="20">
        <v>526</v>
      </c>
      <c r="Y1127" s="24" t="s">
        <v>3713</v>
      </c>
      <c r="Z1127" s="16">
        <v>20.18</v>
      </c>
      <c r="AA1127" s="17">
        <v>252.2</v>
      </c>
      <c r="AB1127" s="25" t="s">
        <v>4056</v>
      </c>
    </row>
    <row r="1128" spans="1:28" x14ac:dyDescent="0.45">
      <c r="A1128" s="4" t="s">
        <v>1721</v>
      </c>
      <c r="B1128" s="4" t="s">
        <v>6223</v>
      </c>
      <c r="C1128" s="4" t="s">
        <v>1110</v>
      </c>
      <c r="D1128" s="4" t="s">
        <v>1509</v>
      </c>
      <c r="E1128" s="4" t="s">
        <v>96</v>
      </c>
      <c r="F1128" s="5">
        <v>40.94</v>
      </c>
      <c r="G1128" s="5">
        <v>46.18</v>
      </c>
      <c r="H1128" s="4" t="s">
        <v>1127</v>
      </c>
      <c r="I1128" s="10">
        <v>7</v>
      </c>
      <c r="J1128" s="34">
        <f t="shared" si="68"/>
        <v>6.0899999999999996E-2</v>
      </c>
      <c r="K1128" s="34">
        <f t="shared" si="69"/>
        <v>0.09</v>
      </c>
      <c r="L1128" s="34">
        <f t="shared" si="70"/>
        <v>0.36</v>
      </c>
      <c r="M1128" s="11" t="s">
        <v>4057</v>
      </c>
      <c r="N1128" s="11" t="s">
        <v>3891</v>
      </c>
      <c r="O1128" s="11" t="s">
        <v>3892</v>
      </c>
      <c r="P1128" s="11" t="s">
        <v>3893</v>
      </c>
      <c r="Q1128" s="12">
        <v>41</v>
      </c>
      <c r="R1128" s="12">
        <v>46</v>
      </c>
      <c r="S1128" s="12">
        <v>2.5</v>
      </c>
      <c r="T1128" s="13">
        <v>0.2</v>
      </c>
      <c r="U1128" s="13">
        <f t="shared" si="71"/>
        <v>-0.15999999999999998</v>
      </c>
      <c r="V1128" s="14">
        <v>24.5</v>
      </c>
      <c r="W1128" s="14">
        <v>24.5</v>
      </c>
      <c r="X1128" s="11">
        <v>142</v>
      </c>
      <c r="Y1128" s="15" t="s">
        <v>3713</v>
      </c>
      <c r="Z1128" s="16">
        <v>17.5</v>
      </c>
      <c r="AA1128" s="17">
        <v>250</v>
      </c>
      <c r="AB1128" s="18" t="s">
        <v>3941</v>
      </c>
    </row>
    <row r="1129" spans="1:28" x14ac:dyDescent="0.45">
      <c r="A1129" s="2" t="s">
        <v>1722</v>
      </c>
      <c r="B1129" s="2" t="s">
        <v>6224</v>
      </c>
      <c r="C1129" s="2" t="s">
        <v>1110</v>
      </c>
      <c r="D1129" s="2" t="s">
        <v>1509</v>
      </c>
      <c r="E1129" s="2" t="s">
        <v>96</v>
      </c>
      <c r="F1129" s="3">
        <v>40</v>
      </c>
      <c r="G1129" s="3">
        <v>44</v>
      </c>
      <c r="H1129" s="2" t="s">
        <v>1122</v>
      </c>
      <c r="I1129" s="19">
        <v>7</v>
      </c>
      <c r="J1129" s="34">
        <f t="shared" si="68"/>
        <v>6.0899999999999996E-2</v>
      </c>
      <c r="K1129" s="34">
        <f t="shared" si="69"/>
        <v>0.09</v>
      </c>
      <c r="L1129" s="34">
        <f t="shared" si="70"/>
        <v>0.36</v>
      </c>
      <c r="M1129" s="20" t="s">
        <v>4432</v>
      </c>
      <c r="N1129" s="20" t="s">
        <v>3891</v>
      </c>
      <c r="O1129" s="20" t="s">
        <v>3892</v>
      </c>
      <c r="P1129" s="20" t="s">
        <v>3893</v>
      </c>
      <c r="Q1129" s="21">
        <v>40</v>
      </c>
      <c r="R1129" s="21">
        <v>44</v>
      </c>
      <c r="S1129" s="21">
        <v>2</v>
      </c>
      <c r="T1129" s="22">
        <v>0.2</v>
      </c>
      <c r="U1129" s="13">
        <f t="shared" si="71"/>
        <v>-0.15999999999999998</v>
      </c>
      <c r="V1129" s="23">
        <v>24.5</v>
      </c>
      <c r="W1129" s="23">
        <v>24.5</v>
      </c>
      <c r="X1129" s="20">
        <v>122</v>
      </c>
      <c r="Y1129" s="24" t="s">
        <v>3713</v>
      </c>
      <c r="Z1129" s="16">
        <v>17.5</v>
      </c>
      <c r="AA1129" s="17">
        <v>250</v>
      </c>
      <c r="AB1129" s="25" t="s">
        <v>3714</v>
      </c>
    </row>
    <row r="1130" spans="1:28" x14ac:dyDescent="0.45">
      <c r="A1130" s="4" t="s">
        <v>1723</v>
      </c>
      <c r="B1130" s="4" t="s">
        <v>6225</v>
      </c>
      <c r="C1130" s="4" t="s">
        <v>1110</v>
      </c>
      <c r="D1130" s="4" t="s">
        <v>1509</v>
      </c>
      <c r="E1130" s="4" t="s">
        <v>96</v>
      </c>
      <c r="F1130" s="5">
        <v>40</v>
      </c>
      <c r="G1130" s="5">
        <v>45</v>
      </c>
      <c r="H1130" s="4" t="s">
        <v>1135</v>
      </c>
      <c r="I1130" s="10">
        <v>7</v>
      </c>
      <c r="J1130" s="34">
        <f t="shared" si="68"/>
        <v>6.0899999999999996E-2</v>
      </c>
      <c r="K1130" s="34">
        <f t="shared" si="69"/>
        <v>0.09</v>
      </c>
      <c r="L1130" s="34">
        <f t="shared" si="70"/>
        <v>0.36</v>
      </c>
      <c r="M1130" s="11" t="s">
        <v>4058</v>
      </c>
      <c r="N1130" s="11" t="s">
        <v>3898</v>
      </c>
      <c r="O1130" s="11" t="s">
        <v>3892</v>
      </c>
      <c r="P1130" s="11" t="s">
        <v>3899</v>
      </c>
      <c r="Q1130" s="12">
        <v>40</v>
      </c>
      <c r="R1130" s="12">
        <v>45</v>
      </c>
      <c r="S1130" s="12">
        <v>2.5</v>
      </c>
      <c r="T1130" s="13">
        <v>9.2100000000000009</v>
      </c>
      <c r="U1130" s="13">
        <f t="shared" si="71"/>
        <v>8.8500000000000014</v>
      </c>
      <c r="V1130" s="14">
        <v>1128.23</v>
      </c>
      <c r="W1130" s="14">
        <v>1128.23</v>
      </c>
      <c r="X1130" s="11" t="s">
        <v>3722</v>
      </c>
      <c r="Y1130" s="15" t="s">
        <v>3713</v>
      </c>
      <c r="Z1130" s="16">
        <v>1121.23</v>
      </c>
      <c r="AA1130" s="17">
        <v>16017.6</v>
      </c>
      <c r="AB1130" s="18" t="s">
        <v>3714</v>
      </c>
    </row>
    <row r="1131" spans="1:28" x14ac:dyDescent="0.45">
      <c r="A1131" s="2" t="s">
        <v>1724</v>
      </c>
      <c r="B1131" s="2" t="s">
        <v>6226</v>
      </c>
      <c r="C1131" s="2" t="s">
        <v>1110</v>
      </c>
      <c r="D1131" s="2" t="s">
        <v>1509</v>
      </c>
      <c r="E1131" s="2" t="s">
        <v>96</v>
      </c>
      <c r="F1131" s="3">
        <v>40</v>
      </c>
      <c r="G1131" s="3">
        <v>46</v>
      </c>
      <c r="H1131" s="2" t="s">
        <v>1149</v>
      </c>
      <c r="I1131" s="19">
        <v>8</v>
      </c>
      <c r="J1131" s="34">
        <f t="shared" si="68"/>
        <v>6.9599999999999995E-2</v>
      </c>
      <c r="K1131" s="34">
        <f t="shared" si="69"/>
        <v>0.1</v>
      </c>
      <c r="L1131" s="34">
        <f t="shared" si="70"/>
        <v>0.4</v>
      </c>
      <c r="M1131" s="20" t="s">
        <v>4059</v>
      </c>
      <c r="N1131" s="20" t="s">
        <v>3891</v>
      </c>
      <c r="O1131" s="20" t="s">
        <v>3892</v>
      </c>
      <c r="P1131" s="20" t="s">
        <v>3893</v>
      </c>
      <c r="Q1131" s="21">
        <v>40</v>
      </c>
      <c r="R1131" s="21">
        <v>46</v>
      </c>
      <c r="S1131" s="21">
        <v>3</v>
      </c>
      <c r="T1131" s="22">
        <v>0.2</v>
      </c>
      <c r="U1131" s="13">
        <f t="shared" si="71"/>
        <v>-0.2</v>
      </c>
      <c r="V1131" s="23">
        <v>24.5</v>
      </c>
      <c r="W1131" s="23">
        <v>24.5</v>
      </c>
      <c r="X1131" s="20">
        <v>155</v>
      </c>
      <c r="Y1131" s="24" t="s">
        <v>3713</v>
      </c>
      <c r="Z1131" s="16">
        <v>16.5</v>
      </c>
      <c r="AA1131" s="17">
        <v>206.2</v>
      </c>
      <c r="AB1131" s="25" t="s">
        <v>3714</v>
      </c>
    </row>
    <row r="1132" spans="1:28" x14ac:dyDescent="0.45">
      <c r="A1132" s="4" t="s">
        <v>1725</v>
      </c>
      <c r="B1132" s="4" t="s">
        <v>6227</v>
      </c>
      <c r="C1132" s="4" t="s">
        <v>1110</v>
      </c>
      <c r="D1132" s="4" t="s">
        <v>1509</v>
      </c>
      <c r="E1132" s="4" t="s">
        <v>96</v>
      </c>
      <c r="F1132" s="5">
        <v>40</v>
      </c>
      <c r="G1132" s="5">
        <v>48</v>
      </c>
      <c r="H1132" s="4" t="s">
        <v>1216</v>
      </c>
      <c r="I1132" s="10">
        <v>12</v>
      </c>
      <c r="J1132" s="34">
        <f t="shared" si="68"/>
        <v>0.10439999999999999</v>
      </c>
      <c r="K1132" s="34">
        <f t="shared" si="69"/>
        <v>0.16</v>
      </c>
      <c r="L1132" s="34">
        <f t="shared" si="70"/>
        <v>0.64</v>
      </c>
      <c r="M1132" s="11" t="s">
        <v>4433</v>
      </c>
      <c r="N1132" s="11" t="s">
        <v>3891</v>
      </c>
      <c r="O1132" s="11" t="s">
        <v>3892</v>
      </c>
      <c r="P1132" s="11" t="s">
        <v>3893</v>
      </c>
      <c r="Q1132" s="12">
        <v>40</v>
      </c>
      <c r="R1132" s="12">
        <v>48</v>
      </c>
      <c r="S1132" s="12">
        <v>4</v>
      </c>
      <c r="T1132" s="13">
        <v>0.2</v>
      </c>
      <c r="U1132" s="13">
        <f t="shared" si="71"/>
        <v>-0.44</v>
      </c>
      <c r="V1132" s="14">
        <v>24.5</v>
      </c>
      <c r="W1132" s="14">
        <v>24.5</v>
      </c>
      <c r="X1132" s="11">
        <v>77</v>
      </c>
      <c r="Y1132" s="15" t="s">
        <v>3713</v>
      </c>
      <c r="Z1132" s="16">
        <v>12.5</v>
      </c>
      <c r="AA1132" s="17">
        <v>104.2</v>
      </c>
      <c r="AB1132" s="18" t="s">
        <v>3714</v>
      </c>
    </row>
    <row r="1133" spans="1:28" x14ac:dyDescent="0.45">
      <c r="A1133" s="2" t="s">
        <v>1726</v>
      </c>
      <c r="B1133" s="2" t="s">
        <v>6228</v>
      </c>
      <c r="C1133" s="2" t="s">
        <v>1110</v>
      </c>
      <c r="D1133" s="2" t="s">
        <v>1509</v>
      </c>
      <c r="E1133" s="2" t="s">
        <v>96</v>
      </c>
      <c r="F1133" s="3">
        <v>40</v>
      </c>
      <c r="G1133" s="3">
        <v>50</v>
      </c>
      <c r="H1133" s="2" t="s">
        <v>1245</v>
      </c>
      <c r="I1133" s="19">
        <v>17</v>
      </c>
      <c r="J1133" s="34">
        <f t="shared" si="68"/>
        <v>0.14789999999999998</v>
      </c>
      <c r="K1133" s="34">
        <f t="shared" si="69"/>
        <v>0.22</v>
      </c>
      <c r="L1133" s="34">
        <f t="shared" si="70"/>
        <v>0.88</v>
      </c>
      <c r="M1133" s="20" t="s">
        <v>4060</v>
      </c>
      <c r="N1133" s="20" t="s">
        <v>3891</v>
      </c>
      <c r="O1133" s="20" t="s">
        <v>3892</v>
      </c>
      <c r="P1133" s="20" t="s">
        <v>3893</v>
      </c>
      <c r="Q1133" s="21">
        <v>40</v>
      </c>
      <c r="R1133" s="21">
        <v>50</v>
      </c>
      <c r="S1133" s="21">
        <v>5</v>
      </c>
      <c r="T1133" s="22">
        <v>0.34</v>
      </c>
      <c r="U1133" s="13">
        <f t="shared" si="71"/>
        <v>-0.54</v>
      </c>
      <c r="V1133" s="23">
        <v>41.65</v>
      </c>
      <c r="W1133" s="23">
        <v>41.65</v>
      </c>
      <c r="X1133" s="20">
        <v>145</v>
      </c>
      <c r="Y1133" s="24" t="s">
        <v>3713</v>
      </c>
      <c r="Z1133" s="16">
        <v>24.65</v>
      </c>
      <c r="AA1133" s="17">
        <v>145</v>
      </c>
      <c r="AB1133" s="25" t="s">
        <v>3714</v>
      </c>
    </row>
    <row r="1134" spans="1:28" x14ac:dyDescent="0.45">
      <c r="A1134" s="4" t="s">
        <v>1727</v>
      </c>
      <c r="B1134" s="4" t="s">
        <v>6229</v>
      </c>
      <c r="C1134" s="4" t="s">
        <v>1110</v>
      </c>
      <c r="D1134" s="4" t="s">
        <v>1509</v>
      </c>
      <c r="E1134" s="4" t="s">
        <v>96</v>
      </c>
      <c r="F1134" s="5">
        <v>41.2</v>
      </c>
      <c r="G1134" s="5">
        <v>47.2</v>
      </c>
      <c r="H1134" s="4" t="s">
        <v>1149</v>
      </c>
      <c r="I1134" s="10">
        <v>7</v>
      </c>
      <c r="J1134" s="34">
        <f t="shared" si="68"/>
        <v>6.0899999999999996E-2</v>
      </c>
      <c r="K1134" s="34">
        <f t="shared" si="69"/>
        <v>0.09</v>
      </c>
      <c r="L1134" s="34">
        <f t="shared" si="70"/>
        <v>0.36</v>
      </c>
      <c r="M1134" s="11" t="s">
        <v>4434</v>
      </c>
      <c r="N1134" s="11" t="s">
        <v>3891</v>
      </c>
      <c r="O1134" s="11" t="s">
        <v>3892</v>
      </c>
      <c r="P1134" s="11" t="s">
        <v>3893</v>
      </c>
      <c r="Q1134" s="12">
        <v>41</v>
      </c>
      <c r="R1134" s="12">
        <v>47</v>
      </c>
      <c r="S1134" s="12">
        <v>3</v>
      </c>
      <c r="T1134" s="13">
        <v>0.2</v>
      </c>
      <c r="U1134" s="13">
        <f t="shared" si="71"/>
        <v>-0.15999999999999998</v>
      </c>
      <c r="V1134" s="14">
        <v>24.5</v>
      </c>
      <c r="W1134" s="14">
        <v>24.5</v>
      </c>
      <c r="X1134" s="11">
        <v>123</v>
      </c>
      <c r="Y1134" s="15" t="s">
        <v>3713</v>
      </c>
      <c r="Z1134" s="16">
        <v>17.5</v>
      </c>
      <c r="AA1134" s="17">
        <v>250</v>
      </c>
      <c r="AB1134" s="18" t="s">
        <v>4435</v>
      </c>
    </row>
    <row r="1135" spans="1:28" x14ac:dyDescent="0.45">
      <c r="A1135" s="2" t="s">
        <v>1728</v>
      </c>
      <c r="B1135" s="2" t="s">
        <v>6230</v>
      </c>
      <c r="C1135" s="2" t="s">
        <v>1110</v>
      </c>
      <c r="D1135" s="2" t="s">
        <v>1509</v>
      </c>
      <c r="E1135" s="2" t="s">
        <v>96</v>
      </c>
      <c r="F1135" s="3">
        <v>41.7</v>
      </c>
      <c r="G1135" s="3">
        <v>48.7</v>
      </c>
      <c r="H1135" s="2" t="s">
        <v>1187</v>
      </c>
      <c r="I1135" s="19">
        <v>12</v>
      </c>
      <c r="J1135" s="34">
        <f t="shared" si="68"/>
        <v>0.10439999999999999</v>
      </c>
      <c r="K1135" s="34">
        <f t="shared" si="69"/>
        <v>0.16</v>
      </c>
      <c r="L1135" s="34">
        <f t="shared" si="70"/>
        <v>0.64</v>
      </c>
      <c r="M1135" s="20" t="s">
        <v>4436</v>
      </c>
      <c r="N1135" s="20" t="s">
        <v>3891</v>
      </c>
      <c r="O1135" s="20" t="s">
        <v>3892</v>
      </c>
      <c r="P1135" s="20" t="s">
        <v>3893</v>
      </c>
      <c r="Q1135" s="21">
        <v>41.7</v>
      </c>
      <c r="R1135" s="21">
        <v>48.7</v>
      </c>
      <c r="S1135" s="21">
        <v>3.5</v>
      </c>
      <c r="T1135" s="22">
        <v>0.25</v>
      </c>
      <c r="U1135" s="13">
        <f t="shared" si="71"/>
        <v>-0.39</v>
      </c>
      <c r="V1135" s="23">
        <v>30.62</v>
      </c>
      <c r="W1135" s="23">
        <v>30.62</v>
      </c>
      <c r="X1135" s="20">
        <v>14</v>
      </c>
      <c r="Y1135" s="24" t="s">
        <v>3713</v>
      </c>
      <c r="Z1135" s="16">
        <v>18.62</v>
      </c>
      <c r="AA1135" s="17">
        <v>155.19999999999999</v>
      </c>
      <c r="AB1135" s="25" t="s">
        <v>3714</v>
      </c>
    </row>
    <row r="1136" spans="1:28" x14ac:dyDescent="0.45">
      <c r="A1136" s="4" t="s">
        <v>1729</v>
      </c>
      <c r="B1136" s="4" t="s">
        <v>6231</v>
      </c>
      <c r="C1136" s="4" t="s">
        <v>1110</v>
      </c>
      <c r="D1136" s="4" t="s">
        <v>1509</v>
      </c>
      <c r="E1136" s="4" t="s">
        <v>96</v>
      </c>
      <c r="F1136" s="5">
        <v>41</v>
      </c>
      <c r="G1136" s="5">
        <v>44.56</v>
      </c>
      <c r="H1136" s="4" t="s">
        <v>1114</v>
      </c>
      <c r="I1136" s="10">
        <v>5</v>
      </c>
      <c r="J1136" s="34">
        <f t="shared" si="68"/>
        <v>4.3499999999999997E-2</v>
      </c>
      <c r="K1136" s="34">
        <f t="shared" si="69"/>
        <v>7.0000000000000007E-2</v>
      </c>
      <c r="L1136" s="34">
        <f t="shared" si="70"/>
        <v>0.28000000000000003</v>
      </c>
      <c r="M1136" s="11" t="s">
        <v>4061</v>
      </c>
      <c r="N1136" s="11" t="s">
        <v>3891</v>
      </c>
      <c r="O1136" s="11" t="s">
        <v>3892</v>
      </c>
      <c r="P1136" s="11" t="s">
        <v>3893</v>
      </c>
      <c r="Q1136" s="12">
        <v>41</v>
      </c>
      <c r="R1136" s="12">
        <v>45</v>
      </c>
      <c r="S1136" s="12">
        <v>2</v>
      </c>
      <c r="T1136" s="13">
        <v>0.2</v>
      </c>
      <c r="U1136" s="13">
        <f t="shared" si="71"/>
        <v>-8.0000000000000016E-2</v>
      </c>
      <c r="V1136" s="14">
        <v>24.5</v>
      </c>
      <c r="W1136" s="14">
        <v>24.5</v>
      </c>
      <c r="X1136" s="11">
        <v>107</v>
      </c>
      <c r="Y1136" s="15" t="s">
        <v>3713</v>
      </c>
      <c r="Z1136" s="16">
        <v>19.5</v>
      </c>
      <c r="AA1136" s="17">
        <v>390</v>
      </c>
      <c r="AB1136" s="18" t="s">
        <v>4062</v>
      </c>
    </row>
    <row r="1137" spans="1:28" x14ac:dyDescent="0.45">
      <c r="A1137" s="2" t="s">
        <v>1730</v>
      </c>
      <c r="B1137" s="2" t="s">
        <v>6232</v>
      </c>
      <c r="C1137" s="2" t="s">
        <v>1110</v>
      </c>
      <c r="D1137" s="2" t="s">
        <v>1509</v>
      </c>
      <c r="E1137" s="2" t="s">
        <v>96</v>
      </c>
      <c r="F1137" s="3">
        <v>42.52</v>
      </c>
      <c r="G1137" s="3">
        <v>47.760000000000012</v>
      </c>
      <c r="H1137" s="2" t="s">
        <v>1127</v>
      </c>
      <c r="I1137" s="19">
        <v>7</v>
      </c>
      <c r="J1137" s="34">
        <f t="shared" si="68"/>
        <v>6.0899999999999996E-2</v>
      </c>
      <c r="K1137" s="34">
        <f t="shared" si="69"/>
        <v>0.09</v>
      </c>
      <c r="L1137" s="34">
        <f t="shared" si="70"/>
        <v>0.36</v>
      </c>
      <c r="M1137" s="20" t="s">
        <v>4063</v>
      </c>
      <c r="N1137" s="20" t="s">
        <v>3891</v>
      </c>
      <c r="O1137" s="20" t="s">
        <v>3892</v>
      </c>
      <c r="P1137" s="20" t="s">
        <v>3893</v>
      </c>
      <c r="Q1137" s="21">
        <v>42.417999999999999</v>
      </c>
      <c r="R1137" s="21">
        <v>47.752000000000002</v>
      </c>
      <c r="S1137" s="21">
        <v>2.54</v>
      </c>
      <c r="T1137" s="22">
        <v>0.2</v>
      </c>
      <c r="U1137" s="13">
        <f t="shared" si="71"/>
        <v>-0.15999999999999998</v>
      </c>
      <c r="V1137" s="23">
        <v>24.5</v>
      </c>
      <c r="W1137" s="23">
        <v>24.5</v>
      </c>
      <c r="X1137" s="20">
        <v>2331</v>
      </c>
      <c r="Y1137" s="24" t="s">
        <v>3737</v>
      </c>
      <c r="Z1137" s="16">
        <v>17.5</v>
      </c>
      <c r="AA1137" s="17">
        <v>250</v>
      </c>
      <c r="AB1137" s="25" t="s">
        <v>3985</v>
      </c>
    </row>
    <row r="1138" spans="1:28" x14ac:dyDescent="0.45">
      <c r="A1138" s="4" t="s">
        <v>1731</v>
      </c>
      <c r="B1138" s="4" t="s">
        <v>6233</v>
      </c>
      <c r="C1138" s="4" t="s">
        <v>1110</v>
      </c>
      <c r="D1138" s="4" t="s">
        <v>1509</v>
      </c>
      <c r="E1138" s="4" t="s">
        <v>96</v>
      </c>
      <c r="F1138" s="5">
        <v>42</v>
      </c>
      <c r="G1138" s="5">
        <v>47</v>
      </c>
      <c r="H1138" s="4" t="s">
        <v>1135</v>
      </c>
      <c r="I1138" s="10">
        <v>7</v>
      </c>
      <c r="J1138" s="34">
        <f t="shared" si="68"/>
        <v>6.0899999999999996E-2</v>
      </c>
      <c r="K1138" s="34">
        <f t="shared" si="69"/>
        <v>0.09</v>
      </c>
      <c r="L1138" s="34">
        <f t="shared" si="70"/>
        <v>0.36</v>
      </c>
      <c r="M1138" s="11" t="s">
        <v>4437</v>
      </c>
      <c r="N1138" s="11" t="s">
        <v>3891</v>
      </c>
      <c r="O1138" s="11" t="s">
        <v>3892</v>
      </c>
      <c r="P1138" s="11" t="s">
        <v>3893</v>
      </c>
      <c r="Q1138" s="12">
        <v>42</v>
      </c>
      <c r="R1138" s="12">
        <v>47</v>
      </c>
      <c r="S1138" s="12">
        <v>2.5</v>
      </c>
      <c r="T1138" s="13">
        <v>0.2</v>
      </c>
      <c r="U1138" s="13">
        <f t="shared" si="71"/>
        <v>-0.15999999999999998</v>
      </c>
      <c r="V1138" s="14">
        <v>24.5</v>
      </c>
      <c r="W1138" s="14">
        <v>24.5</v>
      </c>
      <c r="X1138" s="11">
        <v>190</v>
      </c>
      <c r="Y1138" s="15" t="s">
        <v>3713</v>
      </c>
      <c r="Z1138" s="16">
        <v>17.5</v>
      </c>
      <c r="AA1138" s="17">
        <v>250</v>
      </c>
      <c r="AB1138" s="18" t="s">
        <v>3714</v>
      </c>
    </row>
    <row r="1139" spans="1:28" x14ac:dyDescent="0.45">
      <c r="A1139" s="2" t="s">
        <v>1732</v>
      </c>
      <c r="B1139" s="2" t="s">
        <v>6234</v>
      </c>
      <c r="C1139" s="2" t="s">
        <v>1110</v>
      </c>
      <c r="D1139" s="2" t="s">
        <v>1509</v>
      </c>
      <c r="E1139" s="2" t="s">
        <v>96</v>
      </c>
      <c r="F1139" s="3">
        <v>42</v>
      </c>
      <c r="G1139" s="3">
        <v>48</v>
      </c>
      <c r="H1139" s="2" t="s">
        <v>1149</v>
      </c>
      <c r="I1139" s="19">
        <v>8</v>
      </c>
      <c r="J1139" s="34">
        <f t="shared" si="68"/>
        <v>6.9599999999999995E-2</v>
      </c>
      <c r="K1139" s="34">
        <f t="shared" si="69"/>
        <v>0.1</v>
      </c>
      <c r="L1139" s="34">
        <f t="shared" si="70"/>
        <v>0.4</v>
      </c>
      <c r="M1139" s="20" t="s">
        <v>4438</v>
      </c>
      <c r="N1139" s="20" t="s">
        <v>3891</v>
      </c>
      <c r="O1139" s="20" t="s">
        <v>3892</v>
      </c>
      <c r="P1139" s="20" t="s">
        <v>3893</v>
      </c>
      <c r="Q1139" s="21">
        <v>42</v>
      </c>
      <c r="R1139" s="21">
        <v>48</v>
      </c>
      <c r="S1139" s="21">
        <v>3</v>
      </c>
      <c r="T1139" s="22">
        <v>0.24</v>
      </c>
      <c r="U1139" s="13">
        <f t="shared" si="71"/>
        <v>-0.16000000000000003</v>
      </c>
      <c r="V1139" s="23">
        <v>29.4</v>
      </c>
      <c r="W1139" s="23">
        <v>29.4</v>
      </c>
      <c r="X1139" s="20">
        <v>382</v>
      </c>
      <c r="Y1139" s="24" t="s">
        <v>3713</v>
      </c>
      <c r="Z1139" s="16">
        <v>21.4</v>
      </c>
      <c r="AA1139" s="17">
        <v>267.5</v>
      </c>
      <c r="AB1139" s="25" t="s">
        <v>3714</v>
      </c>
    </row>
    <row r="1140" spans="1:28" x14ac:dyDescent="0.45">
      <c r="A1140" s="4" t="s">
        <v>1733</v>
      </c>
      <c r="B1140" s="4" t="s">
        <v>6235</v>
      </c>
      <c r="C1140" s="4" t="s">
        <v>1110</v>
      </c>
      <c r="D1140" s="4" t="s">
        <v>1509</v>
      </c>
      <c r="E1140" s="4" t="s">
        <v>96</v>
      </c>
      <c r="F1140" s="5">
        <v>42</v>
      </c>
      <c r="G1140" s="5">
        <v>50</v>
      </c>
      <c r="H1140" s="4" t="s">
        <v>1216</v>
      </c>
      <c r="I1140" s="10">
        <v>12</v>
      </c>
      <c r="J1140" s="34">
        <f t="shared" si="68"/>
        <v>0.10439999999999999</v>
      </c>
      <c r="K1140" s="34">
        <f t="shared" si="69"/>
        <v>0.16</v>
      </c>
      <c r="L1140" s="34">
        <f t="shared" si="70"/>
        <v>0.64</v>
      </c>
      <c r="M1140" s="11" t="s">
        <v>4439</v>
      </c>
      <c r="N1140" s="11" t="s">
        <v>3891</v>
      </c>
      <c r="O1140" s="11" t="s">
        <v>3892</v>
      </c>
      <c r="P1140" s="11" t="s">
        <v>3893</v>
      </c>
      <c r="Q1140" s="12">
        <v>42</v>
      </c>
      <c r="R1140" s="12">
        <v>50</v>
      </c>
      <c r="S1140" s="12">
        <v>4</v>
      </c>
      <c r="T1140" s="13">
        <v>0.4</v>
      </c>
      <c r="U1140" s="13">
        <f t="shared" si="71"/>
        <v>-0.24</v>
      </c>
      <c r="V1140" s="14">
        <v>49</v>
      </c>
      <c r="W1140" s="14">
        <v>49</v>
      </c>
      <c r="X1140" s="11" t="s">
        <v>3722</v>
      </c>
      <c r="Y1140" s="15" t="s">
        <v>3713</v>
      </c>
      <c r="Z1140" s="16">
        <v>37</v>
      </c>
      <c r="AA1140" s="17">
        <v>308.3</v>
      </c>
      <c r="AB1140" s="18" t="s">
        <v>3714</v>
      </c>
    </row>
    <row r="1141" spans="1:28" x14ac:dyDescent="0.45">
      <c r="A1141" s="2" t="s">
        <v>1734</v>
      </c>
      <c r="B1141" s="2" t="s">
        <v>6236</v>
      </c>
      <c r="C1141" s="2" t="s">
        <v>1110</v>
      </c>
      <c r="D1141" s="2" t="s">
        <v>1509</v>
      </c>
      <c r="E1141" s="2" t="s">
        <v>96</v>
      </c>
      <c r="F1141" s="3">
        <v>43.5</v>
      </c>
      <c r="G1141" s="3">
        <v>47.5</v>
      </c>
      <c r="H1141" s="2" t="s">
        <v>1122</v>
      </c>
      <c r="I1141" s="19">
        <v>7</v>
      </c>
      <c r="J1141" s="34">
        <f t="shared" si="68"/>
        <v>6.0899999999999996E-2</v>
      </c>
      <c r="K1141" s="34">
        <f t="shared" si="69"/>
        <v>0.09</v>
      </c>
      <c r="L1141" s="34">
        <f t="shared" si="70"/>
        <v>0.36</v>
      </c>
      <c r="M1141" s="20" t="s">
        <v>4440</v>
      </c>
      <c r="N1141" s="20" t="s">
        <v>3891</v>
      </c>
      <c r="O1141" s="20" t="s">
        <v>3892</v>
      </c>
      <c r="P1141" s="20" t="s">
        <v>3893</v>
      </c>
      <c r="Q1141" s="21">
        <v>43</v>
      </c>
      <c r="R1141" s="21">
        <v>47</v>
      </c>
      <c r="S1141" s="21">
        <v>2</v>
      </c>
      <c r="T1141" s="22">
        <v>0.2</v>
      </c>
      <c r="U1141" s="13">
        <f t="shared" si="71"/>
        <v>-0.15999999999999998</v>
      </c>
      <c r="V1141" s="23">
        <v>24.5</v>
      </c>
      <c r="W1141" s="23">
        <v>24.5</v>
      </c>
      <c r="X1141" s="20">
        <v>75</v>
      </c>
      <c r="Y1141" s="24" t="s">
        <v>3713</v>
      </c>
      <c r="Z1141" s="16">
        <v>17.5</v>
      </c>
      <c r="AA1141" s="17">
        <v>250</v>
      </c>
      <c r="AB1141" s="25" t="s">
        <v>4441</v>
      </c>
    </row>
    <row r="1142" spans="1:28" x14ac:dyDescent="0.45">
      <c r="A1142" s="4" t="s">
        <v>1735</v>
      </c>
      <c r="B1142" s="4" t="s">
        <v>6237</v>
      </c>
      <c r="C1142" s="4" t="s">
        <v>1110</v>
      </c>
      <c r="D1142" s="4" t="s">
        <v>1509</v>
      </c>
      <c r="E1142" s="4" t="s">
        <v>96</v>
      </c>
      <c r="F1142" s="5">
        <v>43.7</v>
      </c>
      <c r="G1142" s="5">
        <v>50.7</v>
      </c>
      <c r="H1142" s="4" t="s">
        <v>1187</v>
      </c>
      <c r="I1142" s="10">
        <v>12</v>
      </c>
      <c r="J1142" s="34">
        <f t="shared" si="68"/>
        <v>0.10439999999999999</v>
      </c>
      <c r="K1142" s="34">
        <f t="shared" si="69"/>
        <v>0.16</v>
      </c>
      <c r="L1142" s="34">
        <f t="shared" si="70"/>
        <v>0.64</v>
      </c>
      <c r="M1142" s="11" t="s">
        <v>4064</v>
      </c>
      <c r="N1142" s="11" t="s">
        <v>3925</v>
      </c>
      <c r="O1142" s="11" t="s">
        <v>3892</v>
      </c>
      <c r="P1142" s="11" t="s">
        <v>3926</v>
      </c>
      <c r="Q1142" s="12">
        <v>43.7</v>
      </c>
      <c r="R1142" s="12">
        <v>50.7</v>
      </c>
      <c r="S1142" s="12">
        <v>3.5</v>
      </c>
      <c r="T1142" s="13">
        <v>0.33</v>
      </c>
      <c r="U1142" s="13">
        <f t="shared" si="71"/>
        <v>-0.31</v>
      </c>
      <c r="V1142" s="14">
        <v>40.43</v>
      </c>
      <c r="W1142" s="14">
        <v>40.43</v>
      </c>
      <c r="X1142" s="11" t="s">
        <v>3722</v>
      </c>
      <c r="Y1142" s="15" t="s">
        <v>3713</v>
      </c>
      <c r="Z1142" s="16">
        <v>28.43</v>
      </c>
      <c r="AA1142" s="17">
        <v>236.9</v>
      </c>
      <c r="AB1142" s="18" t="s">
        <v>3714</v>
      </c>
    </row>
    <row r="1143" spans="1:28" x14ac:dyDescent="0.45">
      <c r="A1143" s="2" t="s">
        <v>1736</v>
      </c>
      <c r="B1143" s="2" t="s">
        <v>6238</v>
      </c>
      <c r="C1143" s="2" t="s">
        <v>1110</v>
      </c>
      <c r="D1143" s="2" t="s">
        <v>1509</v>
      </c>
      <c r="E1143" s="2" t="s">
        <v>96</v>
      </c>
      <c r="F1143" s="3">
        <v>43.82</v>
      </c>
      <c r="G1143" s="3">
        <v>54.48</v>
      </c>
      <c r="H1143" s="2" t="s">
        <v>1201</v>
      </c>
      <c r="I1143" s="19">
        <v>18</v>
      </c>
      <c r="J1143" s="34">
        <f t="shared" si="68"/>
        <v>0.15659999999999999</v>
      </c>
      <c r="K1143" s="34">
        <f t="shared" si="69"/>
        <v>0.23</v>
      </c>
      <c r="L1143" s="34">
        <f t="shared" si="70"/>
        <v>0.92</v>
      </c>
      <c r="M1143" s="20" t="s">
        <v>4065</v>
      </c>
      <c r="N1143" s="20" t="s">
        <v>3891</v>
      </c>
      <c r="O1143" s="20" t="s">
        <v>3892</v>
      </c>
      <c r="P1143" s="20" t="s">
        <v>3893</v>
      </c>
      <c r="Q1143" s="21">
        <v>43.942</v>
      </c>
      <c r="R1143" s="21">
        <v>54.61</v>
      </c>
      <c r="S1143" s="21">
        <v>5.3339999999999996</v>
      </c>
      <c r="T1143" s="22">
        <v>0.25</v>
      </c>
      <c r="U1143" s="13">
        <f t="shared" si="71"/>
        <v>-0.67</v>
      </c>
      <c r="V1143" s="23">
        <v>30.62</v>
      </c>
      <c r="W1143" s="23">
        <v>30.62</v>
      </c>
      <c r="X1143" s="20">
        <v>106</v>
      </c>
      <c r="Y1143" s="24" t="s">
        <v>3737</v>
      </c>
      <c r="Z1143" s="16">
        <v>12.62</v>
      </c>
      <c r="AA1143" s="17">
        <v>70.099999999999994</v>
      </c>
      <c r="AB1143" s="25" t="s">
        <v>4016</v>
      </c>
    </row>
    <row r="1144" spans="1:28" x14ac:dyDescent="0.45">
      <c r="A1144" s="4" t="s">
        <v>1737</v>
      </c>
      <c r="B1144" s="4" t="s">
        <v>6239</v>
      </c>
      <c r="C1144" s="4" t="s">
        <v>1110</v>
      </c>
      <c r="D1144" s="4" t="s">
        <v>1509</v>
      </c>
      <c r="E1144" s="4" t="s">
        <v>96</v>
      </c>
      <c r="F1144" s="5">
        <v>43</v>
      </c>
      <c r="G1144" s="5">
        <v>49</v>
      </c>
      <c r="H1144" s="4" t="s">
        <v>1149</v>
      </c>
      <c r="I1144" s="10">
        <v>8</v>
      </c>
      <c r="J1144" s="34">
        <f t="shared" si="68"/>
        <v>6.9599999999999995E-2</v>
      </c>
      <c r="K1144" s="34">
        <f t="shared" si="69"/>
        <v>0.1</v>
      </c>
      <c r="L1144" s="34">
        <f t="shared" si="70"/>
        <v>0.4</v>
      </c>
      <c r="M1144" s="11" t="s">
        <v>4066</v>
      </c>
      <c r="N1144" s="11" t="s">
        <v>3891</v>
      </c>
      <c r="O1144" s="11" t="s">
        <v>3892</v>
      </c>
      <c r="P1144" s="11" t="s">
        <v>3893</v>
      </c>
      <c r="Q1144" s="12">
        <v>43</v>
      </c>
      <c r="R1144" s="12">
        <v>49</v>
      </c>
      <c r="S1144" s="12">
        <v>3</v>
      </c>
      <c r="T1144" s="13">
        <v>0.2</v>
      </c>
      <c r="U1144" s="13">
        <f t="shared" si="71"/>
        <v>-0.2</v>
      </c>
      <c r="V1144" s="14">
        <v>24.5</v>
      </c>
      <c r="W1144" s="14">
        <v>24.5</v>
      </c>
      <c r="X1144" s="11">
        <v>7</v>
      </c>
      <c r="Y1144" s="15" t="s">
        <v>3713</v>
      </c>
      <c r="Z1144" s="16">
        <v>16.5</v>
      </c>
      <c r="AA1144" s="17">
        <v>206.2</v>
      </c>
      <c r="AB1144" s="18" t="s">
        <v>3714</v>
      </c>
    </row>
    <row r="1145" spans="1:28" x14ac:dyDescent="0.45">
      <c r="A1145" s="2" t="s">
        <v>1738</v>
      </c>
      <c r="B1145" s="2" t="s">
        <v>6240</v>
      </c>
      <c r="C1145" s="2" t="s">
        <v>1110</v>
      </c>
      <c r="D1145" s="2" t="s">
        <v>1509</v>
      </c>
      <c r="E1145" s="2" t="s">
        <v>96</v>
      </c>
      <c r="F1145" s="3">
        <v>44.04</v>
      </c>
      <c r="G1145" s="3">
        <v>51.1</v>
      </c>
      <c r="H1145" s="2" t="s">
        <v>1156</v>
      </c>
      <c r="I1145" s="19">
        <v>10</v>
      </c>
      <c r="J1145" s="34">
        <f t="shared" si="68"/>
        <v>8.6999999999999994E-2</v>
      </c>
      <c r="K1145" s="34">
        <f t="shared" si="69"/>
        <v>0.13</v>
      </c>
      <c r="L1145" s="34">
        <f t="shared" si="70"/>
        <v>0.52</v>
      </c>
      <c r="M1145" s="20" t="s">
        <v>4067</v>
      </c>
      <c r="N1145" s="20" t="s">
        <v>3891</v>
      </c>
      <c r="O1145" s="20" t="s">
        <v>3892</v>
      </c>
      <c r="P1145" s="20" t="s">
        <v>3893</v>
      </c>
      <c r="Q1145" s="21">
        <v>44</v>
      </c>
      <c r="R1145" s="21">
        <v>51</v>
      </c>
      <c r="S1145" s="21">
        <v>3.5</v>
      </c>
      <c r="T1145" s="22">
        <v>0.33</v>
      </c>
      <c r="U1145" s="13">
        <f t="shared" si="71"/>
        <v>-0.19</v>
      </c>
      <c r="V1145" s="23">
        <v>40.43</v>
      </c>
      <c r="W1145" s="23">
        <v>40.43</v>
      </c>
      <c r="X1145" s="20">
        <v>249</v>
      </c>
      <c r="Y1145" s="24" t="s">
        <v>3713</v>
      </c>
      <c r="Z1145" s="16">
        <v>30.43</v>
      </c>
      <c r="AA1145" s="17">
        <v>304.3</v>
      </c>
      <c r="AB1145" s="25" t="s">
        <v>3955</v>
      </c>
    </row>
    <row r="1146" spans="1:28" x14ac:dyDescent="0.45">
      <c r="A1146" s="4" t="s">
        <v>1739</v>
      </c>
      <c r="B1146" s="4" t="s">
        <v>6241</v>
      </c>
      <c r="C1146" s="4" t="s">
        <v>1110</v>
      </c>
      <c r="D1146" s="4" t="s">
        <v>1509</v>
      </c>
      <c r="E1146" s="4" t="s">
        <v>96</v>
      </c>
      <c r="F1146" s="5">
        <v>44.12</v>
      </c>
      <c r="G1146" s="5">
        <v>49.36</v>
      </c>
      <c r="H1146" s="4" t="s">
        <v>1127</v>
      </c>
      <c r="I1146" s="10">
        <v>7</v>
      </c>
      <c r="J1146" s="34">
        <f t="shared" si="68"/>
        <v>6.0899999999999996E-2</v>
      </c>
      <c r="K1146" s="34">
        <f t="shared" si="69"/>
        <v>0.09</v>
      </c>
      <c r="L1146" s="34">
        <f t="shared" si="70"/>
        <v>0.36</v>
      </c>
      <c r="M1146" s="11" t="s">
        <v>4068</v>
      </c>
      <c r="N1146" s="11" t="s">
        <v>3891</v>
      </c>
      <c r="O1146" s="11" t="s">
        <v>3892</v>
      </c>
      <c r="P1146" s="11" t="s">
        <v>3893</v>
      </c>
      <c r="Q1146" s="12">
        <v>44.195999999999998</v>
      </c>
      <c r="R1146" s="12">
        <v>49.276000000000003</v>
      </c>
      <c r="S1146" s="12">
        <v>2.54</v>
      </c>
      <c r="T1146" s="13">
        <v>0.2</v>
      </c>
      <c r="U1146" s="13">
        <f t="shared" si="71"/>
        <v>-0.15999999999999998</v>
      </c>
      <c r="V1146" s="14">
        <v>24.5</v>
      </c>
      <c r="W1146" s="14">
        <v>24.5</v>
      </c>
      <c r="X1146" s="11">
        <v>340</v>
      </c>
      <c r="Y1146" s="15" t="s">
        <v>3737</v>
      </c>
      <c r="Z1146" s="16">
        <v>17.5</v>
      </c>
      <c r="AA1146" s="17">
        <v>250</v>
      </c>
      <c r="AB1146" s="18" t="s">
        <v>4022</v>
      </c>
    </row>
    <row r="1147" spans="1:28" x14ac:dyDescent="0.45">
      <c r="A1147" s="2" t="s">
        <v>1740</v>
      </c>
      <c r="B1147" s="2" t="s">
        <v>6242</v>
      </c>
      <c r="C1147" s="2" t="s">
        <v>1110</v>
      </c>
      <c r="D1147" s="2" t="s">
        <v>1509</v>
      </c>
      <c r="E1147" s="2" t="s">
        <v>96</v>
      </c>
      <c r="F1147" s="3">
        <v>44.17</v>
      </c>
      <c r="G1147" s="3">
        <v>47.73</v>
      </c>
      <c r="H1147" s="2" t="s">
        <v>1114</v>
      </c>
      <c r="I1147" s="19">
        <v>5</v>
      </c>
      <c r="J1147" s="34">
        <f t="shared" si="68"/>
        <v>4.3499999999999997E-2</v>
      </c>
      <c r="K1147" s="34">
        <f t="shared" si="69"/>
        <v>7.0000000000000007E-2</v>
      </c>
      <c r="L1147" s="34">
        <f t="shared" si="70"/>
        <v>0.28000000000000003</v>
      </c>
      <c r="M1147" s="20" t="s">
        <v>4069</v>
      </c>
      <c r="N1147" s="20" t="s">
        <v>3898</v>
      </c>
      <c r="O1147" s="20" t="s">
        <v>3892</v>
      </c>
      <c r="P1147" s="20" t="s">
        <v>3899</v>
      </c>
      <c r="Q1147" s="21">
        <v>44.195999999999998</v>
      </c>
      <c r="R1147" s="21">
        <v>47.752000000000002</v>
      </c>
      <c r="S1147" s="21">
        <v>1.778</v>
      </c>
      <c r="T1147" s="22">
        <v>1.76</v>
      </c>
      <c r="U1147" s="13">
        <f t="shared" si="71"/>
        <v>1.48</v>
      </c>
      <c r="V1147" s="23">
        <v>215.6</v>
      </c>
      <c r="W1147" s="23">
        <v>215.6</v>
      </c>
      <c r="X1147" s="20">
        <v>5</v>
      </c>
      <c r="Y1147" s="24" t="s">
        <v>3737</v>
      </c>
      <c r="Z1147" s="16">
        <v>210.6</v>
      </c>
      <c r="AA1147" s="17">
        <v>4212</v>
      </c>
      <c r="AB1147" s="25" t="s">
        <v>3967</v>
      </c>
    </row>
    <row r="1148" spans="1:28" x14ac:dyDescent="0.45">
      <c r="A1148" s="4" t="s">
        <v>1741</v>
      </c>
      <c r="B1148" s="4" t="s">
        <v>6243</v>
      </c>
      <c r="C1148" s="4" t="s">
        <v>1110</v>
      </c>
      <c r="D1148" s="4" t="s">
        <v>1509</v>
      </c>
      <c r="E1148" s="4" t="s">
        <v>96</v>
      </c>
      <c r="F1148" s="5">
        <v>44.4</v>
      </c>
      <c r="G1148" s="5">
        <v>50.6</v>
      </c>
      <c r="H1148" s="4" t="s">
        <v>1221</v>
      </c>
      <c r="I1148" s="10">
        <v>12</v>
      </c>
      <c r="J1148" s="34">
        <f t="shared" si="68"/>
        <v>0.10439999999999999</v>
      </c>
      <c r="K1148" s="34">
        <f t="shared" si="69"/>
        <v>0.16</v>
      </c>
      <c r="L1148" s="34">
        <f t="shared" si="70"/>
        <v>0.64</v>
      </c>
      <c r="M1148" s="11" t="s">
        <v>4070</v>
      </c>
      <c r="N1148" s="11" t="s">
        <v>3891</v>
      </c>
      <c r="O1148" s="11" t="s">
        <v>3892</v>
      </c>
      <c r="P1148" s="11" t="s">
        <v>3893</v>
      </c>
      <c r="Q1148" s="12">
        <v>44.4</v>
      </c>
      <c r="R1148" s="12">
        <v>50.6</v>
      </c>
      <c r="S1148" s="12">
        <v>3.1</v>
      </c>
      <c r="T1148" s="13">
        <v>0.2</v>
      </c>
      <c r="U1148" s="13">
        <f t="shared" si="71"/>
        <v>-0.44</v>
      </c>
      <c r="V1148" s="14">
        <v>24.5</v>
      </c>
      <c r="W1148" s="14">
        <v>24.5</v>
      </c>
      <c r="X1148" s="11">
        <v>109</v>
      </c>
      <c r="Y1148" s="15" t="s">
        <v>3713</v>
      </c>
      <c r="Z1148" s="16">
        <v>12.5</v>
      </c>
      <c r="AA1148" s="17">
        <v>104.2</v>
      </c>
      <c r="AB1148" s="18" t="s">
        <v>3714</v>
      </c>
    </row>
    <row r="1149" spans="1:28" x14ac:dyDescent="0.45">
      <c r="A1149" s="2" t="s">
        <v>1742</v>
      </c>
      <c r="B1149" s="2" t="s">
        <v>6244</v>
      </c>
      <c r="C1149" s="2" t="s">
        <v>1110</v>
      </c>
      <c r="D1149" s="2" t="s">
        <v>1509</v>
      </c>
      <c r="E1149" s="2" t="s">
        <v>96</v>
      </c>
      <c r="F1149" s="3">
        <v>44.7</v>
      </c>
      <c r="G1149" s="3">
        <v>51.7</v>
      </c>
      <c r="H1149" s="2" t="s">
        <v>1187</v>
      </c>
      <c r="I1149" s="19">
        <v>12</v>
      </c>
      <c r="J1149" s="34">
        <f t="shared" si="68"/>
        <v>0.10439999999999999</v>
      </c>
      <c r="K1149" s="34">
        <f t="shared" si="69"/>
        <v>0.16</v>
      </c>
      <c r="L1149" s="34">
        <f t="shared" si="70"/>
        <v>0.64</v>
      </c>
      <c r="M1149" s="20" t="s">
        <v>4442</v>
      </c>
      <c r="N1149" s="20" t="s">
        <v>3891</v>
      </c>
      <c r="O1149" s="20" t="s">
        <v>3892</v>
      </c>
      <c r="P1149" s="20" t="s">
        <v>3893</v>
      </c>
      <c r="Q1149" s="21">
        <v>44.7</v>
      </c>
      <c r="R1149" s="21">
        <v>51.7</v>
      </c>
      <c r="S1149" s="21">
        <v>3.5</v>
      </c>
      <c r="T1149" s="22">
        <v>0.2</v>
      </c>
      <c r="U1149" s="13">
        <f t="shared" si="71"/>
        <v>-0.44</v>
      </c>
      <c r="V1149" s="23">
        <v>24.5</v>
      </c>
      <c r="W1149" s="23">
        <v>24.5</v>
      </c>
      <c r="X1149" s="20">
        <v>6</v>
      </c>
      <c r="Y1149" s="24" t="s">
        <v>3713</v>
      </c>
      <c r="Z1149" s="16">
        <v>12.5</v>
      </c>
      <c r="AA1149" s="17">
        <v>104.2</v>
      </c>
      <c r="AB1149" s="25" t="s">
        <v>3714</v>
      </c>
    </row>
    <row r="1150" spans="1:28" x14ac:dyDescent="0.45">
      <c r="A1150" s="4" t="s">
        <v>1743</v>
      </c>
      <c r="B1150" s="4" t="s">
        <v>6245</v>
      </c>
      <c r="C1150" s="4" t="s">
        <v>1110</v>
      </c>
      <c r="D1150" s="4" t="s">
        <v>1509</v>
      </c>
      <c r="E1150" s="4" t="s">
        <v>96</v>
      </c>
      <c r="F1150" s="5">
        <v>44</v>
      </c>
      <c r="G1150" s="5">
        <v>50</v>
      </c>
      <c r="H1150" s="4" t="s">
        <v>1149</v>
      </c>
      <c r="I1150" s="10">
        <v>8</v>
      </c>
      <c r="J1150" s="34">
        <f t="shared" si="68"/>
        <v>6.9599999999999995E-2</v>
      </c>
      <c r="K1150" s="34">
        <f t="shared" si="69"/>
        <v>0.1</v>
      </c>
      <c r="L1150" s="34">
        <f t="shared" si="70"/>
        <v>0.4</v>
      </c>
      <c r="M1150" s="11" t="s">
        <v>4071</v>
      </c>
      <c r="N1150" s="11" t="s">
        <v>3891</v>
      </c>
      <c r="O1150" s="11" t="s">
        <v>3892</v>
      </c>
      <c r="P1150" s="11" t="s">
        <v>3893</v>
      </c>
      <c r="Q1150" s="12">
        <v>44</v>
      </c>
      <c r="R1150" s="12">
        <v>50</v>
      </c>
      <c r="S1150" s="12">
        <v>3</v>
      </c>
      <c r="T1150" s="13">
        <v>0.2</v>
      </c>
      <c r="U1150" s="13">
        <f t="shared" si="71"/>
        <v>-0.2</v>
      </c>
      <c r="V1150" s="14">
        <v>24.5</v>
      </c>
      <c r="W1150" s="14">
        <v>24.5</v>
      </c>
      <c r="X1150" s="11">
        <v>107</v>
      </c>
      <c r="Y1150" s="15" t="s">
        <v>3713</v>
      </c>
      <c r="Z1150" s="16">
        <v>16.5</v>
      </c>
      <c r="AA1150" s="17">
        <v>206.2</v>
      </c>
      <c r="AB1150" s="18" t="s">
        <v>3714</v>
      </c>
    </row>
    <row r="1151" spans="1:28" x14ac:dyDescent="0.45">
      <c r="A1151" s="2" t="s">
        <v>1744</v>
      </c>
      <c r="B1151" s="2" t="s">
        <v>6246</v>
      </c>
      <c r="C1151" s="2" t="s">
        <v>1110</v>
      </c>
      <c r="D1151" s="2" t="s">
        <v>1509</v>
      </c>
      <c r="E1151" s="2" t="s">
        <v>96</v>
      </c>
      <c r="F1151" s="3">
        <v>45.69</v>
      </c>
      <c r="G1151" s="3">
        <v>50.93</v>
      </c>
      <c r="H1151" s="2" t="s">
        <v>1127</v>
      </c>
      <c r="I1151" s="19">
        <v>8</v>
      </c>
      <c r="J1151" s="34">
        <f t="shared" si="68"/>
        <v>6.9599999999999995E-2</v>
      </c>
      <c r="K1151" s="34">
        <f t="shared" si="69"/>
        <v>0.1</v>
      </c>
      <c r="L1151" s="34">
        <f t="shared" si="70"/>
        <v>0.4</v>
      </c>
      <c r="M1151" s="20" t="s">
        <v>4072</v>
      </c>
      <c r="N1151" s="20" t="s">
        <v>3891</v>
      </c>
      <c r="O1151" s="20" t="s">
        <v>3892</v>
      </c>
      <c r="P1151" s="20" t="s">
        <v>3893</v>
      </c>
      <c r="Q1151" s="21">
        <v>46</v>
      </c>
      <c r="R1151" s="21">
        <v>51</v>
      </c>
      <c r="S1151" s="21">
        <v>2.5</v>
      </c>
      <c r="T1151" s="22">
        <v>0.2</v>
      </c>
      <c r="U1151" s="13">
        <f t="shared" si="71"/>
        <v>-0.2</v>
      </c>
      <c r="V1151" s="23">
        <v>24.5</v>
      </c>
      <c r="W1151" s="23">
        <v>24.5</v>
      </c>
      <c r="X1151" s="20">
        <v>72</v>
      </c>
      <c r="Y1151" s="24" t="s">
        <v>3713</v>
      </c>
      <c r="Z1151" s="16">
        <v>16.5</v>
      </c>
      <c r="AA1151" s="17">
        <v>206.2</v>
      </c>
      <c r="AB1151" s="25" t="s">
        <v>4073</v>
      </c>
    </row>
    <row r="1152" spans="1:28" x14ac:dyDescent="0.45">
      <c r="A1152" s="4" t="s">
        <v>1745</v>
      </c>
      <c r="B1152" s="4" t="s">
        <v>6247</v>
      </c>
      <c r="C1152" s="4" t="s">
        <v>1110</v>
      </c>
      <c r="D1152" s="4" t="s">
        <v>1509</v>
      </c>
      <c r="E1152" s="4" t="s">
        <v>96</v>
      </c>
      <c r="F1152" s="5">
        <v>45.7</v>
      </c>
      <c r="G1152" s="5">
        <v>52.7</v>
      </c>
      <c r="H1152" s="4" t="s">
        <v>1187</v>
      </c>
      <c r="I1152" s="10">
        <v>12</v>
      </c>
      <c r="J1152" s="34">
        <f t="shared" si="68"/>
        <v>0.10439999999999999</v>
      </c>
      <c r="K1152" s="34">
        <f t="shared" si="69"/>
        <v>0.16</v>
      </c>
      <c r="L1152" s="34">
        <f t="shared" si="70"/>
        <v>0.64</v>
      </c>
      <c r="M1152" s="11" t="s">
        <v>4074</v>
      </c>
      <c r="N1152" s="11" t="s">
        <v>3925</v>
      </c>
      <c r="O1152" s="11" t="s">
        <v>3892</v>
      </c>
      <c r="P1152" s="11" t="s">
        <v>3926</v>
      </c>
      <c r="Q1152" s="12">
        <v>45.7</v>
      </c>
      <c r="R1152" s="12">
        <v>52.7</v>
      </c>
      <c r="S1152" s="12">
        <v>3.5</v>
      </c>
      <c r="T1152" s="13">
        <v>0.27</v>
      </c>
      <c r="U1152" s="13">
        <f t="shared" si="71"/>
        <v>-0.37</v>
      </c>
      <c r="V1152" s="14">
        <v>33.08</v>
      </c>
      <c r="W1152" s="14">
        <v>33.08</v>
      </c>
      <c r="X1152" s="11">
        <v>7</v>
      </c>
      <c r="Y1152" s="15" t="s">
        <v>3713</v>
      </c>
      <c r="Z1152" s="16">
        <v>21.08</v>
      </c>
      <c r="AA1152" s="17">
        <v>175.7</v>
      </c>
      <c r="AB1152" s="18" t="s">
        <v>3714</v>
      </c>
    </row>
    <row r="1153" spans="1:28" x14ac:dyDescent="0.45">
      <c r="A1153" s="2" t="s">
        <v>1746</v>
      </c>
      <c r="B1153" s="2" t="s">
        <v>6248</v>
      </c>
      <c r="C1153" s="2" t="s">
        <v>1110</v>
      </c>
      <c r="D1153" s="2" t="s">
        <v>1509</v>
      </c>
      <c r="E1153" s="2" t="s">
        <v>96</v>
      </c>
      <c r="F1153" s="3">
        <v>45</v>
      </c>
      <c r="G1153" s="3">
        <v>49</v>
      </c>
      <c r="H1153" s="2" t="s">
        <v>1122</v>
      </c>
      <c r="I1153" s="19">
        <v>7</v>
      </c>
      <c r="J1153" s="34">
        <f t="shared" si="68"/>
        <v>6.0899999999999996E-2</v>
      </c>
      <c r="K1153" s="34">
        <f t="shared" si="69"/>
        <v>0.09</v>
      </c>
      <c r="L1153" s="34">
        <f t="shared" si="70"/>
        <v>0.36</v>
      </c>
      <c r="M1153" s="20" t="s">
        <v>4443</v>
      </c>
      <c r="N1153" s="20" t="s">
        <v>3891</v>
      </c>
      <c r="O1153" s="20" t="s">
        <v>3892</v>
      </c>
      <c r="P1153" s="20" t="s">
        <v>3893</v>
      </c>
      <c r="Q1153" s="21">
        <v>45</v>
      </c>
      <c r="R1153" s="21">
        <v>49</v>
      </c>
      <c r="S1153" s="21">
        <v>2</v>
      </c>
      <c r="T1153" s="22">
        <v>0.2</v>
      </c>
      <c r="U1153" s="13">
        <f t="shared" si="71"/>
        <v>-0.15999999999999998</v>
      </c>
      <c r="V1153" s="23">
        <v>24.5</v>
      </c>
      <c r="W1153" s="23">
        <v>24.5</v>
      </c>
      <c r="X1153" s="20">
        <v>203</v>
      </c>
      <c r="Y1153" s="24" t="s">
        <v>3713</v>
      </c>
      <c r="Z1153" s="16">
        <v>17.5</v>
      </c>
      <c r="AA1153" s="17">
        <v>250</v>
      </c>
      <c r="AB1153" s="25" t="s">
        <v>3714</v>
      </c>
    </row>
    <row r="1154" spans="1:28" x14ac:dyDescent="0.45">
      <c r="A1154" s="4" t="s">
        <v>1747</v>
      </c>
      <c r="B1154" s="4" t="s">
        <v>6249</v>
      </c>
      <c r="C1154" s="4" t="s">
        <v>1110</v>
      </c>
      <c r="D1154" s="4" t="s">
        <v>1509</v>
      </c>
      <c r="E1154" s="4" t="s">
        <v>96</v>
      </c>
      <c r="F1154" s="5">
        <v>45</v>
      </c>
      <c r="G1154" s="5">
        <v>50</v>
      </c>
      <c r="H1154" s="4" t="s">
        <v>1135</v>
      </c>
      <c r="I1154" s="10">
        <v>7</v>
      </c>
      <c r="J1154" s="34">
        <f t="shared" si="68"/>
        <v>6.0899999999999996E-2</v>
      </c>
      <c r="K1154" s="34">
        <f t="shared" si="69"/>
        <v>0.09</v>
      </c>
      <c r="L1154" s="34">
        <f t="shared" si="70"/>
        <v>0.36</v>
      </c>
      <c r="M1154" s="11" t="s">
        <v>4075</v>
      </c>
      <c r="N1154" s="11" t="s">
        <v>3891</v>
      </c>
      <c r="O1154" s="11" t="s">
        <v>3892</v>
      </c>
      <c r="P1154" s="11" t="s">
        <v>3893</v>
      </c>
      <c r="Q1154" s="12">
        <v>45</v>
      </c>
      <c r="R1154" s="12">
        <v>50</v>
      </c>
      <c r="S1154" s="12">
        <v>2.5</v>
      </c>
      <c r="T1154" s="13">
        <v>0.28999999999999998</v>
      </c>
      <c r="U1154" s="13">
        <f t="shared" si="71"/>
        <v>-7.0000000000000007E-2</v>
      </c>
      <c r="V1154" s="14">
        <v>35.520000000000003</v>
      </c>
      <c r="W1154" s="14">
        <v>35.520000000000003</v>
      </c>
      <c r="X1154" s="11">
        <v>405</v>
      </c>
      <c r="Y1154" s="15" t="s">
        <v>3713</v>
      </c>
      <c r="Z1154" s="16">
        <v>28.52</v>
      </c>
      <c r="AA1154" s="17">
        <v>407.4</v>
      </c>
      <c r="AB1154" s="18" t="s">
        <v>3714</v>
      </c>
    </row>
    <row r="1155" spans="1:28" x14ac:dyDescent="0.45">
      <c r="A1155" s="2" t="s">
        <v>1748</v>
      </c>
      <c r="B1155" s="2" t="s">
        <v>6250</v>
      </c>
      <c r="C1155" s="2" t="s">
        <v>1110</v>
      </c>
      <c r="D1155" s="2" t="s">
        <v>1509</v>
      </c>
      <c r="E1155" s="2" t="s">
        <v>96</v>
      </c>
      <c r="F1155" s="3">
        <v>45</v>
      </c>
      <c r="G1155" s="3">
        <v>51</v>
      </c>
      <c r="H1155" s="2" t="s">
        <v>1149</v>
      </c>
      <c r="I1155" s="19">
        <v>8</v>
      </c>
      <c r="J1155" s="34">
        <f t="shared" si="68"/>
        <v>6.9599999999999995E-2</v>
      </c>
      <c r="K1155" s="34">
        <f t="shared" si="69"/>
        <v>0.1</v>
      </c>
      <c r="L1155" s="34">
        <f t="shared" si="70"/>
        <v>0.4</v>
      </c>
      <c r="M1155" s="20" t="s">
        <v>4076</v>
      </c>
      <c r="N1155" s="20" t="s">
        <v>3891</v>
      </c>
      <c r="O1155" s="20" t="s">
        <v>3892</v>
      </c>
      <c r="P1155" s="20" t="s">
        <v>3893</v>
      </c>
      <c r="Q1155" s="21">
        <v>45</v>
      </c>
      <c r="R1155" s="21">
        <v>51</v>
      </c>
      <c r="S1155" s="21">
        <v>3</v>
      </c>
      <c r="T1155" s="22">
        <v>0.27</v>
      </c>
      <c r="U1155" s="13">
        <f t="shared" si="71"/>
        <v>-0.13</v>
      </c>
      <c r="V1155" s="23">
        <v>33.08</v>
      </c>
      <c r="W1155" s="23">
        <v>33.08</v>
      </c>
      <c r="X1155" s="20">
        <v>415</v>
      </c>
      <c r="Y1155" s="24" t="s">
        <v>3713</v>
      </c>
      <c r="Z1155" s="16">
        <v>25.08</v>
      </c>
      <c r="AA1155" s="17">
        <v>313.5</v>
      </c>
      <c r="AB1155" s="25" t="s">
        <v>3714</v>
      </c>
    </row>
    <row r="1156" spans="1:28" x14ac:dyDescent="0.45">
      <c r="A1156" s="4" t="s">
        <v>1749</v>
      </c>
      <c r="B1156" s="4" t="s">
        <v>6251</v>
      </c>
      <c r="C1156" s="4" t="s">
        <v>1110</v>
      </c>
      <c r="D1156" s="4" t="s">
        <v>1509</v>
      </c>
      <c r="E1156" s="4" t="s">
        <v>96</v>
      </c>
      <c r="F1156" s="5">
        <v>45</v>
      </c>
      <c r="G1156" s="5">
        <v>55</v>
      </c>
      <c r="H1156" s="4" t="s">
        <v>1245</v>
      </c>
      <c r="I1156" s="10">
        <v>17</v>
      </c>
      <c r="J1156" s="34">
        <f t="shared" si="68"/>
        <v>0.14789999999999998</v>
      </c>
      <c r="K1156" s="34">
        <f t="shared" si="69"/>
        <v>0.22</v>
      </c>
      <c r="L1156" s="34">
        <f t="shared" si="70"/>
        <v>0.88</v>
      </c>
      <c r="M1156" s="11" t="s">
        <v>4444</v>
      </c>
      <c r="N1156" s="11" t="s">
        <v>3891</v>
      </c>
      <c r="O1156" s="11" t="s">
        <v>3892</v>
      </c>
      <c r="P1156" s="11" t="s">
        <v>3893</v>
      </c>
      <c r="Q1156" s="12">
        <v>45</v>
      </c>
      <c r="R1156" s="12">
        <v>55</v>
      </c>
      <c r="S1156" s="12">
        <v>5</v>
      </c>
      <c r="T1156" s="13">
        <v>0.37</v>
      </c>
      <c r="U1156" s="13">
        <f t="shared" si="71"/>
        <v>-0.51</v>
      </c>
      <c r="V1156" s="14">
        <v>45.32</v>
      </c>
      <c r="W1156" s="14">
        <v>45.32</v>
      </c>
      <c r="X1156" s="11">
        <v>95</v>
      </c>
      <c r="Y1156" s="15" t="s">
        <v>3713</v>
      </c>
      <c r="Z1156" s="16">
        <v>28.32</v>
      </c>
      <c r="AA1156" s="17">
        <v>166.6</v>
      </c>
      <c r="AB1156" s="18" t="s">
        <v>3714</v>
      </c>
    </row>
    <row r="1157" spans="1:28" x14ac:dyDescent="0.45">
      <c r="A1157" s="2" t="s">
        <v>1750</v>
      </c>
      <c r="B1157" s="2" t="s">
        <v>6252</v>
      </c>
      <c r="C1157" s="2" t="s">
        <v>1110</v>
      </c>
      <c r="D1157" s="2" t="s">
        <v>1509</v>
      </c>
      <c r="E1157" s="2" t="s">
        <v>96</v>
      </c>
      <c r="F1157" s="3">
        <v>46.99</v>
      </c>
      <c r="G1157" s="3">
        <v>57.650000000000013</v>
      </c>
      <c r="H1157" s="2" t="s">
        <v>1201</v>
      </c>
      <c r="I1157" s="19">
        <v>18</v>
      </c>
      <c r="J1157" s="34">
        <f t="shared" ref="J1157:J1220" si="72">I1157*0.0087</f>
        <v>0.15659999999999999</v>
      </c>
      <c r="K1157" s="34">
        <f t="shared" ref="K1157:K1220" si="73">ROUND(J1157*1.5,2)</f>
        <v>0.23</v>
      </c>
      <c r="L1157" s="34">
        <f t="shared" ref="L1157:L1220" si="74">K1157*4</f>
        <v>0.92</v>
      </c>
      <c r="M1157" s="20" t="s">
        <v>4077</v>
      </c>
      <c r="N1157" s="20" t="s">
        <v>3898</v>
      </c>
      <c r="O1157" s="20" t="s">
        <v>3892</v>
      </c>
      <c r="P1157" s="20" t="s">
        <v>3899</v>
      </c>
      <c r="Q1157" s="21">
        <v>46.99</v>
      </c>
      <c r="R1157" s="21">
        <v>57.658000000000001</v>
      </c>
      <c r="S1157" s="21">
        <v>5.3339999999999996</v>
      </c>
      <c r="T1157" s="22">
        <v>0.81</v>
      </c>
      <c r="U1157" s="13">
        <f t="shared" ref="U1157:U1220" si="75">T1157-L1157</f>
        <v>-0.10999999999999999</v>
      </c>
      <c r="V1157" s="23">
        <v>99.22</v>
      </c>
      <c r="W1157" s="23">
        <v>99.22</v>
      </c>
      <c r="X1157" s="20">
        <v>2</v>
      </c>
      <c r="Y1157" s="24" t="s">
        <v>3737</v>
      </c>
      <c r="Z1157" s="16">
        <v>81.22</v>
      </c>
      <c r="AA1157" s="17">
        <v>451.2</v>
      </c>
      <c r="AB1157" s="25" t="s">
        <v>4032</v>
      </c>
    </row>
    <row r="1158" spans="1:28" x14ac:dyDescent="0.45">
      <c r="A1158" s="4" t="s">
        <v>1751</v>
      </c>
      <c r="B1158" s="4" t="s">
        <v>6253</v>
      </c>
      <c r="C1158" s="4" t="s">
        <v>1110</v>
      </c>
      <c r="D1158" s="4" t="s">
        <v>1509</v>
      </c>
      <c r="E1158" s="4" t="s">
        <v>96</v>
      </c>
      <c r="F1158" s="5">
        <v>46</v>
      </c>
      <c r="G1158" s="5">
        <v>52</v>
      </c>
      <c r="H1158" s="4" t="s">
        <v>1149</v>
      </c>
      <c r="I1158" s="10">
        <v>8</v>
      </c>
      <c r="J1158" s="34">
        <f t="shared" si="72"/>
        <v>6.9599999999999995E-2</v>
      </c>
      <c r="K1158" s="34">
        <f t="shared" si="73"/>
        <v>0.1</v>
      </c>
      <c r="L1158" s="34">
        <f t="shared" si="74"/>
        <v>0.4</v>
      </c>
      <c r="M1158" s="11" t="s">
        <v>4445</v>
      </c>
      <c r="N1158" s="11" t="s">
        <v>3891</v>
      </c>
      <c r="O1158" s="11" t="s">
        <v>3892</v>
      </c>
      <c r="P1158" s="11" t="s">
        <v>3893</v>
      </c>
      <c r="Q1158" s="12">
        <v>46</v>
      </c>
      <c r="R1158" s="12">
        <v>52</v>
      </c>
      <c r="S1158" s="12">
        <v>3</v>
      </c>
      <c r="T1158" s="13">
        <v>0.27</v>
      </c>
      <c r="U1158" s="13">
        <f t="shared" si="75"/>
        <v>-0.13</v>
      </c>
      <c r="V1158" s="14">
        <v>33.08</v>
      </c>
      <c r="W1158" s="14">
        <v>33.08</v>
      </c>
      <c r="X1158" s="11">
        <v>136</v>
      </c>
      <c r="Y1158" s="15" t="s">
        <v>3713</v>
      </c>
      <c r="Z1158" s="16">
        <v>25.08</v>
      </c>
      <c r="AA1158" s="17">
        <v>313.5</v>
      </c>
      <c r="AB1158" s="18" t="s">
        <v>3714</v>
      </c>
    </row>
    <row r="1159" spans="1:28" x14ac:dyDescent="0.45">
      <c r="A1159" s="2" t="s">
        <v>1752</v>
      </c>
      <c r="B1159" s="2" t="s">
        <v>6254</v>
      </c>
      <c r="C1159" s="2" t="s">
        <v>1110</v>
      </c>
      <c r="D1159" s="2" t="s">
        <v>1509</v>
      </c>
      <c r="E1159" s="2" t="s">
        <v>96</v>
      </c>
      <c r="F1159" s="3">
        <v>47.22</v>
      </c>
      <c r="G1159" s="3">
        <v>54.28</v>
      </c>
      <c r="H1159" s="2" t="s">
        <v>1156</v>
      </c>
      <c r="I1159" s="19">
        <v>10</v>
      </c>
      <c r="J1159" s="34">
        <f t="shared" si="72"/>
        <v>8.6999999999999994E-2</v>
      </c>
      <c r="K1159" s="34">
        <f t="shared" si="73"/>
        <v>0.13</v>
      </c>
      <c r="L1159" s="34">
        <f t="shared" si="74"/>
        <v>0.52</v>
      </c>
      <c r="M1159" s="20" t="s">
        <v>4078</v>
      </c>
      <c r="N1159" s="20" t="s">
        <v>3898</v>
      </c>
      <c r="O1159" s="20" t="s">
        <v>3892</v>
      </c>
      <c r="P1159" s="20" t="s">
        <v>3899</v>
      </c>
      <c r="Q1159" s="21">
        <v>47.244</v>
      </c>
      <c r="R1159" s="21">
        <v>54.356000000000002</v>
      </c>
      <c r="S1159" s="21">
        <v>3.556</v>
      </c>
      <c r="T1159" s="22">
        <v>0.23</v>
      </c>
      <c r="U1159" s="13">
        <f t="shared" si="75"/>
        <v>-0.29000000000000004</v>
      </c>
      <c r="V1159" s="23">
        <v>28.18</v>
      </c>
      <c r="W1159" s="23">
        <v>28.18</v>
      </c>
      <c r="X1159" s="20">
        <v>75</v>
      </c>
      <c r="Y1159" s="24" t="s">
        <v>3737</v>
      </c>
      <c r="Z1159" s="16">
        <v>18.18</v>
      </c>
      <c r="AA1159" s="17">
        <v>181.8</v>
      </c>
      <c r="AB1159" s="25" t="s">
        <v>3945</v>
      </c>
    </row>
    <row r="1160" spans="1:28" x14ac:dyDescent="0.45">
      <c r="A1160" s="4" t="s">
        <v>1753</v>
      </c>
      <c r="B1160" s="4" t="s">
        <v>6255</v>
      </c>
      <c r="C1160" s="4" t="s">
        <v>1110</v>
      </c>
      <c r="D1160" s="4" t="s">
        <v>1509</v>
      </c>
      <c r="E1160" s="4" t="s">
        <v>96</v>
      </c>
      <c r="F1160" s="5">
        <v>47.29</v>
      </c>
      <c r="G1160" s="5">
        <v>52.53</v>
      </c>
      <c r="H1160" s="4" t="s">
        <v>1127</v>
      </c>
      <c r="I1160" s="10">
        <v>8</v>
      </c>
      <c r="J1160" s="34">
        <f t="shared" si="72"/>
        <v>6.9599999999999995E-2</v>
      </c>
      <c r="K1160" s="34">
        <f t="shared" si="73"/>
        <v>0.1</v>
      </c>
      <c r="L1160" s="34">
        <f t="shared" si="74"/>
        <v>0.4</v>
      </c>
      <c r="M1160" s="11" t="s">
        <v>4079</v>
      </c>
      <c r="N1160" s="11" t="s">
        <v>3891</v>
      </c>
      <c r="O1160" s="11" t="s">
        <v>3892</v>
      </c>
      <c r="P1160" s="11" t="s">
        <v>3893</v>
      </c>
      <c r="Q1160" s="12">
        <v>47.244</v>
      </c>
      <c r="R1160" s="12">
        <v>52.578000000000003</v>
      </c>
      <c r="S1160" s="12">
        <v>2.54</v>
      </c>
      <c r="T1160" s="13">
        <v>0.22</v>
      </c>
      <c r="U1160" s="13">
        <f t="shared" si="75"/>
        <v>-0.18000000000000002</v>
      </c>
      <c r="V1160" s="14">
        <v>26.95</v>
      </c>
      <c r="W1160" s="14">
        <v>26.95</v>
      </c>
      <c r="X1160" s="11">
        <v>544</v>
      </c>
      <c r="Y1160" s="15" t="s">
        <v>3737</v>
      </c>
      <c r="Z1160" s="16">
        <v>18.95</v>
      </c>
      <c r="AA1160" s="17">
        <v>236.9</v>
      </c>
      <c r="AB1160" s="18" t="s">
        <v>3920</v>
      </c>
    </row>
    <row r="1161" spans="1:28" x14ac:dyDescent="0.45">
      <c r="A1161" s="2" t="s">
        <v>1754</v>
      </c>
      <c r="B1161" s="2" t="s">
        <v>6256</v>
      </c>
      <c r="C1161" s="2" t="s">
        <v>1110</v>
      </c>
      <c r="D1161" s="2" t="s">
        <v>1509</v>
      </c>
      <c r="E1161" s="2" t="s">
        <v>96</v>
      </c>
      <c r="F1161" s="3">
        <v>47.35</v>
      </c>
      <c r="G1161" s="3">
        <v>50.91</v>
      </c>
      <c r="H1161" s="2" t="s">
        <v>1114</v>
      </c>
      <c r="I1161" s="19">
        <v>5</v>
      </c>
      <c r="J1161" s="34">
        <f t="shared" si="72"/>
        <v>4.3499999999999997E-2</v>
      </c>
      <c r="K1161" s="34">
        <f t="shared" si="73"/>
        <v>7.0000000000000007E-2</v>
      </c>
      <c r="L1161" s="34">
        <f t="shared" si="74"/>
        <v>0.28000000000000003</v>
      </c>
      <c r="M1161" s="20" t="s">
        <v>4080</v>
      </c>
      <c r="N1161" s="20" t="s">
        <v>3891</v>
      </c>
      <c r="O1161" s="20" t="s">
        <v>3892</v>
      </c>
      <c r="P1161" s="20" t="s">
        <v>3893</v>
      </c>
      <c r="Q1161" s="21">
        <v>47</v>
      </c>
      <c r="R1161" s="21">
        <v>51</v>
      </c>
      <c r="S1161" s="21">
        <v>2</v>
      </c>
      <c r="T1161" s="22">
        <v>0.24</v>
      </c>
      <c r="U1161" s="13">
        <f t="shared" si="75"/>
        <v>-4.0000000000000036E-2</v>
      </c>
      <c r="V1161" s="23">
        <v>29.4</v>
      </c>
      <c r="W1161" s="23">
        <v>29.4</v>
      </c>
      <c r="X1161" s="20">
        <v>1730</v>
      </c>
      <c r="Y1161" s="24" t="s">
        <v>3713</v>
      </c>
      <c r="Z1161" s="16">
        <v>24.4</v>
      </c>
      <c r="AA1161" s="17">
        <v>488</v>
      </c>
      <c r="AB1161" s="25" t="s">
        <v>4081</v>
      </c>
    </row>
    <row r="1162" spans="1:28" x14ac:dyDescent="0.45">
      <c r="A1162" s="4" t="s">
        <v>1755</v>
      </c>
      <c r="B1162" s="4" t="s">
        <v>6257</v>
      </c>
      <c r="C1162" s="4" t="s">
        <v>1110</v>
      </c>
      <c r="D1162" s="4" t="s">
        <v>1509</v>
      </c>
      <c r="E1162" s="4" t="s">
        <v>96</v>
      </c>
      <c r="F1162" s="5">
        <v>47.7</v>
      </c>
      <c r="G1162" s="5">
        <v>54.7</v>
      </c>
      <c r="H1162" s="4" t="s">
        <v>1187</v>
      </c>
      <c r="I1162" s="10">
        <v>13</v>
      </c>
      <c r="J1162" s="34">
        <f t="shared" si="72"/>
        <v>0.11309999999999999</v>
      </c>
      <c r="K1162" s="34">
        <f t="shared" si="73"/>
        <v>0.17</v>
      </c>
      <c r="L1162" s="34">
        <f t="shared" si="74"/>
        <v>0.68</v>
      </c>
      <c r="M1162" s="11" t="s">
        <v>4446</v>
      </c>
      <c r="N1162" s="11" t="s">
        <v>3925</v>
      </c>
      <c r="O1162" s="11" t="s">
        <v>3892</v>
      </c>
      <c r="P1162" s="11" t="s">
        <v>3926</v>
      </c>
      <c r="Q1162" s="12">
        <v>47.7</v>
      </c>
      <c r="R1162" s="12">
        <v>54.7</v>
      </c>
      <c r="S1162" s="12">
        <v>3.5</v>
      </c>
      <c r="T1162" s="13">
        <v>0.37</v>
      </c>
      <c r="U1162" s="13">
        <f t="shared" si="75"/>
        <v>-0.31000000000000005</v>
      </c>
      <c r="V1162" s="14">
        <v>45.32</v>
      </c>
      <c r="W1162" s="14">
        <v>45.32</v>
      </c>
      <c r="X1162" s="11">
        <v>43</v>
      </c>
      <c r="Y1162" s="15" t="s">
        <v>3713</v>
      </c>
      <c r="Z1162" s="16">
        <v>32.32</v>
      </c>
      <c r="AA1162" s="17">
        <v>248.6</v>
      </c>
      <c r="AB1162" s="18" t="s">
        <v>3714</v>
      </c>
    </row>
    <row r="1163" spans="1:28" x14ac:dyDescent="0.45">
      <c r="A1163" s="2" t="s">
        <v>1756</v>
      </c>
      <c r="B1163" s="2" t="s">
        <v>6258</v>
      </c>
      <c r="C1163" s="2" t="s">
        <v>1110</v>
      </c>
      <c r="D1163" s="2" t="s">
        <v>1509</v>
      </c>
      <c r="E1163" s="2" t="s">
        <v>96</v>
      </c>
      <c r="F1163" s="3">
        <v>47</v>
      </c>
      <c r="G1163" s="3">
        <v>55</v>
      </c>
      <c r="H1163" s="2" t="s">
        <v>1216</v>
      </c>
      <c r="I1163" s="19">
        <v>13</v>
      </c>
      <c r="J1163" s="34">
        <f t="shared" si="72"/>
        <v>0.11309999999999999</v>
      </c>
      <c r="K1163" s="34">
        <f t="shared" si="73"/>
        <v>0.17</v>
      </c>
      <c r="L1163" s="34">
        <f t="shared" si="74"/>
        <v>0.68</v>
      </c>
      <c r="M1163" s="20" t="s">
        <v>4082</v>
      </c>
      <c r="N1163" s="20" t="s">
        <v>3891</v>
      </c>
      <c r="O1163" s="20" t="s">
        <v>3892</v>
      </c>
      <c r="P1163" s="20" t="s">
        <v>3893</v>
      </c>
      <c r="Q1163" s="21">
        <v>47</v>
      </c>
      <c r="R1163" s="21">
        <v>55</v>
      </c>
      <c r="S1163" s="21">
        <v>4</v>
      </c>
      <c r="T1163" s="22">
        <v>1.2</v>
      </c>
      <c r="U1163" s="13">
        <f t="shared" si="75"/>
        <v>0.51999999999999991</v>
      </c>
      <c r="V1163" s="23">
        <v>147</v>
      </c>
      <c r="W1163" s="23">
        <v>147</v>
      </c>
      <c r="X1163" s="20">
        <v>87</v>
      </c>
      <c r="Y1163" s="24" t="s">
        <v>3713</v>
      </c>
      <c r="Z1163" s="16">
        <v>134</v>
      </c>
      <c r="AA1163" s="17">
        <v>1030.8</v>
      </c>
      <c r="AB1163" s="25" t="s">
        <v>3714</v>
      </c>
    </row>
    <row r="1164" spans="1:28" x14ac:dyDescent="0.45">
      <c r="A1164" s="4" t="s">
        <v>1757</v>
      </c>
      <c r="B1164" s="4" t="s">
        <v>6259</v>
      </c>
      <c r="C1164" s="4" t="s">
        <v>1110</v>
      </c>
      <c r="D1164" s="4" t="s">
        <v>1509</v>
      </c>
      <c r="E1164" s="4" t="s">
        <v>96</v>
      </c>
      <c r="F1164" s="5">
        <v>48.7</v>
      </c>
      <c r="G1164" s="5">
        <v>55.7</v>
      </c>
      <c r="H1164" s="4" t="s">
        <v>1187</v>
      </c>
      <c r="I1164" s="10">
        <v>13</v>
      </c>
      <c r="J1164" s="34">
        <f t="shared" si="72"/>
        <v>0.11309999999999999</v>
      </c>
      <c r="K1164" s="34">
        <f t="shared" si="73"/>
        <v>0.17</v>
      </c>
      <c r="L1164" s="34">
        <f t="shared" si="74"/>
        <v>0.68</v>
      </c>
      <c r="M1164" s="11" t="s">
        <v>4083</v>
      </c>
      <c r="N1164" s="11" t="s">
        <v>3891</v>
      </c>
      <c r="O1164" s="11" t="s">
        <v>3892</v>
      </c>
      <c r="P1164" s="11" t="s">
        <v>3893</v>
      </c>
      <c r="Q1164" s="12">
        <v>48.7</v>
      </c>
      <c r="R1164" s="12">
        <v>55.7</v>
      </c>
      <c r="S1164" s="12">
        <v>3.5</v>
      </c>
      <c r="T1164" s="13">
        <v>0.26</v>
      </c>
      <c r="U1164" s="13">
        <f t="shared" si="75"/>
        <v>-0.42000000000000004</v>
      </c>
      <c r="V1164" s="14">
        <v>31.85</v>
      </c>
      <c r="W1164" s="14">
        <v>31.85</v>
      </c>
      <c r="X1164" s="11">
        <v>41</v>
      </c>
      <c r="Y1164" s="15" t="s">
        <v>3713</v>
      </c>
      <c r="Z1164" s="16">
        <v>18.850000000000001</v>
      </c>
      <c r="AA1164" s="17">
        <v>145</v>
      </c>
      <c r="AB1164" s="18" t="s">
        <v>3714</v>
      </c>
    </row>
    <row r="1165" spans="1:28" x14ac:dyDescent="0.45">
      <c r="A1165" s="2" t="s">
        <v>1758</v>
      </c>
      <c r="B1165" s="2" t="s">
        <v>6260</v>
      </c>
      <c r="C1165" s="2" t="s">
        <v>1110</v>
      </c>
      <c r="D1165" s="2" t="s">
        <v>1509</v>
      </c>
      <c r="E1165" s="2" t="s">
        <v>96</v>
      </c>
      <c r="F1165" s="3">
        <v>48.9</v>
      </c>
      <c r="G1165" s="3">
        <v>54.14</v>
      </c>
      <c r="H1165" s="2" t="s">
        <v>1127</v>
      </c>
      <c r="I1165" s="19">
        <v>8</v>
      </c>
      <c r="J1165" s="34">
        <f t="shared" si="72"/>
        <v>6.9599999999999995E-2</v>
      </c>
      <c r="K1165" s="34">
        <f t="shared" si="73"/>
        <v>0.1</v>
      </c>
      <c r="L1165" s="34">
        <f t="shared" si="74"/>
        <v>0.4</v>
      </c>
      <c r="M1165" s="20" t="s">
        <v>4084</v>
      </c>
      <c r="N1165" s="20" t="s">
        <v>3891</v>
      </c>
      <c r="O1165" s="20" t="s">
        <v>3892</v>
      </c>
      <c r="P1165" s="20" t="s">
        <v>3893</v>
      </c>
      <c r="Q1165" s="21">
        <v>49</v>
      </c>
      <c r="R1165" s="21">
        <v>54</v>
      </c>
      <c r="S1165" s="21">
        <v>2.5</v>
      </c>
      <c r="T1165" s="22">
        <v>0.2</v>
      </c>
      <c r="U1165" s="13">
        <f t="shared" si="75"/>
        <v>-0.2</v>
      </c>
      <c r="V1165" s="23">
        <v>24.5</v>
      </c>
      <c r="W1165" s="23">
        <v>24.5</v>
      </c>
      <c r="X1165" s="20">
        <v>1187</v>
      </c>
      <c r="Y1165" s="24" t="s">
        <v>3713</v>
      </c>
      <c r="Z1165" s="16">
        <v>16.5</v>
      </c>
      <c r="AA1165" s="17">
        <v>206.2</v>
      </c>
      <c r="AB1165" s="25" t="s">
        <v>4085</v>
      </c>
    </row>
    <row r="1166" spans="1:28" x14ac:dyDescent="0.45">
      <c r="A1166" s="4" t="s">
        <v>1759</v>
      </c>
      <c r="B1166" s="4" t="s">
        <v>6261</v>
      </c>
      <c r="C1166" s="4" t="s">
        <v>1110</v>
      </c>
      <c r="D1166" s="4" t="s">
        <v>1509</v>
      </c>
      <c r="E1166" s="4" t="s">
        <v>96</v>
      </c>
      <c r="F1166" s="5">
        <v>48</v>
      </c>
      <c r="G1166" s="5">
        <v>53</v>
      </c>
      <c r="H1166" s="4" t="s">
        <v>1135</v>
      </c>
      <c r="I1166" s="10">
        <v>8</v>
      </c>
      <c r="J1166" s="34">
        <f t="shared" si="72"/>
        <v>6.9599999999999995E-2</v>
      </c>
      <c r="K1166" s="34">
        <f t="shared" si="73"/>
        <v>0.1</v>
      </c>
      <c r="L1166" s="34">
        <f t="shared" si="74"/>
        <v>0.4</v>
      </c>
      <c r="M1166" s="11" t="s">
        <v>4447</v>
      </c>
      <c r="N1166" s="11" t="s">
        <v>3891</v>
      </c>
      <c r="O1166" s="11" t="s">
        <v>3892</v>
      </c>
      <c r="P1166" s="11" t="s">
        <v>3893</v>
      </c>
      <c r="Q1166" s="12">
        <v>48</v>
      </c>
      <c r="R1166" s="12">
        <v>53</v>
      </c>
      <c r="S1166" s="12">
        <v>2.5</v>
      </c>
      <c r="T1166" s="13">
        <v>0.2</v>
      </c>
      <c r="U1166" s="13">
        <f t="shared" si="75"/>
        <v>-0.2</v>
      </c>
      <c r="V1166" s="14">
        <v>24.5</v>
      </c>
      <c r="W1166" s="14">
        <v>24.5</v>
      </c>
      <c r="X1166" s="11">
        <v>39</v>
      </c>
      <c r="Y1166" s="15" t="s">
        <v>3713</v>
      </c>
      <c r="Z1166" s="16">
        <v>16.5</v>
      </c>
      <c r="AA1166" s="17">
        <v>206.2</v>
      </c>
      <c r="AB1166" s="18" t="s">
        <v>3714</v>
      </c>
    </row>
    <row r="1167" spans="1:28" x14ac:dyDescent="0.45">
      <c r="A1167" s="2" t="s">
        <v>1760</v>
      </c>
      <c r="B1167" s="2" t="s">
        <v>6262</v>
      </c>
      <c r="C1167" s="2" t="s">
        <v>1110</v>
      </c>
      <c r="D1167" s="2" t="s">
        <v>1509</v>
      </c>
      <c r="E1167" s="2" t="s">
        <v>96</v>
      </c>
      <c r="F1167" s="3">
        <v>48</v>
      </c>
      <c r="G1167" s="3">
        <v>54</v>
      </c>
      <c r="H1167" s="2" t="s">
        <v>1149</v>
      </c>
      <c r="I1167" s="19">
        <v>10</v>
      </c>
      <c r="J1167" s="34">
        <f t="shared" si="72"/>
        <v>8.6999999999999994E-2</v>
      </c>
      <c r="K1167" s="34">
        <f t="shared" si="73"/>
        <v>0.13</v>
      </c>
      <c r="L1167" s="34">
        <f t="shared" si="74"/>
        <v>0.52</v>
      </c>
      <c r="M1167" s="20" t="s">
        <v>4086</v>
      </c>
      <c r="N1167" s="20" t="s">
        <v>3891</v>
      </c>
      <c r="O1167" s="20" t="s">
        <v>3892</v>
      </c>
      <c r="P1167" s="20" t="s">
        <v>3893</v>
      </c>
      <c r="Q1167" s="21">
        <v>48</v>
      </c>
      <c r="R1167" s="21">
        <v>54</v>
      </c>
      <c r="S1167" s="21">
        <v>3</v>
      </c>
      <c r="T1167" s="22">
        <v>0.2</v>
      </c>
      <c r="U1167" s="13">
        <f t="shared" si="75"/>
        <v>-0.32</v>
      </c>
      <c r="V1167" s="23">
        <v>24.5</v>
      </c>
      <c r="W1167" s="23">
        <v>24.5</v>
      </c>
      <c r="X1167" s="20">
        <v>205</v>
      </c>
      <c r="Y1167" s="24" t="s">
        <v>3713</v>
      </c>
      <c r="Z1167" s="16">
        <v>14.5</v>
      </c>
      <c r="AA1167" s="17">
        <v>145</v>
      </c>
      <c r="AB1167" s="25" t="s">
        <v>3714</v>
      </c>
    </row>
    <row r="1168" spans="1:28" x14ac:dyDescent="0.45">
      <c r="A1168" s="4" t="s">
        <v>1761</v>
      </c>
      <c r="B1168" s="4" t="s">
        <v>6263</v>
      </c>
      <c r="C1168" s="4" t="s">
        <v>1110</v>
      </c>
      <c r="D1168" s="4" t="s">
        <v>1509</v>
      </c>
      <c r="E1168" s="4" t="s">
        <v>96</v>
      </c>
      <c r="F1168" s="5">
        <v>48</v>
      </c>
      <c r="G1168" s="5">
        <v>58</v>
      </c>
      <c r="H1168" s="4" t="s">
        <v>1245</v>
      </c>
      <c r="I1168" s="10">
        <v>20</v>
      </c>
      <c r="J1168" s="34">
        <f t="shared" si="72"/>
        <v>0.17399999999999999</v>
      </c>
      <c r="K1168" s="34">
        <f t="shared" si="73"/>
        <v>0.26</v>
      </c>
      <c r="L1168" s="34">
        <f t="shared" si="74"/>
        <v>1.04</v>
      </c>
      <c r="M1168" s="11" t="s">
        <v>4448</v>
      </c>
      <c r="N1168" s="11" t="s">
        <v>3891</v>
      </c>
      <c r="O1168" s="11" t="s">
        <v>3892</v>
      </c>
      <c r="P1168" s="11" t="s">
        <v>3893</v>
      </c>
      <c r="Q1168" s="12">
        <v>48</v>
      </c>
      <c r="R1168" s="12">
        <v>58</v>
      </c>
      <c r="S1168" s="12">
        <v>5</v>
      </c>
      <c r="T1168" s="13">
        <v>0.39</v>
      </c>
      <c r="U1168" s="13">
        <f t="shared" si="75"/>
        <v>-0.65</v>
      </c>
      <c r="V1168" s="14">
        <v>47.78</v>
      </c>
      <c r="W1168" s="14">
        <v>47.78</v>
      </c>
      <c r="X1168" s="11">
        <v>120</v>
      </c>
      <c r="Y1168" s="15" t="s">
        <v>3713</v>
      </c>
      <c r="Z1168" s="16">
        <v>27.78</v>
      </c>
      <c r="AA1168" s="17">
        <v>138.9</v>
      </c>
      <c r="AB1168" s="18" t="s">
        <v>3714</v>
      </c>
    </row>
    <row r="1169" spans="1:28" x14ac:dyDescent="0.45">
      <c r="A1169" s="2" t="s">
        <v>1762</v>
      </c>
      <c r="B1169" s="2" t="s">
        <v>6264</v>
      </c>
      <c r="C1169" s="2" t="s">
        <v>1110</v>
      </c>
      <c r="D1169" s="2" t="s">
        <v>1509</v>
      </c>
      <c r="E1169" s="2" t="s">
        <v>96</v>
      </c>
      <c r="F1169" s="3">
        <v>49.2</v>
      </c>
      <c r="G1169" s="3">
        <v>60.6</v>
      </c>
      <c r="H1169" s="2" t="s">
        <v>1297</v>
      </c>
      <c r="I1169" s="19">
        <v>27</v>
      </c>
      <c r="J1169" s="34">
        <f t="shared" si="72"/>
        <v>0.2349</v>
      </c>
      <c r="K1169" s="34">
        <f t="shared" si="73"/>
        <v>0.35</v>
      </c>
      <c r="L1169" s="34">
        <f t="shared" si="74"/>
        <v>1.4</v>
      </c>
      <c r="M1169" s="20" t="s">
        <v>4449</v>
      </c>
      <c r="N1169" s="20" t="s">
        <v>3891</v>
      </c>
      <c r="O1169" s="20" t="s">
        <v>3892</v>
      </c>
      <c r="P1169" s="20" t="s">
        <v>3893</v>
      </c>
      <c r="Q1169" s="21">
        <v>49.3</v>
      </c>
      <c r="R1169" s="21">
        <v>60.7</v>
      </c>
      <c r="S1169" s="21">
        <v>5.7</v>
      </c>
      <c r="T1169" s="22">
        <v>0.4</v>
      </c>
      <c r="U1169" s="13">
        <f t="shared" si="75"/>
        <v>-0.99999999999999989</v>
      </c>
      <c r="V1169" s="23">
        <v>49</v>
      </c>
      <c r="W1169" s="23">
        <v>49</v>
      </c>
      <c r="X1169" s="20">
        <v>16</v>
      </c>
      <c r="Y1169" s="24" t="s">
        <v>3713</v>
      </c>
      <c r="Z1169" s="16">
        <v>22</v>
      </c>
      <c r="AA1169" s="17">
        <v>81.5</v>
      </c>
      <c r="AB1169" s="25" t="s">
        <v>4119</v>
      </c>
    </row>
    <row r="1170" spans="1:28" x14ac:dyDescent="0.45">
      <c r="A1170" s="4" t="s">
        <v>1763</v>
      </c>
      <c r="B1170" s="4" t="s">
        <v>6265</v>
      </c>
      <c r="C1170" s="4" t="s">
        <v>1110</v>
      </c>
      <c r="D1170" s="4" t="s">
        <v>1509</v>
      </c>
      <c r="E1170" s="4" t="s">
        <v>96</v>
      </c>
      <c r="F1170" s="5">
        <v>49.4</v>
      </c>
      <c r="G1170" s="5">
        <v>55.6</v>
      </c>
      <c r="H1170" s="4" t="s">
        <v>1221</v>
      </c>
      <c r="I1170" s="10">
        <v>13</v>
      </c>
      <c r="J1170" s="34">
        <f t="shared" si="72"/>
        <v>0.11309999999999999</v>
      </c>
      <c r="K1170" s="34">
        <f t="shared" si="73"/>
        <v>0.17</v>
      </c>
      <c r="L1170" s="34">
        <f t="shared" si="74"/>
        <v>0.68</v>
      </c>
      <c r="M1170" s="11" t="s">
        <v>4450</v>
      </c>
      <c r="N1170" s="11" t="s">
        <v>3891</v>
      </c>
      <c r="O1170" s="11" t="s">
        <v>3892</v>
      </c>
      <c r="P1170" s="11" t="s">
        <v>3893</v>
      </c>
      <c r="Q1170" s="12">
        <v>49.4</v>
      </c>
      <c r="R1170" s="12">
        <v>55.6</v>
      </c>
      <c r="S1170" s="12">
        <v>3.1</v>
      </c>
      <c r="T1170" s="13">
        <v>0.27</v>
      </c>
      <c r="U1170" s="13">
        <f t="shared" si="75"/>
        <v>-0.41000000000000003</v>
      </c>
      <c r="V1170" s="14">
        <v>33.08</v>
      </c>
      <c r="W1170" s="14">
        <v>33.08</v>
      </c>
      <c r="X1170" s="11">
        <v>29</v>
      </c>
      <c r="Y1170" s="15" t="s">
        <v>3713</v>
      </c>
      <c r="Z1170" s="16">
        <v>20.079999999999998</v>
      </c>
      <c r="AA1170" s="17">
        <v>154.5</v>
      </c>
      <c r="AB1170" s="18" t="s">
        <v>3714</v>
      </c>
    </row>
    <row r="1171" spans="1:28" x14ac:dyDescent="0.45">
      <c r="A1171" s="2" t="s">
        <v>1764</v>
      </c>
      <c r="B1171" s="2" t="s">
        <v>6266</v>
      </c>
      <c r="C1171" s="2" t="s">
        <v>1110</v>
      </c>
      <c r="D1171" s="2" t="s">
        <v>1509</v>
      </c>
      <c r="E1171" s="2" t="s">
        <v>96</v>
      </c>
      <c r="F1171" s="3">
        <v>49.7</v>
      </c>
      <c r="G1171" s="3">
        <v>56.7</v>
      </c>
      <c r="H1171" s="2" t="s">
        <v>1187</v>
      </c>
      <c r="I1171" s="19">
        <v>13</v>
      </c>
      <c r="J1171" s="34">
        <f t="shared" si="72"/>
        <v>0.11309999999999999</v>
      </c>
      <c r="K1171" s="34">
        <f t="shared" si="73"/>
        <v>0.17</v>
      </c>
      <c r="L1171" s="34">
        <f t="shared" si="74"/>
        <v>0.68</v>
      </c>
      <c r="M1171" s="20" t="s">
        <v>4087</v>
      </c>
      <c r="N1171" s="20" t="s">
        <v>3925</v>
      </c>
      <c r="O1171" s="20" t="s">
        <v>3892</v>
      </c>
      <c r="P1171" s="20" t="s">
        <v>3926</v>
      </c>
      <c r="Q1171" s="21">
        <v>49.7</v>
      </c>
      <c r="R1171" s="21">
        <v>56.7</v>
      </c>
      <c r="S1171" s="21">
        <v>3.5</v>
      </c>
      <c r="T1171" s="22">
        <v>0.45</v>
      </c>
      <c r="U1171" s="13">
        <f t="shared" si="75"/>
        <v>-0.23000000000000004</v>
      </c>
      <c r="V1171" s="23">
        <v>55.12</v>
      </c>
      <c r="W1171" s="23">
        <v>55.12</v>
      </c>
      <c r="X1171" s="20">
        <v>4</v>
      </c>
      <c r="Y1171" s="24" t="s">
        <v>3713</v>
      </c>
      <c r="Z1171" s="16">
        <v>42.12</v>
      </c>
      <c r="AA1171" s="17">
        <v>324</v>
      </c>
      <c r="AB1171" s="25" t="s">
        <v>3714</v>
      </c>
    </row>
    <row r="1172" spans="1:28" x14ac:dyDescent="0.45">
      <c r="A1172" s="4" t="s">
        <v>1765</v>
      </c>
      <c r="B1172" s="4" t="s">
        <v>6267</v>
      </c>
      <c r="C1172" s="4" t="s">
        <v>1110</v>
      </c>
      <c r="D1172" s="4" t="s">
        <v>1509</v>
      </c>
      <c r="E1172" s="4" t="s">
        <v>96</v>
      </c>
      <c r="F1172" s="5">
        <v>50.17</v>
      </c>
      <c r="G1172" s="5">
        <v>60.83</v>
      </c>
      <c r="H1172" s="4" t="s">
        <v>1201</v>
      </c>
      <c r="I1172" s="10">
        <v>22</v>
      </c>
      <c r="J1172" s="34">
        <f t="shared" si="72"/>
        <v>0.19139999999999999</v>
      </c>
      <c r="K1172" s="34">
        <f t="shared" si="73"/>
        <v>0.28999999999999998</v>
      </c>
      <c r="L1172" s="34">
        <f t="shared" si="74"/>
        <v>1.1599999999999999</v>
      </c>
      <c r="M1172" s="11" t="s">
        <v>4088</v>
      </c>
      <c r="N1172" s="11" t="s">
        <v>3891</v>
      </c>
      <c r="O1172" s="11" t="s">
        <v>3892</v>
      </c>
      <c r="P1172" s="11" t="s">
        <v>3893</v>
      </c>
      <c r="Q1172" s="12">
        <v>50</v>
      </c>
      <c r="R1172" s="12">
        <v>61</v>
      </c>
      <c r="S1172" s="12">
        <v>5.5</v>
      </c>
      <c r="T1172" s="13">
        <v>0.83</v>
      </c>
      <c r="U1172" s="13">
        <f t="shared" si="75"/>
        <v>-0.32999999999999996</v>
      </c>
      <c r="V1172" s="14">
        <v>101.68</v>
      </c>
      <c r="W1172" s="14">
        <v>101.68</v>
      </c>
      <c r="X1172" s="11">
        <v>102</v>
      </c>
      <c r="Y1172" s="15" t="s">
        <v>3713</v>
      </c>
      <c r="Z1172" s="16">
        <v>79.680000000000007</v>
      </c>
      <c r="AA1172" s="17">
        <v>362.2</v>
      </c>
      <c r="AB1172" s="18" t="s">
        <v>4089</v>
      </c>
    </row>
    <row r="1173" spans="1:28" x14ac:dyDescent="0.45">
      <c r="A1173" s="2" t="s">
        <v>1766</v>
      </c>
      <c r="B1173" s="2" t="s">
        <v>6268</v>
      </c>
      <c r="C1173" s="2" t="s">
        <v>1110</v>
      </c>
      <c r="D1173" s="2" t="s">
        <v>1509</v>
      </c>
      <c r="E1173" s="2" t="s">
        <v>96</v>
      </c>
      <c r="F1173" s="3">
        <v>50.39</v>
      </c>
      <c r="G1173" s="3">
        <v>57.45</v>
      </c>
      <c r="H1173" s="2" t="s">
        <v>1156</v>
      </c>
      <c r="I1173" s="19">
        <v>12</v>
      </c>
      <c r="J1173" s="34">
        <f t="shared" si="72"/>
        <v>0.10439999999999999</v>
      </c>
      <c r="K1173" s="34">
        <f t="shared" si="73"/>
        <v>0.16</v>
      </c>
      <c r="L1173" s="34">
        <f t="shared" si="74"/>
        <v>0.64</v>
      </c>
      <c r="M1173" s="20" t="s">
        <v>4090</v>
      </c>
      <c r="N1173" s="20" t="s">
        <v>3898</v>
      </c>
      <c r="O1173" s="20" t="s">
        <v>3892</v>
      </c>
      <c r="P1173" s="20" t="s">
        <v>3899</v>
      </c>
      <c r="Q1173" s="21">
        <v>50.292000000000002</v>
      </c>
      <c r="R1173" s="21">
        <v>57.404000000000003</v>
      </c>
      <c r="S1173" s="21">
        <v>3.556</v>
      </c>
      <c r="T1173" s="22">
        <v>7.43</v>
      </c>
      <c r="U1173" s="13">
        <f t="shared" si="75"/>
        <v>6.79</v>
      </c>
      <c r="V1173" s="23">
        <v>910.18</v>
      </c>
      <c r="W1173" s="23">
        <v>910.18</v>
      </c>
      <c r="X1173" s="20" t="s">
        <v>3722</v>
      </c>
      <c r="Y1173" s="24" t="s">
        <v>3737</v>
      </c>
      <c r="Z1173" s="16">
        <v>898.18</v>
      </c>
      <c r="AA1173" s="17">
        <v>7484.8</v>
      </c>
      <c r="AB1173" s="25" t="s">
        <v>3963</v>
      </c>
    </row>
    <row r="1174" spans="1:28" x14ac:dyDescent="0.45">
      <c r="A1174" s="4" t="s">
        <v>1767</v>
      </c>
      <c r="B1174" s="4" t="s">
        <v>6269</v>
      </c>
      <c r="C1174" s="4" t="s">
        <v>1110</v>
      </c>
      <c r="D1174" s="4" t="s">
        <v>1509</v>
      </c>
      <c r="E1174" s="4" t="s">
        <v>96</v>
      </c>
      <c r="F1174" s="5">
        <v>50.47</v>
      </c>
      <c r="G1174" s="5">
        <v>55.71</v>
      </c>
      <c r="H1174" s="4" t="s">
        <v>1127</v>
      </c>
      <c r="I1174" s="10">
        <v>8</v>
      </c>
      <c r="J1174" s="34">
        <f t="shared" si="72"/>
        <v>6.9599999999999995E-2</v>
      </c>
      <c r="K1174" s="34">
        <f t="shared" si="73"/>
        <v>0.1</v>
      </c>
      <c r="L1174" s="34">
        <f t="shared" si="74"/>
        <v>0.4</v>
      </c>
      <c r="M1174" s="11" t="s">
        <v>4091</v>
      </c>
      <c r="N1174" s="11" t="s">
        <v>3898</v>
      </c>
      <c r="O1174" s="11" t="s">
        <v>3892</v>
      </c>
      <c r="P1174" s="11" t="s">
        <v>3899</v>
      </c>
      <c r="Q1174" s="12">
        <v>50.545999999999999</v>
      </c>
      <c r="R1174" s="12">
        <v>55.625999999999998</v>
      </c>
      <c r="S1174" s="12">
        <v>2.54</v>
      </c>
      <c r="T1174" s="13">
        <v>0.68</v>
      </c>
      <c r="U1174" s="13">
        <f t="shared" si="75"/>
        <v>0.28000000000000003</v>
      </c>
      <c r="V1174" s="14">
        <v>83.3</v>
      </c>
      <c r="W1174" s="14">
        <v>83.3</v>
      </c>
      <c r="X1174" s="11" t="s">
        <v>3722</v>
      </c>
      <c r="Y1174" s="15" t="s">
        <v>3737</v>
      </c>
      <c r="Z1174" s="16">
        <v>75.3</v>
      </c>
      <c r="AA1174" s="17">
        <v>941.2</v>
      </c>
      <c r="AB1174" s="18" t="s">
        <v>4022</v>
      </c>
    </row>
    <row r="1175" spans="1:28" x14ac:dyDescent="0.45">
      <c r="A1175" s="2" t="s">
        <v>1768</v>
      </c>
      <c r="B1175" s="2" t="s">
        <v>6270</v>
      </c>
      <c r="C1175" s="2" t="s">
        <v>1110</v>
      </c>
      <c r="D1175" s="2" t="s">
        <v>1509</v>
      </c>
      <c r="E1175" s="2" t="s">
        <v>96</v>
      </c>
      <c r="F1175" s="3">
        <v>50.52</v>
      </c>
      <c r="G1175" s="3">
        <v>54.080000000000013</v>
      </c>
      <c r="H1175" s="2" t="s">
        <v>1114</v>
      </c>
      <c r="I1175" s="19">
        <v>7</v>
      </c>
      <c r="J1175" s="34">
        <f t="shared" si="72"/>
        <v>6.0899999999999996E-2</v>
      </c>
      <c r="K1175" s="34">
        <f t="shared" si="73"/>
        <v>0.09</v>
      </c>
      <c r="L1175" s="34">
        <f t="shared" si="74"/>
        <v>0.36</v>
      </c>
      <c r="M1175" s="20" t="s">
        <v>4451</v>
      </c>
      <c r="N1175" s="20" t="s">
        <v>3898</v>
      </c>
      <c r="O1175" s="20" t="s">
        <v>3892</v>
      </c>
      <c r="P1175" s="20" t="s">
        <v>3899</v>
      </c>
      <c r="Q1175" s="21">
        <v>50.545999999999999</v>
      </c>
      <c r="R1175" s="21">
        <v>54.101999999999997</v>
      </c>
      <c r="S1175" s="21">
        <v>1.778</v>
      </c>
      <c r="T1175" s="22">
        <v>0.48</v>
      </c>
      <c r="U1175" s="13">
        <f t="shared" si="75"/>
        <v>0.12</v>
      </c>
      <c r="V1175" s="23">
        <v>58.8</v>
      </c>
      <c r="W1175" s="23">
        <v>58.8</v>
      </c>
      <c r="X1175" s="20">
        <v>13</v>
      </c>
      <c r="Y1175" s="24" t="s">
        <v>3737</v>
      </c>
      <c r="Z1175" s="16">
        <v>51.8</v>
      </c>
      <c r="AA1175" s="17">
        <v>740</v>
      </c>
      <c r="AB1175" s="25" t="s">
        <v>3967</v>
      </c>
    </row>
    <row r="1176" spans="1:28" x14ac:dyDescent="0.45">
      <c r="A1176" s="4" t="s">
        <v>1769</v>
      </c>
      <c r="B1176" s="4" t="s">
        <v>6271</v>
      </c>
      <c r="C1176" s="4" t="s">
        <v>1110</v>
      </c>
      <c r="D1176" s="4" t="s">
        <v>1509</v>
      </c>
      <c r="E1176" s="4" t="s">
        <v>96</v>
      </c>
      <c r="F1176" s="5">
        <v>50</v>
      </c>
      <c r="G1176" s="5">
        <v>54</v>
      </c>
      <c r="H1176" s="4" t="s">
        <v>1122</v>
      </c>
      <c r="I1176" s="10">
        <v>8</v>
      </c>
      <c r="J1176" s="34">
        <f t="shared" si="72"/>
        <v>6.9599999999999995E-2</v>
      </c>
      <c r="K1176" s="34">
        <f t="shared" si="73"/>
        <v>0.1</v>
      </c>
      <c r="L1176" s="34">
        <f t="shared" si="74"/>
        <v>0.4</v>
      </c>
      <c r="M1176" s="11" t="s">
        <v>4452</v>
      </c>
      <c r="N1176" s="11" t="s">
        <v>3891</v>
      </c>
      <c r="O1176" s="11" t="s">
        <v>3892</v>
      </c>
      <c r="P1176" s="11" t="s">
        <v>3893</v>
      </c>
      <c r="Q1176" s="12">
        <v>50</v>
      </c>
      <c r="R1176" s="12">
        <v>54</v>
      </c>
      <c r="S1176" s="12">
        <v>2</v>
      </c>
      <c r="T1176" s="13">
        <v>0.2</v>
      </c>
      <c r="U1176" s="13">
        <f t="shared" si="75"/>
        <v>-0.2</v>
      </c>
      <c r="V1176" s="14">
        <v>24.5</v>
      </c>
      <c r="W1176" s="14">
        <v>24.5</v>
      </c>
      <c r="X1176" s="11">
        <v>458</v>
      </c>
      <c r="Y1176" s="15" t="s">
        <v>3713</v>
      </c>
      <c r="Z1176" s="16">
        <v>16.5</v>
      </c>
      <c r="AA1176" s="17">
        <v>206.2</v>
      </c>
      <c r="AB1176" s="18" t="s">
        <v>3714</v>
      </c>
    </row>
    <row r="1177" spans="1:28" x14ac:dyDescent="0.45">
      <c r="A1177" s="2" t="s">
        <v>1770</v>
      </c>
      <c r="B1177" s="2" t="s">
        <v>6272</v>
      </c>
      <c r="C1177" s="2" t="s">
        <v>1110</v>
      </c>
      <c r="D1177" s="2" t="s">
        <v>1509</v>
      </c>
      <c r="E1177" s="2" t="s">
        <v>96</v>
      </c>
      <c r="F1177" s="3">
        <v>50</v>
      </c>
      <c r="G1177" s="3">
        <v>55</v>
      </c>
      <c r="H1177" s="2" t="s">
        <v>1135</v>
      </c>
      <c r="I1177" s="19">
        <v>8</v>
      </c>
      <c r="J1177" s="34">
        <f t="shared" si="72"/>
        <v>6.9599999999999995E-2</v>
      </c>
      <c r="K1177" s="34">
        <f t="shared" si="73"/>
        <v>0.1</v>
      </c>
      <c r="L1177" s="34">
        <f t="shared" si="74"/>
        <v>0.4</v>
      </c>
      <c r="M1177" s="20" t="s">
        <v>4453</v>
      </c>
      <c r="N1177" s="20" t="s">
        <v>3891</v>
      </c>
      <c r="O1177" s="20" t="s">
        <v>3892</v>
      </c>
      <c r="P1177" s="20" t="s">
        <v>3893</v>
      </c>
      <c r="Q1177" s="21">
        <v>50</v>
      </c>
      <c r="R1177" s="21">
        <v>55</v>
      </c>
      <c r="S1177" s="21">
        <v>2.5</v>
      </c>
      <c r="T1177" s="22">
        <v>0.3</v>
      </c>
      <c r="U1177" s="13">
        <f t="shared" si="75"/>
        <v>-0.10000000000000003</v>
      </c>
      <c r="V1177" s="23">
        <v>36.75</v>
      </c>
      <c r="W1177" s="23">
        <v>36.75</v>
      </c>
      <c r="X1177" s="20">
        <v>2557</v>
      </c>
      <c r="Y1177" s="24" t="s">
        <v>3713</v>
      </c>
      <c r="Z1177" s="16">
        <v>28.75</v>
      </c>
      <c r="AA1177" s="17">
        <v>359.4</v>
      </c>
      <c r="AB1177" s="25" t="s">
        <v>3714</v>
      </c>
    </row>
    <row r="1178" spans="1:28" x14ac:dyDescent="0.45">
      <c r="A1178" s="4" t="s">
        <v>1771</v>
      </c>
      <c r="B1178" s="4" t="s">
        <v>6273</v>
      </c>
      <c r="C1178" s="4" t="s">
        <v>1110</v>
      </c>
      <c r="D1178" s="4" t="s">
        <v>1509</v>
      </c>
      <c r="E1178" s="4" t="s">
        <v>96</v>
      </c>
      <c r="F1178" s="5">
        <v>50</v>
      </c>
      <c r="G1178" s="5">
        <v>56</v>
      </c>
      <c r="H1178" s="4" t="s">
        <v>1149</v>
      </c>
      <c r="I1178" s="10">
        <v>10</v>
      </c>
      <c r="J1178" s="34">
        <f t="shared" si="72"/>
        <v>8.6999999999999994E-2</v>
      </c>
      <c r="K1178" s="34">
        <f t="shared" si="73"/>
        <v>0.13</v>
      </c>
      <c r="L1178" s="34">
        <f t="shared" si="74"/>
        <v>0.52</v>
      </c>
      <c r="M1178" s="11" t="s">
        <v>4454</v>
      </c>
      <c r="N1178" s="11" t="s">
        <v>3891</v>
      </c>
      <c r="O1178" s="11" t="s">
        <v>3892</v>
      </c>
      <c r="P1178" s="11" t="s">
        <v>3893</v>
      </c>
      <c r="Q1178" s="12">
        <v>50</v>
      </c>
      <c r="R1178" s="12">
        <v>56</v>
      </c>
      <c r="S1178" s="12">
        <v>3</v>
      </c>
      <c r="T1178" s="13">
        <v>0.22</v>
      </c>
      <c r="U1178" s="13">
        <f t="shared" si="75"/>
        <v>-0.30000000000000004</v>
      </c>
      <c r="V1178" s="14">
        <v>26.95</v>
      </c>
      <c r="W1178" s="14">
        <v>26.95</v>
      </c>
      <c r="X1178" s="11">
        <v>517</v>
      </c>
      <c r="Y1178" s="15" t="s">
        <v>3713</v>
      </c>
      <c r="Z1178" s="16">
        <v>16.95</v>
      </c>
      <c r="AA1178" s="17">
        <v>169.5</v>
      </c>
      <c r="AB1178" s="18" t="s">
        <v>3714</v>
      </c>
    </row>
    <row r="1179" spans="1:28" x14ac:dyDescent="0.45">
      <c r="A1179" s="2" t="s">
        <v>1772</v>
      </c>
      <c r="B1179" s="2" t="s">
        <v>6274</v>
      </c>
      <c r="C1179" s="2" t="s">
        <v>1110</v>
      </c>
      <c r="D1179" s="2" t="s">
        <v>1509</v>
      </c>
      <c r="E1179" s="2" t="s">
        <v>96</v>
      </c>
      <c r="F1179" s="3">
        <v>50</v>
      </c>
      <c r="G1179" s="3">
        <v>58</v>
      </c>
      <c r="H1179" s="2" t="s">
        <v>1216</v>
      </c>
      <c r="I1179" s="19">
        <v>15</v>
      </c>
      <c r="J1179" s="34">
        <f t="shared" si="72"/>
        <v>0.1305</v>
      </c>
      <c r="K1179" s="34">
        <f t="shared" si="73"/>
        <v>0.2</v>
      </c>
      <c r="L1179" s="34">
        <f t="shared" si="74"/>
        <v>0.8</v>
      </c>
      <c r="M1179" s="20" t="s">
        <v>4455</v>
      </c>
      <c r="N1179" s="20" t="s">
        <v>3891</v>
      </c>
      <c r="O1179" s="20" t="s">
        <v>3892</v>
      </c>
      <c r="P1179" s="20" t="s">
        <v>3893</v>
      </c>
      <c r="Q1179" s="21">
        <v>50</v>
      </c>
      <c r="R1179" s="21">
        <v>58</v>
      </c>
      <c r="S1179" s="21">
        <v>4</v>
      </c>
      <c r="T1179" s="22">
        <v>0.36</v>
      </c>
      <c r="U1179" s="13">
        <f t="shared" si="75"/>
        <v>-0.44000000000000006</v>
      </c>
      <c r="V1179" s="23">
        <v>44.1</v>
      </c>
      <c r="W1179" s="23">
        <v>44.1</v>
      </c>
      <c r="X1179" s="20">
        <v>219</v>
      </c>
      <c r="Y1179" s="24" t="s">
        <v>3713</v>
      </c>
      <c r="Z1179" s="16">
        <v>29.1</v>
      </c>
      <c r="AA1179" s="17">
        <v>194</v>
      </c>
      <c r="AB1179" s="25" t="s">
        <v>3714</v>
      </c>
    </row>
    <row r="1180" spans="1:28" x14ac:dyDescent="0.45">
      <c r="A1180" s="4" t="s">
        <v>1773</v>
      </c>
      <c r="B1180" s="4" t="s">
        <v>6275</v>
      </c>
      <c r="C1180" s="4" t="s">
        <v>1110</v>
      </c>
      <c r="D1180" s="4" t="s">
        <v>1509</v>
      </c>
      <c r="E1180" s="4" t="s">
        <v>96</v>
      </c>
      <c r="F1180" s="5">
        <v>50</v>
      </c>
      <c r="G1180" s="5">
        <v>60</v>
      </c>
      <c r="H1180" s="4" t="s">
        <v>1245</v>
      </c>
      <c r="I1180" s="10">
        <v>20</v>
      </c>
      <c r="J1180" s="34">
        <f t="shared" si="72"/>
        <v>0.17399999999999999</v>
      </c>
      <c r="K1180" s="34">
        <f t="shared" si="73"/>
        <v>0.26</v>
      </c>
      <c r="L1180" s="34">
        <f t="shared" si="74"/>
        <v>1.04</v>
      </c>
      <c r="M1180" s="11" t="s">
        <v>4092</v>
      </c>
      <c r="N1180" s="11" t="s">
        <v>3891</v>
      </c>
      <c r="O1180" s="11" t="s">
        <v>3892</v>
      </c>
      <c r="P1180" s="11" t="s">
        <v>3893</v>
      </c>
      <c r="Q1180" s="12">
        <v>50</v>
      </c>
      <c r="R1180" s="12">
        <v>60</v>
      </c>
      <c r="S1180" s="12">
        <v>5</v>
      </c>
      <c r="T1180" s="13">
        <v>0.33</v>
      </c>
      <c r="U1180" s="13">
        <f t="shared" si="75"/>
        <v>-0.71</v>
      </c>
      <c r="V1180" s="14">
        <v>40.43</v>
      </c>
      <c r="W1180" s="14">
        <v>40.43</v>
      </c>
      <c r="X1180" s="11" t="s">
        <v>3722</v>
      </c>
      <c r="Y1180" s="15" t="s">
        <v>3713</v>
      </c>
      <c r="Z1180" s="16">
        <v>20.43</v>
      </c>
      <c r="AA1180" s="17">
        <v>102.2</v>
      </c>
      <c r="AB1180" s="18" t="s">
        <v>3714</v>
      </c>
    </row>
    <row r="1181" spans="1:28" x14ac:dyDescent="0.45">
      <c r="A1181" s="2" t="s">
        <v>1774</v>
      </c>
      <c r="B1181" s="2" t="s">
        <v>6276</v>
      </c>
      <c r="C1181" s="2" t="s">
        <v>1110</v>
      </c>
      <c r="D1181" s="2" t="s">
        <v>1509</v>
      </c>
      <c r="E1181" s="2" t="s">
        <v>96</v>
      </c>
      <c r="F1181" s="3">
        <v>51.6</v>
      </c>
      <c r="G1181" s="3">
        <v>63</v>
      </c>
      <c r="H1181" s="2" t="s">
        <v>1297</v>
      </c>
      <c r="I1181" s="19">
        <v>27</v>
      </c>
      <c r="J1181" s="34">
        <f t="shared" si="72"/>
        <v>0.2349</v>
      </c>
      <c r="K1181" s="34">
        <f t="shared" si="73"/>
        <v>0.35</v>
      </c>
      <c r="L1181" s="34">
        <f t="shared" si="74"/>
        <v>1.4</v>
      </c>
      <c r="M1181" s="20" t="s">
        <v>4456</v>
      </c>
      <c r="N1181" s="20" t="s">
        <v>3891</v>
      </c>
      <c r="O1181" s="20" t="s">
        <v>3892</v>
      </c>
      <c r="P1181" s="20" t="s">
        <v>3893</v>
      </c>
      <c r="Q1181" s="21">
        <v>51.6</v>
      </c>
      <c r="R1181" s="21">
        <v>63</v>
      </c>
      <c r="S1181" s="21">
        <v>5.7</v>
      </c>
      <c r="T1181" s="22">
        <v>0.64</v>
      </c>
      <c r="U1181" s="13">
        <f t="shared" si="75"/>
        <v>-0.7599999999999999</v>
      </c>
      <c r="V1181" s="23">
        <v>78.400000000000006</v>
      </c>
      <c r="W1181" s="23">
        <v>78.400000000000006</v>
      </c>
      <c r="X1181" s="20">
        <v>106</v>
      </c>
      <c r="Y1181" s="24" t="s">
        <v>3713</v>
      </c>
      <c r="Z1181" s="16">
        <v>51.400000000000013</v>
      </c>
      <c r="AA1181" s="17">
        <v>190.4</v>
      </c>
      <c r="AB1181" s="25" t="s">
        <v>3714</v>
      </c>
    </row>
    <row r="1182" spans="1:28" x14ac:dyDescent="0.45">
      <c r="A1182" s="4" t="s">
        <v>1775</v>
      </c>
      <c r="B1182" s="4" t="s">
        <v>6277</v>
      </c>
      <c r="C1182" s="4" t="s">
        <v>1110</v>
      </c>
      <c r="D1182" s="4" t="s">
        <v>1509</v>
      </c>
      <c r="E1182" s="4" t="s">
        <v>96</v>
      </c>
      <c r="F1182" s="5">
        <v>52.07</v>
      </c>
      <c r="G1182" s="5">
        <v>57.31</v>
      </c>
      <c r="H1182" s="4" t="s">
        <v>1127</v>
      </c>
      <c r="I1182" s="10">
        <v>8</v>
      </c>
      <c r="J1182" s="34">
        <f t="shared" si="72"/>
        <v>6.9599999999999995E-2</v>
      </c>
      <c r="K1182" s="34">
        <f t="shared" si="73"/>
        <v>0.1</v>
      </c>
      <c r="L1182" s="34">
        <f t="shared" si="74"/>
        <v>0.4</v>
      </c>
      <c r="M1182" s="11" t="s">
        <v>4093</v>
      </c>
      <c r="N1182" s="11" t="s">
        <v>3891</v>
      </c>
      <c r="O1182" s="11" t="s">
        <v>3892</v>
      </c>
      <c r="P1182" s="11" t="s">
        <v>3893</v>
      </c>
      <c r="Q1182" s="12">
        <v>52</v>
      </c>
      <c r="R1182" s="12">
        <v>57</v>
      </c>
      <c r="S1182" s="12">
        <v>2.5</v>
      </c>
      <c r="T1182" s="13">
        <v>0.28999999999999998</v>
      </c>
      <c r="U1182" s="13">
        <f t="shared" si="75"/>
        <v>-0.11000000000000004</v>
      </c>
      <c r="V1182" s="14">
        <v>35.520000000000003</v>
      </c>
      <c r="W1182" s="14">
        <v>35.520000000000003</v>
      </c>
      <c r="X1182" s="11">
        <v>135</v>
      </c>
      <c r="Y1182" s="15" t="s">
        <v>3713</v>
      </c>
      <c r="Z1182" s="16">
        <v>27.52</v>
      </c>
      <c r="AA1182" s="17">
        <v>344</v>
      </c>
      <c r="AB1182" s="18" t="s">
        <v>3994</v>
      </c>
    </row>
    <row r="1183" spans="1:28" x14ac:dyDescent="0.45">
      <c r="A1183" s="2" t="s">
        <v>1776</v>
      </c>
      <c r="B1183" s="2" t="s">
        <v>6278</v>
      </c>
      <c r="C1183" s="2" t="s">
        <v>1110</v>
      </c>
      <c r="D1183" s="2" t="s">
        <v>1509</v>
      </c>
      <c r="E1183" s="2" t="s">
        <v>96</v>
      </c>
      <c r="F1183" s="3">
        <v>52.6</v>
      </c>
      <c r="G1183" s="3">
        <v>64</v>
      </c>
      <c r="H1183" s="2" t="s">
        <v>1297</v>
      </c>
      <c r="I1183" s="19">
        <v>27</v>
      </c>
      <c r="J1183" s="34">
        <f t="shared" si="72"/>
        <v>0.2349</v>
      </c>
      <c r="K1183" s="34">
        <f t="shared" si="73"/>
        <v>0.35</v>
      </c>
      <c r="L1183" s="34">
        <f t="shared" si="74"/>
        <v>1.4</v>
      </c>
      <c r="M1183" s="20" t="s">
        <v>4457</v>
      </c>
      <c r="N1183" s="20" t="s">
        <v>3891</v>
      </c>
      <c r="O1183" s="20" t="s">
        <v>3892</v>
      </c>
      <c r="P1183" s="20" t="s">
        <v>3893</v>
      </c>
      <c r="Q1183" s="21">
        <v>52.6</v>
      </c>
      <c r="R1183" s="21">
        <v>64</v>
      </c>
      <c r="S1183" s="21">
        <v>5.7</v>
      </c>
      <c r="T1183" s="22">
        <v>0.88</v>
      </c>
      <c r="U1183" s="13">
        <f t="shared" si="75"/>
        <v>-0.51999999999999991</v>
      </c>
      <c r="V1183" s="23">
        <v>107.8</v>
      </c>
      <c r="W1183" s="23">
        <v>107.8</v>
      </c>
      <c r="X1183" s="20">
        <v>18</v>
      </c>
      <c r="Y1183" s="24" t="s">
        <v>3713</v>
      </c>
      <c r="Z1183" s="16">
        <v>80.8</v>
      </c>
      <c r="AA1183" s="17">
        <v>299.3</v>
      </c>
      <c r="AB1183" s="25" t="s">
        <v>3714</v>
      </c>
    </row>
    <row r="1184" spans="1:28" x14ac:dyDescent="0.45">
      <c r="A1184" s="4" t="s">
        <v>1777</v>
      </c>
      <c r="B1184" s="4" t="s">
        <v>6279</v>
      </c>
      <c r="C1184" s="4" t="s">
        <v>1110</v>
      </c>
      <c r="D1184" s="4" t="s">
        <v>1509</v>
      </c>
      <c r="E1184" s="4" t="s">
        <v>96</v>
      </c>
      <c r="F1184" s="5">
        <v>52</v>
      </c>
      <c r="G1184" s="5">
        <v>60</v>
      </c>
      <c r="H1184" s="4" t="s">
        <v>1216</v>
      </c>
      <c r="I1184" s="10">
        <v>15</v>
      </c>
      <c r="J1184" s="34">
        <f t="shared" si="72"/>
        <v>0.1305</v>
      </c>
      <c r="K1184" s="34">
        <f t="shared" si="73"/>
        <v>0.2</v>
      </c>
      <c r="L1184" s="34">
        <f t="shared" si="74"/>
        <v>0.8</v>
      </c>
      <c r="M1184" s="11" t="s">
        <v>4458</v>
      </c>
      <c r="N1184" s="11" t="s">
        <v>3891</v>
      </c>
      <c r="O1184" s="11" t="s">
        <v>3892</v>
      </c>
      <c r="P1184" s="11" t="s">
        <v>3893</v>
      </c>
      <c r="Q1184" s="12">
        <v>52</v>
      </c>
      <c r="R1184" s="12">
        <v>60</v>
      </c>
      <c r="S1184" s="12">
        <v>4</v>
      </c>
      <c r="T1184" s="13">
        <v>0.27</v>
      </c>
      <c r="U1184" s="13">
        <f t="shared" si="75"/>
        <v>-0.53</v>
      </c>
      <c r="V1184" s="14">
        <v>33.08</v>
      </c>
      <c r="W1184" s="14">
        <v>33.08</v>
      </c>
      <c r="X1184" s="11">
        <v>98</v>
      </c>
      <c r="Y1184" s="15" t="s">
        <v>3713</v>
      </c>
      <c r="Z1184" s="16">
        <v>18.079999999999998</v>
      </c>
      <c r="AA1184" s="17">
        <v>120.5</v>
      </c>
      <c r="AB1184" s="18" t="s">
        <v>3714</v>
      </c>
    </row>
    <row r="1185" spans="1:28" x14ac:dyDescent="0.45">
      <c r="A1185" s="2" t="s">
        <v>1778</v>
      </c>
      <c r="B1185" s="2" t="s">
        <v>6280</v>
      </c>
      <c r="C1185" s="2" t="s">
        <v>1110</v>
      </c>
      <c r="D1185" s="2" t="s">
        <v>1509</v>
      </c>
      <c r="E1185" s="2" t="s">
        <v>96</v>
      </c>
      <c r="F1185" s="3">
        <v>53.34</v>
      </c>
      <c r="G1185" s="3">
        <v>64</v>
      </c>
      <c r="H1185" s="2" t="s">
        <v>1201</v>
      </c>
      <c r="I1185" s="19">
        <v>23</v>
      </c>
      <c r="J1185" s="34">
        <f t="shared" si="72"/>
        <v>0.2001</v>
      </c>
      <c r="K1185" s="34">
        <f t="shared" si="73"/>
        <v>0.3</v>
      </c>
      <c r="L1185" s="34">
        <f t="shared" si="74"/>
        <v>1.2</v>
      </c>
      <c r="M1185" s="20" t="s">
        <v>4094</v>
      </c>
      <c r="N1185" s="20" t="s">
        <v>3891</v>
      </c>
      <c r="O1185" s="20" t="s">
        <v>3892</v>
      </c>
      <c r="P1185" s="20" t="s">
        <v>3893</v>
      </c>
      <c r="Q1185" s="21">
        <v>53.34</v>
      </c>
      <c r="R1185" s="21">
        <v>64.007999999999996</v>
      </c>
      <c r="S1185" s="21">
        <v>5.3339999999999996</v>
      </c>
      <c r="T1185" s="22">
        <v>0.52</v>
      </c>
      <c r="U1185" s="13">
        <f t="shared" si="75"/>
        <v>-0.67999999999999994</v>
      </c>
      <c r="V1185" s="23">
        <v>63.7</v>
      </c>
      <c r="W1185" s="23">
        <v>63.7</v>
      </c>
      <c r="X1185" s="20">
        <v>1253</v>
      </c>
      <c r="Y1185" s="24" t="s">
        <v>3737</v>
      </c>
      <c r="Z1185" s="16">
        <v>40.700000000000003</v>
      </c>
      <c r="AA1185" s="17">
        <v>177</v>
      </c>
      <c r="AB1185" s="25" t="s">
        <v>4032</v>
      </c>
    </row>
    <row r="1186" spans="1:28" x14ac:dyDescent="0.45">
      <c r="A1186" s="4" t="s">
        <v>1779</v>
      </c>
      <c r="B1186" s="4" t="s">
        <v>6281</v>
      </c>
      <c r="C1186" s="4" t="s">
        <v>1110</v>
      </c>
      <c r="D1186" s="4" t="s">
        <v>1509</v>
      </c>
      <c r="E1186" s="4" t="s">
        <v>96</v>
      </c>
      <c r="F1186" s="5">
        <v>53.57</v>
      </c>
      <c r="G1186" s="5">
        <v>60.63</v>
      </c>
      <c r="H1186" s="4" t="s">
        <v>1156</v>
      </c>
      <c r="I1186" s="10">
        <v>13</v>
      </c>
      <c r="J1186" s="34">
        <f t="shared" si="72"/>
        <v>0.11309999999999999</v>
      </c>
      <c r="K1186" s="34">
        <f t="shared" si="73"/>
        <v>0.17</v>
      </c>
      <c r="L1186" s="34">
        <f t="shared" si="74"/>
        <v>0.68</v>
      </c>
      <c r="M1186" s="11" t="s">
        <v>4095</v>
      </c>
      <c r="N1186" s="11" t="s">
        <v>3898</v>
      </c>
      <c r="O1186" s="11" t="s">
        <v>3892</v>
      </c>
      <c r="P1186" s="11" t="s">
        <v>3899</v>
      </c>
      <c r="Q1186" s="12">
        <v>53.594000000000001</v>
      </c>
      <c r="R1186" s="12">
        <v>60.706000000000003</v>
      </c>
      <c r="S1186" s="12">
        <v>3.556</v>
      </c>
      <c r="T1186" s="13">
        <v>2.12</v>
      </c>
      <c r="U1186" s="13">
        <f t="shared" si="75"/>
        <v>1.44</v>
      </c>
      <c r="V1186" s="14">
        <v>259.7</v>
      </c>
      <c r="W1186" s="14">
        <v>259.7</v>
      </c>
      <c r="X1186" s="11" t="s">
        <v>3722</v>
      </c>
      <c r="Y1186" s="15" t="s">
        <v>3737</v>
      </c>
      <c r="Z1186" s="16">
        <v>246.7</v>
      </c>
      <c r="AA1186" s="17">
        <v>1897.7</v>
      </c>
      <c r="AB1186" s="18" t="s">
        <v>3945</v>
      </c>
    </row>
    <row r="1187" spans="1:28" x14ac:dyDescent="0.45">
      <c r="A1187" s="2" t="s">
        <v>1780</v>
      </c>
      <c r="B1187" s="2" t="s">
        <v>6282</v>
      </c>
      <c r="C1187" s="2" t="s">
        <v>1110</v>
      </c>
      <c r="D1187" s="2" t="s">
        <v>1509</v>
      </c>
      <c r="E1187" s="2" t="s">
        <v>96</v>
      </c>
      <c r="F1187" s="3">
        <v>53.64</v>
      </c>
      <c r="G1187" s="3">
        <v>58.88</v>
      </c>
      <c r="H1187" s="2" t="s">
        <v>1127</v>
      </c>
      <c r="I1187" s="19">
        <v>10</v>
      </c>
      <c r="J1187" s="34">
        <f t="shared" si="72"/>
        <v>8.6999999999999994E-2</v>
      </c>
      <c r="K1187" s="34">
        <f t="shared" si="73"/>
        <v>0.13</v>
      </c>
      <c r="L1187" s="34">
        <f t="shared" si="74"/>
        <v>0.52</v>
      </c>
      <c r="M1187" s="20" t="s">
        <v>4096</v>
      </c>
      <c r="N1187" s="20" t="s">
        <v>3891</v>
      </c>
      <c r="O1187" s="20" t="s">
        <v>3892</v>
      </c>
      <c r="P1187" s="20" t="s">
        <v>3893</v>
      </c>
      <c r="Q1187" s="21">
        <v>53.594000000000001</v>
      </c>
      <c r="R1187" s="21">
        <v>58.927999999999997</v>
      </c>
      <c r="S1187" s="21">
        <v>2.54</v>
      </c>
      <c r="T1187" s="22">
        <v>0.26</v>
      </c>
      <c r="U1187" s="13">
        <f t="shared" si="75"/>
        <v>-0.26</v>
      </c>
      <c r="V1187" s="23">
        <v>31.85</v>
      </c>
      <c r="W1187" s="23">
        <v>31.85</v>
      </c>
      <c r="X1187" s="20">
        <v>1112</v>
      </c>
      <c r="Y1187" s="24" t="s">
        <v>3737</v>
      </c>
      <c r="Z1187" s="16">
        <v>21.85</v>
      </c>
      <c r="AA1187" s="17">
        <v>218.5</v>
      </c>
      <c r="AB1187" s="25" t="s">
        <v>3920</v>
      </c>
    </row>
    <row r="1188" spans="1:28" x14ac:dyDescent="0.45">
      <c r="A1188" s="4" t="s">
        <v>1781</v>
      </c>
      <c r="B1188" s="4" t="s">
        <v>6283</v>
      </c>
      <c r="C1188" s="4" t="s">
        <v>1110</v>
      </c>
      <c r="D1188" s="4" t="s">
        <v>1509</v>
      </c>
      <c r="E1188" s="4" t="s">
        <v>96</v>
      </c>
      <c r="F1188" s="5">
        <v>53.7</v>
      </c>
      <c r="G1188" s="5">
        <v>57.260000000000012</v>
      </c>
      <c r="H1188" s="4" t="s">
        <v>1114</v>
      </c>
      <c r="I1188" s="10">
        <v>7</v>
      </c>
      <c r="J1188" s="34">
        <f t="shared" si="72"/>
        <v>6.0899999999999996E-2</v>
      </c>
      <c r="K1188" s="34">
        <f t="shared" si="73"/>
        <v>0.09</v>
      </c>
      <c r="L1188" s="34">
        <f t="shared" si="74"/>
        <v>0.36</v>
      </c>
      <c r="M1188" s="11" t="s">
        <v>4097</v>
      </c>
      <c r="N1188" s="11" t="s">
        <v>3891</v>
      </c>
      <c r="O1188" s="11" t="s">
        <v>3892</v>
      </c>
      <c r="P1188" s="11" t="s">
        <v>3893</v>
      </c>
      <c r="Q1188" s="12">
        <v>53.594000000000001</v>
      </c>
      <c r="R1188" s="12">
        <v>57.15</v>
      </c>
      <c r="S1188" s="12">
        <v>1.778</v>
      </c>
      <c r="T1188" s="13">
        <v>0.2</v>
      </c>
      <c r="U1188" s="13">
        <f t="shared" si="75"/>
        <v>-0.15999999999999998</v>
      </c>
      <c r="V1188" s="14">
        <v>24.5</v>
      </c>
      <c r="W1188" s="14">
        <v>24.5</v>
      </c>
      <c r="X1188" s="11">
        <v>558</v>
      </c>
      <c r="Y1188" s="15" t="s">
        <v>3737</v>
      </c>
      <c r="Z1188" s="16">
        <v>17.5</v>
      </c>
      <c r="AA1188" s="17">
        <v>250</v>
      </c>
      <c r="AB1188" s="18" t="s">
        <v>4037</v>
      </c>
    </row>
    <row r="1189" spans="1:28" x14ac:dyDescent="0.45">
      <c r="A1189" s="2" t="s">
        <v>1782</v>
      </c>
      <c r="B1189" s="2" t="s">
        <v>6284</v>
      </c>
      <c r="C1189" s="2" t="s">
        <v>1110</v>
      </c>
      <c r="D1189" s="2" t="s">
        <v>1509</v>
      </c>
      <c r="E1189" s="2" t="s">
        <v>96</v>
      </c>
      <c r="F1189" s="3">
        <v>54.2</v>
      </c>
      <c r="G1189" s="3">
        <v>65.600000000000009</v>
      </c>
      <c r="H1189" s="2" t="s">
        <v>1297</v>
      </c>
      <c r="I1189" s="19">
        <v>29</v>
      </c>
      <c r="J1189" s="34">
        <f t="shared" si="72"/>
        <v>0.25229999999999997</v>
      </c>
      <c r="K1189" s="34">
        <f t="shared" si="73"/>
        <v>0.38</v>
      </c>
      <c r="L1189" s="34">
        <f t="shared" si="74"/>
        <v>1.52</v>
      </c>
      <c r="M1189" s="20" t="s">
        <v>4459</v>
      </c>
      <c r="N1189" s="20" t="s">
        <v>3891</v>
      </c>
      <c r="O1189" s="20" t="s">
        <v>3892</v>
      </c>
      <c r="P1189" s="20" t="s">
        <v>3893</v>
      </c>
      <c r="Q1189" s="21">
        <v>54.3</v>
      </c>
      <c r="R1189" s="21">
        <v>65.7</v>
      </c>
      <c r="S1189" s="21">
        <v>5.7</v>
      </c>
      <c r="T1189" s="22">
        <v>0.46</v>
      </c>
      <c r="U1189" s="13">
        <f t="shared" si="75"/>
        <v>-1.06</v>
      </c>
      <c r="V1189" s="23">
        <v>56.35</v>
      </c>
      <c r="W1189" s="23">
        <v>56.35</v>
      </c>
      <c r="X1189" s="20">
        <v>52</v>
      </c>
      <c r="Y1189" s="24" t="s">
        <v>3713</v>
      </c>
      <c r="Z1189" s="16">
        <v>27.35</v>
      </c>
      <c r="AA1189" s="17">
        <v>94.3</v>
      </c>
      <c r="AB1189" s="25" t="s">
        <v>4119</v>
      </c>
    </row>
    <row r="1190" spans="1:28" x14ac:dyDescent="0.45">
      <c r="A1190" s="4" t="s">
        <v>1783</v>
      </c>
      <c r="B1190" s="4" t="s">
        <v>6285</v>
      </c>
      <c r="C1190" s="4" t="s">
        <v>1110</v>
      </c>
      <c r="D1190" s="4" t="s">
        <v>1509</v>
      </c>
      <c r="E1190" s="4" t="s">
        <v>96</v>
      </c>
      <c r="F1190" s="5">
        <v>54.4</v>
      </c>
      <c r="G1190" s="5">
        <v>60.6</v>
      </c>
      <c r="H1190" s="4" t="s">
        <v>1221</v>
      </c>
      <c r="I1190" s="10">
        <v>15</v>
      </c>
      <c r="J1190" s="34">
        <f t="shared" si="72"/>
        <v>0.1305</v>
      </c>
      <c r="K1190" s="34">
        <f t="shared" si="73"/>
        <v>0.2</v>
      </c>
      <c r="L1190" s="34">
        <f t="shared" si="74"/>
        <v>0.8</v>
      </c>
      <c r="M1190" s="11" t="s">
        <v>4098</v>
      </c>
      <c r="N1190" s="11" t="s">
        <v>3891</v>
      </c>
      <c r="O1190" s="11" t="s">
        <v>3892</v>
      </c>
      <c r="P1190" s="11" t="s">
        <v>3893</v>
      </c>
      <c r="Q1190" s="12">
        <v>54.4</v>
      </c>
      <c r="R1190" s="12">
        <v>60.6</v>
      </c>
      <c r="S1190" s="12">
        <v>3.1</v>
      </c>
      <c r="T1190" s="13">
        <v>0.49</v>
      </c>
      <c r="U1190" s="13">
        <f t="shared" si="75"/>
        <v>-0.31000000000000005</v>
      </c>
      <c r="V1190" s="14">
        <v>60.02</v>
      </c>
      <c r="W1190" s="14">
        <v>60.02</v>
      </c>
      <c r="X1190" s="11">
        <v>12</v>
      </c>
      <c r="Y1190" s="15" t="s">
        <v>3713</v>
      </c>
      <c r="Z1190" s="16">
        <v>45.02</v>
      </c>
      <c r="AA1190" s="17">
        <v>300.10000000000002</v>
      </c>
      <c r="AB1190" s="18" t="s">
        <v>3714</v>
      </c>
    </row>
    <row r="1191" spans="1:28" x14ac:dyDescent="0.45">
      <c r="A1191" s="2" t="s">
        <v>1784</v>
      </c>
      <c r="B1191" s="2" t="s">
        <v>6286</v>
      </c>
      <c r="C1191" s="2" t="s">
        <v>1110</v>
      </c>
      <c r="D1191" s="2" t="s">
        <v>1509</v>
      </c>
      <c r="E1191" s="2" t="s">
        <v>96</v>
      </c>
      <c r="F1191" s="3">
        <v>54</v>
      </c>
      <c r="G1191" s="3">
        <v>60</v>
      </c>
      <c r="H1191" s="2" t="s">
        <v>1149</v>
      </c>
      <c r="I1191" s="19">
        <v>12</v>
      </c>
      <c r="J1191" s="34">
        <f t="shared" si="72"/>
        <v>0.10439999999999999</v>
      </c>
      <c r="K1191" s="34">
        <f t="shared" si="73"/>
        <v>0.16</v>
      </c>
      <c r="L1191" s="34">
        <f t="shared" si="74"/>
        <v>0.64</v>
      </c>
      <c r="M1191" s="20" t="s">
        <v>4460</v>
      </c>
      <c r="N1191" s="20" t="s">
        <v>3891</v>
      </c>
      <c r="O1191" s="20" t="s">
        <v>3892</v>
      </c>
      <c r="P1191" s="20" t="s">
        <v>3893</v>
      </c>
      <c r="Q1191" s="21">
        <v>54</v>
      </c>
      <c r="R1191" s="21">
        <v>60</v>
      </c>
      <c r="S1191" s="21">
        <v>3</v>
      </c>
      <c r="T1191" s="22">
        <v>0.3</v>
      </c>
      <c r="U1191" s="13">
        <f t="shared" si="75"/>
        <v>-0.34</v>
      </c>
      <c r="V1191" s="23">
        <v>36.75</v>
      </c>
      <c r="W1191" s="23">
        <v>36.75</v>
      </c>
      <c r="X1191" s="20">
        <v>257</v>
      </c>
      <c r="Y1191" s="24" t="s">
        <v>3713</v>
      </c>
      <c r="Z1191" s="16">
        <v>24.75</v>
      </c>
      <c r="AA1191" s="17">
        <v>206.2</v>
      </c>
      <c r="AB1191" s="25" t="s">
        <v>3714</v>
      </c>
    </row>
    <row r="1192" spans="1:28" x14ac:dyDescent="0.45">
      <c r="A1192" s="4" t="s">
        <v>1785</v>
      </c>
      <c r="B1192" s="4" t="s">
        <v>6287</v>
      </c>
      <c r="C1192" s="4" t="s">
        <v>1110</v>
      </c>
      <c r="D1192" s="4" t="s">
        <v>1509</v>
      </c>
      <c r="E1192" s="4" t="s">
        <v>96</v>
      </c>
      <c r="F1192" s="5">
        <v>55.25</v>
      </c>
      <c r="G1192" s="5">
        <v>60.49</v>
      </c>
      <c r="H1192" s="4" t="s">
        <v>1127</v>
      </c>
      <c r="I1192" s="10">
        <v>10</v>
      </c>
      <c r="J1192" s="34">
        <f t="shared" si="72"/>
        <v>8.6999999999999994E-2</v>
      </c>
      <c r="K1192" s="34">
        <f t="shared" si="73"/>
        <v>0.13</v>
      </c>
      <c r="L1192" s="34">
        <f t="shared" si="74"/>
        <v>0.52</v>
      </c>
      <c r="M1192" s="11" t="s">
        <v>4099</v>
      </c>
      <c r="N1192" s="11" t="s">
        <v>3891</v>
      </c>
      <c r="O1192" s="11" t="s">
        <v>3892</v>
      </c>
      <c r="P1192" s="11" t="s">
        <v>3893</v>
      </c>
      <c r="Q1192" s="12">
        <v>55.118000000000002</v>
      </c>
      <c r="R1192" s="12">
        <v>60.451999999999998</v>
      </c>
      <c r="S1192" s="12">
        <v>2.54</v>
      </c>
      <c r="T1192" s="13">
        <v>0.26</v>
      </c>
      <c r="U1192" s="13">
        <f t="shared" si="75"/>
        <v>-0.26</v>
      </c>
      <c r="V1192" s="14">
        <v>31.85</v>
      </c>
      <c r="W1192" s="14">
        <v>31.85</v>
      </c>
      <c r="X1192" s="11">
        <v>426</v>
      </c>
      <c r="Y1192" s="15" t="s">
        <v>3737</v>
      </c>
      <c r="Z1192" s="16">
        <v>21.85</v>
      </c>
      <c r="AA1192" s="17">
        <v>218.5</v>
      </c>
      <c r="AB1192" s="18" t="s">
        <v>4100</v>
      </c>
    </row>
    <row r="1193" spans="1:28" x14ac:dyDescent="0.45">
      <c r="A1193" s="2" t="s">
        <v>1786</v>
      </c>
      <c r="B1193" s="2" t="s">
        <v>6288</v>
      </c>
      <c r="C1193" s="2" t="s">
        <v>1110</v>
      </c>
      <c r="D1193" s="2" t="s">
        <v>1509</v>
      </c>
      <c r="E1193" s="2" t="s">
        <v>96</v>
      </c>
      <c r="F1193" s="3">
        <v>55</v>
      </c>
      <c r="G1193" s="3">
        <v>61</v>
      </c>
      <c r="H1193" s="2" t="s">
        <v>1149</v>
      </c>
      <c r="I1193" s="19">
        <v>12</v>
      </c>
      <c r="J1193" s="34">
        <f t="shared" si="72"/>
        <v>0.10439999999999999</v>
      </c>
      <c r="K1193" s="34">
        <f t="shared" si="73"/>
        <v>0.16</v>
      </c>
      <c r="L1193" s="34">
        <f t="shared" si="74"/>
        <v>0.64</v>
      </c>
      <c r="M1193" s="20" t="s">
        <v>4101</v>
      </c>
      <c r="N1193" s="20" t="s">
        <v>3891</v>
      </c>
      <c r="O1193" s="20" t="s">
        <v>3892</v>
      </c>
      <c r="P1193" s="20" t="s">
        <v>3893</v>
      </c>
      <c r="Q1193" s="21">
        <v>55</v>
      </c>
      <c r="R1193" s="21">
        <v>61</v>
      </c>
      <c r="S1193" s="21">
        <v>3</v>
      </c>
      <c r="T1193" s="22">
        <v>0.3</v>
      </c>
      <c r="U1193" s="13">
        <f t="shared" si="75"/>
        <v>-0.34</v>
      </c>
      <c r="V1193" s="23">
        <v>36.75</v>
      </c>
      <c r="W1193" s="23">
        <v>36.75</v>
      </c>
      <c r="X1193" s="20">
        <v>42</v>
      </c>
      <c r="Y1193" s="24" t="s">
        <v>3713</v>
      </c>
      <c r="Z1193" s="16">
        <v>24.75</v>
      </c>
      <c r="AA1193" s="17">
        <v>206.2</v>
      </c>
      <c r="AB1193" s="25" t="s">
        <v>3714</v>
      </c>
    </row>
    <row r="1194" spans="1:28" x14ac:dyDescent="0.45">
      <c r="A1194" s="4" t="s">
        <v>1787</v>
      </c>
      <c r="B1194" s="4" t="s">
        <v>6289</v>
      </c>
      <c r="C1194" s="4" t="s">
        <v>1110</v>
      </c>
      <c r="D1194" s="4" t="s">
        <v>1509</v>
      </c>
      <c r="E1194" s="4" t="s">
        <v>96</v>
      </c>
      <c r="F1194" s="5">
        <v>55</v>
      </c>
      <c r="G1194" s="5">
        <v>63</v>
      </c>
      <c r="H1194" s="4" t="s">
        <v>1216</v>
      </c>
      <c r="I1194" s="10">
        <v>17</v>
      </c>
      <c r="J1194" s="34">
        <f t="shared" si="72"/>
        <v>0.14789999999999998</v>
      </c>
      <c r="K1194" s="34">
        <f t="shared" si="73"/>
        <v>0.22</v>
      </c>
      <c r="L1194" s="34">
        <f t="shared" si="74"/>
        <v>0.88</v>
      </c>
      <c r="M1194" s="11" t="s">
        <v>4461</v>
      </c>
      <c r="N1194" s="11" t="s">
        <v>3891</v>
      </c>
      <c r="O1194" s="11" t="s">
        <v>3892</v>
      </c>
      <c r="P1194" s="11" t="s">
        <v>3893</v>
      </c>
      <c r="Q1194" s="12">
        <v>55</v>
      </c>
      <c r="R1194" s="12">
        <v>63</v>
      </c>
      <c r="S1194" s="12">
        <v>4</v>
      </c>
      <c r="T1194" s="13">
        <v>0.4</v>
      </c>
      <c r="U1194" s="13">
        <f t="shared" si="75"/>
        <v>-0.48</v>
      </c>
      <c r="V1194" s="14">
        <v>49</v>
      </c>
      <c r="W1194" s="14">
        <v>49</v>
      </c>
      <c r="X1194" s="11">
        <v>161</v>
      </c>
      <c r="Y1194" s="15" t="s">
        <v>3713</v>
      </c>
      <c r="Z1194" s="16">
        <v>32</v>
      </c>
      <c r="AA1194" s="17">
        <v>188.2</v>
      </c>
      <c r="AB1194" s="18" t="s">
        <v>3714</v>
      </c>
    </row>
    <row r="1195" spans="1:28" x14ac:dyDescent="0.45">
      <c r="A1195" s="2" t="s">
        <v>1788</v>
      </c>
      <c r="B1195" s="2" t="s">
        <v>6290</v>
      </c>
      <c r="C1195" s="2" t="s">
        <v>1110</v>
      </c>
      <c r="D1195" s="2" t="s">
        <v>1509</v>
      </c>
      <c r="E1195" s="2" t="s">
        <v>96</v>
      </c>
      <c r="F1195" s="3">
        <v>55</v>
      </c>
      <c r="G1195" s="3">
        <v>65</v>
      </c>
      <c r="H1195" s="2" t="s">
        <v>1245</v>
      </c>
      <c r="I1195" s="19">
        <v>22</v>
      </c>
      <c r="J1195" s="34">
        <f t="shared" si="72"/>
        <v>0.19139999999999999</v>
      </c>
      <c r="K1195" s="34">
        <f t="shared" si="73"/>
        <v>0.28999999999999998</v>
      </c>
      <c r="L1195" s="34">
        <f t="shared" si="74"/>
        <v>1.1599999999999999</v>
      </c>
      <c r="M1195" s="20" t="s">
        <v>4462</v>
      </c>
      <c r="N1195" s="20" t="s">
        <v>3891</v>
      </c>
      <c r="O1195" s="20" t="s">
        <v>3892</v>
      </c>
      <c r="P1195" s="20" t="s">
        <v>3893</v>
      </c>
      <c r="Q1195" s="21">
        <v>55</v>
      </c>
      <c r="R1195" s="21">
        <v>65</v>
      </c>
      <c r="S1195" s="21">
        <v>5</v>
      </c>
      <c r="T1195" s="22">
        <v>0.42</v>
      </c>
      <c r="U1195" s="13">
        <f t="shared" si="75"/>
        <v>-0.74</v>
      </c>
      <c r="V1195" s="23">
        <v>51.45</v>
      </c>
      <c r="W1195" s="23">
        <v>51.45</v>
      </c>
      <c r="X1195" s="20">
        <v>195</v>
      </c>
      <c r="Y1195" s="24" t="s">
        <v>3713</v>
      </c>
      <c r="Z1195" s="16">
        <v>29.45</v>
      </c>
      <c r="AA1195" s="17">
        <v>133.9</v>
      </c>
      <c r="AB1195" s="25" t="s">
        <v>3714</v>
      </c>
    </row>
    <row r="1196" spans="1:28" x14ac:dyDescent="0.45">
      <c r="A1196" s="4" t="s">
        <v>1789</v>
      </c>
      <c r="B1196" s="4" t="s">
        <v>6291</v>
      </c>
      <c r="C1196" s="4" t="s">
        <v>1110</v>
      </c>
      <c r="D1196" s="4" t="s">
        <v>1509</v>
      </c>
      <c r="E1196" s="4" t="s">
        <v>96</v>
      </c>
      <c r="F1196" s="5">
        <v>56.52</v>
      </c>
      <c r="G1196" s="5">
        <v>67.180000000000007</v>
      </c>
      <c r="H1196" s="4" t="s">
        <v>1201</v>
      </c>
      <c r="I1196" s="10">
        <v>23</v>
      </c>
      <c r="J1196" s="34">
        <f t="shared" si="72"/>
        <v>0.2001</v>
      </c>
      <c r="K1196" s="34">
        <f t="shared" si="73"/>
        <v>0.3</v>
      </c>
      <c r="L1196" s="34">
        <f t="shared" si="74"/>
        <v>1.2</v>
      </c>
      <c r="M1196" s="11" t="s">
        <v>4102</v>
      </c>
      <c r="N1196" s="11" t="s">
        <v>3891</v>
      </c>
      <c r="O1196" s="11" t="s">
        <v>3892</v>
      </c>
      <c r="P1196" s="11" t="s">
        <v>3893</v>
      </c>
      <c r="Q1196" s="12">
        <v>56.642000000000003</v>
      </c>
      <c r="R1196" s="12">
        <v>67.31</v>
      </c>
      <c r="S1196" s="12">
        <v>5.3339999999999996</v>
      </c>
      <c r="T1196" s="13">
        <v>0.55000000000000004</v>
      </c>
      <c r="U1196" s="13">
        <f t="shared" si="75"/>
        <v>-0.64999999999999991</v>
      </c>
      <c r="V1196" s="14">
        <v>67.38</v>
      </c>
      <c r="W1196" s="14">
        <v>67.38</v>
      </c>
      <c r="X1196" s="11">
        <v>1422</v>
      </c>
      <c r="Y1196" s="15" t="s">
        <v>3737</v>
      </c>
      <c r="Z1196" s="16">
        <v>44.38</v>
      </c>
      <c r="AA1196" s="17">
        <v>193</v>
      </c>
      <c r="AB1196" s="18" t="s">
        <v>4016</v>
      </c>
    </row>
    <row r="1197" spans="1:28" x14ac:dyDescent="0.45">
      <c r="A1197" s="2" t="s">
        <v>1790</v>
      </c>
      <c r="B1197" s="2" t="s">
        <v>6292</v>
      </c>
      <c r="C1197" s="2" t="s">
        <v>1110</v>
      </c>
      <c r="D1197" s="2" t="s">
        <v>1509</v>
      </c>
      <c r="E1197" s="2" t="s">
        <v>96</v>
      </c>
      <c r="F1197" s="3">
        <v>56.74</v>
      </c>
      <c r="G1197" s="3">
        <v>63.8</v>
      </c>
      <c r="H1197" s="2" t="s">
        <v>1156</v>
      </c>
      <c r="I1197" s="19">
        <v>13</v>
      </c>
      <c r="J1197" s="34">
        <f t="shared" si="72"/>
        <v>0.11309999999999999</v>
      </c>
      <c r="K1197" s="34">
        <f t="shared" si="73"/>
        <v>0.17</v>
      </c>
      <c r="L1197" s="34">
        <f t="shared" si="74"/>
        <v>0.68</v>
      </c>
      <c r="M1197" s="20" t="s">
        <v>4103</v>
      </c>
      <c r="N1197" s="20" t="s">
        <v>3898</v>
      </c>
      <c r="O1197" s="20" t="s">
        <v>3892</v>
      </c>
      <c r="P1197" s="20" t="s">
        <v>3899</v>
      </c>
      <c r="Q1197" s="21">
        <v>56.642000000000003</v>
      </c>
      <c r="R1197" s="21">
        <v>63.753999999999998</v>
      </c>
      <c r="S1197" s="21">
        <v>3.556</v>
      </c>
      <c r="T1197" s="22">
        <v>0.6</v>
      </c>
      <c r="U1197" s="13">
        <f t="shared" si="75"/>
        <v>-8.0000000000000071E-2</v>
      </c>
      <c r="V1197" s="23">
        <v>73.5</v>
      </c>
      <c r="W1197" s="23">
        <v>73.5</v>
      </c>
      <c r="X1197" s="20">
        <v>248</v>
      </c>
      <c r="Y1197" s="24" t="s">
        <v>3737</v>
      </c>
      <c r="Z1197" s="16">
        <v>60.5</v>
      </c>
      <c r="AA1197" s="17">
        <v>465.4</v>
      </c>
      <c r="AB1197" s="25" t="s">
        <v>3963</v>
      </c>
    </row>
    <row r="1198" spans="1:28" x14ac:dyDescent="0.45">
      <c r="A1198" s="4" t="s">
        <v>1791</v>
      </c>
      <c r="B1198" s="4" t="s">
        <v>6293</v>
      </c>
      <c r="C1198" s="4" t="s">
        <v>1110</v>
      </c>
      <c r="D1198" s="4" t="s">
        <v>1509</v>
      </c>
      <c r="E1198" s="4" t="s">
        <v>96</v>
      </c>
      <c r="F1198" s="5">
        <v>56.82</v>
      </c>
      <c r="G1198" s="5">
        <v>62.06</v>
      </c>
      <c r="H1198" s="4" t="s">
        <v>1127</v>
      </c>
      <c r="I1198" s="10">
        <v>10</v>
      </c>
      <c r="J1198" s="34">
        <f t="shared" si="72"/>
        <v>8.6999999999999994E-2</v>
      </c>
      <c r="K1198" s="34">
        <f t="shared" si="73"/>
        <v>0.13</v>
      </c>
      <c r="L1198" s="34">
        <f t="shared" si="74"/>
        <v>0.52</v>
      </c>
      <c r="M1198" s="11" t="s">
        <v>4104</v>
      </c>
      <c r="N1198" s="11" t="s">
        <v>3891</v>
      </c>
      <c r="O1198" s="11" t="s">
        <v>3892</v>
      </c>
      <c r="P1198" s="11" t="s">
        <v>3893</v>
      </c>
      <c r="Q1198" s="12">
        <v>57</v>
      </c>
      <c r="R1198" s="12">
        <v>62</v>
      </c>
      <c r="S1198" s="12">
        <v>2.5</v>
      </c>
      <c r="T1198" s="13">
        <v>0.2</v>
      </c>
      <c r="U1198" s="13">
        <f t="shared" si="75"/>
        <v>-0.32</v>
      </c>
      <c r="V1198" s="14">
        <v>24.5</v>
      </c>
      <c r="W1198" s="14">
        <v>24.5</v>
      </c>
      <c r="X1198" s="11">
        <v>31</v>
      </c>
      <c r="Y1198" s="15" t="s">
        <v>3713</v>
      </c>
      <c r="Z1198" s="16">
        <v>14.5</v>
      </c>
      <c r="AA1198" s="17">
        <v>145</v>
      </c>
      <c r="AB1198" s="18" t="s">
        <v>4011</v>
      </c>
    </row>
    <row r="1199" spans="1:28" x14ac:dyDescent="0.45">
      <c r="A1199" s="2" t="s">
        <v>1792</v>
      </c>
      <c r="B1199" s="2" t="s">
        <v>6294</v>
      </c>
      <c r="C1199" s="2" t="s">
        <v>1110</v>
      </c>
      <c r="D1199" s="2" t="s">
        <v>1509</v>
      </c>
      <c r="E1199" s="2" t="s">
        <v>96</v>
      </c>
      <c r="F1199" s="3">
        <v>56.87</v>
      </c>
      <c r="G1199" s="3">
        <v>60.43</v>
      </c>
      <c r="H1199" s="2" t="s">
        <v>1114</v>
      </c>
      <c r="I1199" s="19">
        <v>7</v>
      </c>
      <c r="J1199" s="34">
        <f t="shared" si="72"/>
        <v>6.0899999999999996E-2</v>
      </c>
      <c r="K1199" s="34">
        <f t="shared" si="73"/>
        <v>0.09</v>
      </c>
      <c r="L1199" s="34">
        <f t="shared" si="74"/>
        <v>0.36</v>
      </c>
      <c r="M1199" s="20" t="s">
        <v>4105</v>
      </c>
      <c r="N1199" s="20" t="s">
        <v>3891</v>
      </c>
      <c r="O1199" s="20" t="s">
        <v>3892</v>
      </c>
      <c r="P1199" s="20" t="s">
        <v>3893</v>
      </c>
      <c r="Q1199" s="21">
        <v>56.896000000000001</v>
      </c>
      <c r="R1199" s="21">
        <v>60.451999999999998</v>
      </c>
      <c r="S1199" s="21">
        <v>1.778</v>
      </c>
      <c r="T1199" s="22">
        <v>0.2</v>
      </c>
      <c r="U1199" s="13">
        <f t="shared" si="75"/>
        <v>-0.15999999999999998</v>
      </c>
      <c r="V1199" s="23">
        <v>24.5</v>
      </c>
      <c r="W1199" s="23">
        <v>24.5</v>
      </c>
      <c r="X1199" s="20">
        <v>777</v>
      </c>
      <c r="Y1199" s="24" t="s">
        <v>3737</v>
      </c>
      <c r="Z1199" s="16">
        <v>17.5</v>
      </c>
      <c r="AA1199" s="17">
        <v>250</v>
      </c>
      <c r="AB1199" s="25" t="s">
        <v>3967</v>
      </c>
    </row>
    <row r="1200" spans="1:28" x14ac:dyDescent="0.45">
      <c r="A1200" s="4" t="s">
        <v>1793</v>
      </c>
      <c r="B1200" s="4" t="s">
        <v>6295</v>
      </c>
      <c r="C1200" s="4" t="s">
        <v>1110</v>
      </c>
      <c r="D1200" s="4" t="s">
        <v>1509</v>
      </c>
      <c r="E1200" s="4" t="s">
        <v>96</v>
      </c>
      <c r="F1200" s="5">
        <v>56</v>
      </c>
      <c r="G1200" s="5">
        <v>61</v>
      </c>
      <c r="H1200" s="4" t="s">
        <v>1135</v>
      </c>
      <c r="I1200" s="10">
        <v>10</v>
      </c>
      <c r="J1200" s="34">
        <f t="shared" si="72"/>
        <v>8.6999999999999994E-2</v>
      </c>
      <c r="K1200" s="34">
        <f t="shared" si="73"/>
        <v>0.13</v>
      </c>
      <c r="L1200" s="34">
        <f t="shared" si="74"/>
        <v>0.52</v>
      </c>
      <c r="M1200" s="11" t="s">
        <v>4463</v>
      </c>
      <c r="N1200" s="11" t="s">
        <v>3891</v>
      </c>
      <c r="O1200" s="11" t="s">
        <v>3892</v>
      </c>
      <c r="P1200" s="11" t="s">
        <v>3893</v>
      </c>
      <c r="Q1200" s="12">
        <v>56</v>
      </c>
      <c r="R1200" s="12">
        <v>61</v>
      </c>
      <c r="S1200" s="12">
        <v>2.5</v>
      </c>
      <c r="T1200" s="13">
        <v>0.28000000000000003</v>
      </c>
      <c r="U1200" s="13">
        <f t="shared" si="75"/>
        <v>-0.24</v>
      </c>
      <c r="V1200" s="14">
        <v>34.299999999999997</v>
      </c>
      <c r="W1200" s="14">
        <v>34.299999999999997</v>
      </c>
      <c r="X1200" s="11">
        <v>93</v>
      </c>
      <c r="Y1200" s="15" t="s">
        <v>3713</v>
      </c>
      <c r="Z1200" s="16">
        <v>24.3</v>
      </c>
      <c r="AA1200" s="17">
        <v>243</v>
      </c>
      <c r="AB1200" s="18" t="s">
        <v>3714</v>
      </c>
    </row>
    <row r="1201" spans="1:28" x14ac:dyDescent="0.45">
      <c r="A1201" s="2" t="s">
        <v>1794</v>
      </c>
      <c r="B1201" s="2" t="s">
        <v>6296</v>
      </c>
      <c r="C1201" s="2" t="s">
        <v>1110</v>
      </c>
      <c r="D1201" s="2" t="s">
        <v>1509</v>
      </c>
      <c r="E1201" s="2" t="s">
        <v>96</v>
      </c>
      <c r="F1201" s="3">
        <v>56</v>
      </c>
      <c r="G1201" s="3">
        <v>64</v>
      </c>
      <c r="H1201" s="2" t="s">
        <v>1216</v>
      </c>
      <c r="I1201" s="19">
        <v>17</v>
      </c>
      <c r="J1201" s="34">
        <f t="shared" si="72"/>
        <v>0.14789999999999998</v>
      </c>
      <c r="K1201" s="34">
        <f t="shared" si="73"/>
        <v>0.22</v>
      </c>
      <c r="L1201" s="34">
        <f t="shared" si="74"/>
        <v>0.88</v>
      </c>
      <c r="M1201" s="20" t="s">
        <v>4464</v>
      </c>
      <c r="N1201" s="20" t="s">
        <v>3891</v>
      </c>
      <c r="O1201" s="20" t="s">
        <v>3892</v>
      </c>
      <c r="P1201" s="20" t="s">
        <v>3893</v>
      </c>
      <c r="Q1201" s="21">
        <v>56</v>
      </c>
      <c r="R1201" s="21">
        <v>64</v>
      </c>
      <c r="S1201" s="21">
        <v>4</v>
      </c>
      <c r="T1201" s="22">
        <v>0.27</v>
      </c>
      <c r="U1201" s="13">
        <f t="shared" si="75"/>
        <v>-0.61</v>
      </c>
      <c r="V1201" s="23">
        <v>33.08</v>
      </c>
      <c r="W1201" s="23">
        <v>33.08</v>
      </c>
      <c r="X1201" s="20">
        <v>108</v>
      </c>
      <c r="Y1201" s="24" t="s">
        <v>3713</v>
      </c>
      <c r="Z1201" s="16">
        <v>16.079999999999998</v>
      </c>
      <c r="AA1201" s="17">
        <v>94.6</v>
      </c>
      <c r="AB1201" s="25" t="s">
        <v>3714</v>
      </c>
    </row>
    <row r="1202" spans="1:28" x14ac:dyDescent="0.45">
      <c r="A1202" s="4" t="s">
        <v>1795</v>
      </c>
      <c r="B1202" s="4" t="s">
        <v>6297</v>
      </c>
      <c r="C1202" s="4" t="s">
        <v>1110</v>
      </c>
      <c r="D1202" s="4" t="s">
        <v>1509</v>
      </c>
      <c r="E1202" s="4" t="s">
        <v>96</v>
      </c>
      <c r="F1202" s="5">
        <v>57</v>
      </c>
      <c r="G1202" s="5">
        <v>63</v>
      </c>
      <c r="H1202" s="4" t="s">
        <v>1149</v>
      </c>
      <c r="I1202" s="10">
        <v>12</v>
      </c>
      <c r="J1202" s="34">
        <f t="shared" si="72"/>
        <v>0.10439999999999999</v>
      </c>
      <c r="K1202" s="34">
        <f t="shared" si="73"/>
        <v>0.16</v>
      </c>
      <c r="L1202" s="34">
        <f t="shared" si="74"/>
        <v>0.64</v>
      </c>
      <c r="M1202" s="11" t="s">
        <v>4465</v>
      </c>
      <c r="N1202" s="11" t="s">
        <v>3891</v>
      </c>
      <c r="O1202" s="11" t="s">
        <v>3892</v>
      </c>
      <c r="P1202" s="11" t="s">
        <v>3893</v>
      </c>
      <c r="Q1202" s="12">
        <v>57</v>
      </c>
      <c r="R1202" s="12">
        <v>63</v>
      </c>
      <c r="S1202" s="12">
        <v>3</v>
      </c>
      <c r="T1202" s="13">
        <v>0.25</v>
      </c>
      <c r="U1202" s="13">
        <f t="shared" si="75"/>
        <v>-0.39</v>
      </c>
      <c r="V1202" s="14">
        <v>30.62</v>
      </c>
      <c r="W1202" s="14">
        <v>30.62</v>
      </c>
      <c r="X1202" s="11">
        <v>617</v>
      </c>
      <c r="Y1202" s="15" t="s">
        <v>3713</v>
      </c>
      <c r="Z1202" s="16">
        <v>18.62</v>
      </c>
      <c r="AA1202" s="17">
        <v>155.19999999999999</v>
      </c>
      <c r="AB1202" s="18" t="s">
        <v>3714</v>
      </c>
    </row>
    <row r="1203" spans="1:28" x14ac:dyDescent="0.45">
      <c r="A1203" s="2" t="s">
        <v>1796</v>
      </c>
      <c r="B1203" s="2" t="s">
        <v>6298</v>
      </c>
      <c r="C1203" s="2" t="s">
        <v>1110</v>
      </c>
      <c r="D1203" s="2" t="s">
        <v>1509</v>
      </c>
      <c r="E1203" s="2" t="s">
        <v>96</v>
      </c>
      <c r="F1203" s="3">
        <v>57</v>
      </c>
      <c r="G1203" s="3">
        <v>65</v>
      </c>
      <c r="H1203" s="2" t="s">
        <v>1216</v>
      </c>
      <c r="I1203" s="19">
        <v>17</v>
      </c>
      <c r="J1203" s="34">
        <f t="shared" si="72"/>
        <v>0.14789999999999998</v>
      </c>
      <c r="K1203" s="34">
        <f t="shared" si="73"/>
        <v>0.22</v>
      </c>
      <c r="L1203" s="34">
        <f t="shared" si="74"/>
        <v>0.88</v>
      </c>
      <c r="M1203" s="20" t="s">
        <v>4106</v>
      </c>
      <c r="N1203" s="20" t="s">
        <v>3898</v>
      </c>
      <c r="O1203" s="20" t="s">
        <v>3892</v>
      </c>
      <c r="P1203" s="20" t="s">
        <v>3899</v>
      </c>
      <c r="Q1203" s="21">
        <v>57</v>
      </c>
      <c r="R1203" s="21">
        <v>65</v>
      </c>
      <c r="S1203" s="21">
        <v>4</v>
      </c>
      <c r="T1203" s="22">
        <v>2.5</v>
      </c>
      <c r="U1203" s="13">
        <f t="shared" si="75"/>
        <v>1.62</v>
      </c>
      <c r="V1203" s="23">
        <v>306.25</v>
      </c>
      <c r="W1203" s="23">
        <v>306.25</v>
      </c>
      <c r="X1203" s="20">
        <v>5</v>
      </c>
      <c r="Y1203" s="24" t="s">
        <v>3713</v>
      </c>
      <c r="Z1203" s="16">
        <v>289.25</v>
      </c>
      <c r="AA1203" s="17">
        <v>1701.5</v>
      </c>
      <c r="AB1203" s="25" t="s">
        <v>3714</v>
      </c>
    </row>
    <row r="1204" spans="1:28" x14ac:dyDescent="0.45">
      <c r="A1204" s="4" t="s">
        <v>1797</v>
      </c>
      <c r="B1204" s="4" t="s">
        <v>6299</v>
      </c>
      <c r="C1204" s="4" t="s">
        <v>1110</v>
      </c>
      <c r="D1204" s="4" t="s">
        <v>1509</v>
      </c>
      <c r="E1204" s="4" t="s">
        <v>96</v>
      </c>
      <c r="F1204" s="5">
        <v>58.42</v>
      </c>
      <c r="G1204" s="5">
        <v>63.66</v>
      </c>
      <c r="H1204" s="4" t="s">
        <v>1127</v>
      </c>
      <c r="I1204" s="10">
        <v>10</v>
      </c>
      <c r="J1204" s="34">
        <f t="shared" si="72"/>
        <v>8.6999999999999994E-2</v>
      </c>
      <c r="K1204" s="34">
        <f t="shared" si="73"/>
        <v>0.13</v>
      </c>
      <c r="L1204" s="34">
        <f t="shared" si="74"/>
        <v>0.52</v>
      </c>
      <c r="M1204" s="11" t="s">
        <v>4107</v>
      </c>
      <c r="N1204" s="11" t="s">
        <v>3898</v>
      </c>
      <c r="O1204" s="11" t="s">
        <v>3892</v>
      </c>
      <c r="P1204" s="11" t="s">
        <v>3899</v>
      </c>
      <c r="Q1204" s="12">
        <v>58.42</v>
      </c>
      <c r="R1204" s="12">
        <v>63.753999999999998</v>
      </c>
      <c r="S1204" s="12">
        <v>2.54</v>
      </c>
      <c r="T1204" s="13">
        <v>3.21</v>
      </c>
      <c r="U1204" s="13">
        <f t="shared" si="75"/>
        <v>2.69</v>
      </c>
      <c r="V1204" s="14">
        <v>393.22</v>
      </c>
      <c r="W1204" s="14">
        <v>393.22</v>
      </c>
      <c r="X1204" s="11" t="s">
        <v>3722</v>
      </c>
      <c r="Y1204" s="15" t="s">
        <v>3737</v>
      </c>
      <c r="Z1204" s="16">
        <v>383.22</v>
      </c>
      <c r="AA1204" s="17">
        <v>3832.2</v>
      </c>
      <c r="AB1204" s="18" t="s">
        <v>4108</v>
      </c>
    </row>
    <row r="1205" spans="1:28" x14ac:dyDescent="0.45">
      <c r="A1205" s="2" t="s">
        <v>1798</v>
      </c>
      <c r="B1205" s="2" t="s">
        <v>6300</v>
      </c>
      <c r="C1205" s="2" t="s">
        <v>1110</v>
      </c>
      <c r="D1205" s="2" t="s">
        <v>1509</v>
      </c>
      <c r="E1205" s="2" t="s">
        <v>96</v>
      </c>
      <c r="F1205" s="3">
        <v>58</v>
      </c>
      <c r="G1205" s="3">
        <v>64</v>
      </c>
      <c r="H1205" s="2" t="s">
        <v>1149</v>
      </c>
      <c r="I1205" s="19">
        <v>12</v>
      </c>
      <c r="J1205" s="34">
        <f t="shared" si="72"/>
        <v>0.10439999999999999</v>
      </c>
      <c r="K1205" s="34">
        <f t="shared" si="73"/>
        <v>0.16</v>
      </c>
      <c r="L1205" s="34">
        <f t="shared" si="74"/>
        <v>0.64</v>
      </c>
      <c r="M1205" s="20" t="s">
        <v>4466</v>
      </c>
      <c r="N1205" s="20" t="s">
        <v>3891</v>
      </c>
      <c r="O1205" s="20" t="s">
        <v>3892</v>
      </c>
      <c r="P1205" s="20" t="s">
        <v>3893</v>
      </c>
      <c r="Q1205" s="21">
        <v>58</v>
      </c>
      <c r="R1205" s="21">
        <v>64</v>
      </c>
      <c r="S1205" s="21">
        <v>3</v>
      </c>
      <c r="T1205" s="22">
        <v>0.31</v>
      </c>
      <c r="U1205" s="13">
        <f t="shared" si="75"/>
        <v>-0.33</v>
      </c>
      <c r="V1205" s="23">
        <v>37.979999999999997</v>
      </c>
      <c r="W1205" s="23">
        <v>37.979999999999997</v>
      </c>
      <c r="X1205" s="20">
        <v>52</v>
      </c>
      <c r="Y1205" s="24" t="s">
        <v>3713</v>
      </c>
      <c r="Z1205" s="16">
        <v>25.98</v>
      </c>
      <c r="AA1205" s="17">
        <v>216.5</v>
      </c>
      <c r="AB1205" s="25" t="s">
        <v>3714</v>
      </c>
    </row>
    <row r="1206" spans="1:28" x14ac:dyDescent="0.45">
      <c r="A1206" s="4" t="s">
        <v>1799</v>
      </c>
      <c r="B1206" s="4" t="s">
        <v>6301</v>
      </c>
      <c r="C1206" s="4" t="s">
        <v>1110</v>
      </c>
      <c r="D1206" s="4" t="s">
        <v>1509</v>
      </c>
      <c r="E1206" s="4" t="s">
        <v>96</v>
      </c>
      <c r="F1206" s="5">
        <v>59.2</v>
      </c>
      <c r="G1206" s="5">
        <v>70.600000000000009</v>
      </c>
      <c r="H1206" s="4" t="s">
        <v>1297</v>
      </c>
      <c r="I1206" s="10">
        <v>34</v>
      </c>
      <c r="J1206" s="34">
        <f t="shared" si="72"/>
        <v>0.29579999999999995</v>
      </c>
      <c r="K1206" s="34">
        <f t="shared" si="73"/>
        <v>0.44</v>
      </c>
      <c r="L1206" s="34">
        <f t="shared" si="74"/>
        <v>1.76</v>
      </c>
      <c r="M1206" s="11" t="s">
        <v>4467</v>
      </c>
      <c r="N1206" s="11" t="s">
        <v>3891</v>
      </c>
      <c r="O1206" s="11" t="s">
        <v>3892</v>
      </c>
      <c r="P1206" s="11" t="s">
        <v>3893</v>
      </c>
      <c r="Q1206" s="12">
        <v>59.3</v>
      </c>
      <c r="R1206" s="12">
        <v>70.7</v>
      </c>
      <c r="S1206" s="12">
        <v>5.7</v>
      </c>
      <c r="T1206" s="13">
        <v>0.56000000000000005</v>
      </c>
      <c r="U1206" s="13">
        <f t="shared" si="75"/>
        <v>-1.2</v>
      </c>
      <c r="V1206" s="14">
        <v>68.599999999999994</v>
      </c>
      <c r="W1206" s="14">
        <v>68.599999999999994</v>
      </c>
      <c r="X1206" s="11">
        <v>3323</v>
      </c>
      <c r="Y1206" s="15" t="s">
        <v>3713</v>
      </c>
      <c r="Z1206" s="16">
        <v>34.599999999999987</v>
      </c>
      <c r="AA1206" s="17">
        <v>101.8</v>
      </c>
      <c r="AB1206" s="18" t="s">
        <v>4119</v>
      </c>
    </row>
    <row r="1207" spans="1:28" x14ac:dyDescent="0.45">
      <c r="A1207" s="2" t="s">
        <v>1800</v>
      </c>
      <c r="B1207" s="2" t="s">
        <v>6302</v>
      </c>
      <c r="C1207" s="2" t="s">
        <v>1110</v>
      </c>
      <c r="D1207" s="2" t="s">
        <v>1509</v>
      </c>
      <c r="E1207" s="2" t="s">
        <v>96</v>
      </c>
      <c r="F1207" s="3">
        <v>59.4</v>
      </c>
      <c r="G1207" s="3">
        <v>65.599999999999994</v>
      </c>
      <c r="H1207" s="2" t="s">
        <v>1221</v>
      </c>
      <c r="I1207" s="19">
        <v>17</v>
      </c>
      <c r="J1207" s="34">
        <f t="shared" si="72"/>
        <v>0.14789999999999998</v>
      </c>
      <c r="K1207" s="34">
        <f t="shared" si="73"/>
        <v>0.22</v>
      </c>
      <c r="L1207" s="34">
        <f t="shared" si="74"/>
        <v>0.88</v>
      </c>
      <c r="M1207" s="20" t="s">
        <v>4109</v>
      </c>
      <c r="N1207" s="20" t="s">
        <v>3891</v>
      </c>
      <c r="O1207" s="20" t="s">
        <v>3892</v>
      </c>
      <c r="P1207" s="20" t="s">
        <v>3893</v>
      </c>
      <c r="Q1207" s="21">
        <v>59.4</v>
      </c>
      <c r="R1207" s="21">
        <v>65.599999999999994</v>
      </c>
      <c r="S1207" s="21">
        <v>3.1</v>
      </c>
      <c r="T1207" s="22">
        <v>0.55000000000000004</v>
      </c>
      <c r="U1207" s="13">
        <f t="shared" si="75"/>
        <v>-0.32999999999999996</v>
      </c>
      <c r="V1207" s="23">
        <v>67.38</v>
      </c>
      <c r="W1207" s="23">
        <v>67.38</v>
      </c>
      <c r="X1207" s="20">
        <v>55</v>
      </c>
      <c r="Y1207" s="24" t="s">
        <v>3713</v>
      </c>
      <c r="Z1207" s="16">
        <v>50.38</v>
      </c>
      <c r="AA1207" s="17">
        <v>296.39999999999998</v>
      </c>
      <c r="AB1207" s="25" t="s">
        <v>3714</v>
      </c>
    </row>
    <row r="1208" spans="1:28" x14ac:dyDescent="0.45">
      <c r="A1208" s="4" t="s">
        <v>1801</v>
      </c>
      <c r="B1208" s="4" t="s">
        <v>6303</v>
      </c>
      <c r="C1208" s="4" t="s">
        <v>1110</v>
      </c>
      <c r="D1208" s="4" t="s">
        <v>1509</v>
      </c>
      <c r="E1208" s="4" t="s">
        <v>96</v>
      </c>
      <c r="F1208" s="5">
        <v>59.69</v>
      </c>
      <c r="G1208" s="5">
        <v>70.349999999999994</v>
      </c>
      <c r="H1208" s="4" t="s">
        <v>1201</v>
      </c>
      <c r="I1208" s="10">
        <v>25</v>
      </c>
      <c r="J1208" s="34">
        <f t="shared" si="72"/>
        <v>0.21749999999999997</v>
      </c>
      <c r="K1208" s="34">
        <f t="shared" si="73"/>
        <v>0.33</v>
      </c>
      <c r="L1208" s="34">
        <f t="shared" si="74"/>
        <v>1.32</v>
      </c>
      <c r="M1208" s="11" t="s">
        <v>4110</v>
      </c>
      <c r="N1208" s="11" t="s">
        <v>3891</v>
      </c>
      <c r="O1208" s="11" t="s">
        <v>3892</v>
      </c>
      <c r="P1208" s="11" t="s">
        <v>3893</v>
      </c>
      <c r="Q1208" s="12">
        <v>59.69</v>
      </c>
      <c r="R1208" s="12">
        <v>70.358000000000004</v>
      </c>
      <c r="S1208" s="12">
        <v>5.3339999999999996</v>
      </c>
      <c r="T1208" s="13">
        <v>0.41</v>
      </c>
      <c r="U1208" s="13">
        <f t="shared" si="75"/>
        <v>-0.91000000000000014</v>
      </c>
      <c r="V1208" s="14">
        <v>50.22</v>
      </c>
      <c r="W1208" s="14">
        <v>50.22</v>
      </c>
      <c r="X1208" s="11">
        <v>501</v>
      </c>
      <c r="Y1208" s="15" t="s">
        <v>3737</v>
      </c>
      <c r="Z1208" s="16">
        <v>25.22</v>
      </c>
      <c r="AA1208" s="17">
        <v>100.9</v>
      </c>
      <c r="AB1208" s="18" t="s">
        <v>4032</v>
      </c>
    </row>
    <row r="1209" spans="1:28" x14ac:dyDescent="0.45">
      <c r="A1209" s="2" t="s">
        <v>1802</v>
      </c>
      <c r="B1209" s="2" t="s">
        <v>6304</v>
      </c>
      <c r="C1209" s="2" t="s">
        <v>1110</v>
      </c>
      <c r="D1209" s="2" t="s">
        <v>1509</v>
      </c>
      <c r="E1209" s="2" t="s">
        <v>96</v>
      </c>
      <c r="F1209" s="3">
        <v>59.92</v>
      </c>
      <c r="G1209" s="3">
        <v>66.98</v>
      </c>
      <c r="H1209" s="2" t="s">
        <v>1156</v>
      </c>
      <c r="I1209" s="19">
        <v>15</v>
      </c>
      <c r="J1209" s="34">
        <f t="shared" si="72"/>
        <v>0.1305</v>
      </c>
      <c r="K1209" s="34">
        <f t="shared" si="73"/>
        <v>0.2</v>
      </c>
      <c r="L1209" s="34">
        <f t="shared" si="74"/>
        <v>0.8</v>
      </c>
      <c r="M1209" s="20" t="s">
        <v>4111</v>
      </c>
      <c r="N1209" s="20" t="s">
        <v>3891</v>
      </c>
      <c r="O1209" s="20" t="s">
        <v>3892</v>
      </c>
      <c r="P1209" s="20" t="s">
        <v>3893</v>
      </c>
      <c r="Q1209" s="21">
        <v>60</v>
      </c>
      <c r="R1209" s="21">
        <v>67</v>
      </c>
      <c r="S1209" s="21">
        <v>3.5</v>
      </c>
      <c r="T1209" s="22">
        <v>0.36</v>
      </c>
      <c r="U1209" s="13">
        <f t="shared" si="75"/>
        <v>-0.44000000000000006</v>
      </c>
      <c r="V1209" s="23">
        <v>44.1</v>
      </c>
      <c r="W1209" s="23">
        <v>44.1</v>
      </c>
      <c r="X1209" s="20">
        <v>1138</v>
      </c>
      <c r="Y1209" s="24" t="s">
        <v>3713</v>
      </c>
      <c r="Z1209" s="16">
        <v>29.1</v>
      </c>
      <c r="AA1209" s="17">
        <v>194</v>
      </c>
      <c r="AB1209" s="25" t="s">
        <v>4024</v>
      </c>
    </row>
    <row r="1210" spans="1:28" x14ac:dyDescent="0.45">
      <c r="A1210" s="4" t="s">
        <v>1803</v>
      </c>
      <c r="B1210" s="4" t="s">
        <v>6305</v>
      </c>
      <c r="C1210" s="4" t="s">
        <v>1110</v>
      </c>
      <c r="D1210" s="4" t="s">
        <v>1509</v>
      </c>
      <c r="E1210" s="4" t="s">
        <v>96</v>
      </c>
      <c r="F1210" s="5">
        <v>59.99</v>
      </c>
      <c r="G1210" s="5">
        <v>65.23</v>
      </c>
      <c r="H1210" s="4" t="s">
        <v>1127</v>
      </c>
      <c r="I1210" s="10">
        <v>10</v>
      </c>
      <c r="J1210" s="34">
        <f t="shared" si="72"/>
        <v>8.6999999999999994E-2</v>
      </c>
      <c r="K1210" s="34">
        <f t="shared" si="73"/>
        <v>0.13</v>
      </c>
      <c r="L1210" s="34">
        <f t="shared" si="74"/>
        <v>0.52</v>
      </c>
      <c r="M1210" s="11" t="s">
        <v>4112</v>
      </c>
      <c r="N1210" s="11" t="s">
        <v>3891</v>
      </c>
      <c r="O1210" s="11" t="s">
        <v>3892</v>
      </c>
      <c r="P1210" s="11" t="s">
        <v>3893</v>
      </c>
      <c r="Q1210" s="12">
        <v>60</v>
      </c>
      <c r="R1210" s="12">
        <v>65</v>
      </c>
      <c r="S1210" s="12">
        <v>2.5</v>
      </c>
      <c r="T1210" s="13">
        <v>0.2</v>
      </c>
      <c r="U1210" s="13">
        <f t="shared" si="75"/>
        <v>-0.32</v>
      </c>
      <c r="V1210" s="14">
        <v>24.5</v>
      </c>
      <c r="W1210" s="14">
        <v>24.5</v>
      </c>
      <c r="X1210" s="11">
        <v>58</v>
      </c>
      <c r="Y1210" s="15" t="s">
        <v>3713</v>
      </c>
      <c r="Z1210" s="16">
        <v>14.5</v>
      </c>
      <c r="AA1210" s="17">
        <v>145</v>
      </c>
      <c r="AB1210" s="18" t="s">
        <v>4026</v>
      </c>
    </row>
    <row r="1211" spans="1:28" x14ac:dyDescent="0.45">
      <c r="A1211" s="2" t="s">
        <v>1804</v>
      </c>
      <c r="B1211" s="2" t="s">
        <v>6306</v>
      </c>
      <c r="C1211" s="2" t="s">
        <v>1110</v>
      </c>
      <c r="D1211" s="2" t="s">
        <v>1509</v>
      </c>
      <c r="E1211" s="2" t="s">
        <v>96</v>
      </c>
      <c r="F1211" s="3">
        <v>59</v>
      </c>
      <c r="G1211" s="3">
        <v>65</v>
      </c>
      <c r="H1211" s="2" t="s">
        <v>1149</v>
      </c>
      <c r="I1211" s="19">
        <v>12</v>
      </c>
      <c r="J1211" s="34">
        <f t="shared" si="72"/>
        <v>0.10439999999999999</v>
      </c>
      <c r="K1211" s="34">
        <f t="shared" si="73"/>
        <v>0.16</v>
      </c>
      <c r="L1211" s="34">
        <f t="shared" si="74"/>
        <v>0.64</v>
      </c>
      <c r="M1211" s="20" t="s">
        <v>4468</v>
      </c>
      <c r="N1211" s="20" t="s">
        <v>3891</v>
      </c>
      <c r="O1211" s="20" t="s">
        <v>3892</v>
      </c>
      <c r="P1211" s="20" t="s">
        <v>3893</v>
      </c>
      <c r="Q1211" s="21">
        <v>59</v>
      </c>
      <c r="R1211" s="21">
        <v>65</v>
      </c>
      <c r="S1211" s="21">
        <v>3</v>
      </c>
      <c r="T1211" s="22">
        <v>0.34</v>
      </c>
      <c r="U1211" s="13">
        <f t="shared" si="75"/>
        <v>-0.3</v>
      </c>
      <c r="V1211" s="23">
        <v>41.65</v>
      </c>
      <c r="W1211" s="23">
        <v>41.65</v>
      </c>
      <c r="X1211" s="20">
        <v>80</v>
      </c>
      <c r="Y1211" s="24" t="s">
        <v>3713</v>
      </c>
      <c r="Z1211" s="16">
        <v>29.65</v>
      </c>
      <c r="AA1211" s="17">
        <v>247.1</v>
      </c>
      <c r="AB1211" s="25" t="s">
        <v>3714</v>
      </c>
    </row>
    <row r="1212" spans="1:28" x14ac:dyDescent="0.45">
      <c r="A1212" s="4" t="s">
        <v>1805</v>
      </c>
      <c r="B1212" s="4" t="s">
        <v>6307</v>
      </c>
      <c r="C1212" s="4" t="s">
        <v>1110</v>
      </c>
      <c r="D1212" s="4" t="s">
        <v>1509</v>
      </c>
      <c r="E1212" s="4" t="s">
        <v>96</v>
      </c>
      <c r="F1212" s="5">
        <v>60</v>
      </c>
      <c r="G1212" s="5">
        <v>66</v>
      </c>
      <c r="H1212" s="4" t="s">
        <v>1149</v>
      </c>
      <c r="I1212" s="10">
        <v>12</v>
      </c>
      <c r="J1212" s="34">
        <f t="shared" si="72"/>
        <v>0.10439999999999999</v>
      </c>
      <c r="K1212" s="34">
        <f t="shared" si="73"/>
        <v>0.16</v>
      </c>
      <c r="L1212" s="34">
        <f t="shared" si="74"/>
        <v>0.64</v>
      </c>
      <c r="M1212" s="11" t="s">
        <v>4469</v>
      </c>
      <c r="N1212" s="11" t="s">
        <v>3891</v>
      </c>
      <c r="O1212" s="11" t="s">
        <v>3892</v>
      </c>
      <c r="P1212" s="11" t="s">
        <v>3893</v>
      </c>
      <c r="Q1212" s="12">
        <v>60</v>
      </c>
      <c r="R1212" s="12">
        <v>66</v>
      </c>
      <c r="S1212" s="12">
        <v>3</v>
      </c>
      <c r="T1212" s="13">
        <v>0.31</v>
      </c>
      <c r="U1212" s="13">
        <f t="shared" si="75"/>
        <v>-0.33</v>
      </c>
      <c r="V1212" s="14">
        <v>37.979999999999997</v>
      </c>
      <c r="W1212" s="14">
        <v>37.979999999999997</v>
      </c>
      <c r="X1212" s="11">
        <v>252</v>
      </c>
      <c r="Y1212" s="15" t="s">
        <v>3713</v>
      </c>
      <c r="Z1212" s="16">
        <v>25.98</v>
      </c>
      <c r="AA1212" s="17">
        <v>216.5</v>
      </c>
      <c r="AB1212" s="18" t="s">
        <v>3714</v>
      </c>
    </row>
    <row r="1213" spans="1:28" x14ac:dyDescent="0.45">
      <c r="A1213" s="2" t="s">
        <v>1806</v>
      </c>
      <c r="B1213" s="2" t="s">
        <v>6308</v>
      </c>
      <c r="C1213" s="2" t="s">
        <v>1110</v>
      </c>
      <c r="D1213" s="2" t="s">
        <v>1509</v>
      </c>
      <c r="E1213" s="2" t="s">
        <v>96</v>
      </c>
      <c r="F1213" s="3">
        <v>60</v>
      </c>
      <c r="G1213" s="3">
        <v>68</v>
      </c>
      <c r="H1213" s="2" t="s">
        <v>1216</v>
      </c>
      <c r="I1213" s="19">
        <v>18</v>
      </c>
      <c r="J1213" s="34">
        <f t="shared" si="72"/>
        <v>0.15659999999999999</v>
      </c>
      <c r="K1213" s="34">
        <f t="shared" si="73"/>
        <v>0.23</v>
      </c>
      <c r="L1213" s="34">
        <f t="shared" si="74"/>
        <v>0.92</v>
      </c>
      <c r="M1213" s="20" t="s">
        <v>4470</v>
      </c>
      <c r="N1213" s="20" t="s">
        <v>3891</v>
      </c>
      <c r="O1213" s="20" t="s">
        <v>3892</v>
      </c>
      <c r="P1213" s="20" t="s">
        <v>3893</v>
      </c>
      <c r="Q1213" s="21">
        <v>60</v>
      </c>
      <c r="R1213" s="21">
        <v>68</v>
      </c>
      <c r="S1213" s="21">
        <v>4</v>
      </c>
      <c r="T1213" s="22">
        <v>0.28999999999999998</v>
      </c>
      <c r="U1213" s="13">
        <f t="shared" si="75"/>
        <v>-0.63000000000000012</v>
      </c>
      <c r="V1213" s="23">
        <v>35.520000000000003</v>
      </c>
      <c r="W1213" s="23">
        <v>35.520000000000003</v>
      </c>
      <c r="X1213" s="20">
        <v>148</v>
      </c>
      <c r="Y1213" s="24" t="s">
        <v>3713</v>
      </c>
      <c r="Z1213" s="16">
        <v>17.52</v>
      </c>
      <c r="AA1213" s="17">
        <v>97.3</v>
      </c>
      <c r="AB1213" s="25" t="s">
        <v>3714</v>
      </c>
    </row>
    <row r="1214" spans="1:28" x14ac:dyDescent="0.45">
      <c r="A1214" s="4" t="s">
        <v>1807</v>
      </c>
      <c r="B1214" s="4" t="s">
        <v>6309</v>
      </c>
      <c r="C1214" s="4" t="s">
        <v>1110</v>
      </c>
      <c r="D1214" s="4" t="s">
        <v>1509</v>
      </c>
      <c r="E1214" s="4" t="s">
        <v>96</v>
      </c>
      <c r="F1214" s="5">
        <v>60</v>
      </c>
      <c r="G1214" s="5">
        <v>70</v>
      </c>
      <c r="H1214" s="4" t="s">
        <v>1245</v>
      </c>
      <c r="I1214" s="10">
        <v>22</v>
      </c>
      <c r="J1214" s="34">
        <f t="shared" si="72"/>
        <v>0.19139999999999999</v>
      </c>
      <c r="K1214" s="34">
        <f t="shared" si="73"/>
        <v>0.28999999999999998</v>
      </c>
      <c r="L1214" s="34">
        <f t="shared" si="74"/>
        <v>1.1599999999999999</v>
      </c>
      <c r="M1214" s="11" t="s">
        <v>4471</v>
      </c>
      <c r="N1214" s="11" t="s">
        <v>3891</v>
      </c>
      <c r="O1214" s="11" t="s">
        <v>3892</v>
      </c>
      <c r="P1214" s="11" t="s">
        <v>3893</v>
      </c>
      <c r="Q1214" s="12">
        <v>60</v>
      </c>
      <c r="R1214" s="12">
        <v>70</v>
      </c>
      <c r="S1214" s="12">
        <v>5</v>
      </c>
      <c r="T1214" s="13">
        <v>0.47</v>
      </c>
      <c r="U1214" s="13">
        <f t="shared" si="75"/>
        <v>-0.69</v>
      </c>
      <c r="V1214" s="14">
        <v>57.58</v>
      </c>
      <c r="W1214" s="14">
        <v>57.58</v>
      </c>
      <c r="X1214" s="11">
        <v>177</v>
      </c>
      <c r="Y1214" s="15" t="s">
        <v>3713</v>
      </c>
      <c r="Z1214" s="16">
        <v>35.58</v>
      </c>
      <c r="AA1214" s="17">
        <v>161.69999999999999</v>
      </c>
      <c r="AB1214" s="18" t="s">
        <v>3714</v>
      </c>
    </row>
    <row r="1215" spans="1:28" x14ac:dyDescent="0.45">
      <c r="A1215" s="2" t="s">
        <v>1808</v>
      </c>
      <c r="B1215" s="2" t="s">
        <v>6310</v>
      </c>
      <c r="C1215" s="2" t="s">
        <v>1110</v>
      </c>
      <c r="D1215" s="2" t="s">
        <v>1509</v>
      </c>
      <c r="E1215" s="2" t="s">
        <v>96</v>
      </c>
      <c r="F1215" s="3">
        <v>61.6</v>
      </c>
      <c r="G1215" s="3">
        <v>66.84</v>
      </c>
      <c r="H1215" s="2" t="s">
        <v>1127</v>
      </c>
      <c r="I1215" s="19">
        <v>10</v>
      </c>
      <c r="J1215" s="34">
        <f t="shared" si="72"/>
        <v>8.6999999999999994E-2</v>
      </c>
      <c r="K1215" s="34">
        <f t="shared" si="73"/>
        <v>0.13</v>
      </c>
      <c r="L1215" s="34">
        <f t="shared" si="74"/>
        <v>0.52</v>
      </c>
      <c r="M1215" s="20" t="s">
        <v>4113</v>
      </c>
      <c r="N1215" s="20" t="s">
        <v>3891</v>
      </c>
      <c r="O1215" s="20" t="s">
        <v>3892</v>
      </c>
      <c r="P1215" s="20" t="s">
        <v>3893</v>
      </c>
      <c r="Q1215" s="21">
        <v>61.6</v>
      </c>
      <c r="R1215" s="21">
        <v>66.400000000000006</v>
      </c>
      <c r="S1215" s="21">
        <v>2.4</v>
      </c>
      <c r="T1215" s="22">
        <v>0.3</v>
      </c>
      <c r="U1215" s="13">
        <f t="shared" si="75"/>
        <v>-0.22000000000000003</v>
      </c>
      <c r="V1215" s="23">
        <v>36.75</v>
      </c>
      <c r="W1215" s="23">
        <v>36.75</v>
      </c>
      <c r="X1215" s="20">
        <v>250</v>
      </c>
      <c r="Y1215" s="24" t="s">
        <v>3713</v>
      </c>
      <c r="Z1215" s="16">
        <v>26.75</v>
      </c>
      <c r="AA1215" s="17">
        <v>267.5</v>
      </c>
      <c r="AB1215" s="25" t="s">
        <v>4062</v>
      </c>
    </row>
    <row r="1216" spans="1:28" x14ac:dyDescent="0.45">
      <c r="A1216" s="4" t="s">
        <v>1809</v>
      </c>
      <c r="B1216" s="4" t="s">
        <v>6311</v>
      </c>
      <c r="C1216" s="4" t="s">
        <v>1110</v>
      </c>
      <c r="D1216" s="4" t="s">
        <v>1509</v>
      </c>
      <c r="E1216" s="4" t="s">
        <v>96</v>
      </c>
      <c r="F1216" s="5">
        <v>62.7</v>
      </c>
      <c r="G1216" s="5">
        <v>74.100000000000009</v>
      </c>
      <c r="H1216" s="4" t="s">
        <v>1297</v>
      </c>
      <c r="I1216" s="10">
        <v>34</v>
      </c>
      <c r="J1216" s="34">
        <f t="shared" si="72"/>
        <v>0.29579999999999995</v>
      </c>
      <c r="K1216" s="34">
        <f t="shared" si="73"/>
        <v>0.44</v>
      </c>
      <c r="L1216" s="34">
        <f t="shared" si="74"/>
        <v>1.76</v>
      </c>
      <c r="M1216" s="11" t="s">
        <v>4472</v>
      </c>
      <c r="N1216" s="11" t="s">
        <v>3891</v>
      </c>
      <c r="O1216" s="11" t="s">
        <v>3892</v>
      </c>
      <c r="P1216" s="11" t="s">
        <v>3893</v>
      </c>
      <c r="Q1216" s="12">
        <v>62</v>
      </c>
      <c r="R1216" s="12">
        <v>74</v>
      </c>
      <c r="S1216" s="12">
        <v>6</v>
      </c>
      <c r="T1216" s="13">
        <v>0.78</v>
      </c>
      <c r="U1216" s="13">
        <f t="shared" si="75"/>
        <v>-0.98</v>
      </c>
      <c r="V1216" s="14">
        <v>95.55</v>
      </c>
      <c r="W1216" s="14">
        <v>95.55</v>
      </c>
      <c r="X1216" s="11">
        <v>16</v>
      </c>
      <c r="Y1216" s="15" t="s">
        <v>3713</v>
      </c>
      <c r="Z1216" s="16">
        <v>61.55</v>
      </c>
      <c r="AA1216" s="17">
        <v>181</v>
      </c>
      <c r="AB1216" s="18" t="s">
        <v>4473</v>
      </c>
    </row>
    <row r="1217" spans="1:28" x14ac:dyDescent="0.45">
      <c r="A1217" s="2" t="s">
        <v>1810</v>
      </c>
      <c r="B1217" s="2" t="s">
        <v>6312</v>
      </c>
      <c r="C1217" s="2" t="s">
        <v>1110</v>
      </c>
      <c r="D1217" s="2" t="s">
        <v>1509</v>
      </c>
      <c r="E1217" s="2" t="s">
        <v>96</v>
      </c>
      <c r="F1217" s="3">
        <v>62.87</v>
      </c>
      <c r="G1217" s="3">
        <v>73.53</v>
      </c>
      <c r="H1217" s="2" t="s">
        <v>1201</v>
      </c>
      <c r="I1217" s="19">
        <v>25</v>
      </c>
      <c r="J1217" s="34">
        <f t="shared" si="72"/>
        <v>0.21749999999999997</v>
      </c>
      <c r="K1217" s="34">
        <f t="shared" si="73"/>
        <v>0.33</v>
      </c>
      <c r="L1217" s="34">
        <f t="shared" si="74"/>
        <v>1.32</v>
      </c>
      <c r="M1217" s="20" t="s">
        <v>4114</v>
      </c>
      <c r="N1217" s="20" t="s">
        <v>3898</v>
      </c>
      <c r="O1217" s="20" t="s">
        <v>3892</v>
      </c>
      <c r="P1217" s="20" t="s">
        <v>3899</v>
      </c>
      <c r="Q1217" s="21">
        <v>62.991999999999997</v>
      </c>
      <c r="R1217" s="21">
        <v>73.66</v>
      </c>
      <c r="S1217" s="21">
        <v>5.3339999999999996</v>
      </c>
      <c r="T1217" s="22">
        <v>1.54</v>
      </c>
      <c r="U1217" s="13">
        <f t="shared" si="75"/>
        <v>0.21999999999999997</v>
      </c>
      <c r="V1217" s="23">
        <v>188.65</v>
      </c>
      <c r="W1217" s="23">
        <v>188.65</v>
      </c>
      <c r="X1217" s="20" t="s">
        <v>3722</v>
      </c>
      <c r="Y1217" s="24" t="s">
        <v>3737</v>
      </c>
      <c r="Z1217" s="16">
        <v>163.65</v>
      </c>
      <c r="AA1217" s="17">
        <v>654.6</v>
      </c>
      <c r="AB1217" s="25" t="s">
        <v>4016</v>
      </c>
    </row>
    <row r="1218" spans="1:28" x14ac:dyDescent="0.45">
      <c r="A1218" s="4" t="s">
        <v>1811</v>
      </c>
      <c r="B1218" s="4" t="s">
        <v>6313</v>
      </c>
      <c r="C1218" s="4" t="s">
        <v>1110</v>
      </c>
      <c r="D1218" s="4" t="s">
        <v>1509</v>
      </c>
      <c r="E1218" s="4" t="s">
        <v>96</v>
      </c>
      <c r="F1218" s="5">
        <v>62</v>
      </c>
      <c r="G1218" s="5">
        <v>70</v>
      </c>
      <c r="H1218" s="4" t="s">
        <v>1216</v>
      </c>
      <c r="I1218" s="10">
        <v>18</v>
      </c>
      <c r="J1218" s="34">
        <f t="shared" si="72"/>
        <v>0.15659999999999999</v>
      </c>
      <c r="K1218" s="34">
        <f t="shared" si="73"/>
        <v>0.23</v>
      </c>
      <c r="L1218" s="34">
        <f t="shared" si="74"/>
        <v>0.92</v>
      </c>
      <c r="M1218" s="11" t="s">
        <v>4474</v>
      </c>
      <c r="N1218" s="11" t="s">
        <v>3891</v>
      </c>
      <c r="O1218" s="11" t="s">
        <v>3892</v>
      </c>
      <c r="P1218" s="11" t="s">
        <v>3893</v>
      </c>
      <c r="Q1218" s="12">
        <v>62</v>
      </c>
      <c r="R1218" s="12">
        <v>70</v>
      </c>
      <c r="S1218" s="12">
        <v>4</v>
      </c>
      <c r="T1218" s="13">
        <v>0.28999999999999998</v>
      </c>
      <c r="U1218" s="13">
        <f t="shared" si="75"/>
        <v>-0.63000000000000012</v>
      </c>
      <c r="V1218" s="14">
        <v>35.520000000000003</v>
      </c>
      <c r="W1218" s="14">
        <v>35.520000000000003</v>
      </c>
      <c r="X1218" s="11">
        <v>145</v>
      </c>
      <c r="Y1218" s="15" t="s">
        <v>3713</v>
      </c>
      <c r="Z1218" s="16">
        <v>17.52</v>
      </c>
      <c r="AA1218" s="17">
        <v>97.3</v>
      </c>
      <c r="AB1218" s="18" t="s">
        <v>3714</v>
      </c>
    </row>
    <row r="1219" spans="1:28" x14ac:dyDescent="0.45">
      <c r="A1219" s="2" t="s">
        <v>1812</v>
      </c>
      <c r="B1219" s="2" t="s">
        <v>6314</v>
      </c>
      <c r="C1219" s="2" t="s">
        <v>1110</v>
      </c>
      <c r="D1219" s="2" t="s">
        <v>1509</v>
      </c>
      <c r="E1219" s="2" t="s">
        <v>96</v>
      </c>
      <c r="F1219" s="3">
        <v>63.09</v>
      </c>
      <c r="G1219" s="3">
        <v>70.150000000000006</v>
      </c>
      <c r="H1219" s="2" t="s">
        <v>1156</v>
      </c>
      <c r="I1219" s="19">
        <v>15</v>
      </c>
      <c r="J1219" s="34">
        <f t="shared" si="72"/>
        <v>0.1305</v>
      </c>
      <c r="K1219" s="34">
        <f t="shared" si="73"/>
        <v>0.2</v>
      </c>
      <c r="L1219" s="34">
        <f t="shared" si="74"/>
        <v>0.8</v>
      </c>
      <c r="M1219" s="20" t="s">
        <v>4115</v>
      </c>
      <c r="N1219" s="20" t="s">
        <v>3891</v>
      </c>
      <c r="O1219" s="20" t="s">
        <v>3892</v>
      </c>
      <c r="P1219" s="20" t="s">
        <v>3893</v>
      </c>
      <c r="Q1219" s="21">
        <v>63</v>
      </c>
      <c r="R1219" s="21">
        <v>70</v>
      </c>
      <c r="S1219" s="21">
        <v>3.5</v>
      </c>
      <c r="T1219" s="22">
        <v>0.39</v>
      </c>
      <c r="U1219" s="13">
        <f t="shared" si="75"/>
        <v>-0.41000000000000003</v>
      </c>
      <c r="V1219" s="23">
        <v>47.78</v>
      </c>
      <c r="W1219" s="23">
        <v>47.78</v>
      </c>
      <c r="X1219" s="20">
        <v>1125</v>
      </c>
      <c r="Y1219" s="24" t="s">
        <v>3713</v>
      </c>
      <c r="Z1219" s="16">
        <v>32.78</v>
      </c>
      <c r="AA1219" s="17">
        <v>218.5</v>
      </c>
      <c r="AB1219" s="25" t="s">
        <v>4041</v>
      </c>
    </row>
    <row r="1220" spans="1:28" x14ac:dyDescent="0.45">
      <c r="A1220" s="4" t="s">
        <v>1813</v>
      </c>
      <c r="B1220" s="4" t="s">
        <v>6315</v>
      </c>
      <c r="C1220" s="4" t="s">
        <v>1110</v>
      </c>
      <c r="D1220" s="4" t="s">
        <v>1509</v>
      </c>
      <c r="E1220" s="4" t="s">
        <v>96</v>
      </c>
      <c r="F1220" s="5">
        <v>63.17</v>
      </c>
      <c r="G1220" s="5">
        <v>68.41</v>
      </c>
      <c r="H1220" s="4" t="s">
        <v>1127</v>
      </c>
      <c r="I1220" s="10">
        <v>12</v>
      </c>
      <c r="J1220" s="34">
        <f t="shared" si="72"/>
        <v>0.10439999999999999</v>
      </c>
      <c r="K1220" s="34">
        <f t="shared" si="73"/>
        <v>0.16</v>
      </c>
      <c r="L1220" s="34">
        <f t="shared" si="74"/>
        <v>0.64</v>
      </c>
      <c r="M1220" s="11" t="s">
        <v>4116</v>
      </c>
      <c r="N1220" s="11" t="s">
        <v>3891</v>
      </c>
      <c r="O1220" s="11" t="s">
        <v>3892</v>
      </c>
      <c r="P1220" s="11" t="s">
        <v>3893</v>
      </c>
      <c r="Q1220" s="12">
        <v>63.246000000000002</v>
      </c>
      <c r="R1220" s="12">
        <v>68.325999999999993</v>
      </c>
      <c r="S1220" s="12">
        <v>2.54</v>
      </c>
      <c r="T1220" s="13">
        <v>0.25</v>
      </c>
      <c r="U1220" s="13">
        <f t="shared" si="75"/>
        <v>-0.39</v>
      </c>
      <c r="V1220" s="14">
        <v>30.62</v>
      </c>
      <c r="W1220" s="14">
        <v>30.62</v>
      </c>
      <c r="X1220" s="11">
        <v>1406</v>
      </c>
      <c r="Y1220" s="15" t="s">
        <v>3737</v>
      </c>
      <c r="Z1220" s="16">
        <v>18.62</v>
      </c>
      <c r="AA1220" s="17">
        <v>155.19999999999999</v>
      </c>
      <c r="AB1220" s="18" t="s">
        <v>4022</v>
      </c>
    </row>
    <row r="1221" spans="1:28" x14ac:dyDescent="0.45">
      <c r="A1221" s="2" t="s">
        <v>1814</v>
      </c>
      <c r="B1221" s="2" t="s">
        <v>6316</v>
      </c>
      <c r="C1221" s="2" t="s">
        <v>1110</v>
      </c>
      <c r="D1221" s="2" t="s">
        <v>1509</v>
      </c>
      <c r="E1221" s="2" t="s">
        <v>96</v>
      </c>
      <c r="F1221" s="3">
        <v>63.22</v>
      </c>
      <c r="G1221" s="3">
        <v>66.78</v>
      </c>
      <c r="H1221" s="2" t="s">
        <v>1114</v>
      </c>
      <c r="I1221" s="19">
        <v>8</v>
      </c>
      <c r="J1221" s="34">
        <f t="shared" ref="J1221:J1284" si="76">I1221*0.0087</f>
        <v>6.9599999999999995E-2</v>
      </c>
      <c r="K1221" s="34">
        <f t="shared" ref="K1221:K1284" si="77">ROUND(J1221*1.5,2)</f>
        <v>0.1</v>
      </c>
      <c r="L1221" s="34">
        <f t="shared" ref="L1221:L1284" si="78">K1221*4</f>
        <v>0.4</v>
      </c>
      <c r="M1221" s="20" t="s">
        <v>4117</v>
      </c>
      <c r="N1221" s="20" t="s">
        <v>3891</v>
      </c>
      <c r="O1221" s="20" t="s">
        <v>3892</v>
      </c>
      <c r="P1221" s="20" t="s">
        <v>3893</v>
      </c>
      <c r="Q1221" s="21">
        <v>63.246000000000002</v>
      </c>
      <c r="R1221" s="21">
        <v>66.802000000000007</v>
      </c>
      <c r="S1221" s="21">
        <v>1.778</v>
      </c>
      <c r="T1221" s="22">
        <v>0.2</v>
      </c>
      <c r="U1221" s="13">
        <f t="shared" ref="U1221:U1284" si="79">T1221-L1221</f>
        <v>-0.2</v>
      </c>
      <c r="V1221" s="23">
        <v>24.5</v>
      </c>
      <c r="W1221" s="23">
        <v>24.5</v>
      </c>
      <c r="X1221" s="20">
        <v>239</v>
      </c>
      <c r="Y1221" s="24" t="s">
        <v>3737</v>
      </c>
      <c r="Z1221" s="16">
        <v>16.5</v>
      </c>
      <c r="AA1221" s="17">
        <v>206.2</v>
      </c>
      <c r="AB1221" s="25" t="s">
        <v>3967</v>
      </c>
    </row>
    <row r="1222" spans="1:28" x14ac:dyDescent="0.45">
      <c r="A1222" s="4" t="s">
        <v>1815</v>
      </c>
      <c r="B1222" s="4" t="s">
        <v>6317</v>
      </c>
      <c r="C1222" s="4" t="s">
        <v>1110</v>
      </c>
      <c r="D1222" s="4" t="s">
        <v>1509</v>
      </c>
      <c r="E1222" s="4" t="s">
        <v>96</v>
      </c>
      <c r="F1222" s="5">
        <v>63</v>
      </c>
      <c r="G1222" s="5">
        <v>67</v>
      </c>
      <c r="H1222" s="4" t="s">
        <v>1122</v>
      </c>
      <c r="I1222" s="10">
        <v>10</v>
      </c>
      <c r="J1222" s="34">
        <f t="shared" si="76"/>
        <v>8.6999999999999994E-2</v>
      </c>
      <c r="K1222" s="34">
        <f t="shared" si="77"/>
        <v>0.13</v>
      </c>
      <c r="L1222" s="34">
        <f t="shared" si="78"/>
        <v>0.52</v>
      </c>
      <c r="M1222" s="11" t="s">
        <v>4475</v>
      </c>
      <c r="N1222" s="11" t="s">
        <v>3891</v>
      </c>
      <c r="O1222" s="11" t="s">
        <v>3892</v>
      </c>
      <c r="P1222" s="11" t="s">
        <v>3893</v>
      </c>
      <c r="Q1222" s="12">
        <v>63</v>
      </c>
      <c r="R1222" s="12">
        <v>67</v>
      </c>
      <c r="S1222" s="12">
        <v>2</v>
      </c>
      <c r="T1222" s="13">
        <v>0.28999999999999998</v>
      </c>
      <c r="U1222" s="13">
        <f t="shared" si="79"/>
        <v>-0.23000000000000004</v>
      </c>
      <c r="V1222" s="14">
        <v>35.520000000000003</v>
      </c>
      <c r="W1222" s="14">
        <v>35.520000000000003</v>
      </c>
      <c r="X1222" s="11">
        <v>78</v>
      </c>
      <c r="Y1222" s="15" t="s">
        <v>3713</v>
      </c>
      <c r="Z1222" s="16">
        <v>25.52</v>
      </c>
      <c r="AA1222" s="17">
        <v>255.2</v>
      </c>
      <c r="AB1222" s="18" t="s">
        <v>3714</v>
      </c>
    </row>
    <row r="1223" spans="1:28" x14ac:dyDescent="0.45">
      <c r="A1223" s="2" t="s">
        <v>1816</v>
      </c>
      <c r="B1223" s="2" t="s">
        <v>6318</v>
      </c>
      <c r="C1223" s="2" t="s">
        <v>1110</v>
      </c>
      <c r="D1223" s="2" t="s">
        <v>1509</v>
      </c>
      <c r="E1223" s="2" t="s">
        <v>96</v>
      </c>
      <c r="F1223" s="3">
        <v>63</v>
      </c>
      <c r="G1223" s="3">
        <v>68</v>
      </c>
      <c r="H1223" s="2" t="s">
        <v>1135</v>
      </c>
      <c r="I1223" s="19">
        <v>12</v>
      </c>
      <c r="J1223" s="34">
        <f t="shared" si="76"/>
        <v>0.10439999999999999</v>
      </c>
      <c r="K1223" s="34">
        <f t="shared" si="77"/>
        <v>0.16</v>
      </c>
      <c r="L1223" s="34">
        <f t="shared" si="78"/>
        <v>0.64</v>
      </c>
      <c r="M1223" s="20" t="s">
        <v>4476</v>
      </c>
      <c r="N1223" s="20" t="s">
        <v>3891</v>
      </c>
      <c r="O1223" s="20" t="s">
        <v>3892</v>
      </c>
      <c r="P1223" s="20" t="s">
        <v>3893</v>
      </c>
      <c r="Q1223" s="21">
        <v>63</v>
      </c>
      <c r="R1223" s="21">
        <v>68</v>
      </c>
      <c r="S1223" s="21">
        <v>2.5</v>
      </c>
      <c r="T1223" s="22">
        <v>0.2</v>
      </c>
      <c r="U1223" s="13">
        <f t="shared" si="79"/>
        <v>-0.44</v>
      </c>
      <c r="V1223" s="23">
        <v>24.5</v>
      </c>
      <c r="W1223" s="23">
        <v>24.5</v>
      </c>
      <c r="X1223" s="20">
        <v>21</v>
      </c>
      <c r="Y1223" s="24" t="s">
        <v>3713</v>
      </c>
      <c r="Z1223" s="16">
        <v>12.5</v>
      </c>
      <c r="AA1223" s="17">
        <v>104.2</v>
      </c>
      <c r="AB1223" s="25" t="s">
        <v>3714</v>
      </c>
    </row>
    <row r="1224" spans="1:28" x14ac:dyDescent="0.45">
      <c r="A1224" s="4" t="s">
        <v>1817</v>
      </c>
      <c r="B1224" s="4" t="s">
        <v>6319</v>
      </c>
      <c r="C1224" s="4" t="s">
        <v>1110</v>
      </c>
      <c r="D1224" s="4" t="s">
        <v>1509</v>
      </c>
      <c r="E1224" s="4" t="s">
        <v>96</v>
      </c>
      <c r="F1224" s="5">
        <v>63</v>
      </c>
      <c r="G1224" s="5">
        <v>69</v>
      </c>
      <c r="H1224" s="4" t="s">
        <v>1149</v>
      </c>
      <c r="I1224" s="10">
        <v>13</v>
      </c>
      <c r="J1224" s="34">
        <f t="shared" si="76"/>
        <v>0.11309999999999999</v>
      </c>
      <c r="K1224" s="34">
        <f t="shared" si="77"/>
        <v>0.17</v>
      </c>
      <c r="L1224" s="34">
        <f t="shared" si="78"/>
        <v>0.68</v>
      </c>
      <c r="M1224" s="11" t="s">
        <v>4477</v>
      </c>
      <c r="N1224" s="11" t="s">
        <v>3891</v>
      </c>
      <c r="O1224" s="11" t="s">
        <v>3892</v>
      </c>
      <c r="P1224" s="11" t="s">
        <v>3893</v>
      </c>
      <c r="Q1224" s="12">
        <v>63</v>
      </c>
      <c r="R1224" s="12">
        <v>69</v>
      </c>
      <c r="S1224" s="12">
        <v>3</v>
      </c>
      <c r="T1224" s="13">
        <v>0.25</v>
      </c>
      <c r="U1224" s="13">
        <f t="shared" si="79"/>
        <v>-0.43000000000000005</v>
      </c>
      <c r="V1224" s="14">
        <v>30.62</v>
      </c>
      <c r="W1224" s="14">
        <v>30.62</v>
      </c>
      <c r="X1224" s="11">
        <v>209</v>
      </c>
      <c r="Y1224" s="15" t="s">
        <v>3713</v>
      </c>
      <c r="Z1224" s="16">
        <v>17.62</v>
      </c>
      <c r="AA1224" s="17">
        <v>135.5</v>
      </c>
      <c r="AB1224" s="18" t="s">
        <v>3714</v>
      </c>
    </row>
    <row r="1225" spans="1:28" x14ac:dyDescent="0.45">
      <c r="A1225" s="2" t="s">
        <v>1818</v>
      </c>
      <c r="B1225" s="2" t="s">
        <v>6320</v>
      </c>
      <c r="C1225" s="2" t="s">
        <v>1110</v>
      </c>
      <c r="D1225" s="2" t="s">
        <v>1509</v>
      </c>
      <c r="E1225" s="2" t="s">
        <v>96</v>
      </c>
      <c r="F1225" s="3">
        <v>64.2</v>
      </c>
      <c r="G1225" s="3">
        <v>75.600000000000009</v>
      </c>
      <c r="H1225" s="2" t="s">
        <v>1297</v>
      </c>
      <c r="I1225" s="19">
        <v>35</v>
      </c>
      <c r="J1225" s="34">
        <f t="shared" si="76"/>
        <v>0.30449999999999999</v>
      </c>
      <c r="K1225" s="34">
        <f t="shared" si="77"/>
        <v>0.46</v>
      </c>
      <c r="L1225" s="34">
        <f t="shared" si="78"/>
        <v>1.84</v>
      </c>
      <c r="M1225" s="20" t="s">
        <v>4118</v>
      </c>
      <c r="N1225" s="20" t="s">
        <v>3891</v>
      </c>
      <c r="O1225" s="20" t="s">
        <v>3892</v>
      </c>
      <c r="P1225" s="20" t="s">
        <v>3893</v>
      </c>
      <c r="Q1225" s="21">
        <v>64.3</v>
      </c>
      <c r="R1225" s="21">
        <v>75.7</v>
      </c>
      <c r="S1225" s="21">
        <v>5.7</v>
      </c>
      <c r="T1225" s="22">
        <v>0.67</v>
      </c>
      <c r="U1225" s="13">
        <f t="shared" si="79"/>
        <v>-1.17</v>
      </c>
      <c r="V1225" s="23">
        <v>82.08</v>
      </c>
      <c r="W1225" s="23">
        <v>82.08</v>
      </c>
      <c r="X1225" s="20">
        <v>99</v>
      </c>
      <c r="Y1225" s="24" t="s">
        <v>3713</v>
      </c>
      <c r="Z1225" s="16">
        <v>47.08</v>
      </c>
      <c r="AA1225" s="17">
        <v>134.5</v>
      </c>
      <c r="AB1225" s="25" t="s">
        <v>4119</v>
      </c>
    </row>
    <row r="1226" spans="1:28" x14ac:dyDescent="0.45">
      <c r="A1226" s="4" t="s">
        <v>1819</v>
      </c>
      <c r="B1226" s="4" t="s">
        <v>6321</v>
      </c>
      <c r="C1226" s="4" t="s">
        <v>1110</v>
      </c>
      <c r="D1226" s="4" t="s">
        <v>1509</v>
      </c>
      <c r="E1226" s="4" t="s">
        <v>96</v>
      </c>
      <c r="F1226" s="5">
        <v>64.400000000000006</v>
      </c>
      <c r="G1226" s="5">
        <v>70.600000000000009</v>
      </c>
      <c r="H1226" s="4" t="s">
        <v>1221</v>
      </c>
      <c r="I1226" s="10">
        <v>18</v>
      </c>
      <c r="J1226" s="34">
        <f t="shared" si="76"/>
        <v>0.15659999999999999</v>
      </c>
      <c r="K1226" s="34">
        <f t="shared" si="77"/>
        <v>0.23</v>
      </c>
      <c r="L1226" s="34">
        <f t="shared" si="78"/>
        <v>0.92</v>
      </c>
      <c r="M1226" s="11" t="s">
        <v>4120</v>
      </c>
      <c r="N1226" s="11" t="s">
        <v>3891</v>
      </c>
      <c r="O1226" s="11" t="s">
        <v>3892</v>
      </c>
      <c r="P1226" s="11" t="s">
        <v>3893</v>
      </c>
      <c r="Q1226" s="12">
        <v>64.400000000000006</v>
      </c>
      <c r="R1226" s="12">
        <v>70.599999999999994</v>
      </c>
      <c r="S1226" s="12">
        <v>3.1</v>
      </c>
      <c r="T1226" s="13">
        <v>0.59</v>
      </c>
      <c r="U1226" s="13">
        <f t="shared" si="79"/>
        <v>-0.33000000000000007</v>
      </c>
      <c r="V1226" s="14">
        <v>72.27</v>
      </c>
      <c r="W1226" s="14">
        <v>72.27</v>
      </c>
      <c r="X1226" s="11">
        <v>243</v>
      </c>
      <c r="Y1226" s="15" t="s">
        <v>3713</v>
      </c>
      <c r="Z1226" s="16">
        <v>54.27</v>
      </c>
      <c r="AA1226" s="17">
        <v>301.5</v>
      </c>
      <c r="AB1226" s="18" t="s">
        <v>3714</v>
      </c>
    </row>
    <row r="1227" spans="1:28" x14ac:dyDescent="0.45">
      <c r="A1227" s="2" t="s">
        <v>1820</v>
      </c>
      <c r="B1227" s="2" t="s">
        <v>6322</v>
      </c>
      <c r="C1227" s="2" t="s">
        <v>1110</v>
      </c>
      <c r="D1227" s="2" t="s">
        <v>1509</v>
      </c>
      <c r="E1227" s="2" t="s">
        <v>96</v>
      </c>
      <c r="F1227" s="3">
        <v>64.77</v>
      </c>
      <c r="G1227" s="3">
        <v>70.009999999999991</v>
      </c>
      <c r="H1227" s="2" t="s">
        <v>1127</v>
      </c>
      <c r="I1227" s="19">
        <v>12</v>
      </c>
      <c r="J1227" s="34">
        <f t="shared" si="76"/>
        <v>0.10439999999999999</v>
      </c>
      <c r="K1227" s="34">
        <f t="shared" si="77"/>
        <v>0.16</v>
      </c>
      <c r="L1227" s="34">
        <f t="shared" si="78"/>
        <v>0.64</v>
      </c>
      <c r="M1227" s="20" t="s">
        <v>4121</v>
      </c>
      <c r="N1227" s="20" t="s">
        <v>3891</v>
      </c>
      <c r="O1227" s="20" t="s">
        <v>3892</v>
      </c>
      <c r="P1227" s="20" t="s">
        <v>3893</v>
      </c>
      <c r="Q1227" s="21">
        <v>65</v>
      </c>
      <c r="R1227" s="21">
        <v>70</v>
      </c>
      <c r="S1227" s="21">
        <v>2.5</v>
      </c>
      <c r="T1227" s="22">
        <v>0.2</v>
      </c>
      <c r="U1227" s="13">
        <f t="shared" si="79"/>
        <v>-0.44</v>
      </c>
      <c r="V1227" s="23">
        <v>24.5</v>
      </c>
      <c r="W1227" s="23">
        <v>24.5</v>
      </c>
      <c r="X1227" s="20">
        <v>90</v>
      </c>
      <c r="Y1227" s="24" t="s">
        <v>3713</v>
      </c>
      <c r="Z1227" s="16">
        <v>12.5</v>
      </c>
      <c r="AA1227" s="17">
        <v>104.2</v>
      </c>
      <c r="AB1227" s="25" t="s">
        <v>3928</v>
      </c>
    </row>
    <row r="1228" spans="1:28" x14ac:dyDescent="0.45">
      <c r="A1228" s="4" t="s">
        <v>1821</v>
      </c>
      <c r="B1228" s="4" t="s">
        <v>6323</v>
      </c>
      <c r="C1228" s="4" t="s">
        <v>1110</v>
      </c>
      <c r="D1228" s="4" t="s">
        <v>1509</v>
      </c>
      <c r="E1228" s="4" t="s">
        <v>96</v>
      </c>
      <c r="F1228" s="5">
        <v>64</v>
      </c>
      <c r="G1228" s="5">
        <v>72</v>
      </c>
      <c r="H1228" s="4" t="s">
        <v>1216</v>
      </c>
      <c r="I1228" s="10">
        <v>18</v>
      </c>
      <c r="J1228" s="34">
        <f t="shared" si="76"/>
        <v>0.15659999999999999</v>
      </c>
      <c r="K1228" s="34">
        <f t="shared" si="77"/>
        <v>0.23</v>
      </c>
      <c r="L1228" s="34">
        <f t="shared" si="78"/>
        <v>0.92</v>
      </c>
      <c r="M1228" s="11" t="s">
        <v>4122</v>
      </c>
      <c r="N1228" s="11" t="s">
        <v>3891</v>
      </c>
      <c r="O1228" s="11" t="s">
        <v>3892</v>
      </c>
      <c r="P1228" s="11" t="s">
        <v>3893</v>
      </c>
      <c r="Q1228" s="12">
        <v>64</v>
      </c>
      <c r="R1228" s="12">
        <v>72</v>
      </c>
      <c r="S1228" s="12">
        <v>4</v>
      </c>
      <c r="T1228" s="13">
        <v>0.32</v>
      </c>
      <c r="U1228" s="13">
        <f t="shared" si="79"/>
        <v>-0.60000000000000009</v>
      </c>
      <c r="V1228" s="14">
        <v>39.200000000000003</v>
      </c>
      <c r="W1228" s="14">
        <v>39.200000000000003</v>
      </c>
      <c r="X1228" s="11">
        <v>3</v>
      </c>
      <c r="Y1228" s="15" t="s">
        <v>3713</v>
      </c>
      <c r="Z1228" s="16">
        <v>21.2</v>
      </c>
      <c r="AA1228" s="17">
        <v>117.8</v>
      </c>
      <c r="AB1228" s="18" t="s">
        <v>3714</v>
      </c>
    </row>
    <row r="1229" spans="1:28" x14ac:dyDescent="0.45">
      <c r="A1229" s="2" t="s">
        <v>1822</v>
      </c>
      <c r="B1229" s="2" t="s">
        <v>6324</v>
      </c>
      <c r="C1229" s="2" t="s">
        <v>1110</v>
      </c>
      <c r="D1229" s="2" t="s">
        <v>1509</v>
      </c>
      <c r="E1229" s="2" t="s">
        <v>96</v>
      </c>
      <c r="F1229" s="3">
        <v>65</v>
      </c>
      <c r="G1229" s="3">
        <v>69</v>
      </c>
      <c r="H1229" s="2" t="s">
        <v>1122</v>
      </c>
      <c r="I1229" s="19">
        <v>12</v>
      </c>
      <c r="J1229" s="34">
        <f t="shared" si="76"/>
        <v>0.10439999999999999</v>
      </c>
      <c r="K1229" s="34">
        <f t="shared" si="77"/>
        <v>0.16</v>
      </c>
      <c r="L1229" s="34">
        <f t="shared" si="78"/>
        <v>0.64</v>
      </c>
      <c r="M1229" s="20" t="s">
        <v>4478</v>
      </c>
      <c r="N1229" s="20" t="s">
        <v>3891</v>
      </c>
      <c r="O1229" s="20" t="s">
        <v>3892</v>
      </c>
      <c r="P1229" s="20" t="s">
        <v>3893</v>
      </c>
      <c r="Q1229" s="21">
        <v>65</v>
      </c>
      <c r="R1229" s="21">
        <v>69</v>
      </c>
      <c r="S1229" s="21">
        <v>2</v>
      </c>
      <c r="T1229" s="22">
        <v>0.3</v>
      </c>
      <c r="U1229" s="13">
        <f t="shared" si="79"/>
        <v>-0.34</v>
      </c>
      <c r="V1229" s="23">
        <v>36.75</v>
      </c>
      <c r="W1229" s="23">
        <v>36.75</v>
      </c>
      <c r="X1229" s="20">
        <v>20</v>
      </c>
      <c r="Y1229" s="24" t="s">
        <v>3713</v>
      </c>
      <c r="Z1229" s="16">
        <v>24.75</v>
      </c>
      <c r="AA1229" s="17">
        <v>206.2</v>
      </c>
      <c r="AB1229" s="25" t="s">
        <v>3714</v>
      </c>
    </row>
    <row r="1230" spans="1:28" x14ac:dyDescent="0.45">
      <c r="A1230" s="4" t="s">
        <v>1823</v>
      </c>
      <c r="B1230" s="4" t="s">
        <v>6325</v>
      </c>
      <c r="C1230" s="4" t="s">
        <v>1110</v>
      </c>
      <c r="D1230" s="4" t="s">
        <v>1509</v>
      </c>
      <c r="E1230" s="4" t="s">
        <v>96</v>
      </c>
      <c r="F1230" s="5">
        <v>65</v>
      </c>
      <c r="G1230" s="5">
        <v>73</v>
      </c>
      <c r="H1230" s="4" t="s">
        <v>1216</v>
      </c>
      <c r="I1230" s="10">
        <v>18</v>
      </c>
      <c r="J1230" s="34">
        <f t="shared" si="76"/>
        <v>0.15659999999999999</v>
      </c>
      <c r="K1230" s="34">
        <f t="shared" si="77"/>
        <v>0.23</v>
      </c>
      <c r="L1230" s="34">
        <f t="shared" si="78"/>
        <v>0.92</v>
      </c>
      <c r="M1230" s="11" t="s">
        <v>4479</v>
      </c>
      <c r="N1230" s="11" t="s">
        <v>3891</v>
      </c>
      <c r="O1230" s="11" t="s">
        <v>3892</v>
      </c>
      <c r="P1230" s="11" t="s">
        <v>3893</v>
      </c>
      <c r="Q1230" s="12">
        <v>65</v>
      </c>
      <c r="R1230" s="12">
        <v>73</v>
      </c>
      <c r="S1230" s="12">
        <v>4</v>
      </c>
      <c r="T1230" s="13">
        <v>0.33</v>
      </c>
      <c r="U1230" s="13">
        <f t="shared" si="79"/>
        <v>-0.59000000000000008</v>
      </c>
      <c r="V1230" s="14">
        <v>40.43</v>
      </c>
      <c r="W1230" s="14">
        <v>40.43</v>
      </c>
      <c r="X1230" s="11">
        <v>26</v>
      </c>
      <c r="Y1230" s="15" t="s">
        <v>3713</v>
      </c>
      <c r="Z1230" s="16">
        <v>22.43</v>
      </c>
      <c r="AA1230" s="17">
        <v>124.6</v>
      </c>
      <c r="AB1230" s="18" t="s">
        <v>3714</v>
      </c>
    </row>
    <row r="1231" spans="1:28" x14ac:dyDescent="0.45">
      <c r="A1231" s="2" t="s">
        <v>1824</v>
      </c>
      <c r="B1231" s="2" t="s">
        <v>6326</v>
      </c>
      <c r="C1231" s="2" t="s">
        <v>1110</v>
      </c>
      <c r="D1231" s="2" t="s">
        <v>1509</v>
      </c>
      <c r="E1231" s="2" t="s">
        <v>96</v>
      </c>
      <c r="F1231" s="3">
        <v>66.040000000000006</v>
      </c>
      <c r="G1231" s="3">
        <v>76.7</v>
      </c>
      <c r="H1231" s="2" t="s">
        <v>1201</v>
      </c>
      <c r="I1231" s="19">
        <v>27</v>
      </c>
      <c r="J1231" s="34">
        <f t="shared" si="76"/>
        <v>0.2349</v>
      </c>
      <c r="K1231" s="34">
        <f t="shared" si="77"/>
        <v>0.35</v>
      </c>
      <c r="L1231" s="34">
        <f t="shared" si="78"/>
        <v>1.4</v>
      </c>
      <c r="M1231" s="20" t="s">
        <v>4123</v>
      </c>
      <c r="N1231" s="20" t="s">
        <v>3891</v>
      </c>
      <c r="O1231" s="20" t="s">
        <v>3892</v>
      </c>
      <c r="P1231" s="20" t="s">
        <v>3893</v>
      </c>
      <c r="Q1231" s="21">
        <v>66.040000000000006</v>
      </c>
      <c r="R1231" s="21">
        <v>76.707999999999998</v>
      </c>
      <c r="S1231" s="21">
        <v>5.3339999999999996</v>
      </c>
      <c r="T1231" s="22">
        <v>0.61</v>
      </c>
      <c r="U1231" s="13">
        <f t="shared" si="79"/>
        <v>-0.78999999999999992</v>
      </c>
      <c r="V1231" s="23">
        <v>74.72</v>
      </c>
      <c r="W1231" s="23">
        <v>74.72</v>
      </c>
      <c r="X1231" s="20">
        <v>1394</v>
      </c>
      <c r="Y1231" s="24" t="s">
        <v>3737</v>
      </c>
      <c r="Z1231" s="16">
        <v>47.72</v>
      </c>
      <c r="AA1231" s="17">
        <v>176.7</v>
      </c>
      <c r="AB1231" s="25" t="s">
        <v>4032</v>
      </c>
    </row>
    <row r="1232" spans="1:28" x14ac:dyDescent="0.45">
      <c r="A1232" s="4" t="s">
        <v>1825</v>
      </c>
      <c r="B1232" s="4" t="s">
        <v>6327</v>
      </c>
      <c r="C1232" s="4" t="s">
        <v>1110</v>
      </c>
      <c r="D1232" s="4" t="s">
        <v>1509</v>
      </c>
      <c r="E1232" s="4" t="s">
        <v>96</v>
      </c>
      <c r="F1232" s="5">
        <v>66.27</v>
      </c>
      <c r="G1232" s="5">
        <v>73.33</v>
      </c>
      <c r="H1232" s="4" t="s">
        <v>1156</v>
      </c>
      <c r="I1232" s="10">
        <v>15</v>
      </c>
      <c r="J1232" s="34">
        <f t="shared" si="76"/>
        <v>0.1305</v>
      </c>
      <c r="K1232" s="34">
        <f t="shared" si="77"/>
        <v>0.2</v>
      </c>
      <c r="L1232" s="34">
        <f t="shared" si="78"/>
        <v>0.8</v>
      </c>
      <c r="M1232" s="11" t="s">
        <v>4124</v>
      </c>
      <c r="N1232" s="11" t="s">
        <v>3891</v>
      </c>
      <c r="O1232" s="11" t="s">
        <v>3892</v>
      </c>
      <c r="P1232" s="11" t="s">
        <v>3893</v>
      </c>
      <c r="Q1232" s="12">
        <v>66.293999999999997</v>
      </c>
      <c r="R1232" s="12">
        <v>73.406000000000006</v>
      </c>
      <c r="S1232" s="12">
        <v>3.556</v>
      </c>
      <c r="T1232" s="13">
        <v>0.28999999999999998</v>
      </c>
      <c r="U1232" s="13">
        <f t="shared" si="79"/>
        <v>-0.51</v>
      </c>
      <c r="V1232" s="14">
        <v>35.520000000000003</v>
      </c>
      <c r="W1232" s="14">
        <v>35.520000000000003</v>
      </c>
      <c r="X1232" s="11">
        <v>3839</v>
      </c>
      <c r="Y1232" s="15" t="s">
        <v>3737</v>
      </c>
      <c r="Z1232" s="16">
        <v>20.52</v>
      </c>
      <c r="AA1232" s="17">
        <v>136.80000000000001</v>
      </c>
      <c r="AB1232" s="18" t="s">
        <v>3945</v>
      </c>
    </row>
    <row r="1233" spans="1:28" x14ac:dyDescent="0.45">
      <c r="A1233" s="2" t="s">
        <v>1826</v>
      </c>
      <c r="B1233" s="2" t="s">
        <v>6328</v>
      </c>
      <c r="C1233" s="2" t="s">
        <v>1110</v>
      </c>
      <c r="D1233" s="2" t="s">
        <v>1509</v>
      </c>
      <c r="E1233" s="2" t="s">
        <v>96</v>
      </c>
      <c r="F1233" s="3">
        <v>66.34</v>
      </c>
      <c r="G1233" s="3">
        <v>71.58</v>
      </c>
      <c r="H1233" s="2" t="s">
        <v>1127</v>
      </c>
      <c r="I1233" s="19">
        <v>12</v>
      </c>
      <c r="J1233" s="34">
        <f t="shared" si="76"/>
        <v>0.10439999999999999</v>
      </c>
      <c r="K1233" s="34">
        <f t="shared" si="77"/>
        <v>0.16</v>
      </c>
      <c r="L1233" s="34">
        <f t="shared" si="78"/>
        <v>0.64</v>
      </c>
      <c r="M1233" s="20" t="s">
        <v>4125</v>
      </c>
      <c r="N1233" s="20" t="s">
        <v>3898</v>
      </c>
      <c r="O1233" s="20" t="s">
        <v>3892</v>
      </c>
      <c r="P1233" s="20" t="s">
        <v>3899</v>
      </c>
      <c r="Q1233" s="21">
        <v>66.293999999999997</v>
      </c>
      <c r="R1233" s="21">
        <v>71.628</v>
      </c>
      <c r="S1233" s="21">
        <v>2.54</v>
      </c>
      <c r="T1233" s="22">
        <v>0.68</v>
      </c>
      <c r="U1233" s="13">
        <f t="shared" si="79"/>
        <v>4.0000000000000036E-2</v>
      </c>
      <c r="V1233" s="23">
        <v>83.3</v>
      </c>
      <c r="W1233" s="23">
        <v>83.3</v>
      </c>
      <c r="X1233" s="20">
        <v>8</v>
      </c>
      <c r="Y1233" s="24" t="s">
        <v>3737</v>
      </c>
      <c r="Z1233" s="16">
        <v>71.3</v>
      </c>
      <c r="AA1233" s="17">
        <v>594.20000000000005</v>
      </c>
      <c r="AB1233" s="25" t="s">
        <v>3920</v>
      </c>
    </row>
    <row r="1234" spans="1:28" x14ac:dyDescent="0.45">
      <c r="A1234" s="4" t="s">
        <v>1827</v>
      </c>
      <c r="B1234" s="4" t="s">
        <v>6329</v>
      </c>
      <c r="C1234" s="4" t="s">
        <v>1110</v>
      </c>
      <c r="D1234" s="4" t="s">
        <v>1509</v>
      </c>
      <c r="E1234" s="4" t="s">
        <v>96</v>
      </c>
      <c r="F1234" s="5">
        <v>66.400000000000006</v>
      </c>
      <c r="G1234" s="5">
        <v>69.960000000000008</v>
      </c>
      <c r="H1234" s="4" t="s">
        <v>1114</v>
      </c>
      <c r="I1234" s="10">
        <v>10</v>
      </c>
      <c r="J1234" s="34">
        <f t="shared" si="76"/>
        <v>8.6999999999999994E-2</v>
      </c>
      <c r="K1234" s="34">
        <f t="shared" si="77"/>
        <v>0.13</v>
      </c>
      <c r="L1234" s="34">
        <f t="shared" si="78"/>
        <v>0.52</v>
      </c>
      <c r="M1234" s="11" t="s">
        <v>4126</v>
      </c>
      <c r="N1234" s="11" t="s">
        <v>3891</v>
      </c>
      <c r="O1234" s="11" t="s">
        <v>3892</v>
      </c>
      <c r="P1234" s="11" t="s">
        <v>3893</v>
      </c>
      <c r="Q1234" s="12">
        <v>66</v>
      </c>
      <c r="R1234" s="12">
        <v>70</v>
      </c>
      <c r="S1234" s="12">
        <v>2</v>
      </c>
      <c r="T1234" s="13">
        <v>0.2</v>
      </c>
      <c r="U1234" s="13">
        <f t="shared" si="79"/>
        <v>-0.32</v>
      </c>
      <c r="V1234" s="14">
        <v>24.5</v>
      </c>
      <c r="W1234" s="14">
        <v>24.5</v>
      </c>
      <c r="X1234" s="11">
        <v>39</v>
      </c>
      <c r="Y1234" s="15" t="s">
        <v>3713</v>
      </c>
      <c r="Z1234" s="16">
        <v>14.5</v>
      </c>
      <c r="AA1234" s="17">
        <v>145</v>
      </c>
      <c r="AB1234" s="18" t="s">
        <v>4127</v>
      </c>
    </row>
    <row r="1235" spans="1:28" x14ac:dyDescent="0.45">
      <c r="A1235" s="2" t="s">
        <v>1828</v>
      </c>
      <c r="B1235" s="2" t="s">
        <v>6330</v>
      </c>
      <c r="C1235" s="2" t="s">
        <v>1110</v>
      </c>
      <c r="D1235" s="2" t="s">
        <v>1509</v>
      </c>
      <c r="E1235" s="2" t="s">
        <v>96</v>
      </c>
      <c r="F1235" s="3">
        <v>66</v>
      </c>
      <c r="G1235" s="3">
        <v>72</v>
      </c>
      <c r="H1235" s="2" t="s">
        <v>1149</v>
      </c>
      <c r="I1235" s="19">
        <v>15</v>
      </c>
      <c r="J1235" s="34">
        <f t="shared" si="76"/>
        <v>0.1305</v>
      </c>
      <c r="K1235" s="34">
        <f t="shared" si="77"/>
        <v>0.2</v>
      </c>
      <c r="L1235" s="34">
        <f t="shared" si="78"/>
        <v>0.8</v>
      </c>
      <c r="M1235" s="20" t="s">
        <v>4480</v>
      </c>
      <c r="N1235" s="20" t="s">
        <v>3891</v>
      </c>
      <c r="O1235" s="20" t="s">
        <v>3892</v>
      </c>
      <c r="P1235" s="20" t="s">
        <v>3893</v>
      </c>
      <c r="Q1235" s="21">
        <v>66</v>
      </c>
      <c r="R1235" s="21">
        <v>72</v>
      </c>
      <c r="S1235" s="21">
        <v>3</v>
      </c>
      <c r="T1235" s="22">
        <v>0.26</v>
      </c>
      <c r="U1235" s="13">
        <f t="shared" si="79"/>
        <v>-0.54</v>
      </c>
      <c r="V1235" s="23">
        <v>31.85</v>
      </c>
      <c r="W1235" s="23">
        <v>31.85</v>
      </c>
      <c r="X1235" s="20">
        <v>108</v>
      </c>
      <c r="Y1235" s="24" t="s">
        <v>3713</v>
      </c>
      <c r="Z1235" s="16">
        <v>16.850000000000001</v>
      </c>
      <c r="AA1235" s="17">
        <v>112.3</v>
      </c>
      <c r="AB1235" s="25" t="s">
        <v>3714</v>
      </c>
    </row>
    <row r="1236" spans="1:28" x14ac:dyDescent="0.45">
      <c r="A1236" s="4" t="s">
        <v>1829</v>
      </c>
      <c r="B1236" s="4" t="s">
        <v>6331</v>
      </c>
      <c r="C1236" s="4" t="s">
        <v>1110</v>
      </c>
      <c r="D1236" s="4" t="s">
        <v>1509</v>
      </c>
      <c r="E1236" s="4" t="s">
        <v>96</v>
      </c>
      <c r="F1236" s="5">
        <v>67.95</v>
      </c>
      <c r="G1236" s="5">
        <v>73.19</v>
      </c>
      <c r="H1236" s="4" t="s">
        <v>1127</v>
      </c>
      <c r="I1236" s="10">
        <v>13</v>
      </c>
      <c r="J1236" s="34">
        <f t="shared" si="76"/>
        <v>0.11309999999999999</v>
      </c>
      <c r="K1236" s="34">
        <f t="shared" si="77"/>
        <v>0.17</v>
      </c>
      <c r="L1236" s="34">
        <f t="shared" si="78"/>
        <v>0.68</v>
      </c>
      <c r="M1236" s="11" t="s">
        <v>4481</v>
      </c>
      <c r="N1236" s="11" t="s">
        <v>3891</v>
      </c>
      <c r="O1236" s="11" t="s">
        <v>3892</v>
      </c>
      <c r="P1236" s="11" t="s">
        <v>3893</v>
      </c>
      <c r="Q1236" s="12">
        <v>68</v>
      </c>
      <c r="R1236" s="12">
        <v>73</v>
      </c>
      <c r="S1236" s="12">
        <v>2.5</v>
      </c>
      <c r="T1236" s="13">
        <v>0.32</v>
      </c>
      <c r="U1236" s="13">
        <f t="shared" si="79"/>
        <v>-0.36000000000000004</v>
      </c>
      <c r="V1236" s="14">
        <v>39.200000000000003</v>
      </c>
      <c r="W1236" s="14">
        <v>39.200000000000003</v>
      </c>
      <c r="X1236" s="11">
        <v>73</v>
      </c>
      <c r="Y1236" s="15" t="s">
        <v>3713</v>
      </c>
      <c r="Z1236" s="16">
        <v>26.2</v>
      </c>
      <c r="AA1236" s="17">
        <v>201.5</v>
      </c>
      <c r="AB1236" s="18" t="s">
        <v>4482</v>
      </c>
    </row>
    <row r="1237" spans="1:28" x14ac:dyDescent="0.45">
      <c r="A1237" s="2" t="s">
        <v>1830</v>
      </c>
      <c r="B1237" s="2" t="s">
        <v>6332</v>
      </c>
      <c r="C1237" s="2" t="s">
        <v>1110</v>
      </c>
      <c r="D1237" s="2" t="s">
        <v>1509</v>
      </c>
      <c r="E1237" s="2" t="s">
        <v>96</v>
      </c>
      <c r="F1237" s="3">
        <v>67</v>
      </c>
      <c r="G1237" s="3">
        <v>73</v>
      </c>
      <c r="H1237" s="2" t="s">
        <v>1149</v>
      </c>
      <c r="I1237" s="19">
        <v>15</v>
      </c>
      <c r="J1237" s="34">
        <f t="shared" si="76"/>
        <v>0.1305</v>
      </c>
      <c r="K1237" s="34">
        <f t="shared" si="77"/>
        <v>0.2</v>
      </c>
      <c r="L1237" s="34">
        <f t="shared" si="78"/>
        <v>0.8</v>
      </c>
      <c r="M1237" s="20" t="s">
        <v>4483</v>
      </c>
      <c r="N1237" s="20" t="s">
        <v>3891</v>
      </c>
      <c r="O1237" s="20" t="s">
        <v>3892</v>
      </c>
      <c r="P1237" s="20" t="s">
        <v>3893</v>
      </c>
      <c r="Q1237" s="21">
        <v>67</v>
      </c>
      <c r="R1237" s="21">
        <v>73</v>
      </c>
      <c r="S1237" s="21">
        <v>3</v>
      </c>
      <c r="T1237" s="22">
        <v>0.32</v>
      </c>
      <c r="U1237" s="13">
        <f t="shared" si="79"/>
        <v>-0.48000000000000004</v>
      </c>
      <c r="V1237" s="23">
        <v>39.200000000000003</v>
      </c>
      <c r="W1237" s="23">
        <v>39.200000000000003</v>
      </c>
      <c r="X1237" s="20">
        <v>2382</v>
      </c>
      <c r="Y1237" s="24" t="s">
        <v>3713</v>
      </c>
      <c r="Z1237" s="16">
        <v>24.2</v>
      </c>
      <c r="AA1237" s="17">
        <v>161.30000000000001</v>
      </c>
      <c r="AB1237" s="25" t="s">
        <v>3714</v>
      </c>
    </row>
    <row r="1238" spans="1:28" x14ac:dyDescent="0.45">
      <c r="A1238" s="4" t="s">
        <v>1831</v>
      </c>
      <c r="B1238" s="4" t="s">
        <v>6333</v>
      </c>
      <c r="C1238" s="4" t="s">
        <v>1110</v>
      </c>
      <c r="D1238" s="4" t="s">
        <v>1509</v>
      </c>
      <c r="E1238" s="4" t="s">
        <v>96</v>
      </c>
      <c r="F1238" s="5">
        <v>68</v>
      </c>
      <c r="G1238" s="5">
        <v>76</v>
      </c>
      <c r="H1238" s="4" t="s">
        <v>1216</v>
      </c>
      <c r="I1238" s="10">
        <v>20</v>
      </c>
      <c r="J1238" s="34">
        <f t="shared" si="76"/>
        <v>0.17399999999999999</v>
      </c>
      <c r="K1238" s="34">
        <f t="shared" si="77"/>
        <v>0.26</v>
      </c>
      <c r="L1238" s="34">
        <f t="shared" si="78"/>
        <v>1.04</v>
      </c>
      <c r="M1238" s="11" t="s">
        <v>4484</v>
      </c>
      <c r="N1238" s="11" t="s">
        <v>3891</v>
      </c>
      <c r="O1238" s="11" t="s">
        <v>3892</v>
      </c>
      <c r="P1238" s="11" t="s">
        <v>3893</v>
      </c>
      <c r="Q1238" s="12">
        <v>68</v>
      </c>
      <c r="R1238" s="12">
        <v>76</v>
      </c>
      <c r="S1238" s="12">
        <v>4</v>
      </c>
      <c r="T1238" s="13">
        <v>0.33</v>
      </c>
      <c r="U1238" s="13">
        <f t="shared" si="79"/>
        <v>-0.71</v>
      </c>
      <c r="V1238" s="14">
        <v>40.43</v>
      </c>
      <c r="W1238" s="14">
        <v>40.43</v>
      </c>
      <c r="X1238" s="11">
        <v>171</v>
      </c>
      <c r="Y1238" s="15" t="s">
        <v>3713</v>
      </c>
      <c r="Z1238" s="16">
        <v>20.43</v>
      </c>
      <c r="AA1238" s="17">
        <v>102.2</v>
      </c>
      <c r="AB1238" s="18" t="s">
        <v>3714</v>
      </c>
    </row>
    <row r="1239" spans="1:28" x14ac:dyDescent="0.45">
      <c r="A1239" s="2" t="s">
        <v>1832</v>
      </c>
      <c r="B1239" s="2" t="s">
        <v>6334</v>
      </c>
      <c r="C1239" s="2" t="s">
        <v>1110</v>
      </c>
      <c r="D1239" s="2" t="s">
        <v>1509</v>
      </c>
      <c r="E1239" s="2" t="s">
        <v>96</v>
      </c>
      <c r="F1239" s="3">
        <v>69.22</v>
      </c>
      <c r="G1239" s="3">
        <v>79.88</v>
      </c>
      <c r="H1239" s="2" t="s">
        <v>1201</v>
      </c>
      <c r="I1239" s="19">
        <v>29</v>
      </c>
      <c r="J1239" s="34">
        <f t="shared" si="76"/>
        <v>0.25229999999999997</v>
      </c>
      <c r="K1239" s="34">
        <f t="shared" si="77"/>
        <v>0.38</v>
      </c>
      <c r="L1239" s="34">
        <f t="shared" si="78"/>
        <v>1.52</v>
      </c>
      <c r="M1239" s="20" t="s">
        <v>4128</v>
      </c>
      <c r="N1239" s="20" t="s">
        <v>3891</v>
      </c>
      <c r="O1239" s="20" t="s">
        <v>3892</v>
      </c>
      <c r="P1239" s="20" t="s">
        <v>3893</v>
      </c>
      <c r="Q1239" s="21">
        <v>69.341999999999999</v>
      </c>
      <c r="R1239" s="21">
        <v>80.010000000000005</v>
      </c>
      <c r="S1239" s="21">
        <v>5.3339999999999996</v>
      </c>
      <c r="T1239" s="22">
        <v>0.64</v>
      </c>
      <c r="U1239" s="13">
        <f t="shared" si="79"/>
        <v>-0.88</v>
      </c>
      <c r="V1239" s="23">
        <v>78.400000000000006</v>
      </c>
      <c r="W1239" s="23">
        <v>78.400000000000006</v>
      </c>
      <c r="X1239" s="20">
        <v>1224</v>
      </c>
      <c r="Y1239" s="24" t="s">
        <v>3737</v>
      </c>
      <c r="Z1239" s="16">
        <v>49.400000000000013</v>
      </c>
      <c r="AA1239" s="17">
        <v>170.3</v>
      </c>
      <c r="AB1239" s="25" t="s">
        <v>4016</v>
      </c>
    </row>
    <row r="1240" spans="1:28" x14ac:dyDescent="0.45">
      <c r="A1240" s="4" t="s">
        <v>1833</v>
      </c>
      <c r="B1240" s="4" t="s">
        <v>6335</v>
      </c>
      <c r="C1240" s="4" t="s">
        <v>1110</v>
      </c>
      <c r="D1240" s="4" t="s">
        <v>1509</v>
      </c>
      <c r="E1240" s="4" t="s">
        <v>96</v>
      </c>
      <c r="F1240" s="5">
        <v>69.2</v>
      </c>
      <c r="G1240" s="5">
        <v>80.600000000000009</v>
      </c>
      <c r="H1240" s="4" t="s">
        <v>1297</v>
      </c>
      <c r="I1240" s="10">
        <v>37</v>
      </c>
      <c r="J1240" s="34">
        <f t="shared" si="76"/>
        <v>0.32189999999999996</v>
      </c>
      <c r="K1240" s="34">
        <f t="shared" si="77"/>
        <v>0.48</v>
      </c>
      <c r="L1240" s="34">
        <f t="shared" si="78"/>
        <v>1.92</v>
      </c>
      <c r="M1240" s="11" t="s">
        <v>4485</v>
      </c>
      <c r="N1240" s="11" t="s">
        <v>3891</v>
      </c>
      <c r="O1240" s="11" t="s">
        <v>3892</v>
      </c>
      <c r="P1240" s="11" t="s">
        <v>3893</v>
      </c>
      <c r="Q1240" s="12">
        <v>69.3</v>
      </c>
      <c r="R1240" s="12">
        <v>80.7</v>
      </c>
      <c r="S1240" s="12">
        <v>5.7</v>
      </c>
      <c r="T1240" s="13">
        <v>0.75</v>
      </c>
      <c r="U1240" s="13">
        <f t="shared" si="79"/>
        <v>-1.17</v>
      </c>
      <c r="V1240" s="14">
        <v>91.88</v>
      </c>
      <c r="W1240" s="14">
        <v>91.88</v>
      </c>
      <c r="X1240" s="11">
        <v>386</v>
      </c>
      <c r="Y1240" s="15" t="s">
        <v>3713</v>
      </c>
      <c r="Z1240" s="16">
        <v>54.88</v>
      </c>
      <c r="AA1240" s="17">
        <v>148.30000000000001</v>
      </c>
      <c r="AB1240" s="18" t="s">
        <v>4119</v>
      </c>
    </row>
    <row r="1241" spans="1:28" x14ac:dyDescent="0.45">
      <c r="A1241" s="2" t="s">
        <v>1834</v>
      </c>
      <c r="B1241" s="2" t="s">
        <v>6336</v>
      </c>
      <c r="C1241" s="2" t="s">
        <v>1110</v>
      </c>
      <c r="D1241" s="2" t="s">
        <v>1509</v>
      </c>
      <c r="E1241" s="2" t="s">
        <v>96</v>
      </c>
      <c r="F1241" s="3">
        <v>69.44</v>
      </c>
      <c r="G1241" s="3">
        <v>76.5</v>
      </c>
      <c r="H1241" s="2" t="s">
        <v>1156</v>
      </c>
      <c r="I1241" s="19">
        <v>17</v>
      </c>
      <c r="J1241" s="34">
        <f t="shared" si="76"/>
        <v>0.14789999999999998</v>
      </c>
      <c r="K1241" s="34">
        <f t="shared" si="77"/>
        <v>0.22</v>
      </c>
      <c r="L1241" s="34">
        <f t="shared" si="78"/>
        <v>0.88</v>
      </c>
      <c r="M1241" s="20" t="s">
        <v>4129</v>
      </c>
      <c r="N1241" s="20" t="s">
        <v>3913</v>
      </c>
      <c r="O1241" s="20" t="s">
        <v>3892</v>
      </c>
      <c r="P1241" s="20" t="s">
        <v>3914</v>
      </c>
      <c r="Q1241" s="21">
        <v>69.341999999999999</v>
      </c>
      <c r="R1241" s="21">
        <v>76.453999999999994</v>
      </c>
      <c r="S1241" s="21">
        <v>3.556</v>
      </c>
      <c r="T1241" s="22">
        <v>4.68</v>
      </c>
      <c r="U1241" s="13">
        <f t="shared" si="79"/>
        <v>3.8</v>
      </c>
      <c r="V1241" s="23">
        <v>573.29999999999995</v>
      </c>
      <c r="W1241" s="23">
        <v>573.29999999999995</v>
      </c>
      <c r="X1241" s="20" t="s">
        <v>3722</v>
      </c>
      <c r="Y1241" s="24" t="s">
        <v>3737</v>
      </c>
      <c r="Z1241" s="16">
        <v>556.29999999999995</v>
      </c>
      <c r="AA1241" s="17">
        <v>3272.4</v>
      </c>
      <c r="AB1241" s="25" t="s">
        <v>3963</v>
      </c>
    </row>
    <row r="1242" spans="1:28" x14ac:dyDescent="0.45">
      <c r="A1242" s="4" t="s">
        <v>1835</v>
      </c>
      <c r="B1242" s="4" t="s">
        <v>6337</v>
      </c>
      <c r="C1242" s="4" t="s">
        <v>1110</v>
      </c>
      <c r="D1242" s="4" t="s">
        <v>1509</v>
      </c>
      <c r="E1242" s="4" t="s">
        <v>96</v>
      </c>
      <c r="F1242" s="5">
        <v>69.400000000000006</v>
      </c>
      <c r="G1242" s="5">
        <v>75.600000000000009</v>
      </c>
      <c r="H1242" s="4" t="s">
        <v>1221</v>
      </c>
      <c r="I1242" s="10">
        <v>20</v>
      </c>
      <c r="J1242" s="34">
        <f t="shared" si="76"/>
        <v>0.17399999999999999</v>
      </c>
      <c r="K1242" s="34">
        <f t="shared" si="77"/>
        <v>0.26</v>
      </c>
      <c r="L1242" s="34">
        <f t="shared" si="78"/>
        <v>1.04</v>
      </c>
      <c r="M1242" s="11" t="s">
        <v>4130</v>
      </c>
      <c r="N1242" s="11" t="s">
        <v>3891</v>
      </c>
      <c r="O1242" s="11" t="s">
        <v>3892</v>
      </c>
      <c r="P1242" s="11" t="s">
        <v>3893</v>
      </c>
      <c r="Q1242" s="12">
        <v>69.400000000000006</v>
      </c>
      <c r="R1242" s="12">
        <v>75.599999999999994</v>
      </c>
      <c r="S1242" s="12">
        <v>3.1</v>
      </c>
      <c r="T1242" s="13">
        <v>0.56000000000000005</v>
      </c>
      <c r="U1242" s="13">
        <f t="shared" si="79"/>
        <v>-0.48</v>
      </c>
      <c r="V1242" s="14">
        <v>68.599999999999994</v>
      </c>
      <c r="W1242" s="14">
        <v>68.599999999999994</v>
      </c>
      <c r="X1242" s="11">
        <v>181</v>
      </c>
      <c r="Y1242" s="15" t="s">
        <v>3713</v>
      </c>
      <c r="Z1242" s="16">
        <v>48.599999999999987</v>
      </c>
      <c r="AA1242" s="17">
        <v>243</v>
      </c>
      <c r="AB1242" s="18" t="s">
        <v>3714</v>
      </c>
    </row>
    <row r="1243" spans="1:28" x14ac:dyDescent="0.45">
      <c r="A1243" s="2" t="s">
        <v>1836</v>
      </c>
      <c r="B1243" s="2" t="s">
        <v>6338</v>
      </c>
      <c r="C1243" s="2" t="s">
        <v>1110</v>
      </c>
      <c r="D1243" s="2" t="s">
        <v>1509</v>
      </c>
      <c r="E1243" s="2" t="s">
        <v>96</v>
      </c>
      <c r="F1243" s="3">
        <v>69.52</v>
      </c>
      <c r="G1243" s="3">
        <v>74.759999999999991</v>
      </c>
      <c r="H1243" s="2" t="s">
        <v>1127</v>
      </c>
      <c r="I1243" s="19">
        <v>13</v>
      </c>
      <c r="J1243" s="34">
        <f t="shared" si="76"/>
        <v>0.11309999999999999</v>
      </c>
      <c r="K1243" s="34">
        <f t="shared" si="77"/>
        <v>0.17</v>
      </c>
      <c r="L1243" s="34">
        <f t="shared" si="78"/>
        <v>0.68</v>
      </c>
      <c r="M1243" s="20" t="s">
        <v>4131</v>
      </c>
      <c r="N1243" s="20" t="s">
        <v>3891</v>
      </c>
      <c r="O1243" s="20" t="s">
        <v>3892</v>
      </c>
      <c r="P1243" s="20" t="s">
        <v>3893</v>
      </c>
      <c r="Q1243" s="21">
        <v>69.599999999999994</v>
      </c>
      <c r="R1243" s="21">
        <v>74.400000000000006</v>
      </c>
      <c r="S1243" s="21">
        <v>2.4</v>
      </c>
      <c r="T1243" s="22">
        <v>0.35</v>
      </c>
      <c r="U1243" s="13">
        <f t="shared" si="79"/>
        <v>-0.33000000000000007</v>
      </c>
      <c r="V1243" s="23">
        <v>42.88</v>
      </c>
      <c r="W1243" s="23">
        <v>42.88</v>
      </c>
      <c r="X1243" s="20">
        <v>41</v>
      </c>
      <c r="Y1243" s="24" t="s">
        <v>3713</v>
      </c>
      <c r="Z1243" s="16">
        <v>29.88</v>
      </c>
      <c r="AA1243" s="17">
        <v>229.8</v>
      </c>
      <c r="AB1243" s="25" t="s">
        <v>4132</v>
      </c>
    </row>
    <row r="1244" spans="1:28" x14ac:dyDescent="0.45">
      <c r="A1244" s="4" t="s">
        <v>1837</v>
      </c>
      <c r="B1244" s="4" t="s">
        <v>6339</v>
      </c>
      <c r="C1244" s="4" t="s">
        <v>1110</v>
      </c>
      <c r="D1244" s="4" t="s">
        <v>1509</v>
      </c>
      <c r="E1244" s="4" t="s">
        <v>96</v>
      </c>
      <c r="F1244" s="5">
        <v>69.569999999999993</v>
      </c>
      <c r="G1244" s="5">
        <v>73.13</v>
      </c>
      <c r="H1244" s="4" t="s">
        <v>1114</v>
      </c>
      <c r="I1244" s="10">
        <v>10</v>
      </c>
      <c r="J1244" s="34">
        <f t="shared" si="76"/>
        <v>8.6999999999999994E-2</v>
      </c>
      <c r="K1244" s="34">
        <f t="shared" si="77"/>
        <v>0.13</v>
      </c>
      <c r="L1244" s="34">
        <f t="shared" si="78"/>
        <v>0.52</v>
      </c>
      <c r="M1244" s="11" t="s">
        <v>4133</v>
      </c>
      <c r="N1244" s="11" t="s">
        <v>3891</v>
      </c>
      <c r="O1244" s="11" t="s">
        <v>3892</v>
      </c>
      <c r="P1244" s="11" t="s">
        <v>3893</v>
      </c>
      <c r="Q1244" s="12">
        <v>69.596000000000004</v>
      </c>
      <c r="R1244" s="12">
        <v>73.152000000000001</v>
      </c>
      <c r="S1244" s="12">
        <v>1.778</v>
      </c>
      <c r="T1244" s="13">
        <v>0.2</v>
      </c>
      <c r="U1244" s="13">
        <f t="shared" si="79"/>
        <v>-0.32</v>
      </c>
      <c r="V1244" s="14">
        <v>24.5</v>
      </c>
      <c r="W1244" s="14">
        <v>24.5</v>
      </c>
      <c r="X1244" s="11">
        <v>362</v>
      </c>
      <c r="Y1244" s="15" t="s">
        <v>3737</v>
      </c>
      <c r="Z1244" s="16">
        <v>14.5</v>
      </c>
      <c r="AA1244" s="17">
        <v>145</v>
      </c>
      <c r="AB1244" s="18" t="s">
        <v>3967</v>
      </c>
    </row>
    <row r="1245" spans="1:28" x14ac:dyDescent="0.45">
      <c r="A1245" s="2" t="s">
        <v>1838</v>
      </c>
      <c r="B1245" s="2" t="s">
        <v>6340</v>
      </c>
      <c r="C1245" s="2" t="s">
        <v>1110</v>
      </c>
      <c r="D1245" s="2" t="s">
        <v>1509</v>
      </c>
      <c r="E1245" s="2" t="s">
        <v>96</v>
      </c>
      <c r="F1245" s="3">
        <v>70.599999999999994</v>
      </c>
      <c r="G1245" s="3">
        <v>82</v>
      </c>
      <c r="H1245" s="2" t="s">
        <v>1297</v>
      </c>
      <c r="I1245" s="19">
        <v>40</v>
      </c>
      <c r="J1245" s="34">
        <f t="shared" si="76"/>
        <v>0.34799999999999998</v>
      </c>
      <c r="K1245" s="34">
        <f t="shared" si="77"/>
        <v>0.52</v>
      </c>
      <c r="L1245" s="34">
        <f t="shared" si="78"/>
        <v>2.08</v>
      </c>
      <c r="M1245" s="20" t="s">
        <v>4486</v>
      </c>
      <c r="N1245" s="20" t="s">
        <v>3891</v>
      </c>
      <c r="O1245" s="20" t="s">
        <v>3892</v>
      </c>
      <c r="P1245" s="20" t="s">
        <v>3893</v>
      </c>
      <c r="Q1245" s="21">
        <v>70</v>
      </c>
      <c r="R1245" s="21">
        <v>82</v>
      </c>
      <c r="S1245" s="21">
        <v>6</v>
      </c>
      <c r="T1245" s="22">
        <v>0.99</v>
      </c>
      <c r="U1245" s="13">
        <f t="shared" si="79"/>
        <v>-1.0900000000000001</v>
      </c>
      <c r="V1245" s="23">
        <v>121.28</v>
      </c>
      <c r="W1245" s="23">
        <v>121.28</v>
      </c>
      <c r="X1245" s="20">
        <v>20</v>
      </c>
      <c r="Y1245" s="24" t="s">
        <v>3713</v>
      </c>
      <c r="Z1245" s="16">
        <v>81.28</v>
      </c>
      <c r="AA1245" s="17">
        <v>203.2</v>
      </c>
      <c r="AB1245" s="25" t="s">
        <v>4487</v>
      </c>
    </row>
    <row r="1246" spans="1:28" x14ac:dyDescent="0.45">
      <c r="A1246" s="4" t="s">
        <v>1839</v>
      </c>
      <c r="B1246" s="4" t="s">
        <v>6341</v>
      </c>
      <c r="C1246" s="4" t="s">
        <v>1110</v>
      </c>
      <c r="D1246" s="4" t="s">
        <v>1509</v>
      </c>
      <c r="E1246" s="4" t="s">
        <v>96</v>
      </c>
      <c r="F1246" s="5">
        <v>70</v>
      </c>
      <c r="G1246" s="5">
        <v>74</v>
      </c>
      <c r="H1246" s="4" t="s">
        <v>1122</v>
      </c>
      <c r="I1246" s="10">
        <v>2</v>
      </c>
      <c r="J1246" s="34">
        <f t="shared" si="76"/>
        <v>1.7399999999999999E-2</v>
      </c>
      <c r="K1246" s="34">
        <f t="shared" si="77"/>
        <v>0.03</v>
      </c>
      <c r="L1246" s="34">
        <f t="shared" si="78"/>
        <v>0.12</v>
      </c>
      <c r="M1246" s="11" t="s">
        <v>4488</v>
      </c>
      <c r="N1246" s="11" t="s">
        <v>3891</v>
      </c>
      <c r="O1246" s="11" t="s">
        <v>3892</v>
      </c>
      <c r="P1246" s="11" t="s">
        <v>3893</v>
      </c>
      <c r="Q1246" s="12">
        <v>70</v>
      </c>
      <c r="R1246" s="12">
        <v>74</v>
      </c>
      <c r="S1246" s="12">
        <v>2</v>
      </c>
      <c r="T1246" s="13">
        <v>0.22</v>
      </c>
      <c r="U1246" s="13">
        <f t="shared" si="79"/>
        <v>0.1</v>
      </c>
      <c r="V1246" s="14">
        <v>26.95</v>
      </c>
      <c r="W1246" s="14">
        <v>26.95</v>
      </c>
      <c r="X1246" s="11">
        <v>71</v>
      </c>
      <c r="Y1246" s="15" t="s">
        <v>3713</v>
      </c>
      <c r="Z1246" s="16">
        <v>24.95</v>
      </c>
      <c r="AA1246" s="17">
        <v>1247.5</v>
      </c>
      <c r="AB1246" s="18" t="s">
        <v>3714</v>
      </c>
    </row>
    <row r="1247" spans="1:28" x14ac:dyDescent="0.45">
      <c r="A1247" s="2" t="s">
        <v>1840</v>
      </c>
      <c r="B1247" s="2" t="s">
        <v>6342</v>
      </c>
      <c r="C1247" s="2" t="s">
        <v>1110</v>
      </c>
      <c r="D1247" s="2" t="s">
        <v>1509</v>
      </c>
      <c r="E1247" s="2" t="s">
        <v>96</v>
      </c>
      <c r="F1247" s="3">
        <v>70</v>
      </c>
      <c r="G1247" s="3">
        <v>76</v>
      </c>
      <c r="H1247" s="2" t="s">
        <v>1149</v>
      </c>
      <c r="I1247" s="19">
        <v>17</v>
      </c>
      <c r="J1247" s="34">
        <f t="shared" si="76"/>
        <v>0.14789999999999998</v>
      </c>
      <c r="K1247" s="34">
        <f t="shared" si="77"/>
        <v>0.22</v>
      </c>
      <c r="L1247" s="34">
        <f t="shared" si="78"/>
        <v>0.88</v>
      </c>
      <c r="M1247" s="20" t="s">
        <v>4489</v>
      </c>
      <c r="N1247" s="20" t="s">
        <v>3891</v>
      </c>
      <c r="O1247" s="20" t="s">
        <v>3892</v>
      </c>
      <c r="P1247" s="20" t="s">
        <v>3893</v>
      </c>
      <c r="Q1247" s="21">
        <v>70</v>
      </c>
      <c r="R1247" s="21">
        <v>76</v>
      </c>
      <c r="S1247" s="21">
        <v>3</v>
      </c>
      <c r="T1247" s="22">
        <v>0.33</v>
      </c>
      <c r="U1247" s="13">
        <f t="shared" si="79"/>
        <v>-0.55000000000000004</v>
      </c>
      <c r="V1247" s="23">
        <v>40.43</v>
      </c>
      <c r="W1247" s="23">
        <v>40.43</v>
      </c>
      <c r="X1247" s="20">
        <v>560</v>
      </c>
      <c r="Y1247" s="24" t="s">
        <v>3713</v>
      </c>
      <c r="Z1247" s="16">
        <v>23.43</v>
      </c>
      <c r="AA1247" s="17">
        <v>137.80000000000001</v>
      </c>
      <c r="AB1247" s="25" t="s">
        <v>3714</v>
      </c>
    </row>
    <row r="1248" spans="1:28" x14ac:dyDescent="0.45">
      <c r="A1248" s="4" t="s">
        <v>1841</v>
      </c>
      <c r="B1248" s="4" t="s">
        <v>6343</v>
      </c>
      <c r="C1248" s="4" t="s">
        <v>1110</v>
      </c>
      <c r="D1248" s="4" t="s">
        <v>1509</v>
      </c>
      <c r="E1248" s="4" t="s">
        <v>96</v>
      </c>
      <c r="F1248" s="5">
        <v>70</v>
      </c>
      <c r="G1248" s="5">
        <v>80</v>
      </c>
      <c r="H1248" s="4" t="s">
        <v>1245</v>
      </c>
      <c r="I1248" s="10">
        <v>29</v>
      </c>
      <c r="J1248" s="34">
        <f t="shared" si="76"/>
        <v>0.25229999999999997</v>
      </c>
      <c r="K1248" s="34">
        <f t="shared" si="77"/>
        <v>0.38</v>
      </c>
      <c r="L1248" s="34">
        <f t="shared" si="78"/>
        <v>1.52</v>
      </c>
      <c r="M1248" s="11" t="s">
        <v>4134</v>
      </c>
      <c r="N1248" s="11" t="s">
        <v>3891</v>
      </c>
      <c r="O1248" s="11" t="s">
        <v>3892</v>
      </c>
      <c r="P1248" s="11" t="s">
        <v>3893</v>
      </c>
      <c r="Q1248" s="12">
        <v>70</v>
      </c>
      <c r="R1248" s="12">
        <v>80</v>
      </c>
      <c r="S1248" s="12">
        <v>5</v>
      </c>
      <c r="T1248" s="13">
        <v>0.54</v>
      </c>
      <c r="U1248" s="13">
        <f t="shared" si="79"/>
        <v>-0.98</v>
      </c>
      <c r="V1248" s="14">
        <v>66.150000000000006</v>
      </c>
      <c r="W1248" s="14">
        <v>66.150000000000006</v>
      </c>
      <c r="X1248" s="11">
        <v>86</v>
      </c>
      <c r="Y1248" s="15" t="s">
        <v>3713</v>
      </c>
      <c r="Z1248" s="16">
        <v>37.150000000000013</v>
      </c>
      <c r="AA1248" s="17">
        <v>128.1</v>
      </c>
      <c r="AB1248" s="18" t="s">
        <v>3714</v>
      </c>
    </row>
    <row r="1249" spans="1:28" x14ac:dyDescent="0.45">
      <c r="A1249" s="2" t="s">
        <v>1842</v>
      </c>
      <c r="B1249" s="2" t="s">
        <v>6344</v>
      </c>
      <c r="C1249" s="2" t="s">
        <v>1110</v>
      </c>
      <c r="D1249" s="2" t="s">
        <v>1509</v>
      </c>
      <c r="E1249" s="2" t="s">
        <v>96</v>
      </c>
      <c r="F1249" s="3">
        <v>71.12</v>
      </c>
      <c r="G1249" s="3">
        <v>76.36</v>
      </c>
      <c r="H1249" s="2" t="s">
        <v>1127</v>
      </c>
      <c r="I1249" s="19">
        <v>13</v>
      </c>
      <c r="J1249" s="34">
        <f t="shared" si="76"/>
        <v>0.11309999999999999</v>
      </c>
      <c r="K1249" s="34">
        <f t="shared" si="77"/>
        <v>0.17</v>
      </c>
      <c r="L1249" s="34">
        <f t="shared" si="78"/>
        <v>0.68</v>
      </c>
      <c r="M1249" s="20" t="s">
        <v>4135</v>
      </c>
      <c r="N1249" s="20" t="s">
        <v>3898</v>
      </c>
      <c r="O1249" s="20" t="s">
        <v>3892</v>
      </c>
      <c r="P1249" s="20" t="s">
        <v>3899</v>
      </c>
      <c r="Q1249" s="21">
        <v>71.12</v>
      </c>
      <c r="R1249" s="21">
        <v>76.453999999999994</v>
      </c>
      <c r="S1249" s="21">
        <v>2.54</v>
      </c>
      <c r="T1249" s="22">
        <v>1.82</v>
      </c>
      <c r="U1249" s="13">
        <f t="shared" si="79"/>
        <v>1.1400000000000001</v>
      </c>
      <c r="V1249" s="23">
        <v>222.95</v>
      </c>
      <c r="W1249" s="23">
        <v>222.95</v>
      </c>
      <c r="X1249" s="20" t="s">
        <v>3722</v>
      </c>
      <c r="Y1249" s="24" t="s">
        <v>3737</v>
      </c>
      <c r="Z1249" s="16">
        <v>209.95</v>
      </c>
      <c r="AA1249" s="17">
        <v>1615</v>
      </c>
      <c r="AB1249" s="25" t="s">
        <v>4108</v>
      </c>
    </row>
    <row r="1250" spans="1:28" x14ac:dyDescent="0.45">
      <c r="A1250" s="4" t="s">
        <v>1843</v>
      </c>
      <c r="B1250" s="4" t="s">
        <v>6345</v>
      </c>
      <c r="C1250" s="4" t="s">
        <v>1110</v>
      </c>
      <c r="D1250" s="4" t="s">
        <v>1509</v>
      </c>
      <c r="E1250" s="4" t="s">
        <v>96</v>
      </c>
      <c r="F1250" s="5">
        <v>72.39</v>
      </c>
      <c r="G1250" s="5">
        <v>83.05</v>
      </c>
      <c r="H1250" s="4" t="s">
        <v>1201</v>
      </c>
      <c r="I1250" s="10">
        <v>30</v>
      </c>
      <c r="J1250" s="34">
        <f t="shared" si="76"/>
        <v>0.26100000000000001</v>
      </c>
      <c r="K1250" s="34">
        <f t="shared" si="77"/>
        <v>0.39</v>
      </c>
      <c r="L1250" s="34">
        <f t="shared" si="78"/>
        <v>1.56</v>
      </c>
      <c r="M1250" s="11" t="s">
        <v>4136</v>
      </c>
      <c r="N1250" s="11" t="s">
        <v>3891</v>
      </c>
      <c r="O1250" s="11" t="s">
        <v>3892</v>
      </c>
      <c r="P1250" s="11" t="s">
        <v>3893</v>
      </c>
      <c r="Q1250" s="12">
        <v>72.39</v>
      </c>
      <c r="R1250" s="12">
        <v>83.058000000000007</v>
      </c>
      <c r="S1250" s="12">
        <v>5.3339999999999996</v>
      </c>
      <c r="T1250" s="13">
        <v>0.52</v>
      </c>
      <c r="U1250" s="13">
        <f t="shared" si="79"/>
        <v>-1.04</v>
      </c>
      <c r="V1250" s="14">
        <v>63.7</v>
      </c>
      <c r="W1250" s="14">
        <v>63.7</v>
      </c>
      <c r="X1250" s="11">
        <v>374</v>
      </c>
      <c r="Y1250" s="15" t="s">
        <v>3737</v>
      </c>
      <c r="Z1250" s="16">
        <v>33.700000000000003</v>
      </c>
      <c r="AA1250" s="17">
        <v>112.3</v>
      </c>
      <c r="AB1250" s="18" t="s">
        <v>4032</v>
      </c>
    </row>
    <row r="1251" spans="1:28" x14ac:dyDescent="0.45">
      <c r="A1251" s="2" t="s">
        <v>1844</v>
      </c>
      <c r="B1251" s="2" t="s">
        <v>6346</v>
      </c>
      <c r="C1251" s="2" t="s">
        <v>1110</v>
      </c>
      <c r="D1251" s="2" t="s">
        <v>1509</v>
      </c>
      <c r="E1251" s="2" t="s">
        <v>96</v>
      </c>
      <c r="F1251" s="3">
        <v>72.62</v>
      </c>
      <c r="G1251" s="3">
        <v>79.680000000000007</v>
      </c>
      <c r="H1251" s="2" t="s">
        <v>1156</v>
      </c>
      <c r="I1251" s="19">
        <v>17</v>
      </c>
      <c r="J1251" s="34">
        <f t="shared" si="76"/>
        <v>0.14789999999999998</v>
      </c>
      <c r="K1251" s="34">
        <f t="shared" si="77"/>
        <v>0.22</v>
      </c>
      <c r="L1251" s="34">
        <f t="shared" si="78"/>
        <v>0.88</v>
      </c>
      <c r="M1251" s="20" t="s">
        <v>4137</v>
      </c>
      <c r="N1251" s="20" t="s">
        <v>3898</v>
      </c>
      <c r="O1251" s="20" t="s">
        <v>3892</v>
      </c>
      <c r="P1251" s="20" t="s">
        <v>3899</v>
      </c>
      <c r="Q1251" s="21">
        <v>72.644000000000005</v>
      </c>
      <c r="R1251" s="21">
        <v>79.756</v>
      </c>
      <c r="S1251" s="21">
        <v>3.556</v>
      </c>
      <c r="T1251" s="22">
        <v>0.52</v>
      </c>
      <c r="U1251" s="13">
        <f t="shared" si="79"/>
        <v>-0.36</v>
      </c>
      <c r="V1251" s="23">
        <v>63.7</v>
      </c>
      <c r="W1251" s="23">
        <v>63.7</v>
      </c>
      <c r="X1251" s="20">
        <v>17</v>
      </c>
      <c r="Y1251" s="24" t="s">
        <v>3737</v>
      </c>
      <c r="Z1251" s="16">
        <v>46.7</v>
      </c>
      <c r="AA1251" s="17">
        <v>274.7</v>
      </c>
      <c r="AB1251" s="25" t="s">
        <v>3945</v>
      </c>
    </row>
    <row r="1252" spans="1:28" x14ac:dyDescent="0.45">
      <c r="A1252" s="4" t="s">
        <v>1845</v>
      </c>
      <c r="B1252" s="4" t="s">
        <v>6347</v>
      </c>
      <c r="C1252" s="4" t="s">
        <v>1110</v>
      </c>
      <c r="D1252" s="4" t="s">
        <v>1509</v>
      </c>
      <c r="E1252" s="4" t="s">
        <v>96</v>
      </c>
      <c r="F1252" s="5">
        <v>72.69</v>
      </c>
      <c r="G1252" s="5">
        <v>77.929999999999993</v>
      </c>
      <c r="H1252" s="4" t="s">
        <v>1127</v>
      </c>
      <c r="I1252" s="10">
        <v>15</v>
      </c>
      <c r="J1252" s="34">
        <f t="shared" si="76"/>
        <v>0.1305</v>
      </c>
      <c r="K1252" s="34">
        <f t="shared" si="77"/>
        <v>0.2</v>
      </c>
      <c r="L1252" s="34">
        <f t="shared" si="78"/>
        <v>0.8</v>
      </c>
      <c r="M1252" s="11" t="s">
        <v>4138</v>
      </c>
      <c r="N1252" s="11" t="s">
        <v>3891</v>
      </c>
      <c r="O1252" s="11" t="s">
        <v>3892</v>
      </c>
      <c r="P1252" s="11" t="s">
        <v>3893</v>
      </c>
      <c r="Q1252" s="12">
        <v>73</v>
      </c>
      <c r="R1252" s="12">
        <v>78</v>
      </c>
      <c r="S1252" s="12">
        <v>2.5</v>
      </c>
      <c r="T1252" s="13">
        <v>0.27</v>
      </c>
      <c r="U1252" s="13">
        <f t="shared" si="79"/>
        <v>-0.53</v>
      </c>
      <c r="V1252" s="14">
        <v>33.08</v>
      </c>
      <c r="W1252" s="14">
        <v>33.08</v>
      </c>
      <c r="X1252" s="11" t="s">
        <v>3722</v>
      </c>
      <c r="Y1252" s="15" t="s">
        <v>3713</v>
      </c>
      <c r="Z1252" s="16">
        <v>18.079999999999998</v>
      </c>
      <c r="AA1252" s="17">
        <v>120.5</v>
      </c>
      <c r="AB1252" s="18" t="s">
        <v>4073</v>
      </c>
    </row>
    <row r="1253" spans="1:28" x14ac:dyDescent="0.45">
      <c r="A1253" s="2" t="s">
        <v>1846</v>
      </c>
      <c r="B1253" s="2" t="s">
        <v>6348</v>
      </c>
      <c r="C1253" s="2" t="s">
        <v>1110</v>
      </c>
      <c r="D1253" s="2" t="s">
        <v>1509</v>
      </c>
      <c r="E1253" s="2" t="s">
        <v>96</v>
      </c>
      <c r="F1253" s="3">
        <v>72.75</v>
      </c>
      <c r="G1253" s="3">
        <v>76.31</v>
      </c>
      <c r="H1253" s="2" t="s">
        <v>1114</v>
      </c>
      <c r="I1253" s="19">
        <v>10</v>
      </c>
      <c r="J1253" s="34">
        <f t="shared" si="76"/>
        <v>8.6999999999999994E-2</v>
      </c>
      <c r="K1253" s="34">
        <f t="shared" si="77"/>
        <v>0.13</v>
      </c>
      <c r="L1253" s="34">
        <f t="shared" si="78"/>
        <v>0.52</v>
      </c>
      <c r="M1253" s="20" t="s">
        <v>4490</v>
      </c>
      <c r="N1253" s="20" t="s">
        <v>3898</v>
      </c>
      <c r="O1253" s="20" t="s">
        <v>3892</v>
      </c>
      <c r="P1253" s="20" t="s">
        <v>3899</v>
      </c>
      <c r="Q1253" s="21">
        <v>72.760000000000005</v>
      </c>
      <c r="R1253" s="21">
        <v>76.319999999999993</v>
      </c>
      <c r="S1253" s="21">
        <v>1.78</v>
      </c>
      <c r="T1253" s="22">
        <v>1.52</v>
      </c>
      <c r="U1253" s="13">
        <f t="shared" si="79"/>
        <v>1</v>
      </c>
      <c r="V1253" s="23">
        <v>186.2</v>
      </c>
      <c r="W1253" s="23">
        <v>186.2</v>
      </c>
      <c r="X1253" s="20" t="s">
        <v>3722</v>
      </c>
      <c r="Y1253" s="24" t="s">
        <v>3713</v>
      </c>
      <c r="Z1253" s="16">
        <v>176.2</v>
      </c>
      <c r="AA1253" s="17">
        <v>1762</v>
      </c>
      <c r="AB1253" s="25" t="s">
        <v>4491</v>
      </c>
    </row>
    <row r="1254" spans="1:28" x14ac:dyDescent="0.45">
      <c r="A1254" s="4" t="s">
        <v>1847</v>
      </c>
      <c r="B1254" s="4" t="s">
        <v>6349</v>
      </c>
      <c r="C1254" s="4" t="s">
        <v>1110</v>
      </c>
      <c r="D1254" s="4" t="s">
        <v>1509</v>
      </c>
      <c r="E1254" s="4" t="s">
        <v>96</v>
      </c>
      <c r="F1254" s="5">
        <v>72</v>
      </c>
      <c r="G1254" s="5">
        <v>78</v>
      </c>
      <c r="H1254" s="4" t="s">
        <v>1149</v>
      </c>
      <c r="I1254" s="10">
        <v>17</v>
      </c>
      <c r="J1254" s="34">
        <f t="shared" si="76"/>
        <v>0.14789999999999998</v>
      </c>
      <c r="K1254" s="34">
        <f t="shared" si="77"/>
        <v>0.22</v>
      </c>
      <c r="L1254" s="34">
        <f t="shared" si="78"/>
        <v>0.88</v>
      </c>
      <c r="M1254" s="11" t="s">
        <v>4492</v>
      </c>
      <c r="N1254" s="11" t="s">
        <v>3891</v>
      </c>
      <c r="O1254" s="11" t="s">
        <v>3892</v>
      </c>
      <c r="P1254" s="11" t="s">
        <v>3893</v>
      </c>
      <c r="Q1254" s="12">
        <v>72</v>
      </c>
      <c r="R1254" s="12">
        <v>78</v>
      </c>
      <c r="S1254" s="12">
        <v>3</v>
      </c>
      <c r="T1254" s="13">
        <v>0.3</v>
      </c>
      <c r="U1254" s="13">
        <f t="shared" si="79"/>
        <v>-0.58000000000000007</v>
      </c>
      <c r="V1254" s="14">
        <v>36.75</v>
      </c>
      <c r="W1254" s="14">
        <v>36.75</v>
      </c>
      <c r="X1254" s="11">
        <v>82</v>
      </c>
      <c r="Y1254" s="15" t="s">
        <v>3713</v>
      </c>
      <c r="Z1254" s="16">
        <v>19.75</v>
      </c>
      <c r="AA1254" s="17">
        <v>116.2</v>
      </c>
      <c r="AB1254" s="18" t="s">
        <v>3714</v>
      </c>
    </row>
    <row r="1255" spans="1:28" x14ac:dyDescent="0.45">
      <c r="A1255" s="2" t="s">
        <v>1848</v>
      </c>
      <c r="B1255" s="2" t="s">
        <v>6350</v>
      </c>
      <c r="C1255" s="2" t="s">
        <v>1110</v>
      </c>
      <c r="D1255" s="2" t="s">
        <v>1509</v>
      </c>
      <c r="E1255" s="2" t="s">
        <v>96</v>
      </c>
      <c r="F1255" s="3">
        <v>72</v>
      </c>
      <c r="G1255" s="3">
        <v>80</v>
      </c>
      <c r="H1255" s="2" t="s">
        <v>1216</v>
      </c>
      <c r="I1255" s="19">
        <v>23</v>
      </c>
      <c r="J1255" s="34">
        <f t="shared" si="76"/>
        <v>0.2001</v>
      </c>
      <c r="K1255" s="34">
        <f t="shared" si="77"/>
        <v>0.3</v>
      </c>
      <c r="L1255" s="34">
        <f t="shared" si="78"/>
        <v>1.2</v>
      </c>
      <c r="M1255" s="20" t="s">
        <v>4139</v>
      </c>
      <c r="N1255" s="20" t="s">
        <v>3891</v>
      </c>
      <c r="O1255" s="20" t="s">
        <v>3892</v>
      </c>
      <c r="P1255" s="20" t="s">
        <v>3893</v>
      </c>
      <c r="Q1255" s="21">
        <v>72</v>
      </c>
      <c r="R1255" s="21">
        <v>80</v>
      </c>
      <c r="S1255" s="21">
        <v>4</v>
      </c>
      <c r="T1255" s="22">
        <v>0.37</v>
      </c>
      <c r="U1255" s="13">
        <f t="shared" si="79"/>
        <v>-0.83</v>
      </c>
      <c r="V1255" s="23">
        <v>45.32</v>
      </c>
      <c r="W1255" s="23">
        <v>45.32</v>
      </c>
      <c r="X1255" s="20">
        <v>34</v>
      </c>
      <c r="Y1255" s="24" t="s">
        <v>3713</v>
      </c>
      <c r="Z1255" s="16">
        <v>22.32</v>
      </c>
      <c r="AA1255" s="17">
        <v>97</v>
      </c>
      <c r="AB1255" s="25" t="s">
        <v>3714</v>
      </c>
    </row>
    <row r="1256" spans="1:28" x14ac:dyDescent="0.45">
      <c r="A1256" s="4" t="s">
        <v>1849</v>
      </c>
      <c r="B1256" s="4" t="s">
        <v>6351</v>
      </c>
      <c r="C1256" s="4" t="s">
        <v>1110</v>
      </c>
      <c r="D1256" s="4" t="s">
        <v>1509</v>
      </c>
      <c r="E1256" s="4" t="s">
        <v>96</v>
      </c>
      <c r="F1256" s="5">
        <v>73</v>
      </c>
      <c r="G1256" s="5">
        <v>79</v>
      </c>
      <c r="H1256" s="4" t="s">
        <v>1149</v>
      </c>
      <c r="I1256" s="10">
        <v>17</v>
      </c>
      <c r="J1256" s="34">
        <f t="shared" si="76"/>
        <v>0.14789999999999998</v>
      </c>
      <c r="K1256" s="34">
        <f t="shared" si="77"/>
        <v>0.22</v>
      </c>
      <c r="L1256" s="34">
        <f t="shared" si="78"/>
        <v>0.88</v>
      </c>
      <c r="M1256" s="11" t="s">
        <v>4493</v>
      </c>
      <c r="N1256" s="11" t="s">
        <v>3891</v>
      </c>
      <c r="O1256" s="11" t="s">
        <v>3892</v>
      </c>
      <c r="P1256" s="11" t="s">
        <v>3893</v>
      </c>
      <c r="Q1256" s="12">
        <v>73</v>
      </c>
      <c r="R1256" s="12">
        <v>79</v>
      </c>
      <c r="S1256" s="12">
        <v>3</v>
      </c>
      <c r="T1256" s="13">
        <v>0.34</v>
      </c>
      <c r="U1256" s="13">
        <f t="shared" si="79"/>
        <v>-0.54</v>
      </c>
      <c r="V1256" s="14">
        <v>41.65</v>
      </c>
      <c r="W1256" s="14">
        <v>41.65</v>
      </c>
      <c r="X1256" s="11">
        <v>153</v>
      </c>
      <c r="Y1256" s="15" t="s">
        <v>3713</v>
      </c>
      <c r="Z1256" s="16">
        <v>24.65</v>
      </c>
      <c r="AA1256" s="17">
        <v>145</v>
      </c>
      <c r="AB1256" s="18" t="s">
        <v>3714</v>
      </c>
    </row>
    <row r="1257" spans="1:28" x14ac:dyDescent="0.45">
      <c r="A1257" s="2" t="s">
        <v>1850</v>
      </c>
      <c r="B1257" s="2" t="s">
        <v>6352</v>
      </c>
      <c r="C1257" s="2" t="s">
        <v>1110</v>
      </c>
      <c r="D1257" s="2" t="s">
        <v>1509</v>
      </c>
      <c r="E1257" s="2" t="s">
        <v>96</v>
      </c>
      <c r="F1257" s="3">
        <v>74.2</v>
      </c>
      <c r="G1257" s="3">
        <v>85.600000000000009</v>
      </c>
      <c r="H1257" s="2" t="s">
        <v>1297</v>
      </c>
      <c r="I1257" s="19">
        <v>40</v>
      </c>
      <c r="J1257" s="34">
        <f t="shared" si="76"/>
        <v>0.34799999999999998</v>
      </c>
      <c r="K1257" s="34">
        <f t="shared" si="77"/>
        <v>0.52</v>
      </c>
      <c r="L1257" s="34">
        <f t="shared" si="78"/>
        <v>2.08</v>
      </c>
      <c r="M1257" s="20" t="s">
        <v>4494</v>
      </c>
      <c r="N1257" s="20" t="s">
        <v>3891</v>
      </c>
      <c r="O1257" s="20" t="s">
        <v>3892</v>
      </c>
      <c r="P1257" s="20" t="s">
        <v>3893</v>
      </c>
      <c r="Q1257" s="21">
        <v>74.3</v>
      </c>
      <c r="R1257" s="21">
        <v>85.7</v>
      </c>
      <c r="S1257" s="21">
        <v>5.7</v>
      </c>
      <c r="T1257" s="22">
        <v>0.75</v>
      </c>
      <c r="U1257" s="13">
        <f t="shared" si="79"/>
        <v>-1.33</v>
      </c>
      <c r="V1257" s="23">
        <v>91.88</v>
      </c>
      <c r="W1257" s="23">
        <v>91.88</v>
      </c>
      <c r="X1257" s="20">
        <v>107</v>
      </c>
      <c r="Y1257" s="24" t="s">
        <v>3713</v>
      </c>
      <c r="Z1257" s="16">
        <v>51.88</v>
      </c>
      <c r="AA1257" s="17">
        <v>129.69999999999999</v>
      </c>
      <c r="AB1257" s="25" t="s">
        <v>4119</v>
      </c>
    </row>
    <row r="1258" spans="1:28" x14ac:dyDescent="0.45">
      <c r="A1258" s="4" t="s">
        <v>1851</v>
      </c>
      <c r="B1258" s="4" t="s">
        <v>6353</v>
      </c>
      <c r="C1258" s="4" t="s">
        <v>1110</v>
      </c>
      <c r="D1258" s="4" t="s">
        <v>1509</v>
      </c>
      <c r="E1258" s="4" t="s">
        <v>96</v>
      </c>
      <c r="F1258" s="5">
        <v>74.400000000000006</v>
      </c>
      <c r="G1258" s="5">
        <v>80.600000000000009</v>
      </c>
      <c r="H1258" s="4" t="s">
        <v>1221</v>
      </c>
      <c r="I1258" s="10">
        <v>23</v>
      </c>
      <c r="J1258" s="34">
        <f t="shared" si="76"/>
        <v>0.2001</v>
      </c>
      <c r="K1258" s="34">
        <f t="shared" si="77"/>
        <v>0.3</v>
      </c>
      <c r="L1258" s="34">
        <f t="shared" si="78"/>
        <v>1.2</v>
      </c>
      <c r="M1258" s="11" t="s">
        <v>4140</v>
      </c>
      <c r="N1258" s="11" t="s">
        <v>3891</v>
      </c>
      <c r="O1258" s="11" t="s">
        <v>3892</v>
      </c>
      <c r="P1258" s="11" t="s">
        <v>3893</v>
      </c>
      <c r="Q1258" s="12">
        <v>74.400000000000006</v>
      </c>
      <c r="R1258" s="12">
        <v>80.599999999999994</v>
      </c>
      <c r="S1258" s="12">
        <v>3.1</v>
      </c>
      <c r="T1258" s="13">
        <v>0.69</v>
      </c>
      <c r="U1258" s="13">
        <f t="shared" si="79"/>
        <v>-0.51</v>
      </c>
      <c r="V1258" s="14">
        <v>84.52</v>
      </c>
      <c r="W1258" s="14">
        <v>84.52</v>
      </c>
      <c r="X1258" s="11">
        <v>86</v>
      </c>
      <c r="Y1258" s="15" t="s">
        <v>3713</v>
      </c>
      <c r="Z1258" s="16">
        <v>61.52</v>
      </c>
      <c r="AA1258" s="17">
        <v>267.5</v>
      </c>
      <c r="AB1258" s="18" t="s">
        <v>3714</v>
      </c>
    </row>
    <row r="1259" spans="1:28" x14ac:dyDescent="0.45">
      <c r="A1259" s="2" t="s">
        <v>1852</v>
      </c>
      <c r="B1259" s="2" t="s">
        <v>6354</v>
      </c>
      <c r="C1259" s="2" t="s">
        <v>1110</v>
      </c>
      <c r="D1259" s="2" t="s">
        <v>1509</v>
      </c>
      <c r="E1259" s="2" t="s">
        <v>96</v>
      </c>
      <c r="F1259" s="3">
        <v>74</v>
      </c>
      <c r="G1259" s="3">
        <v>79</v>
      </c>
      <c r="H1259" s="2" t="s">
        <v>1135</v>
      </c>
      <c r="I1259" s="19">
        <v>15</v>
      </c>
      <c r="J1259" s="34">
        <f t="shared" si="76"/>
        <v>0.1305</v>
      </c>
      <c r="K1259" s="34">
        <f t="shared" si="77"/>
        <v>0.2</v>
      </c>
      <c r="L1259" s="34">
        <f t="shared" si="78"/>
        <v>0.8</v>
      </c>
      <c r="M1259" s="20" t="s">
        <v>4495</v>
      </c>
      <c r="N1259" s="20" t="s">
        <v>3891</v>
      </c>
      <c r="O1259" s="20" t="s">
        <v>3892</v>
      </c>
      <c r="P1259" s="20" t="s">
        <v>3893</v>
      </c>
      <c r="Q1259" s="21">
        <v>74</v>
      </c>
      <c r="R1259" s="21">
        <v>79</v>
      </c>
      <c r="S1259" s="21">
        <v>2.5</v>
      </c>
      <c r="T1259" s="22">
        <v>0.42</v>
      </c>
      <c r="U1259" s="13">
        <f t="shared" si="79"/>
        <v>-0.38000000000000006</v>
      </c>
      <c r="V1259" s="23">
        <v>51.45</v>
      </c>
      <c r="W1259" s="23">
        <v>51.45</v>
      </c>
      <c r="X1259" s="20">
        <v>64</v>
      </c>
      <c r="Y1259" s="24" t="s">
        <v>3713</v>
      </c>
      <c r="Z1259" s="16">
        <v>36.450000000000003</v>
      </c>
      <c r="AA1259" s="17">
        <v>243</v>
      </c>
      <c r="AB1259" s="25" t="s">
        <v>3714</v>
      </c>
    </row>
    <row r="1260" spans="1:28" x14ac:dyDescent="0.45">
      <c r="A1260" s="4" t="s">
        <v>1853</v>
      </c>
      <c r="B1260" s="4" t="s">
        <v>6355</v>
      </c>
      <c r="C1260" s="4" t="s">
        <v>1110</v>
      </c>
      <c r="D1260" s="4" t="s">
        <v>1509</v>
      </c>
      <c r="E1260" s="4" t="s">
        <v>96</v>
      </c>
      <c r="F1260" s="5">
        <v>74</v>
      </c>
      <c r="G1260" s="5">
        <v>82</v>
      </c>
      <c r="H1260" s="4" t="s">
        <v>1216</v>
      </c>
      <c r="I1260" s="10">
        <v>23</v>
      </c>
      <c r="J1260" s="34">
        <f t="shared" si="76"/>
        <v>0.2001</v>
      </c>
      <c r="K1260" s="34">
        <f t="shared" si="77"/>
        <v>0.3</v>
      </c>
      <c r="L1260" s="34">
        <f t="shared" si="78"/>
        <v>1.2</v>
      </c>
      <c r="M1260" s="11" t="s">
        <v>4496</v>
      </c>
      <c r="N1260" s="11" t="s">
        <v>3891</v>
      </c>
      <c r="O1260" s="11" t="s">
        <v>3892</v>
      </c>
      <c r="P1260" s="11" t="s">
        <v>3893</v>
      </c>
      <c r="Q1260" s="12">
        <v>74</v>
      </c>
      <c r="R1260" s="12">
        <v>82</v>
      </c>
      <c r="S1260" s="12">
        <v>4</v>
      </c>
      <c r="T1260" s="13">
        <v>0.52</v>
      </c>
      <c r="U1260" s="13">
        <f t="shared" si="79"/>
        <v>-0.67999999999999994</v>
      </c>
      <c r="V1260" s="14">
        <v>63.7</v>
      </c>
      <c r="W1260" s="14">
        <v>63.7</v>
      </c>
      <c r="X1260" s="11" t="s">
        <v>3722</v>
      </c>
      <c r="Y1260" s="15" t="s">
        <v>3713</v>
      </c>
      <c r="Z1260" s="16">
        <v>40.700000000000003</v>
      </c>
      <c r="AA1260" s="17">
        <v>177</v>
      </c>
      <c r="AB1260" s="18" t="s">
        <v>3714</v>
      </c>
    </row>
    <row r="1261" spans="1:28" x14ac:dyDescent="0.45">
      <c r="A1261" s="2" t="s">
        <v>1854</v>
      </c>
      <c r="B1261" s="2" t="s">
        <v>6356</v>
      </c>
      <c r="C1261" s="2" t="s">
        <v>1110</v>
      </c>
      <c r="D1261" s="2" t="s">
        <v>1509</v>
      </c>
      <c r="E1261" s="2" t="s">
        <v>96</v>
      </c>
      <c r="F1261" s="3">
        <v>75.569999999999993</v>
      </c>
      <c r="G1261" s="3">
        <v>86.22999999999999</v>
      </c>
      <c r="H1261" s="2" t="s">
        <v>1201</v>
      </c>
      <c r="I1261" s="19">
        <v>30</v>
      </c>
      <c r="J1261" s="34">
        <f t="shared" si="76"/>
        <v>0.26100000000000001</v>
      </c>
      <c r="K1261" s="34">
        <f t="shared" si="77"/>
        <v>0.39</v>
      </c>
      <c r="L1261" s="34">
        <f t="shared" si="78"/>
        <v>1.56</v>
      </c>
      <c r="M1261" s="20" t="s">
        <v>4141</v>
      </c>
      <c r="N1261" s="20" t="s">
        <v>3891</v>
      </c>
      <c r="O1261" s="20" t="s">
        <v>3892</v>
      </c>
      <c r="P1261" s="20" t="s">
        <v>3893</v>
      </c>
      <c r="Q1261" s="21">
        <v>75.691999999999993</v>
      </c>
      <c r="R1261" s="21">
        <v>86.36</v>
      </c>
      <c r="S1261" s="21">
        <v>5.3339999999999996</v>
      </c>
      <c r="T1261" s="22">
        <v>0.7</v>
      </c>
      <c r="U1261" s="13">
        <f t="shared" si="79"/>
        <v>-0.8600000000000001</v>
      </c>
      <c r="V1261" s="23">
        <v>85.75</v>
      </c>
      <c r="W1261" s="23">
        <v>85.75</v>
      </c>
      <c r="X1261" s="20">
        <v>643</v>
      </c>
      <c r="Y1261" s="24" t="s">
        <v>3737</v>
      </c>
      <c r="Z1261" s="16">
        <v>55.75</v>
      </c>
      <c r="AA1261" s="17">
        <v>185.8</v>
      </c>
      <c r="AB1261" s="25" t="s">
        <v>4016</v>
      </c>
    </row>
    <row r="1262" spans="1:28" x14ac:dyDescent="0.45">
      <c r="A1262" s="4" t="s">
        <v>1855</v>
      </c>
      <c r="B1262" s="4" t="s">
        <v>6357</v>
      </c>
      <c r="C1262" s="4" t="s">
        <v>1110</v>
      </c>
      <c r="D1262" s="4" t="s">
        <v>1509</v>
      </c>
      <c r="E1262" s="4" t="s">
        <v>96</v>
      </c>
      <c r="F1262" s="5">
        <v>75.790000000000006</v>
      </c>
      <c r="G1262" s="5">
        <v>82.850000000000009</v>
      </c>
      <c r="H1262" s="4" t="s">
        <v>1156</v>
      </c>
      <c r="I1262" s="10">
        <v>18</v>
      </c>
      <c r="J1262" s="34">
        <f t="shared" si="76"/>
        <v>0.15659999999999999</v>
      </c>
      <c r="K1262" s="34">
        <f t="shared" si="77"/>
        <v>0.23</v>
      </c>
      <c r="L1262" s="34">
        <f t="shared" si="78"/>
        <v>0.92</v>
      </c>
      <c r="M1262" s="11" t="s">
        <v>4497</v>
      </c>
      <c r="N1262" s="11" t="s">
        <v>3891</v>
      </c>
      <c r="O1262" s="11" t="s">
        <v>3892</v>
      </c>
      <c r="P1262" s="11" t="s">
        <v>3893</v>
      </c>
      <c r="Q1262" s="12">
        <v>76</v>
      </c>
      <c r="R1262" s="12">
        <v>83</v>
      </c>
      <c r="S1262" s="12">
        <v>3.5</v>
      </c>
      <c r="T1262" s="13">
        <v>0.47</v>
      </c>
      <c r="U1262" s="13">
        <f t="shared" si="79"/>
        <v>-0.45000000000000007</v>
      </c>
      <c r="V1262" s="14">
        <v>57.58</v>
      </c>
      <c r="W1262" s="14">
        <v>57.58</v>
      </c>
      <c r="X1262" s="11">
        <v>28</v>
      </c>
      <c r="Y1262" s="15" t="s">
        <v>3713</v>
      </c>
      <c r="Z1262" s="16">
        <v>39.58</v>
      </c>
      <c r="AA1262" s="17">
        <v>219.9</v>
      </c>
      <c r="AB1262" s="18" t="s">
        <v>4498</v>
      </c>
    </row>
    <row r="1263" spans="1:28" x14ac:dyDescent="0.45">
      <c r="A1263" s="2" t="s">
        <v>1856</v>
      </c>
      <c r="B1263" s="2" t="s">
        <v>6358</v>
      </c>
      <c r="C1263" s="2" t="s">
        <v>1110</v>
      </c>
      <c r="D1263" s="2" t="s">
        <v>1509</v>
      </c>
      <c r="E1263" s="2" t="s">
        <v>96</v>
      </c>
      <c r="F1263" s="3">
        <v>75.87</v>
      </c>
      <c r="G1263" s="3">
        <v>81.11</v>
      </c>
      <c r="H1263" s="2" t="s">
        <v>1127</v>
      </c>
      <c r="I1263" s="19">
        <v>15</v>
      </c>
      <c r="J1263" s="34">
        <f t="shared" si="76"/>
        <v>0.1305</v>
      </c>
      <c r="K1263" s="34">
        <f t="shared" si="77"/>
        <v>0.2</v>
      </c>
      <c r="L1263" s="34">
        <f t="shared" si="78"/>
        <v>0.8</v>
      </c>
      <c r="M1263" s="20" t="s">
        <v>4142</v>
      </c>
      <c r="N1263" s="20" t="s">
        <v>3891</v>
      </c>
      <c r="O1263" s="20" t="s">
        <v>3892</v>
      </c>
      <c r="P1263" s="20" t="s">
        <v>3893</v>
      </c>
      <c r="Q1263" s="21">
        <v>76</v>
      </c>
      <c r="R1263" s="21">
        <v>81</v>
      </c>
      <c r="S1263" s="21">
        <v>2.5</v>
      </c>
      <c r="T1263" s="22">
        <v>0.37</v>
      </c>
      <c r="U1263" s="13">
        <f t="shared" si="79"/>
        <v>-0.43000000000000005</v>
      </c>
      <c r="V1263" s="23">
        <v>45.32</v>
      </c>
      <c r="W1263" s="23">
        <v>45.32</v>
      </c>
      <c r="X1263" s="20">
        <v>78</v>
      </c>
      <c r="Y1263" s="24" t="s">
        <v>3713</v>
      </c>
      <c r="Z1263" s="16">
        <v>30.32</v>
      </c>
      <c r="AA1263" s="17">
        <v>202.1</v>
      </c>
      <c r="AB1263" s="25" t="s">
        <v>3934</v>
      </c>
    </row>
    <row r="1264" spans="1:28" x14ac:dyDescent="0.45">
      <c r="A1264" s="4" t="s">
        <v>1857</v>
      </c>
      <c r="B1264" s="4" t="s">
        <v>6359</v>
      </c>
      <c r="C1264" s="4" t="s">
        <v>1110</v>
      </c>
      <c r="D1264" s="4" t="s">
        <v>1509</v>
      </c>
      <c r="E1264" s="4" t="s">
        <v>96</v>
      </c>
      <c r="F1264" s="5">
        <v>75.92</v>
      </c>
      <c r="G1264" s="5">
        <v>79.48</v>
      </c>
      <c r="H1264" s="4" t="s">
        <v>1114</v>
      </c>
      <c r="I1264" s="10">
        <v>12</v>
      </c>
      <c r="J1264" s="34">
        <f t="shared" si="76"/>
        <v>0.10439999999999999</v>
      </c>
      <c r="K1264" s="34">
        <f t="shared" si="77"/>
        <v>0.16</v>
      </c>
      <c r="L1264" s="34">
        <f t="shared" si="78"/>
        <v>0.64</v>
      </c>
      <c r="M1264" s="11" t="s">
        <v>4143</v>
      </c>
      <c r="N1264" s="11" t="s">
        <v>3891</v>
      </c>
      <c r="O1264" s="11" t="s">
        <v>3892</v>
      </c>
      <c r="P1264" s="11" t="s">
        <v>3893</v>
      </c>
      <c r="Q1264" s="12">
        <v>75.945999999999998</v>
      </c>
      <c r="R1264" s="12">
        <v>79.501999999999995</v>
      </c>
      <c r="S1264" s="12">
        <v>1.778</v>
      </c>
      <c r="T1264" s="13">
        <v>0.22</v>
      </c>
      <c r="U1264" s="13">
        <f t="shared" si="79"/>
        <v>-0.42000000000000004</v>
      </c>
      <c r="V1264" s="14">
        <v>26.95</v>
      </c>
      <c r="W1264" s="14">
        <v>26.95</v>
      </c>
      <c r="X1264" s="11">
        <v>178</v>
      </c>
      <c r="Y1264" s="15" t="s">
        <v>3737</v>
      </c>
      <c r="Z1264" s="16">
        <v>14.95</v>
      </c>
      <c r="AA1264" s="17">
        <v>124.6</v>
      </c>
      <c r="AB1264" s="18" t="s">
        <v>3967</v>
      </c>
    </row>
    <row r="1265" spans="1:28" x14ac:dyDescent="0.45">
      <c r="A1265" s="2" t="s">
        <v>1858</v>
      </c>
      <c r="B1265" s="2" t="s">
        <v>6360</v>
      </c>
      <c r="C1265" s="2" t="s">
        <v>1110</v>
      </c>
      <c r="D1265" s="2" t="s">
        <v>1509</v>
      </c>
      <c r="E1265" s="2" t="s">
        <v>96</v>
      </c>
      <c r="F1265" s="3">
        <v>77</v>
      </c>
      <c r="G1265" s="3">
        <v>85</v>
      </c>
      <c r="H1265" s="2" t="s">
        <v>1216</v>
      </c>
      <c r="I1265" s="19">
        <v>27</v>
      </c>
      <c r="J1265" s="34">
        <f t="shared" si="76"/>
        <v>0.2349</v>
      </c>
      <c r="K1265" s="34">
        <f t="shared" si="77"/>
        <v>0.35</v>
      </c>
      <c r="L1265" s="34">
        <f t="shared" si="78"/>
        <v>1.4</v>
      </c>
      <c r="M1265" s="20" t="s">
        <v>4499</v>
      </c>
      <c r="N1265" s="20" t="s">
        <v>3891</v>
      </c>
      <c r="O1265" s="20" t="s">
        <v>3892</v>
      </c>
      <c r="P1265" s="20" t="s">
        <v>3893</v>
      </c>
      <c r="Q1265" s="21">
        <v>77</v>
      </c>
      <c r="R1265" s="21">
        <v>85</v>
      </c>
      <c r="S1265" s="21">
        <v>4</v>
      </c>
      <c r="T1265" s="22">
        <v>0.9</v>
      </c>
      <c r="U1265" s="13">
        <f t="shared" si="79"/>
        <v>-0.49999999999999989</v>
      </c>
      <c r="V1265" s="23">
        <v>110.25</v>
      </c>
      <c r="W1265" s="23">
        <v>110.25</v>
      </c>
      <c r="X1265" s="20">
        <v>69</v>
      </c>
      <c r="Y1265" s="24" t="s">
        <v>3713</v>
      </c>
      <c r="Z1265" s="16">
        <v>83.25</v>
      </c>
      <c r="AA1265" s="17">
        <v>308.3</v>
      </c>
      <c r="AB1265" s="25" t="s">
        <v>3714</v>
      </c>
    </row>
    <row r="1266" spans="1:28" x14ac:dyDescent="0.45">
      <c r="A1266" s="4" t="s">
        <v>1859</v>
      </c>
      <c r="B1266" s="4" t="s">
        <v>6361</v>
      </c>
      <c r="C1266" s="4" t="s">
        <v>1110</v>
      </c>
      <c r="D1266" s="4" t="s">
        <v>1509</v>
      </c>
      <c r="E1266" s="4" t="s">
        <v>96</v>
      </c>
      <c r="F1266" s="5">
        <v>78.739999999999995</v>
      </c>
      <c r="G1266" s="5">
        <v>89.399999999999991</v>
      </c>
      <c r="H1266" s="4" t="s">
        <v>1201</v>
      </c>
      <c r="I1266" s="10">
        <v>32</v>
      </c>
      <c r="J1266" s="34">
        <f t="shared" si="76"/>
        <v>0.27839999999999998</v>
      </c>
      <c r="K1266" s="34">
        <f t="shared" si="77"/>
        <v>0.42</v>
      </c>
      <c r="L1266" s="34">
        <f t="shared" si="78"/>
        <v>1.68</v>
      </c>
      <c r="M1266" s="11" t="s">
        <v>4144</v>
      </c>
      <c r="N1266" s="11" t="s">
        <v>3891</v>
      </c>
      <c r="O1266" s="11" t="s">
        <v>3892</v>
      </c>
      <c r="P1266" s="11" t="s">
        <v>3893</v>
      </c>
      <c r="Q1266" s="12">
        <v>78.739999999999995</v>
      </c>
      <c r="R1266" s="12">
        <v>89.408000000000001</v>
      </c>
      <c r="S1266" s="12">
        <v>5.3339999999999996</v>
      </c>
      <c r="T1266" s="13">
        <v>0.8</v>
      </c>
      <c r="U1266" s="13">
        <f t="shared" si="79"/>
        <v>-0.87999999999999989</v>
      </c>
      <c r="V1266" s="14">
        <v>98</v>
      </c>
      <c r="W1266" s="14">
        <v>98</v>
      </c>
      <c r="X1266" s="11">
        <v>322</v>
      </c>
      <c r="Y1266" s="15" t="s">
        <v>3737</v>
      </c>
      <c r="Z1266" s="16">
        <v>66</v>
      </c>
      <c r="AA1266" s="17">
        <v>206.2</v>
      </c>
      <c r="AB1266" s="18" t="s">
        <v>4032</v>
      </c>
    </row>
    <row r="1267" spans="1:28" x14ac:dyDescent="0.45">
      <c r="A1267" s="2" t="s">
        <v>1860</v>
      </c>
      <c r="B1267" s="2" t="s">
        <v>6362</v>
      </c>
      <c r="C1267" s="2" t="s">
        <v>1110</v>
      </c>
      <c r="D1267" s="2" t="s">
        <v>1509</v>
      </c>
      <c r="E1267" s="2" t="s">
        <v>96</v>
      </c>
      <c r="F1267" s="3">
        <v>78.97</v>
      </c>
      <c r="G1267" s="3">
        <v>86.03</v>
      </c>
      <c r="H1267" s="2" t="s">
        <v>1156</v>
      </c>
      <c r="I1267" s="19">
        <v>20</v>
      </c>
      <c r="J1267" s="34">
        <f t="shared" si="76"/>
        <v>0.17399999999999999</v>
      </c>
      <c r="K1267" s="34">
        <f t="shared" si="77"/>
        <v>0.26</v>
      </c>
      <c r="L1267" s="34">
        <f t="shared" si="78"/>
        <v>1.04</v>
      </c>
      <c r="M1267" s="20" t="s">
        <v>4145</v>
      </c>
      <c r="N1267" s="20" t="s">
        <v>3891</v>
      </c>
      <c r="O1267" s="20" t="s">
        <v>3892</v>
      </c>
      <c r="P1267" s="20" t="s">
        <v>3893</v>
      </c>
      <c r="Q1267" s="21">
        <v>79</v>
      </c>
      <c r="R1267" s="21">
        <v>86</v>
      </c>
      <c r="S1267" s="21">
        <v>3.5</v>
      </c>
      <c r="T1267" s="22">
        <v>0.62</v>
      </c>
      <c r="U1267" s="13">
        <f t="shared" si="79"/>
        <v>-0.42000000000000004</v>
      </c>
      <c r="V1267" s="23">
        <v>75.95</v>
      </c>
      <c r="W1267" s="23">
        <v>75.95</v>
      </c>
      <c r="X1267" s="20">
        <v>229</v>
      </c>
      <c r="Y1267" s="24" t="s">
        <v>3713</v>
      </c>
      <c r="Z1267" s="16">
        <v>55.95</v>
      </c>
      <c r="AA1267" s="17">
        <v>279.8</v>
      </c>
      <c r="AB1267" s="25" t="s">
        <v>4146</v>
      </c>
    </row>
    <row r="1268" spans="1:28" x14ac:dyDescent="0.45">
      <c r="A1268" s="4" t="s">
        <v>1861</v>
      </c>
      <c r="B1268" s="4" t="s">
        <v>6363</v>
      </c>
      <c r="C1268" s="4" t="s">
        <v>1110</v>
      </c>
      <c r="D1268" s="4" t="s">
        <v>1509</v>
      </c>
      <c r="E1268" s="4" t="s">
        <v>96</v>
      </c>
      <c r="F1268" s="5">
        <v>78</v>
      </c>
      <c r="G1268" s="5">
        <v>83</v>
      </c>
      <c r="H1268" s="4" t="s">
        <v>1135</v>
      </c>
      <c r="I1268" s="10">
        <v>3</v>
      </c>
      <c r="J1268" s="34">
        <f t="shared" si="76"/>
        <v>2.6099999999999998E-2</v>
      </c>
      <c r="K1268" s="34">
        <f t="shared" si="77"/>
        <v>0.04</v>
      </c>
      <c r="L1268" s="34">
        <f t="shared" si="78"/>
        <v>0.16</v>
      </c>
      <c r="M1268" s="11" t="s">
        <v>4147</v>
      </c>
      <c r="N1268" s="11" t="s">
        <v>3891</v>
      </c>
      <c r="O1268" s="11" t="s">
        <v>3892</v>
      </c>
      <c r="P1268" s="11" t="s">
        <v>3893</v>
      </c>
      <c r="Q1268" s="12">
        <v>78</v>
      </c>
      <c r="R1268" s="12">
        <v>83</v>
      </c>
      <c r="S1268" s="12">
        <v>2.5</v>
      </c>
      <c r="T1268" s="13">
        <v>0.39</v>
      </c>
      <c r="U1268" s="13">
        <f t="shared" si="79"/>
        <v>0.23</v>
      </c>
      <c r="V1268" s="14">
        <v>47.78</v>
      </c>
      <c r="W1268" s="14">
        <v>47.78</v>
      </c>
      <c r="X1268" s="11">
        <v>73</v>
      </c>
      <c r="Y1268" s="15" t="s">
        <v>3713</v>
      </c>
      <c r="Z1268" s="16">
        <v>44.78</v>
      </c>
      <c r="AA1268" s="17">
        <v>1492.7</v>
      </c>
      <c r="AB1268" s="18" t="s">
        <v>3714</v>
      </c>
    </row>
    <row r="1269" spans="1:28" x14ac:dyDescent="0.45">
      <c r="A1269" s="2" t="s">
        <v>1862</v>
      </c>
      <c r="B1269" s="2" t="s">
        <v>6364</v>
      </c>
      <c r="C1269" s="2" t="s">
        <v>1110</v>
      </c>
      <c r="D1269" s="2" t="s">
        <v>1509</v>
      </c>
      <c r="E1269" s="2" t="s">
        <v>96</v>
      </c>
      <c r="F1269" s="3">
        <v>78</v>
      </c>
      <c r="G1269" s="3">
        <v>86</v>
      </c>
      <c r="H1269" s="2" t="s">
        <v>1216</v>
      </c>
      <c r="I1269" s="19">
        <v>25</v>
      </c>
      <c r="J1269" s="34">
        <f t="shared" si="76"/>
        <v>0.21749999999999997</v>
      </c>
      <c r="K1269" s="34">
        <f t="shared" si="77"/>
        <v>0.33</v>
      </c>
      <c r="L1269" s="34">
        <f t="shared" si="78"/>
        <v>1.32</v>
      </c>
      <c r="M1269" s="20" t="s">
        <v>4148</v>
      </c>
      <c r="N1269" s="20" t="s">
        <v>3891</v>
      </c>
      <c r="O1269" s="20" t="s">
        <v>3892</v>
      </c>
      <c r="P1269" s="20" t="s">
        <v>3893</v>
      </c>
      <c r="Q1269" s="21">
        <v>78</v>
      </c>
      <c r="R1269" s="21">
        <v>86</v>
      </c>
      <c r="S1269" s="21">
        <v>4</v>
      </c>
      <c r="T1269" s="22">
        <v>0.56999999999999995</v>
      </c>
      <c r="U1269" s="13">
        <f t="shared" si="79"/>
        <v>-0.75000000000000011</v>
      </c>
      <c r="V1269" s="23">
        <v>69.819999999999993</v>
      </c>
      <c r="W1269" s="23">
        <v>69.819999999999993</v>
      </c>
      <c r="X1269" s="20">
        <v>67</v>
      </c>
      <c r="Y1269" s="24" t="s">
        <v>3713</v>
      </c>
      <c r="Z1269" s="16">
        <v>44.819999999999993</v>
      </c>
      <c r="AA1269" s="17">
        <v>179.3</v>
      </c>
      <c r="AB1269" s="25" t="s">
        <v>3714</v>
      </c>
    </row>
    <row r="1270" spans="1:28" x14ac:dyDescent="0.45">
      <c r="A1270" s="4" t="s">
        <v>1863</v>
      </c>
      <c r="B1270" s="4" t="s">
        <v>6365</v>
      </c>
      <c r="C1270" s="4" t="s">
        <v>1110</v>
      </c>
      <c r="D1270" s="4" t="s">
        <v>1509</v>
      </c>
      <c r="E1270" s="4" t="s">
        <v>96</v>
      </c>
      <c r="F1270" s="5">
        <v>79.2</v>
      </c>
      <c r="G1270" s="5">
        <v>90.600000000000009</v>
      </c>
      <c r="H1270" s="4" t="s">
        <v>1297</v>
      </c>
      <c r="I1270" s="10">
        <v>44</v>
      </c>
      <c r="J1270" s="34">
        <f t="shared" si="76"/>
        <v>0.38279999999999997</v>
      </c>
      <c r="K1270" s="34">
        <f t="shared" si="77"/>
        <v>0.56999999999999995</v>
      </c>
      <c r="L1270" s="34">
        <f t="shared" si="78"/>
        <v>2.2799999999999998</v>
      </c>
      <c r="M1270" s="11" t="s">
        <v>4149</v>
      </c>
      <c r="N1270" s="11" t="s">
        <v>3891</v>
      </c>
      <c r="O1270" s="11" t="s">
        <v>3892</v>
      </c>
      <c r="P1270" s="11" t="s">
        <v>3893</v>
      </c>
      <c r="Q1270" s="12">
        <v>79.3</v>
      </c>
      <c r="R1270" s="12">
        <v>90.7</v>
      </c>
      <c r="S1270" s="12">
        <v>5.7</v>
      </c>
      <c r="T1270" s="13">
        <v>0.82</v>
      </c>
      <c r="U1270" s="13">
        <f t="shared" si="79"/>
        <v>-1.46</v>
      </c>
      <c r="V1270" s="14">
        <v>100.45</v>
      </c>
      <c r="W1270" s="14">
        <v>100.45</v>
      </c>
      <c r="X1270" s="11">
        <v>825</v>
      </c>
      <c r="Y1270" s="15" t="s">
        <v>3713</v>
      </c>
      <c r="Z1270" s="16">
        <v>56.45</v>
      </c>
      <c r="AA1270" s="17">
        <v>128.30000000000001</v>
      </c>
      <c r="AB1270" s="18" t="s">
        <v>4119</v>
      </c>
    </row>
    <row r="1271" spans="1:28" x14ac:dyDescent="0.45">
      <c r="A1271" s="2" t="s">
        <v>1864</v>
      </c>
      <c r="B1271" s="2" t="s">
        <v>6366</v>
      </c>
      <c r="C1271" s="2" t="s">
        <v>1110</v>
      </c>
      <c r="D1271" s="2" t="s">
        <v>1509</v>
      </c>
      <c r="E1271" s="2" t="s">
        <v>96</v>
      </c>
      <c r="F1271" s="3">
        <v>79.400000000000006</v>
      </c>
      <c r="G1271" s="3">
        <v>85.600000000000009</v>
      </c>
      <c r="H1271" s="2" t="s">
        <v>1221</v>
      </c>
      <c r="I1271" s="19">
        <v>25</v>
      </c>
      <c r="J1271" s="34">
        <f t="shared" si="76"/>
        <v>0.21749999999999997</v>
      </c>
      <c r="K1271" s="34">
        <f t="shared" si="77"/>
        <v>0.33</v>
      </c>
      <c r="L1271" s="34">
        <f t="shared" si="78"/>
        <v>1.32</v>
      </c>
      <c r="M1271" s="20" t="s">
        <v>4500</v>
      </c>
      <c r="N1271" s="20" t="s">
        <v>3891</v>
      </c>
      <c r="O1271" s="20" t="s">
        <v>3892</v>
      </c>
      <c r="P1271" s="20" t="s">
        <v>3893</v>
      </c>
      <c r="Q1271" s="21">
        <v>79.400000000000006</v>
      </c>
      <c r="R1271" s="21">
        <v>85.6</v>
      </c>
      <c r="S1271" s="21">
        <v>3.1</v>
      </c>
      <c r="T1271" s="22">
        <v>0.62</v>
      </c>
      <c r="U1271" s="13">
        <f t="shared" si="79"/>
        <v>-0.70000000000000007</v>
      </c>
      <c r="V1271" s="23">
        <v>75.95</v>
      </c>
      <c r="W1271" s="23">
        <v>75.95</v>
      </c>
      <c r="X1271" s="20">
        <v>140</v>
      </c>
      <c r="Y1271" s="24" t="s">
        <v>3713</v>
      </c>
      <c r="Z1271" s="16">
        <v>50.95</v>
      </c>
      <c r="AA1271" s="17">
        <v>203.8</v>
      </c>
      <c r="AB1271" s="25" t="s">
        <v>3714</v>
      </c>
    </row>
    <row r="1272" spans="1:28" x14ac:dyDescent="0.45">
      <c r="A1272" s="4" t="s">
        <v>1865</v>
      </c>
      <c r="B1272" s="4" t="s">
        <v>6367</v>
      </c>
      <c r="C1272" s="4" t="s">
        <v>1110</v>
      </c>
      <c r="D1272" s="4" t="s">
        <v>1509</v>
      </c>
      <c r="E1272" s="4" t="s">
        <v>96</v>
      </c>
      <c r="F1272" s="5">
        <v>80</v>
      </c>
      <c r="G1272" s="5">
        <v>84</v>
      </c>
      <c r="H1272" s="4" t="s">
        <v>1122</v>
      </c>
      <c r="I1272" s="10">
        <v>15</v>
      </c>
      <c r="J1272" s="34">
        <f t="shared" si="76"/>
        <v>0.1305</v>
      </c>
      <c r="K1272" s="34">
        <f t="shared" si="77"/>
        <v>0.2</v>
      </c>
      <c r="L1272" s="34">
        <f t="shared" si="78"/>
        <v>0.8</v>
      </c>
      <c r="M1272" s="11" t="s">
        <v>4501</v>
      </c>
      <c r="N1272" s="11" t="s">
        <v>3898</v>
      </c>
      <c r="O1272" s="11" t="s">
        <v>3892</v>
      </c>
      <c r="P1272" s="11" t="s">
        <v>3899</v>
      </c>
      <c r="Q1272" s="12">
        <v>80</v>
      </c>
      <c r="R1272" s="12">
        <v>84</v>
      </c>
      <c r="S1272" s="12">
        <v>2</v>
      </c>
      <c r="T1272" s="13">
        <v>0.36</v>
      </c>
      <c r="U1272" s="13">
        <f t="shared" si="79"/>
        <v>-0.44000000000000006</v>
      </c>
      <c r="V1272" s="14">
        <v>44.1</v>
      </c>
      <c r="W1272" s="14">
        <v>44.1</v>
      </c>
      <c r="X1272" s="11">
        <v>4</v>
      </c>
      <c r="Y1272" s="15" t="s">
        <v>3713</v>
      </c>
      <c r="Z1272" s="16">
        <v>29.1</v>
      </c>
      <c r="AA1272" s="17">
        <v>194</v>
      </c>
      <c r="AB1272" s="18" t="s">
        <v>3714</v>
      </c>
    </row>
    <row r="1273" spans="1:28" x14ac:dyDescent="0.45">
      <c r="A1273" s="2" t="s">
        <v>1866</v>
      </c>
      <c r="B1273" s="2" t="s">
        <v>6368</v>
      </c>
      <c r="C1273" s="2" t="s">
        <v>1110</v>
      </c>
      <c r="D1273" s="2" t="s">
        <v>1509</v>
      </c>
      <c r="E1273" s="2" t="s">
        <v>96</v>
      </c>
      <c r="F1273" s="3">
        <v>80</v>
      </c>
      <c r="G1273" s="3">
        <v>85</v>
      </c>
      <c r="H1273" s="2" t="s">
        <v>1135</v>
      </c>
      <c r="I1273" s="19">
        <v>17</v>
      </c>
      <c r="J1273" s="34">
        <f t="shared" si="76"/>
        <v>0.14789999999999998</v>
      </c>
      <c r="K1273" s="34">
        <f t="shared" si="77"/>
        <v>0.22</v>
      </c>
      <c r="L1273" s="34">
        <f t="shared" si="78"/>
        <v>0.88</v>
      </c>
      <c r="M1273" s="20" t="s">
        <v>4502</v>
      </c>
      <c r="N1273" s="20" t="s">
        <v>3891</v>
      </c>
      <c r="O1273" s="20" t="s">
        <v>3892</v>
      </c>
      <c r="P1273" s="20" t="s">
        <v>3893</v>
      </c>
      <c r="Q1273" s="21">
        <v>80</v>
      </c>
      <c r="R1273" s="21">
        <v>85</v>
      </c>
      <c r="S1273" s="21">
        <v>2.5</v>
      </c>
      <c r="T1273" s="22">
        <v>0.38</v>
      </c>
      <c r="U1273" s="13">
        <f t="shared" si="79"/>
        <v>-0.5</v>
      </c>
      <c r="V1273" s="23">
        <v>46.55</v>
      </c>
      <c r="W1273" s="23">
        <v>46.55</v>
      </c>
      <c r="X1273" s="20">
        <v>259</v>
      </c>
      <c r="Y1273" s="24" t="s">
        <v>3713</v>
      </c>
      <c r="Z1273" s="16">
        <v>29.55</v>
      </c>
      <c r="AA1273" s="17">
        <v>173.8</v>
      </c>
      <c r="AB1273" s="25" t="s">
        <v>3714</v>
      </c>
    </row>
    <row r="1274" spans="1:28" x14ac:dyDescent="0.45">
      <c r="A1274" s="4" t="s">
        <v>1867</v>
      </c>
      <c r="B1274" s="4" t="s">
        <v>6369</v>
      </c>
      <c r="C1274" s="4" t="s">
        <v>1110</v>
      </c>
      <c r="D1274" s="4" t="s">
        <v>1509</v>
      </c>
      <c r="E1274" s="4" t="s">
        <v>96</v>
      </c>
      <c r="F1274" s="5">
        <v>80</v>
      </c>
      <c r="G1274" s="5">
        <v>88</v>
      </c>
      <c r="H1274" s="4" t="s">
        <v>1216</v>
      </c>
      <c r="I1274" s="10">
        <v>25</v>
      </c>
      <c r="J1274" s="34">
        <f t="shared" si="76"/>
        <v>0.21749999999999997</v>
      </c>
      <c r="K1274" s="34">
        <f t="shared" si="77"/>
        <v>0.33</v>
      </c>
      <c r="L1274" s="34">
        <f t="shared" si="78"/>
        <v>1.32</v>
      </c>
      <c r="M1274" s="11" t="s">
        <v>4150</v>
      </c>
      <c r="N1274" s="11" t="s">
        <v>3891</v>
      </c>
      <c r="O1274" s="11" t="s">
        <v>3892</v>
      </c>
      <c r="P1274" s="11" t="s">
        <v>3893</v>
      </c>
      <c r="Q1274" s="12">
        <v>80</v>
      </c>
      <c r="R1274" s="12">
        <v>88</v>
      </c>
      <c r="S1274" s="12">
        <v>4</v>
      </c>
      <c r="T1274" s="13">
        <v>0.57999999999999996</v>
      </c>
      <c r="U1274" s="13">
        <f t="shared" si="79"/>
        <v>-0.7400000000000001</v>
      </c>
      <c r="V1274" s="14">
        <v>71.05</v>
      </c>
      <c r="W1274" s="14">
        <v>71.05</v>
      </c>
      <c r="X1274" s="11">
        <v>84</v>
      </c>
      <c r="Y1274" s="15" t="s">
        <v>3713</v>
      </c>
      <c r="Z1274" s="16">
        <v>46.05</v>
      </c>
      <c r="AA1274" s="17">
        <v>184.2</v>
      </c>
      <c r="AB1274" s="18" t="s">
        <v>3714</v>
      </c>
    </row>
    <row r="1275" spans="1:28" x14ac:dyDescent="0.45">
      <c r="A1275" s="2" t="s">
        <v>1868</v>
      </c>
      <c r="B1275" s="2" t="s">
        <v>6370</v>
      </c>
      <c r="C1275" s="2" t="s">
        <v>1110</v>
      </c>
      <c r="D1275" s="2" t="s">
        <v>1509</v>
      </c>
      <c r="E1275" s="2" t="s">
        <v>96</v>
      </c>
      <c r="F1275" s="3">
        <v>80</v>
      </c>
      <c r="G1275" s="3">
        <v>90</v>
      </c>
      <c r="H1275" s="2" t="s">
        <v>1245</v>
      </c>
      <c r="I1275" s="19">
        <v>32</v>
      </c>
      <c r="J1275" s="34">
        <f t="shared" si="76"/>
        <v>0.27839999999999998</v>
      </c>
      <c r="K1275" s="34">
        <f t="shared" si="77"/>
        <v>0.42</v>
      </c>
      <c r="L1275" s="34">
        <f t="shared" si="78"/>
        <v>1.68</v>
      </c>
      <c r="M1275" s="20" t="s">
        <v>4503</v>
      </c>
      <c r="N1275" s="20" t="s">
        <v>3891</v>
      </c>
      <c r="O1275" s="20" t="s">
        <v>3892</v>
      </c>
      <c r="P1275" s="20" t="s">
        <v>3893</v>
      </c>
      <c r="Q1275" s="21">
        <v>80</v>
      </c>
      <c r="R1275" s="21">
        <v>90</v>
      </c>
      <c r="S1275" s="21">
        <v>5</v>
      </c>
      <c r="T1275" s="22">
        <v>0.57999999999999996</v>
      </c>
      <c r="U1275" s="13">
        <f t="shared" si="79"/>
        <v>-1.1000000000000001</v>
      </c>
      <c r="V1275" s="23">
        <v>71.05</v>
      </c>
      <c r="W1275" s="23">
        <v>71.05</v>
      </c>
      <c r="X1275" s="20">
        <v>119</v>
      </c>
      <c r="Y1275" s="24" t="s">
        <v>3713</v>
      </c>
      <c r="Z1275" s="16">
        <v>39.049999999999997</v>
      </c>
      <c r="AA1275" s="17">
        <v>122</v>
      </c>
      <c r="AB1275" s="25" t="s">
        <v>3714</v>
      </c>
    </row>
    <row r="1276" spans="1:28" x14ac:dyDescent="0.45">
      <c r="A1276" s="4" t="s">
        <v>1869</v>
      </c>
      <c r="B1276" s="4" t="s">
        <v>6371</v>
      </c>
      <c r="C1276" s="4" t="s">
        <v>1110</v>
      </c>
      <c r="D1276" s="4" t="s">
        <v>1509</v>
      </c>
      <c r="E1276" s="4" t="s">
        <v>96</v>
      </c>
      <c r="F1276" s="5">
        <v>81.91</v>
      </c>
      <c r="G1276" s="5">
        <v>92.57</v>
      </c>
      <c r="H1276" s="4" t="s">
        <v>1201</v>
      </c>
      <c r="I1276" s="10">
        <v>32</v>
      </c>
      <c r="J1276" s="34">
        <f t="shared" si="76"/>
        <v>0.27839999999999998</v>
      </c>
      <c r="K1276" s="34">
        <f t="shared" si="77"/>
        <v>0.42</v>
      </c>
      <c r="L1276" s="34">
        <f t="shared" si="78"/>
        <v>1.68</v>
      </c>
      <c r="M1276" s="11" t="s">
        <v>4151</v>
      </c>
      <c r="N1276" s="11" t="s">
        <v>3891</v>
      </c>
      <c r="O1276" s="11" t="s">
        <v>3892</v>
      </c>
      <c r="P1276" s="11" t="s">
        <v>3893</v>
      </c>
      <c r="Q1276" s="12">
        <v>82.042000000000002</v>
      </c>
      <c r="R1276" s="12">
        <v>92.71</v>
      </c>
      <c r="S1276" s="12">
        <v>5.3339999999999996</v>
      </c>
      <c r="T1276" s="13">
        <v>0.73</v>
      </c>
      <c r="U1276" s="13">
        <f t="shared" si="79"/>
        <v>-0.95</v>
      </c>
      <c r="V1276" s="14">
        <v>89.42</v>
      </c>
      <c r="W1276" s="14">
        <v>89.42</v>
      </c>
      <c r="X1276" s="11">
        <v>1203</v>
      </c>
      <c r="Y1276" s="15" t="s">
        <v>3737</v>
      </c>
      <c r="Z1276" s="16">
        <v>57.42</v>
      </c>
      <c r="AA1276" s="17">
        <v>179.4</v>
      </c>
      <c r="AB1276" s="18" t="s">
        <v>4152</v>
      </c>
    </row>
    <row r="1277" spans="1:28" x14ac:dyDescent="0.45">
      <c r="A1277" s="2" t="s">
        <v>1870</v>
      </c>
      <c r="B1277" s="2" t="s">
        <v>6372</v>
      </c>
      <c r="C1277" s="2" t="s">
        <v>1110</v>
      </c>
      <c r="D1277" s="2" t="s">
        <v>1509</v>
      </c>
      <c r="E1277" s="2" t="s">
        <v>96</v>
      </c>
      <c r="F1277" s="3">
        <v>82.14</v>
      </c>
      <c r="G1277" s="3">
        <v>89.2</v>
      </c>
      <c r="H1277" s="2" t="s">
        <v>1156</v>
      </c>
      <c r="I1277" s="19">
        <v>20</v>
      </c>
      <c r="J1277" s="34">
        <f t="shared" si="76"/>
        <v>0.17399999999999999</v>
      </c>
      <c r="K1277" s="34">
        <f t="shared" si="77"/>
        <v>0.26</v>
      </c>
      <c r="L1277" s="34">
        <f t="shared" si="78"/>
        <v>1.04</v>
      </c>
      <c r="M1277" s="20" t="s">
        <v>4504</v>
      </c>
      <c r="N1277" s="20" t="s">
        <v>3891</v>
      </c>
      <c r="O1277" s="20" t="s">
        <v>3892</v>
      </c>
      <c r="P1277" s="20" t="s">
        <v>3893</v>
      </c>
      <c r="Q1277" s="21">
        <v>82</v>
      </c>
      <c r="R1277" s="21">
        <v>89</v>
      </c>
      <c r="S1277" s="21">
        <v>3.5</v>
      </c>
      <c r="T1277" s="22">
        <v>0.5</v>
      </c>
      <c r="U1277" s="13">
        <f t="shared" si="79"/>
        <v>-0.54</v>
      </c>
      <c r="V1277" s="23">
        <v>61.25</v>
      </c>
      <c r="W1277" s="23">
        <v>61.25</v>
      </c>
      <c r="X1277" s="20">
        <v>172</v>
      </c>
      <c r="Y1277" s="24" t="s">
        <v>3713</v>
      </c>
      <c r="Z1277" s="16">
        <v>41.25</v>
      </c>
      <c r="AA1277" s="17">
        <v>206.2</v>
      </c>
      <c r="AB1277" s="25" t="s">
        <v>4505</v>
      </c>
    </row>
    <row r="1278" spans="1:28" x14ac:dyDescent="0.45">
      <c r="A1278" s="4" t="s">
        <v>1871</v>
      </c>
      <c r="B1278" s="4" t="s">
        <v>6373</v>
      </c>
      <c r="C1278" s="4" t="s">
        <v>1110</v>
      </c>
      <c r="D1278" s="4" t="s">
        <v>1509</v>
      </c>
      <c r="E1278" s="4" t="s">
        <v>96</v>
      </c>
      <c r="F1278" s="5">
        <v>82.22</v>
      </c>
      <c r="G1278" s="5">
        <v>87.46</v>
      </c>
      <c r="H1278" s="4" t="s">
        <v>1127</v>
      </c>
      <c r="I1278" s="10">
        <v>17</v>
      </c>
      <c r="J1278" s="34">
        <f t="shared" si="76"/>
        <v>0.14789999999999998</v>
      </c>
      <c r="K1278" s="34">
        <f t="shared" si="77"/>
        <v>0.22</v>
      </c>
      <c r="L1278" s="34">
        <f t="shared" si="78"/>
        <v>0.88</v>
      </c>
      <c r="M1278" s="11" t="s">
        <v>4153</v>
      </c>
      <c r="N1278" s="11" t="s">
        <v>3898</v>
      </c>
      <c r="O1278" s="11" t="s">
        <v>3892</v>
      </c>
      <c r="P1278" s="11" t="s">
        <v>3899</v>
      </c>
      <c r="Q1278" s="12">
        <v>82.296000000000006</v>
      </c>
      <c r="R1278" s="12">
        <v>87.376000000000005</v>
      </c>
      <c r="S1278" s="12">
        <v>2.54</v>
      </c>
      <c r="T1278" s="13">
        <v>2.13</v>
      </c>
      <c r="U1278" s="13">
        <f t="shared" si="79"/>
        <v>1.25</v>
      </c>
      <c r="V1278" s="14">
        <v>260.92</v>
      </c>
      <c r="W1278" s="14">
        <v>260.92</v>
      </c>
      <c r="X1278" s="11" t="s">
        <v>3722</v>
      </c>
      <c r="Y1278" s="15" t="s">
        <v>3737</v>
      </c>
      <c r="Z1278" s="16">
        <v>243.92</v>
      </c>
      <c r="AA1278" s="17">
        <v>1434.8</v>
      </c>
      <c r="AB1278" s="18" t="s">
        <v>4022</v>
      </c>
    </row>
    <row r="1279" spans="1:28" x14ac:dyDescent="0.45">
      <c r="A1279" s="2" t="s">
        <v>1872</v>
      </c>
      <c r="B1279" s="2" t="s">
        <v>6374</v>
      </c>
      <c r="C1279" s="2" t="s">
        <v>1110</v>
      </c>
      <c r="D1279" s="2" t="s">
        <v>1509</v>
      </c>
      <c r="E1279" s="2" t="s">
        <v>96</v>
      </c>
      <c r="F1279" s="3">
        <v>82.27</v>
      </c>
      <c r="G1279" s="3">
        <v>85.83</v>
      </c>
      <c r="H1279" s="2" t="s">
        <v>1114</v>
      </c>
      <c r="I1279" s="19">
        <v>13</v>
      </c>
      <c r="J1279" s="34">
        <f t="shared" si="76"/>
        <v>0.11309999999999999</v>
      </c>
      <c r="K1279" s="34">
        <f t="shared" si="77"/>
        <v>0.17</v>
      </c>
      <c r="L1279" s="34">
        <f t="shared" si="78"/>
        <v>0.68</v>
      </c>
      <c r="M1279" s="20" t="s">
        <v>4154</v>
      </c>
      <c r="N1279" s="20" t="s">
        <v>3891</v>
      </c>
      <c r="O1279" s="20" t="s">
        <v>3892</v>
      </c>
      <c r="P1279" s="20" t="s">
        <v>3893</v>
      </c>
      <c r="Q1279" s="21">
        <v>82.296000000000006</v>
      </c>
      <c r="R1279" s="21">
        <v>85.852000000000004</v>
      </c>
      <c r="S1279" s="21">
        <v>1.778</v>
      </c>
      <c r="T1279" s="22">
        <v>0.3</v>
      </c>
      <c r="U1279" s="13">
        <f t="shared" si="79"/>
        <v>-0.38000000000000006</v>
      </c>
      <c r="V1279" s="23">
        <v>36.75</v>
      </c>
      <c r="W1279" s="23">
        <v>36.75</v>
      </c>
      <c r="X1279" s="20">
        <v>193</v>
      </c>
      <c r="Y1279" s="24" t="s">
        <v>3737</v>
      </c>
      <c r="Z1279" s="16">
        <v>23.75</v>
      </c>
      <c r="AA1279" s="17">
        <v>182.7</v>
      </c>
      <c r="AB1279" s="25" t="s">
        <v>3967</v>
      </c>
    </row>
    <row r="1280" spans="1:28" x14ac:dyDescent="0.45">
      <c r="A1280" s="4" t="s">
        <v>1873</v>
      </c>
      <c r="B1280" s="4" t="s">
        <v>6375</v>
      </c>
      <c r="C1280" s="4" t="s">
        <v>1110</v>
      </c>
      <c r="D1280" s="4" t="s">
        <v>1509</v>
      </c>
      <c r="E1280" s="4" t="s">
        <v>96</v>
      </c>
      <c r="F1280" s="5">
        <v>82</v>
      </c>
      <c r="G1280" s="5">
        <v>90</v>
      </c>
      <c r="H1280" s="4" t="s">
        <v>1216</v>
      </c>
      <c r="I1280" s="10">
        <v>29</v>
      </c>
      <c r="J1280" s="34">
        <f t="shared" si="76"/>
        <v>0.25229999999999997</v>
      </c>
      <c r="K1280" s="34">
        <f t="shared" si="77"/>
        <v>0.38</v>
      </c>
      <c r="L1280" s="34">
        <f t="shared" si="78"/>
        <v>1.52</v>
      </c>
      <c r="M1280" s="11" t="s">
        <v>4155</v>
      </c>
      <c r="N1280" s="11" t="s">
        <v>3891</v>
      </c>
      <c r="O1280" s="11" t="s">
        <v>3892</v>
      </c>
      <c r="P1280" s="11" t="s">
        <v>3893</v>
      </c>
      <c r="Q1280" s="12">
        <v>82</v>
      </c>
      <c r="R1280" s="12">
        <v>90</v>
      </c>
      <c r="S1280" s="12">
        <v>4</v>
      </c>
      <c r="T1280" s="13">
        <v>0.6</v>
      </c>
      <c r="U1280" s="13">
        <f t="shared" si="79"/>
        <v>-0.92</v>
      </c>
      <c r="V1280" s="14">
        <v>73.5</v>
      </c>
      <c r="W1280" s="14">
        <v>73.5</v>
      </c>
      <c r="X1280" s="11">
        <v>32</v>
      </c>
      <c r="Y1280" s="15" t="s">
        <v>3713</v>
      </c>
      <c r="Z1280" s="16">
        <v>44.5</v>
      </c>
      <c r="AA1280" s="17">
        <v>153.4</v>
      </c>
      <c r="AB1280" s="18" t="s">
        <v>3714</v>
      </c>
    </row>
    <row r="1281" spans="1:28" x14ac:dyDescent="0.45">
      <c r="A1281" s="2" t="s">
        <v>1874</v>
      </c>
      <c r="B1281" s="2" t="s">
        <v>6376</v>
      </c>
      <c r="C1281" s="2" t="s">
        <v>1110</v>
      </c>
      <c r="D1281" s="2" t="s">
        <v>1509</v>
      </c>
      <c r="E1281" s="2" t="s">
        <v>96</v>
      </c>
      <c r="F1281" s="3">
        <v>83</v>
      </c>
      <c r="G1281" s="3">
        <v>89</v>
      </c>
      <c r="H1281" s="2" t="s">
        <v>1149</v>
      </c>
      <c r="I1281" s="19">
        <v>20</v>
      </c>
      <c r="J1281" s="34">
        <f t="shared" si="76"/>
        <v>0.17399999999999999</v>
      </c>
      <c r="K1281" s="34">
        <f t="shared" si="77"/>
        <v>0.26</v>
      </c>
      <c r="L1281" s="34">
        <f t="shared" si="78"/>
        <v>1.04</v>
      </c>
      <c r="M1281" s="20" t="s">
        <v>4506</v>
      </c>
      <c r="N1281" s="20" t="s">
        <v>3891</v>
      </c>
      <c r="O1281" s="20" t="s">
        <v>3892</v>
      </c>
      <c r="P1281" s="20" t="s">
        <v>3893</v>
      </c>
      <c r="Q1281" s="21">
        <v>83</v>
      </c>
      <c r="R1281" s="21">
        <v>89</v>
      </c>
      <c r="S1281" s="21">
        <v>3</v>
      </c>
      <c r="T1281" s="22">
        <v>0.45</v>
      </c>
      <c r="U1281" s="13">
        <f t="shared" si="79"/>
        <v>-0.59000000000000008</v>
      </c>
      <c r="V1281" s="23">
        <v>55.12</v>
      </c>
      <c r="W1281" s="23">
        <v>55.12</v>
      </c>
      <c r="X1281" s="20">
        <v>76</v>
      </c>
      <c r="Y1281" s="24" t="s">
        <v>3713</v>
      </c>
      <c r="Z1281" s="16">
        <v>35.119999999999997</v>
      </c>
      <c r="AA1281" s="17">
        <v>175.6</v>
      </c>
      <c r="AB1281" s="25" t="s">
        <v>3714</v>
      </c>
    </row>
    <row r="1282" spans="1:28" x14ac:dyDescent="0.45">
      <c r="A1282" s="4" t="s">
        <v>1875</v>
      </c>
      <c r="B1282" s="4" t="s">
        <v>6377</v>
      </c>
      <c r="C1282" s="4" t="s">
        <v>1110</v>
      </c>
      <c r="D1282" s="4" t="s">
        <v>1509</v>
      </c>
      <c r="E1282" s="4" t="s">
        <v>96</v>
      </c>
      <c r="F1282" s="5">
        <v>84.2</v>
      </c>
      <c r="G1282" s="5">
        <v>95.600000000000009</v>
      </c>
      <c r="H1282" s="4" t="s">
        <v>1297</v>
      </c>
      <c r="I1282" s="10">
        <v>47</v>
      </c>
      <c r="J1282" s="34">
        <f t="shared" si="76"/>
        <v>0.40889999999999999</v>
      </c>
      <c r="K1282" s="34">
        <f t="shared" si="77"/>
        <v>0.61</v>
      </c>
      <c r="L1282" s="34">
        <f t="shared" si="78"/>
        <v>2.44</v>
      </c>
      <c r="M1282" s="11" t="s">
        <v>4507</v>
      </c>
      <c r="N1282" s="11" t="s">
        <v>3891</v>
      </c>
      <c r="O1282" s="11" t="s">
        <v>3892</v>
      </c>
      <c r="P1282" s="11" t="s">
        <v>3893</v>
      </c>
      <c r="Q1282" s="12">
        <v>84.3</v>
      </c>
      <c r="R1282" s="12">
        <v>95.7</v>
      </c>
      <c r="S1282" s="12">
        <v>5.7</v>
      </c>
      <c r="T1282" s="13">
        <v>0.85</v>
      </c>
      <c r="U1282" s="13">
        <f t="shared" si="79"/>
        <v>-1.5899999999999999</v>
      </c>
      <c r="V1282" s="14">
        <v>104.12</v>
      </c>
      <c r="W1282" s="14">
        <v>104.12</v>
      </c>
      <c r="X1282" s="11">
        <v>363</v>
      </c>
      <c r="Y1282" s="15" t="s">
        <v>3713</v>
      </c>
      <c r="Z1282" s="16">
        <v>57.12</v>
      </c>
      <c r="AA1282" s="17">
        <v>121.5</v>
      </c>
      <c r="AB1282" s="18" t="s">
        <v>4119</v>
      </c>
    </row>
    <row r="1283" spans="1:28" x14ac:dyDescent="0.45">
      <c r="A1283" s="2" t="s">
        <v>1876</v>
      </c>
      <c r="B1283" s="2" t="s">
        <v>6378</v>
      </c>
      <c r="C1283" s="2" t="s">
        <v>1110</v>
      </c>
      <c r="D1283" s="2" t="s">
        <v>1509</v>
      </c>
      <c r="E1283" s="2" t="s">
        <v>96</v>
      </c>
      <c r="F1283" s="3">
        <v>84.4</v>
      </c>
      <c r="G1283" s="3">
        <v>90.600000000000009</v>
      </c>
      <c r="H1283" s="2" t="s">
        <v>1221</v>
      </c>
      <c r="I1283" s="19">
        <v>27</v>
      </c>
      <c r="J1283" s="34">
        <f t="shared" si="76"/>
        <v>0.2349</v>
      </c>
      <c r="K1283" s="34">
        <f t="shared" si="77"/>
        <v>0.35</v>
      </c>
      <c r="L1283" s="34">
        <f t="shared" si="78"/>
        <v>1.4</v>
      </c>
      <c r="M1283" s="20" t="s">
        <v>4156</v>
      </c>
      <c r="N1283" s="20" t="s">
        <v>3891</v>
      </c>
      <c r="O1283" s="20" t="s">
        <v>3892</v>
      </c>
      <c r="P1283" s="20" t="s">
        <v>3893</v>
      </c>
      <c r="Q1283" s="21">
        <v>84.4</v>
      </c>
      <c r="R1283" s="21">
        <v>90.6</v>
      </c>
      <c r="S1283" s="21">
        <v>3.1</v>
      </c>
      <c r="T1283" s="22">
        <v>0.45</v>
      </c>
      <c r="U1283" s="13">
        <f t="shared" si="79"/>
        <v>-0.95</v>
      </c>
      <c r="V1283" s="23">
        <v>55.12</v>
      </c>
      <c r="W1283" s="23">
        <v>55.12</v>
      </c>
      <c r="X1283" s="20">
        <v>38</v>
      </c>
      <c r="Y1283" s="24" t="s">
        <v>3713</v>
      </c>
      <c r="Z1283" s="16">
        <v>28.12</v>
      </c>
      <c r="AA1283" s="17">
        <v>104.1</v>
      </c>
      <c r="AB1283" s="25" t="s">
        <v>3714</v>
      </c>
    </row>
    <row r="1284" spans="1:28" x14ac:dyDescent="0.45">
      <c r="A1284" s="4" t="s">
        <v>1877</v>
      </c>
      <c r="B1284" s="4" t="s">
        <v>6379</v>
      </c>
      <c r="C1284" s="4" t="s">
        <v>1110</v>
      </c>
      <c r="D1284" s="4" t="s">
        <v>1509</v>
      </c>
      <c r="E1284" s="4" t="s">
        <v>96</v>
      </c>
      <c r="F1284" s="5">
        <v>85.09</v>
      </c>
      <c r="G1284" s="5">
        <v>95.75</v>
      </c>
      <c r="H1284" s="4" t="s">
        <v>1201</v>
      </c>
      <c r="I1284" s="10">
        <v>35</v>
      </c>
      <c r="J1284" s="34">
        <f t="shared" si="76"/>
        <v>0.30449999999999999</v>
      </c>
      <c r="K1284" s="34">
        <f t="shared" si="77"/>
        <v>0.46</v>
      </c>
      <c r="L1284" s="34">
        <f t="shared" si="78"/>
        <v>1.84</v>
      </c>
      <c r="M1284" s="11" t="s">
        <v>4157</v>
      </c>
      <c r="N1284" s="11" t="s">
        <v>3891</v>
      </c>
      <c r="O1284" s="11" t="s">
        <v>3892</v>
      </c>
      <c r="P1284" s="11" t="s">
        <v>3893</v>
      </c>
      <c r="Q1284" s="12">
        <v>85.09</v>
      </c>
      <c r="R1284" s="12">
        <v>95.757999999999996</v>
      </c>
      <c r="S1284" s="12">
        <v>5.3339999999999996</v>
      </c>
      <c r="T1284" s="13">
        <v>0.8</v>
      </c>
      <c r="U1284" s="13">
        <f t="shared" si="79"/>
        <v>-1.04</v>
      </c>
      <c r="V1284" s="14">
        <v>98</v>
      </c>
      <c r="W1284" s="14">
        <v>98</v>
      </c>
      <c r="X1284" s="11">
        <v>315</v>
      </c>
      <c r="Y1284" s="15" t="s">
        <v>3737</v>
      </c>
      <c r="Z1284" s="16">
        <v>63</v>
      </c>
      <c r="AA1284" s="17">
        <v>180</v>
      </c>
      <c r="AB1284" s="18" t="s">
        <v>4032</v>
      </c>
    </row>
    <row r="1285" spans="1:28" x14ac:dyDescent="0.45">
      <c r="A1285" s="2" t="s">
        <v>1878</v>
      </c>
      <c r="B1285" s="2" t="s">
        <v>6380</v>
      </c>
      <c r="C1285" s="2" t="s">
        <v>1110</v>
      </c>
      <c r="D1285" s="2" t="s">
        <v>1509</v>
      </c>
      <c r="E1285" s="2" t="s">
        <v>96</v>
      </c>
      <c r="F1285" s="3">
        <v>85.32</v>
      </c>
      <c r="G1285" s="3">
        <v>92.38</v>
      </c>
      <c r="H1285" s="2" t="s">
        <v>1156</v>
      </c>
      <c r="I1285" s="19">
        <v>20</v>
      </c>
      <c r="J1285" s="34">
        <f t="shared" ref="J1285:J1348" si="80">I1285*0.0087</f>
        <v>0.17399999999999999</v>
      </c>
      <c r="K1285" s="34">
        <f t="shared" ref="K1285:K1348" si="81">ROUND(J1285*1.5,2)</f>
        <v>0.26</v>
      </c>
      <c r="L1285" s="34">
        <f t="shared" ref="L1285:L1348" si="82">K1285*4</f>
        <v>1.04</v>
      </c>
      <c r="M1285" s="20" t="s">
        <v>4158</v>
      </c>
      <c r="N1285" s="20" t="s">
        <v>3898</v>
      </c>
      <c r="O1285" s="20" t="s">
        <v>3892</v>
      </c>
      <c r="P1285" s="20" t="s">
        <v>3899</v>
      </c>
      <c r="Q1285" s="21">
        <v>85.343999999999994</v>
      </c>
      <c r="R1285" s="21">
        <v>92.456000000000003</v>
      </c>
      <c r="S1285" s="21">
        <v>3.556</v>
      </c>
      <c r="T1285" s="22">
        <v>3.11</v>
      </c>
      <c r="U1285" s="13">
        <f t="shared" ref="U1285:U1348" si="83">T1285-L1285</f>
        <v>2.0699999999999998</v>
      </c>
      <c r="V1285" s="23">
        <v>380.98</v>
      </c>
      <c r="W1285" s="23">
        <v>380.98</v>
      </c>
      <c r="X1285" s="20" t="s">
        <v>3722</v>
      </c>
      <c r="Y1285" s="24" t="s">
        <v>3737</v>
      </c>
      <c r="Z1285" s="16">
        <v>360.98</v>
      </c>
      <c r="AA1285" s="17">
        <v>1804.9</v>
      </c>
      <c r="AB1285" s="25" t="s">
        <v>3945</v>
      </c>
    </row>
    <row r="1286" spans="1:28" x14ac:dyDescent="0.45">
      <c r="A1286" s="4" t="s">
        <v>1879</v>
      </c>
      <c r="B1286" s="4" t="s">
        <v>6381</v>
      </c>
      <c r="C1286" s="4" t="s">
        <v>1110</v>
      </c>
      <c r="D1286" s="4" t="s">
        <v>1509</v>
      </c>
      <c r="E1286" s="4" t="s">
        <v>96</v>
      </c>
      <c r="F1286" s="5">
        <v>85</v>
      </c>
      <c r="G1286" s="5">
        <v>90</v>
      </c>
      <c r="H1286" s="4" t="s">
        <v>1135</v>
      </c>
      <c r="I1286" s="10">
        <v>17</v>
      </c>
      <c r="J1286" s="34">
        <f t="shared" si="80"/>
        <v>0.14789999999999998</v>
      </c>
      <c r="K1286" s="34">
        <f t="shared" si="81"/>
        <v>0.22</v>
      </c>
      <c r="L1286" s="34">
        <f t="shared" si="82"/>
        <v>0.88</v>
      </c>
      <c r="M1286" s="11" t="s">
        <v>4508</v>
      </c>
      <c r="N1286" s="11" t="s">
        <v>3891</v>
      </c>
      <c r="O1286" s="11" t="s">
        <v>3892</v>
      </c>
      <c r="P1286" s="11" t="s">
        <v>3893</v>
      </c>
      <c r="Q1286" s="12">
        <v>85</v>
      </c>
      <c r="R1286" s="12">
        <v>90</v>
      </c>
      <c r="S1286" s="12">
        <v>2.5</v>
      </c>
      <c r="T1286" s="13">
        <v>0.43</v>
      </c>
      <c r="U1286" s="13">
        <f t="shared" si="83"/>
        <v>-0.45</v>
      </c>
      <c r="V1286" s="14">
        <v>52.68</v>
      </c>
      <c r="W1286" s="14">
        <v>52.68</v>
      </c>
      <c r="X1286" s="11">
        <v>250</v>
      </c>
      <c r="Y1286" s="15" t="s">
        <v>3713</v>
      </c>
      <c r="Z1286" s="16">
        <v>35.68</v>
      </c>
      <c r="AA1286" s="17">
        <v>209.9</v>
      </c>
      <c r="AB1286" s="18" t="s">
        <v>3714</v>
      </c>
    </row>
    <row r="1287" spans="1:28" x14ac:dyDescent="0.45">
      <c r="A1287" s="2" t="s">
        <v>1880</v>
      </c>
      <c r="B1287" s="2" t="s">
        <v>6382</v>
      </c>
      <c r="C1287" s="2" t="s">
        <v>1110</v>
      </c>
      <c r="D1287" s="2" t="s">
        <v>1509</v>
      </c>
      <c r="E1287" s="2" t="s">
        <v>96</v>
      </c>
      <c r="F1287" s="3">
        <v>85</v>
      </c>
      <c r="G1287" s="3">
        <v>95</v>
      </c>
      <c r="H1287" s="2" t="s">
        <v>1245</v>
      </c>
      <c r="I1287" s="19">
        <v>35</v>
      </c>
      <c r="J1287" s="34">
        <f t="shared" si="80"/>
        <v>0.30449999999999999</v>
      </c>
      <c r="K1287" s="34">
        <f t="shared" si="81"/>
        <v>0.46</v>
      </c>
      <c r="L1287" s="34">
        <f t="shared" si="82"/>
        <v>1.84</v>
      </c>
      <c r="M1287" s="20" t="s">
        <v>4509</v>
      </c>
      <c r="N1287" s="20" t="s">
        <v>3891</v>
      </c>
      <c r="O1287" s="20" t="s">
        <v>3892</v>
      </c>
      <c r="P1287" s="20" t="s">
        <v>3893</v>
      </c>
      <c r="Q1287" s="21">
        <v>85</v>
      </c>
      <c r="R1287" s="21">
        <v>95</v>
      </c>
      <c r="S1287" s="21">
        <v>5</v>
      </c>
      <c r="T1287" s="22">
        <v>0.69</v>
      </c>
      <c r="U1287" s="13">
        <f t="shared" si="83"/>
        <v>-1.1500000000000001</v>
      </c>
      <c r="V1287" s="23">
        <v>84.52</v>
      </c>
      <c r="W1287" s="23">
        <v>84.52</v>
      </c>
      <c r="X1287" s="20">
        <v>662</v>
      </c>
      <c r="Y1287" s="24" t="s">
        <v>3713</v>
      </c>
      <c r="Z1287" s="16">
        <v>49.52</v>
      </c>
      <c r="AA1287" s="17">
        <v>141.5</v>
      </c>
      <c r="AB1287" s="25" t="s">
        <v>3714</v>
      </c>
    </row>
    <row r="1288" spans="1:28" x14ac:dyDescent="0.45">
      <c r="A1288" s="4" t="s">
        <v>1881</v>
      </c>
      <c r="B1288" s="4" t="s">
        <v>6383</v>
      </c>
      <c r="C1288" s="4" t="s">
        <v>1110</v>
      </c>
      <c r="D1288" s="4" t="s">
        <v>1509</v>
      </c>
      <c r="E1288" s="4" t="s">
        <v>96</v>
      </c>
      <c r="F1288" s="5">
        <v>85</v>
      </c>
      <c r="G1288" s="5">
        <v>97</v>
      </c>
      <c r="H1288" s="4" t="s">
        <v>1635</v>
      </c>
      <c r="I1288" s="10">
        <v>39</v>
      </c>
      <c r="J1288" s="34">
        <f t="shared" si="80"/>
        <v>0.33929999999999999</v>
      </c>
      <c r="K1288" s="34">
        <f t="shared" si="81"/>
        <v>0.51</v>
      </c>
      <c r="L1288" s="34">
        <f t="shared" si="82"/>
        <v>2.04</v>
      </c>
      <c r="M1288" s="11" t="s">
        <v>4510</v>
      </c>
      <c r="N1288" s="11" t="s">
        <v>3891</v>
      </c>
      <c r="O1288" s="11" t="s">
        <v>3892</v>
      </c>
      <c r="P1288" s="11" t="s">
        <v>3893</v>
      </c>
      <c r="Q1288" s="12">
        <v>85</v>
      </c>
      <c r="R1288" s="12">
        <v>97</v>
      </c>
      <c r="S1288" s="12">
        <v>6</v>
      </c>
      <c r="T1288" s="13">
        <v>1.07</v>
      </c>
      <c r="U1288" s="13">
        <f t="shared" si="83"/>
        <v>-0.97</v>
      </c>
      <c r="V1288" s="14">
        <v>131.08000000000001</v>
      </c>
      <c r="W1288" s="14">
        <v>131.08000000000001</v>
      </c>
      <c r="X1288" s="11">
        <v>22</v>
      </c>
      <c r="Y1288" s="15" t="s">
        <v>3713</v>
      </c>
      <c r="Z1288" s="16">
        <v>92.080000000000013</v>
      </c>
      <c r="AA1288" s="17">
        <v>236.1</v>
      </c>
      <c r="AB1288" s="18" t="s">
        <v>3714</v>
      </c>
    </row>
    <row r="1289" spans="1:28" x14ac:dyDescent="0.45">
      <c r="A1289" s="2" t="s">
        <v>1882</v>
      </c>
      <c r="B1289" s="2" t="s">
        <v>6384</v>
      </c>
      <c r="C1289" s="2" t="s">
        <v>1110</v>
      </c>
      <c r="D1289" s="2" t="s">
        <v>1509</v>
      </c>
      <c r="E1289" s="2" t="s">
        <v>96</v>
      </c>
      <c r="F1289" s="3">
        <v>86</v>
      </c>
      <c r="G1289" s="3">
        <v>92</v>
      </c>
      <c r="H1289" s="2" t="s">
        <v>1149</v>
      </c>
      <c r="I1289" s="19">
        <v>22</v>
      </c>
      <c r="J1289" s="34">
        <f t="shared" si="80"/>
        <v>0.19139999999999999</v>
      </c>
      <c r="K1289" s="34">
        <f t="shared" si="81"/>
        <v>0.28999999999999998</v>
      </c>
      <c r="L1289" s="34">
        <f t="shared" si="82"/>
        <v>1.1599999999999999</v>
      </c>
      <c r="M1289" s="20" t="s">
        <v>4511</v>
      </c>
      <c r="N1289" s="20" t="s">
        <v>3891</v>
      </c>
      <c r="O1289" s="20" t="s">
        <v>3892</v>
      </c>
      <c r="P1289" s="20" t="s">
        <v>3893</v>
      </c>
      <c r="Q1289" s="21">
        <v>86</v>
      </c>
      <c r="R1289" s="21">
        <v>92</v>
      </c>
      <c r="S1289" s="21">
        <v>3</v>
      </c>
      <c r="T1289" s="22">
        <v>0.4</v>
      </c>
      <c r="U1289" s="13">
        <f t="shared" si="83"/>
        <v>-0.7599999999999999</v>
      </c>
      <c r="V1289" s="23">
        <v>49</v>
      </c>
      <c r="W1289" s="23">
        <v>49</v>
      </c>
      <c r="X1289" s="20">
        <v>49</v>
      </c>
      <c r="Y1289" s="24" t="s">
        <v>3713</v>
      </c>
      <c r="Z1289" s="16">
        <v>27</v>
      </c>
      <c r="AA1289" s="17">
        <v>122.7</v>
      </c>
      <c r="AB1289" s="25" t="s">
        <v>3714</v>
      </c>
    </row>
    <row r="1290" spans="1:28" x14ac:dyDescent="0.45">
      <c r="A1290" s="4" t="s">
        <v>1883</v>
      </c>
      <c r="B1290" s="4" t="s">
        <v>6385</v>
      </c>
      <c r="C1290" s="4" t="s">
        <v>1110</v>
      </c>
      <c r="D1290" s="4" t="s">
        <v>1509</v>
      </c>
      <c r="E1290" s="4" t="s">
        <v>96</v>
      </c>
      <c r="F1290" s="5">
        <v>88.27</v>
      </c>
      <c r="G1290" s="5">
        <v>98.929999999999993</v>
      </c>
      <c r="H1290" s="4" t="s">
        <v>1201</v>
      </c>
      <c r="I1290" s="10">
        <v>37</v>
      </c>
      <c r="J1290" s="34">
        <f t="shared" si="80"/>
        <v>0.32189999999999996</v>
      </c>
      <c r="K1290" s="34">
        <f t="shared" si="81"/>
        <v>0.48</v>
      </c>
      <c r="L1290" s="34">
        <f t="shared" si="82"/>
        <v>1.92</v>
      </c>
      <c r="M1290" s="11" t="s">
        <v>4159</v>
      </c>
      <c r="N1290" s="11" t="s">
        <v>3891</v>
      </c>
      <c r="O1290" s="11" t="s">
        <v>3892</v>
      </c>
      <c r="P1290" s="11" t="s">
        <v>3893</v>
      </c>
      <c r="Q1290" s="12">
        <v>88.391999999999996</v>
      </c>
      <c r="R1290" s="12">
        <v>99.06</v>
      </c>
      <c r="S1290" s="12">
        <v>5.3339999999999996</v>
      </c>
      <c r="T1290" s="13">
        <v>0.82</v>
      </c>
      <c r="U1290" s="13">
        <f t="shared" si="83"/>
        <v>-1.1000000000000001</v>
      </c>
      <c r="V1290" s="14">
        <v>100.45</v>
      </c>
      <c r="W1290" s="14">
        <v>100.45</v>
      </c>
      <c r="X1290" s="11">
        <v>341</v>
      </c>
      <c r="Y1290" s="15" t="s">
        <v>3737</v>
      </c>
      <c r="Z1290" s="16">
        <v>63.45</v>
      </c>
      <c r="AA1290" s="17">
        <v>171.5</v>
      </c>
      <c r="AB1290" s="18" t="s">
        <v>4016</v>
      </c>
    </row>
    <row r="1291" spans="1:28" x14ac:dyDescent="0.45">
      <c r="A1291" s="2" t="s">
        <v>1884</v>
      </c>
      <c r="B1291" s="2" t="s">
        <v>6386</v>
      </c>
      <c r="C1291" s="2" t="s">
        <v>1110</v>
      </c>
      <c r="D1291" s="2" t="s">
        <v>1509</v>
      </c>
      <c r="E1291" s="2" t="s">
        <v>96</v>
      </c>
      <c r="F1291" s="3">
        <v>88.49</v>
      </c>
      <c r="G1291" s="3">
        <v>95.55</v>
      </c>
      <c r="H1291" s="2" t="s">
        <v>1156</v>
      </c>
      <c r="I1291" s="19">
        <v>20</v>
      </c>
      <c r="J1291" s="34">
        <f t="shared" si="80"/>
        <v>0.17399999999999999</v>
      </c>
      <c r="K1291" s="34">
        <f t="shared" si="81"/>
        <v>0.26</v>
      </c>
      <c r="L1291" s="34">
        <f t="shared" si="82"/>
        <v>1.04</v>
      </c>
      <c r="M1291" s="20" t="s">
        <v>4160</v>
      </c>
      <c r="N1291" s="20" t="s">
        <v>3898</v>
      </c>
      <c r="O1291" s="20" t="s">
        <v>3892</v>
      </c>
      <c r="P1291" s="20" t="s">
        <v>3899</v>
      </c>
      <c r="Q1291" s="21">
        <v>88.391999999999996</v>
      </c>
      <c r="R1291" s="21">
        <v>95.504000000000005</v>
      </c>
      <c r="S1291" s="21">
        <v>3.556</v>
      </c>
      <c r="T1291" s="22">
        <v>0.69</v>
      </c>
      <c r="U1291" s="13">
        <f t="shared" si="83"/>
        <v>-0.35000000000000009</v>
      </c>
      <c r="V1291" s="23">
        <v>84.52</v>
      </c>
      <c r="W1291" s="23">
        <v>84.52</v>
      </c>
      <c r="X1291" s="20" t="s">
        <v>3722</v>
      </c>
      <c r="Y1291" s="24" t="s">
        <v>3737</v>
      </c>
      <c r="Z1291" s="16">
        <v>64.52</v>
      </c>
      <c r="AA1291" s="17">
        <v>322.60000000000002</v>
      </c>
      <c r="AB1291" s="25" t="s">
        <v>3963</v>
      </c>
    </row>
    <row r="1292" spans="1:28" x14ac:dyDescent="0.45">
      <c r="A1292" s="4" t="s">
        <v>1885</v>
      </c>
      <c r="B1292" s="4" t="s">
        <v>6387</v>
      </c>
      <c r="C1292" s="4" t="s">
        <v>1110</v>
      </c>
      <c r="D1292" s="4" t="s">
        <v>1509</v>
      </c>
      <c r="E1292" s="4" t="s">
        <v>96</v>
      </c>
      <c r="F1292" s="5">
        <v>88.57</v>
      </c>
      <c r="G1292" s="5">
        <v>93.809999999999988</v>
      </c>
      <c r="H1292" s="4" t="s">
        <v>1127</v>
      </c>
      <c r="I1292" s="10">
        <v>18</v>
      </c>
      <c r="J1292" s="34">
        <f t="shared" si="80"/>
        <v>0.15659999999999999</v>
      </c>
      <c r="K1292" s="34">
        <f t="shared" si="81"/>
        <v>0.23</v>
      </c>
      <c r="L1292" s="34">
        <f t="shared" si="82"/>
        <v>0.92</v>
      </c>
      <c r="M1292" s="11" t="s">
        <v>4161</v>
      </c>
      <c r="N1292" s="11" t="s">
        <v>3891</v>
      </c>
      <c r="O1292" s="11" t="s">
        <v>3892</v>
      </c>
      <c r="P1292" s="11" t="s">
        <v>3893</v>
      </c>
      <c r="Q1292" s="12">
        <v>88.646000000000001</v>
      </c>
      <c r="R1292" s="12">
        <v>93.725999999999999</v>
      </c>
      <c r="S1292" s="12">
        <v>2.54</v>
      </c>
      <c r="T1292" s="13">
        <v>0.43</v>
      </c>
      <c r="U1292" s="13">
        <f t="shared" si="83"/>
        <v>-0.49000000000000005</v>
      </c>
      <c r="V1292" s="14">
        <v>52.68</v>
      </c>
      <c r="W1292" s="14">
        <v>52.68</v>
      </c>
      <c r="X1292" s="11">
        <v>731</v>
      </c>
      <c r="Y1292" s="15" t="s">
        <v>3737</v>
      </c>
      <c r="Z1292" s="16">
        <v>34.68</v>
      </c>
      <c r="AA1292" s="17">
        <v>192.7</v>
      </c>
      <c r="AB1292" s="18" t="s">
        <v>4022</v>
      </c>
    </row>
    <row r="1293" spans="1:28" x14ac:dyDescent="0.45">
      <c r="A1293" s="2" t="s">
        <v>1886</v>
      </c>
      <c r="B1293" s="2" t="s">
        <v>6388</v>
      </c>
      <c r="C1293" s="2" t="s">
        <v>1110</v>
      </c>
      <c r="D1293" s="2" t="s">
        <v>1509</v>
      </c>
      <c r="E1293" s="2" t="s">
        <v>96</v>
      </c>
      <c r="F1293" s="3">
        <v>89.2</v>
      </c>
      <c r="G1293" s="3">
        <v>100.6</v>
      </c>
      <c r="H1293" s="2" t="s">
        <v>1297</v>
      </c>
      <c r="I1293" s="19">
        <v>49</v>
      </c>
      <c r="J1293" s="34">
        <f t="shared" si="80"/>
        <v>0.42629999999999996</v>
      </c>
      <c r="K1293" s="34">
        <f t="shared" si="81"/>
        <v>0.64</v>
      </c>
      <c r="L1293" s="34">
        <f t="shared" si="82"/>
        <v>2.56</v>
      </c>
      <c r="M1293" s="20" t="s">
        <v>4512</v>
      </c>
      <c r="N1293" s="20" t="s">
        <v>3891</v>
      </c>
      <c r="O1293" s="20" t="s">
        <v>3892</v>
      </c>
      <c r="P1293" s="20" t="s">
        <v>3893</v>
      </c>
      <c r="Q1293" s="21">
        <v>89.3</v>
      </c>
      <c r="R1293" s="21">
        <v>100.7</v>
      </c>
      <c r="S1293" s="21">
        <v>5.7</v>
      </c>
      <c r="T1293" s="22">
        <v>0.9</v>
      </c>
      <c r="U1293" s="13">
        <f t="shared" si="83"/>
        <v>-1.6600000000000001</v>
      </c>
      <c r="V1293" s="23">
        <v>110.25</v>
      </c>
      <c r="W1293" s="23">
        <v>110.25</v>
      </c>
      <c r="X1293" s="20">
        <v>1760</v>
      </c>
      <c r="Y1293" s="24" t="s">
        <v>3713</v>
      </c>
      <c r="Z1293" s="16">
        <v>61.25</v>
      </c>
      <c r="AA1293" s="17">
        <v>125</v>
      </c>
      <c r="AB1293" s="25" t="s">
        <v>4119</v>
      </c>
    </row>
    <row r="1294" spans="1:28" x14ac:dyDescent="0.45">
      <c r="A1294" s="4" t="s">
        <v>1887</v>
      </c>
      <c r="B1294" s="4" t="s">
        <v>6389</v>
      </c>
      <c r="C1294" s="4" t="s">
        <v>1110</v>
      </c>
      <c r="D1294" s="4" t="s">
        <v>1509</v>
      </c>
      <c r="E1294" s="4" t="s">
        <v>96</v>
      </c>
      <c r="F1294" s="5">
        <v>89.4</v>
      </c>
      <c r="G1294" s="5">
        <v>95.600000000000009</v>
      </c>
      <c r="H1294" s="4" t="s">
        <v>1221</v>
      </c>
      <c r="I1294" s="10">
        <v>30</v>
      </c>
      <c r="J1294" s="34">
        <f t="shared" si="80"/>
        <v>0.26100000000000001</v>
      </c>
      <c r="K1294" s="34">
        <f t="shared" si="81"/>
        <v>0.39</v>
      </c>
      <c r="L1294" s="34">
        <f t="shared" si="82"/>
        <v>1.56</v>
      </c>
      <c r="M1294" s="11" t="s">
        <v>4513</v>
      </c>
      <c r="N1294" s="11" t="s">
        <v>3891</v>
      </c>
      <c r="O1294" s="11" t="s">
        <v>3892</v>
      </c>
      <c r="P1294" s="11" t="s">
        <v>3893</v>
      </c>
      <c r="Q1294" s="12">
        <v>89.4</v>
      </c>
      <c r="R1294" s="12">
        <v>95.6</v>
      </c>
      <c r="S1294" s="12">
        <v>3.1</v>
      </c>
      <c r="T1294" s="13">
        <v>0.75</v>
      </c>
      <c r="U1294" s="13">
        <f t="shared" si="83"/>
        <v>-0.81</v>
      </c>
      <c r="V1294" s="14">
        <v>91.88</v>
      </c>
      <c r="W1294" s="14">
        <v>91.88</v>
      </c>
      <c r="X1294" s="11">
        <v>129</v>
      </c>
      <c r="Y1294" s="15" t="s">
        <v>3713</v>
      </c>
      <c r="Z1294" s="16">
        <v>61.88</v>
      </c>
      <c r="AA1294" s="17">
        <v>206.3</v>
      </c>
      <c r="AB1294" s="18" t="s">
        <v>3714</v>
      </c>
    </row>
    <row r="1295" spans="1:28" x14ac:dyDescent="0.45">
      <c r="A1295" s="2" t="s">
        <v>1888</v>
      </c>
      <c r="B1295" s="2" t="s">
        <v>6390</v>
      </c>
      <c r="C1295" s="2" t="s">
        <v>1110</v>
      </c>
      <c r="D1295" s="2" t="s">
        <v>1509</v>
      </c>
      <c r="E1295" s="2" t="s">
        <v>96</v>
      </c>
      <c r="F1295" s="3">
        <v>90</v>
      </c>
      <c r="G1295" s="3">
        <v>94</v>
      </c>
      <c r="H1295" s="2" t="s">
        <v>1122</v>
      </c>
      <c r="I1295" s="19">
        <v>17</v>
      </c>
      <c r="J1295" s="34">
        <f t="shared" si="80"/>
        <v>0.14789999999999998</v>
      </c>
      <c r="K1295" s="34">
        <f t="shared" si="81"/>
        <v>0.22</v>
      </c>
      <c r="L1295" s="34">
        <f t="shared" si="82"/>
        <v>0.88</v>
      </c>
      <c r="M1295" s="20" t="s">
        <v>4514</v>
      </c>
      <c r="N1295" s="20" t="s">
        <v>3891</v>
      </c>
      <c r="O1295" s="20" t="s">
        <v>3892</v>
      </c>
      <c r="P1295" s="20" t="s">
        <v>3893</v>
      </c>
      <c r="Q1295" s="21">
        <v>90</v>
      </c>
      <c r="R1295" s="21">
        <v>94</v>
      </c>
      <c r="S1295" s="21">
        <v>2</v>
      </c>
      <c r="T1295" s="22">
        <v>0.43</v>
      </c>
      <c r="U1295" s="13">
        <f t="shared" si="83"/>
        <v>-0.45</v>
      </c>
      <c r="V1295" s="23">
        <v>52.68</v>
      </c>
      <c r="W1295" s="23">
        <v>52.68</v>
      </c>
      <c r="X1295" s="20">
        <v>44</v>
      </c>
      <c r="Y1295" s="24" t="s">
        <v>3713</v>
      </c>
      <c r="Z1295" s="16">
        <v>35.68</v>
      </c>
      <c r="AA1295" s="17">
        <v>209.9</v>
      </c>
      <c r="AB1295" s="25" t="s">
        <v>3714</v>
      </c>
    </row>
    <row r="1296" spans="1:28" x14ac:dyDescent="0.45">
      <c r="A1296" s="4" t="s">
        <v>1889</v>
      </c>
      <c r="B1296" s="4" t="s">
        <v>6391</v>
      </c>
      <c r="C1296" s="4" t="s">
        <v>1110</v>
      </c>
      <c r="D1296" s="4" t="s">
        <v>1509</v>
      </c>
      <c r="E1296" s="4" t="s">
        <v>96</v>
      </c>
      <c r="F1296" s="5">
        <v>90</v>
      </c>
      <c r="G1296" s="5">
        <v>95</v>
      </c>
      <c r="H1296" s="4" t="s">
        <v>1135</v>
      </c>
      <c r="I1296" s="10">
        <v>22</v>
      </c>
      <c r="J1296" s="34">
        <f t="shared" si="80"/>
        <v>0.19139999999999999</v>
      </c>
      <c r="K1296" s="34">
        <f t="shared" si="81"/>
        <v>0.28999999999999998</v>
      </c>
      <c r="L1296" s="34">
        <f t="shared" si="82"/>
        <v>1.1599999999999999</v>
      </c>
      <c r="M1296" s="11" t="s">
        <v>4515</v>
      </c>
      <c r="N1296" s="11" t="s">
        <v>3891</v>
      </c>
      <c r="O1296" s="11" t="s">
        <v>3892</v>
      </c>
      <c r="P1296" s="11" t="s">
        <v>3893</v>
      </c>
      <c r="Q1296" s="12">
        <v>90</v>
      </c>
      <c r="R1296" s="12">
        <v>95</v>
      </c>
      <c r="S1296" s="12">
        <v>2.5</v>
      </c>
      <c r="T1296" s="13">
        <v>0.37</v>
      </c>
      <c r="U1296" s="13">
        <f t="shared" si="83"/>
        <v>-0.78999999999999992</v>
      </c>
      <c r="V1296" s="14">
        <v>45.32</v>
      </c>
      <c r="W1296" s="14">
        <v>45.32</v>
      </c>
      <c r="X1296" s="11">
        <v>104</v>
      </c>
      <c r="Y1296" s="15" t="s">
        <v>3713</v>
      </c>
      <c r="Z1296" s="16">
        <v>23.32</v>
      </c>
      <c r="AA1296" s="17">
        <v>106</v>
      </c>
      <c r="AB1296" s="18" t="s">
        <v>3714</v>
      </c>
    </row>
    <row r="1297" spans="1:28" x14ac:dyDescent="0.45">
      <c r="A1297" s="2" t="s">
        <v>1890</v>
      </c>
      <c r="B1297" s="2" t="s">
        <v>6392</v>
      </c>
      <c r="C1297" s="2" t="s">
        <v>1110</v>
      </c>
      <c r="D1297" s="2" t="s">
        <v>1509</v>
      </c>
      <c r="E1297" s="2" t="s">
        <v>96</v>
      </c>
      <c r="F1297" s="3">
        <v>90</v>
      </c>
      <c r="G1297" s="3">
        <v>98</v>
      </c>
      <c r="H1297" s="2" t="s">
        <v>1216</v>
      </c>
      <c r="I1297" s="19">
        <v>32</v>
      </c>
      <c r="J1297" s="34">
        <f t="shared" si="80"/>
        <v>0.27839999999999998</v>
      </c>
      <c r="K1297" s="34">
        <f t="shared" si="81"/>
        <v>0.42</v>
      </c>
      <c r="L1297" s="34">
        <f t="shared" si="82"/>
        <v>1.68</v>
      </c>
      <c r="M1297" s="20" t="s">
        <v>4516</v>
      </c>
      <c r="N1297" s="20" t="s">
        <v>3891</v>
      </c>
      <c r="O1297" s="20" t="s">
        <v>3892</v>
      </c>
      <c r="P1297" s="20" t="s">
        <v>3893</v>
      </c>
      <c r="Q1297" s="21">
        <v>90</v>
      </c>
      <c r="R1297" s="21">
        <v>98</v>
      </c>
      <c r="S1297" s="21">
        <v>4</v>
      </c>
      <c r="T1297" s="22">
        <v>0.49</v>
      </c>
      <c r="U1297" s="13">
        <f t="shared" si="83"/>
        <v>-1.19</v>
      </c>
      <c r="V1297" s="23">
        <v>60.02</v>
      </c>
      <c r="W1297" s="23">
        <v>60.02</v>
      </c>
      <c r="X1297" s="20">
        <v>113</v>
      </c>
      <c r="Y1297" s="24" t="s">
        <v>3713</v>
      </c>
      <c r="Z1297" s="16">
        <v>28.02</v>
      </c>
      <c r="AA1297" s="17">
        <v>87.6</v>
      </c>
      <c r="AB1297" s="25" t="s">
        <v>3714</v>
      </c>
    </row>
    <row r="1298" spans="1:28" x14ac:dyDescent="0.45">
      <c r="A1298" s="4" t="s">
        <v>1891</v>
      </c>
      <c r="B1298" s="4" t="s">
        <v>6393</v>
      </c>
      <c r="C1298" s="4" t="s">
        <v>1110</v>
      </c>
      <c r="D1298" s="4" t="s">
        <v>1509</v>
      </c>
      <c r="E1298" s="4" t="s">
        <v>96</v>
      </c>
      <c r="F1298" s="5">
        <v>90</v>
      </c>
      <c r="G1298" s="5">
        <v>100</v>
      </c>
      <c r="H1298" s="4" t="s">
        <v>1245</v>
      </c>
      <c r="I1298" s="10">
        <v>39</v>
      </c>
      <c r="J1298" s="34">
        <f t="shared" si="80"/>
        <v>0.33929999999999999</v>
      </c>
      <c r="K1298" s="34">
        <f t="shared" si="81"/>
        <v>0.51</v>
      </c>
      <c r="L1298" s="34">
        <f t="shared" si="82"/>
        <v>2.04</v>
      </c>
      <c r="M1298" s="11" t="s">
        <v>4162</v>
      </c>
      <c r="N1298" s="11" t="s">
        <v>3891</v>
      </c>
      <c r="O1298" s="11" t="s">
        <v>3892</v>
      </c>
      <c r="P1298" s="11" t="s">
        <v>3893</v>
      </c>
      <c r="Q1298" s="12">
        <v>90</v>
      </c>
      <c r="R1298" s="12">
        <v>100</v>
      </c>
      <c r="S1298" s="12">
        <v>5</v>
      </c>
      <c r="T1298" s="13">
        <v>0.73</v>
      </c>
      <c r="U1298" s="13">
        <f t="shared" si="83"/>
        <v>-1.31</v>
      </c>
      <c r="V1298" s="14">
        <v>89.42</v>
      </c>
      <c r="W1298" s="14">
        <v>89.42</v>
      </c>
      <c r="X1298" s="11">
        <v>116</v>
      </c>
      <c r="Y1298" s="15" t="s">
        <v>3713</v>
      </c>
      <c r="Z1298" s="16">
        <v>50.42</v>
      </c>
      <c r="AA1298" s="17">
        <v>129.30000000000001</v>
      </c>
      <c r="AB1298" s="18" t="s">
        <v>3714</v>
      </c>
    </row>
    <row r="1299" spans="1:28" x14ac:dyDescent="0.45">
      <c r="A1299" s="2" t="s">
        <v>1892</v>
      </c>
      <c r="B1299" s="2" t="s">
        <v>6394</v>
      </c>
      <c r="C1299" s="2" t="s">
        <v>1110</v>
      </c>
      <c r="D1299" s="2" t="s">
        <v>1509</v>
      </c>
      <c r="E1299" s="2" t="s">
        <v>96</v>
      </c>
      <c r="F1299" s="3">
        <v>91.44</v>
      </c>
      <c r="G1299" s="3">
        <v>102.1</v>
      </c>
      <c r="H1299" s="2" t="s">
        <v>1201</v>
      </c>
      <c r="I1299" s="19">
        <v>39</v>
      </c>
      <c r="J1299" s="34">
        <f t="shared" si="80"/>
        <v>0.33929999999999999</v>
      </c>
      <c r="K1299" s="34">
        <f t="shared" si="81"/>
        <v>0.51</v>
      </c>
      <c r="L1299" s="34">
        <f t="shared" si="82"/>
        <v>2.04</v>
      </c>
      <c r="M1299" s="20" t="s">
        <v>4163</v>
      </c>
      <c r="N1299" s="20" t="s">
        <v>3891</v>
      </c>
      <c r="O1299" s="20" t="s">
        <v>3892</v>
      </c>
      <c r="P1299" s="20" t="s">
        <v>3893</v>
      </c>
      <c r="Q1299" s="21">
        <v>91.44</v>
      </c>
      <c r="R1299" s="21">
        <v>102.108</v>
      </c>
      <c r="S1299" s="21">
        <v>5.3339999999999996</v>
      </c>
      <c r="T1299" s="22">
        <v>0.62</v>
      </c>
      <c r="U1299" s="13">
        <f t="shared" si="83"/>
        <v>-1.42</v>
      </c>
      <c r="V1299" s="23">
        <v>75.95</v>
      </c>
      <c r="W1299" s="23">
        <v>75.95</v>
      </c>
      <c r="X1299" s="20">
        <v>1395</v>
      </c>
      <c r="Y1299" s="24" t="s">
        <v>3737</v>
      </c>
      <c r="Z1299" s="16">
        <v>36.950000000000003</v>
      </c>
      <c r="AA1299" s="17">
        <v>94.7</v>
      </c>
      <c r="AB1299" s="25" t="s">
        <v>4032</v>
      </c>
    </row>
    <row r="1300" spans="1:28" x14ac:dyDescent="0.45">
      <c r="A1300" s="4" t="s">
        <v>1893</v>
      </c>
      <c r="B1300" s="4" t="s">
        <v>6395</v>
      </c>
      <c r="C1300" s="4" t="s">
        <v>1110</v>
      </c>
      <c r="D1300" s="4" t="s">
        <v>1509</v>
      </c>
      <c r="E1300" s="4" t="s">
        <v>96</v>
      </c>
      <c r="F1300" s="5">
        <v>91.67</v>
      </c>
      <c r="G1300" s="5">
        <v>98.73</v>
      </c>
      <c r="H1300" s="4" t="s">
        <v>1156</v>
      </c>
      <c r="I1300" s="10">
        <v>23</v>
      </c>
      <c r="J1300" s="34">
        <f t="shared" si="80"/>
        <v>0.2001</v>
      </c>
      <c r="K1300" s="34">
        <f t="shared" si="81"/>
        <v>0.3</v>
      </c>
      <c r="L1300" s="34">
        <f t="shared" si="82"/>
        <v>1.2</v>
      </c>
      <c r="M1300" s="11" t="s">
        <v>4164</v>
      </c>
      <c r="N1300" s="11" t="s">
        <v>3891</v>
      </c>
      <c r="O1300" s="11" t="s">
        <v>3892</v>
      </c>
      <c r="P1300" s="11" t="s">
        <v>3893</v>
      </c>
      <c r="Q1300" s="12">
        <v>91.694000000000003</v>
      </c>
      <c r="R1300" s="12">
        <v>98.805999999999997</v>
      </c>
      <c r="S1300" s="12">
        <v>3.556</v>
      </c>
      <c r="T1300" s="13">
        <v>0.52</v>
      </c>
      <c r="U1300" s="13">
        <f t="shared" si="83"/>
        <v>-0.67999999999999994</v>
      </c>
      <c r="V1300" s="14">
        <v>63.7</v>
      </c>
      <c r="W1300" s="14">
        <v>63.7</v>
      </c>
      <c r="X1300" s="11">
        <v>265</v>
      </c>
      <c r="Y1300" s="15" t="s">
        <v>3737</v>
      </c>
      <c r="Z1300" s="16">
        <v>40.700000000000003</v>
      </c>
      <c r="AA1300" s="17">
        <v>177</v>
      </c>
      <c r="AB1300" s="18" t="s">
        <v>3945</v>
      </c>
    </row>
    <row r="1301" spans="1:28" x14ac:dyDescent="0.45">
      <c r="A1301" s="2" t="s">
        <v>1894</v>
      </c>
      <c r="B1301" s="2" t="s">
        <v>6396</v>
      </c>
      <c r="C1301" s="2" t="s">
        <v>1110</v>
      </c>
      <c r="D1301" s="2" t="s">
        <v>1509</v>
      </c>
      <c r="E1301" s="2" t="s">
        <v>96</v>
      </c>
      <c r="F1301" s="3">
        <v>92</v>
      </c>
      <c r="G1301" s="3">
        <v>100</v>
      </c>
      <c r="H1301" s="2" t="s">
        <v>1216</v>
      </c>
      <c r="I1301" s="19">
        <v>34</v>
      </c>
      <c r="J1301" s="34">
        <f t="shared" si="80"/>
        <v>0.29579999999999995</v>
      </c>
      <c r="K1301" s="34">
        <f t="shared" si="81"/>
        <v>0.44</v>
      </c>
      <c r="L1301" s="34">
        <f t="shared" si="82"/>
        <v>1.76</v>
      </c>
      <c r="M1301" s="20" t="s">
        <v>4165</v>
      </c>
      <c r="N1301" s="20" t="s">
        <v>3891</v>
      </c>
      <c r="O1301" s="20" t="s">
        <v>3892</v>
      </c>
      <c r="P1301" s="20" t="s">
        <v>3893</v>
      </c>
      <c r="Q1301" s="21">
        <v>92</v>
      </c>
      <c r="R1301" s="21">
        <v>100</v>
      </c>
      <c r="S1301" s="21">
        <v>4</v>
      </c>
      <c r="T1301" s="22">
        <v>0.66</v>
      </c>
      <c r="U1301" s="13">
        <f t="shared" si="83"/>
        <v>-1.1000000000000001</v>
      </c>
      <c r="V1301" s="23">
        <v>80.849999999999994</v>
      </c>
      <c r="W1301" s="23">
        <v>80.849999999999994</v>
      </c>
      <c r="X1301" s="20">
        <v>73</v>
      </c>
      <c r="Y1301" s="24" t="s">
        <v>3713</v>
      </c>
      <c r="Z1301" s="16">
        <v>46.849999999999987</v>
      </c>
      <c r="AA1301" s="17">
        <v>137.80000000000001</v>
      </c>
      <c r="AB1301" s="25" t="s">
        <v>3714</v>
      </c>
    </row>
    <row r="1302" spans="1:28" x14ac:dyDescent="0.45">
      <c r="A1302" s="4" t="s">
        <v>1895</v>
      </c>
      <c r="B1302" s="4" t="s">
        <v>6397</v>
      </c>
      <c r="C1302" s="4" t="s">
        <v>1110</v>
      </c>
      <c r="D1302" s="4" t="s">
        <v>1509</v>
      </c>
      <c r="E1302" s="4" t="s">
        <v>96</v>
      </c>
      <c r="F1302" s="5">
        <v>94.2</v>
      </c>
      <c r="G1302" s="5">
        <v>105.6</v>
      </c>
      <c r="H1302" s="4" t="s">
        <v>1297</v>
      </c>
      <c r="I1302" s="10">
        <v>52</v>
      </c>
      <c r="J1302" s="34">
        <f t="shared" si="80"/>
        <v>0.45239999999999997</v>
      </c>
      <c r="K1302" s="34">
        <f t="shared" si="81"/>
        <v>0.68</v>
      </c>
      <c r="L1302" s="34">
        <f t="shared" si="82"/>
        <v>2.72</v>
      </c>
      <c r="M1302" s="11" t="s">
        <v>4166</v>
      </c>
      <c r="N1302" s="11" t="s">
        <v>3891</v>
      </c>
      <c r="O1302" s="11" t="s">
        <v>3892</v>
      </c>
      <c r="P1302" s="11" t="s">
        <v>3893</v>
      </c>
      <c r="Q1302" s="12">
        <v>94.3</v>
      </c>
      <c r="R1302" s="12">
        <v>105.7</v>
      </c>
      <c r="S1302" s="12">
        <v>5.7</v>
      </c>
      <c r="T1302" s="13">
        <v>0.92</v>
      </c>
      <c r="U1302" s="13">
        <f t="shared" si="83"/>
        <v>-1.8000000000000003</v>
      </c>
      <c r="V1302" s="14">
        <v>112.7</v>
      </c>
      <c r="W1302" s="14">
        <v>112.7</v>
      </c>
      <c r="X1302" s="11">
        <v>300</v>
      </c>
      <c r="Y1302" s="15" t="s">
        <v>3713</v>
      </c>
      <c r="Z1302" s="16">
        <v>60.7</v>
      </c>
      <c r="AA1302" s="17">
        <v>116.7</v>
      </c>
      <c r="AB1302" s="18" t="s">
        <v>4119</v>
      </c>
    </row>
    <row r="1303" spans="1:28" x14ac:dyDescent="0.45">
      <c r="A1303" s="2" t="s">
        <v>1896</v>
      </c>
      <c r="B1303" s="2" t="s">
        <v>6398</v>
      </c>
      <c r="C1303" s="2" t="s">
        <v>1110</v>
      </c>
      <c r="D1303" s="2" t="s">
        <v>1509</v>
      </c>
      <c r="E1303" s="2" t="s">
        <v>96</v>
      </c>
      <c r="F1303" s="3">
        <v>94.4</v>
      </c>
      <c r="G1303" s="3">
        <v>100.6</v>
      </c>
      <c r="H1303" s="2" t="s">
        <v>1221</v>
      </c>
      <c r="I1303" s="19">
        <v>32</v>
      </c>
      <c r="J1303" s="34">
        <f t="shared" si="80"/>
        <v>0.27839999999999998</v>
      </c>
      <c r="K1303" s="34">
        <f t="shared" si="81"/>
        <v>0.42</v>
      </c>
      <c r="L1303" s="34">
        <f t="shared" si="82"/>
        <v>1.68</v>
      </c>
      <c r="M1303" s="20" t="s">
        <v>4167</v>
      </c>
      <c r="N1303" s="20" t="s">
        <v>3891</v>
      </c>
      <c r="O1303" s="20" t="s">
        <v>3892</v>
      </c>
      <c r="P1303" s="20" t="s">
        <v>3893</v>
      </c>
      <c r="Q1303" s="21">
        <v>94.4</v>
      </c>
      <c r="R1303" s="21">
        <v>100.6</v>
      </c>
      <c r="S1303" s="21">
        <v>3.1</v>
      </c>
      <c r="T1303" s="22">
        <v>1.32</v>
      </c>
      <c r="U1303" s="13">
        <f t="shared" si="83"/>
        <v>-0.35999999999999988</v>
      </c>
      <c r="V1303" s="23">
        <v>161.69999999999999</v>
      </c>
      <c r="W1303" s="23">
        <v>161.69999999999999</v>
      </c>
      <c r="X1303" s="20">
        <v>218</v>
      </c>
      <c r="Y1303" s="24" t="s">
        <v>3713</v>
      </c>
      <c r="Z1303" s="16">
        <v>129.69999999999999</v>
      </c>
      <c r="AA1303" s="17">
        <v>405.3</v>
      </c>
      <c r="AB1303" s="25" t="s">
        <v>3714</v>
      </c>
    </row>
    <row r="1304" spans="1:28" x14ac:dyDescent="0.45">
      <c r="A1304" s="4" t="s">
        <v>1897</v>
      </c>
      <c r="B1304" s="4" t="s">
        <v>6399</v>
      </c>
      <c r="C1304" s="4" t="s">
        <v>1110</v>
      </c>
      <c r="D1304" s="4" t="s">
        <v>1509</v>
      </c>
      <c r="E1304" s="4" t="s">
        <v>96</v>
      </c>
      <c r="F1304" s="5">
        <v>94.62</v>
      </c>
      <c r="G1304" s="5">
        <v>105.28</v>
      </c>
      <c r="H1304" s="4" t="s">
        <v>1201</v>
      </c>
      <c r="I1304" s="10">
        <v>39</v>
      </c>
      <c r="J1304" s="34">
        <f t="shared" si="80"/>
        <v>0.33929999999999999</v>
      </c>
      <c r="K1304" s="34">
        <f t="shared" si="81"/>
        <v>0.51</v>
      </c>
      <c r="L1304" s="34">
        <f t="shared" si="82"/>
        <v>2.04</v>
      </c>
      <c r="M1304" s="11" t="s">
        <v>4168</v>
      </c>
      <c r="N1304" s="11" t="s">
        <v>3891</v>
      </c>
      <c r="O1304" s="11" t="s">
        <v>3892</v>
      </c>
      <c r="P1304" s="11" t="s">
        <v>3893</v>
      </c>
      <c r="Q1304" s="12">
        <v>94.742000000000004</v>
      </c>
      <c r="R1304" s="12">
        <v>105.15600000000001</v>
      </c>
      <c r="S1304" s="12">
        <v>5.3339999999999996</v>
      </c>
      <c r="T1304" s="13">
        <v>0.91</v>
      </c>
      <c r="U1304" s="13">
        <f t="shared" si="83"/>
        <v>-1.1299999999999999</v>
      </c>
      <c r="V1304" s="14">
        <v>111.48</v>
      </c>
      <c r="W1304" s="14">
        <v>111.48</v>
      </c>
      <c r="X1304" s="11">
        <v>953</v>
      </c>
      <c r="Y1304" s="15" t="s">
        <v>3737</v>
      </c>
      <c r="Z1304" s="16">
        <v>72.48</v>
      </c>
      <c r="AA1304" s="17">
        <v>185.8</v>
      </c>
      <c r="AB1304" s="18" t="s">
        <v>4169</v>
      </c>
    </row>
    <row r="1305" spans="1:28" x14ac:dyDescent="0.45">
      <c r="A1305" s="2" t="s">
        <v>1898</v>
      </c>
      <c r="B1305" s="2" t="s">
        <v>6400</v>
      </c>
      <c r="C1305" s="2" t="s">
        <v>1110</v>
      </c>
      <c r="D1305" s="2" t="s">
        <v>1509</v>
      </c>
      <c r="E1305" s="2" t="s">
        <v>96</v>
      </c>
      <c r="F1305" s="3">
        <v>94.84</v>
      </c>
      <c r="G1305" s="3">
        <v>101.9</v>
      </c>
      <c r="H1305" s="2" t="s">
        <v>1156</v>
      </c>
      <c r="I1305" s="19">
        <v>23</v>
      </c>
      <c r="J1305" s="34">
        <f t="shared" si="80"/>
        <v>0.2001</v>
      </c>
      <c r="K1305" s="34">
        <f t="shared" si="81"/>
        <v>0.3</v>
      </c>
      <c r="L1305" s="34">
        <f t="shared" si="82"/>
        <v>1.2</v>
      </c>
      <c r="M1305" s="20" t="s">
        <v>4170</v>
      </c>
      <c r="N1305" s="20" t="s">
        <v>3891</v>
      </c>
      <c r="O1305" s="20" t="s">
        <v>3892</v>
      </c>
      <c r="P1305" s="20" t="s">
        <v>3893</v>
      </c>
      <c r="Q1305" s="21">
        <v>95</v>
      </c>
      <c r="R1305" s="21">
        <v>102</v>
      </c>
      <c r="S1305" s="21">
        <v>3.5</v>
      </c>
      <c r="T1305" s="22">
        <v>0.56999999999999995</v>
      </c>
      <c r="U1305" s="13">
        <f t="shared" si="83"/>
        <v>-0.63</v>
      </c>
      <c r="V1305" s="23">
        <v>69.819999999999993</v>
      </c>
      <c r="W1305" s="23">
        <v>69.819999999999993</v>
      </c>
      <c r="X1305" s="20">
        <v>99</v>
      </c>
      <c r="Y1305" s="24" t="s">
        <v>3713</v>
      </c>
      <c r="Z1305" s="16">
        <v>46.819999999999993</v>
      </c>
      <c r="AA1305" s="17">
        <v>203.6</v>
      </c>
      <c r="AB1305" s="25" t="s">
        <v>4171</v>
      </c>
    </row>
    <row r="1306" spans="1:28" x14ac:dyDescent="0.45">
      <c r="A1306" s="4" t="s">
        <v>1899</v>
      </c>
      <c r="B1306" s="4" t="s">
        <v>6401</v>
      </c>
      <c r="C1306" s="4" t="s">
        <v>1110</v>
      </c>
      <c r="D1306" s="4" t="s">
        <v>1509</v>
      </c>
      <c r="E1306" s="4" t="s">
        <v>96</v>
      </c>
      <c r="F1306" s="5">
        <v>94.92</v>
      </c>
      <c r="G1306" s="5">
        <v>100.16</v>
      </c>
      <c r="H1306" s="4" t="s">
        <v>1127</v>
      </c>
      <c r="I1306" s="10">
        <v>18</v>
      </c>
      <c r="J1306" s="34">
        <f t="shared" si="80"/>
        <v>0.15659999999999999</v>
      </c>
      <c r="K1306" s="34">
        <f t="shared" si="81"/>
        <v>0.23</v>
      </c>
      <c r="L1306" s="34">
        <f t="shared" si="82"/>
        <v>0.92</v>
      </c>
      <c r="M1306" s="11" t="s">
        <v>4172</v>
      </c>
      <c r="N1306" s="11" t="s">
        <v>3891</v>
      </c>
      <c r="O1306" s="11" t="s">
        <v>3892</v>
      </c>
      <c r="P1306" s="11" t="s">
        <v>3893</v>
      </c>
      <c r="Q1306" s="12">
        <v>94.995999999999995</v>
      </c>
      <c r="R1306" s="12">
        <v>100.07599999999999</v>
      </c>
      <c r="S1306" s="12">
        <v>2.54</v>
      </c>
      <c r="T1306" s="13">
        <v>0.42</v>
      </c>
      <c r="U1306" s="13">
        <f t="shared" si="83"/>
        <v>-0.5</v>
      </c>
      <c r="V1306" s="14">
        <v>51.45</v>
      </c>
      <c r="W1306" s="14">
        <v>51.45</v>
      </c>
      <c r="X1306" s="11">
        <v>406</v>
      </c>
      <c r="Y1306" s="15" t="s">
        <v>3737</v>
      </c>
      <c r="Z1306" s="16">
        <v>33.450000000000003</v>
      </c>
      <c r="AA1306" s="17">
        <v>185.8</v>
      </c>
      <c r="AB1306" s="18" t="s">
        <v>4022</v>
      </c>
    </row>
    <row r="1307" spans="1:28" x14ac:dyDescent="0.45">
      <c r="A1307" s="2" t="s">
        <v>1900</v>
      </c>
      <c r="B1307" s="2" t="s">
        <v>6402</v>
      </c>
      <c r="C1307" s="2" t="s">
        <v>1110</v>
      </c>
      <c r="D1307" s="2" t="s">
        <v>1509</v>
      </c>
      <c r="E1307" s="2" t="s">
        <v>96</v>
      </c>
      <c r="F1307" s="3">
        <v>94.99</v>
      </c>
      <c r="G1307" s="3">
        <v>98.55</v>
      </c>
      <c r="H1307" s="2" t="s">
        <v>1114</v>
      </c>
      <c r="I1307" s="19">
        <v>15</v>
      </c>
      <c r="J1307" s="34">
        <f t="shared" si="80"/>
        <v>0.1305</v>
      </c>
      <c r="K1307" s="34">
        <f t="shared" si="81"/>
        <v>0.2</v>
      </c>
      <c r="L1307" s="34">
        <f t="shared" si="82"/>
        <v>0.8</v>
      </c>
      <c r="M1307" s="20" t="s">
        <v>4173</v>
      </c>
      <c r="N1307" s="20" t="s">
        <v>3925</v>
      </c>
      <c r="O1307" s="20" t="s">
        <v>3892</v>
      </c>
      <c r="P1307" s="20" t="s">
        <v>3926</v>
      </c>
      <c r="Q1307" s="21">
        <v>94.995999999999995</v>
      </c>
      <c r="R1307" s="21">
        <v>98.552000000000007</v>
      </c>
      <c r="S1307" s="21">
        <v>1.778</v>
      </c>
      <c r="T1307" s="22">
        <v>0.52</v>
      </c>
      <c r="U1307" s="13">
        <f t="shared" si="83"/>
        <v>-0.28000000000000003</v>
      </c>
      <c r="V1307" s="23">
        <v>63.7</v>
      </c>
      <c r="W1307" s="23">
        <v>63.7</v>
      </c>
      <c r="X1307" s="20">
        <v>31</v>
      </c>
      <c r="Y1307" s="24" t="s">
        <v>3737</v>
      </c>
      <c r="Z1307" s="16">
        <v>48.7</v>
      </c>
      <c r="AA1307" s="17">
        <v>324.7</v>
      </c>
      <c r="AB1307" s="25" t="s">
        <v>4174</v>
      </c>
    </row>
    <row r="1308" spans="1:28" x14ac:dyDescent="0.45">
      <c r="A1308" s="4" t="s">
        <v>1901</v>
      </c>
      <c r="B1308" s="4" t="s">
        <v>6403</v>
      </c>
      <c r="C1308" s="4" t="s">
        <v>1110</v>
      </c>
      <c r="D1308" s="4" t="s">
        <v>1509</v>
      </c>
      <c r="E1308" s="4" t="s">
        <v>96</v>
      </c>
      <c r="F1308" s="5">
        <v>95.4</v>
      </c>
      <c r="G1308" s="5">
        <v>103.4</v>
      </c>
      <c r="H1308" s="4" t="s">
        <v>1216</v>
      </c>
      <c r="I1308" s="10">
        <v>35</v>
      </c>
      <c r="J1308" s="34">
        <f t="shared" si="80"/>
        <v>0.30449999999999999</v>
      </c>
      <c r="K1308" s="34">
        <f t="shared" si="81"/>
        <v>0.46</v>
      </c>
      <c r="L1308" s="34">
        <f t="shared" si="82"/>
        <v>1.84</v>
      </c>
      <c r="M1308" s="11" t="s">
        <v>4517</v>
      </c>
      <c r="N1308" s="11" t="s">
        <v>3891</v>
      </c>
      <c r="O1308" s="11" t="s">
        <v>3892</v>
      </c>
      <c r="P1308" s="11" t="s">
        <v>3893</v>
      </c>
      <c r="Q1308" s="12">
        <v>95</v>
      </c>
      <c r="R1308" s="12">
        <v>103</v>
      </c>
      <c r="S1308" s="12">
        <v>4</v>
      </c>
      <c r="T1308" s="13">
        <v>0.56999999999999995</v>
      </c>
      <c r="U1308" s="13">
        <f t="shared" si="83"/>
        <v>-1.27</v>
      </c>
      <c r="V1308" s="14">
        <v>69.819999999999993</v>
      </c>
      <c r="W1308" s="14">
        <v>69.819999999999993</v>
      </c>
      <c r="X1308" s="11">
        <v>50</v>
      </c>
      <c r="Y1308" s="15" t="s">
        <v>3713</v>
      </c>
      <c r="Z1308" s="16">
        <v>34.819999999999993</v>
      </c>
      <c r="AA1308" s="17">
        <v>99.5</v>
      </c>
      <c r="AB1308" s="18" t="s">
        <v>4296</v>
      </c>
    </row>
    <row r="1309" spans="1:28" x14ac:dyDescent="0.45">
      <c r="A1309" s="2" t="s">
        <v>1902</v>
      </c>
      <c r="B1309" s="2" t="s">
        <v>6404</v>
      </c>
      <c r="C1309" s="2" t="s">
        <v>1110</v>
      </c>
      <c r="D1309" s="2" t="s">
        <v>1509</v>
      </c>
      <c r="E1309" s="2" t="s">
        <v>96</v>
      </c>
      <c r="F1309" s="3">
        <v>97.79</v>
      </c>
      <c r="G1309" s="3">
        <v>108.45</v>
      </c>
      <c r="H1309" s="2" t="s">
        <v>1201</v>
      </c>
      <c r="I1309" s="19">
        <v>40</v>
      </c>
      <c r="J1309" s="34">
        <f t="shared" si="80"/>
        <v>0.34799999999999998</v>
      </c>
      <c r="K1309" s="34">
        <f t="shared" si="81"/>
        <v>0.52</v>
      </c>
      <c r="L1309" s="34">
        <f t="shared" si="82"/>
        <v>2.08</v>
      </c>
      <c r="M1309" s="20" t="s">
        <v>4175</v>
      </c>
      <c r="N1309" s="20" t="s">
        <v>3891</v>
      </c>
      <c r="O1309" s="20" t="s">
        <v>3892</v>
      </c>
      <c r="P1309" s="20" t="s">
        <v>3893</v>
      </c>
      <c r="Q1309" s="21">
        <v>97.79</v>
      </c>
      <c r="R1309" s="21">
        <v>108.458</v>
      </c>
      <c r="S1309" s="21">
        <v>5.3339999999999996</v>
      </c>
      <c r="T1309" s="22">
        <v>0.93</v>
      </c>
      <c r="U1309" s="13">
        <f t="shared" si="83"/>
        <v>-1.1499999999999999</v>
      </c>
      <c r="V1309" s="23">
        <v>113.93</v>
      </c>
      <c r="W1309" s="23">
        <v>113.93</v>
      </c>
      <c r="X1309" s="20">
        <v>282</v>
      </c>
      <c r="Y1309" s="24" t="s">
        <v>3737</v>
      </c>
      <c r="Z1309" s="16">
        <v>73.930000000000007</v>
      </c>
      <c r="AA1309" s="17">
        <v>184.8</v>
      </c>
      <c r="AB1309" s="25" t="s">
        <v>4032</v>
      </c>
    </row>
    <row r="1310" spans="1:28" x14ac:dyDescent="0.45">
      <c r="A1310" s="4" t="s">
        <v>1903</v>
      </c>
      <c r="B1310" s="4" t="s">
        <v>6405</v>
      </c>
      <c r="C1310" s="4" t="s">
        <v>1110</v>
      </c>
      <c r="D1310" s="4" t="s">
        <v>1509</v>
      </c>
      <c r="E1310" s="4" t="s">
        <v>96</v>
      </c>
      <c r="F1310" s="5">
        <v>98.02</v>
      </c>
      <c r="G1310" s="5">
        <v>105.08</v>
      </c>
      <c r="H1310" s="4" t="s">
        <v>1156</v>
      </c>
      <c r="I1310" s="10">
        <v>23</v>
      </c>
      <c r="J1310" s="34">
        <f t="shared" si="80"/>
        <v>0.2001</v>
      </c>
      <c r="K1310" s="34">
        <f t="shared" si="81"/>
        <v>0.3</v>
      </c>
      <c r="L1310" s="34">
        <f t="shared" si="82"/>
        <v>1.2</v>
      </c>
      <c r="M1310" s="11" t="s">
        <v>4176</v>
      </c>
      <c r="N1310" s="11" t="s">
        <v>3891</v>
      </c>
      <c r="O1310" s="11" t="s">
        <v>3892</v>
      </c>
      <c r="P1310" s="11" t="s">
        <v>3893</v>
      </c>
      <c r="Q1310" s="12">
        <v>98</v>
      </c>
      <c r="R1310" s="12">
        <v>105</v>
      </c>
      <c r="S1310" s="12">
        <v>3.5</v>
      </c>
      <c r="T1310" s="13">
        <v>0.57999999999999996</v>
      </c>
      <c r="U1310" s="13">
        <f t="shared" si="83"/>
        <v>-0.62</v>
      </c>
      <c r="V1310" s="14">
        <v>71.05</v>
      </c>
      <c r="W1310" s="14">
        <v>71.05</v>
      </c>
      <c r="X1310" s="11">
        <v>37</v>
      </c>
      <c r="Y1310" s="15" t="s">
        <v>3713</v>
      </c>
      <c r="Z1310" s="16">
        <v>48.05</v>
      </c>
      <c r="AA1310" s="17">
        <v>208.9</v>
      </c>
      <c r="AB1310" s="18" t="s">
        <v>4177</v>
      </c>
    </row>
    <row r="1311" spans="1:28" x14ac:dyDescent="0.45">
      <c r="A1311" s="2" t="s">
        <v>1904</v>
      </c>
      <c r="B1311" s="2" t="s">
        <v>6406</v>
      </c>
      <c r="C1311" s="2" t="s">
        <v>1110</v>
      </c>
      <c r="D1311" s="2" t="s">
        <v>1509</v>
      </c>
      <c r="E1311" s="2" t="s">
        <v>96</v>
      </c>
      <c r="F1311" s="3">
        <v>99.2</v>
      </c>
      <c r="G1311" s="3">
        <v>110.6</v>
      </c>
      <c r="H1311" s="2" t="s">
        <v>1297</v>
      </c>
      <c r="I1311" s="19">
        <v>59</v>
      </c>
      <c r="J1311" s="34">
        <f t="shared" si="80"/>
        <v>0.51329999999999998</v>
      </c>
      <c r="K1311" s="34">
        <f t="shared" si="81"/>
        <v>0.77</v>
      </c>
      <c r="L1311" s="34">
        <f t="shared" si="82"/>
        <v>3.08</v>
      </c>
      <c r="M1311" s="20" t="s">
        <v>4178</v>
      </c>
      <c r="N1311" s="20" t="s">
        <v>3891</v>
      </c>
      <c r="O1311" s="20" t="s">
        <v>3892</v>
      </c>
      <c r="P1311" s="20" t="s">
        <v>3893</v>
      </c>
      <c r="Q1311" s="21">
        <v>99.3</v>
      </c>
      <c r="R1311" s="21">
        <v>110.7</v>
      </c>
      <c r="S1311" s="21">
        <v>5.7</v>
      </c>
      <c r="T1311" s="22">
        <v>0.93</v>
      </c>
      <c r="U1311" s="13">
        <f t="shared" si="83"/>
        <v>-2.15</v>
      </c>
      <c r="V1311" s="23">
        <v>113.93</v>
      </c>
      <c r="W1311" s="23">
        <v>113.93</v>
      </c>
      <c r="X1311" s="20">
        <v>470</v>
      </c>
      <c r="Y1311" s="24" t="s">
        <v>3713</v>
      </c>
      <c r="Z1311" s="16">
        <v>54.930000000000007</v>
      </c>
      <c r="AA1311" s="17">
        <v>93.1</v>
      </c>
      <c r="AB1311" s="25" t="s">
        <v>4119</v>
      </c>
    </row>
    <row r="1312" spans="1:28" x14ac:dyDescent="0.45">
      <c r="A1312" s="4" t="s">
        <v>1905</v>
      </c>
      <c r="B1312" s="4" t="s">
        <v>6407</v>
      </c>
      <c r="C1312" s="4" t="s">
        <v>1110</v>
      </c>
      <c r="D1312" s="4" t="s">
        <v>1509</v>
      </c>
      <c r="E1312" s="4" t="s">
        <v>96</v>
      </c>
      <c r="F1312" s="5">
        <v>99.4</v>
      </c>
      <c r="G1312" s="5">
        <v>105.6</v>
      </c>
      <c r="H1312" s="4" t="s">
        <v>1221</v>
      </c>
      <c r="I1312" s="10">
        <v>35</v>
      </c>
      <c r="J1312" s="34">
        <f t="shared" si="80"/>
        <v>0.30449999999999999</v>
      </c>
      <c r="K1312" s="34">
        <f t="shared" si="81"/>
        <v>0.46</v>
      </c>
      <c r="L1312" s="34">
        <f t="shared" si="82"/>
        <v>1.84</v>
      </c>
      <c r="M1312" s="11" t="s">
        <v>4179</v>
      </c>
      <c r="N1312" s="11" t="s">
        <v>3891</v>
      </c>
      <c r="O1312" s="11" t="s">
        <v>3892</v>
      </c>
      <c r="P1312" s="11" t="s">
        <v>3893</v>
      </c>
      <c r="Q1312" s="12">
        <v>99.4</v>
      </c>
      <c r="R1312" s="12">
        <v>105.6</v>
      </c>
      <c r="S1312" s="12">
        <v>3.1</v>
      </c>
      <c r="T1312" s="13">
        <v>0.77</v>
      </c>
      <c r="U1312" s="13">
        <f t="shared" si="83"/>
        <v>-1.07</v>
      </c>
      <c r="V1312" s="14">
        <v>94.32</v>
      </c>
      <c r="W1312" s="14">
        <v>94.32</v>
      </c>
      <c r="X1312" s="11">
        <v>198</v>
      </c>
      <c r="Y1312" s="15" t="s">
        <v>3713</v>
      </c>
      <c r="Z1312" s="16">
        <v>59.319999999999993</v>
      </c>
      <c r="AA1312" s="17">
        <v>169.5</v>
      </c>
      <c r="AB1312" s="18" t="s">
        <v>3714</v>
      </c>
    </row>
    <row r="1313" spans="1:28" x14ac:dyDescent="0.45">
      <c r="A1313" s="2" t="s">
        <v>1906</v>
      </c>
      <c r="B1313" s="2" t="s">
        <v>6408</v>
      </c>
      <c r="C1313" s="2" t="s">
        <v>1110</v>
      </c>
      <c r="D1313" s="2" t="s">
        <v>1509</v>
      </c>
      <c r="E1313" s="2" t="s">
        <v>96</v>
      </c>
      <c r="F1313" s="3">
        <v>100.97</v>
      </c>
      <c r="G1313" s="3">
        <v>111.63</v>
      </c>
      <c r="H1313" s="2" t="s">
        <v>1201</v>
      </c>
      <c r="I1313" s="19">
        <v>42</v>
      </c>
      <c r="J1313" s="34">
        <f t="shared" si="80"/>
        <v>0.36539999999999995</v>
      </c>
      <c r="K1313" s="34">
        <f t="shared" si="81"/>
        <v>0.55000000000000004</v>
      </c>
      <c r="L1313" s="34">
        <f t="shared" si="82"/>
        <v>2.2000000000000002</v>
      </c>
      <c r="M1313" s="20" t="s">
        <v>4180</v>
      </c>
      <c r="N1313" s="20" t="s">
        <v>3891</v>
      </c>
      <c r="O1313" s="20" t="s">
        <v>3892</v>
      </c>
      <c r="P1313" s="20" t="s">
        <v>3893</v>
      </c>
      <c r="Q1313" s="21">
        <v>101.092</v>
      </c>
      <c r="R1313" s="21">
        <v>111.506</v>
      </c>
      <c r="S1313" s="21">
        <v>5.3339999999999996</v>
      </c>
      <c r="T1313" s="22">
        <v>1.1000000000000001</v>
      </c>
      <c r="U1313" s="13">
        <f t="shared" si="83"/>
        <v>-1.1000000000000001</v>
      </c>
      <c r="V1313" s="23">
        <v>134.75</v>
      </c>
      <c r="W1313" s="23">
        <v>134.75</v>
      </c>
      <c r="X1313" s="20">
        <v>480</v>
      </c>
      <c r="Y1313" s="24" t="s">
        <v>3737</v>
      </c>
      <c r="Z1313" s="16">
        <v>92.75</v>
      </c>
      <c r="AA1313" s="17">
        <v>220.8</v>
      </c>
      <c r="AB1313" s="25" t="s">
        <v>4169</v>
      </c>
    </row>
    <row r="1314" spans="1:28" x14ac:dyDescent="0.45">
      <c r="A1314" s="4" t="s">
        <v>1907</v>
      </c>
      <c r="B1314" s="4" t="s">
        <v>6409</v>
      </c>
      <c r="C1314" s="4" t="s">
        <v>1110</v>
      </c>
      <c r="D1314" s="4" t="s">
        <v>1509</v>
      </c>
      <c r="E1314" s="4" t="s">
        <v>96</v>
      </c>
      <c r="F1314" s="5">
        <v>100</v>
      </c>
      <c r="G1314" s="5">
        <v>104</v>
      </c>
      <c r="H1314" s="4" t="s">
        <v>1122</v>
      </c>
      <c r="I1314" s="10">
        <v>20</v>
      </c>
      <c r="J1314" s="34">
        <f t="shared" si="80"/>
        <v>0.17399999999999999</v>
      </c>
      <c r="K1314" s="34">
        <f t="shared" si="81"/>
        <v>0.26</v>
      </c>
      <c r="L1314" s="34">
        <f t="shared" si="82"/>
        <v>1.04</v>
      </c>
      <c r="M1314" s="11" t="s">
        <v>4518</v>
      </c>
      <c r="N1314" s="11" t="s">
        <v>3891</v>
      </c>
      <c r="O1314" s="11" t="s">
        <v>3892</v>
      </c>
      <c r="P1314" s="11" t="s">
        <v>3893</v>
      </c>
      <c r="Q1314" s="12">
        <v>100</v>
      </c>
      <c r="R1314" s="12">
        <v>104</v>
      </c>
      <c r="S1314" s="12">
        <v>2</v>
      </c>
      <c r="T1314" s="13">
        <v>0.48</v>
      </c>
      <c r="U1314" s="13">
        <f t="shared" si="83"/>
        <v>-0.56000000000000005</v>
      </c>
      <c r="V1314" s="14">
        <v>58.8</v>
      </c>
      <c r="W1314" s="14">
        <v>58.8</v>
      </c>
      <c r="X1314" s="11">
        <v>111</v>
      </c>
      <c r="Y1314" s="15" t="s">
        <v>3713</v>
      </c>
      <c r="Z1314" s="16">
        <v>38.799999999999997</v>
      </c>
      <c r="AA1314" s="17">
        <v>194</v>
      </c>
      <c r="AB1314" s="18" t="s">
        <v>3714</v>
      </c>
    </row>
    <row r="1315" spans="1:28" x14ac:dyDescent="0.45">
      <c r="A1315" s="2" t="s">
        <v>1908</v>
      </c>
      <c r="B1315" s="2" t="s">
        <v>6410</v>
      </c>
      <c r="C1315" s="2" t="s">
        <v>1110</v>
      </c>
      <c r="D1315" s="2" t="s">
        <v>1509</v>
      </c>
      <c r="E1315" s="2" t="s">
        <v>96</v>
      </c>
      <c r="F1315" s="3">
        <v>100</v>
      </c>
      <c r="G1315" s="3">
        <v>108</v>
      </c>
      <c r="H1315" s="2" t="s">
        <v>1216</v>
      </c>
      <c r="I1315" s="19">
        <v>35</v>
      </c>
      <c r="J1315" s="34">
        <f t="shared" si="80"/>
        <v>0.30449999999999999</v>
      </c>
      <c r="K1315" s="34">
        <f t="shared" si="81"/>
        <v>0.46</v>
      </c>
      <c r="L1315" s="34">
        <f t="shared" si="82"/>
        <v>1.84</v>
      </c>
      <c r="M1315" s="20" t="s">
        <v>4181</v>
      </c>
      <c r="N1315" s="20" t="s">
        <v>3891</v>
      </c>
      <c r="O1315" s="20" t="s">
        <v>3892</v>
      </c>
      <c r="P1315" s="20" t="s">
        <v>3893</v>
      </c>
      <c r="Q1315" s="21">
        <v>100</v>
      </c>
      <c r="R1315" s="21">
        <v>108</v>
      </c>
      <c r="S1315" s="21">
        <v>4</v>
      </c>
      <c r="T1315" s="22">
        <v>0.79</v>
      </c>
      <c r="U1315" s="13">
        <f t="shared" si="83"/>
        <v>-1.05</v>
      </c>
      <c r="V1315" s="23">
        <v>96.78</v>
      </c>
      <c r="W1315" s="23">
        <v>96.78</v>
      </c>
      <c r="X1315" s="20">
        <v>36</v>
      </c>
      <c r="Y1315" s="24" t="s">
        <v>3713</v>
      </c>
      <c r="Z1315" s="16">
        <v>61.78</v>
      </c>
      <c r="AA1315" s="17">
        <v>176.5</v>
      </c>
      <c r="AB1315" s="25" t="s">
        <v>3714</v>
      </c>
    </row>
    <row r="1316" spans="1:28" x14ac:dyDescent="0.45">
      <c r="A1316" s="4" t="s">
        <v>1909</v>
      </c>
      <c r="B1316" s="4" t="s">
        <v>6411</v>
      </c>
      <c r="C1316" s="4" t="s">
        <v>1110</v>
      </c>
      <c r="D1316" s="4" t="s">
        <v>1509</v>
      </c>
      <c r="E1316" s="4" t="s">
        <v>96</v>
      </c>
      <c r="F1316" s="5">
        <v>100</v>
      </c>
      <c r="G1316" s="5">
        <v>110</v>
      </c>
      <c r="H1316" s="4" t="s">
        <v>1245</v>
      </c>
      <c r="I1316" s="10">
        <v>42</v>
      </c>
      <c r="J1316" s="34">
        <f t="shared" si="80"/>
        <v>0.36539999999999995</v>
      </c>
      <c r="K1316" s="34">
        <f t="shared" si="81"/>
        <v>0.55000000000000004</v>
      </c>
      <c r="L1316" s="34">
        <f t="shared" si="82"/>
        <v>2.2000000000000002</v>
      </c>
      <c r="M1316" s="11" t="s">
        <v>4182</v>
      </c>
      <c r="N1316" s="11" t="s">
        <v>3891</v>
      </c>
      <c r="O1316" s="11" t="s">
        <v>3892</v>
      </c>
      <c r="P1316" s="11" t="s">
        <v>3893</v>
      </c>
      <c r="Q1316" s="12">
        <v>100</v>
      </c>
      <c r="R1316" s="12">
        <v>110</v>
      </c>
      <c r="S1316" s="12">
        <v>5</v>
      </c>
      <c r="T1316" s="13">
        <v>0.87</v>
      </c>
      <c r="U1316" s="13">
        <f t="shared" si="83"/>
        <v>-1.33</v>
      </c>
      <c r="V1316" s="14">
        <v>106.58</v>
      </c>
      <c r="W1316" s="14">
        <v>106.58</v>
      </c>
      <c r="X1316" s="11">
        <v>110</v>
      </c>
      <c r="Y1316" s="15" t="s">
        <v>3713</v>
      </c>
      <c r="Z1316" s="16">
        <v>64.58</v>
      </c>
      <c r="AA1316" s="17">
        <v>153.80000000000001</v>
      </c>
      <c r="AB1316" s="18" t="s">
        <v>3714</v>
      </c>
    </row>
    <row r="1317" spans="1:28" x14ac:dyDescent="0.45">
      <c r="A1317" s="2" t="s">
        <v>1910</v>
      </c>
      <c r="B1317" s="2" t="s">
        <v>6412</v>
      </c>
      <c r="C1317" s="2" t="s">
        <v>1110</v>
      </c>
      <c r="D1317" s="2" t="s">
        <v>1509</v>
      </c>
      <c r="E1317" s="2" t="s">
        <v>96</v>
      </c>
      <c r="F1317" s="3">
        <v>101.19</v>
      </c>
      <c r="G1317" s="3">
        <v>108.25</v>
      </c>
      <c r="H1317" s="2" t="s">
        <v>1156</v>
      </c>
      <c r="I1317" s="19">
        <v>25</v>
      </c>
      <c r="J1317" s="34">
        <f t="shared" si="80"/>
        <v>0.21749999999999997</v>
      </c>
      <c r="K1317" s="34">
        <f t="shared" si="81"/>
        <v>0.33</v>
      </c>
      <c r="L1317" s="34">
        <f t="shared" si="82"/>
        <v>1.32</v>
      </c>
      <c r="M1317" s="20" t="s">
        <v>4183</v>
      </c>
      <c r="N1317" s="20" t="s">
        <v>3891</v>
      </c>
      <c r="O1317" s="20" t="s">
        <v>3892</v>
      </c>
      <c r="P1317" s="20" t="s">
        <v>3893</v>
      </c>
      <c r="Q1317" s="21">
        <v>101.092</v>
      </c>
      <c r="R1317" s="21">
        <v>108.20399999999999</v>
      </c>
      <c r="S1317" s="21">
        <v>3.556</v>
      </c>
      <c r="T1317" s="22">
        <v>0.54</v>
      </c>
      <c r="U1317" s="13">
        <f t="shared" si="83"/>
        <v>-0.78</v>
      </c>
      <c r="V1317" s="23">
        <v>66.150000000000006</v>
      </c>
      <c r="W1317" s="23">
        <v>66.150000000000006</v>
      </c>
      <c r="X1317" s="20">
        <v>611</v>
      </c>
      <c r="Y1317" s="24" t="s">
        <v>3737</v>
      </c>
      <c r="Z1317" s="16">
        <v>41.150000000000013</v>
      </c>
      <c r="AA1317" s="17">
        <v>164.6</v>
      </c>
      <c r="AB1317" s="25" t="s">
        <v>3963</v>
      </c>
    </row>
    <row r="1318" spans="1:28" x14ac:dyDescent="0.45">
      <c r="A1318" s="4" t="s">
        <v>1911</v>
      </c>
      <c r="B1318" s="4" t="s">
        <v>6413</v>
      </c>
      <c r="C1318" s="4" t="s">
        <v>1110</v>
      </c>
      <c r="D1318" s="4" t="s">
        <v>1509</v>
      </c>
      <c r="E1318" s="4" t="s">
        <v>96</v>
      </c>
      <c r="F1318" s="5">
        <v>101.27</v>
      </c>
      <c r="G1318" s="5">
        <v>106.51</v>
      </c>
      <c r="H1318" s="4" t="s">
        <v>1127</v>
      </c>
      <c r="I1318" s="10">
        <v>20</v>
      </c>
      <c r="J1318" s="34">
        <f t="shared" si="80"/>
        <v>0.17399999999999999</v>
      </c>
      <c r="K1318" s="34">
        <f t="shared" si="81"/>
        <v>0.26</v>
      </c>
      <c r="L1318" s="34">
        <f t="shared" si="82"/>
        <v>1.04</v>
      </c>
      <c r="M1318" s="11" t="s">
        <v>4184</v>
      </c>
      <c r="N1318" s="11" t="s">
        <v>3891</v>
      </c>
      <c r="O1318" s="11" t="s">
        <v>3892</v>
      </c>
      <c r="P1318" s="11" t="s">
        <v>3893</v>
      </c>
      <c r="Q1318" s="12">
        <v>101.346</v>
      </c>
      <c r="R1318" s="12">
        <v>106.426</v>
      </c>
      <c r="S1318" s="12">
        <v>2.54</v>
      </c>
      <c r="T1318" s="13">
        <v>0.42</v>
      </c>
      <c r="U1318" s="13">
        <f t="shared" si="83"/>
        <v>-0.62000000000000011</v>
      </c>
      <c r="V1318" s="14">
        <v>51.45</v>
      </c>
      <c r="W1318" s="14">
        <v>51.45</v>
      </c>
      <c r="X1318" s="11">
        <v>191</v>
      </c>
      <c r="Y1318" s="15" t="s">
        <v>3737</v>
      </c>
      <c r="Z1318" s="16">
        <v>31.45</v>
      </c>
      <c r="AA1318" s="17">
        <v>157.30000000000001</v>
      </c>
      <c r="AB1318" s="18" t="s">
        <v>4022</v>
      </c>
    </row>
    <row r="1319" spans="1:28" x14ac:dyDescent="0.45">
      <c r="A1319" s="2" t="s">
        <v>1912</v>
      </c>
      <c r="B1319" s="2" t="s">
        <v>6414</v>
      </c>
      <c r="C1319" s="2" t="s">
        <v>1110</v>
      </c>
      <c r="D1319" s="2" t="s">
        <v>1509</v>
      </c>
      <c r="E1319" s="2" t="s">
        <v>96</v>
      </c>
      <c r="F1319" s="3">
        <v>101.2</v>
      </c>
      <c r="G1319" s="3">
        <v>112.6</v>
      </c>
      <c r="H1319" s="2" t="s">
        <v>1297</v>
      </c>
      <c r="I1319" s="19">
        <v>59</v>
      </c>
      <c r="J1319" s="34">
        <f t="shared" si="80"/>
        <v>0.51329999999999998</v>
      </c>
      <c r="K1319" s="34">
        <f t="shared" si="81"/>
        <v>0.77</v>
      </c>
      <c r="L1319" s="34">
        <f t="shared" si="82"/>
        <v>3.08</v>
      </c>
      <c r="M1319" s="20" t="s">
        <v>4519</v>
      </c>
      <c r="N1319" s="20" t="s">
        <v>3891</v>
      </c>
      <c r="O1319" s="20" t="s">
        <v>3892</v>
      </c>
      <c r="P1319" s="20" t="s">
        <v>3893</v>
      </c>
      <c r="Q1319" s="21">
        <v>101.6</v>
      </c>
      <c r="R1319" s="21">
        <v>113</v>
      </c>
      <c r="S1319" s="21">
        <v>5.7</v>
      </c>
      <c r="T1319" s="22">
        <v>0.92</v>
      </c>
      <c r="U1319" s="13">
        <f t="shared" si="83"/>
        <v>-2.16</v>
      </c>
      <c r="V1319" s="23">
        <v>112.7</v>
      </c>
      <c r="W1319" s="23">
        <v>112.7</v>
      </c>
      <c r="X1319" s="20">
        <v>80</v>
      </c>
      <c r="Y1319" s="24" t="s">
        <v>3713</v>
      </c>
      <c r="Z1319" s="16">
        <v>53.7</v>
      </c>
      <c r="AA1319" s="17">
        <v>91</v>
      </c>
      <c r="AB1319" s="25" t="s">
        <v>4296</v>
      </c>
    </row>
    <row r="1320" spans="1:28" x14ac:dyDescent="0.45">
      <c r="A1320" s="4" t="s">
        <v>1913</v>
      </c>
      <c r="B1320" s="4" t="s">
        <v>6415</v>
      </c>
      <c r="C1320" s="4" t="s">
        <v>1110</v>
      </c>
      <c r="D1320" s="4" t="s">
        <v>1509</v>
      </c>
      <c r="E1320" s="4" t="s">
        <v>96</v>
      </c>
      <c r="F1320" s="5">
        <v>101.32</v>
      </c>
      <c r="G1320" s="5">
        <v>104.88</v>
      </c>
      <c r="H1320" s="4" t="s">
        <v>1114</v>
      </c>
      <c r="I1320" s="10">
        <v>17</v>
      </c>
      <c r="J1320" s="34">
        <f t="shared" si="80"/>
        <v>0.14789999999999998</v>
      </c>
      <c r="K1320" s="34">
        <f t="shared" si="81"/>
        <v>0.22</v>
      </c>
      <c r="L1320" s="34">
        <f t="shared" si="82"/>
        <v>0.88</v>
      </c>
      <c r="M1320" s="11" t="s">
        <v>4520</v>
      </c>
      <c r="N1320" s="11" t="s">
        <v>3891</v>
      </c>
      <c r="O1320" s="11" t="s">
        <v>3892</v>
      </c>
      <c r="P1320" s="11" t="s">
        <v>3893</v>
      </c>
      <c r="Q1320" s="12">
        <v>101.346</v>
      </c>
      <c r="R1320" s="12">
        <v>104.902</v>
      </c>
      <c r="S1320" s="12">
        <v>1.778</v>
      </c>
      <c r="T1320" s="13">
        <v>0.43</v>
      </c>
      <c r="U1320" s="13">
        <f t="shared" si="83"/>
        <v>-0.45</v>
      </c>
      <c r="V1320" s="14">
        <v>52.68</v>
      </c>
      <c r="W1320" s="14">
        <v>52.68</v>
      </c>
      <c r="X1320" s="11">
        <v>352</v>
      </c>
      <c r="Y1320" s="15" t="s">
        <v>3737</v>
      </c>
      <c r="Z1320" s="16">
        <v>35.68</v>
      </c>
      <c r="AA1320" s="17">
        <v>209.9</v>
      </c>
      <c r="AB1320" s="18" t="s">
        <v>3967</v>
      </c>
    </row>
    <row r="1321" spans="1:28" x14ac:dyDescent="0.45">
      <c r="A1321" s="2" t="s">
        <v>1914</v>
      </c>
      <c r="B1321" s="2" t="s">
        <v>6416</v>
      </c>
      <c r="C1321" s="2" t="s">
        <v>1110</v>
      </c>
      <c r="D1321" s="2" t="s">
        <v>1509</v>
      </c>
      <c r="E1321" s="2" t="s">
        <v>96</v>
      </c>
      <c r="F1321" s="3">
        <v>102</v>
      </c>
      <c r="G1321" s="3">
        <v>110</v>
      </c>
      <c r="H1321" s="2" t="s">
        <v>1216</v>
      </c>
      <c r="I1321" s="19">
        <v>37</v>
      </c>
      <c r="J1321" s="34">
        <f t="shared" si="80"/>
        <v>0.32189999999999996</v>
      </c>
      <c r="K1321" s="34">
        <f t="shared" si="81"/>
        <v>0.48</v>
      </c>
      <c r="L1321" s="34">
        <f t="shared" si="82"/>
        <v>1.92</v>
      </c>
      <c r="M1321" s="20" t="s">
        <v>4521</v>
      </c>
      <c r="N1321" s="20" t="s">
        <v>3891</v>
      </c>
      <c r="O1321" s="20" t="s">
        <v>3892</v>
      </c>
      <c r="P1321" s="20" t="s">
        <v>3893</v>
      </c>
      <c r="Q1321" s="21">
        <v>102</v>
      </c>
      <c r="R1321" s="21">
        <v>110</v>
      </c>
      <c r="S1321" s="21">
        <v>4</v>
      </c>
      <c r="T1321" s="22">
        <v>2.72</v>
      </c>
      <c r="U1321" s="13">
        <f t="shared" si="83"/>
        <v>0.80000000000000027</v>
      </c>
      <c r="V1321" s="23">
        <v>333.2</v>
      </c>
      <c r="W1321" s="23">
        <v>333.2</v>
      </c>
      <c r="X1321" s="20">
        <v>60</v>
      </c>
      <c r="Y1321" s="24" t="s">
        <v>3713</v>
      </c>
      <c r="Z1321" s="16">
        <v>296.2</v>
      </c>
      <c r="AA1321" s="17">
        <v>800.5</v>
      </c>
      <c r="AB1321" s="25" t="s">
        <v>3714</v>
      </c>
    </row>
    <row r="1322" spans="1:28" x14ac:dyDescent="0.45">
      <c r="A1322" s="4" t="s">
        <v>1915</v>
      </c>
      <c r="B1322" s="4" t="s">
        <v>6417</v>
      </c>
      <c r="C1322" s="4" t="s">
        <v>1110</v>
      </c>
      <c r="D1322" s="4" t="s">
        <v>1509</v>
      </c>
      <c r="E1322" s="4" t="s">
        <v>96</v>
      </c>
      <c r="F1322" s="5">
        <v>104.14</v>
      </c>
      <c r="G1322" s="5">
        <v>114.8</v>
      </c>
      <c r="H1322" s="4" t="s">
        <v>1201</v>
      </c>
      <c r="I1322" s="10">
        <v>44</v>
      </c>
      <c r="J1322" s="34">
        <f t="shared" si="80"/>
        <v>0.38279999999999997</v>
      </c>
      <c r="K1322" s="34">
        <f t="shared" si="81"/>
        <v>0.56999999999999995</v>
      </c>
      <c r="L1322" s="34">
        <f t="shared" si="82"/>
        <v>2.2799999999999998</v>
      </c>
      <c r="M1322" s="11" t="s">
        <v>4185</v>
      </c>
      <c r="N1322" s="11" t="s">
        <v>3891</v>
      </c>
      <c r="O1322" s="11" t="s">
        <v>3892</v>
      </c>
      <c r="P1322" s="11" t="s">
        <v>3893</v>
      </c>
      <c r="Q1322" s="12">
        <v>104.14</v>
      </c>
      <c r="R1322" s="12">
        <v>114.80800000000001</v>
      </c>
      <c r="S1322" s="12">
        <v>5.3339999999999996</v>
      </c>
      <c r="T1322" s="13">
        <v>1.04</v>
      </c>
      <c r="U1322" s="13">
        <f t="shared" si="83"/>
        <v>-1.2399999999999998</v>
      </c>
      <c r="V1322" s="14">
        <v>127.4</v>
      </c>
      <c r="W1322" s="14">
        <v>127.4</v>
      </c>
      <c r="X1322" s="11">
        <v>1264</v>
      </c>
      <c r="Y1322" s="15" t="s">
        <v>3737</v>
      </c>
      <c r="Z1322" s="16">
        <v>83.4</v>
      </c>
      <c r="AA1322" s="17">
        <v>189.5</v>
      </c>
      <c r="AB1322" s="18" t="s">
        <v>4032</v>
      </c>
    </row>
    <row r="1323" spans="1:28" x14ac:dyDescent="0.45">
      <c r="A1323" s="2" t="s">
        <v>1916</v>
      </c>
      <c r="B1323" s="2" t="s">
        <v>6418</v>
      </c>
      <c r="C1323" s="2" t="s">
        <v>1110</v>
      </c>
      <c r="D1323" s="2" t="s">
        <v>1509</v>
      </c>
      <c r="E1323" s="2" t="s">
        <v>96</v>
      </c>
      <c r="F1323" s="3">
        <v>104.2</v>
      </c>
      <c r="G1323" s="3">
        <v>115.6</v>
      </c>
      <c r="H1323" s="2" t="s">
        <v>1297</v>
      </c>
      <c r="I1323" s="19">
        <v>61</v>
      </c>
      <c r="J1323" s="34">
        <f t="shared" si="80"/>
        <v>0.53069999999999995</v>
      </c>
      <c r="K1323" s="34">
        <f t="shared" si="81"/>
        <v>0.8</v>
      </c>
      <c r="L1323" s="34">
        <f t="shared" si="82"/>
        <v>3.2</v>
      </c>
      <c r="M1323" s="20" t="s">
        <v>4186</v>
      </c>
      <c r="N1323" s="20" t="s">
        <v>3891</v>
      </c>
      <c r="O1323" s="20" t="s">
        <v>3892</v>
      </c>
      <c r="P1323" s="20" t="s">
        <v>3893</v>
      </c>
      <c r="Q1323" s="21">
        <v>104.3</v>
      </c>
      <c r="R1323" s="21">
        <v>115.7</v>
      </c>
      <c r="S1323" s="21">
        <v>5.7</v>
      </c>
      <c r="T1323" s="22">
        <v>0.97</v>
      </c>
      <c r="U1323" s="13">
        <f t="shared" si="83"/>
        <v>-2.2300000000000004</v>
      </c>
      <c r="V1323" s="23">
        <v>118.82</v>
      </c>
      <c r="W1323" s="23">
        <v>118.82</v>
      </c>
      <c r="X1323" s="20">
        <v>336</v>
      </c>
      <c r="Y1323" s="24" t="s">
        <v>3713</v>
      </c>
      <c r="Z1323" s="16">
        <v>57.819999999999993</v>
      </c>
      <c r="AA1323" s="17">
        <v>94.8</v>
      </c>
      <c r="AB1323" s="25" t="s">
        <v>4119</v>
      </c>
    </row>
    <row r="1324" spans="1:28" x14ac:dyDescent="0.45">
      <c r="A1324" s="4" t="s">
        <v>1917</v>
      </c>
      <c r="B1324" s="4" t="s">
        <v>6419</v>
      </c>
      <c r="C1324" s="4" t="s">
        <v>1110</v>
      </c>
      <c r="D1324" s="4" t="s">
        <v>1509</v>
      </c>
      <c r="E1324" s="4" t="s">
        <v>96</v>
      </c>
      <c r="F1324" s="5">
        <v>104.37</v>
      </c>
      <c r="G1324" s="5">
        <v>111.43</v>
      </c>
      <c r="H1324" s="4" t="s">
        <v>1156</v>
      </c>
      <c r="I1324" s="10">
        <v>27</v>
      </c>
      <c r="J1324" s="34">
        <f t="shared" si="80"/>
        <v>0.2349</v>
      </c>
      <c r="K1324" s="34">
        <f t="shared" si="81"/>
        <v>0.35</v>
      </c>
      <c r="L1324" s="34">
        <f t="shared" si="82"/>
        <v>1.4</v>
      </c>
      <c r="M1324" s="11" t="s">
        <v>4522</v>
      </c>
      <c r="N1324" s="11" t="s">
        <v>3891</v>
      </c>
      <c r="O1324" s="11" t="s">
        <v>3892</v>
      </c>
      <c r="P1324" s="11" t="s">
        <v>3893</v>
      </c>
      <c r="Q1324" s="12">
        <v>104.39400000000001</v>
      </c>
      <c r="R1324" s="12">
        <v>111.506</v>
      </c>
      <c r="S1324" s="12">
        <v>3.556</v>
      </c>
      <c r="T1324" s="13">
        <v>0.56999999999999995</v>
      </c>
      <c r="U1324" s="13">
        <f t="shared" si="83"/>
        <v>-0.83</v>
      </c>
      <c r="V1324" s="14">
        <v>69.819999999999993</v>
      </c>
      <c r="W1324" s="14">
        <v>69.819999999999993</v>
      </c>
      <c r="X1324" s="11">
        <v>2417</v>
      </c>
      <c r="Y1324" s="15" t="s">
        <v>3737</v>
      </c>
      <c r="Z1324" s="16">
        <v>42.819999999999993</v>
      </c>
      <c r="AA1324" s="17">
        <v>158.6</v>
      </c>
      <c r="AB1324" s="18" t="s">
        <v>3945</v>
      </c>
    </row>
    <row r="1325" spans="1:28" x14ac:dyDescent="0.45">
      <c r="A1325" s="2" t="s">
        <v>1918</v>
      </c>
      <c r="B1325" s="2" t="s">
        <v>6420</v>
      </c>
      <c r="C1325" s="2" t="s">
        <v>1110</v>
      </c>
      <c r="D1325" s="2" t="s">
        <v>1509</v>
      </c>
      <c r="E1325" s="2" t="s">
        <v>96</v>
      </c>
      <c r="F1325" s="3">
        <v>104.4</v>
      </c>
      <c r="G1325" s="3">
        <v>110.6</v>
      </c>
      <c r="H1325" s="2" t="s">
        <v>1221</v>
      </c>
      <c r="I1325" s="19">
        <v>39</v>
      </c>
      <c r="J1325" s="34">
        <f t="shared" si="80"/>
        <v>0.33929999999999999</v>
      </c>
      <c r="K1325" s="34">
        <f t="shared" si="81"/>
        <v>0.51</v>
      </c>
      <c r="L1325" s="34">
        <f t="shared" si="82"/>
        <v>2.04</v>
      </c>
      <c r="M1325" s="20" t="s">
        <v>4187</v>
      </c>
      <c r="N1325" s="20" t="s">
        <v>3891</v>
      </c>
      <c r="O1325" s="20" t="s">
        <v>3892</v>
      </c>
      <c r="P1325" s="20" t="s">
        <v>3893</v>
      </c>
      <c r="Q1325" s="21">
        <v>104.4</v>
      </c>
      <c r="R1325" s="21">
        <v>110.6</v>
      </c>
      <c r="S1325" s="21">
        <v>3.1</v>
      </c>
      <c r="T1325" s="22">
        <v>0.83</v>
      </c>
      <c r="U1325" s="13">
        <f t="shared" si="83"/>
        <v>-1.21</v>
      </c>
      <c r="V1325" s="23">
        <v>101.68</v>
      </c>
      <c r="W1325" s="23">
        <v>101.68</v>
      </c>
      <c r="X1325" s="20">
        <v>479</v>
      </c>
      <c r="Y1325" s="24" t="s">
        <v>3713</v>
      </c>
      <c r="Z1325" s="16">
        <v>62.680000000000007</v>
      </c>
      <c r="AA1325" s="17">
        <v>160.69999999999999</v>
      </c>
      <c r="AB1325" s="25" t="s">
        <v>3714</v>
      </c>
    </row>
    <row r="1326" spans="1:28" x14ac:dyDescent="0.45">
      <c r="A1326" s="4" t="s">
        <v>1919</v>
      </c>
      <c r="B1326" s="4" t="s">
        <v>6421</v>
      </c>
      <c r="C1326" s="4" t="s">
        <v>1110</v>
      </c>
      <c r="D1326" s="4" t="s">
        <v>1509</v>
      </c>
      <c r="E1326" s="4" t="s">
        <v>96</v>
      </c>
      <c r="F1326" s="5">
        <v>105</v>
      </c>
      <c r="G1326" s="5">
        <v>115</v>
      </c>
      <c r="H1326" s="4" t="s">
        <v>1245</v>
      </c>
      <c r="I1326" s="10">
        <v>44</v>
      </c>
      <c r="J1326" s="34">
        <f t="shared" si="80"/>
        <v>0.38279999999999997</v>
      </c>
      <c r="K1326" s="34">
        <f t="shared" si="81"/>
        <v>0.56999999999999995</v>
      </c>
      <c r="L1326" s="34">
        <f t="shared" si="82"/>
        <v>2.2799999999999998</v>
      </c>
      <c r="M1326" s="11" t="s">
        <v>4523</v>
      </c>
      <c r="N1326" s="11" t="s">
        <v>3891</v>
      </c>
      <c r="O1326" s="11" t="s">
        <v>3892</v>
      </c>
      <c r="P1326" s="11" t="s">
        <v>3893</v>
      </c>
      <c r="Q1326" s="12">
        <v>105</v>
      </c>
      <c r="R1326" s="12">
        <v>115</v>
      </c>
      <c r="S1326" s="12">
        <v>5</v>
      </c>
      <c r="T1326" s="13">
        <v>0.92</v>
      </c>
      <c r="U1326" s="13">
        <f t="shared" si="83"/>
        <v>-1.3599999999999999</v>
      </c>
      <c r="V1326" s="14">
        <v>112.7</v>
      </c>
      <c r="W1326" s="14">
        <v>112.7</v>
      </c>
      <c r="X1326" s="11">
        <v>471</v>
      </c>
      <c r="Y1326" s="15" t="s">
        <v>3713</v>
      </c>
      <c r="Z1326" s="16">
        <v>68.7</v>
      </c>
      <c r="AA1326" s="17">
        <v>156.1</v>
      </c>
      <c r="AB1326" s="18" t="s">
        <v>3714</v>
      </c>
    </row>
    <row r="1327" spans="1:28" x14ac:dyDescent="0.45">
      <c r="A1327" s="2" t="s">
        <v>1920</v>
      </c>
      <c r="B1327" s="2" t="s">
        <v>6422</v>
      </c>
      <c r="C1327" s="2" t="s">
        <v>1110</v>
      </c>
      <c r="D1327" s="2" t="s">
        <v>1509</v>
      </c>
      <c r="E1327" s="2" t="s">
        <v>96</v>
      </c>
      <c r="F1327" s="3">
        <v>107.32</v>
      </c>
      <c r="G1327" s="3">
        <v>117.98</v>
      </c>
      <c r="H1327" s="2" t="s">
        <v>1201</v>
      </c>
      <c r="I1327" s="19">
        <v>45</v>
      </c>
      <c r="J1327" s="34">
        <f t="shared" si="80"/>
        <v>0.39149999999999996</v>
      </c>
      <c r="K1327" s="34">
        <f t="shared" si="81"/>
        <v>0.59</v>
      </c>
      <c r="L1327" s="34">
        <f t="shared" si="82"/>
        <v>2.36</v>
      </c>
      <c r="M1327" s="20" t="s">
        <v>4188</v>
      </c>
      <c r="N1327" s="20" t="s">
        <v>3891</v>
      </c>
      <c r="O1327" s="20" t="s">
        <v>3892</v>
      </c>
      <c r="P1327" s="20" t="s">
        <v>3893</v>
      </c>
      <c r="Q1327" s="21">
        <v>107.188</v>
      </c>
      <c r="R1327" s="21">
        <v>117.85599999999999</v>
      </c>
      <c r="S1327" s="21">
        <v>5.3339999999999996</v>
      </c>
      <c r="T1327" s="22">
        <v>0.97</v>
      </c>
      <c r="U1327" s="13">
        <f t="shared" si="83"/>
        <v>-1.39</v>
      </c>
      <c r="V1327" s="23">
        <v>118.82</v>
      </c>
      <c r="W1327" s="23">
        <v>118.82</v>
      </c>
      <c r="X1327" s="20">
        <v>1369</v>
      </c>
      <c r="Y1327" s="24" t="s">
        <v>3737</v>
      </c>
      <c r="Z1327" s="16">
        <v>73.819999999999993</v>
      </c>
      <c r="AA1327" s="17">
        <v>164</v>
      </c>
      <c r="AB1327" s="25" t="s">
        <v>4189</v>
      </c>
    </row>
    <row r="1328" spans="1:28" x14ac:dyDescent="0.45">
      <c r="A1328" s="4" t="s">
        <v>1921</v>
      </c>
      <c r="B1328" s="4" t="s">
        <v>6423</v>
      </c>
      <c r="C1328" s="4" t="s">
        <v>1110</v>
      </c>
      <c r="D1328" s="4" t="s">
        <v>1509</v>
      </c>
      <c r="E1328" s="4" t="s">
        <v>96</v>
      </c>
      <c r="F1328" s="5">
        <v>107.54</v>
      </c>
      <c r="G1328" s="5">
        <v>114.6</v>
      </c>
      <c r="H1328" s="4" t="s">
        <v>1156</v>
      </c>
      <c r="I1328" s="10">
        <v>27</v>
      </c>
      <c r="J1328" s="34">
        <f t="shared" si="80"/>
        <v>0.2349</v>
      </c>
      <c r="K1328" s="34">
        <f t="shared" si="81"/>
        <v>0.35</v>
      </c>
      <c r="L1328" s="34">
        <f t="shared" si="82"/>
        <v>1.4</v>
      </c>
      <c r="M1328" s="11" t="s">
        <v>4190</v>
      </c>
      <c r="N1328" s="11" t="s">
        <v>3891</v>
      </c>
      <c r="O1328" s="11" t="s">
        <v>3892</v>
      </c>
      <c r="P1328" s="11" t="s">
        <v>3893</v>
      </c>
      <c r="Q1328" s="12">
        <v>107.44199999999999</v>
      </c>
      <c r="R1328" s="12">
        <v>114.554</v>
      </c>
      <c r="S1328" s="12">
        <v>3.556</v>
      </c>
      <c r="T1328" s="13">
        <v>0.57999999999999996</v>
      </c>
      <c r="U1328" s="13">
        <f t="shared" si="83"/>
        <v>-0.82</v>
      </c>
      <c r="V1328" s="14">
        <v>71.05</v>
      </c>
      <c r="W1328" s="14">
        <v>71.05</v>
      </c>
      <c r="X1328" s="11">
        <v>459</v>
      </c>
      <c r="Y1328" s="15" t="s">
        <v>3737</v>
      </c>
      <c r="Z1328" s="16">
        <v>44.05</v>
      </c>
      <c r="AA1328" s="17">
        <v>163.1</v>
      </c>
      <c r="AB1328" s="18" t="s">
        <v>3963</v>
      </c>
    </row>
    <row r="1329" spans="1:28" x14ac:dyDescent="0.45">
      <c r="A1329" s="2" t="s">
        <v>1922</v>
      </c>
      <c r="B1329" s="2" t="s">
        <v>6424</v>
      </c>
      <c r="C1329" s="2" t="s">
        <v>1110</v>
      </c>
      <c r="D1329" s="2" t="s">
        <v>1509</v>
      </c>
      <c r="E1329" s="2" t="s">
        <v>96</v>
      </c>
      <c r="F1329" s="3">
        <v>107.62</v>
      </c>
      <c r="G1329" s="3">
        <v>112.86</v>
      </c>
      <c r="H1329" s="2" t="s">
        <v>1127</v>
      </c>
      <c r="I1329" s="19">
        <v>22</v>
      </c>
      <c r="J1329" s="34">
        <f t="shared" si="80"/>
        <v>0.19139999999999999</v>
      </c>
      <c r="K1329" s="34">
        <f t="shared" si="81"/>
        <v>0.28999999999999998</v>
      </c>
      <c r="L1329" s="34">
        <f t="shared" si="82"/>
        <v>1.1599999999999999</v>
      </c>
      <c r="M1329" s="20" t="s">
        <v>4191</v>
      </c>
      <c r="N1329" s="20" t="s">
        <v>3898</v>
      </c>
      <c r="O1329" s="20" t="s">
        <v>3892</v>
      </c>
      <c r="P1329" s="20" t="s">
        <v>3899</v>
      </c>
      <c r="Q1329" s="21">
        <v>107.696</v>
      </c>
      <c r="R1329" s="21">
        <v>112.776</v>
      </c>
      <c r="S1329" s="21">
        <v>2.54</v>
      </c>
      <c r="T1329" s="22">
        <v>1.52</v>
      </c>
      <c r="U1329" s="13">
        <f t="shared" si="83"/>
        <v>0.3600000000000001</v>
      </c>
      <c r="V1329" s="23">
        <v>186.2</v>
      </c>
      <c r="W1329" s="23">
        <v>186.2</v>
      </c>
      <c r="X1329" s="20">
        <v>8</v>
      </c>
      <c r="Y1329" s="24" t="s">
        <v>3737</v>
      </c>
      <c r="Z1329" s="16">
        <v>164.2</v>
      </c>
      <c r="AA1329" s="17">
        <v>746.4</v>
      </c>
      <c r="AB1329" s="25" t="s">
        <v>4022</v>
      </c>
    </row>
    <row r="1330" spans="1:28" x14ac:dyDescent="0.45">
      <c r="A1330" s="4" t="s">
        <v>1923</v>
      </c>
      <c r="B1330" s="4" t="s">
        <v>6425</v>
      </c>
      <c r="C1330" s="4" t="s">
        <v>1110</v>
      </c>
      <c r="D1330" s="4" t="s">
        <v>1509</v>
      </c>
      <c r="E1330" s="4" t="s">
        <v>96</v>
      </c>
      <c r="F1330" s="5">
        <v>109.2</v>
      </c>
      <c r="G1330" s="5">
        <v>120.6</v>
      </c>
      <c r="H1330" s="4" t="s">
        <v>1297</v>
      </c>
      <c r="I1330" s="10">
        <v>62</v>
      </c>
      <c r="J1330" s="34">
        <f t="shared" si="80"/>
        <v>0.53939999999999999</v>
      </c>
      <c r="K1330" s="34">
        <f t="shared" si="81"/>
        <v>0.81</v>
      </c>
      <c r="L1330" s="34">
        <f t="shared" si="82"/>
        <v>3.24</v>
      </c>
      <c r="M1330" s="11" t="s">
        <v>4524</v>
      </c>
      <c r="N1330" s="11" t="s">
        <v>3891</v>
      </c>
      <c r="O1330" s="11" t="s">
        <v>3892</v>
      </c>
      <c r="P1330" s="11" t="s">
        <v>3893</v>
      </c>
      <c r="Q1330" s="12">
        <v>109.3</v>
      </c>
      <c r="R1330" s="12">
        <v>120.7</v>
      </c>
      <c r="S1330" s="12">
        <v>5.7</v>
      </c>
      <c r="T1330" s="13">
        <v>1.04</v>
      </c>
      <c r="U1330" s="13">
        <f t="shared" si="83"/>
        <v>-2.2000000000000002</v>
      </c>
      <c r="V1330" s="14">
        <v>127.4</v>
      </c>
      <c r="W1330" s="14">
        <v>127.4</v>
      </c>
      <c r="X1330" s="11">
        <v>1019</v>
      </c>
      <c r="Y1330" s="15" t="s">
        <v>3713</v>
      </c>
      <c r="Z1330" s="16">
        <v>65.400000000000006</v>
      </c>
      <c r="AA1330" s="17">
        <v>105.5</v>
      </c>
      <c r="AB1330" s="18" t="s">
        <v>4119</v>
      </c>
    </row>
    <row r="1331" spans="1:28" x14ac:dyDescent="0.45">
      <c r="A1331" s="2" t="s">
        <v>1924</v>
      </c>
      <c r="B1331" s="2" t="s">
        <v>6426</v>
      </c>
      <c r="C1331" s="2" t="s">
        <v>1110</v>
      </c>
      <c r="D1331" s="2" t="s">
        <v>1509</v>
      </c>
      <c r="E1331" s="2" t="s">
        <v>96</v>
      </c>
      <c r="F1331" s="3">
        <v>109.4</v>
      </c>
      <c r="G1331" s="3">
        <v>115.6</v>
      </c>
      <c r="H1331" s="2" t="s">
        <v>1221</v>
      </c>
      <c r="I1331" s="19">
        <v>40</v>
      </c>
      <c r="J1331" s="34">
        <f t="shared" si="80"/>
        <v>0.34799999999999998</v>
      </c>
      <c r="K1331" s="34">
        <f t="shared" si="81"/>
        <v>0.52</v>
      </c>
      <c r="L1331" s="34">
        <f t="shared" si="82"/>
        <v>2.08</v>
      </c>
      <c r="M1331" s="20" t="s">
        <v>4192</v>
      </c>
      <c r="N1331" s="20" t="s">
        <v>3891</v>
      </c>
      <c r="O1331" s="20" t="s">
        <v>3892</v>
      </c>
      <c r="P1331" s="20" t="s">
        <v>3893</v>
      </c>
      <c r="Q1331" s="21">
        <v>109.4</v>
      </c>
      <c r="R1331" s="21">
        <v>115.6</v>
      </c>
      <c r="S1331" s="21">
        <v>3.1</v>
      </c>
      <c r="T1331" s="22">
        <v>0.57999999999999996</v>
      </c>
      <c r="U1331" s="13">
        <f t="shared" si="83"/>
        <v>-1.5</v>
      </c>
      <c r="V1331" s="23">
        <v>71.05</v>
      </c>
      <c r="W1331" s="23">
        <v>71.05</v>
      </c>
      <c r="X1331" s="20">
        <v>36</v>
      </c>
      <c r="Y1331" s="24" t="s">
        <v>3713</v>
      </c>
      <c r="Z1331" s="16">
        <v>31.05</v>
      </c>
      <c r="AA1331" s="17">
        <v>77.599999999999994</v>
      </c>
      <c r="AB1331" s="25" t="s">
        <v>3714</v>
      </c>
    </row>
    <row r="1332" spans="1:28" x14ac:dyDescent="0.45">
      <c r="A1332" s="4" t="s">
        <v>1925</v>
      </c>
      <c r="B1332" s="4" t="s">
        <v>6427</v>
      </c>
      <c r="C1332" s="4" t="s">
        <v>1110</v>
      </c>
      <c r="D1332" s="4" t="s">
        <v>1509</v>
      </c>
      <c r="E1332" s="4" t="s">
        <v>96</v>
      </c>
      <c r="F1332" s="5">
        <v>110.49</v>
      </c>
      <c r="G1332" s="5">
        <v>121.15</v>
      </c>
      <c r="H1332" s="4" t="s">
        <v>1201</v>
      </c>
      <c r="I1332" s="10">
        <v>45</v>
      </c>
      <c r="J1332" s="34">
        <f t="shared" si="80"/>
        <v>0.39149999999999996</v>
      </c>
      <c r="K1332" s="34">
        <f t="shared" si="81"/>
        <v>0.59</v>
      </c>
      <c r="L1332" s="34">
        <f t="shared" si="82"/>
        <v>2.36</v>
      </c>
      <c r="M1332" s="11" t="s">
        <v>4193</v>
      </c>
      <c r="N1332" s="11" t="s">
        <v>3898</v>
      </c>
      <c r="O1332" s="11" t="s">
        <v>3892</v>
      </c>
      <c r="P1332" s="11" t="s">
        <v>3899</v>
      </c>
      <c r="Q1332" s="12">
        <v>110.49</v>
      </c>
      <c r="R1332" s="12">
        <v>121.158</v>
      </c>
      <c r="S1332" s="12">
        <v>5.3339999999999996</v>
      </c>
      <c r="T1332" s="13">
        <v>1.2</v>
      </c>
      <c r="U1332" s="13">
        <f t="shared" si="83"/>
        <v>-1.1599999999999999</v>
      </c>
      <c r="V1332" s="14">
        <v>147</v>
      </c>
      <c r="W1332" s="14">
        <v>147</v>
      </c>
      <c r="X1332" s="11">
        <v>10</v>
      </c>
      <c r="Y1332" s="15" t="s">
        <v>3737</v>
      </c>
      <c r="Z1332" s="16">
        <v>102</v>
      </c>
      <c r="AA1332" s="17">
        <v>226.7</v>
      </c>
      <c r="AB1332" s="18" t="s">
        <v>4032</v>
      </c>
    </row>
    <row r="1333" spans="1:28" x14ac:dyDescent="0.45">
      <c r="A1333" s="2" t="s">
        <v>1926</v>
      </c>
      <c r="B1333" s="2" t="s">
        <v>6428</v>
      </c>
      <c r="C1333" s="2" t="s">
        <v>1110</v>
      </c>
      <c r="D1333" s="2" t="s">
        <v>1509</v>
      </c>
      <c r="E1333" s="2" t="s">
        <v>96</v>
      </c>
      <c r="F1333" s="3">
        <v>110.72</v>
      </c>
      <c r="G1333" s="3">
        <v>117.78</v>
      </c>
      <c r="H1333" s="2" t="s">
        <v>1156</v>
      </c>
      <c r="I1333" s="19">
        <v>29</v>
      </c>
      <c r="J1333" s="34">
        <f t="shared" si="80"/>
        <v>0.25229999999999997</v>
      </c>
      <c r="K1333" s="34">
        <f t="shared" si="81"/>
        <v>0.38</v>
      </c>
      <c r="L1333" s="34">
        <f t="shared" si="82"/>
        <v>1.52</v>
      </c>
      <c r="M1333" s="20" t="s">
        <v>4194</v>
      </c>
      <c r="N1333" s="20" t="s">
        <v>3891</v>
      </c>
      <c r="O1333" s="20" t="s">
        <v>3892</v>
      </c>
      <c r="P1333" s="20" t="s">
        <v>3893</v>
      </c>
      <c r="Q1333" s="21">
        <v>110.744</v>
      </c>
      <c r="R1333" s="21">
        <v>117.85599999999999</v>
      </c>
      <c r="S1333" s="21">
        <v>3.556</v>
      </c>
      <c r="T1333" s="22">
        <v>0.61</v>
      </c>
      <c r="U1333" s="13">
        <f t="shared" si="83"/>
        <v>-0.91</v>
      </c>
      <c r="V1333" s="23">
        <v>74.72</v>
      </c>
      <c r="W1333" s="23">
        <v>74.72</v>
      </c>
      <c r="X1333" s="20">
        <v>123</v>
      </c>
      <c r="Y1333" s="24" t="s">
        <v>3737</v>
      </c>
      <c r="Z1333" s="16">
        <v>45.72</v>
      </c>
      <c r="AA1333" s="17">
        <v>157.69999999999999</v>
      </c>
      <c r="AB1333" s="25" t="s">
        <v>3945</v>
      </c>
    </row>
    <row r="1334" spans="1:28" x14ac:dyDescent="0.45">
      <c r="A1334" s="4" t="s">
        <v>1927</v>
      </c>
      <c r="B1334" s="4" t="s">
        <v>6429</v>
      </c>
      <c r="C1334" s="4" t="s">
        <v>1110</v>
      </c>
      <c r="D1334" s="4" t="s">
        <v>1509</v>
      </c>
      <c r="E1334" s="4" t="s">
        <v>96</v>
      </c>
      <c r="F1334" s="5">
        <v>110</v>
      </c>
      <c r="G1334" s="5">
        <v>118</v>
      </c>
      <c r="H1334" s="4" t="s">
        <v>1216</v>
      </c>
      <c r="I1334" s="10">
        <v>42</v>
      </c>
      <c r="J1334" s="34">
        <f t="shared" si="80"/>
        <v>0.36539999999999995</v>
      </c>
      <c r="K1334" s="34">
        <f t="shared" si="81"/>
        <v>0.55000000000000004</v>
      </c>
      <c r="L1334" s="34">
        <f t="shared" si="82"/>
        <v>2.2000000000000002</v>
      </c>
      <c r="M1334" s="11" t="s">
        <v>4195</v>
      </c>
      <c r="N1334" s="11" t="s">
        <v>3891</v>
      </c>
      <c r="O1334" s="11" t="s">
        <v>3892</v>
      </c>
      <c r="P1334" s="11" t="s">
        <v>3893</v>
      </c>
      <c r="Q1334" s="12">
        <v>110</v>
      </c>
      <c r="R1334" s="12">
        <v>118</v>
      </c>
      <c r="S1334" s="12">
        <v>4</v>
      </c>
      <c r="T1334" s="13">
        <v>0.6</v>
      </c>
      <c r="U1334" s="13">
        <f t="shared" si="83"/>
        <v>-1.6</v>
      </c>
      <c r="V1334" s="14">
        <v>73.5</v>
      </c>
      <c r="W1334" s="14">
        <v>73.5</v>
      </c>
      <c r="X1334" s="11" t="s">
        <v>3722</v>
      </c>
      <c r="Y1334" s="15" t="s">
        <v>3713</v>
      </c>
      <c r="Z1334" s="16">
        <v>31.5</v>
      </c>
      <c r="AA1334" s="17">
        <v>75</v>
      </c>
      <c r="AB1334" s="18" t="s">
        <v>3714</v>
      </c>
    </row>
    <row r="1335" spans="1:28" x14ac:dyDescent="0.45">
      <c r="A1335" s="2" t="s">
        <v>1928</v>
      </c>
      <c r="B1335" s="2" t="s">
        <v>6430</v>
      </c>
      <c r="C1335" s="2" t="s">
        <v>1110</v>
      </c>
      <c r="D1335" s="2" t="s">
        <v>1509</v>
      </c>
      <c r="E1335" s="2" t="s">
        <v>96</v>
      </c>
      <c r="F1335" s="3">
        <v>110</v>
      </c>
      <c r="G1335" s="3">
        <v>120</v>
      </c>
      <c r="H1335" s="2" t="s">
        <v>1245</v>
      </c>
      <c r="I1335" s="19">
        <v>45</v>
      </c>
      <c r="J1335" s="34">
        <f t="shared" si="80"/>
        <v>0.39149999999999996</v>
      </c>
      <c r="K1335" s="34">
        <f t="shared" si="81"/>
        <v>0.59</v>
      </c>
      <c r="L1335" s="34">
        <f t="shared" si="82"/>
        <v>2.36</v>
      </c>
      <c r="M1335" s="20" t="s">
        <v>4196</v>
      </c>
      <c r="N1335" s="20" t="s">
        <v>3891</v>
      </c>
      <c r="O1335" s="20" t="s">
        <v>3892</v>
      </c>
      <c r="P1335" s="20" t="s">
        <v>3893</v>
      </c>
      <c r="Q1335" s="21">
        <v>110</v>
      </c>
      <c r="R1335" s="21">
        <v>120</v>
      </c>
      <c r="S1335" s="21">
        <v>5</v>
      </c>
      <c r="T1335" s="22">
        <v>0.98</v>
      </c>
      <c r="U1335" s="13">
        <f t="shared" si="83"/>
        <v>-1.38</v>
      </c>
      <c r="V1335" s="23">
        <v>120.05</v>
      </c>
      <c r="W1335" s="23">
        <v>120.05</v>
      </c>
      <c r="X1335" s="20">
        <v>41</v>
      </c>
      <c r="Y1335" s="24" t="s">
        <v>3713</v>
      </c>
      <c r="Z1335" s="16">
        <v>75.05</v>
      </c>
      <c r="AA1335" s="17">
        <v>166.8</v>
      </c>
      <c r="AB1335" s="25" t="s">
        <v>3714</v>
      </c>
    </row>
    <row r="1336" spans="1:28" x14ac:dyDescent="0.45">
      <c r="A1336" s="4" t="s">
        <v>1929</v>
      </c>
      <c r="B1336" s="4" t="s">
        <v>6431</v>
      </c>
      <c r="C1336" s="4" t="s">
        <v>1110</v>
      </c>
      <c r="D1336" s="4" t="s">
        <v>1509</v>
      </c>
      <c r="E1336" s="4" t="s">
        <v>96</v>
      </c>
      <c r="F1336" s="5">
        <v>113.67</v>
      </c>
      <c r="G1336" s="5">
        <v>124.33</v>
      </c>
      <c r="H1336" s="4" t="s">
        <v>1201</v>
      </c>
      <c r="I1336" s="10">
        <v>47</v>
      </c>
      <c r="J1336" s="34">
        <f t="shared" si="80"/>
        <v>0.40889999999999999</v>
      </c>
      <c r="K1336" s="34">
        <f t="shared" si="81"/>
        <v>0.61</v>
      </c>
      <c r="L1336" s="34">
        <f t="shared" si="82"/>
        <v>2.44</v>
      </c>
      <c r="M1336" s="11" t="s">
        <v>4197</v>
      </c>
      <c r="N1336" s="11" t="s">
        <v>3891</v>
      </c>
      <c r="O1336" s="11" t="s">
        <v>3892</v>
      </c>
      <c r="P1336" s="11" t="s">
        <v>3893</v>
      </c>
      <c r="Q1336" s="12">
        <v>113.538</v>
      </c>
      <c r="R1336" s="12">
        <v>124.206</v>
      </c>
      <c r="S1336" s="12">
        <v>5.3339999999999996</v>
      </c>
      <c r="T1336" s="13">
        <v>1</v>
      </c>
      <c r="U1336" s="13">
        <f t="shared" si="83"/>
        <v>-1.44</v>
      </c>
      <c r="V1336" s="14">
        <v>122.5</v>
      </c>
      <c r="W1336" s="14">
        <v>122.5</v>
      </c>
      <c r="X1336" s="11">
        <v>193</v>
      </c>
      <c r="Y1336" s="15" t="s">
        <v>3737</v>
      </c>
      <c r="Z1336" s="16">
        <v>75.5</v>
      </c>
      <c r="AA1336" s="17">
        <v>160.6</v>
      </c>
      <c r="AB1336" s="18" t="s">
        <v>4189</v>
      </c>
    </row>
    <row r="1337" spans="1:28" x14ac:dyDescent="0.45">
      <c r="A1337" s="2" t="s">
        <v>1930</v>
      </c>
      <c r="B1337" s="2" t="s">
        <v>6432</v>
      </c>
      <c r="C1337" s="2" t="s">
        <v>1110</v>
      </c>
      <c r="D1337" s="2" t="s">
        <v>1509</v>
      </c>
      <c r="E1337" s="2" t="s">
        <v>96</v>
      </c>
      <c r="F1337" s="3">
        <v>113.67</v>
      </c>
      <c r="G1337" s="3">
        <v>127.65</v>
      </c>
      <c r="H1337" s="2" t="s">
        <v>1368</v>
      </c>
      <c r="I1337" s="19">
        <v>74</v>
      </c>
      <c r="J1337" s="34">
        <f t="shared" si="80"/>
        <v>0.64379999999999993</v>
      </c>
      <c r="K1337" s="34">
        <f t="shared" si="81"/>
        <v>0.97</v>
      </c>
      <c r="L1337" s="34">
        <f t="shared" si="82"/>
        <v>3.88</v>
      </c>
      <c r="M1337" s="20" t="s">
        <v>4198</v>
      </c>
      <c r="N1337" s="20" t="s">
        <v>3891</v>
      </c>
      <c r="O1337" s="20" t="s">
        <v>3892</v>
      </c>
      <c r="P1337" s="20" t="s">
        <v>3893</v>
      </c>
      <c r="Q1337" s="21">
        <v>113.538</v>
      </c>
      <c r="R1337" s="21">
        <v>127.762</v>
      </c>
      <c r="S1337" s="21">
        <v>7.1120000000000001</v>
      </c>
      <c r="T1337" s="22">
        <v>1.55</v>
      </c>
      <c r="U1337" s="13">
        <f t="shared" si="83"/>
        <v>-2.33</v>
      </c>
      <c r="V1337" s="23">
        <v>189.88</v>
      </c>
      <c r="W1337" s="23">
        <v>189.88</v>
      </c>
      <c r="X1337" s="20">
        <v>321</v>
      </c>
      <c r="Y1337" s="24" t="s">
        <v>3737</v>
      </c>
      <c r="Z1337" s="16">
        <v>115.88</v>
      </c>
      <c r="AA1337" s="17">
        <v>156.6</v>
      </c>
      <c r="AB1337" s="25" t="s">
        <v>4199</v>
      </c>
    </row>
    <row r="1338" spans="1:28" x14ac:dyDescent="0.45">
      <c r="A1338" s="4" t="s">
        <v>1931</v>
      </c>
      <c r="B1338" s="4" t="s">
        <v>6433</v>
      </c>
      <c r="C1338" s="4" t="s">
        <v>1110</v>
      </c>
      <c r="D1338" s="4" t="s">
        <v>1509</v>
      </c>
      <c r="E1338" s="4" t="s">
        <v>96</v>
      </c>
      <c r="F1338" s="5">
        <v>113.89</v>
      </c>
      <c r="G1338" s="5">
        <v>120.95</v>
      </c>
      <c r="H1338" s="4" t="s">
        <v>1156</v>
      </c>
      <c r="I1338" s="10">
        <v>30</v>
      </c>
      <c r="J1338" s="34">
        <f t="shared" si="80"/>
        <v>0.26100000000000001</v>
      </c>
      <c r="K1338" s="34">
        <f t="shared" si="81"/>
        <v>0.39</v>
      </c>
      <c r="L1338" s="34">
        <f t="shared" si="82"/>
        <v>1.56</v>
      </c>
      <c r="M1338" s="11" t="s">
        <v>4200</v>
      </c>
      <c r="N1338" s="11" t="s">
        <v>3898</v>
      </c>
      <c r="O1338" s="11" t="s">
        <v>3892</v>
      </c>
      <c r="P1338" s="11" t="s">
        <v>3899</v>
      </c>
      <c r="Q1338" s="12">
        <v>113.792</v>
      </c>
      <c r="R1338" s="12">
        <v>120.904</v>
      </c>
      <c r="S1338" s="12">
        <v>3.556</v>
      </c>
      <c r="T1338" s="13">
        <v>0.8</v>
      </c>
      <c r="U1338" s="13">
        <f t="shared" si="83"/>
        <v>-0.76</v>
      </c>
      <c r="V1338" s="14">
        <v>98</v>
      </c>
      <c r="W1338" s="14">
        <v>98</v>
      </c>
      <c r="X1338" s="11">
        <v>25</v>
      </c>
      <c r="Y1338" s="15" t="s">
        <v>3737</v>
      </c>
      <c r="Z1338" s="16">
        <v>68</v>
      </c>
      <c r="AA1338" s="17">
        <v>226.7</v>
      </c>
      <c r="AB1338" s="18" t="s">
        <v>3963</v>
      </c>
    </row>
    <row r="1339" spans="1:28" x14ac:dyDescent="0.45">
      <c r="A1339" s="2" t="s">
        <v>1932</v>
      </c>
      <c r="B1339" s="2" t="s">
        <v>6434</v>
      </c>
      <c r="C1339" s="2" t="s">
        <v>1110</v>
      </c>
      <c r="D1339" s="2" t="s">
        <v>1509</v>
      </c>
      <c r="E1339" s="2" t="s">
        <v>96</v>
      </c>
      <c r="F1339" s="3">
        <v>113.97</v>
      </c>
      <c r="G1339" s="3">
        <v>119.21</v>
      </c>
      <c r="H1339" s="2" t="s">
        <v>1127</v>
      </c>
      <c r="I1339" s="19">
        <v>23</v>
      </c>
      <c r="J1339" s="34">
        <f t="shared" si="80"/>
        <v>0.2001</v>
      </c>
      <c r="K1339" s="34">
        <f t="shared" si="81"/>
        <v>0.3</v>
      </c>
      <c r="L1339" s="34">
        <f t="shared" si="82"/>
        <v>1.2</v>
      </c>
      <c r="M1339" s="20" t="s">
        <v>4201</v>
      </c>
      <c r="N1339" s="20" t="s">
        <v>3891</v>
      </c>
      <c r="O1339" s="20" t="s">
        <v>3892</v>
      </c>
      <c r="P1339" s="20" t="s">
        <v>3893</v>
      </c>
      <c r="Q1339" s="21">
        <v>114.04600000000001</v>
      </c>
      <c r="R1339" s="21">
        <v>119.126</v>
      </c>
      <c r="S1339" s="21">
        <v>2.54</v>
      </c>
      <c r="T1339" s="22">
        <v>0.5</v>
      </c>
      <c r="U1339" s="13">
        <f t="shared" si="83"/>
        <v>-0.7</v>
      </c>
      <c r="V1339" s="23">
        <v>61.25</v>
      </c>
      <c r="W1339" s="23">
        <v>61.25</v>
      </c>
      <c r="X1339" s="20">
        <v>313</v>
      </c>
      <c r="Y1339" s="24" t="s">
        <v>3737</v>
      </c>
      <c r="Z1339" s="16">
        <v>38.25</v>
      </c>
      <c r="AA1339" s="17">
        <v>166.3</v>
      </c>
      <c r="AB1339" s="25" t="s">
        <v>4022</v>
      </c>
    </row>
    <row r="1340" spans="1:28" x14ac:dyDescent="0.45">
      <c r="A1340" s="4" t="s">
        <v>1933</v>
      </c>
      <c r="B1340" s="4" t="s">
        <v>6435</v>
      </c>
      <c r="C1340" s="4" t="s">
        <v>1110</v>
      </c>
      <c r="D1340" s="4" t="s">
        <v>1509</v>
      </c>
      <c r="E1340" s="4" t="s">
        <v>96</v>
      </c>
      <c r="F1340" s="5">
        <v>114.02</v>
      </c>
      <c r="G1340" s="5">
        <v>117.58</v>
      </c>
      <c r="H1340" s="4" t="s">
        <v>1114</v>
      </c>
      <c r="I1340" s="10">
        <v>17</v>
      </c>
      <c r="J1340" s="34">
        <f t="shared" si="80"/>
        <v>0.14789999999999998</v>
      </c>
      <c r="K1340" s="34">
        <f t="shared" si="81"/>
        <v>0.22</v>
      </c>
      <c r="L1340" s="34">
        <f t="shared" si="82"/>
        <v>0.88</v>
      </c>
      <c r="M1340" s="11" t="s">
        <v>4202</v>
      </c>
      <c r="N1340" s="11" t="s">
        <v>3891</v>
      </c>
      <c r="O1340" s="11" t="s">
        <v>3892</v>
      </c>
      <c r="P1340" s="11" t="s">
        <v>3893</v>
      </c>
      <c r="Q1340" s="12">
        <v>114.04600000000001</v>
      </c>
      <c r="R1340" s="12">
        <v>117.602</v>
      </c>
      <c r="S1340" s="12">
        <v>1.778</v>
      </c>
      <c r="T1340" s="13">
        <v>0.49</v>
      </c>
      <c r="U1340" s="13">
        <f t="shared" si="83"/>
        <v>-0.39</v>
      </c>
      <c r="V1340" s="14">
        <v>60.02</v>
      </c>
      <c r="W1340" s="14">
        <v>60.02</v>
      </c>
      <c r="X1340" s="11">
        <v>170</v>
      </c>
      <c r="Y1340" s="15" t="s">
        <v>3737</v>
      </c>
      <c r="Z1340" s="16">
        <v>43.02</v>
      </c>
      <c r="AA1340" s="17">
        <v>253.1</v>
      </c>
      <c r="AB1340" s="18" t="s">
        <v>3967</v>
      </c>
    </row>
    <row r="1341" spans="1:28" x14ac:dyDescent="0.45">
      <c r="A1341" s="2" t="s">
        <v>1934</v>
      </c>
      <c r="B1341" s="2" t="s">
        <v>6436</v>
      </c>
      <c r="C1341" s="2" t="s">
        <v>1110</v>
      </c>
      <c r="D1341" s="2" t="s">
        <v>1509</v>
      </c>
      <c r="E1341" s="2" t="s">
        <v>96</v>
      </c>
      <c r="F1341" s="3">
        <v>114.2</v>
      </c>
      <c r="G1341" s="3">
        <v>125.6</v>
      </c>
      <c r="H1341" s="2" t="s">
        <v>1297</v>
      </c>
      <c r="I1341" s="19">
        <v>66</v>
      </c>
      <c r="J1341" s="34">
        <f t="shared" si="80"/>
        <v>0.57419999999999993</v>
      </c>
      <c r="K1341" s="34">
        <f t="shared" si="81"/>
        <v>0.86</v>
      </c>
      <c r="L1341" s="34">
        <f t="shared" si="82"/>
        <v>3.44</v>
      </c>
      <c r="M1341" s="20" t="s">
        <v>4525</v>
      </c>
      <c r="N1341" s="20" t="s">
        <v>3891</v>
      </c>
      <c r="O1341" s="20" t="s">
        <v>3892</v>
      </c>
      <c r="P1341" s="20" t="s">
        <v>3893</v>
      </c>
      <c r="Q1341" s="21">
        <v>114.3</v>
      </c>
      <c r="R1341" s="21">
        <v>125.7</v>
      </c>
      <c r="S1341" s="21">
        <v>5.7</v>
      </c>
      <c r="T1341" s="22">
        <v>1.06</v>
      </c>
      <c r="U1341" s="13">
        <f t="shared" si="83"/>
        <v>-2.38</v>
      </c>
      <c r="V1341" s="23">
        <v>129.85</v>
      </c>
      <c r="W1341" s="23">
        <v>129.85</v>
      </c>
      <c r="X1341" s="20">
        <v>631</v>
      </c>
      <c r="Y1341" s="24" t="s">
        <v>3713</v>
      </c>
      <c r="Z1341" s="16">
        <v>63.849999999999987</v>
      </c>
      <c r="AA1341" s="17">
        <v>96.7</v>
      </c>
      <c r="AB1341" s="25" t="s">
        <v>4119</v>
      </c>
    </row>
    <row r="1342" spans="1:28" x14ac:dyDescent="0.45">
      <c r="A1342" s="4" t="s">
        <v>1935</v>
      </c>
      <c r="B1342" s="4" t="s">
        <v>6437</v>
      </c>
      <c r="C1342" s="4" t="s">
        <v>1110</v>
      </c>
      <c r="D1342" s="4" t="s">
        <v>1509</v>
      </c>
      <c r="E1342" s="4" t="s">
        <v>96</v>
      </c>
      <c r="F1342" s="5">
        <v>114.4</v>
      </c>
      <c r="G1342" s="5">
        <v>120.6</v>
      </c>
      <c r="H1342" s="4" t="s">
        <v>1221</v>
      </c>
      <c r="I1342" s="10">
        <v>42</v>
      </c>
      <c r="J1342" s="34">
        <f t="shared" si="80"/>
        <v>0.36539999999999995</v>
      </c>
      <c r="K1342" s="34">
        <f t="shared" si="81"/>
        <v>0.55000000000000004</v>
      </c>
      <c r="L1342" s="34">
        <f t="shared" si="82"/>
        <v>2.2000000000000002</v>
      </c>
      <c r="M1342" s="11" t="s">
        <v>4203</v>
      </c>
      <c r="N1342" s="11" t="s">
        <v>3891</v>
      </c>
      <c r="O1342" s="11" t="s">
        <v>3892</v>
      </c>
      <c r="P1342" s="11" t="s">
        <v>3893</v>
      </c>
      <c r="Q1342" s="12">
        <v>114.4</v>
      </c>
      <c r="R1342" s="12">
        <v>120.6</v>
      </c>
      <c r="S1342" s="12">
        <v>3.1</v>
      </c>
      <c r="T1342" s="13">
        <v>2</v>
      </c>
      <c r="U1342" s="13">
        <f t="shared" si="83"/>
        <v>-0.20000000000000018</v>
      </c>
      <c r="V1342" s="14">
        <v>245</v>
      </c>
      <c r="W1342" s="14">
        <v>245</v>
      </c>
      <c r="X1342" s="11">
        <v>29</v>
      </c>
      <c r="Y1342" s="15" t="s">
        <v>3713</v>
      </c>
      <c r="Z1342" s="16">
        <v>203</v>
      </c>
      <c r="AA1342" s="17">
        <v>483.3</v>
      </c>
      <c r="AB1342" s="18" t="s">
        <v>3714</v>
      </c>
    </row>
    <row r="1343" spans="1:28" x14ac:dyDescent="0.45">
      <c r="A1343" s="2" t="s">
        <v>1936</v>
      </c>
      <c r="B1343" s="2" t="s">
        <v>6438</v>
      </c>
      <c r="C1343" s="2" t="s">
        <v>1110</v>
      </c>
      <c r="D1343" s="2" t="s">
        <v>1509</v>
      </c>
      <c r="E1343" s="2" t="s">
        <v>96</v>
      </c>
      <c r="F1343" s="3">
        <v>115</v>
      </c>
      <c r="G1343" s="3">
        <v>123</v>
      </c>
      <c r="H1343" s="2" t="s">
        <v>1216</v>
      </c>
      <c r="I1343" s="19">
        <v>37</v>
      </c>
      <c r="J1343" s="34">
        <f t="shared" si="80"/>
        <v>0.32189999999999996</v>
      </c>
      <c r="K1343" s="34">
        <f t="shared" si="81"/>
        <v>0.48</v>
      </c>
      <c r="L1343" s="34">
        <f t="shared" si="82"/>
        <v>1.92</v>
      </c>
      <c r="M1343" s="20" t="s">
        <v>4526</v>
      </c>
      <c r="N1343" s="20" t="s">
        <v>3891</v>
      </c>
      <c r="O1343" s="20" t="s">
        <v>3892</v>
      </c>
      <c r="P1343" s="20" t="s">
        <v>3893</v>
      </c>
      <c r="Q1343" s="21">
        <v>115</v>
      </c>
      <c r="R1343" s="21">
        <v>123</v>
      </c>
      <c r="S1343" s="21">
        <v>4</v>
      </c>
      <c r="T1343" s="22">
        <v>0.95</v>
      </c>
      <c r="U1343" s="13">
        <f t="shared" si="83"/>
        <v>-0.97</v>
      </c>
      <c r="V1343" s="23">
        <v>116.38</v>
      </c>
      <c r="W1343" s="23">
        <v>116.38</v>
      </c>
      <c r="X1343" s="20">
        <v>32</v>
      </c>
      <c r="Y1343" s="24" t="s">
        <v>3713</v>
      </c>
      <c r="Z1343" s="16">
        <v>79.38</v>
      </c>
      <c r="AA1343" s="17">
        <v>214.5</v>
      </c>
      <c r="AB1343" s="25" t="s">
        <v>3714</v>
      </c>
    </row>
    <row r="1344" spans="1:28" x14ac:dyDescent="0.45">
      <c r="A1344" s="4" t="s">
        <v>1937</v>
      </c>
      <c r="B1344" s="4" t="s">
        <v>6439</v>
      </c>
      <c r="C1344" s="4" t="s">
        <v>1110</v>
      </c>
      <c r="D1344" s="4" t="s">
        <v>1509</v>
      </c>
      <c r="E1344" s="4" t="s">
        <v>96</v>
      </c>
      <c r="F1344" s="5">
        <v>115</v>
      </c>
      <c r="G1344" s="5">
        <v>125</v>
      </c>
      <c r="H1344" s="4" t="s">
        <v>1245</v>
      </c>
      <c r="I1344" s="10">
        <v>47</v>
      </c>
      <c r="J1344" s="34">
        <f t="shared" si="80"/>
        <v>0.40889999999999999</v>
      </c>
      <c r="K1344" s="34">
        <f t="shared" si="81"/>
        <v>0.61</v>
      </c>
      <c r="L1344" s="34">
        <f t="shared" si="82"/>
        <v>2.44</v>
      </c>
      <c r="M1344" s="11" t="s">
        <v>4204</v>
      </c>
      <c r="N1344" s="11" t="s">
        <v>3891</v>
      </c>
      <c r="O1344" s="11" t="s">
        <v>3892</v>
      </c>
      <c r="P1344" s="11" t="s">
        <v>3893</v>
      </c>
      <c r="Q1344" s="12">
        <v>115</v>
      </c>
      <c r="R1344" s="12">
        <v>125</v>
      </c>
      <c r="S1344" s="12">
        <v>5</v>
      </c>
      <c r="T1344" s="13">
        <v>0.85</v>
      </c>
      <c r="U1344" s="13">
        <f t="shared" si="83"/>
        <v>-1.5899999999999999</v>
      </c>
      <c r="V1344" s="14">
        <v>104.12</v>
      </c>
      <c r="W1344" s="14">
        <v>104.12</v>
      </c>
      <c r="X1344" s="11">
        <v>54</v>
      </c>
      <c r="Y1344" s="15" t="s">
        <v>3713</v>
      </c>
      <c r="Z1344" s="16">
        <v>57.12</v>
      </c>
      <c r="AA1344" s="17">
        <v>121.5</v>
      </c>
      <c r="AB1344" s="18" t="s">
        <v>3714</v>
      </c>
    </row>
    <row r="1345" spans="1:28" x14ac:dyDescent="0.45">
      <c r="A1345" s="2" t="s">
        <v>1938</v>
      </c>
      <c r="B1345" s="2" t="s">
        <v>6440</v>
      </c>
      <c r="C1345" s="2" t="s">
        <v>1110</v>
      </c>
      <c r="D1345" s="2" t="s">
        <v>1509</v>
      </c>
      <c r="E1345" s="2" t="s">
        <v>96</v>
      </c>
      <c r="F1345" s="3">
        <v>116.84</v>
      </c>
      <c r="G1345" s="3">
        <v>127.5</v>
      </c>
      <c r="H1345" s="2" t="s">
        <v>1201</v>
      </c>
      <c r="I1345" s="19">
        <v>49</v>
      </c>
      <c r="J1345" s="34">
        <f t="shared" si="80"/>
        <v>0.42629999999999996</v>
      </c>
      <c r="K1345" s="34">
        <f t="shared" si="81"/>
        <v>0.64</v>
      </c>
      <c r="L1345" s="34">
        <f t="shared" si="82"/>
        <v>2.56</v>
      </c>
      <c r="M1345" s="20" t="s">
        <v>4205</v>
      </c>
      <c r="N1345" s="20" t="s">
        <v>3891</v>
      </c>
      <c r="O1345" s="20" t="s">
        <v>3892</v>
      </c>
      <c r="P1345" s="20" t="s">
        <v>3893</v>
      </c>
      <c r="Q1345" s="21">
        <v>116.84</v>
      </c>
      <c r="R1345" s="21">
        <v>127.508</v>
      </c>
      <c r="S1345" s="21">
        <v>5.3339999999999996</v>
      </c>
      <c r="T1345" s="22">
        <v>1.01</v>
      </c>
      <c r="U1345" s="13">
        <f t="shared" si="83"/>
        <v>-1.55</v>
      </c>
      <c r="V1345" s="23">
        <v>123.72</v>
      </c>
      <c r="W1345" s="23">
        <v>123.72</v>
      </c>
      <c r="X1345" s="20">
        <v>311</v>
      </c>
      <c r="Y1345" s="24" t="s">
        <v>3737</v>
      </c>
      <c r="Z1345" s="16">
        <v>74.72</v>
      </c>
      <c r="AA1345" s="17">
        <v>152.5</v>
      </c>
      <c r="AB1345" s="25" t="s">
        <v>4032</v>
      </c>
    </row>
    <row r="1346" spans="1:28" x14ac:dyDescent="0.45">
      <c r="A1346" s="4" t="s">
        <v>1939</v>
      </c>
      <c r="B1346" s="4" t="s">
        <v>6441</v>
      </c>
      <c r="C1346" s="4" t="s">
        <v>1110</v>
      </c>
      <c r="D1346" s="4" t="s">
        <v>1509</v>
      </c>
      <c r="E1346" s="4" t="s">
        <v>96</v>
      </c>
      <c r="F1346" s="5">
        <v>116.84</v>
      </c>
      <c r="G1346" s="5">
        <v>130.82</v>
      </c>
      <c r="H1346" s="4" t="s">
        <v>1368</v>
      </c>
      <c r="I1346" s="10">
        <v>79</v>
      </c>
      <c r="J1346" s="34">
        <f t="shared" si="80"/>
        <v>0.68729999999999991</v>
      </c>
      <c r="K1346" s="34">
        <f t="shared" si="81"/>
        <v>1.03</v>
      </c>
      <c r="L1346" s="34">
        <f t="shared" si="82"/>
        <v>4.12</v>
      </c>
      <c r="M1346" s="11" t="s">
        <v>4206</v>
      </c>
      <c r="N1346" s="11" t="s">
        <v>3891</v>
      </c>
      <c r="O1346" s="11" t="s">
        <v>3892</v>
      </c>
      <c r="P1346" s="11" t="s">
        <v>3893</v>
      </c>
      <c r="Q1346" s="12">
        <v>116.84</v>
      </c>
      <c r="R1346" s="12">
        <v>130.81</v>
      </c>
      <c r="S1346" s="12">
        <v>7.1120000000000001</v>
      </c>
      <c r="T1346" s="13">
        <v>1.62</v>
      </c>
      <c r="U1346" s="13">
        <f t="shared" si="83"/>
        <v>-2.5</v>
      </c>
      <c r="V1346" s="14">
        <v>198.45</v>
      </c>
      <c r="W1346" s="14">
        <v>198.45</v>
      </c>
      <c r="X1346" s="11">
        <v>164</v>
      </c>
      <c r="Y1346" s="15" t="s">
        <v>3737</v>
      </c>
      <c r="Z1346" s="16">
        <v>119.45</v>
      </c>
      <c r="AA1346" s="17">
        <v>151.19999999999999</v>
      </c>
      <c r="AB1346" s="18" t="s">
        <v>4032</v>
      </c>
    </row>
    <row r="1347" spans="1:28" x14ac:dyDescent="0.45">
      <c r="A1347" s="2" t="s">
        <v>1940</v>
      </c>
      <c r="B1347" s="2" t="s">
        <v>6442</v>
      </c>
      <c r="C1347" s="2" t="s">
        <v>1110</v>
      </c>
      <c r="D1347" s="2" t="s">
        <v>1509</v>
      </c>
      <c r="E1347" s="2" t="s">
        <v>96</v>
      </c>
      <c r="F1347" s="3">
        <v>117.07</v>
      </c>
      <c r="G1347" s="3">
        <v>124.13</v>
      </c>
      <c r="H1347" s="2" t="s">
        <v>1156</v>
      </c>
      <c r="I1347" s="19">
        <v>30</v>
      </c>
      <c r="J1347" s="34">
        <f t="shared" si="80"/>
        <v>0.26100000000000001</v>
      </c>
      <c r="K1347" s="34">
        <f t="shared" si="81"/>
        <v>0.39</v>
      </c>
      <c r="L1347" s="34">
        <f t="shared" si="82"/>
        <v>1.56</v>
      </c>
      <c r="M1347" s="20" t="s">
        <v>4207</v>
      </c>
      <c r="N1347" s="20" t="s">
        <v>3891</v>
      </c>
      <c r="O1347" s="20" t="s">
        <v>3892</v>
      </c>
      <c r="P1347" s="20" t="s">
        <v>3893</v>
      </c>
      <c r="Q1347" s="21">
        <v>117.09399999999999</v>
      </c>
      <c r="R1347" s="21">
        <v>124.206</v>
      </c>
      <c r="S1347" s="21">
        <v>3.556</v>
      </c>
      <c r="T1347" s="22">
        <v>0.66</v>
      </c>
      <c r="U1347" s="13">
        <f t="shared" si="83"/>
        <v>-0.9</v>
      </c>
      <c r="V1347" s="23">
        <v>80.849999999999994</v>
      </c>
      <c r="W1347" s="23">
        <v>80.849999999999994</v>
      </c>
      <c r="X1347" s="20">
        <v>447</v>
      </c>
      <c r="Y1347" s="24" t="s">
        <v>3737</v>
      </c>
      <c r="Z1347" s="16">
        <v>50.849999999999987</v>
      </c>
      <c r="AA1347" s="17">
        <v>169.5</v>
      </c>
      <c r="AB1347" s="25" t="s">
        <v>3945</v>
      </c>
    </row>
    <row r="1348" spans="1:28" x14ac:dyDescent="0.45">
      <c r="A1348" s="4" t="s">
        <v>1941</v>
      </c>
      <c r="B1348" s="4" t="s">
        <v>6443</v>
      </c>
      <c r="C1348" s="4" t="s">
        <v>1110</v>
      </c>
      <c r="D1348" s="4" t="s">
        <v>1509</v>
      </c>
      <c r="E1348" s="4" t="s">
        <v>96</v>
      </c>
      <c r="F1348" s="5">
        <v>117</v>
      </c>
      <c r="G1348" s="5">
        <v>125</v>
      </c>
      <c r="H1348" s="4" t="s">
        <v>1216</v>
      </c>
      <c r="I1348" s="10">
        <v>42</v>
      </c>
      <c r="J1348" s="34">
        <f t="shared" si="80"/>
        <v>0.36539999999999995</v>
      </c>
      <c r="K1348" s="34">
        <f t="shared" si="81"/>
        <v>0.55000000000000004</v>
      </c>
      <c r="L1348" s="34">
        <f t="shared" si="82"/>
        <v>2.2000000000000002</v>
      </c>
      <c r="M1348" s="11" t="s">
        <v>4208</v>
      </c>
      <c r="N1348" s="11" t="s">
        <v>3891</v>
      </c>
      <c r="O1348" s="11" t="s">
        <v>3892</v>
      </c>
      <c r="P1348" s="11" t="s">
        <v>3893</v>
      </c>
      <c r="Q1348" s="12">
        <v>117</v>
      </c>
      <c r="R1348" s="12">
        <v>125</v>
      </c>
      <c r="S1348" s="12">
        <v>4</v>
      </c>
      <c r="T1348" s="13">
        <v>1</v>
      </c>
      <c r="U1348" s="13">
        <f t="shared" si="83"/>
        <v>-1.2000000000000002</v>
      </c>
      <c r="V1348" s="14">
        <v>122.5</v>
      </c>
      <c r="W1348" s="14">
        <v>122.5</v>
      </c>
      <c r="X1348" s="11">
        <v>130</v>
      </c>
      <c r="Y1348" s="15" t="s">
        <v>3713</v>
      </c>
      <c r="Z1348" s="16">
        <v>80.5</v>
      </c>
      <c r="AA1348" s="17">
        <v>191.7</v>
      </c>
      <c r="AB1348" s="18" t="s">
        <v>3714</v>
      </c>
    </row>
    <row r="1349" spans="1:28" x14ac:dyDescent="0.45">
      <c r="A1349" s="2" t="s">
        <v>1942</v>
      </c>
      <c r="B1349" s="2" t="s">
        <v>6444</v>
      </c>
      <c r="C1349" s="2" t="s">
        <v>1110</v>
      </c>
      <c r="D1349" s="2" t="s">
        <v>1509</v>
      </c>
      <c r="E1349" s="2" t="s">
        <v>96</v>
      </c>
      <c r="F1349" s="3">
        <v>119.2</v>
      </c>
      <c r="G1349" s="3">
        <v>130.6</v>
      </c>
      <c r="H1349" s="2" t="s">
        <v>1297</v>
      </c>
      <c r="I1349" s="19">
        <v>69</v>
      </c>
      <c r="J1349" s="34">
        <f t="shared" ref="J1349:J1412" si="84">I1349*0.0087</f>
        <v>0.60029999999999994</v>
      </c>
      <c r="K1349" s="34">
        <f t="shared" ref="K1349:K1412" si="85">ROUND(J1349*1.5,2)</f>
        <v>0.9</v>
      </c>
      <c r="L1349" s="34">
        <f t="shared" ref="L1349:L1412" si="86">K1349*4</f>
        <v>3.6</v>
      </c>
      <c r="M1349" s="20" t="s">
        <v>4527</v>
      </c>
      <c r="N1349" s="20" t="s">
        <v>3891</v>
      </c>
      <c r="O1349" s="20" t="s">
        <v>3892</v>
      </c>
      <c r="P1349" s="20" t="s">
        <v>3893</v>
      </c>
      <c r="Q1349" s="21">
        <v>119.3</v>
      </c>
      <c r="R1349" s="21">
        <v>130.69999999999999</v>
      </c>
      <c r="S1349" s="21">
        <v>5.7</v>
      </c>
      <c r="T1349" s="22">
        <v>1.1499999999999999</v>
      </c>
      <c r="U1349" s="13">
        <f t="shared" ref="U1349:U1412" si="87">T1349-L1349</f>
        <v>-2.4500000000000002</v>
      </c>
      <c r="V1349" s="23">
        <v>140.88</v>
      </c>
      <c r="W1349" s="23">
        <v>140.88</v>
      </c>
      <c r="X1349" s="20">
        <v>130</v>
      </c>
      <c r="Y1349" s="24" t="s">
        <v>3713</v>
      </c>
      <c r="Z1349" s="16">
        <v>71.88</v>
      </c>
      <c r="AA1349" s="17">
        <v>104.2</v>
      </c>
      <c r="AB1349" s="25" t="s">
        <v>4119</v>
      </c>
    </row>
    <row r="1350" spans="1:28" x14ac:dyDescent="0.45">
      <c r="A1350" s="4" t="s">
        <v>1943</v>
      </c>
      <c r="B1350" s="4" t="s">
        <v>6445</v>
      </c>
      <c r="C1350" s="4" t="s">
        <v>1110</v>
      </c>
      <c r="D1350" s="4" t="s">
        <v>1509</v>
      </c>
      <c r="E1350" s="4" t="s">
        <v>96</v>
      </c>
      <c r="F1350" s="5">
        <v>119.4</v>
      </c>
      <c r="G1350" s="5">
        <v>125.6</v>
      </c>
      <c r="H1350" s="4" t="s">
        <v>1221</v>
      </c>
      <c r="I1350" s="10">
        <v>45</v>
      </c>
      <c r="J1350" s="34">
        <f t="shared" si="84"/>
        <v>0.39149999999999996</v>
      </c>
      <c r="K1350" s="34">
        <f t="shared" si="85"/>
        <v>0.59</v>
      </c>
      <c r="L1350" s="34">
        <f t="shared" si="86"/>
        <v>2.36</v>
      </c>
      <c r="M1350" s="11" t="s">
        <v>4209</v>
      </c>
      <c r="N1350" s="11" t="s">
        <v>3891</v>
      </c>
      <c r="O1350" s="11" t="s">
        <v>3892</v>
      </c>
      <c r="P1350" s="11" t="s">
        <v>3893</v>
      </c>
      <c r="Q1350" s="12">
        <v>119.4</v>
      </c>
      <c r="R1350" s="12">
        <v>125.6</v>
      </c>
      <c r="S1350" s="12">
        <v>3.1</v>
      </c>
      <c r="T1350" s="13">
        <v>0.93</v>
      </c>
      <c r="U1350" s="13">
        <f t="shared" si="87"/>
        <v>-1.4299999999999997</v>
      </c>
      <c r="V1350" s="14">
        <v>113.93</v>
      </c>
      <c r="W1350" s="14">
        <v>113.93</v>
      </c>
      <c r="X1350" s="11">
        <v>57</v>
      </c>
      <c r="Y1350" s="15" t="s">
        <v>3713</v>
      </c>
      <c r="Z1350" s="16">
        <v>68.930000000000007</v>
      </c>
      <c r="AA1350" s="17">
        <v>153.19999999999999</v>
      </c>
      <c r="AB1350" s="18" t="s">
        <v>3714</v>
      </c>
    </row>
    <row r="1351" spans="1:28" x14ac:dyDescent="0.45">
      <c r="A1351" s="2" t="s">
        <v>1944</v>
      </c>
      <c r="B1351" s="2" t="s">
        <v>6446</v>
      </c>
      <c r="C1351" s="2" t="s">
        <v>1110</v>
      </c>
      <c r="D1351" s="2" t="s">
        <v>1509</v>
      </c>
      <c r="E1351" s="2" t="s">
        <v>96</v>
      </c>
      <c r="F1351" s="3">
        <v>120.02</v>
      </c>
      <c r="G1351" s="3">
        <v>130.68</v>
      </c>
      <c r="H1351" s="2" t="s">
        <v>1201</v>
      </c>
      <c r="I1351" s="19">
        <v>50</v>
      </c>
      <c r="J1351" s="34">
        <f t="shared" si="84"/>
        <v>0.43499999999999994</v>
      </c>
      <c r="K1351" s="34">
        <f t="shared" si="85"/>
        <v>0.65</v>
      </c>
      <c r="L1351" s="34">
        <f t="shared" si="86"/>
        <v>2.6</v>
      </c>
      <c r="M1351" s="20" t="s">
        <v>4210</v>
      </c>
      <c r="N1351" s="20" t="s">
        <v>3891</v>
      </c>
      <c r="O1351" s="20" t="s">
        <v>3892</v>
      </c>
      <c r="P1351" s="20" t="s">
        <v>3893</v>
      </c>
      <c r="Q1351" s="21">
        <v>119.88800000000001</v>
      </c>
      <c r="R1351" s="21">
        <v>130.55600000000001</v>
      </c>
      <c r="S1351" s="21">
        <v>5.3339999999999996</v>
      </c>
      <c r="T1351" s="22">
        <v>0.99</v>
      </c>
      <c r="U1351" s="13">
        <f t="shared" si="87"/>
        <v>-1.61</v>
      </c>
      <c r="V1351" s="23">
        <v>121.28</v>
      </c>
      <c r="W1351" s="23">
        <v>121.28</v>
      </c>
      <c r="X1351" s="20">
        <v>45</v>
      </c>
      <c r="Y1351" s="24" t="s">
        <v>3737</v>
      </c>
      <c r="Z1351" s="16">
        <v>71.28</v>
      </c>
      <c r="AA1351" s="17">
        <v>142.6</v>
      </c>
      <c r="AB1351" s="25" t="s">
        <v>4189</v>
      </c>
    </row>
    <row r="1352" spans="1:28" x14ac:dyDescent="0.45">
      <c r="A1352" s="4" t="s">
        <v>1945</v>
      </c>
      <c r="B1352" s="4" t="s">
        <v>6447</v>
      </c>
      <c r="C1352" s="4" t="s">
        <v>1110</v>
      </c>
      <c r="D1352" s="4" t="s">
        <v>1509</v>
      </c>
      <c r="E1352" s="4" t="s">
        <v>96</v>
      </c>
      <c r="F1352" s="5">
        <v>120.02</v>
      </c>
      <c r="G1352" s="5">
        <v>134</v>
      </c>
      <c r="H1352" s="4" t="s">
        <v>1368</v>
      </c>
      <c r="I1352" s="10">
        <v>81</v>
      </c>
      <c r="J1352" s="34">
        <f t="shared" si="84"/>
        <v>0.70469999999999999</v>
      </c>
      <c r="K1352" s="34">
        <f t="shared" si="85"/>
        <v>1.06</v>
      </c>
      <c r="L1352" s="34">
        <f t="shared" si="86"/>
        <v>4.24</v>
      </c>
      <c r="M1352" s="11" t="s">
        <v>4211</v>
      </c>
      <c r="N1352" s="11" t="s">
        <v>3891</v>
      </c>
      <c r="O1352" s="11" t="s">
        <v>3892</v>
      </c>
      <c r="P1352" s="11" t="s">
        <v>3893</v>
      </c>
      <c r="Q1352" s="12">
        <v>119.88800000000001</v>
      </c>
      <c r="R1352" s="12">
        <v>134.11199999999999</v>
      </c>
      <c r="S1352" s="12">
        <v>7.1120000000000001</v>
      </c>
      <c r="T1352" s="13">
        <v>1.7</v>
      </c>
      <c r="U1352" s="13">
        <f t="shared" si="87"/>
        <v>-2.54</v>
      </c>
      <c r="V1352" s="14">
        <v>208.25</v>
      </c>
      <c r="W1352" s="14">
        <v>208.25</v>
      </c>
      <c r="X1352" s="11">
        <v>165</v>
      </c>
      <c r="Y1352" s="15" t="s">
        <v>3737</v>
      </c>
      <c r="Z1352" s="16">
        <v>127.25</v>
      </c>
      <c r="AA1352" s="17">
        <v>157.1</v>
      </c>
      <c r="AB1352" s="18" t="s">
        <v>4199</v>
      </c>
    </row>
    <row r="1353" spans="1:28" x14ac:dyDescent="0.45">
      <c r="A1353" s="2" t="s">
        <v>1946</v>
      </c>
      <c r="B1353" s="2" t="s">
        <v>6448</v>
      </c>
      <c r="C1353" s="2" t="s">
        <v>1110</v>
      </c>
      <c r="D1353" s="2" t="s">
        <v>1509</v>
      </c>
      <c r="E1353" s="2" t="s">
        <v>96</v>
      </c>
      <c r="F1353" s="3">
        <v>120.24</v>
      </c>
      <c r="G1353" s="3">
        <v>127.3</v>
      </c>
      <c r="H1353" s="2" t="s">
        <v>1156</v>
      </c>
      <c r="I1353" s="19">
        <v>32</v>
      </c>
      <c r="J1353" s="34">
        <f t="shared" si="84"/>
        <v>0.27839999999999998</v>
      </c>
      <c r="K1353" s="34">
        <f t="shared" si="85"/>
        <v>0.42</v>
      </c>
      <c r="L1353" s="34">
        <f t="shared" si="86"/>
        <v>1.68</v>
      </c>
      <c r="M1353" s="20" t="s">
        <v>4212</v>
      </c>
      <c r="N1353" s="20" t="s">
        <v>3891</v>
      </c>
      <c r="O1353" s="20" t="s">
        <v>3892</v>
      </c>
      <c r="P1353" s="20" t="s">
        <v>3893</v>
      </c>
      <c r="Q1353" s="21">
        <v>120.142</v>
      </c>
      <c r="R1353" s="21">
        <v>127.254</v>
      </c>
      <c r="S1353" s="21">
        <v>3.556</v>
      </c>
      <c r="T1353" s="22">
        <v>0.7</v>
      </c>
      <c r="U1353" s="13">
        <f t="shared" si="87"/>
        <v>-0.98</v>
      </c>
      <c r="V1353" s="23">
        <v>85.75</v>
      </c>
      <c r="W1353" s="23">
        <v>85.75</v>
      </c>
      <c r="X1353" s="20">
        <v>697</v>
      </c>
      <c r="Y1353" s="24" t="s">
        <v>3737</v>
      </c>
      <c r="Z1353" s="16">
        <v>53.75</v>
      </c>
      <c r="AA1353" s="17">
        <v>168</v>
      </c>
      <c r="AB1353" s="25" t="s">
        <v>3963</v>
      </c>
    </row>
    <row r="1354" spans="1:28" x14ac:dyDescent="0.45">
      <c r="A1354" s="4" t="s">
        <v>1947</v>
      </c>
      <c r="B1354" s="4" t="s">
        <v>6449</v>
      </c>
      <c r="C1354" s="4" t="s">
        <v>1110</v>
      </c>
      <c r="D1354" s="4" t="s">
        <v>1509</v>
      </c>
      <c r="E1354" s="4" t="s">
        <v>96</v>
      </c>
      <c r="F1354" s="5">
        <v>120.32</v>
      </c>
      <c r="G1354" s="5">
        <v>125.56</v>
      </c>
      <c r="H1354" s="4" t="s">
        <v>1127</v>
      </c>
      <c r="I1354" s="10">
        <v>25</v>
      </c>
      <c r="J1354" s="34">
        <f t="shared" si="84"/>
        <v>0.21749999999999997</v>
      </c>
      <c r="K1354" s="34">
        <f t="shared" si="85"/>
        <v>0.33</v>
      </c>
      <c r="L1354" s="34">
        <f t="shared" si="86"/>
        <v>1.32</v>
      </c>
      <c r="M1354" s="11" t="s">
        <v>4213</v>
      </c>
      <c r="N1354" s="11" t="s">
        <v>3891</v>
      </c>
      <c r="O1354" s="11" t="s">
        <v>3892</v>
      </c>
      <c r="P1354" s="11" t="s">
        <v>3893</v>
      </c>
      <c r="Q1354" s="12">
        <v>120.396</v>
      </c>
      <c r="R1354" s="12">
        <v>125.476</v>
      </c>
      <c r="S1354" s="12">
        <v>2.54</v>
      </c>
      <c r="T1354" s="13">
        <v>0.66</v>
      </c>
      <c r="U1354" s="13">
        <f t="shared" si="87"/>
        <v>-0.66</v>
      </c>
      <c r="V1354" s="14">
        <v>80.849999999999994</v>
      </c>
      <c r="W1354" s="14">
        <v>80.849999999999994</v>
      </c>
      <c r="X1354" s="11">
        <v>438</v>
      </c>
      <c r="Y1354" s="15" t="s">
        <v>3737</v>
      </c>
      <c r="Z1354" s="16">
        <v>55.849999999999987</v>
      </c>
      <c r="AA1354" s="17">
        <v>223.4</v>
      </c>
      <c r="AB1354" s="18" t="s">
        <v>4022</v>
      </c>
    </row>
    <row r="1355" spans="1:28" x14ac:dyDescent="0.45">
      <c r="A1355" s="2" t="s">
        <v>1948</v>
      </c>
      <c r="B1355" s="2" t="s">
        <v>6450</v>
      </c>
      <c r="C1355" s="2" t="s">
        <v>1110</v>
      </c>
      <c r="D1355" s="2" t="s">
        <v>1509</v>
      </c>
      <c r="E1355" s="2" t="s">
        <v>96</v>
      </c>
      <c r="F1355" s="3">
        <v>120.37</v>
      </c>
      <c r="G1355" s="3">
        <v>123.93</v>
      </c>
      <c r="H1355" s="2" t="s">
        <v>1114</v>
      </c>
      <c r="I1355" s="19">
        <v>20</v>
      </c>
      <c r="J1355" s="34">
        <f t="shared" si="84"/>
        <v>0.17399999999999999</v>
      </c>
      <c r="K1355" s="34">
        <f t="shared" si="85"/>
        <v>0.26</v>
      </c>
      <c r="L1355" s="34">
        <f t="shared" si="86"/>
        <v>1.04</v>
      </c>
      <c r="M1355" s="20" t="s">
        <v>4528</v>
      </c>
      <c r="N1355" s="20" t="s">
        <v>3891</v>
      </c>
      <c r="O1355" s="20" t="s">
        <v>3892</v>
      </c>
      <c r="P1355" s="20" t="s">
        <v>3893</v>
      </c>
      <c r="Q1355" s="21">
        <v>120.396</v>
      </c>
      <c r="R1355" s="21">
        <v>123.952</v>
      </c>
      <c r="S1355" s="21">
        <v>1.778</v>
      </c>
      <c r="T1355" s="22">
        <v>0.41</v>
      </c>
      <c r="U1355" s="13">
        <f t="shared" si="87"/>
        <v>-0.63000000000000012</v>
      </c>
      <c r="V1355" s="23">
        <v>50.22</v>
      </c>
      <c r="W1355" s="23">
        <v>50.22</v>
      </c>
      <c r="X1355" s="20">
        <v>73</v>
      </c>
      <c r="Y1355" s="24" t="s">
        <v>3737</v>
      </c>
      <c r="Z1355" s="16">
        <v>30.22</v>
      </c>
      <c r="AA1355" s="17">
        <v>151.1</v>
      </c>
      <c r="AB1355" s="25" t="s">
        <v>3967</v>
      </c>
    </row>
    <row r="1356" spans="1:28" x14ac:dyDescent="0.45">
      <c r="A1356" s="4" t="s">
        <v>1949</v>
      </c>
      <c r="B1356" s="4" t="s">
        <v>6451</v>
      </c>
      <c r="C1356" s="4" t="s">
        <v>1110</v>
      </c>
      <c r="D1356" s="4" t="s">
        <v>1509</v>
      </c>
      <c r="E1356" s="4" t="s">
        <v>96</v>
      </c>
      <c r="F1356" s="5">
        <v>120</v>
      </c>
      <c r="G1356" s="5">
        <v>124</v>
      </c>
      <c r="H1356" s="4" t="s">
        <v>1122</v>
      </c>
      <c r="I1356" s="10">
        <v>25</v>
      </c>
      <c r="J1356" s="34">
        <f t="shared" si="84"/>
        <v>0.21749999999999997</v>
      </c>
      <c r="K1356" s="34">
        <f t="shared" si="85"/>
        <v>0.33</v>
      </c>
      <c r="L1356" s="34">
        <f t="shared" si="86"/>
        <v>1.32</v>
      </c>
      <c r="M1356" s="11" t="s">
        <v>4529</v>
      </c>
      <c r="N1356" s="11" t="s">
        <v>3891</v>
      </c>
      <c r="O1356" s="11" t="s">
        <v>3892</v>
      </c>
      <c r="P1356" s="11" t="s">
        <v>3893</v>
      </c>
      <c r="Q1356" s="12">
        <v>120</v>
      </c>
      <c r="R1356" s="12">
        <v>124</v>
      </c>
      <c r="S1356" s="12">
        <v>2</v>
      </c>
      <c r="T1356" s="13">
        <v>0.83</v>
      </c>
      <c r="U1356" s="13">
        <f t="shared" si="87"/>
        <v>-0.4900000000000001</v>
      </c>
      <c r="V1356" s="14">
        <v>101.68</v>
      </c>
      <c r="W1356" s="14">
        <v>101.68</v>
      </c>
      <c r="X1356" s="11">
        <v>26</v>
      </c>
      <c r="Y1356" s="15" t="s">
        <v>3713</v>
      </c>
      <c r="Z1356" s="16">
        <v>76.680000000000007</v>
      </c>
      <c r="AA1356" s="17">
        <v>306.7</v>
      </c>
      <c r="AB1356" s="18" t="s">
        <v>3714</v>
      </c>
    </row>
    <row r="1357" spans="1:28" x14ac:dyDescent="0.45">
      <c r="A1357" s="2" t="s">
        <v>1950</v>
      </c>
      <c r="B1357" s="2" t="s">
        <v>6452</v>
      </c>
      <c r="C1357" s="2" t="s">
        <v>1110</v>
      </c>
      <c r="D1357" s="2" t="s">
        <v>1509</v>
      </c>
      <c r="E1357" s="2" t="s">
        <v>96</v>
      </c>
      <c r="F1357" s="3">
        <v>120</v>
      </c>
      <c r="G1357" s="3">
        <v>130</v>
      </c>
      <c r="H1357" s="2" t="s">
        <v>1245</v>
      </c>
      <c r="I1357" s="19">
        <v>52</v>
      </c>
      <c r="J1357" s="34">
        <f t="shared" si="84"/>
        <v>0.45239999999999997</v>
      </c>
      <c r="K1357" s="34">
        <f t="shared" si="85"/>
        <v>0.68</v>
      </c>
      <c r="L1357" s="34">
        <f t="shared" si="86"/>
        <v>2.72</v>
      </c>
      <c r="M1357" s="20" t="s">
        <v>4214</v>
      </c>
      <c r="N1357" s="20" t="s">
        <v>3891</v>
      </c>
      <c r="O1357" s="20" t="s">
        <v>3892</v>
      </c>
      <c r="P1357" s="20" t="s">
        <v>3893</v>
      </c>
      <c r="Q1357" s="21">
        <v>120</v>
      </c>
      <c r="R1357" s="21">
        <v>130</v>
      </c>
      <c r="S1357" s="21">
        <v>5</v>
      </c>
      <c r="T1357" s="22">
        <v>1.08</v>
      </c>
      <c r="U1357" s="13">
        <f t="shared" si="87"/>
        <v>-1.6400000000000001</v>
      </c>
      <c r="V1357" s="23">
        <v>132.30000000000001</v>
      </c>
      <c r="W1357" s="23">
        <v>132.30000000000001</v>
      </c>
      <c r="X1357" s="20">
        <v>80</v>
      </c>
      <c r="Y1357" s="24" t="s">
        <v>3713</v>
      </c>
      <c r="Z1357" s="16">
        <v>80.300000000000011</v>
      </c>
      <c r="AA1357" s="17">
        <v>154.4</v>
      </c>
      <c r="AB1357" s="25" t="s">
        <v>3714</v>
      </c>
    </row>
    <row r="1358" spans="1:28" x14ac:dyDescent="0.45">
      <c r="A1358" s="4" t="s">
        <v>1951</v>
      </c>
      <c r="B1358" s="4" t="s">
        <v>6453</v>
      </c>
      <c r="C1358" s="4" t="s">
        <v>1110</v>
      </c>
      <c r="D1358" s="4" t="s">
        <v>1509</v>
      </c>
      <c r="E1358" s="4" t="s">
        <v>96</v>
      </c>
      <c r="F1358" s="5">
        <v>123.19</v>
      </c>
      <c r="G1358" s="5">
        <v>133.85</v>
      </c>
      <c r="H1358" s="4" t="s">
        <v>1201</v>
      </c>
      <c r="I1358" s="10">
        <v>50</v>
      </c>
      <c r="J1358" s="34">
        <f t="shared" si="84"/>
        <v>0.43499999999999994</v>
      </c>
      <c r="K1358" s="34">
        <f t="shared" si="85"/>
        <v>0.65</v>
      </c>
      <c r="L1358" s="34">
        <f t="shared" si="86"/>
        <v>2.6</v>
      </c>
      <c r="M1358" s="11" t="s">
        <v>4215</v>
      </c>
      <c r="N1358" s="11" t="s">
        <v>3898</v>
      </c>
      <c r="O1358" s="11" t="s">
        <v>3892</v>
      </c>
      <c r="P1358" s="11" t="s">
        <v>3899</v>
      </c>
      <c r="Q1358" s="12">
        <v>123.19</v>
      </c>
      <c r="R1358" s="12">
        <v>133.858</v>
      </c>
      <c r="S1358" s="12">
        <v>5.3339999999999996</v>
      </c>
      <c r="T1358" s="13">
        <v>1.95</v>
      </c>
      <c r="U1358" s="13">
        <f t="shared" si="87"/>
        <v>-0.65000000000000013</v>
      </c>
      <c r="V1358" s="14">
        <v>238.88</v>
      </c>
      <c r="W1358" s="14">
        <v>238.88</v>
      </c>
      <c r="X1358" s="11">
        <v>16</v>
      </c>
      <c r="Y1358" s="15" t="s">
        <v>3737</v>
      </c>
      <c r="Z1358" s="16">
        <v>188.88</v>
      </c>
      <c r="AA1358" s="17">
        <v>377.8</v>
      </c>
      <c r="AB1358" s="18" t="s">
        <v>4032</v>
      </c>
    </row>
    <row r="1359" spans="1:28" x14ac:dyDescent="0.45">
      <c r="A1359" s="2" t="s">
        <v>1952</v>
      </c>
      <c r="B1359" s="2" t="s">
        <v>6454</v>
      </c>
      <c r="C1359" s="2" t="s">
        <v>1110</v>
      </c>
      <c r="D1359" s="2" t="s">
        <v>1509</v>
      </c>
      <c r="E1359" s="2" t="s">
        <v>96</v>
      </c>
      <c r="F1359" s="3">
        <v>123.19</v>
      </c>
      <c r="G1359" s="3">
        <v>137.16999999999999</v>
      </c>
      <c r="H1359" s="2" t="s">
        <v>1368</v>
      </c>
      <c r="I1359" s="19">
        <v>82</v>
      </c>
      <c r="J1359" s="34">
        <f t="shared" si="84"/>
        <v>0.71339999999999992</v>
      </c>
      <c r="K1359" s="34">
        <f t="shared" si="85"/>
        <v>1.07</v>
      </c>
      <c r="L1359" s="34">
        <f t="shared" si="86"/>
        <v>4.28</v>
      </c>
      <c r="M1359" s="20" t="s">
        <v>4216</v>
      </c>
      <c r="N1359" s="20" t="s">
        <v>3891</v>
      </c>
      <c r="O1359" s="20" t="s">
        <v>3892</v>
      </c>
      <c r="P1359" s="20" t="s">
        <v>3893</v>
      </c>
      <c r="Q1359" s="21">
        <v>123.19</v>
      </c>
      <c r="R1359" s="21">
        <v>137.16</v>
      </c>
      <c r="S1359" s="21">
        <v>7.1120000000000001</v>
      </c>
      <c r="T1359" s="22">
        <v>1.82</v>
      </c>
      <c r="U1359" s="13">
        <f t="shared" si="87"/>
        <v>-2.46</v>
      </c>
      <c r="V1359" s="23">
        <v>222.95</v>
      </c>
      <c r="W1359" s="23">
        <v>222.95</v>
      </c>
      <c r="X1359" s="20">
        <v>121</v>
      </c>
      <c r="Y1359" s="24" t="s">
        <v>3737</v>
      </c>
      <c r="Z1359" s="16">
        <v>140.94999999999999</v>
      </c>
      <c r="AA1359" s="17">
        <v>171.9</v>
      </c>
      <c r="AB1359" s="25" t="s">
        <v>4032</v>
      </c>
    </row>
    <row r="1360" spans="1:28" x14ac:dyDescent="0.45">
      <c r="A1360" s="4" t="s">
        <v>1953</v>
      </c>
      <c r="B1360" s="4" t="s">
        <v>6455</v>
      </c>
      <c r="C1360" s="4" t="s">
        <v>1110</v>
      </c>
      <c r="D1360" s="4" t="s">
        <v>1509</v>
      </c>
      <c r="E1360" s="4" t="s">
        <v>96</v>
      </c>
      <c r="F1360" s="5">
        <v>123.42</v>
      </c>
      <c r="G1360" s="5">
        <v>130.47999999999999</v>
      </c>
      <c r="H1360" s="4" t="s">
        <v>1156</v>
      </c>
      <c r="I1360" s="10">
        <v>32</v>
      </c>
      <c r="J1360" s="34">
        <f t="shared" si="84"/>
        <v>0.27839999999999998</v>
      </c>
      <c r="K1360" s="34">
        <f t="shared" si="85"/>
        <v>0.42</v>
      </c>
      <c r="L1360" s="34">
        <f t="shared" si="86"/>
        <v>1.68</v>
      </c>
      <c r="M1360" s="11" t="s">
        <v>4217</v>
      </c>
      <c r="N1360" s="11" t="s">
        <v>3891</v>
      </c>
      <c r="O1360" s="11" t="s">
        <v>3892</v>
      </c>
      <c r="P1360" s="11" t="s">
        <v>3893</v>
      </c>
      <c r="Q1360" s="12">
        <v>123.444</v>
      </c>
      <c r="R1360" s="12">
        <v>130.55600000000001</v>
      </c>
      <c r="S1360" s="12">
        <v>3.556</v>
      </c>
      <c r="T1360" s="13">
        <v>0.79</v>
      </c>
      <c r="U1360" s="13">
        <f t="shared" si="87"/>
        <v>-0.8899999999999999</v>
      </c>
      <c r="V1360" s="14">
        <v>96.78</v>
      </c>
      <c r="W1360" s="14">
        <v>96.78</v>
      </c>
      <c r="X1360" s="11">
        <v>488</v>
      </c>
      <c r="Y1360" s="15" t="s">
        <v>3737</v>
      </c>
      <c r="Z1360" s="16">
        <v>64.78</v>
      </c>
      <c r="AA1360" s="17">
        <v>202.4</v>
      </c>
      <c r="AB1360" s="18" t="s">
        <v>3945</v>
      </c>
    </row>
    <row r="1361" spans="1:28" x14ac:dyDescent="0.45">
      <c r="A1361" s="2" t="s">
        <v>1954</v>
      </c>
      <c r="B1361" s="2" t="s">
        <v>6456</v>
      </c>
      <c r="C1361" s="2" t="s">
        <v>1110</v>
      </c>
      <c r="D1361" s="2" t="s">
        <v>1509</v>
      </c>
      <c r="E1361" s="2" t="s">
        <v>96</v>
      </c>
      <c r="F1361" s="3">
        <v>124.2</v>
      </c>
      <c r="G1361" s="3">
        <v>135.6</v>
      </c>
      <c r="H1361" s="2" t="s">
        <v>1297</v>
      </c>
      <c r="I1361" s="19">
        <v>74</v>
      </c>
      <c r="J1361" s="34">
        <f t="shared" si="84"/>
        <v>0.64379999999999993</v>
      </c>
      <c r="K1361" s="34">
        <f t="shared" si="85"/>
        <v>0.97</v>
      </c>
      <c r="L1361" s="34">
        <f t="shared" si="86"/>
        <v>3.88</v>
      </c>
      <c r="M1361" s="20" t="s">
        <v>4218</v>
      </c>
      <c r="N1361" s="20" t="s">
        <v>3891</v>
      </c>
      <c r="O1361" s="20" t="s">
        <v>3892</v>
      </c>
      <c r="P1361" s="20" t="s">
        <v>3893</v>
      </c>
      <c r="Q1361" s="21">
        <v>124.3</v>
      </c>
      <c r="R1361" s="21">
        <v>135.69999999999999</v>
      </c>
      <c r="S1361" s="21">
        <v>5.7</v>
      </c>
      <c r="T1361" s="22">
        <v>1.23</v>
      </c>
      <c r="U1361" s="13">
        <f t="shared" si="87"/>
        <v>-2.65</v>
      </c>
      <c r="V1361" s="23">
        <v>150.68</v>
      </c>
      <c r="W1361" s="23">
        <v>150.68</v>
      </c>
      <c r="X1361" s="20">
        <v>144</v>
      </c>
      <c r="Y1361" s="24" t="s">
        <v>3713</v>
      </c>
      <c r="Z1361" s="16">
        <v>76.680000000000007</v>
      </c>
      <c r="AA1361" s="17">
        <v>103.6</v>
      </c>
      <c r="AB1361" s="25" t="s">
        <v>4119</v>
      </c>
    </row>
    <row r="1362" spans="1:28" x14ac:dyDescent="0.45">
      <c r="A1362" s="4" t="s">
        <v>1955</v>
      </c>
      <c r="B1362" s="4" t="s">
        <v>6457</v>
      </c>
      <c r="C1362" s="4" t="s">
        <v>1110</v>
      </c>
      <c r="D1362" s="4" t="s">
        <v>1509</v>
      </c>
      <c r="E1362" s="4" t="s">
        <v>96</v>
      </c>
      <c r="F1362" s="5">
        <v>124.4</v>
      </c>
      <c r="G1362" s="5">
        <v>130.6</v>
      </c>
      <c r="H1362" s="4" t="s">
        <v>1221</v>
      </c>
      <c r="I1362" s="10">
        <v>47</v>
      </c>
      <c r="J1362" s="34">
        <f t="shared" si="84"/>
        <v>0.40889999999999999</v>
      </c>
      <c r="K1362" s="34">
        <f t="shared" si="85"/>
        <v>0.61</v>
      </c>
      <c r="L1362" s="34">
        <f t="shared" si="86"/>
        <v>2.44</v>
      </c>
      <c r="M1362" s="11" t="s">
        <v>4530</v>
      </c>
      <c r="N1362" s="11" t="s">
        <v>3891</v>
      </c>
      <c r="O1362" s="11" t="s">
        <v>3892</v>
      </c>
      <c r="P1362" s="11" t="s">
        <v>3893</v>
      </c>
      <c r="Q1362" s="12">
        <v>124.4</v>
      </c>
      <c r="R1362" s="12">
        <v>130.6</v>
      </c>
      <c r="S1362" s="12">
        <v>3.1</v>
      </c>
      <c r="T1362" s="13">
        <v>0.97</v>
      </c>
      <c r="U1362" s="13">
        <f t="shared" si="87"/>
        <v>-1.47</v>
      </c>
      <c r="V1362" s="14">
        <v>118.82</v>
      </c>
      <c r="W1362" s="14">
        <v>118.82</v>
      </c>
      <c r="X1362" s="11">
        <v>96</v>
      </c>
      <c r="Y1362" s="15" t="s">
        <v>3713</v>
      </c>
      <c r="Z1362" s="16">
        <v>71.819999999999993</v>
      </c>
      <c r="AA1362" s="17">
        <v>152.80000000000001</v>
      </c>
      <c r="AB1362" s="18" t="s">
        <v>3714</v>
      </c>
    </row>
    <row r="1363" spans="1:28" x14ac:dyDescent="0.45">
      <c r="A1363" s="2" t="s">
        <v>1956</v>
      </c>
      <c r="B1363" s="2" t="s">
        <v>6458</v>
      </c>
      <c r="C1363" s="2" t="s">
        <v>1110</v>
      </c>
      <c r="D1363" s="2" t="s">
        <v>1509</v>
      </c>
      <c r="E1363" s="2" t="s">
        <v>96</v>
      </c>
      <c r="F1363" s="3">
        <v>125</v>
      </c>
      <c r="G1363" s="3">
        <v>131</v>
      </c>
      <c r="H1363" s="2" t="s">
        <v>1149</v>
      </c>
      <c r="I1363" s="19">
        <v>32</v>
      </c>
      <c r="J1363" s="34">
        <f t="shared" si="84"/>
        <v>0.27839999999999998</v>
      </c>
      <c r="K1363" s="34">
        <f t="shared" si="85"/>
        <v>0.42</v>
      </c>
      <c r="L1363" s="34">
        <f t="shared" si="86"/>
        <v>1.68</v>
      </c>
      <c r="M1363" s="20" t="s">
        <v>4531</v>
      </c>
      <c r="N1363" s="20" t="s">
        <v>3891</v>
      </c>
      <c r="O1363" s="20" t="s">
        <v>3892</v>
      </c>
      <c r="P1363" s="20" t="s">
        <v>3893</v>
      </c>
      <c r="Q1363" s="21">
        <v>125</v>
      </c>
      <c r="R1363" s="21">
        <v>131</v>
      </c>
      <c r="S1363" s="21">
        <v>3</v>
      </c>
      <c r="T1363" s="22">
        <v>0.79</v>
      </c>
      <c r="U1363" s="13">
        <f t="shared" si="87"/>
        <v>-0.8899999999999999</v>
      </c>
      <c r="V1363" s="23">
        <v>96.78</v>
      </c>
      <c r="W1363" s="23">
        <v>96.78</v>
      </c>
      <c r="X1363" s="20">
        <v>371</v>
      </c>
      <c r="Y1363" s="24" t="s">
        <v>3713</v>
      </c>
      <c r="Z1363" s="16">
        <v>64.78</v>
      </c>
      <c r="AA1363" s="17">
        <v>202.4</v>
      </c>
      <c r="AB1363" s="25" t="s">
        <v>3714</v>
      </c>
    </row>
    <row r="1364" spans="1:28" x14ac:dyDescent="0.45">
      <c r="A1364" s="4" t="s">
        <v>1957</v>
      </c>
      <c r="B1364" s="4" t="s">
        <v>6459</v>
      </c>
      <c r="C1364" s="4" t="s">
        <v>1110</v>
      </c>
      <c r="D1364" s="4" t="s">
        <v>1509</v>
      </c>
      <c r="E1364" s="4" t="s">
        <v>96</v>
      </c>
      <c r="F1364" s="5">
        <v>126.37</v>
      </c>
      <c r="G1364" s="5">
        <v>137.03</v>
      </c>
      <c r="H1364" s="4" t="s">
        <v>1201</v>
      </c>
      <c r="I1364" s="10">
        <v>54</v>
      </c>
      <c r="J1364" s="34">
        <f t="shared" si="84"/>
        <v>0.4698</v>
      </c>
      <c r="K1364" s="34">
        <f t="shared" si="85"/>
        <v>0.7</v>
      </c>
      <c r="L1364" s="34">
        <f t="shared" si="86"/>
        <v>2.8</v>
      </c>
      <c r="M1364" s="11" t="s">
        <v>4219</v>
      </c>
      <c r="N1364" s="11" t="s">
        <v>3891</v>
      </c>
      <c r="O1364" s="11" t="s">
        <v>3892</v>
      </c>
      <c r="P1364" s="11" t="s">
        <v>3893</v>
      </c>
      <c r="Q1364" s="12">
        <v>126.238</v>
      </c>
      <c r="R1364" s="12">
        <v>136.90600000000001</v>
      </c>
      <c r="S1364" s="12">
        <v>5.3339999999999996</v>
      </c>
      <c r="T1364" s="13">
        <v>1.3</v>
      </c>
      <c r="U1364" s="13">
        <f t="shared" si="87"/>
        <v>-1.4999999999999998</v>
      </c>
      <c r="V1364" s="14">
        <v>159.25</v>
      </c>
      <c r="W1364" s="14">
        <v>159.25</v>
      </c>
      <c r="X1364" s="11">
        <v>113</v>
      </c>
      <c r="Y1364" s="15" t="s">
        <v>3737</v>
      </c>
      <c r="Z1364" s="16">
        <v>105.25</v>
      </c>
      <c r="AA1364" s="17">
        <v>194.9</v>
      </c>
      <c r="AB1364" s="18" t="s">
        <v>4189</v>
      </c>
    </row>
    <row r="1365" spans="1:28" x14ac:dyDescent="0.45">
      <c r="A1365" s="2" t="s">
        <v>1958</v>
      </c>
      <c r="B1365" s="2" t="s">
        <v>6460</v>
      </c>
      <c r="C1365" s="2" t="s">
        <v>1110</v>
      </c>
      <c r="D1365" s="2" t="s">
        <v>1509</v>
      </c>
      <c r="E1365" s="2" t="s">
        <v>96</v>
      </c>
      <c r="F1365" s="3">
        <v>126.37</v>
      </c>
      <c r="G1365" s="3">
        <v>140.35</v>
      </c>
      <c r="H1365" s="2" t="s">
        <v>1368</v>
      </c>
      <c r="I1365" s="19">
        <v>84</v>
      </c>
      <c r="J1365" s="34">
        <f t="shared" si="84"/>
        <v>0.73079999999999989</v>
      </c>
      <c r="K1365" s="34">
        <f t="shared" si="85"/>
        <v>1.1000000000000001</v>
      </c>
      <c r="L1365" s="34">
        <f t="shared" si="86"/>
        <v>4.4000000000000004</v>
      </c>
      <c r="M1365" s="20" t="s">
        <v>4220</v>
      </c>
      <c r="N1365" s="20" t="s">
        <v>3891</v>
      </c>
      <c r="O1365" s="20" t="s">
        <v>3892</v>
      </c>
      <c r="P1365" s="20" t="s">
        <v>3893</v>
      </c>
      <c r="Q1365" s="21">
        <v>126.238</v>
      </c>
      <c r="R1365" s="21">
        <v>140.46199999999999</v>
      </c>
      <c r="S1365" s="21">
        <v>7.1120000000000001</v>
      </c>
      <c r="T1365" s="22">
        <v>2.02</v>
      </c>
      <c r="U1365" s="13">
        <f t="shared" si="87"/>
        <v>-2.3800000000000003</v>
      </c>
      <c r="V1365" s="23">
        <v>247.45</v>
      </c>
      <c r="W1365" s="23">
        <v>247.45</v>
      </c>
      <c r="X1365" s="20">
        <v>291</v>
      </c>
      <c r="Y1365" s="24" t="s">
        <v>3737</v>
      </c>
      <c r="Z1365" s="16">
        <v>163.44999999999999</v>
      </c>
      <c r="AA1365" s="17">
        <v>194.6</v>
      </c>
      <c r="AB1365" s="25" t="s">
        <v>4199</v>
      </c>
    </row>
    <row r="1366" spans="1:28" x14ac:dyDescent="0.45">
      <c r="A1366" s="4" t="s">
        <v>1959</v>
      </c>
      <c r="B1366" s="4" t="s">
        <v>6461</v>
      </c>
      <c r="C1366" s="4" t="s">
        <v>1110</v>
      </c>
      <c r="D1366" s="4" t="s">
        <v>1509</v>
      </c>
      <c r="E1366" s="4" t="s">
        <v>96</v>
      </c>
      <c r="F1366" s="5">
        <v>126.59</v>
      </c>
      <c r="G1366" s="5">
        <v>133.65</v>
      </c>
      <c r="H1366" s="4" t="s">
        <v>1156</v>
      </c>
      <c r="I1366" s="10">
        <v>34</v>
      </c>
      <c r="J1366" s="34">
        <f t="shared" si="84"/>
        <v>0.29579999999999995</v>
      </c>
      <c r="K1366" s="34">
        <f t="shared" si="85"/>
        <v>0.44</v>
      </c>
      <c r="L1366" s="34">
        <f t="shared" si="86"/>
        <v>1.76</v>
      </c>
      <c r="M1366" s="11" t="s">
        <v>4221</v>
      </c>
      <c r="N1366" s="11" t="s">
        <v>3891</v>
      </c>
      <c r="O1366" s="11" t="s">
        <v>3892</v>
      </c>
      <c r="P1366" s="11" t="s">
        <v>3893</v>
      </c>
      <c r="Q1366" s="12">
        <v>126.492</v>
      </c>
      <c r="R1366" s="12">
        <v>133.60400000000001</v>
      </c>
      <c r="S1366" s="12">
        <v>3.556</v>
      </c>
      <c r="T1366" s="13">
        <v>0.82</v>
      </c>
      <c r="U1366" s="13">
        <f t="shared" si="87"/>
        <v>-0.94000000000000006</v>
      </c>
      <c r="V1366" s="14">
        <v>100.45</v>
      </c>
      <c r="W1366" s="14">
        <v>100.45</v>
      </c>
      <c r="X1366" s="11">
        <v>810</v>
      </c>
      <c r="Y1366" s="15" t="s">
        <v>3737</v>
      </c>
      <c r="Z1366" s="16">
        <v>66.45</v>
      </c>
      <c r="AA1366" s="17">
        <v>195.4</v>
      </c>
      <c r="AB1366" s="18" t="s">
        <v>3963</v>
      </c>
    </row>
    <row r="1367" spans="1:28" x14ac:dyDescent="0.45">
      <c r="A1367" s="2" t="s">
        <v>1960</v>
      </c>
      <c r="B1367" s="2" t="s">
        <v>6462</v>
      </c>
      <c r="C1367" s="2" t="s">
        <v>1110</v>
      </c>
      <c r="D1367" s="2" t="s">
        <v>1509</v>
      </c>
      <c r="E1367" s="2" t="s">
        <v>96</v>
      </c>
      <c r="F1367" s="3">
        <v>126.67</v>
      </c>
      <c r="G1367" s="3">
        <v>131.91</v>
      </c>
      <c r="H1367" s="2" t="s">
        <v>1127</v>
      </c>
      <c r="I1367" s="19">
        <v>25</v>
      </c>
      <c r="J1367" s="34">
        <f t="shared" si="84"/>
        <v>0.21749999999999997</v>
      </c>
      <c r="K1367" s="34">
        <f t="shared" si="85"/>
        <v>0.33</v>
      </c>
      <c r="L1367" s="34">
        <f t="shared" si="86"/>
        <v>1.32</v>
      </c>
      <c r="M1367" s="20" t="s">
        <v>4222</v>
      </c>
      <c r="N1367" s="20" t="s">
        <v>3891</v>
      </c>
      <c r="O1367" s="20" t="s">
        <v>3892</v>
      </c>
      <c r="P1367" s="20" t="s">
        <v>3893</v>
      </c>
      <c r="Q1367" s="21">
        <v>126.746</v>
      </c>
      <c r="R1367" s="21">
        <v>131.82599999999999</v>
      </c>
      <c r="S1367" s="21">
        <v>2.54</v>
      </c>
      <c r="T1367" s="22">
        <v>0.56999999999999995</v>
      </c>
      <c r="U1367" s="13">
        <f t="shared" si="87"/>
        <v>-0.75000000000000011</v>
      </c>
      <c r="V1367" s="23">
        <v>69.819999999999993</v>
      </c>
      <c r="W1367" s="23">
        <v>69.819999999999993</v>
      </c>
      <c r="X1367" s="20">
        <v>71</v>
      </c>
      <c r="Y1367" s="24" t="s">
        <v>3737</v>
      </c>
      <c r="Z1367" s="16">
        <v>44.819999999999993</v>
      </c>
      <c r="AA1367" s="17">
        <v>179.3</v>
      </c>
      <c r="AB1367" s="25" t="s">
        <v>4022</v>
      </c>
    </row>
    <row r="1368" spans="1:28" x14ac:dyDescent="0.45">
      <c r="A1368" s="4" t="s">
        <v>1961</v>
      </c>
      <c r="B1368" s="4" t="s">
        <v>6463</v>
      </c>
      <c r="C1368" s="4" t="s">
        <v>1110</v>
      </c>
      <c r="D1368" s="4" t="s">
        <v>1509</v>
      </c>
      <c r="E1368" s="4" t="s">
        <v>96</v>
      </c>
      <c r="F1368" s="5">
        <v>126.72</v>
      </c>
      <c r="G1368" s="5">
        <v>130.28</v>
      </c>
      <c r="H1368" s="4" t="s">
        <v>1114</v>
      </c>
      <c r="I1368" s="10">
        <v>22</v>
      </c>
      <c r="J1368" s="34">
        <f t="shared" si="84"/>
        <v>0.19139999999999999</v>
      </c>
      <c r="K1368" s="34">
        <f t="shared" si="85"/>
        <v>0.28999999999999998</v>
      </c>
      <c r="L1368" s="34">
        <f t="shared" si="86"/>
        <v>1.1599999999999999</v>
      </c>
      <c r="M1368" s="11" t="s">
        <v>4532</v>
      </c>
      <c r="N1368" s="11" t="s">
        <v>3891</v>
      </c>
      <c r="O1368" s="11" t="s">
        <v>3892</v>
      </c>
      <c r="P1368" s="11" t="s">
        <v>3893</v>
      </c>
      <c r="Q1368" s="12">
        <v>126.746</v>
      </c>
      <c r="R1368" s="12">
        <v>130.30199999999999</v>
      </c>
      <c r="S1368" s="12">
        <v>1.778</v>
      </c>
      <c r="T1368" s="13">
        <v>0.47</v>
      </c>
      <c r="U1368" s="13">
        <f t="shared" si="87"/>
        <v>-0.69</v>
      </c>
      <c r="V1368" s="14">
        <v>57.58</v>
      </c>
      <c r="W1368" s="14">
        <v>57.58</v>
      </c>
      <c r="X1368" s="11">
        <v>36</v>
      </c>
      <c r="Y1368" s="15" t="s">
        <v>3737</v>
      </c>
      <c r="Z1368" s="16">
        <v>35.58</v>
      </c>
      <c r="AA1368" s="17">
        <v>161.69999999999999</v>
      </c>
      <c r="AB1368" s="18" t="s">
        <v>3967</v>
      </c>
    </row>
    <row r="1369" spans="1:28" x14ac:dyDescent="0.45">
      <c r="A1369" s="2" t="s">
        <v>1962</v>
      </c>
      <c r="B1369" s="2" t="s">
        <v>6464</v>
      </c>
      <c r="C1369" s="2" t="s">
        <v>1110</v>
      </c>
      <c r="D1369" s="2" t="s">
        <v>1509</v>
      </c>
      <c r="E1369" s="2" t="s">
        <v>96</v>
      </c>
      <c r="F1369" s="3">
        <v>129.19999999999999</v>
      </c>
      <c r="G1369" s="3">
        <v>140.6</v>
      </c>
      <c r="H1369" s="2" t="s">
        <v>1297</v>
      </c>
      <c r="I1369" s="19">
        <v>77</v>
      </c>
      <c r="J1369" s="34">
        <f t="shared" si="84"/>
        <v>0.66989999999999994</v>
      </c>
      <c r="K1369" s="34">
        <f t="shared" si="85"/>
        <v>1</v>
      </c>
      <c r="L1369" s="34">
        <f t="shared" si="86"/>
        <v>4</v>
      </c>
      <c r="M1369" s="20" t="s">
        <v>4533</v>
      </c>
      <c r="N1369" s="20" t="s">
        <v>3891</v>
      </c>
      <c r="O1369" s="20" t="s">
        <v>3892</v>
      </c>
      <c r="P1369" s="20" t="s">
        <v>3893</v>
      </c>
      <c r="Q1369" s="21">
        <v>129.30000000000001</v>
      </c>
      <c r="R1369" s="21">
        <v>140.69999999999999</v>
      </c>
      <c r="S1369" s="21">
        <v>5.7</v>
      </c>
      <c r="T1369" s="22">
        <v>1.3</v>
      </c>
      <c r="U1369" s="13">
        <f t="shared" si="87"/>
        <v>-2.7</v>
      </c>
      <c r="V1369" s="23">
        <v>159.25</v>
      </c>
      <c r="W1369" s="23">
        <v>159.25</v>
      </c>
      <c r="X1369" s="20">
        <v>1350</v>
      </c>
      <c r="Y1369" s="24" t="s">
        <v>3713</v>
      </c>
      <c r="Z1369" s="16">
        <v>82.25</v>
      </c>
      <c r="AA1369" s="17">
        <v>106.8</v>
      </c>
      <c r="AB1369" s="25" t="s">
        <v>4119</v>
      </c>
    </row>
    <row r="1370" spans="1:28" x14ac:dyDescent="0.45">
      <c r="A1370" s="4" t="s">
        <v>1963</v>
      </c>
      <c r="B1370" s="4" t="s">
        <v>6465</v>
      </c>
      <c r="C1370" s="4" t="s">
        <v>1110</v>
      </c>
      <c r="D1370" s="4" t="s">
        <v>1509</v>
      </c>
      <c r="E1370" s="4" t="s">
        <v>96</v>
      </c>
      <c r="F1370" s="5">
        <v>129.4</v>
      </c>
      <c r="G1370" s="5">
        <v>135.6</v>
      </c>
      <c r="H1370" s="4" t="s">
        <v>1221</v>
      </c>
      <c r="I1370" s="10">
        <v>50</v>
      </c>
      <c r="J1370" s="34">
        <f t="shared" si="84"/>
        <v>0.43499999999999994</v>
      </c>
      <c r="K1370" s="34">
        <f t="shared" si="85"/>
        <v>0.65</v>
      </c>
      <c r="L1370" s="34">
        <f t="shared" si="86"/>
        <v>2.6</v>
      </c>
      <c r="M1370" s="11" t="s">
        <v>4223</v>
      </c>
      <c r="N1370" s="11" t="s">
        <v>3891</v>
      </c>
      <c r="O1370" s="11" t="s">
        <v>3892</v>
      </c>
      <c r="P1370" s="11" t="s">
        <v>3893</v>
      </c>
      <c r="Q1370" s="12">
        <v>129.4</v>
      </c>
      <c r="R1370" s="12">
        <v>135.6</v>
      </c>
      <c r="S1370" s="12">
        <v>3.1</v>
      </c>
      <c r="T1370" s="13">
        <v>0.87</v>
      </c>
      <c r="U1370" s="13">
        <f t="shared" si="87"/>
        <v>-1.73</v>
      </c>
      <c r="V1370" s="14">
        <v>106.58</v>
      </c>
      <c r="W1370" s="14">
        <v>106.58</v>
      </c>
      <c r="X1370" s="11">
        <v>159</v>
      </c>
      <c r="Y1370" s="15" t="s">
        <v>3713</v>
      </c>
      <c r="Z1370" s="16">
        <v>56.58</v>
      </c>
      <c r="AA1370" s="17">
        <v>113.2</v>
      </c>
      <c r="AB1370" s="18" t="s">
        <v>3714</v>
      </c>
    </row>
    <row r="1371" spans="1:28" x14ac:dyDescent="0.45">
      <c r="A1371" s="2" t="s">
        <v>1964</v>
      </c>
      <c r="B1371" s="2" t="s">
        <v>6466</v>
      </c>
      <c r="C1371" s="2" t="s">
        <v>1110</v>
      </c>
      <c r="D1371" s="2" t="s">
        <v>1509</v>
      </c>
      <c r="E1371" s="2" t="s">
        <v>96</v>
      </c>
      <c r="F1371" s="3">
        <v>129.54</v>
      </c>
      <c r="G1371" s="3">
        <v>140.19999999999999</v>
      </c>
      <c r="H1371" s="2" t="s">
        <v>1201</v>
      </c>
      <c r="I1371" s="19">
        <v>56</v>
      </c>
      <c r="J1371" s="34">
        <f t="shared" si="84"/>
        <v>0.48719999999999997</v>
      </c>
      <c r="K1371" s="34">
        <f t="shared" si="85"/>
        <v>0.73</v>
      </c>
      <c r="L1371" s="34">
        <f t="shared" si="86"/>
        <v>2.92</v>
      </c>
      <c r="M1371" s="20" t="s">
        <v>4224</v>
      </c>
      <c r="N1371" s="20" t="s">
        <v>3891</v>
      </c>
      <c r="O1371" s="20" t="s">
        <v>3892</v>
      </c>
      <c r="P1371" s="20" t="s">
        <v>3893</v>
      </c>
      <c r="Q1371" s="21">
        <v>129.54</v>
      </c>
      <c r="R1371" s="21">
        <v>140.208</v>
      </c>
      <c r="S1371" s="21">
        <v>5.3339999999999996</v>
      </c>
      <c r="T1371" s="22">
        <v>1.31</v>
      </c>
      <c r="U1371" s="13">
        <f t="shared" si="87"/>
        <v>-1.6099999999999999</v>
      </c>
      <c r="V1371" s="23">
        <v>160.47999999999999</v>
      </c>
      <c r="W1371" s="23">
        <v>160.47999999999999</v>
      </c>
      <c r="X1371" s="20">
        <v>320</v>
      </c>
      <c r="Y1371" s="24" t="s">
        <v>3737</v>
      </c>
      <c r="Z1371" s="16">
        <v>104.48</v>
      </c>
      <c r="AA1371" s="17">
        <v>186.6</v>
      </c>
      <c r="AB1371" s="25" t="s">
        <v>4032</v>
      </c>
    </row>
    <row r="1372" spans="1:28" x14ac:dyDescent="0.45">
      <c r="A1372" s="4" t="s">
        <v>1965</v>
      </c>
      <c r="B1372" s="4" t="s">
        <v>6467</v>
      </c>
      <c r="C1372" s="4" t="s">
        <v>1110</v>
      </c>
      <c r="D1372" s="4" t="s">
        <v>1509</v>
      </c>
      <c r="E1372" s="4" t="s">
        <v>96</v>
      </c>
      <c r="F1372" s="5">
        <v>129.54</v>
      </c>
      <c r="G1372" s="5">
        <v>143.52000000000001</v>
      </c>
      <c r="H1372" s="4" t="s">
        <v>1368</v>
      </c>
      <c r="I1372" s="10">
        <v>86</v>
      </c>
      <c r="J1372" s="34">
        <f t="shared" si="84"/>
        <v>0.74819999999999998</v>
      </c>
      <c r="K1372" s="34">
        <f t="shared" si="85"/>
        <v>1.1200000000000001</v>
      </c>
      <c r="L1372" s="34">
        <f t="shared" si="86"/>
        <v>4.4800000000000004</v>
      </c>
      <c r="M1372" s="11" t="s">
        <v>4225</v>
      </c>
      <c r="N1372" s="11" t="s">
        <v>3891</v>
      </c>
      <c r="O1372" s="11" t="s">
        <v>3892</v>
      </c>
      <c r="P1372" s="11" t="s">
        <v>3893</v>
      </c>
      <c r="Q1372" s="12">
        <v>129.54</v>
      </c>
      <c r="R1372" s="12">
        <v>143.51</v>
      </c>
      <c r="S1372" s="12">
        <v>7.1120000000000001</v>
      </c>
      <c r="T1372" s="13">
        <v>1.66</v>
      </c>
      <c r="U1372" s="13">
        <f t="shared" si="87"/>
        <v>-2.8200000000000003</v>
      </c>
      <c r="V1372" s="14">
        <v>203.35</v>
      </c>
      <c r="W1372" s="14">
        <v>203.35</v>
      </c>
      <c r="X1372" s="11">
        <v>79</v>
      </c>
      <c r="Y1372" s="15" t="s">
        <v>3737</v>
      </c>
      <c r="Z1372" s="16">
        <v>117.35</v>
      </c>
      <c r="AA1372" s="17">
        <v>136.5</v>
      </c>
      <c r="AB1372" s="18" t="s">
        <v>4032</v>
      </c>
    </row>
    <row r="1373" spans="1:28" x14ac:dyDescent="0.45">
      <c r="A1373" s="2" t="s">
        <v>1966</v>
      </c>
      <c r="B1373" s="2" t="s">
        <v>6468</v>
      </c>
      <c r="C1373" s="2" t="s">
        <v>1110</v>
      </c>
      <c r="D1373" s="2" t="s">
        <v>1509</v>
      </c>
      <c r="E1373" s="2" t="s">
        <v>96</v>
      </c>
      <c r="F1373" s="3">
        <v>129.77000000000001</v>
      </c>
      <c r="G1373" s="3">
        <v>136.83000000000001</v>
      </c>
      <c r="H1373" s="2" t="s">
        <v>1156</v>
      </c>
      <c r="I1373" s="19">
        <v>34</v>
      </c>
      <c r="J1373" s="34">
        <f t="shared" si="84"/>
        <v>0.29579999999999995</v>
      </c>
      <c r="K1373" s="34">
        <f t="shared" si="85"/>
        <v>0.44</v>
      </c>
      <c r="L1373" s="34">
        <f t="shared" si="86"/>
        <v>1.76</v>
      </c>
      <c r="M1373" s="20" t="s">
        <v>4226</v>
      </c>
      <c r="N1373" s="20" t="s">
        <v>3891</v>
      </c>
      <c r="O1373" s="20" t="s">
        <v>3892</v>
      </c>
      <c r="P1373" s="20" t="s">
        <v>3893</v>
      </c>
      <c r="Q1373" s="21">
        <v>130</v>
      </c>
      <c r="R1373" s="21">
        <v>137</v>
      </c>
      <c r="S1373" s="21">
        <v>3.5</v>
      </c>
      <c r="T1373" s="22">
        <v>0.92</v>
      </c>
      <c r="U1373" s="13">
        <f t="shared" si="87"/>
        <v>-0.84</v>
      </c>
      <c r="V1373" s="23">
        <v>112.7</v>
      </c>
      <c r="W1373" s="23">
        <v>112.7</v>
      </c>
      <c r="X1373" s="20">
        <v>58</v>
      </c>
      <c r="Y1373" s="24" t="s">
        <v>3713</v>
      </c>
      <c r="Z1373" s="16">
        <v>78.7</v>
      </c>
      <c r="AA1373" s="17">
        <v>231.5</v>
      </c>
      <c r="AB1373" s="25" t="s">
        <v>4227</v>
      </c>
    </row>
    <row r="1374" spans="1:28" x14ac:dyDescent="0.45">
      <c r="A1374" s="4" t="s">
        <v>1967</v>
      </c>
      <c r="B1374" s="4" t="s">
        <v>6469</v>
      </c>
      <c r="C1374" s="4" t="s">
        <v>1110</v>
      </c>
      <c r="D1374" s="4" t="s">
        <v>1509</v>
      </c>
      <c r="E1374" s="4" t="s">
        <v>96</v>
      </c>
      <c r="F1374" s="5">
        <v>130</v>
      </c>
      <c r="G1374" s="5">
        <v>140</v>
      </c>
      <c r="H1374" s="4" t="s">
        <v>1245</v>
      </c>
      <c r="I1374" s="10">
        <v>59</v>
      </c>
      <c r="J1374" s="34">
        <f t="shared" si="84"/>
        <v>0.51329999999999998</v>
      </c>
      <c r="K1374" s="34">
        <f t="shared" si="85"/>
        <v>0.77</v>
      </c>
      <c r="L1374" s="34">
        <f t="shared" si="86"/>
        <v>3.08</v>
      </c>
      <c r="M1374" s="11" t="s">
        <v>4228</v>
      </c>
      <c r="N1374" s="11" t="s">
        <v>3891</v>
      </c>
      <c r="O1374" s="11" t="s">
        <v>3892</v>
      </c>
      <c r="P1374" s="11" t="s">
        <v>3893</v>
      </c>
      <c r="Q1374" s="12">
        <v>130</v>
      </c>
      <c r="R1374" s="12">
        <v>140</v>
      </c>
      <c r="S1374" s="12">
        <v>5</v>
      </c>
      <c r="T1374" s="13">
        <v>1.19</v>
      </c>
      <c r="U1374" s="13">
        <f t="shared" si="87"/>
        <v>-1.8900000000000001</v>
      </c>
      <c r="V1374" s="14">
        <v>145.78</v>
      </c>
      <c r="W1374" s="14">
        <v>145.78</v>
      </c>
      <c r="X1374" s="11">
        <v>115</v>
      </c>
      <c r="Y1374" s="15" t="s">
        <v>3713</v>
      </c>
      <c r="Z1374" s="16">
        <v>86.78</v>
      </c>
      <c r="AA1374" s="17">
        <v>147.1</v>
      </c>
      <c r="AB1374" s="18" t="s">
        <v>3714</v>
      </c>
    </row>
    <row r="1375" spans="1:28" x14ac:dyDescent="0.45">
      <c r="A1375" s="2" t="s">
        <v>1968</v>
      </c>
      <c r="B1375" s="2" t="s">
        <v>6470</v>
      </c>
      <c r="C1375" s="2" t="s">
        <v>1110</v>
      </c>
      <c r="D1375" s="2" t="s">
        <v>1509</v>
      </c>
      <c r="E1375" s="2" t="s">
        <v>96</v>
      </c>
      <c r="F1375" s="3">
        <v>132.72</v>
      </c>
      <c r="G1375" s="3">
        <v>143.38</v>
      </c>
      <c r="H1375" s="2" t="s">
        <v>1201</v>
      </c>
      <c r="I1375" s="19">
        <v>57</v>
      </c>
      <c r="J1375" s="34">
        <f t="shared" si="84"/>
        <v>0.49589999999999995</v>
      </c>
      <c r="K1375" s="34">
        <f t="shared" si="85"/>
        <v>0.74</v>
      </c>
      <c r="L1375" s="34">
        <f t="shared" si="86"/>
        <v>2.96</v>
      </c>
      <c r="M1375" s="20" t="s">
        <v>4229</v>
      </c>
      <c r="N1375" s="20" t="s">
        <v>3891</v>
      </c>
      <c r="O1375" s="20" t="s">
        <v>3892</v>
      </c>
      <c r="P1375" s="20" t="s">
        <v>3893</v>
      </c>
      <c r="Q1375" s="21">
        <v>132.58799999999999</v>
      </c>
      <c r="R1375" s="21">
        <v>143.256</v>
      </c>
      <c r="S1375" s="21">
        <v>5.3339999999999996</v>
      </c>
      <c r="T1375" s="22">
        <v>1.46</v>
      </c>
      <c r="U1375" s="13">
        <f t="shared" si="87"/>
        <v>-1.5</v>
      </c>
      <c r="V1375" s="23">
        <v>178.85</v>
      </c>
      <c r="W1375" s="23">
        <v>178.85</v>
      </c>
      <c r="X1375" s="20">
        <v>36</v>
      </c>
      <c r="Y1375" s="24" t="s">
        <v>3737</v>
      </c>
      <c r="Z1375" s="16">
        <v>121.85</v>
      </c>
      <c r="AA1375" s="17">
        <v>213.8</v>
      </c>
      <c r="AB1375" s="25" t="s">
        <v>4189</v>
      </c>
    </row>
    <row r="1376" spans="1:28" x14ac:dyDescent="0.45">
      <c r="A1376" s="4" t="s">
        <v>1969</v>
      </c>
      <c r="B1376" s="4" t="s">
        <v>6471</v>
      </c>
      <c r="C1376" s="4" t="s">
        <v>1110</v>
      </c>
      <c r="D1376" s="4" t="s">
        <v>1509</v>
      </c>
      <c r="E1376" s="4" t="s">
        <v>96</v>
      </c>
      <c r="F1376" s="5">
        <v>132.72</v>
      </c>
      <c r="G1376" s="5">
        <v>146.69999999999999</v>
      </c>
      <c r="H1376" s="4" t="s">
        <v>1368</v>
      </c>
      <c r="I1376" s="10">
        <v>87</v>
      </c>
      <c r="J1376" s="34">
        <f t="shared" si="84"/>
        <v>0.75689999999999991</v>
      </c>
      <c r="K1376" s="34">
        <f t="shared" si="85"/>
        <v>1.1399999999999999</v>
      </c>
      <c r="L1376" s="34">
        <f t="shared" si="86"/>
        <v>4.5599999999999996</v>
      </c>
      <c r="M1376" s="11" t="s">
        <v>4230</v>
      </c>
      <c r="N1376" s="11" t="s">
        <v>3891</v>
      </c>
      <c r="O1376" s="11" t="s">
        <v>3892</v>
      </c>
      <c r="P1376" s="11" t="s">
        <v>3893</v>
      </c>
      <c r="Q1376" s="12">
        <v>132.58799999999999</v>
      </c>
      <c r="R1376" s="12">
        <v>146.81200000000001</v>
      </c>
      <c r="S1376" s="12">
        <v>7.1120000000000001</v>
      </c>
      <c r="T1376" s="13">
        <v>2.0299999999999998</v>
      </c>
      <c r="U1376" s="13">
        <f t="shared" si="87"/>
        <v>-2.5299999999999998</v>
      </c>
      <c r="V1376" s="14">
        <v>248.68</v>
      </c>
      <c r="W1376" s="14">
        <v>248.68</v>
      </c>
      <c r="X1376" s="11">
        <v>12</v>
      </c>
      <c r="Y1376" s="15" t="s">
        <v>3737</v>
      </c>
      <c r="Z1376" s="16">
        <v>161.68</v>
      </c>
      <c r="AA1376" s="17">
        <v>185.8</v>
      </c>
      <c r="AB1376" s="18" t="s">
        <v>4199</v>
      </c>
    </row>
    <row r="1377" spans="1:28" x14ac:dyDescent="0.45">
      <c r="A1377" s="2" t="s">
        <v>1970</v>
      </c>
      <c r="B1377" s="2" t="s">
        <v>6472</v>
      </c>
      <c r="C1377" s="2" t="s">
        <v>1110</v>
      </c>
      <c r="D1377" s="2" t="s">
        <v>1509</v>
      </c>
      <c r="E1377" s="2" t="s">
        <v>96</v>
      </c>
      <c r="F1377" s="3">
        <v>132.94</v>
      </c>
      <c r="G1377" s="3">
        <v>140</v>
      </c>
      <c r="H1377" s="2" t="s">
        <v>1156</v>
      </c>
      <c r="I1377" s="19">
        <v>34</v>
      </c>
      <c r="J1377" s="34">
        <f t="shared" si="84"/>
        <v>0.29579999999999995</v>
      </c>
      <c r="K1377" s="34">
        <f t="shared" si="85"/>
        <v>0.44</v>
      </c>
      <c r="L1377" s="34">
        <f t="shared" si="86"/>
        <v>1.76</v>
      </c>
      <c r="M1377" s="20" t="s">
        <v>4231</v>
      </c>
      <c r="N1377" s="20" t="s">
        <v>3891</v>
      </c>
      <c r="O1377" s="20" t="s">
        <v>3892</v>
      </c>
      <c r="P1377" s="20" t="s">
        <v>3893</v>
      </c>
      <c r="Q1377" s="21">
        <v>132.84200000000001</v>
      </c>
      <c r="R1377" s="21">
        <v>139.95400000000001</v>
      </c>
      <c r="S1377" s="21">
        <v>3.556</v>
      </c>
      <c r="T1377" s="22">
        <v>0.87</v>
      </c>
      <c r="U1377" s="13">
        <f t="shared" si="87"/>
        <v>-0.89</v>
      </c>
      <c r="V1377" s="23">
        <v>106.58</v>
      </c>
      <c r="W1377" s="23">
        <v>106.58</v>
      </c>
      <c r="X1377" s="20">
        <v>306</v>
      </c>
      <c r="Y1377" s="24" t="s">
        <v>3737</v>
      </c>
      <c r="Z1377" s="16">
        <v>72.58</v>
      </c>
      <c r="AA1377" s="17">
        <v>213.5</v>
      </c>
      <c r="AB1377" s="25" t="s">
        <v>3963</v>
      </c>
    </row>
    <row r="1378" spans="1:28" x14ac:dyDescent="0.45">
      <c r="A1378" s="4" t="s">
        <v>1971</v>
      </c>
      <c r="B1378" s="4" t="s">
        <v>6473</v>
      </c>
      <c r="C1378" s="4" t="s">
        <v>1110</v>
      </c>
      <c r="D1378" s="4" t="s">
        <v>1509</v>
      </c>
      <c r="E1378" s="4" t="s">
        <v>96</v>
      </c>
      <c r="F1378" s="5">
        <v>133.07</v>
      </c>
      <c r="G1378" s="5">
        <v>136.63</v>
      </c>
      <c r="H1378" s="4" t="s">
        <v>1114</v>
      </c>
      <c r="I1378" s="10">
        <v>22</v>
      </c>
      <c r="J1378" s="34">
        <f t="shared" si="84"/>
        <v>0.19139999999999999</v>
      </c>
      <c r="K1378" s="34">
        <f t="shared" si="85"/>
        <v>0.28999999999999998</v>
      </c>
      <c r="L1378" s="34">
        <f t="shared" si="86"/>
        <v>1.1599999999999999</v>
      </c>
      <c r="M1378" s="11" t="s">
        <v>4232</v>
      </c>
      <c r="N1378" s="11" t="s">
        <v>3891</v>
      </c>
      <c r="O1378" s="11" t="s">
        <v>3892</v>
      </c>
      <c r="P1378" s="11" t="s">
        <v>3893</v>
      </c>
      <c r="Q1378" s="12">
        <v>133.096</v>
      </c>
      <c r="R1378" s="12">
        <v>136.65199999999999</v>
      </c>
      <c r="S1378" s="12">
        <v>1.778</v>
      </c>
      <c r="T1378" s="13">
        <v>0.52</v>
      </c>
      <c r="U1378" s="13">
        <f t="shared" si="87"/>
        <v>-0.6399999999999999</v>
      </c>
      <c r="V1378" s="14">
        <v>63.7</v>
      </c>
      <c r="W1378" s="14">
        <v>63.7</v>
      </c>
      <c r="X1378" s="11">
        <v>65</v>
      </c>
      <c r="Y1378" s="15" t="s">
        <v>3737</v>
      </c>
      <c r="Z1378" s="16">
        <v>41.7</v>
      </c>
      <c r="AA1378" s="17">
        <v>189.5</v>
      </c>
      <c r="AB1378" s="18" t="s">
        <v>3967</v>
      </c>
    </row>
    <row r="1379" spans="1:28" x14ac:dyDescent="0.45">
      <c r="A1379" s="2" t="s">
        <v>1972</v>
      </c>
      <c r="B1379" s="2" t="s">
        <v>6474</v>
      </c>
      <c r="C1379" s="2" t="s">
        <v>1110</v>
      </c>
      <c r="D1379" s="2" t="s">
        <v>1509</v>
      </c>
      <c r="E1379" s="2" t="s">
        <v>96</v>
      </c>
      <c r="F1379" s="3">
        <v>134.19999999999999</v>
      </c>
      <c r="G1379" s="3">
        <v>145.6</v>
      </c>
      <c r="H1379" s="2" t="s">
        <v>1297</v>
      </c>
      <c r="I1379" s="19">
        <v>82</v>
      </c>
      <c r="J1379" s="34">
        <f t="shared" si="84"/>
        <v>0.71339999999999992</v>
      </c>
      <c r="K1379" s="34">
        <f t="shared" si="85"/>
        <v>1.07</v>
      </c>
      <c r="L1379" s="34">
        <f t="shared" si="86"/>
        <v>4.28</v>
      </c>
      <c r="M1379" s="20" t="s">
        <v>4233</v>
      </c>
      <c r="N1379" s="20" t="s">
        <v>3891</v>
      </c>
      <c r="O1379" s="20" t="s">
        <v>3892</v>
      </c>
      <c r="P1379" s="20" t="s">
        <v>3893</v>
      </c>
      <c r="Q1379" s="21">
        <v>134.30000000000001</v>
      </c>
      <c r="R1379" s="21">
        <v>145.69999999999999</v>
      </c>
      <c r="S1379" s="21">
        <v>5.7</v>
      </c>
      <c r="T1379" s="22">
        <v>1.37</v>
      </c>
      <c r="U1379" s="13">
        <f t="shared" si="87"/>
        <v>-2.91</v>
      </c>
      <c r="V1379" s="23">
        <v>167.82</v>
      </c>
      <c r="W1379" s="23">
        <v>167.82</v>
      </c>
      <c r="X1379" s="20">
        <v>197</v>
      </c>
      <c r="Y1379" s="24" t="s">
        <v>3713</v>
      </c>
      <c r="Z1379" s="16">
        <v>85.82</v>
      </c>
      <c r="AA1379" s="17">
        <v>104.7</v>
      </c>
      <c r="AB1379" s="25" t="s">
        <v>4119</v>
      </c>
    </row>
    <row r="1380" spans="1:28" x14ac:dyDescent="0.45">
      <c r="A1380" s="4" t="s">
        <v>1973</v>
      </c>
      <c r="B1380" s="4" t="s">
        <v>6475</v>
      </c>
      <c r="C1380" s="4" t="s">
        <v>1110</v>
      </c>
      <c r="D1380" s="4" t="s">
        <v>1509</v>
      </c>
      <c r="E1380" s="4" t="s">
        <v>96</v>
      </c>
      <c r="F1380" s="5">
        <v>134.4</v>
      </c>
      <c r="G1380" s="5">
        <v>140.6</v>
      </c>
      <c r="H1380" s="4" t="s">
        <v>1221</v>
      </c>
      <c r="I1380" s="10">
        <v>52</v>
      </c>
      <c r="J1380" s="34">
        <f t="shared" si="84"/>
        <v>0.45239999999999997</v>
      </c>
      <c r="K1380" s="34">
        <f t="shared" si="85"/>
        <v>0.68</v>
      </c>
      <c r="L1380" s="34">
        <f t="shared" si="86"/>
        <v>2.72</v>
      </c>
      <c r="M1380" s="11" t="s">
        <v>4234</v>
      </c>
      <c r="N1380" s="11" t="s">
        <v>3891</v>
      </c>
      <c r="O1380" s="11" t="s">
        <v>3892</v>
      </c>
      <c r="P1380" s="11" t="s">
        <v>3893</v>
      </c>
      <c r="Q1380" s="12">
        <v>134.4</v>
      </c>
      <c r="R1380" s="12">
        <v>140.6</v>
      </c>
      <c r="S1380" s="12">
        <v>3.1</v>
      </c>
      <c r="T1380" s="13">
        <v>1.36</v>
      </c>
      <c r="U1380" s="13">
        <f t="shared" si="87"/>
        <v>-1.36</v>
      </c>
      <c r="V1380" s="14">
        <v>166.6</v>
      </c>
      <c r="W1380" s="14">
        <v>166.6</v>
      </c>
      <c r="X1380" s="11">
        <v>15</v>
      </c>
      <c r="Y1380" s="15" t="s">
        <v>3713</v>
      </c>
      <c r="Z1380" s="16">
        <v>114.6</v>
      </c>
      <c r="AA1380" s="17">
        <v>220.4</v>
      </c>
      <c r="AB1380" s="18" t="s">
        <v>3714</v>
      </c>
    </row>
    <row r="1381" spans="1:28" x14ac:dyDescent="0.45">
      <c r="A1381" s="2" t="s">
        <v>1974</v>
      </c>
      <c r="B1381" s="2" t="s">
        <v>6476</v>
      </c>
      <c r="C1381" s="2" t="s">
        <v>1110</v>
      </c>
      <c r="D1381" s="2" t="s">
        <v>1509</v>
      </c>
      <c r="E1381" s="2" t="s">
        <v>96</v>
      </c>
      <c r="F1381" s="3">
        <v>135.88999999999999</v>
      </c>
      <c r="G1381" s="3">
        <v>146.55000000000001</v>
      </c>
      <c r="H1381" s="2" t="s">
        <v>1201</v>
      </c>
      <c r="I1381" s="19">
        <v>59</v>
      </c>
      <c r="J1381" s="34">
        <f t="shared" si="84"/>
        <v>0.51329999999999998</v>
      </c>
      <c r="K1381" s="34">
        <f t="shared" si="85"/>
        <v>0.77</v>
      </c>
      <c r="L1381" s="34">
        <f t="shared" si="86"/>
        <v>3.08</v>
      </c>
      <c r="M1381" s="20" t="s">
        <v>4235</v>
      </c>
      <c r="N1381" s="20" t="s">
        <v>3891</v>
      </c>
      <c r="O1381" s="20" t="s">
        <v>3892</v>
      </c>
      <c r="P1381" s="20" t="s">
        <v>3893</v>
      </c>
      <c r="Q1381" s="21">
        <v>135.88999999999999</v>
      </c>
      <c r="R1381" s="21">
        <v>146.55799999999999</v>
      </c>
      <c r="S1381" s="21">
        <v>5.3339999999999996</v>
      </c>
      <c r="T1381" s="22">
        <v>1.19</v>
      </c>
      <c r="U1381" s="13">
        <f t="shared" si="87"/>
        <v>-1.8900000000000001</v>
      </c>
      <c r="V1381" s="23">
        <v>145.78</v>
      </c>
      <c r="W1381" s="23">
        <v>145.78</v>
      </c>
      <c r="X1381" s="20">
        <v>122</v>
      </c>
      <c r="Y1381" s="24" t="s">
        <v>3737</v>
      </c>
      <c r="Z1381" s="16">
        <v>86.78</v>
      </c>
      <c r="AA1381" s="17">
        <v>147.1</v>
      </c>
      <c r="AB1381" s="25" t="s">
        <v>4032</v>
      </c>
    </row>
    <row r="1382" spans="1:28" x14ac:dyDescent="0.45">
      <c r="A1382" s="4" t="s">
        <v>1975</v>
      </c>
      <c r="B1382" s="4" t="s">
        <v>6477</v>
      </c>
      <c r="C1382" s="4" t="s">
        <v>1110</v>
      </c>
      <c r="D1382" s="4" t="s">
        <v>1509</v>
      </c>
      <c r="E1382" s="4" t="s">
        <v>96</v>
      </c>
      <c r="F1382" s="5">
        <v>135.88999999999999</v>
      </c>
      <c r="G1382" s="5">
        <v>149.87</v>
      </c>
      <c r="H1382" s="4" t="s">
        <v>1368</v>
      </c>
      <c r="I1382" s="10">
        <v>89</v>
      </c>
      <c r="J1382" s="34">
        <f t="shared" si="84"/>
        <v>0.77429999999999999</v>
      </c>
      <c r="K1382" s="34">
        <f t="shared" si="85"/>
        <v>1.1599999999999999</v>
      </c>
      <c r="L1382" s="34">
        <f t="shared" si="86"/>
        <v>4.6399999999999997</v>
      </c>
      <c r="M1382" s="11" t="s">
        <v>4236</v>
      </c>
      <c r="N1382" s="11" t="s">
        <v>3891</v>
      </c>
      <c r="O1382" s="11" t="s">
        <v>3892</v>
      </c>
      <c r="P1382" s="11" t="s">
        <v>3893</v>
      </c>
      <c r="Q1382" s="12">
        <v>135.88999999999999</v>
      </c>
      <c r="R1382" s="12">
        <v>149.86000000000001</v>
      </c>
      <c r="S1382" s="12">
        <v>7.1120000000000001</v>
      </c>
      <c r="T1382" s="13">
        <v>1.76</v>
      </c>
      <c r="U1382" s="13">
        <f t="shared" si="87"/>
        <v>-2.88</v>
      </c>
      <c r="V1382" s="14">
        <v>215.6</v>
      </c>
      <c r="W1382" s="14">
        <v>215.6</v>
      </c>
      <c r="X1382" s="11">
        <v>43</v>
      </c>
      <c r="Y1382" s="15" t="s">
        <v>3737</v>
      </c>
      <c r="Z1382" s="16">
        <v>126.6</v>
      </c>
      <c r="AA1382" s="17">
        <v>142.19999999999999</v>
      </c>
      <c r="AB1382" s="18" t="s">
        <v>4032</v>
      </c>
    </row>
    <row r="1383" spans="1:28" x14ac:dyDescent="0.45">
      <c r="A1383" s="2" t="s">
        <v>1976</v>
      </c>
      <c r="B1383" s="2" t="s">
        <v>6478</v>
      </c>
      <c r="C1383" s="2" t="s">
        <v>1110</v>
      </c>
      <c r="D1383" s="2" t="s">
        <v>1509</v>
      </c>
      <c r="E1383" s="2" t="s">
        <v>96</v>
      </c>
      <c r="F1383" s="3">
        <v>135</v>
      </c>
      <c r="G1383" s="3">
        <v>141</v>
      </c>
      <c r="H1383" s="2" t="s">
        <v>1149</v>
      </c>
      <c r="I1383" s="19">
        <v>37</v>
      </c>
      <c r="J1383" s="34">
        <f t="shared" si="84"/>
        <v>0.32189999999999996</v>
      </c>
      <c r="K1383" s="34">
        <f t="shared" si="85"/>
        <v>0.48</v>
      </c>
      <c r="L1383" s="34">
        <f t="shared" si="86"/>
        <v>1.92</v>
      </c>
      <c r="M1383" s="20" t="s">
        <v>4534</v>
      </c>
      <c r="N1383" s="20" t="s">
        <v>3891</v>
      </c>
      <c r="O1383" s="20" t="s">
        <v>3892</v>
      </c>
      <c r="P1383" s="20" t="s">
        <v>3893</v>
      </c>
      <c r="Q1383" s="21">
        <v>135</v>
      </c>
      <c r="R1383" s="21">
        <v>141</v>
      </c>
      <c r="S1383" s="21">
        <v>3</v>
      </c>
      <c r="T1383" s="22">
        <v>0.69</v>
      </c>
      <c r="U1383" s="13">
        <f t="shared" si="87"/>
        <v>-1.23</v>
      </c>
      <c r="V1383" s="23">
        <v>84.52</v>
      </c>
      <c r="W1383" s="23">
        <v>84.52</v>
      </c>
      <c r="X1383" s="20">
        <v>25</v>
      </c>
      <c r="Y1383" s="24" t="s">
        <v>3713</v>
      </c>
      <c r="Z1383" s="16">
        <v>47.52</v>
      </c>
      <c r="AA1383" s="17">
        <v>128.4</v>
      </c>
      <c r="AB1383" s="25" t="s">
        <v>3714</v>
      </c>
    </row>
    <row r="1384" spans="1:28" x14ac:dyDescent="0.45">
      <c r="A1384" s="4" t="s">
        <v>1977</v>
      </c>
      <c r="B1384" s="4" t="s">
        <v>6479</v>
      </c>
      <c r="C1384" s="4" t="s">
        <v>1110</v>
      </c>
      <c r="D1384" s="4" t="s">
        <v>1509</v>
      </c>
      <c r="E1384" s="4" t="s">
        <v>96</v>
      </c>
      <c r="F1384" s="5">
        <v>135</v>
      </c>
      <c r="G1384" s="5">
        <v>145</v>
      </c>
      <c r="H1384" s="4" t="s">
        <v>1245</v>
      </c>
      <c r="I1384" s="10">
        <v>64</v>
      </c>
      <c r="J1384" s="34">
        <f t="shared" si="84"/>
        <v>0.55679999999999996</v>
      </c>
      <c r="K1384" s="34">
        <f t="shared" si="85"/>
        <v>0.84</v>
      </c>
      <c r="L1384" s="34">
        <f t="shared" si="86"/>
        <v>3.36</v>
      </c>
      <c r="M1384" s="11" t="s">
        <v>4535</v>
      </c>
      <c r="N1384" s="11" t="s">
        <v>3891</v>
      </c>
      <c r="O1384" s="11" t="s">
        <v>3892</v>
      </c>
      <c r="P1384" s="11" t="s">
        <v>3893</v>
      </c>
      <c r="Q1384" s="12">
        <v>135</v>
      </c>
      <c r="R1384" s="12">
        <v>145</v>
      </c>
      <c r="S1384" s="12">
        <v>5</v>
      </c>
      <c r="T1384" s="13">
        <v>1.21</v>
      </c>
      <c r="U1384" s="13">
        <f t="shared" si="87"/>
        <v>-2.15</v>
      </c>
      <c r="V1384" s="14">
        <v>148.22</v>
      </c>
      <c r="W1384" s="14">
        <v>148.22</v>
      </c>
      <c r="X1384" s="11">
        <v>52</v>
      </c>
      <c r="Y1384" s="15" t="s">
        <v>3713</v>
      </c>
      <c r="Z1384" s="16">
        <v>84.22</v>
      </c>
      <c r="AA1384" s="17">
        <v>131.6</v>
      </c>
      <c r="AB1384" s="18" t="s">
        <v>3714</v>
      </c>
    </row>
    <row r="1385" spans="1:28" x14ac:dyDescent="0.45">
      <c r="A1385" s="2" t="s">
        <v>1978</v>
      </c>
      <c r="B1385" s="2" t="s">
        <v>6480</v>
      </c>
      <c r="C1385" s="2" t="s">
        <v>1110</v>
      </c>
      <c r="D1385" s="2" t="s">
        <v>1509</v>
      </c>
      <c r="E1385" s="2" t="s">
        <v>96</v>
      </c>
      <c r="F1385" s="3">
        <v>136.12</v>
      </c>
      <c r="G1385" s="3">
        <v>143.18</v>
      </c>
      <c r="H1385" s="2" t="s">
        <v>1156</v>
      </c>
      <c r="I1385" s="19">
        <v>35</v>
      </c>
      <c r="J1385" s="34">
        <f t="shared" si="84"/>
        <v>0.30449999999999999</v>
      </c>
      <c r="K1385" s="34">
        <f t="shared" si="85"/>
        <v>0.46</v>
      </c>
      <c r="L1385" s="34">
        <f t="shared" si="86"/>
        <v>1.84</v>
      </c>
      <c r="M1385" s="20" t="s">
        <v>4237</v>
      </c>
      <c r="N1385" s="20" t="s">
        <v>3891</v>
      </c>
      <c r="O1385" s="20" t="s">
        <v>3892</v>
      </c>
      <c r="P1385" s="20" t="s">
        <v>3893</v>
      </c>
      <c r="Q1385" s="21">
        <v>136.14400000000001</v>
      </c>
      <c r="R1385" s="21">
        <v>143.256</v>
      </c>
      <c r="S1385" s="21">
        <v>3.556</v>
      </c>
      <c r="T1385" s="22">
        <v>0.88</v>
      </c>
      <c r="U1385" s="13">
        <f t="shared" si="87"/>
        <v>-0.96000000000000008</v>
      </c>
      <c r="V1385" s="23">
        <v>107.8</v>
      </c>
      <c r="W1385" s="23">
        <v>107.8</v>
      </c>
      <c r="X1385" s="20">
        <v>253</v>
      </c>
      <c r="Y1385" s="24" t="s">
        <v>3737</v>
      </c>
      <c r="Z1385" s="16">
        <v>72.8</v>
      </c>
      <c r="AA1385" s="17">
        <v>208</v>
      </c>
      <c r="AB1385" s="25" t="s">
        <v>3945</v>
      </c>
    </row>
    <row r="1386" spans="1:28" x14ac:dyDescent="0.45">
      <c r="A1386" s="4" t="s">
        <v>1979</v>
      </c>
      <c r="B1386" s="4" t="s">
        <v>6481</v>
      </c>
      <c r="C1386" s="4" t="s">
        <v>1110</v>
      </c>
      <c r="D1386" s="4" t="s">
        <v>1509</v>
      </c>
      <c r="E1386" s="4" t="s">
        <v>96</v>
      </c>
      <c r="F1386" s="5">
        <v>137</v>
      </c>
      <c r="G1386" s="5">
        <v>143</v>
      </c>
      <c r="H1386" s="4" t="s">
        <v>1149</v>
      </c>
      <c r="I1386" s="10">
        <v>35</v>
      </c>
      <c r="J1386" s="34">
        <f t="shared" si="84"/>
        <v>0.30449999999999999</v>
      </c>
      <c r="K1386" s="34">
        <f t="shared" si="85"/>
        <v>0.46</v>
      </c>
      <c r="L1386" s="34">
        <f t="shared" si="86"/>
        <v>1.84</v>
      </c>
      <c r="M1386" s="11" t="s">
        <v>4536</v>
      </c>
      <c r="N1386" s="11" t="s">
        <v>3891</v>
      </c>
      <c r="O1386" s="11" t="s">
        <v>3892</v>
      </c>
      <c r="P1386" s="11" t="s">
        <v>3893</v>
      </c>
      <c r="Q1386" s="12">
        <v>137</v>
      </c>
      <c r="R1386" s="12">
        <v>143</v>
      </c>
      <c r="S1386" s="12">
        <v>3</v>
      </c>
      <c r="T1386" s="13">
        <v>1.51</v>
      </c>
      <c r="U1386" s="13">
        <f t="shared" si="87"/>
        <v>-0.33000000000000007</v>
      </c>
      <c r="V1386" s="14">
        <v>184.98</v>
      </c>
      <c r="W1386" s="14">
        <v>184.98</v>
      </c>
      <c r="X1386" s="11">
        <v>38</v>
      </c>
      <c r="Y1386" s="15" t="s">
        <v>3713</v>
      </c>
      <c r="Z1386" s="16">
        <v>149.97999999999999</v>
      </c>
      <c r="AA1386" s="17">
        <v>428.5</v>
      </c>
      <c r="AB1386" s="18" t="s">
        <v>3714</v>
      </c>
    </row>
    <row r="1387" spans="1:28" x14ac:dyDescent="0.45">
      <c r="A1387" s="2" t="s">
        <v>1980</v>
      </c>
      <c r="B1387" s="2" t="s">
        <v>6482</v>
      </c>
      <c r="C1387" s="2" t="s">
        <v>1110</v>
      </c>
      <c r="D1387" s="2" t="s">
        <v>1509</v>
      </c>
      <c r="E1387" s="2" t="s">
        <v>96</v>
      </c>
      <c r="F1387" s="3">
        <v>139.07</v>
      </c>
      <c r="G1387" s="3">
        <v>149.72999999999999</v>
      </c>
      <c r="H1387" s="2" t="s">
        <v>1201</v>
      </c>
      <c r="I1387" s="19">
        <v>61</v>
      </c>
      <c r="J1387" s="34">
        <f t="shared" si="84"/>
        <v>0.53069999999999995</v>
      </c>
      <c r="K1387" s="34">
        <f t="shared" si="85"/>
        <v>0.8</v>
      </c>
      <c r="L1387" s="34">
        <f t="shared" si="86"/>
        <v>3.2</v>
      </c>
      <c r="M1387" s="20" t="s">
        <v>4238</v>
      </c>
      <c r="N1387" s="20" t="s">
        <v>3891</v>
      </c>
      <c r="O1387" s="20" t="s">
        <v>3892</v>
      </c>
      <c r="P1387" s="20" t="s">
        <v>3893</v>
      </c>
      <c r="Q1387" s="21">
        <v>138.93799999999999</v>
      </c>
      <c r="R1387" s="21">
        <v>149.60599999999999</v>
      </c>
      <c r="S1387" s="21">
        <v>5.3339999999999996</v>
      </c>
      <c r="T1387" s="22">
        <v>1.21</v>
      </c>
      <c r="U1387" s="13">
        <f t="shared" si="87"/>
        <v>-1.9900000000000002</v>
      </c>
      <c r="V1387" s="23">
        <v>148.22</v>
      </c>
      <c r="W1387" s="23">
        <v>148.22</v>
      </c>
      <c r="X1387" s="20">
        <v>99</v>
      </c>
      <c r="Y1387" s="24" t="s">
        <v>3737</v>
      </c>
      <c r="Z1387" s="16">
        <v>87.22</v>
      </c>
      <c r="AA1387" s="17">
        <v>143</v>
      </c>
      <c r="AB1387" s="25" t="s">
        <v>4189</v>
      </c>
    </row>
    <row r="1388" spans="1:28" x14ac:dyDescent="0.45">
      <c r="A1388" s="4" t="s">
        <v>1981</v>
      </c>
      <c r="B1388" s="4" t="s">
        <v>6483</v>
      </c>
      <c r="C1388" s="4" t="s">
        <v>1110</v>
      </c>
      <c r="D1388" s="4" t="s">
        <v>1509</v>
      </c>
      <c r="E1388" s="4" t="s">
        <v>96</v>
      </c>
      <c r="F1388" s="5">
        <v>139.07</v>
      </c>
      <c r="G1388" s="5">
        <v>153.05000000000001</v>
      </c>
      <c r="H1388" s="4" t="s">
        <v>1368</v>
      </c>
      <c r="I1388" s="10">
        <v>93</v>
      </c>
      <c r="J1388" s="34">
        <f t="shared" si="84"/>
        <v>0.80909999999999993</v>
      </c>
      <c r="K1388" s="34">
        <f t="shared" si="85"/>
        <v>1.21</v>
      </c>
      <c r="L1388" s="34">
        <f t="shared" si="86"/>
        <v>4.84</v>
      </c>
      <c r="M1388" s="11" t="s">
        <v>4239</v>
      </c>
      <c r="N1388" s="11" t="s">
        <v>3891</v>
      </c>
      <c r="O1388" s="11" t="s">
        <v>3892</v>
      </c>
      <c r="P1388" s="11" t="s">
        <v>3893</v>
      </c>
      <c r="Q1388" s="12">
        <v>138.93799999999999</v>
      </c>
      <c r="R1388" s="12">
        <v>153.16200000000001</v>
      </c>
      <c r="S1388" s="12">
        <v>7.1120000000000001</v>
      </c>
      <c r="T1388" s="13">
        <v>2.34</v>
      </c>
      <c r="U1388" s="13">
        <f t="shared" si="87"/>
        <v>-2.5</v>
      </c>
      <c r="V1388" s="14">
        <v>286.64999999999998</v>
      </c>
      <c r="W1388" s="14">
        <v>286.64999999999998</v>
      </c>
      <c r="X1388" s="11">
        <v>200</v>
      </c>
      <c r="Y1388" s="15" t="s">
        <v>3737</v>
      </c>
      <c r="Z1388" s="16">
        <v>193.65</v>
      </c>
      <c r="AA1388" s="17">
        <v>208.2</v>
      </c>
      <c r="AB1388" s="18" t="s">
        <v>4199</v>
      </c>
    </row>
    <row r="1389" spans="1:28" x14ac:dyDescent="0.45">
      <c r="A1389" s="2" t="s">
        <v>1982</v>
      </c>
      <c r="B1389" s="2" t="s">
        <v>6484</v>
      </c>
      <c r="C1389" s="2" t="s">
        <v>1110</v>
      </c>
      <c r="D1389" s="2" t="s">
        <v>1509</v>
      </c>
      <c r="E1389" s="2" t="s">
        <v>96</v>
      </c>
      <c r="F1389" s="3">
        <v>139.29</v>
      </c>
      <c r="G1389" s="3">
        <v>146.35</v>
      </c>
      <c r="H1389" s="2" t="s">
        <v>1156</v>
      </c>
      <c r="I1389" s="19">
        <v>35</v>
      </c>
      <c r="J1389" s="34">
        <f t="shared" si="84"/>
        <v>0.30449999999999999</v>
      </c>
      <c r="K1389" s="34">
        <f t="shared" si="85"/>
        <v>0.46</v>
      </c>
      <c r="L1389" s="34">
        <f t="shared" si="86"/>
        <v>1.84</v>
      </c>
      <c r="M1389" s="20" t="s">
        <v>4240</v>
      </c>
      <c r="N1389" s="20" t="s">
        <v>3891</v>
      </c>
      <c r="O1389" s="20" t="s">
        <v>3892</v>
      </c>
      <c r="P1389" s="20" t="s">
        <v>3893</v>
      </c>
      <c r="Q1389" s="21">
        <v>139.19200000000001</v>
      </c>
      <c r="R1389" s="21">
        <v>146.304</v>
      </c>
      <c r="S1389" s="21">
        <v>3.556</v>
      </c>
      <c r="T1389" s="22">
        <v>0.9</v>
      </c>
      <c r="U1389" s="13">
        <f t="shared" si="87"/>
        <v>-0.94000000000000006</v>
      </c>
      <c r="V1389" s="23">
        <v>110.25</v>
      </c>
      <c r="W1389" s="23">
        <v>110.25</v>
      </c>
      <c r="X1389" s="20">
        <v>308</v>
      </c>
      <c r="Y1389" s="24" t="s">
        <v>3737</v>
      </c>
      <c r="Z1389" s="16">
        <v>75.25</v>
      </c>
      <c r="AA1389" s="17">
        <v>215</v>
      </c>
      <c r="AB1389" s="25" t="s">
        <v>3963</v>
      </c>
    </row>
    <row r="1390" spans="1:28" x14ac:dyDescent="0.45">
      <c r="A1390" s="4" t="s">
        <v>1983</v>
      </c>
      <c r="B1390" s="4" t="s">
        <v>6485</v>
      </c>
      <c r="C1390" s="4" t="s">
        <v>1110</v>
      </c>
      <c r="D1390" s="4" t="s">
        <v>1509</v>
      </c>
      <c r="E1390" s="4" t="s">
        <v>96</v>
      </c>
      <c r="F1390" s="5">
        <v>139.19999999999999</v>
      </c>
      <c r="G1390" s="5">
        <v>150.6</v>
      </c>
      <c r="H1390" s="4" t="s">
        <v>1297</v>
      </c>
      <c r="I1390" s="10">
        <v>89</v>
      </c>
      <c r="J1390" s="34">
        <f t="shared" si="84"/>
        <v>0.77429999999999999</v>
      </c>
      <c r="K1390" s="34">
        <f t="shared" si="85"/>
        <v>1.1599999999999999</v>
      </c>
      <c r="L1390" s="34">
        <f t="shared" si="86"/>
        <v>4.6399999999999997</v>
      </c>
      <c r="M1390" s="11" t="s">
        <v>4241</v>
      </c>
      <c r="N1390" s="11" t="s">
        <v>3891</v>
      </c>
      <c r="O1390" s="11" t="s">
        <v>3892</v>
      </c>
      <c r="P1390" s="11" t="s">
        <v>3893</v>
      </c>
      <c r="Q1390" s="12">
        <v>139.30000000000001</v>
      </c>
      <c r="R1390" s="12">
        <v>150.69999999999999</v>
      </c>
      <c r="S1390" s="12">
        <v>5.7</v>
      </c>
      <c r="T1390" s="13">
        <v>1.41</v>
      </c>
      <c r="U1390" s="13">
        <f t="shared" si="87"/>
        <v>-3.2299999999999995</v>
      </c>
      <c r="V1390" s="14">
        <v>172.72</v>
      </c>
      <c r="W1390" s="14">
        <v>172.72</v>
      </c>
      <c r="X1390" s="11">
        <v>120</v>
      </c>
      <c r="Y1390" s="15" t="s">
        <v>3713</v>
      </c>
      <c r="Z1390" s="16">
        <v>83.72</v>
      </c>
      <c r="AA1390" s="17">
        <v>94.1</v>
      </c>
      <c r="AB1390" s="18" t="s">
        <v>4119</v>
      </c>
    </row>
    <row r="1391" spans="1:28" x14ac:dyDescent="0.45">
      <c r="A1391" s="2" t="s">
        <v>1984</v>
      </c>
      <c r="B1391" s="2" t="s">
        <v>6486</v>
      </c>
      <c r="C1391" s="2" t="s">
        <v>1110</v>
      </c>
      <c r="D1391" s="2" t="s">
        <v>1509</v>
      </c>
      <c r="E1391" s="2" t="s">
        <v>96</v>
      </c>
      <c r="F1391" s="3">
        <v>139.4</v>
      </c>
      <c r="G1391" s="3">
        <v>145.6</v>
      </c>
      <c r="H1391" s="2" t="s">
        <v>1221</v>
      </c>
      <c r="I1391" s="19">
        <v>57</v>
      </c>
      <c r="J1391" s="34">
        <f t="shared" si="84"/>
        <v>0.49589999999999995</v>
      </c>
      <c r="K1391" s="34">
        <f t="shared" si="85"/>
        <v>0.74</v>
      </c>
      <c r="L1391" s="34">
        <f t="shared" si="86"/>
        <v>2.96</v>
      </c>
      <c r="M1391" s="20" t="s">
        <v>4242</v>
      </c>
      <c r="N1391" s="20" t="s">
        <v>3891</v>
      </c>
      <c r="O1391" s="20" t="s">
        <v>3892</v>
      </c>
      <c r="P1391" s="20" t="s">
        <v>3893</v>
      </c>
      <c r="Q1391" s="21">
        <v>139.4</v>
      </c>
      <c r="R1391" s="21">
        <v>145.6</v>
      </c>
      <c r="S1391" s="21">
        <v>3.1</v>
      </c>
      <c r="T1391" s="22">
        <v>0.89</v>
      </c>
      <c r="U1391" s="13">
        <f t="shared" si="87"/>
        <v>-2.0699999999999998</v>
      </c>
      <c r="V1391" s="23">
        <v>109.02</v>
      </c>
      <c r="W1391" s="23">
        <v>109.02</v>
      </c>
      <c r="X1391" s="20">
        <v>26</v>
      </c>
      <c r="Y1391" s="24" t="s">
        <v>3713</v>
      </c>
      <c r="Z1391" s="16">
        <v>52.02</v>
      </c>
      <c r="AA1391" s="17">
        <v>91.3</v>
      </c>
      <c r="AB1391" s="25" t="s">
        <v>3714</v>
      </c>
    </row>
    <row r="1392" spans="1:28" x14ac:dyDescent="0.45">
      <c r="A1392" s="4" t="s">
        <v>1985</v>
      </c>
      <c r="B1392" s="4" t="s">
        <v>6487</v>
      </c>
      <c r="C1392" s="4" t="s">
        <v>1110</v>
      </c>
      <c r="D1392" s="4" t="s">
        <v>1509</v>
      </c>
      <c r="E1392" s="4" t="s">
        <v>96</v>
      </c>
      <c r="F1392" s="5">
        <v>140</v>
      </c>
      <c r="G1392" s="5">
        <v>150</v>
      </c>
      <c r="H1392" s="4" t="s">
        <v>1245</v>
      </c>
      <c r="I1392" s="10">
        <v>67</v>
      </c>
      <c r="J1392" s="34">
        <f t="shared" si="84"/>
        <v>0.58289999999999997</v>
      </c>
      <c r="K1392" s="34">
        <f t="shared" si="85"/>
        <v>0.87</v>
      </c>
      <c r="L1392" s="34">
        <f t="shared" si="86"/>
        <v>3.48</v>
      </c>
      <c r="M1392" s="11" t="s">
        <v>4243</v>
      </c>
      <c r="N1392" s="11" t="s">
        <v>3891</v>
      </c>
      <c r="O1392" s="11" t="s">
        <v>3892</v>
      </c>
      <c r="P1392" s="11" t="s">
        <v>3893</v>
      </c>
      <c r="Q1392" s="12">
        <v>140</v>
      </c>
      <c r="R1392" s="12">
        <v>150</v>
      </c>
      <c r="S1392" s="12">
        <v>5</v>
      </c>
      <c r="T1392" s="13">
        <v>1.1499999999999999</v>
      </c>
      <c r="U1392" s="13">
        <f t="shared" si="87"/>
        <v>-2.33</v>
      </c>
      <c r="V1392" s="14">
        <v>140.88</v>
      </c>
      <c r="W1392" s="14">
        <v>140.88</v>
      </c>
      <c r="X1392" s="11">
        <v>4</v>
      </c>
      <c r="Y1392" s="15" t="s">
        <v>3713</v>
      </c>
      <c r="Z1392" s="16">
        <v>73.88</v>
      </c>
      <c r="AA1392" s="17">
        <v>110.3</v>
      </c>
      <c r="AB1392" s="18" t="s">
        <v>3714</v>
      </c>
    </row>
    <row r="1393" spans="1:28" x14ac:dyDescent="0.45">
      <c r="A1393" s="2" t="s">
        <v>1986</v>
      </c>
      <c r="B1393" s="2" t="s">
        <v>6488</v>
      </c>
      <c r="C1393" s="2" t="s">
        <v>1110</v>
      </c>
      <c r="D1393" s="2" t="s">
        <v>1509</v>
      </c>
      <c r="E1393" s="2" t="s">
        <v>96</v>
      </c>
      <c r="F1393" s="3">
        <v>142.24</v>
      </c>
      <c r="G1393" s="3">
        <v>152.9</v>
      </c>
      <c r="H1393" s="2" t="s">
        <v>1201</v>
      </c>
      <c r="I1393" s="19">
        <v>62</v>
      </c>
      <c r="J1393" s="34">
        <f t="shared" si="84"/>
        <v>0.53939999999999999</v>
      </c>
      <c r="K1393" s="34">
        <f t="shared" si="85"/>
        <v>0.81</v>
      </c>
      <c r="L1393" s="34">
        <f t="shared" si="86"/>
        <v>3.24</v>
      </c>
      <c r="M1393" s="20" t="s">
        <v>4244</v>
      </c>
      <c r="N1393" s="20" t="s">
        <v>3891</v>
      </c>
      <c r="O1393" s="20" t="s">
        <v>3892</v>
      </c>
      <c r="P1393" s="20" t="s">
        <v>3893</v>
      </c>
      <c r="Q1393" s="21">
        <v>142.24</v>
      </c>
      <c r="R1393" s="21">
        <v>152.90799999999999</v>
      </c>
      <c r="S1393" s="21">
        <v>5.3339999999999996</v>
      </c>
      <c r="T1393" s="22">
        <v>1.44</v>
      </c>
      <c r="U1393" s="13">
        <f t="shared" si="87"/>
        <v>-1.8000000000000003</v>
      </c>
      <c r="V1393" s="23">
        <v>176.4</v>
      </c>
      <c r="W1393" s="23">
        <v>176.4</v>
      </c>
      <c r="X1393" s="20">
        <v>49</v>
      </c>
      <c r="Y1393" s="24" t="s">
        <v>3737</v>
      </c>
      <c r="Z1393" s="16">
        <v>114.4</v>
      </c>
      <c r="AA1393" s="17">
        <v>184.5</v>
      </c>
      <c r="AB1393" s="25" t="s">
        <v>4032</v>
      </c>
    </row>
    <row r="1394" spans="1:28" x14ac:dyDescent="0.45">
      <c r="A1394" s="4" t="s">
        <v>1987</v>
      </c>
      <c r="B1394" s="4" t="s">
        <v>6489</v>
      </c>
      <c r="C1394" s="4" t="s">
        <v>1110</v>
      </c>
      <c r="D1394" s="4" t="s">
        <v>1509</v>
      </c>
      <c r="E1394" s="4" t="s">
        <v>96</v>
      </c>
      <c r="F1394" s="5">
        <v>142.24</v>
      </c>
      <c r="G1394" s="5">
        <v>156.22</v>
      </c>
      <c r="H1394" s="4" t="s">
        <v>1368</v>
      </c>
      <c r="I1394" s="10">
        <v>93</v>
      </c>
      <c r="J1394" s="34">
        <f t="shared" si="84"/>
        <v>0.80909999999999993</v>
      </c>
      <c r="K1394" s="34">
        <f t="shared" si="85"/>
        <v>1.21</v>
      </c>
      <c r="L1394" s="34">
        <f t="shared" si="86"/>
        <v>4.84</v>
      </c>
      <c r="M1394" s="11" t="s">
        <v>4245</v>
      </c>
      <c r="N1394" s="11" t="s">
        <v>3891</v>
      </c>
      <c r="O1394" s="11" t="s">
        <v>3892</v>
      </c>
      <c r="P1394" s="11" t="s">
        <v>3893</v>
      </c>
      <c r="Q1394" s="12">
        <v>142.24</v>
      </c>
      <c r="R1394" s="12">
        <v>156.21</v>
      </c>
      <c r="S1394" s="12">
        <v>7.1120000000000001</v>
      </c>
      <c r="T1394" s="13">
        <v>1.87</v>
      </c>
      <c r="U1394" s="13">
        <f t="shared" si="87"/>
        <v>-2.9699999999999998</v>
      </c>
      <c r="V1394" s="14">
        <v>229.08</v>
      </c>
      <c r="W1394" s="14">
        <v>229.08</v>
      </c>
      <c r="X1394" s="11">
        <v>256</v>
      </c>
      <c r="Y1394" s="15" t="s">
        <v>3737</v>
      </c>
      <c r="Z1394" s="16">
        <v>136.08000000000001</v>
      </c>
      <c r="AA1394" s="17">
        <v>146.30000000000001</v>
      </c>
      <c r="AB1394" s="18" t="s">
        <v>4032</v>
      </c>
    </row>
    <row r="1395" spans="1:28" x14ac:dyDescent="0.45">
      <c r="A1395" s="2" t="s">
        <v>1988</v>
      </c>
      <c r="B1395" s="2" t="s">
        <v>6490</v>
      </c>
      <c r="C1395" s="2" t="s">
        <v>1110</v>
      </c>
      <c r="D1395" s="2" t="s">
        <v>1509</v>
      </c>
      <c r="E1395" s="2" t="s">
        <v>96</v>
      </c>
      <c r="F1395" s="3">
        <v>142.47</v>
      </c>
      <c r="G1395" s="3">
        <v>149.53</v>
      </c>
      <c r="H1395" s="2" t="s">
        <v>1156</v>
      </c>
      <c r="I1395" s="19">
        <v>35</v>
      </c>
      <c r="J1395" s="34">
        <f t="shared" si="84"/>
        <v>0.30449999999999999</v>
      </c>
      <c r="K1395" s="34">
        <f t="shared" si="85"/>
        <v>0.46</v>
      </c>
      <c r="L1395" s="34">
        <f t="shared" si="86"/>
        <v>1.84</v>
      </c>
      <c r="M1395" s="20" t="s">
        <v>4246</v>
      </c>
      <c r="N1395" s="20" t="s">
        <v>3891</v>
      </c>
      <c r="O1395" s="20" t="s">
        <v>3892</v>
      </c>
      <c r="P1395" s="20" t="s">
        <v>3893</v>
      </c>
      <c r="Q1395" s="21">
        <v>142.494</v>
      </c>
      <c r="R1395" s="21">
        <v>149.60599999999999</v>
      </c>
      <c r="S1395" s="21">
        <v>3.556</v>
      </c>
      <c r="T1395" s="22">
        <v>0.9</v>
      </c>
      <c r="U1395" s="13">
        <f t="shared" si="87"/>
        <v>-0.94000000000000006</v>
      </c>
      <c r="V1395" s="23">
        <v>110.25</v>
      </c>
      <c r="W1395" s="23">
        <v>110.25</v>
      </c>
      <c r="X1395" s="20">
        <v>132</v>
      </c>
      <c r="Y1395" s="24" t="s">
        <v>3737</v>
      </c>
      <c r="Z1395" s="16">
        <v>75.25</v>
      </c>
      <c r="AA1395" s="17">
        <v>215</v>
      </c>
      <c r="AB1395" s="25" t="s">
        <v>3945</v>
      </c>
    </row>
    <row r="1396" spans="1:28" x14ac:dyDescent="0.45">
      <c r="A1396" s="4" t="s">
        <v>1989</v>
      </c>
      <c r="B1396" s="4" t="s">
        <v>6491</v>
      </c>
      <c r="C1396" s="4" t="s">
        <v>1110</v>
      </c>
      <c r="D1396" s="4" t="s">
        <v>1509</v>
      </c>
      <c r="E1396" s="4" t="s">
        <v>96</v>
      </c>
      <c r="F1396" s="5">
        <v>144.19999999999999</v>
      </c>
      <c r="G1396" s="5">
        <v>155.6</v>
      </c>
      <c r="H1396" s="4" t="s">
        <v>1297</v>
      </c>
      <c r="I1396" s="10">
        <v>93</v>
      </c>
      <c r="J1396" s="34">
        <f t="shared" si="84"/>
        <v>0.80909999999999993</v>
      </c>
      <c r="K1396" s="34">
        <f t="shared" si="85"/>
        <v>1.21</v>
      </c>
      <c r="L1396" s="34">
        <f t="shared" si="86"/>
        <v>4.84</v>
      </c>
      <c r="M1396" s="11" t="s">
        <v>4247</v>
      </c>
      <c r="N1396" s="11" t="s">
        <v>3891</v>
      </c>
      <c r="O1396" s="11" t="s">
        <v>3892</v>
      </c>
      <c r="P1396" s="11" t="s">
        <v>3893</v>
      </c>
      <c r="Q1396" s="12">
        <v>144.30000000000001</v>
      </c>
      <c r="R1396" s="12">
        <v>155.69999999999999</v>
      </c>
      <c r="S1396" s="12">
        <v>5.7</v>
      </c>
      <c r="T1396" s="13">
        <v>1.57</v>
      </c>
      <c r="U1396" s="13">
        <f t="shared" si="87"/>
        <v>-3.2699999999999996</v>
      </c>
      <c r="V1396" s="14">
        <v>192.32</v>
      </c>
      <c r="W1396" s="14">
        <v>192.32</v>
      </c>
      <c r="X1396" s="11">
        <v>20</v>
      </c>
      <c r="Y1396" s="15" t="s">
        <v>3713</v>
      </c>
      <c r="Z1396" s="16">
        <v>99.32</v>
      </c>
      <c r="AA1396" s="17">
        <v>106.8</v>
      </c>
      <c r="AB1396" s="18" t="s">
        <v>4119</v>
      </c>
    </row>
    <row r="1397" spans="1:28" x14ac:dyDescent="0.45">
      <c r="A1397" s="2" t="s">
        <v>1990</v>
      </c>
      <c r="B1397" s="2" t="s">
        <v>6492</v>
      </c>
      <c r="C1397" s="2" t="s">
        <v>1110</v>
      </c>
      <c r="D1397" s="2" t="s">
        <v>1509</v>
      </c>
      <c r="E1397" s="2" t="s">
        <v>96</v>
      </c>
      <c r="F1397" s="3">
        <v>144.4</v>
      </c>
      <c r="G1397" s="3">
        <v>150.6</v>
      </c>
      <c r="H1397" s="2" t="s">
        <v>1221</v>
      </c>
      <c r="I1397" s="19">
        <v>59</v>
      </c>
      <c r="J1397" s="34">
        <f t="shared" si="84"/>
        <v>0.51329999999999998</v>
      </c>
      <c r="K1397" s="34">
        <f t="shared" si="85"/>
        <v>0.77</v>
      </c>
      <c r="L1397" s="34">
        <f t="shared" si="86"/>
        <v>3.08</v>
      </c>
      <c r="M1397" s="20" t="s">
        <v>4537</v>
      </c>
      <c r="N1397" s="20" t="s">
        <v>3891</v>
      </c>
      <c r="O1397" s="20" t="s">
        <v>3892</v>
      </c>
      <c r="P1397" s="20" t="s">
        <v>3893</v>
      </c>
      <c r="Q1397" s="21">
        <v>144.4</v>
      </c>
      <c r="R1397" s="21">
        <v>150.6</v>
      </c>
      <c r="S1397" s="21">
        <v>3.1</v>
      </c>
      <c r="T1397" s="22">
        <v>0.83</v>
      </c>
      <c r="U1397" s="13">
        <f t="shared" si="87"/>
        <v>-2.25</v>
      </c>
      <c r="V1397" s="23">
        <v>101.68</v>
      </c>
      <c r="W1397" s="23">
        <v>101.68</v>
      </c>
      <c r="X1397" s="20">
        <v>12</v>
      </c>
      <c r="Y1397" s="24" t="s">
        <v>3713</v>
      </c>
      <c r="Z1397" s="16">
        <v>42.680000000000007</v>
      </c>
      <c r="AA1397" s="17">
        <v>72.3</v>
      </c>
      <c r="AB1397" s="25" t="s">
        <v>3714</v>
      </c>
    </row>
    <row r="1398" spans="1:28" x14ac:dyDescent="0.45">
      <c r="A1398" s="4" t="s">
        <v>1991</v>
      </c>
      <c r="B1398" s="4" t="s">
        <v>6493</v>
      </c>
      <c r="C1398" s="4" t="s">
        <v>1110</v>
      </c>
      <c r="D1398" s="4" t="s">
        <v>1509</v>
      </c>
      <c r="E1398" s="4" t="s">
        <v>96</v>
      </c>
      <c r="F1398" s="5">
        <v>145.41999999999999</v>
      </c>
      <c r="G1398" s="5">
        <v>156.08000000000001</v>
      </c>
      <c r="H1398" s="4" t="s">
        <v>1201</v>
      </c>
      <c r="I1398" s="10">
        <v>67</v>
      </c>
      <c r="J1398" s="34">
        <f t="shared" si="84"/>
        <v>0.58289999999999997</v>
      </c>
      <c r="K1398" s="34">
        <f t="shared" si="85"/>
        <v>0.87</v>
      </c>
      <c r="L1398" s="34">
        <f t="shared" si="86"/>
        <v>3.48</v>
      </c>
      <c r="M1398" s="11" t="s">
        <v>4248</v>
      </c>
      <c r="N1398" s="11" t="s">
        <v>3891</v>
      </c>
      <c r="O1398" s="11" t="s">
        <v>3892</v>
      </c>
      <c r="P1398" s="11" t="s">
        <v>3893</v>
      </c>
      <c r="Q1398" s="12">
        <v>145.28800000000001</v>
      </c>
      <c r="R1398" s="12">
        <v>155.95599999999999</v>
      </c>
      <c r="S1398" s="12">
        <v>5.3339999999999996</v>
      </c>
      <c r="T1398" s="13">
        <v>1.65</v>
      </c>
      <c r="U1398" s="13">
        <f t="shared" si="87"/>
        <v>-1.83</v>
      </c>
      <c r="V1398" s="14">
        <v>202.12</v>
      </c>
      <c r="W1398" s="14">
        <v>202.12</v>
      </c>
      <c r="X1398" s="11">
        <v>135</v>
      </c>
      <c r="Y1398" s="15" t="s">
        <v>3737</v>
      </c>
      <c r="Z1398" s="16">
        <v>135.12</v>
      </c>
      <c r="AA1398" s="17">
        <v>201.7</v>
      </c>
      <c r="AB1398" s="18" t="s">
        <v>4189</v>
      </c>
    </row>
    <row r="1399" spans="1:28" x14ac:dyDescent="0.45">
      <c r="A1399" s="2" t="s">
        <v>1992</v>
      </c>
      <c r="B1399" s="2" t="s">
        <v>6494</v>
      </c>
      <c r="C1399" s="2" t="s">
        <v>1110</v>
      </c>
      <c r="D1399" s="2" t="s">
        <v>1509</v>
      </c>
      <c r="E1399" s="2" t="s">
        <v>96</v>
      </c>
      <c r="F1399" s="3">
        <v>145.41999999999999</v>
      </c>
      <c r="G1399" s="3">
        <v>159.4</v>
      </c>
      <c r="H1399" s="2" t="s">
        <v>1368</v>
      </c>
      <c r="I1399" s="19">
        <v>94</v>
      </c>
      <c r="J1399" s="34">
        <f t="shared" si="84"/>
        <v>0.81779999999999997</v>
      </c>
      <c r="K1399" s="34">
        <f t="shared" si="85"/>
        <v>1.23</v>
      </c>
      <c r="L1399" s="34">
        <f t="shared" si="86"/>
        <v>4.92</v>
      </c>
      <c r="M1399" s="20" t="s">
        <v>4249</v>
      </c>
      <c r="N1399" s="20" t="s">
        <v>3898</v>
      </c>
      <c r="O1399" s="20" t="s">
        <v>3892</v>
      </c>
      <c r="P1399" s="20" t="s">
        <v>3899</v>
      </c>
      <c r="Q1399" s="21">
        <v>145.28800000000001</v>
      </c>
      <c r="R1399" s="21">
        <v>159.512</v>
      </c>
      <c r="S1399" s="21">
        <v>7.1120000000000001</v>
      </c>
      <c r="T1399" s="22">
        <v>8.9700000000000006</v>
      </c>
      <c r="U1399" s="13">
        <f t="shared" si="87"/>
        <v>4.0500000000000007</v>
      </c>
      <c r="V1399" s="23">
        <v>1098.82</v>
      </c>
      <c r="W1399" s="23">
        <v>1098.82</v>
      </c>
      <c r="X1399" s="20">
        <v>5</v>
      </c>
      <c r="Y1399" s="24" t="s">
        <v>3737</v>
      </c>
      <c r="Z1399" s="16">
        <v>1004.82</v>
      </c>
      <c r="AA1399" s="17">
        <v>1069</v>
      </c>
      <c r="AB1399" s="25" t="s">
        <v>4199</v>
      </c>
    </row>
    <row r="1400" spans="1:28" x14ac:dyDescent="0.45">
      <c r="A1400" s="4" t="s">
        <v>1993</v>
      </c>
      <c r="B1400" s="4" t="s">
        <v>6495</v>
      </c>
      <c r="C1400" s="4" t="s">
        <v>1110</v>
      </c>
      <c r="D1400" s="4" t="s">
        <v>1509</v>
      </c>
      <c r="E1400" s="4" t="s">
        <v>96</v>
      </c>
      <c r="F1400" s="5">
        <v>145.63999999999999</v>
      </c>
      <c r="G1400" s="5">
        <v>152.69999999999999</v>
      </c>
      <c r="H1400" s="4" t="s">
        <v>1156</v>
      </c>
      <c r="I1400" s="10">
        <v>37</v>
      </c>
      <c r="J1400" s="34">
        <f t="shared" si="84"/>
        <v>0.32189999999999996</v>
      </c>
      <c r="K1400" s="34">
        <f t="shared" si="85"/>
        <v>0.48</v>
      </c>
      <c r="L1400" s="34">
        <f t="shared" si="86"/>
        <v>1.92</v>
      </c>
      <c r="M1400" s="11" t="s">
        <v>4250</v>
      </c>
      <c r="N1400" s="11" t="s">
        <v>3891</v>
      </c>
      <c r="O1400" s="11" t="s">
        <v>3892</v>
      </c>
      <c r="P1400" s="11" t="s">
        <v>3893</v>
      </c>
      <c r="Q1400" s="12">
        <v>145.542</v>
      </c>
      <c r="R1400" s="12">
        <v>152.654</v>
      </c>
      <c r="S1400" s="12">
        <v>3.556</v>
      </c>
      <c r="T1400" s="13">
        <v>0.91</v>
      </c>
      <c r="U1400" s="13">
        <f t="shared" si="87"/>
        <v>-1.0099999999999998</v>
      </c>
      <c r="V1400" s="14">
        <v>111.48</v>
      </c>
      <c r="W1400" s="14">
        <v>111.48</v>
      </c>
      <c r="X1400" s="11">
        <v>356</v>
      </c>
      <c r="Y1400" s="15" t="s">
        <v>3737</v>
      </c>
      <c r="Z1400" s="16">
        <v>74.48</v>
      </c>
      <c r="AA1400" s="17">
        <v>201.3</v>
      </c>
      <c r="AB1400" s="18" t="s">
        <v>3963</v>
      </c>
    </row>
    <row r="1401" spans="1:28" x14ac:dyDescent="0.45">
      <c r="A1401" s="2" t="s">
        <v>1994</v>
      </c>
      <c r="B1401" s="2" t="s">
        <v>6496</v>
      </c>
      <c r="C1401" s="2" t="s">
        <v>1110</v>
      </c>
      <c r="D1401" s="2" t="s">
        <v>1509</v>
      </c>
      <c r="E1401" s="2" t="s">
        <v>96</v>
      </c>
      <c r="F1401" s="3">
        <v>148.59</v>
      </c>
      <c r="G1401" s="3">
        <v>159.25</v>
      </c>
      <c r="H1401" s="2" t="s">
        <v>1201</v>
      </c>
      <c r="I1401" s="19">
        <v>67</v>
      </c>
      <c r="J1401" s="34">
        <f t="shared" si="84"/>
        <v>0.58289999999999997</v>
      </c>
      <c r="K1401" s="34">
        <f t="shared" si="85"/>
        <v>0.87</v>
      </c>
      <c r="L1401" s="34">
        <f t="shared" si="86"/>
        <v>3.48</v>
      </c>
      <c r="M1401" s="20" t="s">
        <v>4251</v>
      </c>
      <c r="N1401" s="20" t="s">
        <v>3891</v>
      </c>
      <c r="O1401" s="20" t="s">
        <v>3892</v>
      </c>
      <c r="P1401" s="20" t="s">
        <v>3893</v>
      </c>
      <c r="Q1401" s="21">
        <v>148.59</v>
      </c>
      <c r="R1401" s="21">
        <v>159.25800000000001</v>
      </c>
      <c r="S1401" s="21">
        <v>5.3339999999999996</v>
      </c>
      <c r="T1401" s="22">
        <v>1.58</v>
      </c>
      <c r="U1401" s="13">
        <f t="shared" si="87"/>
        <v>-1.9</v>
      </c>
      <c r="V1401" s="23">
        <v>193.55</v>
      </c>
      <c r="W1401" s="23">
        <v>193.55</v>
      </c>
      <c r="X1401" s="20">
        <v>173</v>
      </c>
      <c r="Y1401" s="24" t="s">
        <v>3737</v>
      </c>
      <c r="Z1401" s="16">
        <v>126.55</v>
      </c>
      <c r="AA1401" s="17">
        <v>188.9</v>
      </c>
      <c r="AB1401" s="25" t="s">
        <v>4032</v>
      </c>
    </row>
    <row r="1402" spans="1:28" x14ac:dyDescent="0.45">
      <c r="A1402" s="4" t="s">
        <v>1995</v>
      </c>
      <c r="B1402" s="4" t="s">
        <v>6497</v>
      </c>
      <c r="C1402" s="4" t="s">
        <v>1110</v>
      </c>
      <c r="D1402" s="4" t="s">
        <v>1509</v>
      </c>
      <c r="E1402" s="4" t="s">
        <v>96</v>
      </c>
      <c r="F1402" s="5">
        <v>148.59</v>
      </c>
      <c r="G1402" s="5">
        <v>162.57</v>
      </c>
      <c r="H1402" s="4" t="s">
        <v>1368</v>
      </c>
      <c r="I1402" s="10">
        <v>101</v>
      </c>
      <c r="J1402" s="34">
        <f t="shared" si="84"/>
        <v>0.87869999999999993</v>
      </c>
      <c r="K1402" s="34">
        <f t="shared" si="85"/>
        <v>1.32</v>
      </c>
      <c r="L1402" s="34">
        <f t="shared" si="86"/>
        <v>5.28</v>
      </c>
      <c r="M1402" s="11" t="s">
        <v>4252</v>
      </c>
      <c r="N1402" s="11" t="s">
        <v>3891</v>
      </c>
      <c r="O1402" s="11" t="s">
        <v>3892</v>
      </c>
      <c r="P1402" s="11" t="s">
        <v>3893</v>
      </c>
      <c r="Q1402" s="12">
        <v>148.59</v>
      </c>
      <c r="R1402" s="12">
        <v>162.56</v>
      </c>
      <c r="S1402" s="12">
        <v>7.1120000000000001</v>
      </c>
      <c r="T1402" s="13">
        <v>2.02</v>
      </c>
      <c r="U1402" s="13">
        <f t="shared" si="87"/>
        <v>-3.2600000000000002</v>
      </c>
      <c r="V1402" s="14">
        <v>247.45</v>
      </c>
      <c r="W1402" s="14">
        <v>247.45</v>
      </c>
      <c r="X1402" s="11">
        <v>172</v>
      </c>
      <c r="Y1402" s="15" t="s">
        <v>3737</v>
      </c>
      <c r="Z1402" s="16">
        <v>146.44999999999999</v>
      </c>
      <c r="AA1402" s="17">
        <v>145</v>
      </c>
      <c r="AB1402" s="18" t="s">
        <v>4032</v>
      </c>
    </row>
    <row r="1403" spans="1:28" x14ac:dyDescent="0.45">
      <c r="A1403" s="2" t="s">
        <v>1996</v>
      </c>
      <c r="B1403" s="2" t="s">
        <v>6498</v>
      </c>
      <c r="C1403" s="2" t="s">
        <v>1110</v>
      </c>
      <c r="D1403" s="2" t="s">
        <v>1509</v>
      </c>
      <c r="E1403" s="2" t="s">
        <v>96</v>
      </c>
      <c r="F1403" s="3">
        <v>148.82</v>
      </c>
      <c r="G1403" s="3">
        <v>155.88</v>
      </c>
      <c r="H1403" s="2" t="s">
        <v>1156</v>
      </c>
      <c r="I1403" s="19">
        <v>37</v>
      </c>
      <c r="J1403" s="34">
        <f t="shared" si="84"/>
        <v>0.32189999999999996</v>
      </c>
      <c r="K1403" s="34">
        <f t="shared" si="85"/>
        <v>0.48</v>
      </c>
      <c r="L1403" s="34">
        <f t="shared" si="86"/>
        <v>1.92</v>
      </c>
      <c r="M1403" s="20" t="s">
        <v>4253</v>
      </c>
      <c r="N1403" s="20" t="s">
        <v>3891</v>
      </c>
      <c r="O1403" s="20" t="s">
        <v>3892</v>
      </c>
      <c r="P1403" s="20" t="s">
        <v>3893</v>
      </c>
      <c r="Q1403" s="21">
        <v>148.84399999999999</v>
      </c>
      <c r="R1403" s="21">
        <v>155.95599999999999</v>
      </c>
      <c r="S1403" s="21">
        <v>3.556</v>
      </c>
      <c r="T1403" s="22">
        <v>0.93</v>
      </c>
      <c r="U1403" s="13">
        <f t="shared" si="87"/>
        <v>-0.98999999999999988</v>
      </c>
      <c r="V1403" s="23">
        <v>113.93</v>
      </c>
      <c r="W1403" s="23">
        <v>113.93</v>
      </c>
      <c r="X1403" s="20">
        <v>119</v>
      </c>
      <c r="Y1403" s="24" t="s">
        <v>3737</v>
      </c>
      <c r="Z1403" s="16">
        <v>76.930000000000007</v>
      </c>
      <c r="AA1403" s="17">
        <v>207.9</v>
      </c>
      <c r="AB1403" s="25" t="s">
        <v>3945</v>
      </c>
    </row>
    <row r="1404" spans="1:28" x14ac:dyDescent="0.45">
      <c r="A1404" s="4" t="s">
        <v>1997</v>
      </c>
      <c r="B1404" s="4" t="s">
        <v>6499</v>
      </c>
      <c r="C1404" s="4" t="s">
        <v>1110</v>
      </c>
      <c r="D1404" s="4" t="s">
        <v>1509</v>
      </c>
      <c r="E1404" s="4" t="s">
        <v>96</v>
      </c>
      <c r="F1404" s="5">
        <v>149.19999999999999</v>
      </c>
      <c r="G1404" s="5">
        <v>160.6</v>
      </c>
      <c r="H1404" s="4" t="s">
        <v>1297</v>
      </c>
      <c r="I1404" s="10">
        <v>98</v>
      </c>
      <c r="J1404" s="34">
        <f t="shared" si="84"/>
        <v>0.85259999999999991</v>
      </c>
      <c r="K1404" s="34">
        <f t="shared" si="85"/>
        <v>1.28</v>
      </c>
      <c r="L1404" s="34">
        <f t="shared" si="86"/>
        <v>5.12</v>
      </c>
      <c r="M1404" s="11" t="s">
        <v>4538</v>
      </c>
      <c r="N1404" s="11" t="s">
        <v>3891</v>
      </c>
      <c r="O1404" s="11" t="s">
        <v>3892</v>
      </c>
      <c r="P1404" s="11" t="s">
        <v>3893</v>
      </c>
      <c r="Q1404" s="12">
        <v>149.30000000000001</v>
      </c>
      <c r="R1404" s="12">
        <v>160.69999999999999</v>
      </c>
      <c r="S1404" s="12">
        <v>5.7</v>
      </c>
      <c r="T1404" s="13">
        <v>1.61</v>
      </c>
      <c r="U1404" s="13">
        <f t="shared" si="87"/>
        <v>-3.51</v>
      </c>
      <c r="V1404" s="14">
        <v>197.23</v>
      </c>
      <c r="W1404" s="14">
        <v>197.23</v>
      </c>
      <c r="X1404" s="11">
        <v>157</v>
      </c>
      <c r="Y1404" s="15" t="s">
        <v>3713</v>
      </c>
      <c r="Z1404" s="16">
        <v>99.22999999999999</v>
      </c>
      <c r="AA1404" s="17">
        <v>101.3</v>
      </c>
      <c r="AB1404" s="18" t="s">
        <v>4119</v>
      </c>
    </row>
    <row r="1405" spans="1:28" x14ac:dyDescent="0.45">
      <c r="A1405" s="2" t="s">
        <v>1998</v>
      </c>
      <c r="B1405" s="2" t="s">
        <v>6500</v>
      </c>
      <c r="C1405" s="2" t="s">
        <v>1110</v>
      </c>
      <c r="D1405" s="2" t="s">
        <v>1509</v>
      </c>
      <c r="E1405" s="2" t="s">
        <v>96</v>
      </c>
      <c r="F1405" s="3">
        <v>149.5</v>
      </c>
      <c r="G1405" s="3">
        <v>166.3</v>
      </c>
      <c r="H1405" s="2" t="s">
        <v>1463</v>
      </c>
      <c r="I1405" s="19">
        <v>224</v>
      </c>
      <c r="J1405" s="34">
        <f t="shared" si="84"/>
        <v>1.9487999999999999</v>
      </c>
      <c r="K1405" s="34">
        <f t="shared" si="85"/>
        <v>2.92</v>
      </c>
      <c r="L1405" s="34">
        <f t="shared" si="86"/>
        <v>11.68</v>
      </c>
      <c r="M1405" s="20" t="s">
        <v>4539</v>
      </c>
      <c r="N1405" s="20" t="s">
        <v>3925</v>
      </c>
      <c r="O1405" s="20" t="s">
        <v>3892</v>
      </c>
      <c r="P1405" s="20" t="s">
        <v>3926</v>
      </c>
      <c r="Q1405" s="21">
        <v>149.5</v>
      </c>
      <c r="R1405" s="21">
        <v>166.3</v>
      </c>
      <c r="S1405" s="21">
        <v>8.4</v>
      </c>
      <c r="T1405" s="22">
        <v>3.75</v>
      </c>
      <c r="U1405" s="13">
        <f t="shared" si="87"/>
        <v>-7.93</v>
      </c>
      <c r="V1405" s="23">
        <v>459.38</v>
      </c>
      <c r="W1405" s="23">
        <v>459.38</v>
      </c>
      <c r="X1405" s="20">
        <v>2</v>
      </c>
      <c r="Y1405" s="24" t="s">
        <v>3713</v>
      </c>
      <c r="Z1405" s="16">
        <v>235.38</v>
      </c>
      <c r="AA1405" s="17">
        <v>105.1</v>
      </c>
      <c r="AB1405" s="25" t="s">
        <v>3714</v>
      </c>
    </row>
    <row r="1406" spans="1:28" x14ac:dyDescent="0.45">
      <c r="A1406" s="4" t="s">
        <v>1999</v>
      </c>
      <c r="B1406" s="4" t="s">
        <v>6501</v>
      </c>
      <c r="C1406" s="4" t="s">
        <v>1110</v>
      </c>
      <c r="D1406" s="4" t="s">
        <v>1509</v>
      </c>
      <c r="E1406" s="4" t="s">
        <v>96</v>
      </c>
      <c r="F1406" s="5">
        <v>150</v>
      </c>
      <c r="G1406" s="5">
        <v>160</v>
      </c>
      <c r="H1406" s="4" t="s">
        <v>1245</v>
      </c>
      <c r="I1406" s="10">
        <v>72</v>
      </c>
      <c r="J1406" s="34">
        <f t="shared" si="84"/>
        <v>0.62639999999999996</v>
      </c>
      <c r="K1406" s="34">
        <f t="shared" si="85"/>
        <v>0.94</v>
      </c>
      <c r="L1406" s="34">
        <f t="shared" si="86"/>
        <v>3.76</v>
      </c>
      <c r="M1406" s="11" t="s">
        <v>4254</v>
      </c>
      <c r="N1406" s="11" t="s">
        <v>3891</v>
      </c>
      <c r="O1406" s="11" t="s">
        <v>3892</v>
      </c>
      <c r="P1406" s="11" t="s">
        <v>3893</v>
      </c>
      <c r="Q1406" s="12">
        <v>150</v>
      </c>
      <c r="R1406" s="12">
        <v>160</v>
      </c>
      <c r="S1406" s="12">
        <v>5</v>
      </c>
      <c r="T1406" s="13">
        <v>1.48</v>
      </c>
      <c r="U1406" s="13">
        <f t="shared" si="87"/>
        <v>-2.2799999999999998</v>
      </c>
      <c r="V1406" s="14">
        <v>181.3</v>
      </c>
      <c r="W1406" s="14">
        <v>181.3</v>
      </c>
      <c r="X1406" s="11">
        <v>24</v>
      </c>
      <c r="Y1406" s="15" t="s">
        <v>3713</v>
      </c>
      <c r="Z1406" s="16">
        <v>109.3</v>
      </c>
      <c r="AA1406" s="17">
        <v>151.80000000000001</v>
      </c>
      <c r="AB1406" s="18" t="s">
        <v>3714</v>
      </c>
    </row>
    <row r="1407" spans="1:28" x14ac:dyDescent="0.45">
      <c r="A1407" s="2" t="s">
        <v>2000</v>
      </c>
      <c r="B1407" s="2" t="s">
        <v>6502</v>
      </c>
      <c r="C1407" s="2" t="s">
        <v>1110</v>
      </c>
      <c r="D1407" s="2" t="s">
        <v>1509</v>
      </c>
      <c r="E1407" s="2" t="s">
        <v>96</v>
      </c>
      <c r="F1407" s="3">
        <v>151.77000000000001</v>
      </c>
      <c r="G1407" s="3">
        <v>162.43</v>
      </c>
      <c r="H1407" s="2" t="s">
        <v>1201</v>
      </c>
      <c r="I1407" s="19">
        <v>69</v>
      </c>
      <c r="J1407" s="34">
        <f t="shared" si="84"/>
        <v>0.60029999999999994</v>
      </c>
      <c r="K1407" s="34">
        <f t="shared" si="85"/>
        <v>0.9</v>
      </c>
      <c r="L1407" s="34">
        <f t="shared" si="86"/>
        <v>3.6</v>
      </c>
      <c r="M1407" s="20" t="s">
        <v>4255</v>
      </c>
      <c r="N1407" s="20" t="s">
        <v>3891</v>
      </c>
      <c r="O1407" s="20" t="s">
        <v>3892</v>
      </c>
      <c r="P1407" s="20" t="s">
        <v>3893</v>
      </c>
      <c r="Q1407" s="21">
        <v>151.63800000000001</v>
      </c>
      <c r="R1407" s="21">
        <v>162.30600000000001</v>
      </c>
      <c r="S1407" s="21">
        <v>5.3339999999999996</v>
      </c>
      <c r="T1407" s="22">
        <v>1.62</v>
      </c>
      <c r="U1407" s="13">
        <f t="shared" si="87"/>
        <v>-1.98</v>
      </c>
      <c r="V1407" s="23">
        <v>198.45</v>
      </c>
      <c r="W1407" s="23">
        <v>198.45</v>
      </c>
      <c r="X1407" s="20">
        <v>87</v>
      </c>
      <c r="Y1407" s="24" t="s">
        <v>3737</v>
      </c>
      <c r="Z1407" s="16">
        <v>129.44999999999999</v>
      </c>
      <c r="AA1407" s="17">
        <v>187.6</v>
      </c>
      <c r="AB1407" s="25" t="s">
        <v>4189</v>
      </c>
    </row>
    <row r="1408" spans="1:28" x14ac:dyDescent="0.45">
      <c r="A1408" s="4" t="s">
        <v>2001</v>
      </c>
      <c r="B1408" s="4" t="s">
        <v>6503</v>
      </c>
      <c r="C1408" s="4" t="s">
        <v>1110</v>
      </c>
      <c r="D1408" s="4" t="s">
        <v>1509</v>
      </c>
      <c r="E1408" s="4" t="s">
        <v>96</v>
      </c>
      <c r="F1408" s="5">
        <v>151.77000000000001</v>
      </c>
      <c r="G1408" s="5">
        <v>165.75</v>
      </c>
      <c r="H1408" s="4" t="s">
        <v>1368</v>
      </c>
      <c r="I1408" s="10">
        <v>104</v>
      </c>
      <c r="J1408" s="34">
        <f t="shared" si="84"/>
        <v>0.90479999999999994</v>
      </c>
      <c r="K1408" s="34">
        <f t="shared" si="85"/>
        <v>1.36</v>
      </c>
      <c r="L1408" s="34">
        <f t="shared" si="86"/>
        <v>5.44</v>
      </c>
      <c r="M1408" s="11" t="s">
        <v>4256</v>
      </c>
      <c r="N1408" s="11" t="s">
        <v>3898</v>
      </c>
      <c r="O1408" s="11" t="s">
        <v>3892</v>
      </c>
      <c r="P1408" s="11" t="s">
        <v>3899</v>
      </c>
      <c r="Q1408" s="12">
        <v>151.63800000000001</v>
      </c>
      <c r="R1408" s="12">
        <v>165.86199999999999</v>
      </c>
      <c r="S1408" s="12">
        <v>7.1120000000000001</v>
      </c>
      <c r="T1408" s="13">
        <v>7.14</v>
      </c>
      <c r="U1408" s="13">
        <f t="shared" si="87"/>
        <v>1.6999999999999993</v>
      </c>
      <c r="V1408" s="14">
        <v>874.65</v>
      </c>
      <c r="W1408" s="14">
        <v>874.65</v>
      </c>
      <c r="X1408" s="11" t="s">
        <v>3722</v>
      </c>
      <c r="Y1408" s="15" t="s">
        <v>3737</v>
      </c>
      <c r="Z1408" s="16">
        <v>770.65</v>
      </c>
      <c r="AA1408" s="17">
        <v>741</v>
      </c>
      <c r="AB1408" s="18" t="s">
        <v>4199</v>
      </c>
    </row>
    <row r="1409" spans="1:28" x14ac:dyDescent="0.45">
      <c r="A1409" s="2" t="s">
        <v>2002</v>
      </c>
      <c r="B1409" s="2" t="s">
        <v>6504</v>
      </c>
      <c r="C1409" s="2" t="s">
        <v>1110</v>
      </c>
      <c r="D1409" s="2" t="s">
        <v>1509</v>
      </c>
      <c r="E1409" s="2" t="s">
        <v>96</v>
      </c>
      <c r="F1409" s="3">
        <v>151.99</v>
      </c>
      <c r="G1409" s="3">
        <v>159.05000000000001</v>
      </c>
      <c r="H1409" s="2" t="s">
        <v>1156</v>
      </c>
      <c r="I1409" s="19">
        <v>42</v>
      </c>
      <c r="J1409" s="34">
        <f t="shared" si="84"/>
        <v>0.36539999999999995</v>
      </c>
      <c r="K1409" s="34">
        <f t="shared" si="85"/>
        <v>0.55000000000000004</v>
      </c>
      <c r="L1409" s="34">
        <f t="shared" si="86"/>
        <v>2.2000000000000002</v>
      </c>
      <c r="M1409" s="20" t="s">
        <v>4257</v>
      </c>
      <c r="N1409" s="20" t="s">
        <v>3891</v>
      </c>
      <c r="O1409" s="20" t="s">
        <v>3892</v>
      </c>
      <c r="P1409" s="20" t="s">
        <v>3893</v>
      </c>
      <c r="Q1409" s="21">
        <v>151.892</v>
      </c>
      <c r="R1409" s="21">
        <v>159.00399999999999</v>
      </c>
      <c r="S1409" s="21">
        <v>3.556</v>
      </c>
      <c r="T1409" s="22">
        <v>0.68</v>
      </c>
      <c r="U1409" s="13">
        <f t="shared" si="87"/>
        <v>-1.52</v>
      </c>
      <c r="V1409" s="23">
        <v>83.3</v>
      </c>
      <c r="W1409" s="23">
        <v>83.3</v>
      </c>
      <c r="X1409" s="20">
        <v>210</v>
      </c>
      <c r="Y1409" s="24" t="s">
        <v>3737</v>
      </c>
      <c r="Z1409" s="16">
        <v>41.3</v>
      </c>
      <c r="AA1409" s="17">
        <v>98.3</v>
      </c>
      <c r="AB1409" s="25" t="s">
        <v>3963</v>
      </c>
    </row>
    <row r="1410" spans="1:28" x14ac:dyDescent="0.45">
      <c r="A1410" s="4" t="s">
        <v>2003</v>
      </c>
      <c r="B1410" s="4" t="s">
        <v>6505</v>
      </c>
      <c r="C1410" s="4" t="s">
        <v>1110</v>
      </c>
      <c r="D1410" s="4" t="s">
        <v>1509</v>
      </c>
      <c r="E1410" s="4" t="s">
        <v>96</v>
      </c>
      <c r="F1410" s="5">
        <v>152</v>
      </c>
      <c r="G1410" s="5">
        <v>158</v>
      </c>
      <c r="H1410" s="4" t="s">
        <v>1149</v>
      </c>
      <c r="I1410" s="10">
        <v>44</v>
      </c>
      <c r="J1410" s="34">
        <f t="shared" si="84"/>
        <v>0.38279999999999997</v>
      </c>
      <c r="K1410" s="34">
        <f t="shared" si="85"/>
        <v>0.56999999999999995</v>
      </c>
      <c r="L1410" s="34">
        <f t="shared" si="86"/>
        <v>2.2799999999999998</v>
      </c>
      <c r="M1410" s="11" t="s">
        <v>4540</v>
      </c>
      <c r="N1410" s="11" t="s">
        <v>3891</v>
      </c>
      <c r="O1410" s="11" t="s">
        <v>3892</v>
      </c>
      <c r="P1410" s="11" t="s">
        <v>3893</v>
      </c>
      <c r="Q1410" s="12">
        <v>152</v>
      </c>
      <c r="R1410" s="12">
        <v>158</v>
      </c>
      <c r="S1410" s="12">
        <v>3</v>
      </c>
      <c r="T1410" s="13">
        <v>1.27</v>
      </c>
      <c r="U1410" s="13">
        <f t="shared" si="87"/>
        <v>-1.0099999999999998</v>
      </c>
      <c r="V1410" s="14">
        <v>155.57</v>
      </c>
      <c r="W1410" s="14">
        <v>155.57</v>
      </c>
      <c r="X1410" s="11">
        <v>32</v>
      </c>
      <c r="Y1410" s="15" t="s">
        <v>3713</v>
      </c>
      <c r="Z1410" s="16">
        <v>111.57</v>
      </c>
      <c r="AA1410" s="17">
        <v>253.6</v>
      </c>
      <c r="AB1410" s="18" t="s">
        <v>3714</v>
      </c>
    </row>
    <row r="1411" spans="1:28" x14ac:dyDescent="0.45">
      <c r="A1411" s="2" t="s">
        <v>2004</v>
      </c>
      <c r="B1411" s="2" t="s">
        <v>6506</v>
      </c>
      <c r="C1411" s="2" t="s">
        <v>1110</v>
      </c>
      <c r="D1411" s="2" t="s">
        <v>1509</v>
      </c>
      <c r="E1411" s="2" t="s">
        <v>96</v>
      </c>
      <c r="F1411" s="3">
        <v>154.19999999999999</v>
      </c>
      <c r="G1411" s="3">
        <v>165.6</v>
      </c>
      <c r="H1411" s="2" t="s">
        <v>1297</v>
      </c>
      <c r="I1411" s="19">
        <v>98</v>
      </c>
      <c r="J1411" s="34">
        <f t="shared" si="84"/>
        <v>0.85259999999999991</v>
      </c>
      <c r="K1411" s="34">
        <f t="shared" si="85"/>
        <v>1.28</v>
      </c>
      <c r="L1411" s="34">
        <f t="shared" si="86"/>
        <v>5.12</v>
      </c>
      <c r="M1411" s="20" t="s">
        <v>4258</v>
      </c>
      <c r="N1411" s="20" t="s">
        <v>3891</v>
      </c>
      <c r="O1411" s="20" t="s">
        <v>3892</v>
      </c>
      <c r="P1411" s="20" t="s">
        <v>3893</v>
      </c>
      <c r="Q1411" s="21">
        <v>154.30000000000001</v>
      </c>
      <c r="R1411" s="21">
        <v>165.7</v>
      </c>
      <c r="S1411" s="21">
        <v>5.7</v>
      </c>
      <c r="T1411" s="22">
        <v>1.68</v>
      </c>
      <c r="U1411" s="13">
        <f t="shared" si="87"/>
        <v>-3.4400000000000004</v>
      </c>
      <c r="V1411" s="23">
        <v>205.8</v>
      </c>
      <c r="W1411" s="23">
        <v>205.8</v>
      </c>
      <c r="X1411" s="20">
        <v>79</v>
      </c>
      <c r="Y1411" s="24" t="s">
        <v>3713</v>
      </c>
      <c r="Z1411" s="16">
        <v>107.8</v>
      </c>
      <c r="AA1411" s="17">
        <v>110</v>
      </c>
      <c r="AB1411" s="25" t="s">
        <v>4119</v>
      </c>
    </row>
    <row r="1412" spans="1:28" x14ac:dyDescent="0.45">
      <c r="A1412" s="4" t="s">
        <v>2005</v>
      </c>
      <c r="B1412" s="4" t="s">
        <v>6507</v>
      </c>
      <c r="C1412" s="4" t="s">
        <v>1110</v>
      </c>
      <c r="D1412" s="4" t="s">
        <v>1509</v>
      </c>
      <c r="E1412" s="4" t="s">
        <v>96</v>
      </c>
      <c r="F1412" s="5">
        <v>154.5</v>
      </c>
      <c r="G1412" s="5">
        <v>171.3</v>
      </c>
      <c r="H1412" s="4" t="s">
        <v>1463</v>
      </c>
      <c r="I1412" s="10">
        <v>249</v>
      </c>
      <c r="J1412" s="34">
        <f t="shared" si="84"/>
        <v>2.1662999999999997</v>
      </c>
      <c r="K1412" s="34">
        <f t="shared" si="85"/>
        <v>3.25</v>
      </c>
      <c r="L1412" s="34">
        <f t="shared" si="86"/>
        <v>13</v>
      </c>
      <c r="M1412" s="11" t="s">
        <v>4541</v>
      </c>
      <c r="N1412" s="11" t="s">
        <v>3891</v>
      </c>
      <c r="O1412" s="11" t="s">
        <v>3892</v>
      </c>
      <c r="P1412" s="11" t="s">
        <v>3893</v>
      </c>
      <c r="Q1412" s="12">
        <v>154.5</v>
      </c>
      <c r="R1412" s="12">
        <v>171.3</v>
      </c>
      <c r="S1412" s="12">
        <v>8.4</v>
      </c>
      <c r="T1412" s="13">
        <v>2.2999999999999998</v>
      </c>
      <c r="U1412" s="13">
        <f t="shared" si="87"/>
        <v>-10.7</v>
      </c>
      <c r="V1412" s="14">
        <v>281.75</v>
      </c>
      <c r="W1412" s="14">
        <v>281.75</v>
      </c>
      <c r="X1412" s="11">
        <v>5</v>
      </c>
      <c r="Y1412" s="15" t="s">
        <v>3713</v>
      </c>
      <c r="Z1412" s="16">
        <v>32.75</v>
      </c>
      <c r="AA1412" s="17">
        <v>13.2</v>
      </c>
      <c r="AB1412" s="18" t="s">
        <v>3714</v>
      </c>
    </row>
    <row r="1413" spans="1:28" x14ac:dyDescent="0.45">
      <c r="A1413" s="2" t="s">
        <v>2006</v>
      </c>
      <c r="B1413" s="2" t="s">
        <v>6508</v>
      </c>
      <c r="C1413" s="2" t="s">
        <v>1110</v>
      </c>
      <c r="D1413" s="2" t="s">
        <v>1509</v>
      </c>
      <c r="E1413" s="2" t="s">
        <v>96</v>
      </c>
      <c r="F1413" s="3">
        <v>158.12</v>
      </c>
      <c r="G1413" s="3">
        <v>168.78</v>
      </c>
      <c r="H1413" s="2" t="s">
        <v>1201</v>
      </c>
      <c r="I1413" s="19">
        <v>71</v>
      </c>
      <c r="J1413" s="34">
        <f t="shared" ref="J1413:J1476" si="88">I1413*0.0087</f>
        <v>0.61769999999999992</v>
      </c>
      <c r="K1413" s="34">
        <f t="shared" ref="K1413:K1476" si="89">ROUND(J1413*1.5,2)</f>
        <v>0.93</v>
      </c>
      <c r="L1413" s="34">
        <f t="shared" ref="L1413:L1476" si="90">K1413*4</f>
        <v>3.72</v>
      </c>
      <c r="M1413" s="20" t="s">
        <v>4259</v>
      </c>
      <c r="N1413" s="20" t="s">
        <v>3891</v>
      </c>
      <c r="O1413" s="20" t="s">
        <v>3892</v>
      </c>
      <c r="P1413" s="20" t="s">
        <v>3893</v>
      </c>
      <c r="Q1413" s="21">
        <v>157.988</v>
      </c>
      <c r="R1413" s="21">
        <v>168.65600000000001</v>
      </c>
      <c r="S1413" s="21">
        <v>5.3339999999999996</v>
      </c>
      <c r="T1413" s="22">
        <v>1.6</v>
      </c>
      <c r="U1413" s="13">
        <f t="shared" ref="U1413:U1476" si="91">T1413-L1413</f>
        <v>-2.12</v>
      </c>
      <c r="V1413" s="23">
        <v>196</v>
      </c>
      <c r="W1413" s="23">
        <v>196</v>
      </c>
      <c r="X1413" s="20">
        <v>97</v>
      </c>
      <c r="Y1413" s="24" t="s">
        <v>3737</v>
      </c>
      <c r="Z1413" s="16">
        <v>125</v>
      </c>
      <c r="AA1413" s="17">
        <v>176.1</v>
      </c>
      <c r="AB1413" s="25" t="s">
        <v>4189</v>
      </c>
    </row>
    <row r="1414" spans="1:28" x14ac:dyDescent="0.45">
      <c r="A1414" s="4" t="s">
        <v>2007</v>
      </c>
      <c r="B1414" s="4" t="s">
        <v>6509</v>
      </c>
      <c r="C1414" s="4" t="s">
        <v>1110</v>
      </c>
      <c r="D1414" s="4" t="s">
        <v>1509</v>
      </c>
      <c r="E1414" s="4" t="s">
        <v>96</v>
      </c>
      <c r="F1414" s="5">
        <v>158.12</v>
      </c>
      <c r="G1414" s="5">
        <v>172.1</v>
      </c>
      <c r="H1414" s="4" t="s">
        <v>1368</v>
      </c>
      <c r="I1414" s="10">
        <v>106</v>
      </c>
      <c r="J1414" s="34">
        <f t="shared" si="88"/>
        <v>0.92219999999999991</v>
      </c>
      <c r="K1414" s="34">
        <f t="shared" si="89"/>
        <v>1.38</v>
      </c>
      <c r="L1414" s="34">
        <f t="shared" si="90"/>
        <v>5.52</v>
      </c>
      <c r="M1414" s="11" t="s">
        <v>4260</v>
      </c>
      <c r="N1414" s="11" t="s">
        <v>3891</v>
      </c>
      <c r="O1414" s="11" t="s">
        <v>3892</v>
      </c>
      <c r="P1414" s="11" t="s">
        <v>3893</v>
      </c>
      <c r="Q1414" s="12">
        <v>157.988</v>
      </c>
      <c r="R1414" s="12">
        <v>172.21199999999999</v>
      </c>
      <c r="S1414" s="12">
        <v>7.1120000000000001</v>
      </c>
      <c r="T1414" s="13">
        <v>2.4</v>
      </c>
      <c r="U1414" s="13">
        <f t="shared" si="91"/>
        <v>-3.1199999999999997</v>
      </c>
      <c r="V1414" s="14">
        <v>294</v>
      </c>
      <c r="W1414" s="14">
        <v>294</v>
      </c>
      <c r="X1414" s="11">
        <v>55</v>
      </c>
      <c r="Y1414" s="15" t="s">
        <v>3737</v>
      </c>
      <c r="Z1414" s="16">
        <v>188</v>
      </c>
      <c r="AA1414" s="17">
        <v>177.4</v>
      </c>
      <c r="AB1414" s="18" t="s">
        <v>4199</v>
      </c>
    </row>
    <row r="1415" spans="1:28" x14ac:dyDescent="0.45">
      <c r="A1415" s="2" t="s">
        <v>2008</v>
      </c>
      <c r="B1415" s="2" t="s">
        <v>6510</v>
      </c>
      <c r="C1415" s="2" t="s">
        <v>1110</v>
      </c>
      <c r="D1415" s="2" t="s">
        <v>1509</v>
      </c>
      <c r="E1415" s="2" t="s">
        <v>96</v>
      </c>
      <c r="F1415" s="3">
        <v>158.34</v>
      </c>
      <c r="G1415" s="3">
        <v>165.4</v>
      </c>
      <c r="H1415" s="2" t="s">
        <v>1156</v>
      </c>
      <c r="I1415" s="19">
        <v>45</v>
      </c>
      <c r="J1415" s="34">
        <f t="shared" si="88"/>
        <v>0.39149999999999996</v>
      </c>
      <c r="K1415" s="34">
        <f t="shared" si="89"/>
        <v>0.59</v>
      </c>
      <c r="L1415" s="34">
        <f t="shared" si="90"/>
        <v>2.36</v>
      </c>
      <c r="M1415" s="20" t="s">
        <v>4261</v>
      </c>
      <c r="N1415" s="20" t="s">
        <v>3891</v>
      </c>
      <c r="O1415" s="20" t="s">
        <v>3892</v>
      </c>
      <c r="P1415" s="20" t="s">
        <v>3893</v>
      </c>
      <c r="Q1415" s="21">
        <v>158.24199999999999</v>
      </c>
      <c r="R1415" s="21">
        <v>165.35400000000001</v>
      </c>
      <c r="S1415" s="21">
        <v>3.556</v>
      </c>
      <c r="T1415" s="22">
        <v>1</v>
      </c>
      <c r="U1415" s="13">
        <f t="shared" si="91"/>
        <v>-1.3599999999999999</v>
      </c>
      <c r="V1415" s="23">
        <v>122.5</v>
      </c>
      <c r="W1415" s="23">
        <v>122.5</v>
      </c>
      <c r="X1415" s="20">
        <v>356</v>
      </c>
      <c r="Y1415" s="24" t="s">
        <v>3737</v>
      </c>
      <c r="Z1415" s="16">
        <v>77.5</v>
      </c>
      <c r="AA1415" s="17">
        <v>172.2</v>
      </c>
      <c r="AB1415" s="25" t="s">
        <v>3963</v>
      </c>
    </row>
    <row r="1416" spans="1:28" x14ac:dyDescent="0.45">
      <c r="A1416" s="4" t="s">
        <v>2009</v>
      </c>
      <c r="B1416" s="4" t="s">
        <v>6511</v>
      </c>
      <c r="C1416" s="4" t="s">
        <v>1110</v>
      </c>
      <c r="D1416" s="4" t="s">
        <v>1509</v>
      </c>
      <c r="E1416" s="4" t="s">
        <v>96</v>
      </c>
      <c r="F1416" s="5">
        <v>159.19999999999999</v>
      </c>
      <c r="G1416" s="5">
        <v>170.6</v>
      </c>
      <c r="H1416" s="4" t="s">
        <v>1297</v>
      </c>
      <c r="I1416" s="10">
        <v>101</v>
      </c>
      <c r="J1416" s="34">
        <f t="shared" si="88"/>
        <v>0.87869999999999993</v>
      </c>
      <c r="K1416" s="34">
        <f t="shared" si="89"/>
        <v>1.32</v>
      </c>
      <c r="L1416" s="34">
        <f t="shared" si="90"/>
        <v>5.28</v>
      </c>
      <c r="M1416" s="11" t="s">
        <v>4262</v>
      </c>
      <c r="N1416" s="11" t="s">
        <v>3891</v>
      </c>
      <c r="O1416" s="11" t="s">
        <v>3892</v>
      </c>
      <c r="P1416" s="11" t="s">
        <v>3893</v>
      </c>
      <c r="Q1416" s="12">
        <v>159.30000000000001</v>
      </c>
      <c r="R1416" s="12">
        <v>170.7</v>
      </c>
      <c r="S1416" s="12">
        <v>5.7</v>
      </c>
      <c r="T1416" s="13">
        <v>1.91</v>
      </c>
      <c r="U1416" s="13">
        <f t="shared" si="91"/>
        <v>-3.37</v>
      </c>
      <c r="V1416" s="14">
        <v>233.98</v>
      </c>
      <c r="W1416" s="14">
        <v>233.98</v>
      </c>
      <c r="X1416" s="11">
        <v>465</v>
      </c>
      <c r="Y1416" s="15" t="s">
        <v>3713</v>
      </c>
      <c r="Z1416" s="16">
        <v>132.97999999999999</v>
      </c>
      <c r="AA1416" s="17">
        <v>131.69999999999999</v>
      </c>
      <c r="AB1416" s="18" t="s">
        <v>4119</v>
      </c>
    </row>
    <row r="1417" spans="1:28" x14ac:dyDescent="0.45">
      <c r="A1417" s="2" t="s">
        <v>2010</v>
      </c>
      <c r="B1417" s="2" t="s">
        <v>6512</v>
      </c>
      <c r="C1417" s="2" t="s">
        <v>1110</v>
      </c>
      <c r="D1417" s="2" t="s">
        <v>1509</v>
      </c>
      <c r="E1417" s="2" t="s">
        <v>96</v>
      </c>
      <c r="F1417" s="3">
        <v>159.5</v>
      </c>
      <c r="G1417" s="3">
        <v>176.3</v>
      </c>
      <c r="H1417" s="2" t="s">
        <v>1463</v>
      </c>
      <c r="I1417" s="19">
        <v>273</v>
      </c>
      <c r="J1417" s="34">
        <f t="shared" si="88"/>
        <v>2.3750999999999998</v>
      </c>
      <c r="K1417" s="34">
        <f t="shared" si="89"/>
        <v>3.56</v>
      </c>
      <c r="L1417" s="34">
        <f t="shared" si="90"/>
        <v>14.24</v>
      </c>
      <c r="M1417" s="20" t="s">
        <v>4542</v>
      </c>
      <c r="N1417" s="20" t="s">
        <v>3891</v>
      </c>
      <c r="O1417" s="20" t="s">
        <v>3892</v>
      </c>
      <c r="P1417" s="20" t="s">
        <v>3893</v>
      </c>
      <c r="Q1417" s="21">
        <v>159.1</v>
      </c>
      <c r="R1417" s="21">
        <v>175.9</v>
      </c>
      <c r="S1417" s="21">
        <v>8.4</v>
      </c>
      <c r="T1417" s="22">
        <v>3.57</v>
      </c>
      <c r="U1417" s="13">
        <f t="shared" si="91"/>
        <v>-10.67</v>
      </c>
      <c r="V1417" s="23">
        <v>437.32</v>
      </c>
      <c r="W1417" s="23">
        <v>437.32</v>
      </c>
      <c r="X1417" s="20">
        <v>32</v>
      </c>
      <c r="Y1417" s="24" t="s">
        <v>3713</v>
      </c>
      <c r="Z1417" s="16">
        <v>164.32</v>
      </c>
      <c r="AA1417" s="17">
        <v>60.2</v>
      </c>
      <c r="AB1417" s="25" t="s">
        <v>4296</v>
      </c>
    </row>
    <row r="1418" spans="1:28" x14ac:dyDescent="0.45">
      <c r="A1418" s="4" t="s">
        <v>2011</v>
      </c>
      <c r="B1418" s="4" t="s">
        <v>6513</v>
      </c>
      <c r="C1418" s="4" t="s">
        <v>1110</v>
      </c>
      <c r="D1418" s="4" t="s">
        <v>1509</v>
      </c>
      <c r="E1418" s="4" t="s">
        <v>96</v>
      </c>
      <c r="F1418" s="5">
        <v>160</v>
      </c>
      <c r="G1418" s="5">
        <v>170</v>
      </c>
      <c r="H1418" s="4" t="s">
        <v>1245</v>
      </c>
      <c r="I1418" s="10">
        <v>77</v>
      </c>
      <c r="J1418" s="34">
        <f t="shared" si="88"/>
        <v>0.66989999999999994</v>
      </c>
      <c r="K1418" s="34">
        <f t="shared" si="89"/>
        <v>1</v>
      </c>
      <c r="L1418" s="34">
        <f t="shared" si="90"/>
        <v>4</v>
      </c>
      <c r="M1418" s="11" t="s">
        <v>4543</v>
      </c>
      <c r="N1418" s="11" t="s">
        <v>3891</v>
      </c>
      <c r="O1418" s="11" t="s">
        <v>3892</v>
      </c>
      <c r="P1418" s="11" t="s">
        <v>3893</v>
      </c>
      <c r="Q1418" s="12">
        <v>160</v>
      </c>
      <c r="R1418" s="12">
        <v>170</v>
      </c>
      <c r="S1418" s="12">
        <v>5</v>
      </c>
      <c r="T1418" s="13">
        <v>1.74</v>
      </c>
      <c r="U1418" s="13">
        <f t="shared" si="91"/>
        <v>-2.2599999999999998</v>
      </c>
      <c r="V1418" s="14">
        <v>213.15</v>
      </c>
      <c r="W1418" s="14">
        <v>213.15</v>
      </c>
      <c r="X1418" s="11">
        <v>231</v>
      </c>
      <c r="Y1418" s="15" t="s">
        <v>3713</v>
      </c>
      <c r="Z1418" s="16">
        <v>136.15</v>
      </c>
      <c r="AA1418" s="17">
        <v>176.8</v>
      </c>
      <c r="AB1418" s="18" t="s">
        <v>3714</v>
      </c>
    </row>
    <row r="1419" spans="1:28" x14ac:dyDescent="0.45">
      <c r="A1419" s="2" t="s">
        <v>2012</v>
      </c>
      <c r="B1419" s="2" t="s">
        <v>6514</v>
      </c>
      <c r="C1419" s="2" t="s">
        <v>1110</v>
      </c>
      <c r="D1419" s="2" t="s">
        <v>1509</v>
      </c>
      <c r="E1419" s="2" t="s">
        <v>96</v>
      </c>
      <c r="F1419" s="3">
        <v>164.2</v>
      </c>
      <c r="G1419" s="3">
        <v>175.6</v>
      </c>
      <c r="H1419" s="2" t="s">
        <v>1297</v>
      </c>
      <c r="I1419" s="19">
        <v>104</v>
      </c>
      <c r="J1419" s="34">
        <f t="shared" si="88"/>
        <v>0.90479999999999994</v>
      </c>
      <c r="K1419" s="34">
        <f t="shared" si="89"/>
        <v>1.36</v>
      </c>
      <c r="L1419" s="34">
        <f t="shared" si="90"/>
        <v>5.44</v>
      </c>
      <c r="M1419" s="20" t="s">
        <v>4263</v>
      </c>
      <c r="N1419" s="20" t="s">
        <v>3891</v>
      </c>
      <c r="O1419" s="20" t="s">
        <v>3892</v>
      </c>
      <c r="P1419" s="20" t="s">
        <v>3893</v>
      </c>
      <c r="Q1419" s="21">
        <v>164.3</v>
      </c>
      <c r="R1419" s="21">
        <v>175.7</v>
      </c>
      <c r="S1419" s="21">
        <v>5.7</v>
      </c>
      <c r="T1419" s="22">
        <v>2.04</v>
      </c>
      <c r="U1419" s="13">
        <f t="shared" si="91"/>
        <v>-3.4000000000000004</v>
      </c>
      <c r="V1419" s="23">
        <v>249.9</v>
      </c>
      <c r="W1419" s="23">
        <v>249.9</v>
      </c>
      <c r="X1419" s="20">
        <v>56</v>
      </c>
      <c r="Y1419" s="24" t="s">
        <v>3713</v>
      </c>
      <c r="Z1419" s="16">
        <v>145.9</v>
      </c>
      <c r="AA1419" s="17">
        <v>140.30000000000001</v>
      </c>
      <c r="AB1419" s="25" t="s">
        <v>4119</v>
      </c>
    </row>
    <row r="1420" spans="1:28" x14ac:dyDescent="0.45">
      <c r="A1420" s="4" t="s">
        <v>2013</v>
      </c>
      <c r="B1420" s="4" t="s">
        <v>6515</v>
      </c>
      <c r="C1420" s="4" t="s">
        <v>1110</v>
      </c>
      <c r="D1420" s="4" t="s">
        <v>1509</v>
      </c>
      <c r="E1420" s="4" t="s">
        <v>96</v>
      </c>
      <c r="F1420" s="5">
        <v>164.47</v>
      </c>
      <c r="G1420" s="5">
        <v>175.13</v>
      </c>
      <c r="H1420" s="4" t="s">
        <v>1201</v>
      </c>
      <c r="I1420" s="10">
        <v>74</v>
      </c>
      <c r="J1420" s="34">
        <f t="shared" si="88"/>
        <v>0.64379999999999993</v>
      </c>
      <c r="K1420" s="34">
        <f t="shared" si="89"/>
        <v>0.97</v>
      </c>
      <c r="L1420" s="34">
        <f t="shared" si="90"/>
        <v>3.88</v>
      </c>
      <c r="M1420" s="11" t="s">
        <v>4264</v>
      </c>
      <c r="N1420" s="11" t="s">
        <v>3891</v>
      </c>
      <c r="O1420" s="11" t="s">
        <v>3892</v>
      </c>
      <c r="P1420" s="11" t="s">
        <v>3893</v>
      </c>
      <c r="Q1420" s="12">
        <v>164.59200000000001</v>
      </c>
      <c r="R1420" s="12">
        <v>175.006</v>
      </c>
      <c r="S1420" s="12">
        <v>5.3339999999999996</v>
      </c>
      <c r="T1420" s="13">
        <v>1.71</v>
      </c>
      <c r="U1420" s="13">
        <f t="shared" si="91"/>
        <v>-2.17</v>
      </c>
      <c r="V1420" s="14">
        <v>209.48</v>
      </c>
      <c r="W1420" s="14">
        <v>209.48</v>
      </c>
      <c r="X1420" s="11">
        <v>247</v>
      </c>
      <c r="Y1420" s="15" t="s">
        <v>3737</v>
      </c>
      <c r="Z1420" s="16">
        <v>135.47999999999999</v>
      </c>
      <c r="AA1420" s="17">
        <v>183.1</v>
      </c>
      <c r="AB1420" s="18" t="s">
        <v>4169</v>
      </c>
    </row>
    <row r="1421" spans="1:28" x14ac:dyDescent="0.45">
      <c r="A1421" s="2" t="s">
        <v>2014</v>
      </c>
      <c r="B1421" s="2" t="s">
        <v>6516</v>
      </c>
      <c r="C1421" s="2" t="s">
        <v>1110</v>
      </c>
      <c r="D1421" s="2" t="s">
        <v>1509</v>
      </c>
      <c r="E1421" s="2" t="s">
        <v>96</v>
      </c>
      <c r="F1421" s="3">
        <v>164.47</v>
      </c>
      <c r="G1421" s="3">
        <v>178.45</v>
      </c>
      <c r="H1421" s="2" t="s">
        <v>1368</v>
      </c>
      <c r="I1421" s="19">
        <v>111</v>
      </c>
      <c r="J1421" s="34">
        <f t="shared" si="88"/>
        <v>0.96569999999999989</v>
      </c>
      <c r="K1421" s="34">
        <f t="shared" si="89"/>
        <v>1.45</v>
      </c>
      <c r="L1421" s="34">
        <f t="shared" si="90"/>
        <v>5.8</v>
      </c>
      <c r="M1421" s="20" t="s">
        <v>4265</v>
      </c>
      <c r="N1421" s="20" t="s">
        <v>3891</v>
      </c>
      <c r="O1421" s="20" t="s">
        <v>3892</v>
      </c>
      <c r="P1421" s="20" t="s">
        <v>3893</v>
      </c>
      <c r="Q1421" s="21">
        <v>164.33799999999999</v>
      </c>
      <c r="R1421" s="21">
        <v>178.56200000000001</v>
      </c>
      <c r="S1421" s="21">
        <v>7.1120000000000001</v>
      </c>
      <c r="T1421" s="22">
        <v>2.46</v>
      </c>
      <c r="U1421" s="13">
        <f t="shared" si="91"/>
        <v>-3.34</v>
      </c>
      <c r="V1421" s="23">
        <v>301.35000000000002</v>
      </c>
      <c r="W1421" s="23">
        <v>301.35000000000002</v>
      </c>
      <c r="X1421" s="20">
        <v>167</v>
      </c>
      <c r="Y1421" s="24" t="s">
        <v>3737</v>
      </c>
      <c r="Z1421" s="16">
        <v>190.35</v>
      </c>
      <c r="AA1421" s="17">
        <v>171.5</v>
      </c>
      <c r="AB1421" s="25" t="s">
        <v>4199</v>
      </c>
    </row>
    <row r="1422" spans="1:28" x14ac:dyDescent="0.45">
      <c r="A1422" s="4" t="s">
        <v>2015</v>
      </c>
      <c r="B1422" s="4" t="s">
        <v>6517</v>
      </c>
      <c r="C1422" s="4" t="s">
        <v>1110</v>
      </c>
      <c r="D1422" s="4" t="s">
        <v>1509</v>
      </c>
      <c r="E1422" s="4" t="s">
        <v>96</v>
      </c>
      <c r="F1422" s="5">
        <v>164.5</v>
      </c>
      <c r="G1422" s="5">
        <v>181.3</v>
      </c>
      <c r="H1422" s="4" t="s">
        <v>1463</v>
      </c>
      <c r="I1422" s="10">
        <v>274</v>
      </c>
      <c r="J1422" s="34">
        <f t="shared" si="88"/>
        <v>2.3837999999999999</v>
      </c>
      <c r="K1422" s="34">
        <f t="shared" si="89"/>
        <v>3.58</v>
      </c>
      <c r="L1422" s="34">
        <f t="shared" si="90"/>
        <v>14.32</v>
      </c>
      <c r="M1422" s="11" t="s">
        <v>4544</v>
      </c>
      <c r="N1422" s="11" t="s">
        <v>3891</v>
      </c>
      <c r="O1422" s="11" t="s">
        <v>3892</v>
      </c>
      <c r="P1422" s="11" t="s">
        <v>3893</v>
      </c>
      <c r="Q1422" s="12">
        <v>164.5</v>
      </c>
      <c r="R1422" s="12">
        <v>181.3</v>
      </c>
      <c r="S1422" s="12">
        <v>8.4</v>
      </c>
      <c r="T1422" s="13">
        <v>4.75</v>
      </c>
      <c r="U1422" s="13">
        <f t="shared" si="91"/>
        <v>-9.57</v>
      </c>
      <c r="V1422" s="14">
        <v>581.88</v>
      </c>
      <c r="W1422" s="14">
        <v>581.88</v>
      </c>
      <c r="X1422" s="11">
        <v>6</v>
      </c>
      <c r="Y1422" s="15" t="s">
        <v>3713</v>
      </c>
      <c r="Z1422" s="16">
        <v>307.88</v>
      </c>
      <c r="AA1422" s="17">
        <v>112.4</v>
      </c>
      <c r="AB1422" s="18" t="s">
        <v>3714</v>
      </c>
    </row>
    <row r="1423" spans="1:28" x14ac:dyDescent="0.45">
      <c r="A1423" s="2" t="s">
        <v>2016</v>
      </c>
      <c r="B1423" s="2" t="s">
        <v>6518</v>
      </c>
      <c r="C1423" s="2" t="s">
        <v>1110</v>
      </c>
      <c r="D1423" s="2" t="s">
        <v>1509</v>
      </c>
      <c r="E1423" s="2" t="s">
        <v>96</v>
      </c>
      <c r="F1423" s="3">
        <v>164.69</v>
      </c>
      <c r="G1423" s="3">
        <v>171.75</v>
      </c>
      <c r="H1423" s="2" t="s">
        <v>1156</v>
      </c>
      <c r="I1423" s="19">
        <v>47</v>
      </c>
      <c r="J1423" s="34">
        <f t="shared" si="88"/>
        <v>0.40889999999999999</v>
      </c>
      <c r="K1423" s="34">
        <f t="shared" si="89"/>
        <v>0.61</v>
      </c>
      <c r="L1423" s="34">
        <f t="shared" si="90"/>
        <v>2.44</v>
      </c>
      <c r="M1423" s="20" t="s">
        <v>4266</v>
      </c>
      <c r="N1423" s="20" t="s">
        <v>3891</v>
      </c>
      <c r="O1423" s="20" t="s">
        <v>3892</v>
      </c>
      <c r="P1423" s="20" t="s">
        <v>3893</v>
      </c>
      <c r="Q1423" s="21">
        <v>164.59200000000001</v>
      </c>
      <c r="R1423" s="21">
        <v>171.70400000000001</v>
      </c>
      <c r="S1423" s="21">
        <v>3.556</v>
      </c>
      <c r="T1423" s="22">
        <v>0.93</v>
      </c>
      <c r="U1423" s="13">
        <f t="shared" si="91"/>
        <v>-1.5099999999999998</v>
      </c>
      <c r="V1423" s="23">
        <v>113.93</v>
      </c>
      <c r="W1423" s="23">
        <v>113.93</v>
      </c>
      <c r="X1423" s="20">
        <v>388</v>
      </c>
      <c r="Y1423" s="24" t="s">
        <v>3737</v>
      </c>
      <c r="Z1423" s="16">
        <v>66.930000000000007</v>
      </c>
      <c r="AA1423" s="17">
        <v>142.4</v>
      </c>
      <c r="AB1423" s="25" t="s">
        <v>3963</v>
      </c>
    </row>
    <row r="1424" spans="1:28" x14ac:dyDescent="0.45">
      <c r="A1424" s="4" t="s">
        <v>2017</v>
      </c>
      <c r="B1424" s="4" t="s">
        <v>6519</v>
      </c>
      <c r="C1424" s="4" t="s">
        <v>1110</v>
      </c>
      <c r="D1424" s="4" t="s">
        <v>1509</v>
      </c>
      <c r="E1424" s="4" t="s">
        <v>96</v>
      </c>
      <c r="F1424" s="5">
        <v>169.2</v>
      </c>
      <c r="G1424" s="5">
        <v>180.6</v>
      </c>
      <c r="H1424" s="4" t="s">
        <v>1297</v>
      </c>
      <c r="I1424" s="10">
        <v>109</v>
      </c>
      <c r="J1424" s="34">
        <f t="shared" si="88"/>
        <v>0.94829999999999992</v>
      </c>
      <c r="K1424" s="34">
        <f t="shared" si="89"/>
        <v>1.42</v>
      </c>
      <c r="L1424" s="34">
        <f t="shared" si="90"/>
        <v>5.68</v>
      </c>
      <c r="M1424" s="11" t="s">
        <v>4267</v>
      </c>
      <c r="N1424" s="11" t="s">
        <v>3891</v>
      </c>
      <c r="O1424" s="11" t="s">
        <v>3892</v>
      </c>
      <c r="P1424" s="11" t="s">
        <v>3893</v>
      </c>
      <c r="Q1424" s="12">
        <v>169.3</v>
      </c>
      <c r="R1424" s="12">
        <v>180.7</v>
      </c>
      <c r="S1424" s="12">
        <v>5.7</v>
      </c>
      <c r="T1424" s="13">
        <v>2.12</v>
      </c>
      <c r="U1424" s="13">
        <f t="shared" si="91"/>
        <v>-3.5599999999999996</v>
      </c>
      <c r="V1424" s="14">
        <v>259.7</v>
      </c>
      <c r="W1424" s="14">
        <v>259.7</v>
      </c>
      <c r="X1424" s="11">
        <v>53</v>
      </c>
      <c r="Y1424" s="15" t="s">
        <v>3713</v>
      </c>
      <c r="Z1424" s="16">
        <v>150.69999999999999</v>
      </c>
      <c r="AA1424" s="17">
        <v>138.30000000000001</v>
      </c>
      <c r="AB1424" s="18" t="s">
        <v>4119</v>
      </c>
    </row>
    <row r="1425" spans="1:28" x14ac:dyDescent="0.45">
      <c r="A1425" s="2" t="s">
        <v>2018</v>
      </c>
      <c r="B1425" s="2" t="s">
        <v>6520</v>
      </c>
      <c r="C1425" s="2" t="s">
        <v>1110</v>
      </c>
      <c r="D1425" s="2" t="s">
        <v>1509</v>
      </c>
      <c r="E1425" s="2" t="s">
        <v>96</v>
      </c>
      <c r="F1425" s="3">
        <v>169.5</v>
      </c>
      <c r="G1425" s="3">
        <v>186.3</v>
      </c>
      <c r="H1425" s="2" t="s">
        <v>1463</v>
      </c>
      <c r="I1425" s="19">
        <v>276</v>
      </c>
      <c r="J1425" s="34">
        <f t="shared" si="88"/>
        <v>2.4011999999999998</v>
      </c>
      <c r="K1425" s="34">
        <f t="shared" si="89"/>
        <v>3.6</v>
      </c>
      <c r="L1425" s="34">
        <f t="shared" si="90"/>
        <v>14.4</v>
      </c>
      <c r="M1425" s="20" t="s">
        <v>4545</v>
      </c>
      <c r="N1425" s="20" t="s">
        <v>3891</v>
      </c>
      <c r="O1425" s="20" t="s">
        <v>3892</v>
      </c>
      <c r="P1425" s="20" t="s">
        <v>3893</v>
      </c>
      <c r="Q1425" s="21">
        <v>169.1</v>
      </c>
      <c r="R1425" s="21">
        <v>185.9</v>
      </c>
      <c r="S1425" s="21">
        <v>8.4</v>
      </c>
      <c r="T1425" s="22">
        <v>3.75</v>
      </c>
      <c r="U1425" s="13">
        <f t="shared" si="91"/>
        <v>-10.65</v>
      </c>
      <c r="V1425" s="23">
        <v>459.38</v>
      </c>
      <c r="W1425" s="23">
        <v>459.38</v>
      </c>
      <c r="X1425" s="20">
        <v>34</v>
      </c>
      <c r="Y1425" s="24" t="s">
        <v>3713</v>
      </c>
      <c r="Z1425" s="16">
        <v>183.38</v>
      </c>
      <c r="AA1425" s="17">
        <v>66.400000000000006</v>
      </c>
      <c r="AB1425" s="25" t="s">
        <v>4296</v>
      </c>
    </row>
    <row r="1426" spans="1:28" x14ac:dyDescent="0.45">
      <c r="A1426" s="4" t="s">
        <v>2019</v>
      </c>
      <c r="B1426" s="4" t="s">
        <v>6521</v>
      </c>
      <c r="C1426" s="4" t="s">
        <v>1110</v>
      </c>
      <c r="D1426" s="4" t="s">
        <v>1509</v>
      </c>
      <c r="E1426" s="4" t="s">
        <v>96</v>
      </c>
      <c r="F1426" s="5">
        <v>170.82</v>
      </c>
      <c r="G1426" s="5">
        <v>181.48</v>
      </c>
      <c r="H1426" s="4" t="s">
        <v>1201</v>
      </c>
      <c r="I1426" s="10">
        <v>76</v>
      </c>
      <c r="J1426" s="34">
        <f t="shared" si="88"/>
        <v>0.66120000000000001</v>
      </c>
      <c r="K1426" s="34">
        <f t="shared" si="89"/>
        <v>0.99</v>
      </c>
      <c r="L1426" s="34">
        <f t="shared" si="90"/>
        <v>3.96</v>
      </c>
      <c r="M1426" s="11" t="s">
        <v>4268</v>
      </c>
      <c r="N1426" s="11" t="s">
        <v>3891</v>
      </c>
      <c r="O1426" s="11" t="s">
        <v>3892</v>
      </c>
      <c r="P1426" s="11" t="s">
        <v>3893</v>
      </c>
      <c r="Q1426" s="12">
        <v>170.68799999999999</v>
      </c>
      <c r="R1426" s="12">
        <v>181.35599999999999</v>
      </c>
      <c r="S1426" s="12">
        <v>5.3339999999999996</v>
      </c>
      <c r="T1426" s="13">
        <v>1.84</v>
      </c>
      <c r="U1426" s="13">
        <f t="shared" si="91"/>
        <v>-2.12</v>
      </c>
      <c r="V1426" s="14">
        <v>225.4</v>
      </c>
      <c r="W1426" s="14">
        <v>225.4</v>
      </c>
      <c r="X1426" s="11">
        <v>75</v>
      </c>
      <c r="Y1426" s="15" t="s">
        <v>3737</v>
      </c>
      <c r="Z1426" s="16">
        <v>149.4</v>
      </c>
      <c r="AA1426" s="17">
        <v>196.6</v>
      </c>
      <c r="AB1426" s="18" t="s">
        <v>4189</v>
      </c>
    </row>
    <row r="1427" spans="1:28" x14ac:dyDescent="0.45">
      <c r="A1427" s="2" t="s">
        <v>2020</v>
      </c>
      <c r="B1427" s="2" t="s">
        <v>6522</v>
      </c>
      <c r="C1427" s="2" t="s">
        <v>1110</v>
      </c>
      <c r="D1427" s="2" t="s">
        <v>1509</v>
      </c>
      <c r="E1427" s="2" t="s">
        <v>96</v>
      </c>
      <c r="F1427" s="3">
        <v>170.82</v>
      </c>
      <c r="G1427" s="3">
        <v>184.8</v>
      </c>
      <c r="H1427" s="2" t="s">
        <v>1368</v>
      </c>
      <c r="I1427" s="19">
        <v>114</v>
      </c>
      <c r="J1427" s="34">
        <f t="shared" si="88"/>
        <v>0.9917999999999999</v>
      </c>
      <c r="K1427" s="34">
        <f t="shared" si="89"/>
        <v>1.49</v>
      </c>
      <c r="L1427" s="34">
        <f t="shared" si="90"/>
        <v>5.96</v>
      </c>
      <c r="M1427" s="20" t="s">
        <v>4269</v>
      </c>
      <c r="N1427" s="20" t="s">
        <v>3891</v>
      </c>
      <c r="O1427" s="20" t="s">
        <v>3892</v>
      </c>
      <c r="P1427" s="20" t="s">
        <v>3893</v>
      </c>
      <c r="Q1427" s="21">
        <v>170.68799999999999</v>
      </c>
      <c r="R1427" s="21">
        <v>184.91200000000001</v>
      </c>
      <c r="S1427" s="21">
        <v>7.1120000000000001</v>
      </c>
      <c r="T1427" s="22">
        <v>2.5299999999999998</v>
      </c>
      <c r="U1427" s="13">
        <f t="shared" si="91"/>
        <v>-3.43</v>
      </c>
      <c r="V1427" s="23">
        <v>309.92</v>
      </c>
      <c r="W1427" s="23">
        <v>309.92</v>
      </c>
      <c r="X1427" s="20">
        <v>91</v>
      </c>
      <c r="Y1427" s="24" t="s">
        <v>3737</v>
      </c>
      <c r="Z1427" s="16">
        <v>195.92</v>
      </c>
      <c r="AA1427" s="17">
        <v>171.9</v>
      </c>
      <c r="AB1427" s="25" t="s">
        <v>4199</v>
      </c>
    </row>
    <row r="1428" spans="1:28" x14ac:dyDescent="0.45">
      <c r="A1428" s="4" t="s">
        <v>2021</v>
      </c>
      <c r="B1428" s="4" t="s">
        <v>6523</v>
      </c>
      <c r="C1428" s="4" t="s">
        <v>1110</v>
      </c>
      <c r="D1428" s="4" t="s">
        <v>1509</v>
      </c>
      <c r="E1428" s="4" t="s">
        <v>96</v>
      </c>
      <c r="F1428" s="5">
        <v>170</v>
      </c>
      <c r="G1428" s="5">
        <v>180</v>
      </c>
      <c r="H1428" s="4" t="s">
        <v>1245</v>
      </c>
      <c r="I1428" s="10">
        <v>79</v>
      </c>
      <c r="J1428" s="34">
        <f t="shared" si="88"/>
        <v>0.68729999999999991</v>
      </c>
      <c r="K1428" s="34">
        <f t="shared" si="89"/>
        <v>1.03</v>
      </c>
      <c r="L1428" s="34">
        <f t="shared" si="90"/>
        <v>4.12</v>
      </c>
      <c r="M1428" s="11" t="s">
        <v>4546</v>
      </c>
      <c r="N1428" s="11" t="s">
        <v>3891</v>
      </c>
      <c r="O1428" s="11" t="s">
        <v>3892</v>
      </c>
      <c r="P1428" s="11" t="s">
        <v>3893</v>
      </c>
      <c r="Q1428" s="12">
        <v>170</v>
      </c>
      <c r="R1428" s="12">
        <v>180</v>
      </c>
      <c r="S1428" s="12">
        <v>5</v>
      </c>
      <c r="T1428" s="13">
        <v>2.87</v>
      </c>
      <c r="U1428" s="13">
        <f t="shared" si="91"/>
        <v>-1.25</v>
      </c>
      <c r="V1428" s="14">
        <v>351.58</v>
      </c>
      <c r="W1428" s="14">
        <v>351.58</v>
      </c>
      <c r="X1428" s="11">
        <v>70</v>
      </c>
      <c r="Y1428" s="15" t="s">
        <v>3713</v>
      </c>
      <c r="Z1428" s="16">
        <v>272.58</v>
      </c>
      <c r="AA1428" s="17">
        <v>345</v>
      </c>
      <c r="AB1428" s="18" t="s">
        <v>3714</v>
      </c>
    </row>
    <row r="1429" spans="1:28" x14ac:dyDescent="0.45">
      <c r="A1429" s="2" t="s">
        <v>2022</v>
      </c>
      <c r="B1429" s="2" t="s">
        <v>6524</v>
      </c>
      <c r="C1429" s="2" t="s">
        <v>1110</v>
      </c>
      <c r="D1429" s="2" t="s">
        <v>1509</v>
      </c>
      <c r="E1429" s="2" t="s">
        <v>96</v>
      </c>
      <c r="F1429" s="3">
        <v>171.04</v>
      </c>
      <c r="G1429" s="3">
        <v>178.1</v>
      </c>
      <c r="H1429" s="2" t="s">
        <v>1156</v>
      </c>
      <c r="I1429" s="19">
        <v>47</v>
      </c>
      <c r="J1429" s="34">
        <f t="shared" si="88"/>
        <v>0.40889999999999999</v>
      </c>
      <c r="K1429" s="34">
        <f t="shared" si="89"/>
        <v>0.61</v>
      </c>
      <c r="L1429" s="34">
        <f t="shared" si="90"/>
        <v>2.44</v>
      </c>
      <c r="M1429" s="20" t="s">
        <v>4270</v>
      </c>
      <c r="N1429" s="20" t="s">
        <v>3891</v>
      </c>
      <c r="O1429" s="20" t="s">
        <v>3892</v>
      </c>
      <c r="P1429" s="20" t="s">
        <v>3893</v>
      </c>
      <c r="Q1429" s="21">
        <v>170.94200000000001</v>
      </c>
      <c r="R1429" s="21">
        <v>178.054</v>
      </c>
      <c r="S1429" s="21">
        <v>3.556</v>
      </c>
      <c r="T1429" s="22">
        <v>1.1000000000000001</v>
      </c>
      <c r="U1429" s="13">
        <f t="shared" si="91"/>
        <v>-1.3399999999999999</v>
      </c>
      <c r="V1429" s="23">
        <v>134.75</v>
      </c>
      <c r="W1429" s="23">
        <v>134.75</v>
      </c>
      <c r="X1429" s="20">
        <v>144</v>
      </c>
      <c r="Y1429" s="24" t="s">
        <v>3737</v>
      </c>
      <c r="Z1429" s="16">
        <v>87.75</v>
      </c>
      <c r="AA1429" s="17">
        <v>186.7</v>
      </c>
      <c r="AB1429" s="25" t="s">
        <v>3963</v>
      </c>
    </row>
    <row r="1430" spans="1:28" x14ac:dyDescent="0.45">
      <c r="A1430" s="4" t="s">
        <v>2023</v>
      </c>
      <c r="B1430" s="4" t="s">
        <v>6525</v>
      </c>
      <c r="C1430" s="4" t="s">
        <v>1110</v>
      </c>
      <c r="D1430" s="4" t="s">
        <v>1509</v>
      </c>
      <c r="E1430" s="4" t="s">
        <v>96</v>
      </c>
      <c r="F1430" s="5">
        <v>172</v>
      </c>
      <c r="G1430" s="5">
        <v>180</v>
      </c>
      <c r="H1430" s="4" t="s">
        <v>1216</v>
      </c>
      <c r="I1430" s="10">
        <v>72</v>
      </c>
      <c r="J1430" s="34">
        <f t="shared" si="88"/>
        <v>0.62639999999999996</v>
      </c>
      <c r="K1430" s="34">
        <f t="shared" si="89"/>
        <v>0.94</v>
      </c>
      <c r="L1430" s="34">
        <f t="shared" si="90"/>
        <v>3.76</v>
      </c>
      <c r="M1430" s="11" t="s">
        <v>4547</v>
      </c>
      <c r="N1430" s="11" t="s">
        <v>3891</v>
      </c>
      <c r="O1430" s="11" t="s">
        <v>3892</v>
      </c>
      <c r="P1430" s="11" t="s">
        <v>3893</v>
      </c>
      <c r="Q1430" s="12">
        <v>172</v>
      </c>
      <c r="R1430" s="12">
        <v>180</v>
      </c>
      <c r="S1430" s="12">
        <v>4</v>
      </c>
      <c r="T1430" s="13">
        <v>1.38</v>
      </c>
      <c r="U1430" s="13">
        <f t="shared" si="91"/>
        <v>-2.38</v>
      </c>
      <c r="V1430" s="14">
        <v>169.05</v>
      </c>
      <c r="W1430" s="14">
        <v>169.05</v>
      </c>
      <c r="X1430" s="11">
        <v>8</v>
      </c>
      <c r="Y1430" s="15" t="s">
        <v>3713</v>
      </c>
      <c r="Z1430" s="16">
        <v>97.050000000000011</v>
      </c>
      <c r="AA1430" s="17">
        <v>134.80000000000001</v>
      </c>
      <c r="AB1430" s="18" t="s">
        <v>3714</v>
      </c>
    </row>
    <row r="1431" spans="1:28" x14ac:dyDescent="0.45">
      <c r="A1431" s="2" t="s">
        <v>2024</v>
      </c>
      <c r="B1431" s="2" t="s">
        <v>6526</v>
      </c>
      <c r="C1431" s="2" t="s">
        <v>1110</v>
      </c>
      <c r="D1431" s="2" t="s">
        <v>1509</v>
      </c>
      <c r="E1431" s="2" t="s">
        <v>96</v>
      </c>
      <c r="F1431" s="3">
        <v>174.2</v>
      </c>
      <c r="G1431" s="3">
        <v>185.6</v>
      </c>
      <c r="H1431" s="2" t="s">
        <v>1297</v>
      </c>
      <c r="I1431" s="19">
        <v>114</v>
      </c>
      <c r="J1431" s="34">
        <f t="shared" si="88"/>
        <v>0.9917999999999999</v>
      </c>
      <c r="K1431" s="34">
        <f t="shared" si="89"/>
        <v>1.49</v>
      </c>
      <c r="L1431" s="34">
        <f t="shared" si="90"/>
        <v>5.96</v>
      </c>
      <c r="M1431" s="20" t="s">
        <v>4271</v>
      </c>
      <c r="N1431" s="20" t="s">
        <v>3891</v>
      </c>
      <c r="O1431" s="20" t="s">
        <v>3892</v>
      </c>
      <c r="P1431" s="20" t="s">
        <v>3893</v>
      </c>
      <c r="Q1431" s="21">
        <v>174.3</v>
      </c>
      <c r="R1431" s="21">
        <v>185.7</v>
      </c>
      <c r="S1431" s="21">
        <v>5.7</v>
      </c>
      <c r="T1431" s="22">
        <v>2.2999999999999998</v>
      </c>
      <c r="U1431" s="13">
        <f t="shared" si="91"/>
        <v>-3.66</v>
      </c>
      <c r="V1431" s="23">
        <v>281.75</v>
      </c>
      <c r="W1431" s="23">
        <v>281.75</v>
      </c>
      <c r="X1431" s="20">
        <v>14</v>
      </c>
      <c r="Y1431" s="24" t="s">
        <v>3713</v>
      </c>
      <c r="Z1431" s="16">
        <v>167.75</v>
      </c>
      <c r="AA1431" s="17">
        <v>147.1</v>
      </c>
      <c r="AB1431" s="25" t="s">
        <v>4119</v>
      </c>
    </row>
    <row r="1432" spans="1:28" x14ac:dyDescent="0.45">
      <c r="A1432" s="4" t="s">
        <v>2025</v>
      </c>
      <c r="B1432" s="4" t="s">
        <v>6527</v>
      </c>
      <c r="C1432" s="4" t="s">
        <v>1110</v>
      </c>
      <c r="D1432" s="4" t="s">
        <v>1509</v>
      </c>
      <c r="E1432" s="4" t="s">
        <v>96</v>
      </c>
      <c r="F1432" s="5">
        <v>174.5</v>
      </c>
      <c r="G1432" s="5">
        <v>191.3</v>
      </c>
      <c r="H1432" s="4" t="s">
        <v>1463</v>
      </c>
      <c r="I1432" s="10">
        <v>278</v>
      </c>
      <c r="J1432" s="34">
        <f t="shared" si="88"/>
        <v>2.4185999999999996</v>
      </c>
      <c r="K1432" s="34">
        <f t="shared" si="89"/>
        <v>3.63</v>
      </c>
      <c r="L1432" s="34">
        <f t="shared" si="90"/>
        <v>14.52</v>
      </c>
      <c r="M1432" s="11" t="s">
        <v>4548</v>
      </c>
      <c r="N1432" s="11" t="s">
        <v>3925</v>
      </c>
      <c r="O1432" s="11" t="s">
        <v>3892</v>
      </c>
      <c r="P1432" s="11" t="s">
        <v>3926</v>
      </c>
      <c r="Q1432" s="12">
        <v>174.5</v>
      </c>
      <c r="R1432" s="12">
        <v>191.3</v>
      </c>
      <c r="S1432" s="12">
        <v>8.4</v>
      </c>
      <c r="T1432" s="13">
        <v>11.99</v>
      </c>
      <c r="U1432" s="13">
        <f t="shared" si="91"/>
        <v>-2.5299999999999994</v>
      </c>
      <c r="V1432" s="14">
        <v>1468.78</v>
      </c>
      <c r="W1432" s="14">
        <v>1468.78</v>
      </c>
      <c r="X1432" s="11">
        <v>12</v>
      </c>
      <c r="Y1432" s="15" t="s">
        <v>3713</v>
      </c>
      <c r="Z1432" s="16">
        <v>1190.78</v>
      </c>
      <c r="AA1432" s="17">
        <v>428.3</v>
      </c>
      <c r="AB1432" s="18" t="s">
        <v>3714</v>
      </c>
    </row>
    <row r="1433" spans="1:28" x14ac:dyDescent="0.45">
      <c r="A1433" s="2" t="s">
        <v>2026</v>
      </c>
      <c r="B1433" s="2" t="s">
        <v>6528</v>
      </c>
      <c r="C1433" s="2" t="s">
        <v>1110</v>
      </c>
      <c r="D1433" s="2" t="s">
        <v>1509</v>
      </c>
      <c r="E1433" s="2" t="s">
        <v>96</v>
      </c>
      <c r="F1433" s="3">
        <v>174</v>
      </c>
      <c r="G1433" s="3">
        <v>180</v>
      </c>
      <c r="H1433" s="2" t="s">
        <v>1149</v>
      </c>
      <c r="I1433" s="19">
        <v>50</v>
      </c>
      <c r="J1433" s="34">
        <f t="shared" si="88"/>
        <v>0.43499999999999994</v>
      </c>
      <c r="K1433" s="34">
        <f t="shared" si="89"/>
        <v>0.65</v>
      </c>
      <c r="L1433" s="34">
        <f t="shared" si="90"/>
        <v>2.6</v>
      </c>
      <c r="M1433" s="20" t="s">
        <v>4272</v>
      </c>
      <c r="N1433" s="20" t="s">
        <v>3891</v>
      </c>
      <c r="O1433" s="20" t="s">
        <v>3892</v>
      </c>
      <c r="P1433" s="20" t="s">
        <v>3893</v>
      </c>
      <c r="Q1433" s="21">
        <v>174</v>
      </c>
      <c r="R1433" s="21">
        <v>180</v>
      </c>
      <c r="S1433" s="21">
        <v>3</v>
      </c>
      <c r="T1433" s="22">
        <v>1.62</v>
      </c>
      <c r="U1433" s="13">
        <f t="shared" si="91"/>
        <v>-0.98</v>
      </c>
      <c r="V1433" s="23">
        <v>198.45</v>
      </c>
      <c r="W1433" s="23">
        <v>198.45</v>
      </c>
      <c r="X1433" s="20">
        <v>443</v>
      </c>
      <c r="Y1433" s="24" t="s">
        <v>3713</v>
      </c>
      <c r="Z1433" s="16">
        <v>148.44999999999999</v>
      </c>
      <c r="AA1433" s="17">
        <v>296.89999999999998</v>
      </c>
      <c r="AB1433" s="25" t="s">
        <v>3714</v>
      </c>
    </row>
    <row r="1434" spans="1:28" x14ac:dyDescent="0.45">
      <c r="A1434" s="4" t="s">
        <v>2027</v>
      </c>
      <c r="B1434" s="4" t="s">
        <v>6529</v>
      </c>
      <c r="C1434" s="4" t="s">
        <v>1110</v>
      </c>
      <c r="D1434" s="4" t="s">
        <v>1509</v>
      </c>
      <c r="E1434" s="4" t="s">
        <v>96</v>
      </c>
      <c r="F1434" s="5">
        <v>177.17</v>
      </c>
      <c r="G1434" s="5">
        <v>187.83</v>
      </c>
      <c r="H1434" s="4" t="s">
        <v>1201</v>
      </c>
      <c r="I1434" s="10">
        <v>79</v>
      </c>
      <c r="J1434" s="34">
        <f t="shared" si="88"/>
        <v>0.68729999999999991</v>
      </c>
      <c r="K1434" s="34">
        <f t="shared" si="89"/>
        <v>1.03</v>
      </c>
      <c r="L1434" s="34">
        <f t="shared" si="90"/>
        <v>4.12</v>
      </c>
      <c r="M1434" s="11" t="s">
        <v>4273</v>
      </c>
      <c r="N1434" s="11" t="s">
        <v>3891</v>
      </c>
      <c r="O1434" s="11" t="s">
        <v>3892</v>
      </c>
      <c r="P1434" s="11" t="s">
        <v>3893</v>
      </c>
      <c r="Q1434" s="12">
        <v>177.03800000000001</v>
      </c>
      <c r="R1434" s="12">
        <v>187.70599999999999</v>
      </c>
      <c r="S1434" s="12">
        <v>5.3339999999999996</v>
      </c>
      <c r="T1434" s="13">
        <v>1.25</v>
      </c>
      <c r="U1434" s="13">
        <f t="shared" si="91"/>
        <v>-2.87</v>
      </c>
      <c r="V1434" s="14">
        <v>153.12</v>
      </c>
      <c r="W1434" s="14">
        <v>153.12</v>
      </c>
      <c r="X1434" s="11">
        <v>117</v>
      </c>
      <c r="Y1434" s="15" t="s">
        <v>3737</v>
      </c>
      <c r="Z1434" s="16">
        <v>74.12</v>
      </c>
      <c r="AA1434" s="17">
        <v>93.8</v>
      </c>
      <c r="AB1434" s="18" t="s">
        <v>4189</v>
      </c>
    </row>
    <row r="1435" spans="1:28" x14ac:dyDescent="0.45">
      <c r="A1435" s="2" t="s">
        <v>2028</v>
      </c>
      <c r="B1435" s="2" t="s">
        <v>6530</v>
      </c>
      <c r="C1435" s="2" t="s">
        <v>1110</v>
      </c>
      <c r="D1435" s="2" t="s">
        <v>1509</v>
      </c>
      <c r="E1435" s="2" t="s">
        <v>96</v>
      </c>
      <c r="F1435" s="3">
        <v>177.17</v>
      </c>
      <c r="G1435" s="3">
        <v>191.15</v>
      </c>
      <c r="H1435" s="2" t="s">
        <v>1368</v>
      </c>
      <c r="I1435" s="19">
        <v>118</v>
      </c>
      <c r="J1435" s="34">
        <f t="shared" si="88"/>
        <v>1.0266</v>
      </c>
      <c r="K1435" s="34">
        <f t="shared" si="89"/>
        <v>1.54</v>
      </c>
      <c r="L1435" s="34">
        <f t="shared" si="90"/>
        <v>6.16</v>
      </c>
      <c r="M1435" s="20" t="s">
        <v>4274</v>
      </c>
      <c r="N1435" s="20" t="s">
        <v>3891</v>
      </c>
      <c r="O1435" s="20" t="s">
        <v>3892</v>
      </c>
      <c r="P1435" s="20" t="s">
        <v>3893</v>
      </c>
      <c r="Q1435" s="21">
        <v>177.03800000000001</v>
      </c>
      <c r="R1435" s="21">
        <v>191.262</v>
      </c>
      <c r="S1435" s="21">
        <v>7.1120000000000001</v>
      </c>
      <c r="T1435" s="22">
        <v>2.56</v>
      </c>
      <c r="U1435" s="13">
        <f t="shared" si="91"/>
        <v>-3.6</v>
      </c>
      <c r="V1435" s="23">
        <v>313.60000000000002</v>
      </c>
      <c r="W1435" s="23">
        <v>313.60000000000002</v>
      </c>
      <c r="X1435" s="20">
        <v>42</v>
      </c>
      <c r="Y1435" s="24" t="s">
        <v>3737</v>
      </c>
      <c r="Z1435" s="16">
        <v>195.6</v>
      </c>
      <c r="AA1435" s="17">
        <v>165.8</v>
      </c>
      <c r="AB1435" s="25" t="s">
        <v>4199</v>
      </c>
    </row>
    <row r="1436" spans="1:28" x14ac:dyDescent="0.45">
      <c r="A1436" s="4" t="s">
        <v>2029</v>
      </c>
      <c r="B1436" s="4" t="s">
        <v>6531</v>
      </c>
      <c r="C1436" s="4" t="s">
        <v>1110</v>
      </c>
      <c r="D1436" s="4" t="s">
        <v>1509</v>
      </c>
      <c r="E1436" s="4" t="s">
        <v>96</v>
      </c>
      <c r="F1436" s="5">
        <v>177.39</v>
      </c>
      <c r="G1436" s="5">
        <v>184.45</v>
      </c>
      <c r="H1436" s="4" t="s">
        <v>1156</v>
      </c>
      <c r="I1436" s="10">
        <v>49</v>
      </c>
      <c r="J1436" s="34">
        <f t="shared" si="88"/>
        <v>0.42629999999999996</v>
      </c>
      <c r="K1436" s="34">
        <f t="shared" si="89"/>
        <v>0.64</v>
      </c>
      <c r="L1436" s="34">
        <f t="shared" si="90"/>
        <v>2.56</v>
      </c>
      <c r="M1436" s="11" t="s">
        <v>4275</v>
      </c>
      <c r="N1436" s="11" t="s">
        <v>3891</v>
      </c>
      <c r="O1436" s="11" t="s">
        <v>3892</v>
      </c>
      <c r="P1436" s="11" t="s">
        <v>3893</v>
      </c>
      <c r="Q1436" s="12">
        <v>177.292</v>
      </c>
      <c r="R1436" s="12">
        <v>184.404</v>
      </c>
      <c r="S1436" s="12">
        <v>3.556</v>
      </c>
      <c r="T1436" s="13">
        <v>1.1399999999999999</v>
      </c>
      <c r="U1436" s="13">
        <f t="shared" si="91"/>
        <v>-1.4200000000000002</v>
      </c>
      <c r="V1436" s="14">
        <v>139.65</v>
      </c>
      <c r="W1436" s="14">
        <v>139.65</v>
      </c>
      <c r="X1436" s="11">
        <v>85</v>
      </c>
      <c r="Y1436" s="15" t="s">
        <v>3737</v>
      </c>
      <c r="Z1436" s="16">
        <v>90.65</v>
      </c>
      <c r="AA1436" s="17">
        <v>185</v>
      </c>
      <c r="AB1436" s="18" t="s">
        <v>3963</v>
      </c>
    </row>
    <row r="1437" spans="1:28" x14ac:dyDescent="0.45">
      <c r="A1437" s="2" t="s">
        <v>2030</v>
      </c>
      <c r="B1437" s="2" t="s">
        <v>6532</v>
      </c>
      <c r="C1437" s="2" t="s">
        <v>1110</v>
      </c>
      <c r="D1437" s="2" t="s">
        <v>1509</v>
      </c>
      <c r="E1437" s="2" t="s">
        <v>96</v>
      </c>
      <c r="F1437" s="3">
        <v>179.2</v>
      </c>
      <c r="G1437" s="3">
        <v>190.6</v>
      </c>
      <c r="H1437" s="2" t="s">
        <v>1297</v>
      </c>
      <c r="I1437" s="19">
        <v>118</v>
      </c>
      <c r="J1437" s="34">
        <f t="shared" si="88"/>
        <v>1.0266</v>
      </c>
      <c r="K1437" s="34">
        <f t="shared" si="89"/>
        <v>1.54</v>
      </c>
      <c r="L1437" s="34">
        <f t="shared" si="90"/>
        <v>6.16</v>
      </c>
      <c r="M1437" s="20" t="s">
        <v>4549</v>
      </c>
      <c r="N1437" s="20" t="s">
        <v>3891</v>
      </c>
      <c r="O1437" s="20" t="s">
        <v>3892</v>
      </c>
      <c r="P1437" s="20" t="s">
        <v>3893</v>
      </c>
      <c r="Q1437" s="21">
        <v>179.3</v>
      </c>
      <c r="R1437" s="21">
        <v>190.7</v>
      </c>
      <c r="S1437" s="21">
        <v>5.7</v>
      </c>
      <c r="T1437" s="22">
        <v>3</v>
      </c>
      <c r="U1437" s="13">
        <f t="shared" si="91"/>
        <v>-3.16</v>
      </c>
      <c r="V1437" s="23">
        <v>367.5</v>
      </c>
      <c r="W1437" s="23">
        <v>367.5</v>
      </c>
      <c r="X1437" s="20">
        <v>66</v>
      </c>
      <c r="Y1437" s="24" t="s">
        <v>3713</v>
      </c>
      <c r="Z1437" s="16">
        <v>249.5</v>
      </c>
      <c r="AA1437" s="17">
        <v>211.4</v>
      </c>
      <c r="AB1437" s="25" t="s">
        <v>4119</v>
      </c>
    </row>
    <row r="1438" spans="1:28" x14ac:dyDescent="0.45">
      <c r="A1438" s="4" t="s">
        <v>2031</v>
      </c>
      <c r="B1438" s="4" t="s">
        <v>6533</v>
      </c>
      <c r="C1438" s="4" t="s">
        <v>1110</v>
      </c>
      <c r="D1438" s="4" t="s">
        <v>1509</v>
      </c>
      <c r="E1438" s="4" t="s">
        <v>96</v>
      </c>
      <c r="F1438" s="5">
        <v>180</v>
      </c>
      <c r="G1438" s="5">
        <v>190</v>
      </c>
      <c r="H1438" s="4" t="s">
        <v>1245</v>
      </c>
      <c r="I1438" s="10">
        <v>86</v>
      </c>
      <c r="J1438" s="34">
        <f t="shared" si="88"/>
        <v>0.74819999999999998</v>
      </c>
      <c r="K1438" s="34">
        <f t="shared" si="89"/>
        <v>1.1200000000000001</v>
      </c>
      <c r="L1438" s="34">
        <f t="shared" si="90"/>
        <v>4.4800000000000004</v>
      </c>
      <c r="M1438" s="11" t="s">
        <v>4276</v>
      </c>
      <c r="N1438" s="11" t="s">
        <v>3891</v>
      </c>
      <c r="O1438" s="11" t="s">
        <v>3892</v>
      </c>
      <c r="P1438" s="11" t="s">
        <v>3893</v>
      </c>
      <c r="Q1438" s="12">
        <v>180</v>
      </c>
      <c r="R1438" s="12">
        <v>190</v>
      </c>
      <c r="S1438" s="12">
        <v>5</v>
      </c>
      <c r="T1438" s="13">
        <v>2.06</v>
      </c>
      <c r="U1438" s="13">
        <f t="shared" si="91"/>
        <v>-2.4200000000000004</v>
      </c>
      <c r="V1438" s="14">
        <v>252.35</v>
      </c>
      <c r="W1438" s="14">
        <v>252.35</v>
      </c>
      <c r="X1438" s="11">
        <v>51</v>
      </c>
      <c r="Y1438" s="15" t="s">
        <v>3713</v>
      </c>
      <c r="Z1438" s="16">
        <v>166.35</v>
      </c>
      <c r="AA1438" s="17">
        <v>193.4</v>
      </c>
      <c r="AB1438" s="18" t="s">
        <v>3714</v>
      </c>
    </row>
    <row r="1439" spans="1:28" x14ac:dyDescent="0.45">
      <c r="A1439" s="2" t="s">
        <v>2032</v>
      </c>
      <c r="B1439" s="2" t="s">
        <v>6534</v>
      </c>
      <c r="C1439" s="2" t="s">
        <v>1110</v>
      </c>
      <c r="D1439" s="2" t="s">
        <v>1509</v>
      </c>
      <c r="E1439" s="2" t="s">
        <v>96</v>
      </c>
      <c r="F1439" s="3">
        <v>183.52</v>
      </c>
      <c r="G1439" s="3">
        <v>194.18</v>
      </c>
      <c r="H1439" s="2" t="s">
        <v>1201</v>
      </c>
      <c r="I1439" s="19">
        <v>84</v>
      </c>
      <c r="J1439" s="34">
        <f t="shared" si="88"/>
        <v>0.73079999999999989</v>
      </c>
      <c r="K1439" s="34">
        <f t="shared" si="89"/>
        <v>1.1000000000000001</v>
      </c>
      <c r="L1439" s="34">
        <f t="shared" si="90"/>
        <v>4.4000000000000004</v>
      </c>
      <c r="M1439" s="20" t="s">
        <v>4277</v>
      </c>
      <c r="N1439" s="20" t="s">
        <v>3891</v>
      </c>
      <c r="O1439" s="20" t="s">
        <v>3892</v>
      </c>
      <c r="P1439" s="20" t="s">
        <v>3893</v>
      </c>
      <c r="Q1439" s="21">
        <v>183.38800000000001</v>
      </c>
      <c r="R1439" s="21">
        <v>194.05600000000001</v>
      </c>
      <c r="S1439" s="21">
        <v>5.3339999999999996</v>
      </c>
      <c r="T1439" s="22">
        <v>1.96</v>
      </c>
      <c r="U1439" s="13">
        <f t="shared" si="91"/>
        <v>-2.4400000000000004</v>
      </c>
      <c r="V1439" s="23">
        <v>240.1</v>
      </c>
      <c r="W1439" s="23">
        <v>240.1</v>
      </c>
      <c r="X1439" s="20">
        <v>156</v>
      </c>
      <c r="Y1439" s="24" t="s">
        <v>3737</v>
      </c>
      <c r="Z1439" s="16">
        <v>156.1</v>
      </c>
      <c r="AA1439" s="17">
        <v>185.8</v>
      </c>
      <c r="AB1439" s="25" t="s">
        <v>4189</v>
      </c>
    </row>
    <row r="1440" spans="1:28" x14ac:dyDescent="0.45">
      <c r="A1440" s="4" t="s">
        <v>2033</v>
      </c>
      <c r="B1440" s="4" t="s">
        <v>6535</v>
      </c>
      <c r="C1440" s="4" t="s">
        <v>1110</v>
      </c>
      <c r="D1440" s="4" t="s">
        <v>1509</v>
      </c>
      <c r="E1440" s="4" t="s">
        <v>96</v>
      </c>
      <c r="F1440" s="5">
        <v>183.52</v>
      </c>
      <c r="G1440" s="5">
        <v>197.5</v>
      </c>
      <c r="H1440" s="4" t="s">
        <v>1368</v>
      </c>
      <c r="I1440" s="10">
        <v>121</v>
      </c>
      <c r="J1440" s="34">
        <f t="shared" si="88"/>
        <v>1.0527</v>
      </c>
      <c r="K1440" s="34">
        <f t="shared" si="89"/>
        <v>1.58</v>
      </c>
      <c r="L1440" s="34">
        <f t="shared" si="90"/>
        <v>6.32</v>
      </c>
      <c r="M1440" s="11" t="s">
        <v>4278</v>
      </c>
      <c r="N1440" s="11" t="s">
        <v>3891</v>
      </c>
      <c r="O1440" s="11" t="s">
        <v>3892</v>
      </c>
      <c r="P1440" s="11" t="s">
        <v>3893</v>
      </c>
      <c r="Q1440" s="12">
        <v>183.38800000000001</v>
      </c>
      <c r="R1440" s="12">
        <v>197.61199999999999</v>
      </c>
      <c r="S1440" s="12">
        <v>7.1120000000000001</v>
      </c>
      <c r="T1440" s="13">
        <v>2.6</v>
      </c>
      <c r="U1440" s="13">
        <f t="shared" si="91"/>
        <v>-3.72</v>
      </c>
      <c r="V1440" s="14">
        <v>318.5</v>
      </c>
      <c r="W1440" s="14">
        <v>318.5</v>
      </c>
      <c r="X1440" s="11">
        <v>45</v>
      </c>
      <c r="Y1440" s="15" t="s">
        <v>3737</v>
      </c>
      <c r="Z1440" s="16">
        <v>197.5</v>
      </c>
      <c r="AA1440" s="17">
        <v>163.19999999999999</v>
      </c>
      <c r="AB1440" s="18" t="s">
        <v>4199</v>
      </c>
    </row>
    <row r="1441" spans="1:28" x14ac:dyDescent="0.45">
      <c r="A1441" s="2" t="s">
        <v>2034</v>
      </c>
      <c r="B1441" s="2" t="s">
        <v>6536</v>
      </c>
      <c r="C1441" s="2" t="s">
        <v>1110</v>
      </c>
      <c r="D1441" s="2" t="s">
        <v>1509</v>
      </c>
      <c r="E1441" s="2" t="s">
        <v>96</v>
      </c>
      <c r="F1441" s="3">
        <v>183.74</v>
      </c>
      <c r="G1441" s="3">
        <v>190.8</v>
      </c>
      <c r="H1441" s="2" t="s">
        <v>1156</v>
      </c>
      <c r="I1441" s="19">
        <v>50</v>
      </c>
      <c r="J1441" s="34">
        <f t="shared" si="88"/>
        <v>0.43499999999999994</v>
      </c>
      <c r="K1441" s="34">
        <f t="shared" si="89"/>
        <v>0.65</v>
      </c>
      <c r="L1441" s="34">
        <f t="shared" si="90"/>
        <v>2.6</v>
      </c>
      <c r="M1441" s="20" t="s">
        <v>4550</v>
      </c>
      <c r="N1441" s="20" t="s">
        <v>3891</v>
      </c>
      <c r="O1441" s="20" t="s">
        <v>3892</v>
      </c>
      <c r="P1441" s="20" t="s">
        <v>3893</v>
      </c>
      <c r="Q1441" s="21">
        <v>183.642</v>
      </c>
      <c r="R1441" s="21">
        <v>190.75399999999999</v>
      </c>
      <c r="S1441" s="21">
        <v>3.556</v>
      </c>
      <c r="T1441" s="22">
        <v>1.19</v>
      </c>
      <c r="U1441" s="13">
        <f t="shared" si="91"/>
        <v>-1.4100000000000001</v>
      </c>
      <c r="V1441" s="23">
        <v>145.78</v>
      </c>
      <c r="W1441" s="23">
        <v>145.78</v>
      </c>
      <c r="X1441" s="20">
        <v>40</v>
      </c>
      <c r="Y1441" s="24" t="s">
        <v>3737</v>
      </c>
      <c r="Z1441" s="16">
        <v>95.78</v>
      </c>
      <c r="AA1441" s="17">
        <v>191.6</v>
      </c>
      <c r="AB1441" s="25" t="s">
        <v>3963</v>
      </c>
    </row>
    <row r="1442" spans="1:28" x14ac:dyDescent="0.45">
      <c r="A1442" s="4" t="s">
        <v>2035</v>
      </c>
      <c r="B1442" s="4" t="s">
        <v>6537</v>
      </c>
      <c r="C1442" s="4" t="s">
        <v>1110</v>
      </c>
      <c r="D1442" s="4" t="s">
        <v>1509</v>
      </c>
      <c r="E1442" s="4" t="s">
        <v>96</v>
      </c>
      <c r="F1442" s="5">
        <v>184.2</v>
      </c>
      <c r="G1442" s="5">
        <v>195.6</v>
      </c>
      <c r="H1442" s="4" t="s">
        <v>1297</v>
      </c>
      <c r="I1442" s="10">
        <v>128</v>
      </c>
      <c r="J1442" s="34">
        <f t="shared" si="88"/>
        <v>1.1135999999999999</v>
      </c>
      <c r="K1442" s="34">
        <f t="shared" si="89"/>
        <v>1.67</v>
      </c>
      <c r="L1442" s="34">
        <f t="shared" si="90"/>
        <v>6.68</v>
      </c>
      <c r="M1442" s="11" t="s">
        <v>4279</v>
      </c>
      <c r="N1442" s="11" t="s">
        <v>3891</v>
      </c>
      <c r="O1442" s="11" t="s">
        <v>3892</v>
      </c>
      <c r="P1442" s="11" t="s">
        <v>3893</v>
      </c>
      <c r="Q1442" s="12">
        <v>184.3</v>
      </c>
      <c r="R1442" s="12">
        <v>195.7</v>
      </c>
      <c r="S1442" s="12">
        <v>5.7</v>
      </c>
      <c r="T1442" s="13">
        <v>2.56</v>
      </c>
      <c r="U1442" s="13">
        <f t="shared" si="91"/>
        <v>-4.1199999999999992</v>
      </c>
      <c r="V1442" s="14">
        <v>313.60000000000002</v>
      </c>
      <c r="W1442" s="14">
        <v>313.60000000000002</v>
      </c>
      <c r="X1442" s="11">
        <v>35</v>
      </c>
      <c r="Y1442" s="15" t="s">
        <v>3713</v>
      </c>
      <c r="Z1442" s="16">
        <v>185.6</v>
      </c>
      <c r="AA1442" s="17">
        <v>145</v>
      </c>
      <c r="AB1442" s="18" t="s">
        <v>4119</v>
      </c>
    </row>
    <row r="1443" spans="1:28" x14ac:dyDescent="0.45">
      <c r="A1443" s="2" t="s">
        <v>2036</v>
      </c>
      <c r="B1443" s="2" t="s">
        <v>6538</v>
      </c>
      <c r="C1443" s="2" t="s">
        <v>1110</v>
      </c>
      <c r="D1443" s="2" t="s">
        <v>1509</v>
      </c>
      <c r="E1443" s="2" t="s">
        <v>96</v>
      </c>
      <c r="F1443" s="3">
        <v>184.5</v>
      </c>
      <c r="G1443" s="3">
        <v>201.3</v>
      </c>
      <c r="H1443" s="2" t="s">
        <v>1463</v>
      </c>
      <c r="I1443" s="19">
        <v>289</v>
      </c>
      <c r="J1443" s="34">
        <f t="shared" si="88"/>
        <v>2.5143</v>
      </c>
      <c r="K1443" s="34">
        <f t="shared" si="89"/>
        <v>3.77</v>
      </c>
      <c r="L1443" s="34">
        <f t="shared" si="90"/>
        <v>15.08</v>
      </c>
      <c r="M1443" s="20" t="s">
        <v>4551</v>
      </c>
      <c r="N1443" s="20" t="s">
        <v>3891</v>
      </c>
      <c r="O1443" s="20" t="s">
        <v>3892</v>
      </c>
      <c r="P1443" s="20" t="s">
        <v>3893</v>
      </c>
      <c r="Q1443" s="21">
        <v>184.5</v>
      </c>
      <c r="R1443" s="21">
        <v>201.3</v>
      </c>
      <c r="S1443" s="21">
        <v>8.4</v>
      </c>
      <c r="T1443" s="22">
        <v>4.93</v>
      </c>
      <c r="U1443" s="13">
        <f t="shared" si="91"/>
        <v>-10.15</v>
      </c>
      <c r="V1443" s="23">
        <v>603.91999999999996</v>
      </c>
      <c r="W1443" s="23">
        <v>603.91999999999996</v>
      </c>
      <c r="X1443" s="20">
        <v>6</v>
      </c>
      <c r="Y1443" s="24" t="s">
        <v>3713</v>
      </c>
      <c r="Z1443" s="16">
        <v>314.92</v>
      </c>
      <c r="AA1443" s="17">
        <v>109</v>
      </c>
      <c r="AB1443" s="25" t="s">
        <v>3714</v>
      </c>
    </row>
    <row r="1444" spans="1:28" x14ac:dyDescent="0.45">
      <c r="A1444" s="4" t="s">
        <v>2037</v>
      </c>
      <c r="B1444" s="4" t="s">
        <v>6539</v>
      </c>
      <c r="C1444" s="4" t="s">
        <v>1110</v>
      </c>
      <c r="D1444" s="4" t="s">
        <v>1509</v>
      </c>
      <c r="E1444" s="4" t="s">
        <v>96</v>
      </c>
      <c r="F1444" s="5">
        <v>189.2</v>
      </c>
      <c r="G1444" s="5">
        <v>200.6</v>
      </c>
      <c r="H1444" s="4" t="s">
        <v>1297</v>
      </c>
      <c r="I1444" s="10">
        <v>130</v>
      </c>
      <c r="J1444" s="34">
        <f t="shared" si="88"/>
        <v>1.131</v>
      </c>
      <c r="K1444" s="34">
        <f t="shared" si="89"/>
        <v>1.7</v>
      </c>
      <c r="L1444" s="34">
        <f t="shared" si="90"/>
        <v>6.8</v>
      </c>
      <c r="M1444" s="11" t="s">
        <v>4280</v>
      </c>
      <c r="N1444" s="11" t="s">
        <v>3891</v>
      </c>
      <c r="O1444" s="11" t="s">
        <v>3892</v>
      </c>
      <c r="P1444" s="11" t="s">
        <v>3893</v>
      </c>
      <c r="Q1444" s="12">
        <v>189.3</v>
      </c>
      <c r="R1444" s="12">
        <v>200.7</v>
      </c>
      <c r="S1444" s="12">
        <v>5.7</v>
      </c>
      <c r="T1444" s="13">
        <v>2.4900000000000002</v>
      </c>
      <c r="U1444" s="13">
        <f t="shared" si="91"/>
        <v>-4.3099999999999996</v>
      </c>
      <c r="V1444" s="14">
        <v>305.02999999999997</v>
      </c>
      <c r="W1444" s="14">
        <v>305.02999999999997</v>
      </c>
      <c r="X1444" s="11">
        <v>131</v>
      </c>
      <c r="Y1444" s="15" t="s">
        <v>3713</v>
      </c>
      <c r="Z1444" s="16">
        <v>175.03</v>
      </c>
      <c r="AA1444" s="17">
        <v>134.6</v>
      </c>
      <c r="AB1444" s="18" t="s">
        <v>4119</v>
      </c>
    </row>
    <row r="1445" spans="1:28" x14ac:dyDescent="0.45">
      <c r="A1445" s="2" t="s">
        <v>2038</v>
      </c>
      <c r="B1445" s="2" t="s">
        <v>6540</v>
      </c>
      <c r="C1445" s="2" t="s">
        <v>1110</v>
      </c>
      <c r="D1445" s="2" t="s">
        <v>1509</v>
      </c>
      <c r="E1445" s="2" t="s">
        <v>96</v>
      </c>
      <c r="F1445" s="3">
        <v>189.87</v>
      </c>
      <c r="G1445" s="3">
        <v>200.53</v>
      </c>
      <c r="H1445" s="2" t="s">
        <v>1201</v>
      </c>
      <c r="I1445" s="19">
        <v>89</v>
      </c>
      <c r="J1445" s="34">
        <f t="shared" si="88"/>
        <v>0.77429999999999999</v>
      </c>
      <c r="K1445" s="34">
        <f t="shared" si="89"/>
        <v>1.1599999999999999</v>
      </c>
      <c r="L1445" s="34">
        <f t="shared" si="90"/>
        <v>4.6399999999999997</v>
      </c>
      <c r="M1445" s="20" t="s">
        <v>4281</v>
      </c>
      <c r="N1445" s="20" t="s">
        <v>3891</v>
      </c>
      <c r="O1445" s="20" t="s">
        <v>3892</v>
      </c>
      <c r="P1445" s="20" t="s">
        <v>3893</v>
      </c>
      <c r="Q1445" s="21">
        <v>189.738</v>
      </c>
      <c r="R1445" s="21">
        <v>200.40600000000001</v>
      </c>
      <c r="S1445" s="21">
        <v>5.3339999999999996</v>
      </c>
      <c r="T1445" s="22">
        <v>1.99</v>
      </c>
      <c r="U1445" s="13">
        <f t="shared" si="91"/>
        <v>-2.6499999999999995</v>
      </c>
      <c r="V1445" s="23">
        <v>243.78</v>
      </c>
      <c r="W1445" s="23">
        <v>243.78</v>
      </c>
      <c r="X1445" s="20">
        <v>324</v>
      </c>
      <c r="Y1445" s="24" t="s">
        <v>3737</v>
      </c>
      <c r="Z1445" s="16">
        <v>154.78</v>
      </c>
      <c r="AA1445" s="17">
        <v>173.9</v>
      </c>
      <c r="AB1445" s="25" t="s">
        <v>4189</v>
      </c>
    </row>
    <row r="1446" spans="1:28" x14ac:dyDescent="0.45">
      <c r="A1446" s="4" t="s">
        <v>2039</v>
      </c>
      <c r="B1446" s="4" t="s">
        <v>6541</v>
      </c>
      <c r="C1446" s="4" t="s">
        <v>1110</v>
      </c>
      <c r="D1446" s="4" t="s">
        <v>1509</v>
      </c>
      <c r="E1446" s="4" t="s">
        <v>96</v>
      </c>
      <c r="F1446" s="5">
        <v>189.87</v>
      </c>
      <c r="G1446" s="5">
        <v>203.85</v>
      </c>
      <c r="H1446" s="4" t="s">
        <v>1368</v>
      </c>
      <c r="I1446" s="10">
        <v>124</v>
      </c>
      <c r="J1446" s="34">
        <f t="shared" si="88"/>
        <v>1.0788</v>
      </c>
      <c r="K1446" s="34">
        <f t="shared" si="89"/>
        <v>1.62</v>
      </c>
      <c r="L1446" s="34">
        <f t="shared" si="90"/>
        <v>6.48</v>
      </c>
      <c r="M1446" s="11" t="s">
        <v>4282</v>
      </c>
      <c r="N1446" s="11" t="s">
        <v>3891</v>
      </c>
      <c r="O1446" s="11" t="s">
        <v>3892</v>
      </c>
      <c r="P1446" s="11" t="s">
        <v>3893</v>
      </c>
      <c r="Q1446" s="12">
        <v>189.738</v>
      </c>
      <c r="R1446" s="12">
        <v>203.96199999999999</v>
      </c>
      <c r="S1446" s="12">
        <v>7.1120000000000001</v>
      </c>
      <c r="T1446" s="13">
        <v>2.68</v>
      </c>
      <c r="U1446" s="13">
        <f t="shared" si="91"/>
        <v>-3.8000000000000003</v>
      </c>
      <c r="V1446" s="14">
        <v>328.3</v>
      </c>
      <c r="W1446" s="14">
        <v>328.3</v>
      </c>
      <c r="X1446" s="11">
        <v>30</v>
      </c>
      <c r="Y1446" s="15" t="s">
        <v>3737</v>
      </c>
      <c r="Z1446" s="16">
        <v>204.3</v>
      </c>
      <c r="AA1446" s="17">
        <v>164.8</v>
      </c>
      <c r="AB1446" s="18" t="s">
        <v>4199</v>
      </c>
    </row>
    <row r="1447" spans="1:28" x14ac:dyDescent="0.45">
      <c r="A1447" s="2" t="s">
        <v>2040</v>
      </c>
      <c r="B1447" s="2" t="s">
        <v>6542</v>
      </c>
      <c r="C1447" s="2" t="s">
        <v>1110</v>
      </c>
      <c r="D1447" s="2" t="s">
        <v>1509</v>
      </c>
      <c r="E1447" s="2" t="s">
        <v>96</v>
      </c>
      <c r="F1447" s="3">
        <v>190.09</v>
      </c>
      <c r="G1447" s="3">
        <v>197.15</v>
      </c>
      <c r="H1447" s="2" t="s">
        <v>1156</v>
      </c>
      <c r="I1447" s="19">
        <v>52</v>
      </c>
      <c r="J1447" s="34">
        <f t="shared" si="88"/>
        <v>0.45239999999999997</v>
      </c>
      <c r="K1447" s="34">
        <f t="shared" si="89"/>
        <v>0.68</v>
      </c>
      <c r="L1447" s="34">
        <f t="shared" si="90"/>
        <v>2.72</v>
      </c>
      <c r="M1447" s="20" t="s">
        <v>4283</v>
      </c>
      <c r="N1447" s="20" t="s">
        <v>3891</v>
      </c>
      <c r="O1447" s="20" t="s">
        <v>3892</v>
      </c>
      <c r="P1447" s="20" t="s">
        <v>3893</v>
      </c>
      <c r="Q1447" s="21">
        <v>190</v>
      </c>
      <c r="R1447" s="21">
        <v>197</v>
      </c>
      <c r="S1447" s="21">
        <v>3.5</v>
      </c>
      <c r="T1447" s="22">
        <v>1.24</v>
      </c>
      <c r="U1447" s="13">
        <f t="shared" si="91"/>
        <v>-1.4800000000000002</v>
      </c>
      <c r="V1447" s="23">
        <v>151.9</v>
      </c>
      <c r="W1447" s="23">
        <v>151.9</v>
      </c>
      <c r="X1447" s="20">
        <v>12</v>
      </c>
      <c r="Y1447" s="24" t="s">
        <v>3713</v>
      </c>
      <c r="Z1447" s="16">
        <v>99.9</v>
      </c>
      <c r="AA1447" s="17">
        <v>192.1</v>
      </c>
      <c r="AB1447" s="25" t="s">
        <v>4041</v>
      </c>
    </row>
    <row r="1448" spans="1:28" x14ac:dyDescent="0.45">
      <c r="A1448" s="4" t="s">
        <v>2041</v>
      </c>
      <c r="B1448" s="4" t="s">
        <v>6543</v>
      </c>
      <c r="C1448" s="4" t="s">
        <v>1110</v>
      </c>
      <c r="D1448" s="4" t="s">
        <v>1509</v>
      </c>
      <c r="E1448" s="4" t="s">
        <v>96</v>
      </c>
      <c r="F1448" s="5">
        <v>190</v>
      </c>
      <c r="G1448" s="5">
        <v>196</v>
      </c>
      <c r="H1448" s="4" t="s">
        <v>1149</v>
      </c>
      <c r="I1448" s="10">
        <v>61</v>
      </c>
      <c r="J1448" s="34">
        <f t="shared" si="88"/>
        <v>0.53069999999999995</v>
      </c>
      <c r="K1448" s="34">
        <f t="shared" si="89"/>
        <v>0.8</v>
      </c>
      <c r="L1448" s="34">
        <f t="shared" si="90"/>
        <v>3.2</v>
      </c>
      <c r="M1448" s="11" t="s">
        <v>4552</v>
      </c>
      <c r="N1448" s="11" t="s">
        <v>3891</v>
      </c>
      <c r="O1448" s="11" t="s">
        <v>3892</v>
      </c>
      <c r="P1448" s="11" t="s">
        <v>3893</v>
      </c>
      <c r="Q1448" s="12">
        <v>190</v>
      </c>
      <c r="R1448" s="12">
        <v>196</v>
      </c>
      <c r="S1448" s="12">
        <v>3</v>
      </c>
      <c r="T1448" s="13">
        <v>1.81</v>
      </c>
      <c r="U1448" s="13">
        <f t="shared" si="91"/>
        <v>-1.3900000000000001</v>
      </c>
      <c r="V1448" s="14">
        <v>221.72</v>
      </c>
      <c r="W1448" s="14">
        <v>221.72</v>
      </c>
      <c r="X1448" s="11">
        <v>79</v>
      </c>
      <c r="Y1448" s="15" t="s">
        <v>3713</v>
      </c>
      <c r="Z1448" s="16">
        <v>160.72</v>
      </c>
      <c r="AA1448" s="17">
        <v>263.5</v>
      </c>
      <c r="AB1448" s="18" t="s">
        <v>3714</v>
      </c>
    </row>
    <row r="1449" spans="1:28" x14ac:dyDescent="0.45">
      <c r="A1449" s="2" t="s">
        <v>2042</v>
      </c>
      <c r="B1449" s="2" t="s">
        <v>6544</v>
      </c>
      <c r="C1449" s="2" t="s">
        <v>1110</v>
      </c>
      <c r="D1449" s="2" t="s">
        <v>1509</v>
      </c>
      <c r="E1449" s="2" t="s">
        <v>96</v>
      </c>
      <c r="F1449" s="3">
        <v>190</v>
      </c>
      <c r="G1449" s="3">
        <v>200</v>
      </c>
      <c r="H1449" s="2" t="s">
        <v>1245</v>
      </c>
      <c r="I1449" s="19">
        <v>94</v>
      </c>
      <c r="J1449" s="34">
        <f t="shared" si="88"/>
        <v>0.81779999999999997</v>
      </c>
      <c r="K1449" s="34">
        <f t="shared" si="89"/>
        <v>1.23</v>
      </c>
      <c r="L1449" s="34">
        <f t="shared" si="90"/>
        <v>4.92</v>
      </c>
      <c r="M1449" s="20" t="s">
        <v>4553</v>
      </c>
      <c r="N1449" s="20" t="s">
        <v>3891</v>
      </c>
      <c r="O1449" s="20" t="s">
        <v>3892</v>
      </c>
      <c r="P1449" s="20" t="s">
        <v>3893</v>
      </c>
      <c r="Q1449" s="21">
        <v>190</v>
      </c>
      <c r="R1449" s="21">
        <v>200</v>
      </c>
      <c r="S1449" s="21">
        <v>5</v>
      </c>
      <c r="T1449" s="22">
        <v>2.12</v>
      </c>
      <c r="U1449" s="13">
        <f t="shared" si="91"/>
        <v>-2.8</v>
      </c>
      <c r="V1449" s="23">
        <v>259.7</v>
      </c>
      <c r="W1449" s="23">
        <v>259.7</v>
      </c>
      <c r="X1449" s="20">
        <v>138</v>
      </c>
      <c r="Y1449" s="24" t="s">
        <v>3713</v>
      </c>
      <c r="Z1449" s="16">
        <v>165.7</v>
      </c>
      <c r="AA1449" s="17">
        <v>176.3</v>
      </c>
      <c r="AB1449" s="25" t="s">
        <v>3714</v>
      </c>
    </row>
    <row r="1450" spans="1:28" x14ac:dyDescent="0.45">
      <c r="A1450" s="4" t="s">
        <v>2043</v>
      </c>
      <c r="B1450" s="4" t="s">
        <v>6545</v>
      </c>
      <c r="C1450" s="4" t="s">
        <v>1110</v>
      </c>
      <c r="D1450" s="4" t="s">
        <v>1509</v>
      </c>
      <c r="E1450" s="4" t="s">
        <v>96</v>
      </c>
      <c r="F1450" s="5">
        <v>194.2</v>
      </c>
      <c r="G1450" s="5">
        <v>205.6</v>
      </c>
      <c r="H1450" s="4" t="s">
        <v>1297</v>
      </c>
      <c r="I1450" s="10">
        <v>133</v>
      </c>
      <c r="J1450" s="34">
        <f t="shared" si="88"/>
        <v>1.1571</v>
      </c>
      <c r="K1450" s="34">
        <f t="shared" si="89"/>
        <v>1.74</v>
      </c>
      <c r="L1450" s="34">
        <f t="shared" si="90"/>
        <v>6.96</v>
      </c>
      <c r="M1450" s="11" t="s">
        <v>4554</v>
      </c>
      <c r="N1450" s="11" t="s">
        <v>3891</v>
      </c>
      <c r="O1450" s="11" t="s">
        <v>3892</v>
      </c>
      <c r="P1450" s="11" t="s">
        <v>3893</v>
      </c>
      <c r="Q1450" s="12">
        <v>194.3</v>
      </c>
      <c r="R1450" s="12">
        <v>205.7</v>
      </c>
      <c r="S1450" s="12">
        <v>5.7</v>
      </c>
      <c r="T1450" s="13">
        <v>2.77</v>
      </c>
      <c r="U1450" s="13">
        <f t="shared" si="91"/>
        <v>-4.1899999999999995</v>
      </c>
      <c r="V1450" s="14">
        <v>339.32</v>
      </c>
      <c r="W1450" s="14">
        <v>339.32</v>
      </c>
      <c r="X1450" s="11">
        <v>9</v>
      </c>
      <c r="Y1450" s="15" t="s">
        <v>3713</v>
      </c>
      <c r="Z1450" s="16">
        <v>206.32</v>
      </c>
      <c r="AA1450" s="17">
        <v>155.1</v>
      </c>
      <c r="AB1450" s="18" t="s">
        <v>4119</v>
      </c>
    </row>
    <row r="1451" spans="1:28" x14ac:dyDescent="0.45">
      <c r="A1451" s="2" t="s">
        <v>2044</v>
      </c>
      <c r="B1451" s="2" t="s">
        <v>6546</v>
      </c>
      <c r="C1451" s="2" t="s">
        <v>1110</v>
      </c>
      <c r="D1451" s="2" t="s">
        <v>1509</v>
      </c>
      <c r="E1451" s="2" t="s">
        <v>96</v>
      </c>
      <c r="F1451" s="3">
        <v>196.22</v>
      </c>
      <c r="G1451" s="3">
        <v>206.88</v>
      </c>
      <c r="H1451" s="2" t="s">
        <v>1201</v>
      </c>
      <c r="I1451" s="19">
        <v>91</v>
      </c>
      <c r="J1451" s="34">
        <f t="shared" si="88"/>
        <v>0.79169999999999996</v>
      </c>
      <c r="K1451" s="34">
        <f t="shared" si="89"/>
        <v>1.19</v>
      </c>
      <c r="L1451" s="34">
        <f t="shared" si="90"/>
        <v>4.76</v>
      </c>
      <c r="M1451" s="20" t="s">
        <v>4284</v>
      </c>
      <c r="N1451" s="20" t="s">
        <v>3891</v>
      </c>
      <c r="O1451" s="20" t="s">
        <v>3892</v>
      </c>
      <c r="P1451" s="20" t="s">
        <v>3893</v>
      </c>
      <c r="Q1451" s="21">
        <v>196.08799999999999</v>
      </c>
      <c r="R1451" s="21">
        <v>206.756</v>
      </c>
      <c r="S1451" s="21">
        <v>5.3339999999999996</v>
      </c>
      <c r="T1451" s="22">
        <v>2.09</v>
      </c>
      <c r="U1451" s="13">
        <f t="shared" si="91"/>
        <v>-2.67</v>
      </c>
      <c r="V1451" s="23">
        <v>256.02</v>
      </c>
      <c r="W1451" s="23">
        <v>256.02</v>
      </c>
      <c r="X1451" s="20">
        <v>293</v>
      </c>
      <c r="Y1451" s="24" t="s">
        <v>3737</v>
      </c>
      <c r="Z1451" s="16">
        <v>165.02</v>
      </c>
      <c r="AA1451" s="17">
        <v>181.3</v>
      </c>
      <c r="AB1451" s="25" t="s">
        <v>4189</v>
      </c>
    </row>
    <row r="1452" spans="1:28" x14ac:dyDescent="0.45">
      <c r="A1452" s="4" t="s">
        <v>2045</v>
      </c>
      <c r="B1452" s="4" t="s">
        <v>6547</v>
      </c>
      <c r="C1452" s="4" t="s">
        <v>1110</v>
      </c>
      <c r="D1452" s="4" t="s">
        <v>1509</v>
      </c>
      <c r="E1452" s="4" t="s">
        <v>96</v>
      </c>
      <c r="F1452" s="5">
        <v>196.22</v>
      </c>
      <c r="G1452" s="5">
        <v>210.2</v>
      </c>
      <c r="H1452" s="4" t="s">
        <v>1368</v>
      </c>
      <c r="I1452" s="10">
        <v>128</v>
      </c>
      <c r="J1452" s="34">
        <f t="shared" si="88"/>
        <v>1.1135999999999999</v>
      </c>
      <c r="K1452" s="34">
        <f t="shared" si="89"/>
        <v>1.67</v>
      </c>
      <c r="L1452" s="34">
        <f t="shared" si="90"/>
        <v>6.68</v>
      </c>
      <c r="M1452" s="11" t="s">
        <v>4285</v>
      </c>
      <c r="N1452" s="11" t="s">
        <v>3891</v>
      </c>
      <c r="O1452" s="11" t="s">
        <v>3892</v>
      </c>
      <c r="P1452" s="11" t="s">
        <v>3893</v>
      </c>
      <c r="Q1452" s="12">
        <v>196.08799999999999</v>
      </c>
      <c r="R1452" s="12">
        <v>210.31200000000001</v>
      </c>
      <c r="S1452" s="12">
        <v>7.1120000000000001</v>
      </c>
      <c r="T1452" s="13">
        <v>3.01</v>
      </c>
      <c r="U1452" s="13">
        <f t="shared" si="91"/>
        <v>-3.67</v>
      </c>
      <c r="V1452" s="14">
        <v>368.72</v>
      </c>
      <c r="W1452" s="14">
        <v>368.72</v>
      </c>
      <c r="X1452" s="11">
        <v>113</v>
      </c>
      <c r="Y1452" s="15" t="s">
        <v>3737</v>
      </c>
      <c r="Z1452" s="16">
        <v>240.72</v>
      </c>
      <c r="AA1452" s="17">
        <v>188.1</v>
      </c>
      <c r="AB1452" s="18" t="s">
        <v>4199</v>
      </c>
    </row>
    <row r="1453" spans="1:28" x14ac:dyDescent="0.45">
      <c r="A1453" s="2" t="s">
        <v>2046</v>
      </c>
      <c r="B1453" s="2" t="s">
        <v>6548</v>
      </c>
      <c r="C1453" s="2" t="s">
        <v>1110</v>
      </c>
      <c r="D1453" s="2" t="s">
        <v>1509</v>
      </c>
      <c r="E1453" s="2" t="s">
        <v>96</v>
      </c>
      <c r="F1453" s="3">
        <v>196.44</v>
      </c>
      <c r="G1453" s="3">
        <v>203.5</v>
      </c>
      <c r="H1453" s="2" t="s">
        <v>1156</v>
      </c>
      <c r="I1453" s="19">
        <v>66</v>
      </c>
      <c r="J1453" s="34">
        <f t="shared" si="88"/>
        <v>0.57419999999999993</v>
      </c>
      <c r="K1453" s="34">
        <f t="shared" si="89"/>
        <v>0.86</v>
      </c>
      <c r="L1453" s="34">
        <f t="shared" si="90"/>
        <v>3.44</v>
      </c>
      <c r="M1453" s="20" t="s">
        <v>4286</v>
      </c>
      <c r="N1453" s="20" t="s">
        <v>3891</v>
      </c>
      <c r="O1453" s="20" t="s">
        <v>3892</v>
      </c>
      <c r="P1453" s="20" t="s">
        <v>3893</v>
      </c>
      <c r="Q1453" s="21">
        <v>196.34200000000001</v>
      </c>
      <c r="R1453" s="21">
        <v>203.45400000000001</v>
      </c>
      <c r="S1453" s="21">
        <v>3.556</v>
      </c>
      <c r="T1453" s="22">
        <v>1.35</v>
      </c>
      <c r="U1453" s="13">
        <f t="shared" si="91"/>
        <v>-2.09</v>
      </c>
      <c r="V1453" s="23">
        <v>165.38</v>
      </c>
      <c r="W1453" s="23">
        <v>165.38</v>
      </c>
      <c r="X1453" s="20">
        <v>40</v>
      </c>
      <c r="Y1453" s="24" t="s">
        <v>3737</v>
      </c>
      <c r="Z1453" s="16">
        <v>99.38</v>
      </c>
      <c r="AA1453" s="17">
        <v>150.6</v>
      </c>
      <c r="AB1453" s="25" t="s">
        <v>3963</v>
      </c>
    </row>
    <row r="1454" spans="1:28" x14ac:dyDescent="0.45">
      <c r="A1454" s="4" t="s">
        <v>2047</v>
      </c>
      <c r="B1454" s="4" t="s">
        <v>6549</v>
      </c>
      <c r="C1454" s="4" t="s">
        <v>1110</v>
      </c>
      <c r="D1454" s="4" t="s">
        <v>1509</v>
      </c>
      <c r="E1454" s="4" t="s">
        <v>96</v>
      </c>
      <c r="F1454" s="5">
        <v>199.2</v>
      </c>
      <c r="G1454" s="5">
        <v>210.6</v>
      </c>
      <c r="H1454" s="4" t="s">
        <v>1297</v>
      </c>
      <c r="I1454" s="10">
        <v>151</v>
      </c>
      <c r="J1454" s="34">
        <f t="shared" si="88"/>
        <v>1.3136999999999999</v>
      </c>
      <c r="K1454" s="34">
        <f t="shared" si="89"/>
        <v>1.97</v>
      </c>
      <c r="L1454" s="34">
        <f t="shared" si="90"/>
        <v>7.88</v>
      </c>
      <c r="M1454" s="11" t="s">
        <v>4555</v>
      </c>
      <c r="N1454" s="11" t="s">
        <v>3891</v>
      </c>
      <c r="O1454" s="11" t="s">
        <v>3892</v>
      </c>
      <c r="P1454" s="11" t="s">
        <v>3893</v>
      </c>
      <c r="Q1454" s="12">
        <v>199.3</v>
      </c>
      <c r="R1454" s="12">
        <v>210.7</v>
      </c>
      <c r="S1454" s="12">
        <v>5.7</v>
      </c>
      <c r="T1454" s="13">
        <v>2.46</v>
      </c>
      <c r="U1454" s="13">
        <f t="shared" si="91"/>
        <v>-5.42</v>
      </c>
      <c r="V1454" s="14">
        <v>301.35000000000002</v>
      </c>
      <c r="W1454" s="14">
        <v>301.35000000000002</v>
      </c>
      <c r="X1454" s="11">
        <v>10</v>
      </c>
      <c r="Y1454" s="15" t="s">
        <v>3713</v>
      </c>
      <c r="Z1454" s="16">
        <v>150.35</v>
      </c>
      <c r="AA1454" s="17">
        <v>99.6</v>
      </c>
      <c r="AB1454" s="18" t="s">
        <v>4119</v>
      </c>
    </row>
    <row r="1455" spans="1:28" x14ac:dyDescent="0.45">
      <c r="A1455" s="2" t="s">
        <v>2048</v>
      </c>
      <c r="B1455" s="2" t="s">
        <v>6550</v>
      </c>
      <c r="C1455" s="2" t="s">
        <v>1110</v>
      </c>
      <c r="D1455" s="2" t="s">
        <v>1509</v>
      </c>
      <c r="E1455" s="2" t="s">
        <v>96</v>
      </c>
      <c r="F1455" s="3">
        <v>199.5</v>
      </c>
      <c r="G1455" s="3">
        <v>216.3</v>
      </c>
      <c r="H1455" s="2" t="s">
        <v>1463</v>
      </c>
      <c r="I1455" s="19">
        <v>340</v>
      </c>
      <c r="J1455" s="34">
        <f t="shared" si="88"/>
        <v>2.9579999999999997</v>
      </c>
      <c r="K1455" s="34">
        <f t="shared" si="89"/>
        <v>4.4400000000000004</v>
      </c>
      <c r="L1455" s="34">
        <f t="shared" si="90"/>
        <v>17.760000000000002</v>
      </c>
      <c r="M1455" s="20" t="s">
        <v>4556</v>
      </c>
      <c r="N1455" s="20" t="s">
        <v>3925</v>
      </c>
      <c r="O1455" s="20" t="s">
        <v>3892</v>
      </c>
      <c r="P1455" s="20" t="s">
        <v>3926</v>
      </c>
      <c r="Q1455" s="21">
        <v>199.5</v>
      </c>
      <c r="R1455" s="21">
        <v>216.3</v>
      </c>
      <c r="S1455" s="21">
        <v>8.4</v>
      </c>
      <c r="T1455" s="22">
        <v>4.97</v>
      </c>
      <c r="U1455" s="13">
        <f t="shared" si="91"/>
        <v>-12.790000000000003</v>
      </c>
      <c r="V1455" s="23">
        <v>608.82000000000005</v>
      </c>
      <c r="W1455" s="23">
        <v>608.82000000000005</v>
      </c>
      <c r="X1455" s="20">
        <v>5</v>
      </c>
      <c r="Y1455" s="24" t="s">
        <v>3713</v>
      </c>
      <c r="Z1455" s="16">
        <v>268.82000000000011</v>
      </c>
      <c r="AA1455" s="17">
        <v>79.099999999999994</v>
      </c>
      <c r="AB1455" s="25" t="s">
        <v>3714</v>
      </c>
    </row>
    <row r="1456" spans="1:28" x14ac:dyDescent="0.45">
      <c r="A1456" s="4" t="s">
        <v>2049</v>
      </c>
      <c r="B1456" s="4" t="s">
        <v>6551</v>
      </c>
      <c r="C1456" s="4" t="s">
        <v>1110</v>
      </c>
      <c r="D1456" s="4" t="s">
        <v>1509</v>
      </c>
      <c r="E1456" s="4" t="s">
        <v>96</v>
      </c>
      <c r="F1456" s="5">
        <v>202.57</v>
      </c>
      <c r="G1456" s="5">
        <v>213.23</v>
      </c>
      <c r="H1456" s="4" t="s">
        <v>1201</v>
      </c>
      <c r="I1456" s="10">
        <v>106</v>
      </c>
      <c r="J1456" s="34">
        <f t="shared" si="88"/>
        <v>0.92219999999999991</v>
      </c>
      <c r="K1456" s="34">
        <f t="shared" si="89"/>
        <v>1.38</v>
      </c>
      <c r="L1456" s="34">
        <f t="shared" si="90"/>
        <v>5.52</v>
      </c>
      <c r="M1456" s="11" t="s">
        <v>4287</v>
      </c>
      <c r="N1456" s="11" t="s">
        <v>3891</v>
      </c>
      <c r="O1456" s="11" t="s">
        <v>3892</v>
      </c>
      <c r="P1456" s="11" t="s">
        <v>3893</v>
      </c>
      <c r="Q1456" s="12">
        <v>202.43799999999999</v>
      </c>
      <c r="R1456" s="12">
        <v>213.10599999999999</v>
      </c>
      <c r="S1456" s="12">
        <v>5.3339999999999996</v>
      </c>
      <c r="T1456" s="13">
        <v>2.1800000000000002</v>
      </c>
      <c r="U1456" s="13">
        <f t="shared" si="91"/>
        <v>-3.3399999999999994</v>
      </c>
      <c r="V1456" s="14">
        <v>267.05</v>
      </c>
      <c r="W1456" s="14">
        <v>267.05</v>
      </c>
      <c r="X1456" s="11">
        <v>97</v>
      </c>
      <c r="Y1456" s="15" t="s">
        <v>3737</v>
      </c>
      <c r="Z1456" s="16">
        <v>161.05000000000001</v>
      </c>
      <c r="AA1456" s="17">
        <v>151.9</v>
      </c>
      <c r="AB1456" s="18" t="s">
        <v>4189</v>
      </c>
    </row>
    <row r="1457" spans="1:28" x14ac:dyDescent="0.45">
      <c r="A1457" s="2" t="s">
        <v>2050</v>
      </c>
      <c r="B1457" s="2" t="s">
        <v>6552</v>
      </c>
      <c r="C1457" s="2" t="s">
        <v>1110</v>
      </c>
      <c r="D1457" s="2" t="s">
        <v>1509</v>
      </c>
      <c r="E1457" s="2" t="s">
        <v>96</v>
      </c>
      <c r="F1457" s="3">
        <v>202.57</v>
      </c>
      <c r="G1457" s="3">
        <v>216.55</v>
      </c>
      <c r="H1457" s="2" t="s">
        <v>1368</v>
      </c>
      <c r="I1457" s="19">
        <v>141</v>
      </c>
      <c r="J1457" s="34">
        <f t="shared" si="88"/>
        <v>1.2266999999999999</v>
      </c>
      <c r="K1457" s="34">
        <f t="shared" si="89"/>
        <v>1.84</v>
      </c>
      <c r="L1457" s="34">
        <f t="shared" si="90"/>
        <v>7.36</v>
      </c>
      <c r="M1457" s="20" t="s">
        <v>4288</v>
      </c>
      <c r="N1457" s="20" t="s">
        <v>3891</v>
      </c>
      <c r="O1457" s="20" t="s">
        <v>3892</v>
      </c>
      <c r="P1457" s="20" t="s">
        <v>3893</v>
      </c>
      <c r="Q1457" s="21">
        <v>202.43799999999999</v>
      </c>
      <c r="R1457" s="21">
        <v>216.66200000000001</v>
      </c>
      <c r="S1457" s="21">
        <v>7.1120000000000001</v>
      </c>
      <c r="T1457" s="22">
        <v>3.06</v>
      </c>
      <c r="U1457" s="13">
        <f t="shared" si="91"/>
        <v>-4.3000000000000007</v>
      </c>
      <c r="V1457" s="23">
        <v>374.85</v>
      </c>
      <c r="W1457" s="23">
        <v>374.85</v>
      </c>
      <c r="X1457" s="20">
        <v>7</v>
      </c>
      <c r="Y1457" s="24" t="s">
        <v>3737</v>
      </c>
      <c r="Z1457" s="16">
        <v>233.85</v>
      </c>
      <c r="AA1457" s="17">
        <v>165.9</v>
      </c>
      <c r="AB1457" s="25" t="s">
        <v>4199</v>
      </c>
    </row>
    <row r="1458" spans="1:28" x14ac:dyDescent="0.45">
      <c r="A1458" s="4" t="s">
        <v>2051</v>
      </c>
      <c r="B1458" s="4" t="s">
        <v>6553</v>
      </c>
      <c r="C1458" s="4" t="s">
        <v>1110</v>
      </c>
      <c r="D1458" s="4" t="s">
        <v>1509</v>
      </c>
      <c r="E1458" s="4" t="s">
        <v>96</v>
      </c>
      <c r="F1458" s="5">
        <v>202.79</v>
      </c>
      <c r="G1458" s="5">
        <v>209.85</v>
      </c>
      <c r="H1458" s="4" t="s">
        <v>1156</v>
      </c>
      <c r="I1458" s="10">
        <v>72</v>
      </c>
      <c r="J1458" s="34">
        <f t="shared" si="88"/>
        <v>0.62639999999999996</v>
      </c>
      <c r="K1458" s="34">
        <f t="shared" si="89"/>
        <v>0.94</v>
      </c>
      <c r="L1458" s="34">
        <f t="shared" si="90"/>
        <v>3.76</v>
      </c>
      <c r="M1458" s="11" t="s">
        <v>4289</v>
      </c>
      <c r="N1458" s="11" t="s">
        <v>3891</v>
      </c>
      <c r="O1458" s="11" t="s">
        <v>3892</v>
      </c>
      <c r="P1458" s="11" t="s">
        <v>3893</v>
      </c>
      <c r="Q1458" s="12">
        <v>202.69200000000001</v>
      </c>
      <c r="R1458" s="12">
        <v>209.804</v>
      </c>
      <c r="S1458" s="12">
        <v>3.556</v>
      </c>
      <c r="T1458" s="13">
        <v>1.39</v>
      </c>
      <c r="U1458" s="13">
        <f t="shared" si="91"/>
        <v>-2.37</v>
      </c>
      <c r="V1458" s="14">
        <v>170.27</v>
      </c>
      <c r="W1458" s="14">
        <v>170.27</v>
      </c>
      <c r="X1458" s="11">
        <v>281</v>
      </c>
      <c r="Y1458" s="15" t="s">
        <v>3737</v>
      </c>
      <c r="Z1458" s="16">
        <v>98.27000000000001</v>
      </c>
      <c r="AA1458" s="17">
        <v>136.5</v>
      </c>
      <c r="AB1458" s="18" t="s">
        <v>3963</v>
      </c>
    </row>
    <row r="1459" spans="1:28" x14ac:dyDescent="0.45">
      <c r="A1459" s="2" t="s">
        <v>2052</v>
      </c>
      <c r="B1459" s="2" t="s">
        <v>6554</v>
      </c>
      <c r="C1459" s="2" t="s">
        <v>1110</v>
      </c>
      <c r="D1459" s="2" t="s">
        <v>1509</v>
      </c>
      <c r="E1459" s="2" t="s">
        <v>96</v>
      </c>
      <c r="F1459" s="3">
        <v>204.2</v>
      </c>
      <c r="G1459" s="3">
        <v>215.6</v>
      </c>
      <c r="H1459" s="2" t="s">
        <v>1297</v>
      </c>
      <c r="I1459" s="19">
        <v>185</v>
      </c>
      <c r="J1459" s="34">
        <f t="shared" si="88"/>
        <v>1.6094999999999999</v>
      </c>
      <c r="K1459" s="34">
        <f t="shared" si="89"/>
        <v>2.41</v>
      </c>
      <c r="L1459" s="34">
        <f t="shared" si="90"/>
        <v>9.64</v>
      </c>
      <c r="M1459" s="20" t="s">
        <v>4557</v>
      </c>
      <c r="N1459" s="20" t="s">
        <v>3891</v>
      </c>
      <c r="O1459" s="20" t="s">
        <v>3892</v>
      </c>
      <c r="P1459" s="20" t="s">
        <v>3893</v>
      </c>
      <c r="Q1459" s="21">
        <v>204.3</v>
      </c>
      <c r="R1459" s="21">
        <v>215.7</v>
      </c>
      <c r="S1459" s="21">
        <v>5.7</v>
      </c>
      <c r="T1459" s="22">
        <v>2.39</v>
      </c>
      <c r="U1459" s="13">
        <f t="shared" si="91"/>
        <v>-7.25</v>
      </c>
      <c r="V1459" s="23">
        <v>292.77999999999997</v>
      </c>
      <c r="W1459" s="23">
        <v>292.77999999999997</v>
      </c>
      <c r="X1459" s="20">
        <v>172</v>
      </c>
      <c r="Y1459" s="24" t="s">
        <v>3713</v>
      </c>
      <c r="Z1459" s="16">
        <v>107.78</v>
      </c>
      <c r="AA1459" s="17">
        <v>58.3</v>
      </c>
      <c r="AB1459" s="25" t="s">
        <v>4119</v>
      </c>
    </row>
    <row r="1460" spans="1:28" x14ac:dyDescent="0.45">
      <c r="A1460" s="4" t="s">
        <v>2053</v>
      </c>
      <c r="B1460" s="4" t="s">
        <v>6555</v>
      </c>
      <c r="C1460" s="4" t="s">
        <v>1110</v>
      </c>
      <c r="D1460" s="4" t="s">
        <v>1509</v>
      </c>
      <c r="E1460" s="4" t="s">
        <v>96</v>
      </c>
      <c r="F1460" s="5">
        <v>204.5</v>
      </c>
      <c r="G1460" s="5">
        <v>221.3</v>
      </c>
      <c r="H1460" s="4" t="s">
        <v>1463</v>
      </c>
      <c r="I1460" s="10">
        <v>350</v>
      </c>
      <c r="J1460" s="34">
        <f t="shared" si="88"/>
        <v>3.0449999999999999</v>
      </c>
      <c r="K1460" s="34">
        <f t="shared" si="89"/>
        <v>4.57</v>
      </c>
      <c r="L1460" s="34">
        <f t="shared" si="90"/>
        <v>18.28</v>
      </c>
      <c r="M1460" s="11" t="s">
        <v>4558</v>
      </c>
      <c r="N1460" s="11" t="s">
        <v>3891</v>
      </c>
      <c r="O1460" s="11" t="s">
        <v>3892</v>
      </c>
      <c r="P1460" s="11" t="s">
        <v>3893</v>
      </c>
      <c r="Q1460" s="12">
        <v>204.5</v>
      </c>
      <c r="R1460" s="12">
        <v>221.3</v>
      </c>
      <c r="S1460" s="12">
        <v>8.4</v>
      </c>
      <c r="T1460" s="13">
        <v>5.15</v>
      </c>
      <c r="U1460" s="13">
        <f t="shared" si="91"/>
        <v>-13.13</v>
      </c>
      <c r="V1460" s="14">
        <v>630.88</v>
      </c>
      <c r="W1460" s="14">
        <v>630.88</v>
      </c>
      <c r="X1460" s="11">
        <v>4</v>
      </c>
      <c r="Y1460" s="15" t="s">
        <v>3713</v>
      </c>
      <c r="Z1460" s="16">
        <v>280.88</v>
      </c>
      <c r="AA1460" s="17">
        <v>80.3</v>
      </c>
      <c r="AB1460" s="18" t="s">
        <v>3714</v>
      </c>
    </row>
    <row r="1461" spans="1:28" x14ac:dyDescent="0.45">
      <c r="A1461" s="2" t="s">
        <v>2054</v>
      </c>
      <c r="B1461" s="2" t="s">
        <v>6556</v>
      </c>
      <c r="C1461" s="2" t="s">
        <v>1110</v>
      </c>
      <c r="D1461" s="2" t="s">
        <v>1509</v>
      </c>
      <c r="E1461" s="2" t="s">
        <v>96</v>
      </c>
      <c r="F1461" s="3">
        <v>208.5</v>
      </c>
      <c r="G1461" s="3">
        <v>225.3</v>
      </c>
      <c r="H1461" s="2" t="s">
        <v>1463</v>
      </c>
      <c r="I1461" s="19">
        <v>365</v>
      </c>
      <c r="J1461" s="34">
        <f t="shared" si="88"/>
        <v>3.1755</v>
      </c>
      <c r="K1461" s="34">
        <f t="shared" si="89"/>
        <v>4.76</v>
      </c>
      <c r="L1461" s="34">
        <f t="shared" si="90"/>
        <v>19.04</v>
      </c>
      <c r="M1461" s="20" t="s">
        <v>4559</v>
      </c>
      <c r="N1461" s="20" t="s">
        <v>3925</v>
      </c>
      <c r="O1461" s="20" t="s">
        <v>3892</v>
      </c>
      <c r="P1461" s="20" t="s">
        <v>3926</v>
      </c>
      <c r="Q1461" s="21">
        <v>208.1</v>
      </c>
      <c r="R1461" s="21">
        <v>224.9</v>
      </c>
      <c r="S1461" s="21">
        <v>8.4</v>
      </c>
      <c r="T1461" s="22">
        <v>7.85</v>
      </c>
      <c r="U1461" s="13">
        <f t="shared" si="91"/>
        <v>-11.19</v>
      </c>
      <c r="V1461" s="23">
        <v>961.62</v>
      </c>
      <c r="W1461" s="23">
        <v>961.62</v>
      </c>
      <c r="X1461" s="20" t="s">
        <v>3722</v>
      </c>
      <c r="Y1461" s="24" t="s">
        <v>3713</v>
      </c>
      <c r="Z1461" s="16">
        <v>596.62</v>
      </c>
      <c r="AA1461" s="17">
        <v>163.5</v>
      </c>
      <c r="AB1461" s="25" t="s">
        <v>4296</v>
      </c>
    </row>
    <row r="1462" spans="1:28" x14ac:dyDescent="0.45">
      <c r="A1462" s="4" t="s">
        <v>2055</v>
      </c>
      <c r="B1462" s="4" t="s">
        <v>6557</v>
      </c>
      <c r="C1462" s="4" t="s">
        <v>1110</v>
      </c>
      <c r="D1462" s="4" t="s">
        <v>1509</v>
      </c>
      <c r="E1462" s="4" t="s">
        <v>96</v>
      </c>
      <c r="F1462" s="5">
        <v>208.97</v>
      </c>
      <c r="G1462" s="5">
        <v>219.63</v>
      </c>
      <c r="H1462" s="4" t="s">
        <v>1201</v>
      </c>
      <c r="I1462" s="10">
        <v>113</v>
      </c>
      <c r="J1462" s="34">
        <f t="shared" si="88"/>
        <v>0.98309999999999997</v>
      </c>
      <c r="K1462" s="34">
        <f t="shared" si="89"/>
        <v>1.47</v>
      </c>
      <c r="L1462" s="34">
        <f t="shared" si="90"/>
        <v>5.88</v>
      </c>
      <c r="M1462" s="11" t="s">
        <v>4290</v>
      </c>
      <c r="N1462" s="11" t="s">
        <v>3891</v>
      </c>
      <c r="O1462" s="11" t="s">
        <v>3892</v>
      </c>
      <c r="P1462" s="11" t="s">
        <v>3893</v>
      </c>
      <c r="Q1462" s="12">
        <v>208.78800000000001</v>
      </c>
      <c r="R1462" s="12">
        <v>219.45599999999999</v>
      </c>
      <c r="S1462" s="12">
        <v>5.3339999999999996</v>
      </c>
      <c r="T1462" s="13">
        <v>2.2799999999999998</v>
      </c>
      <c r="U1462" s="13">
        <f t="shared" si="91"/>
        <v>-3.6</v>
      </c>
      <c r="V1462" s="14">
        <v>279.3</v>
      </c>
      <c r="W1462" s="14">
        <v>279.3</v>
      </c>
      <c r="X1462" s="11">
        <v>32</v>
      </c>
      <c r="Y1462" s="15" t="s">
        <v>3737</v>
      </c>
      <c r="Z1462" s="16">
        <v>166.3</v>
      </c>
      <c r="AA1462" s="17">
        <v>147.19999999999999</v>
      </c>
      <c r="AB1462" s="18" t="s">
        <v>4291</v>
      </c>
    </row>
    <row r="1463" spans="1:28" x14ac:dyDescent="0.45">
      <c r="A1463" s="2" t="s">
        <v>2056</v>
      </c>
      <c r="B1463" s="2" t="s">
        <v>6558</v>
      </c>
      <c r="C1463" s="2" t="s">
        <v>1110</v>
      </c>
      <c r="D1463" s="2" t="s">
        <v>1509</v>
      </c>
      <c r="E1463" s="2" t="s">
        <v>96</v>
      </c>
      <c r="F1463" s="3">
        <v>209.14</v>
      </c>
      <c r="G1463" s="3">
        <v>216.2</v>
      </c>
      <c r="H1463" s="2" t="s">
        <v>1156</v>
      </c>
      <c r="I1463" s="19">
        <v>74</v>
      </c>
      <c r="J1463" s="34">
        <f t="shared" si="88"/>
        <v>0.64379999999999993</v>
      </c>
      <c r="K1463" s="34">
        <f t="shared" si="89"/>
        <v>0.97</v>
      </c>
      <c r="L1463" s="34">
        <f t="shared" si="90"/>
        <v>3.88</v>
      </c>
      <c r="M1463" s="20" t="s">
        <v>4292</v>
      </c>
      <c r="N1463" s="20" t="s">
        <v>3891</v>
      </c>
      <c r="O1463" s="20" t="s">
        <v>3892</v>
      </c>
      <c r="P1463" s="20" t="s">
        <v>3893</v>
      </c>
      <c r="Q1463" s="21">
        <v>209.042</v>
      </c>
      <c r="R1463" s="21">
        <v>216.154</v>
      </c>
      <c r="S1463" s="21">
        <v>3.556</v>
      </c>
      <c r="T1463" s="22">
        <v>1.62</v>
      </c>
      <c r="U1463" s="13">
        <f t="shared" si="91"/>
        <v>-2.2599999999999998</v>
      </c>
      <c r="V1463" s="23">
        <v>198.45</v>
      </c>
      <c r="W1463" s="23">
        <v>198.45</v>
      </c>
      <c r="X1463" s="20">
        <v>149</v>
      </c>
      <c r="Y1463" s="24" t="s">
        <v>3737</v>
      </c>
      <c r="Z1463" s="16">
        <v>124.45</v>
      </c>
      <c r="AA1463" s="17">
        <v>168.2</v>
      </c>
      <c r="AB1463" s="25" t="s">
        <v>3963</v>
      </c>
    </row>
    <row r="1464" spans="1:28" x14ac:dyDescent="0.45">
      <c r="A1464" s="4" t="s">
        <v>2057</v>
      </c>
      <c r="B1464" s="4" t="s">
        <v>6559</v>
      </c>
      <c r="C1464" s="4" t="s">
        <v>1110</v>
      </c>
      <c r="D1464" s="4" t="s">
        <v>1509</v>
      </c>
      <c r="E1464" s="4" t="s">
        <v>96</v>
      </c>
      <c r="F1464" s="5">
        <v>209.2</v>
      </c>
      <c r="G1464" s="5">
        <v>220.6</v>
      </c>
      <c r="H1464" s="4" t="s">
        <v>1297</v>
      </c>
      <c r="I1464" s="10">
        <v>190</v>
      </c>
      <c r="J1464" s="34">
        <f t="shared" si="88"/>
        <v>1.6529999999999998</v>
      </c>
      <c r="K1464" s="34">
        <f t="shared" si="89"/>
        <v>2.48</v>
      </c>
      <c r="L1464" s="34">
        <f t="shared" si="90"/>
        <v>9.92</v>
      </c>
      <c r="M1464" s="11" t="s">
        <v>4560</v>
      </c>
      <c r="N1464" s="11" t="s">
        <v>3891</v>
      </c>
      <c r="O1464" s="11" t="s">
        <v>3892</v>
      </c>
      <c r="P1464" s="11" t="s">
        <v>3893</v>
      </c>
      <c r="Q1464" s="12">
        <v>209.3</v>
      </c>
      <c r="R1464" s="12">
        <v>220.7</v>
      </c>
      <c r="S1464" s="12">
        <v>5.7</v>
      </c>
      <c r="T1464" s="13">
        <v>3.09</v>
      </c>
      <c r="U1464" s="13">
        <f t="shared" si="91"/>
        <v>-6.83</v>
      </c>
      <c r="V1464" s="14">
        <v>378.52</v>
      </c>
      <c r="W1464" s="14">
        <v>378.52</v>
      </c>
      <c r="X1464" s="11">
        <v>15</v>
      </c>
      <c r="Y1464" s="15" t="s">
        <v>3713</v>
      </c>
      <c r="Z1464" s="16">
        <v>188.52</v>
      </c>
      <c r="AA1464" s="17">
        <v>99.2</v>
      </c>
      <c r="AB1464" s="18" t="s">
        <v>4119</v>
      </c>
    </row>
    <row r="1465" spans="1:28" x14ac:dyDescent="0.45">
      <c r="A1465" s="2" t="s">
        <v>2058</v>
      </c>
      <c r="B1465" s="2" t="s">
        <v>6560</v>
      </c>
      <c r="C1465" s="2" t="s">
        <v>1110</v>
      </c>
      <c r="D1465" s="2" t="s">
        <v>1509</v>
      </c>
      <c r="E1465" s="2" t="s">
        <v>96</v>
      </c>
      <c r="F1465" s="3">
        <v>214.2</v>
      </c>
      <c r="G1465" s="3">
        <v>225.6</v>
      </c>
      <c r="H1465" s="2" t="s">
        <v>1297</v>
      </c>
      <c r="I1465" s="19">
        <v>195</v>
      </c>
      <c r="J1465" s="34">
        <f t="shared" si="88"/>
        <v>1.6964999999999999</v>
      </c>
      <c r="K1465" s="34">
        <f t="shared" si="89"/>
        <v>2.54</v>
      </c>
      <c r="L1465" s="34">
        <f t="shared" si="90"/>
        <v>10.16</v>
      </c>
      <c r="M1465" s="20" t="s">
        <v>4561</v>
      </c>
      <c r="N1465" s="20" t="s">
        <v>3898</v>
      </c>
      <c r="O1465" s="20" t="s">
        <v>3892</v>
      </c>
      <c r="P1465" s="20" t="s">
        <v>3899</v>
      </c>
      <c r="Q1465" s="21">
        <v>214.3</v>
      </c>
      <c r="R1465" s="21">
        <v>225.7</v>
      </c>
      <c r="S1465" s="21">
        <v>5.7</v>
      </c>
      <c r="T1465" s="22">
        <v>9.09</v>
      </c>
      <c r="U1465" s="13">
        <f t="shared" si="91"/>
        <v>-1.0700000000000003</v>
      </c>
      <c r="V1465" s="23">
        <v>1113.53</v>
      </c>
      <c r="W1465" s="23">
        <v>1113.53</v>
      </c>
      <c r="X1465" s="20">
        <v>4</v>
      </c>
      <c r="Y1465" s="24" t="s">
        <v>3713</v>
      </c>
      <c r="Z1465" s="16">
        <v>918.53</v>
      </c>
      <c r="AA1465" s="17">
        <v>471</v>
      </c>
      <c r="AB1465" s="25" t="s">
        <v>4119</v>
      </c>
    </row>
    <row r="1466" spans="1:28" x14ac:dyDescent="0.45">
      <c r="A1466" s="4" t="s">
        <v>2059</v>
      </c>
      <c r="B1466" s="4" t="s">
        <v>6561</v>
      </c>
      <c r="C1466" s="4" t="s">
        <v>1110</v>
      </c>
      <c r="D1466" s="4" t="s">
        <v>1509</v>
      </c>
      <c r="E1466" s="4" t="s">
        <v>96</v>
      </c>
      <c r="F1466" s="5">
        <v>214.5</v>
      </c>
      <c r="G1466" s="5">
        <v>231.3</v>
      </c>
      <c r="H1466" s="4" t="s">
        <v>1463</v>
      </c>
      <c r="I1466" s="10">
        <v>377</v>
      </c>
      <c r="J1466" s="34">
        <f t="shared" si="88"/>
        <v>3.2798999999999996</v>
      </c>
      <c r="K1466" s="34">
        <f t="shared" si="89"/>
        <v>4.92</v>
      </c>
      <c r="L1466" s="34">
        <f t="shared" si="90"/>
        <v>19.68</v>
      </c>
      <c r="M1466" s="11" t="s">
        <v>4562</v>
      </c>
      <c r="N1466" s="11" t="s">
        <v>3891</v>
      </c>
      <c r="O1466" s="11" t="s">
        <v>3892</v>
      </c>
      <c r="P1466" s="11" t="s">
        <v>3893</v>
      </c>
      <c r="Q1466" s="12">
        <v>214.5</v>
      </c>
      <c r="R1466" s="12">
        <v>231.3</v>
      </c>
      <c r="S1466" s="12">
        <v>8.4</v>
      </c>
      <c r="T1466" s="13">
        <v>5.75</v>
      </c>
      <c r="U1466" s="13">
        <f t="shared" si="91"/>
        <v>-13.93</v>
      </c>
      <c r="V1466" s="14">
        <v>704.38</v>
      </c>
      <c r="W1466" s="14">
        <v>704.38</v>
      </c>
      <c r="X1466" s="11">
        <v>5</v>
      </c>
      <c r="Y1466" s="15" t="s">
        <v>3713</v>
      </c>
      <c r="Z1466" s="16">
        <v>327.38</v>
      </c>
      <c r="AA1466" s="17">
        <v>86.8</v>
      </c>
      <c r="AB1466" s="18" t="s">
        <v>3714</v>
      </c>
    </row>
    <row r="1467" spans="1:28" x14ac:dyDescent="0.45">
      <c r="A1467" s="2" t="s">
        <v>2060</v>
      </c>
      <c r="B1467" s="2" t="s">
        <v>6562</v>
      </c>
      <c r="C1467" s="2" t="s">
        <v>1110</v>
      </c>
      <c r="D1467" s="2" t="s">
        <v>1509</v>
      </c>
      <c r="E1467" s="2" t="s">
        <v>96</v>
      </c>
      <c r="F1467" s="3">
        <v>215.27</v>
      </c>
      <c r="G1467" s="3">
        <v>225.93</v>
      </c>
      <c r="H1467" s="2" t="s">
        <v>1201</v>
      </c>
      <c r="I1467" s="19">
        <v>116</v>
      </c>
      <c r="J1467" s="34">
        <f t="shared" si="88"/>
        <v>1.0091999999999999</v>
      </c>
      <c r="K1467" s="34">
        <f t="shared" si="89"/>
        <v>1.51</v>
      </c>
      <c r="L1467" s="34">
        <f t="shared" si="90"/>
        <v>6.04</v>
      </c>
      <c r="M1467" s="20" t="s">
        <v>4293</v>
      </c>
      <c r="N1467" s="20" t="s">
        <v>3891</v>
      </c>
      <c r="O1467" s="20" t="s">
        <v>3892</v>
      </c>
      <c r="P1467" s="20" t="s">
        <v>3893</v>
      </c>
      <c r="Q1467" s="21">
        <v>215.13800000000001</v>
      </c>
      <c r="R1467" s="21">
        <v>225.80600000000001</v>
      </c>
      <c r="S1467" s="21">
        <v>5.3339999999999996</v>
      </c>
      <c r="T1467" s="22">
        <v>2.38</v>
      </c>
      <c r="U1467" s="13">
        <f t="shared" si="91"/>
        <v>-3.66</v>
      </c>
      <c r="V1467" s="23">
        <v>291.55</v>
      </c>
      <c r="W1467" s="23">
        <v>291.55</v>
      </c>
      <c r="X1467" s="20">
        <v>48</v>
      </c>
      <c r="Y1467" s="24" t="s">
        <v>3737</v>
      </c>
      <c r="Z1467" s="16">
        <v>175.55</v>
      </c>
      <c r="AA1467" s="17">
        <v>151.30000000000001</v>
      </c>
      <c r="AB1467" s="25" t="s">
        <v>4189</v>
      </c>
    </row>
    <row r="1468" spans="1:28" x14ac:dyDescent="0.45">
      <c r="A1468" s="4" t="s">
        <v>2061</v>
      </c>
      <c r="B1468" s="4" t="s">
        <v>6563</v>
      </c>
      <c r="C1468" s="4" t="s">
        <v>1110</v>
      </c>
      <c r="D1468" s="4" t="s">
        <v>1509</v>
      </c>
      <c r="E1468" s="4" t="s">
        <v>96</v>
      </c>
      <c r="F1468" s="5">
        <v>215.49</v>
      </c>
      <c r="G1468" s="5">
        <v>222.55</v>
      </c>
      <c r="H1468" s="4" t="s">
        <v>1156</v>
      </c>
      <c r="I1468" s="10">
        <v>77</v>
      </c>
      <c r="J1468" s="34">
        <f t="shared" si="88"/>
        <v>0.66989999999999994</v>
      </c>
      <c r="K1468" s="34">
        <f t="shared" si="89"/>
        <v>1</v>
      </c>
      <c r="L1468" s="34">
        <f t="shared" si="90"/>
        <v>4</v>
      </c>
      <c r="M1468" s="11" t="s">
        <v>4294</v>
      </c>
      <c r="N1468" s="11" t="s">
        <v>3891</v>
      </c>
      <c r="O1468" s="11" t="s">
        <v>3892</v>
      </c>
      <c r="P1468" s="11" t="s">
        <v>3893</v>
      </c>
      <c r="Q1468" s="12">
        <v>215.392</v>
      </c>
      <c r="R1468" s="12">
        <v>222.50399999999999</v>
      </c>
      <c r="S1468" s="12">
        <v>3.556</v>
      </c>
      <c r="T1468" s="13">
        <v>1.55</v>
      </c>
      <c r="U1468" s="13">
        <f t="shared" si="91"/>
        <v>-2.4500000000000002</v>
      </c>
      <c r="V1468" s="14">
        <v>189.88</v>
      </c>
      <c r="W1468" s="14">
        <v>189.88</v>
      </c>
      <c r="X1468" s="11">
        <v>50</v>
      </c>
      <c r="Y1468" s="15" t="s">
        <v>3737</v>
      </c>
      <c r="Z1468" s="16">
        <v>112.88</v>
      </c>
      <c r="AA1468" s="17">
        <v>146.6</v>
      </c>
      <c r="AB1468" s="18" t="s">
        <v>3963</v>
      </c>
    </row>
    <row r="1469" spans="1:28" x14ac:dyDescent="0.45">
      <c r="A1469" s="2" t="s">
        <v>2062</v>
      </c>
      <c r="B1469" s="2" t="s">
        <v>6564</v>
      </c>
      <c r="C1469" s="2" t="s">
        <v>1110</v>
      </c>
      <c r="D1469" s="2" t="s">
        <v>1509</v>
      </c>
      <c r="E1469" s="2" t="s">
        <v>96</v>
      </c>
      <c r="F1469" s="3">
        <v>219.2</v>
      </c>
      <c r="G1469" s="3">
        <v>230.6</v>
      </c>
      <c r="H1469" s="2" t="s">
        <v>1297</v>
      </c>
      <c r="I1469" s="19">
        <v>199</v>
      </c>
      <c r="J1469" s="34">
        <f t="shared" si="88"/>
        <v>1.7312999999999998</v>
      </c>
      <c r="K1469" s="34">
        <f t="shared" si="89"/>
        <v>2.6</v>
      </c>
      <c r="L1469" s="34">
        <f t="shared" si="90"/>
        <v>10.4</v>
      </c>
      <c r="M1469" s="20" t="s">
        <v>4563</v>
      </c>
      <c r="N1469" s="20" t="s">
        <v>3891</v>
      </c>
      <c r="O1469" s="20" t="s">
        <v>3892</v>
      </c>
      <c r="P1469" s="20" t="s">
        <v>3893</v>
      </c>
      <c r="Q1469" s="21">
        <v>219.3</v>
      </c>
      <c r="R1469" s="21">
        <v>230.7</v>
      </c>
      <c r="S1469" s="21">
        <v>5.7</v>
      </c>
      <c r="T1469" s="22">
        <v>3.27</v>
      </c>
      <c r="U1469" s="13">
        <f t="shared" si="91"/>
        <v>-7.1300000000000008</v>
      </c>
      <c r="V1469" s="23">
        <v>400.58</v>
      </c>
      <c r="W1469" s="23">
        <v>400.58</v>
      </c>
      <c r="X1469" s="20">
        <v>39</v>
      </c>
      <c r="Y1469" s="24" t="s">
        <v>3713</v>
      </c>
      <c r="Z1469" s="16">
        <v>201.58</v>
      </c>
      <c r="AA1469" s="17">
        <v>101.3</v>
      </c>
      <c r="AB1469" s="25" t="s">
        <v>4119</v>
      </c>
    </row>
    <row r="1470" spans="1:28" x14ac:dyDescent="0.45">
      <c r="A1470" s="4" t="s">
        <v>2063</v>
      </c>
      <c r="B1470" s="4" t="s">
        <v>6565</v>
      </c>
      <c r="C1470" s="4" t="s">
        <v>1110</v>
      </c>
      <c r="D1470" s="4" t="s">
        <v>1509</v>
      </c>
      <c r="E1470" s="4" t="s">
        <v>96</v>
      </c>
      <c r="F1470" s="5">
        <v>219.5</v>
      </c>
      <c r="G1470" s="5">
        <v>236.3</v>
      </c>
      <c r="H1470" s="4" t="s">
        <v>1463</v>
      </c>
      <c r="I1470" s="10">
        <v>384</v>
      </c>
      <c r="J1470" s="34">
        <f t="shared" si="88"/>
        <v>3.3407999999999998</v>
      </c>
      <c r="K1470" s="34">
        <f t="shared" si="89"/>
        <v>5.01</v>
      </c>
      <c r="L1470" s="34">
        <f t="shared" si="90"/>
        <v>20.04</v>
      </c>
      <c r="M1470" s="11" t="s">
        <v>4295</v>
      </c>
      <c r="N1470" s="11" t="s">
        <v>3891</v>
      </c>
      <c r="O1470" s="11" t="s">
        <v>3892</v>
      </c>
      <c r="P1470" s="11" t="s">
        <v>3893</v>
      </c>
      <c r="Q1470" s="12">
        <v>219.1</v>
      </c>
      <c r="R1470" s="12">
        <v>235.9</v>
      </c>
      <c r="S1470" s="12">
        <v>8.4</v>
      </c>
      <c r="T1470" s="13">
        <v>5.2</v>
      </c>
      <c r="U1470" s="13">
        <f t="shared" si="91"/>
        <v>-14.84</v>
      </c>
      <c r="V1470" s="14">
        <v>637</v>
      </c>
      <c r="W1470" s="14">
        <v>637</v>
      </c>
      <c r="X1470" s="11">
        <v>13</v>
      </c>
      <c r="Y1470" s="15" t="s">
        <v>3713</v>
      </c>
      <c r="Z1470" s="16">
        <v>253</v>
      </c>
      <c r="AA1470" s="17">
        <v>65.900000000000006</v>
      </c>
      <c r="AB1470" s="18" t="s">
        <v>4296</v>
      </c>
    </row>
    <row r="1471" spans="1:28" x14ac:dyDescent="0.45">
      <c r="A1471" s="2" t="s">
        <v>2064</v>
      </c>
      <c r="B1471" s="2" t="s">
        <v>6566</v>
      </c>
      <c r="C1471" s="2" t="s">
        <v>1110</v>
      </c>
      <c r="D1471" s="2" t="s">
        <v>1509</v>
      </c>
      <c r="E1471" s="2" t="s">
        <v>96</v>
      </c>
      <c r="F1471" s="3">
        <v>220</v>
      </c>
      <c r="G1471" s="3">
        <v>230</v>
      </c>
      <c r="H1471" s="2" t="s">
        <v>1245</v>
      </c>
      <c r="I1471" s="19">
        <v>135</v>
      </c>
      <c r="J1471" s="34">
        <f t="shared" si="88"/>
        <v>1.1744999999999999</v>
      </c>
      <c r="K1471" s="34">
        <f t="shared" si="89"/>
        <v>1.76</v>
      </c>
      <c r="L1471" s="34">
        <f t="shared" si="90"/>
        <v>7.04</v>
      </c>
      <c r="M1471" s="20" t="s">
        <v>4564</v>
      </c>
      <c r="N1471" s="20" t="s">
        <v>3891</v>
      </c>
      <c r="O1471" s="20" t="s">
        <v>3892</v>
      </c>
      <c r="P1471" s="20" t="s">
        <v>3893</v>
      </c>
      <c r="Q1471" s="21">
        <v>220</v>
      </c>
      <c r="R1471" s="21">
        <v>230</v>
      </c>
      <c r="S1471" s="21">
        <v>5</v>
      </c>
      <c r="T1471" s="22">
        <v>2.48</v>
      </c>
      <c r="U1471" s="13">
        <f t="shared" si="91"/>
        <v>-4.5600000000000005</v>
      </c>
      <c r="V1471" s="23">
        <v>303.8</v>
      </c>
      <c r="W1471" s="23">
        <v>303.8</v>
      </c>
      <c r="X1471" s="20">
        <v>26</v>
      </c>
      <c r="Y1471" s="24" t="s">
        <v>3713</v>
      </c>
      <c r="Z1471" s="16">
        <v>168.8</v>
      </c>
      <c r="AA1471" s="17">
        <v>125</v>
      </c>
      <c r="AB1471" s="25" t="s">
        <v>3714</v>
      </c>
    </row>
    <row r="1472" spans="1:28" x14ac:dyDescent="0.45">
      <c r="A1472" s="4" t="s">
        <v>2065</v>
      </c>
      <c r="B1472" s="4" t="s">
        <v>6567</v>
      </c>
      <c r="C1472" s="4" t="s">
        <v>1110</v>
      </c>
      <c r="D1472" s="4" t="s">
        <v>1509</v>
      </c>
      <c r="E1472" s="4" t="s">
        <v>96</v>
      </c>
      <c r="F1472" s="5">
        <v>221.62</v>
      </c>
      <c r="G1472" s="5">
        <v>232.28</v>
      </c>
      <c r="H1472" s="4" t="s">
        <v>1201</v>
      </c>
      <c r="I1472" s="10">
        <v>119</v>
      </c>
      <c r="J1472" s="34">
        <f t="shared" si="88"/>
        <v>1.0352999999999999</v>
      </c>
      <c r="K1472" s="34">
        <f t="shared" si="89"/>
        <v>1.55</v>
      </c>
      <c r="L1472" s="34">
        <f t="shared" si="90"/>
        <v>6.2</v>
      </c>
      <c r="M1472" s="11" t="s">
        <v>4297</v>
      </c>
      <c r="N1472" s="11" t="s">
        <v>3891</v>
      </c>
      <c r="O1472" s="11" t="s">
        <v>3892</v>
      </c>
      <c r="P1472" s="11" t="s">
        <v>3893</v>
      </c>
      <c r="Q1472" s="12">
        <v>221.488</v>
      </c>
      <c r="R1472" s="12">
        <v>232.15600000000001</v>
      </c>
      <c r="S1472" s="12">
        <v>5.3339999999999996</v>
      </c>
      <c r="T1472" s="13">
        <v>2.1800000000000002</v>
      </c>
      <c r="U1472" s="13">
        <f t="shared" si="91"/>
        <v>-4.0199999999999996</v>
      </c>
      <c r="V1472" s="14">
        <v>267.05</v>
      </c>
      <c r="W1472" s="14">
        <v>267.05</v>
      </c>
      <c r="X1472" s="11">
        <v>28</v>
      </c>
      <c r="Y1472" s="15" t="s">
        <v>3737</v>
      </c>
      <c r="Z1472" s="16">
        <v>148.05000000000001</v>
      </c>
      <c r="AA1472" s="17">
        <v>124.4</v>
      </c>
      <c r="AB1472" s="18" t="s">
        <v>4189</v>
      </c>
    </row>
    <row r="1473" spans="1:28" x14ac:dyDescent="0.45">
      <c r="A1473" s="2" t="s">
        <v>2066</v>
      </c>
      <c r="B1473" s="2" t="s">
        <v>6568</v>
      </c>
      <c r="C1473" s="2" t="s">
        <v>1110</v>
      </c>
      <c r="D1473" s="2" t="s">
        <v>1509</v>
      </c>
      <c r="E1473" s="2" t="s">
        <v>96</v>
      </c>
      <c r="F1473" s="3">
        <v>221.84</v>
      </c>
      <c r="G1473" s="3">
        <v>228.9</v>
      </c>
      <c r="H1473" s="2" t="s">
        <v>1156</v>
      </c>
      <c r="I1473" s="19">
        <v>79</v>
      </c>
      <c r="J1473" s="34">
        <f t="shared" si="88"/>
        <v>0.68729999999999991</v>
      </c>
      <c r="K1473" s="34">
        <f t="shared" si="89"/>
        <v>1.03</v>
      </c>
      <c r="L1473" s="34">
        <f t="shared" si="90"/>
        <v>4.12</v>
      </c>
      <c r="M1473" s="20" t="s">
        <v>4298</v>
      </c>
      <c r="N1473" s="20" t="s">
        <v>3891</v>
      </c>
      <c r="O1473" s="20" t="s">
        <v>3892</v>
      </c>
      <c r="P1473" s="20" t="s">
        <v>3893</v>
      </c>
      <c r="Q1473" s="21">
        <v>221.74199999999999</v>
      </c>
      <c r="R1473" s="21">
        <v>228.85400000000001</v>
      </c>
      <c r="S1473" s="21">
        <v>3.556</v>
      </c>
      <c r="T1473" s="22">
        <v>1.49</v>
      </c>
      <c r="U1473" s="13">
        <f t="shared" si="91"/>
        <v>-2.63</v>
      </c>
      <c r="V1473" s="23">
        <v>182.52</v>
      </c>
      <c r="W1473" s="23">
        <v>182.52</v>
      </c>
      <c r="X1473" s="20">
        <v>38</v>
      </c>
      <c r="Y1473" s="24" t="s">
        <v>3737</v>
      </c>
      <c r="Z1473" s="16">
        <v>103.52</v>
      </c>
      <c r="AA1473" s="17">
        <v>131</v>
      </c>
      <c r="AB1473" s="25" t="s">
        <v>3963</v>
      </c>
    </row>
    <row r="1474" spans="1:28" x14ac:dyDescent="0.45">
      <c r="A1474" s="4" t="s">
        <v>2067</v>
      </c>
      <c r="B1474" s="4" t="s">
        <v>6569</v>
      </c>
      <c r="C1474" s="4" t="s">
        <v>1110</v>
      </c>
      <c r="D1474" s="4" t="s">
        <v>1509</v>
      </c>
      <c r="E1474" s="4" t="s">
        <v>96</v>
      </c>
      <c r="F1474" s="5">
        <v>224.2</v>
      </c>
      <c r="G1474" s="5">
        <v>235.6</v>
      </c>
      <c r="H1474" s="4" t="s">
        <v>1297</v>
      </c>
      <c r="I1474" s="10">
        <v>202</v>
      </c>
      <c r="J1474" s="34">
        <f t="shared" si="88"/>
        <v>1.7573999999999999</v>
      </c>
      <c r="K1474" s="34">
        <f t="shared" si="89"/>
        <v>2.64</v>
      </c>
      <c r="L1474" s="34">
        <f t="shared" si="90"/>
        <v>10.56</v>
      </c>
      <c r="M1474" s="11" t="s">
        <v>4565</v>
      </c>
      <c r="N1474" s="11" t="s">
        <v>3891</v>
      </c>
      <c r="O1474" s="11" t="s">
        <v>3892</v>
      </c>
      <c r="P1474" s="11" t="s">
        <v>3893</v>
      </c>
      <c r="Q1474" s="12">
        <v>225</v>
      </c>
      <c r="R1474" s="12">
        <v>235</v>
      </c>
      <c r="S1474" s="12">
        <v>5</v>
      </c>
      <c r="T1474" s="13">
        <v>3.01</v>
      </c>
      <c r="U1474" s="13">
        <f t="shared" si="91"/>
        <v>-7.5500000000000007</v>
      </c>
      <c r="V1474" s="14">
        <v>368.72</v>
      </c>
      <c r="W1474" s="14">
        <v>368.72</v>
      </c>
      <c r="X1474" s="11">
        <v>24</v>
      </c>
      <c r="Y1474" s="15" t="s">
        <v>3713</v>
      </c>
      <c r="Z1474" s="16">
        <v>166.72</v>
      </c>
      <c r="AA1474" s="17">
        <v>82.5</v>
      </c>
      <c r="AB1474" s="18" t="s">
        <v>4566</v>
      </c>
    </row>
    <row r="1475" spans="1:28" x14ac:dyDescent="0.45">
      <c r="A1475" s="2" t="s">
        <v>2068</v>
      </c>
      <c r="B1475" s="2" t="s">
        <v>6570</v>
      </c>
      <c r="C1475" s="2" t="s">
        <v>1110</v>
      </c>
      <c r="D1475" s="2" t="s">
        <v>1509</v>
      </c>
      <c r="E1475" s="2" t="s">
        <v>96</v>
      </c>
      <c r="F1475" s="3">
        <v>224.5</v>
      </c>
      <c r="G1475" s="3">
        <v>241.3</v>
      </c>
      <c r="H1475" s="2" t="s">
        <v>1463</v>
      </c>
      <c r="I1475" s="19">
        <v>389</v>
      </c>
      <c r="J1475" s="34">
        <f t="shared" si="88"/>
        <v>3.3842999999999996</v>
      </c>
      <c r="K1475" s="34">
        <f t="shared" si="89"/>
        <v>5.08</v>
      </c>
      <c r="L1475" s="34">
        <f t="shared" si="90"/>
        <v>20.32</v>
      </c>
      <c r="M1475" s="20" t="s">
        <v>4567</v>
      </c>
      <c r="N1475" s="20" t="s">
        <v>3891</v>
      </c>
      <c r="O1475" s="20" t="s">
        <v>3892</v>
      </c>
      <c r="P1475" s="20" t="s">
        <v>3893</v>
      </c>
      <c r="Q1475" s="21">
        <v>224.5</v>
      </c>
      <c r="R1475" s="21">
        <v>241.3</v>
      </c>
      <c r="S1475" s="21">
        <v>8.4</v>
      </c>
      <c r="T1475" s="22">
        <v>10.66</v>
      </c>
      <c r="U1475" s="13">
        <f t="shared" si="91"/>
        <v>-9.66</v>
      </c>
      <c r="V1475" s="23">
        <v>1305.8499999999999</v>
      </c>
      <c r="W1475" s="23">
        <v>1305.8499999999999</v>
      </c>
      <c r="X1475" s="20">
        <v>203</v>
      </c>
      <c r="Y1475" s="24" t="s">
        <v>3713</v>
      </c>
      <c r="Z1475" s="16">
        <v>916.84999999999991</v>
      </c>
      <c r="AA1475" s="17">
        <v>235.7</v>
      </c>
      <c r="AB1475" s="25" t="s">
        <v>3714</v>
      </c>
    </row>
    <row r="1476" spans="1:28" x14ac:dyDescent="0.45">
      <c r="A1476" s="4" t="s">
        <v>2069</v>
      </c>
      <c r="B1476" s="4" t="s">
        <v>6571</v>
      </c>
      <c r="C1476" s="4" t="s">
        <v>1110</v>
      </c>
      <c r="D1476" s="4" t="s">
        <v>1509</v>
      </c>
      <c r="E1476" s="4" t="s">
        <v>96</v>
      </c>
      <c r="F1476" s="5">
        <v>227.97</v>
      </c>
      <c r="G1476" s="5">
        <v>238.63</v>
      </c>
      <c r="H1476" s="4" t="s">
        <v>1201</v>
      </c>
      <c r="I1476" s="10">
        <v>123</v>
      </c>
      <c r="J1476" s="34">
        <f t="shared" si="88"/>
        <v>1.0700999999999998</v>
      </c>
      <c r="K1476" s="34">
        <f t="shared" si="89"/>
        <v>1.61</v>
      </c>
      <c r="L1476" s="34">
        <f t="shared" si="90"/>
        <v>6.44</v>
      </c>
      <c r="M1476" s="11" t="s">
        <v>4299</v>
      </c>
      <c r="N1476" s="11" t="s">
        <v>3891</v>
      </c>
      <c r="O1476" s="11" t="s">
        <v>3892</v>
      </c>
      <c r="P1476" s="11" t="s">
        <v>3893</v>
      </c>
      <c r="Q1476" s="12">
        <v>227.83799999999999</v>
      </c>
      <c r="R1476" s="12">
        <v>238.506</v>
      </c>
      <c r="S1476" s="12">
        <v>5.3339999999999996</v>
      </c>
      <c r="T1476" s="13">
        <v>2.48</v>
      </c>
      <c r="U1476" s="13">
        <f t="shared" si="91"/>
        <v>-3.9600000000000004</v>
      </c>
      <c r="V1476" s="14">
        <v>303.8</v>
      </c>
      <c r="W1476" s="14">
        <v>303.8</v>
      </c>
      <c r="X1476" s="11">
        <v>20</v>
      </c>
      <c r="Y1476" s="15" t="s">
        <v>3737</v>
      </c>
      <c r="Z1476" s="16">
        <v>180.8</v>
      </c>
      <c r="AA1476" s="17">
        <v>147</v>
      </c>
      <c r="AB1476" s="18" t="s">
        <v>4189</v>
      </c>
    </row>
    <row r="1477" spans="1:28" x14ac:dyDescent="0.45">
      <c r="A1477" s="2" t="s">
        <v>2070</v>
      </c>
      <c r="B1477" s="2" t="s">
        <v>6572</v>
      </c>
      <c r="C1477" s="2" t="s">
        <v>1110</v>
      </c>
      <c r="D1477" s="2" t="s">
        <v>1509</v>
      </c>
      <c r="E1477" s="2" t="s">
        <v>96</v>
      </c>
      <c r="F1477" s="3">
        <v>227.97</v>
      </c>
      <c r="G1477" s="3">
        <v>241.95</v>
      </c>
      <c r="H1477" s="2" t="s">
        <v>1368</v>
      </c>
      <c r="I1477" s="19">
        <v>162</v>
      </c>
      <c r="J1477" s="34">
        <f t="shared" ref="J1477:J1540" si="92">I1477*0.0087</f>
        <v>1.4094</v>
      </c>
      <c r="K1477" s="34">
        <f t="shared" ref="K1477:K1540" si="93">ROUND(J1477*1.5,2)</f>
        <v>2.11</v>
      </c>
      <c r="L1477" s="34">
        <f t="shared" ref="L1477:L1540" si="94">K1477*4</f>
        <v>8.44</v>
      </c>
      <c r="M1477" s="20" t="s">
        <v>4300</v>
      </c>
      <c r="N1477" s="20" t="s">
        <v>3891</v>
      </c>
      <c r="O1477" s="20" t="s">
        <v>3892</v>
      </c>
      <c r="P1477" s="20" t="s">
        <v>3893</v>
      </c>
      <c r="Q1477" s="21">
        <v>227.83799999999999</v>
      </c>
      <c r="R1477" s="21">
        <v>242.06200000000001</v>
      </c>
      <c r="S1477" s="21">
        <v>7.1120000000000001</v>
      </c>
      <c r="T1477" s="22">
        <v>3.94</v>
      </c>
      <c r="U1477" s="13">
        <f t="shared" ref="U1477:U1540" si="95">T1477-L1477</f>
        <v>-4.5</v>
      </c>
      <c r="V1477" s="23">
        <v>482.65</v>
      </c>
      <c r="W1477" s="23">
        <v>482.65</v>
      </c>
      <c r="X1477" s="20">
        <v>208</v>
      </c>
      <c r="Y1477" s="24" t="s">
        <v>3737</v>
      </c>
      <c r="Z1477" s="16">
        <v>320.64999999999998</v>
      </c>
      <c r="AA1477" s="17">
        <v>197.9</v>
      </c>
      <c r="AB1477" s="25" t="s">
        <v>4199</v>
      </c>
    </row>
    <row r="1478" spans="1:28" x14ac:dyDescent="0.45">
      <c r="A1478" s="4" t="s">
        <v>2071</v>
      </c>
      <c r="B1478" s="4" t="s">
        <v>6573</v>
      </c>
      <c r="C1478" s="4" t="s">
        <v>1110</v>
      </c>
      <c r="D1478" s="4" t="s">
        <v>1509</v>
      </c>
      <c r="E1478" s="4" t="s">
        <v>96</v>
      </c>
      <c r="F1478" s="5">
        <v>228.19</v>
      </c>
      <c r="G1478" s="5">
        <v>235.25</v>
      </c>
      <c r="H1478" s="4" t="s">
        <v>1156</v>
      </c>
      <c r="I1478" s="10">
        <v>79</v>
      </c>
      <c r="J1478" s="34">
        <f t="shared" si="92"/>
        <v>0.68729999999999991</v>
      </c>
      <c r="K1478" s="34">
        <f t="shared" si="93"/>
        <v>1.03</v>
      </c>
      <c r="L1478" s="34">
        <f t="shared" si="94"/>
        <v>4.12</v>
      </c>
      <c r="M1478" s="11" t="s">
        <v>4301</v>
      </c>
      <c r="N1478" s="11" t="s">
        <v>3891</v>
      </c>
      <c r="O1478" s="11" t="s">
        <v>3892</v>
      </c>
      <c r="P1478" s="11" t="s">
        <v>3893</v>
      </c>
      <c r="Q1478" s="12">
        <v>228.09200000000001</v>
      </c>
      <c r="R1478" s="12">
        <v>235.20400000000001</v>
      </c>
      <c r="S1478" s="12">
        <v>3.556</v>
      </c>
      <c r="T1478" s="13">
        <v>1.8</v>
      </c>
      <c r="U1478" s="13">
        <f t="shared" si="95"/>
        <v>-2.3200000000000003</v>
      </c>
      <c r="V1478" s="14">
        <v>220.5</v>
      </c>
      <c r="W1478" s="14">
        <v>220.5</v>
      </c>
      <c r="X1478" s="11">
        <v>216</v>
      </c>
      <c r="Y1478" s="15" t="s">
        <v>3737</v>
      </c>
      <c r="Z1478" s="16">
        <v>141.5</v>
      </c>
      <c r="AA1478" s="17">
        <v>179.1</v>
      </c>
      <c r="AB1478" s="18" t="s">
        <v>3963</v>
      </c>
    </row>
    <row r="1479" spans="1:28" x14ac:dyDescent="0.45">
      <c r="A1479" s="2" t="s">
        <v>2072</v>
      </c>
      <c r="B1479" s="2" t="s">
        <v>6574</v>
      </c>
      <c r="C1479" s="2" t="s">
        <v>1110</v>
      </c>
      <c r="D1479" s="2" t="s">
        <v>1509</v>
      </c>
      <c r="E1479" s="2" t="s">
        <v>96</v>
      </c>
      <c r="F1479" s="3">
        <v>229.2</v>
      </c>
      <c r="G1479" s="3">
        <v>240.6</v>
      </c>
      <c r="H1479" s="2" t="s">
        <v>1297</v>
      </c>
      <c r="I1479" s="19">
        <v>207</v>
      </c>
      <c r="J1479" s="34">
        <f t="shared" si="92"/>
        <v>1.8008999999999999</v>
      </c>
      <c r="K1479" s="34">
        <f t="shared" si="93"/>
        <v>2.7</v>
      </c>
      <c r="L1479" s="34">
        <f t="shared" si="94"/>
        <v>10.8</v>
      </c>
      <c r="M1479" s="20" t="s">
        <v>4568</v>
      </c>
      <c r="N1479" s="20" t="s">
        <v>3891</v>
      </c>
      <c r="O1479" s="20" t="s">
        <v>3892</v>
      </c>
      <c r="P1479" s="20" t="s">
        <v>3893</v>
      </c>
      <c r="Q1479" s="21">
        <v>229.3</v>
      </c>
      <c r="R1479" s="21">
        <v>240.7</v>
      </c>
      <c r="S1479" s="21">
        <v>5.7</v>
      </c>
      <c r="T1479" s="22">
        <v>3.34</v>
      </c>
      <c r="U1479" s="13">
        <f t="shared" si="95"/>
        <v>-7.4600000000000009</v>
      </c>
      <c r="V1479" s="23">
        <v>409.15</v>
      </c>
      <c r="W1479" s="23">
        <v>409.15</v>
      </c>
      <c r="X1479" s="20">
        <v>17</v>
      </c>
      <c r="Y1479" s="24" t="s">
        <v>3713</v>
      </c>
      <c r="Z1479" s="16">
        <v>202.15</v>
      </c>
      <c r="AA1479" s="17">
        <v>97.7</v>
      </c>
      <c r="AB1479" s="25" t="s">
        <v>4119</v>
      </c>
    </row>
    <row r="1480" spans="1:28" x14ac:dyDescent="0.45">
      <c r="A1480" s="4" t="s">
        <v>2073</v>
      </c>
      <c r="B1480" s="4" t="s">
        <v>6575</v>
      </c>
      <c r="C1480" s="4" t="s">
        <v>1110</v>
      </c>
      <c r="D1480" s="4" t="s">
        <v>1509</v>
      </c>
      <c r="E1480" s="4" t="s">
        <v>96</v>
      </c>
      <c r="F1480" s="5">
        <v>234.2</v>
      </c>
      <c r="G1480" s="5">
        <v>245.6</v>
      </c>
      <c r="H1480" s="4" t="s">
        <v>1297</v>
      </c>
      <c r="I1480" s="10">
        <v>212</v>
      </c>
      <c r="J1480" s="34">
        <f t="shared" si="92"/>
        <v>1.8443999999999998</v>
      </c>
      <c r="K1480" s="34">
        <f t="shared" si="93"/>
        <v>2.77</v>
      </c>
      <c r="L1480" s="34">
        <f t="shared" si="94"/>
        <v>11.08</v>
      </c>
      <c r="M1480" s="11" t="s">
        <v>4569</v>
      </c>
      <c r="N1480" s="11" t="s">
        <v>3891</v>
      </c>
      <c r="O1480" s="11" t="s">
        <v>3892</v>
      </c>
      <c r="P1480" s="11" t="s">
        <v>3893</v>
      </c>
      <c r="Q1480" s="12">
        <v>234.3</v>
      </c>
      <c r="R1480" s="12">
        <v>245.7</v>
      </c>
      <c r="S1480" s="12">
        <v>5.7</v>
      </c>
      <c r="T1480" s="13">
        <v>3.64</v>
      </c>
      <c r="U1480" s="13">
        <f t="shared" si="95"/>
        <v>-7.4399999999999995</v>
      </c>
      <c r="V1480" s="14">
        <v>445.9</v>
      </c>
      <c r="W1480" s="14">
        <v>445.9</v>
      </c>
      <c r="X1480" s="11">
        <v>9</v>
      </c>
      <c r="Y1480" s="15" t="s">
        <v>3713</v>
      </c>
      <c r="Z1480" s="16">
        <v>233.9</v>
      </c>
      <c r="AA1480" s="17">
        <v>110.3</v>
      </c>
      <c r="AB1480" s="18" t="s">
        <v>4119</v>
      </c>
    </row>
    <row r="1481" spans="1:28" x14ac:dyDescent="0.45">
      <c r="A1481" s="2" t="s">
        <v>2074</v>
      </c>
      <c r="B1481" s="2" t="s">
        <v>6576</v>
      </c>
      <c r="C1481" s="2" t="s">
        <v>1110</v>
      </c>
      <c r="D1481" s="2" t="s">
        <v>1509</v>
      </c>
      <c r="E1481" s="2" t="s">
        <v>96</v>
      </c>
      <c r="F1481" s="3">
        <v>234.32</v>
      </c>
      <c r="G1481" s="3">
        <v>244.98</v>
      </c>
      <c r="H1481" s="2" t="s">
        <v>1201</v>
      </c>
      <c r="I1481" s="19">
        <v>124</v>
      </c>
      <c r="J1481" s="34">
        <f t="shared" si="92"/>
        <v>1.0788</v>
      </c>
      <c r="K1481" s="34">
        <f t="shared" si="93"/>
        <v>1.62</v>
      </c>
      <c r="L1481" s="34">
        <f t="shared" si="94"/>
        <v>6.48</v>
      </c>
      <c r="M1481" s="20" t="s">
        <v>4302</v>
      </c>
      <c r="N1481" s="20" t="s">
        <v>3891</v>
      </c>
      <c r="O1481" s="20" t="s">
        <v>3892</v>
      </c>
      <c r="P1481" s="20" t="s">
        <v>3893</v>
      </c>
      <c r="Q1481" s="21">
        <v>234.18799999999999</v>
      </c>
      <c r="R1481" s="21">
        <v>244.85599999999999</v>
      </c>
      <c r="S1481" s="21">
        <v>5.3339999999999996</v>
      </c>
      <c r="T1481" s="22">
        <v>2.6</v>
      </c>
      <c r="U1481" s="13">
        <f t="shared" si="95"/>
        <v>-3.8800000000000003</v>
      </c>
      <c r="V1481" s="23">
        <v>318.5</v>
      </c>
      <c r="W1481" s="23">
        <v>318.5</v>
      </c>
      <c r="X1481" s="20">
        <v>23</v>
      </c>
      <c r="Y1481" s="24" t="s">
        <v>3737</v>
      </c>
      <c r="Z1481" s="16">
        <v>194.5</v>
      </c>
      <c r="AA1481" s="17">
        <v>156.9</v>
      </c>
      <c r="AB1481" s="25" t="s">
        <v>4189</v>
      </c>
    </row>
    <row r="1482" spans="1:28" x14ac:dyDescent="0.45">
      <c r="A1482" s="4" t="s">
        <v>2075</v>
      </c>
      <c r="B1482" s="4" t="s">
        <v>6577</v>
      </c>
      <c r="C1482" s="4" t="s">
        <v>1110</v>
      </c>
      <c r="D1482" s="4" t="s">
        <v>1509</v>
      </c>
      <c r="E1482" s="4" t="s">
        <v>96</v>
      </c>
      <c r="F1482" s="5">
        <v>234.54</v>
      </c>
      <c r="G1482" s="5">
        <v>241.6</v>
      </c>
      <c r="H1482" s="4" t="s">
        <v>1156</v>
      </c>
      <c r="I1482" s="10">
        <v>81</v>
      </c>
      <c r="J1482" s="34">
        <f t="shared" si="92"/>
        <v>0.70469999999999999</v>
      </c>
      <c r="K1482" s="34">
        <f t="shared" si="93"/>
        <v>1.06</v>
      </c>
      <c r="L1482" s="34">
        <f t="shared" si="94"/>
        <v>4.24</v>
      </c>
      <c r="M1482" s="11" t="s">
        <v>4303</v>
      </c>
      <c r="N1482" s="11" t="s">
        <v>3891</v>
      </c>
      <c r="O1482" s="11" t="s">
        <v>3892</v>
      </c>
      <c r="P1482" s="11" t="s">
        <v>3893</v>
      </c>
      <c r="Q1482" s="12">
        <v>234.44200000000001</v>
      </c>
      <c r="R1482" s="12">
        <v>241.554</v>
      </c>
      <c r="S1482" s="12">
        <v>3.556</v>
      </c>
      <c r="T1482" s="13">
        <v>1.91</v>
      </c>
      <c r="U1482" s="13">
        <f t="shared" si="95"/>
        <v>-2.33</v>
      </c>
      <c r="V1482" s="14">
        <v>233.98</v>
      </c>
      <c r="W1482" s="14">
        <v>233.98</v>
      </c>
      <c r="X1482" s="11">
        <v>101</v>
      </c>
      <c r="Y1482" s="15" t="s">
        <v>3737</v>
      </c>
      <c r="Z1482" s="16">
        <v>152.97999999999999</v>
      </c>
      <c r="AA1482" s="17">
        <v>188.9</v>
      </c>
      <c r="AB1482" s="18" t="s">
        <v>3963</v>
      </c>
    </row>
    <row r="1483" spans="1:28" x14ac:dyDescent="0.45">
      <c r="A1483" s="2" t="s">
        <v>2076</v>
      </c>
      <c r="B1483" s="2" t="s">
        <v>6578</v>
      </c>
      <c r="C1483" s="2" t="s">
        <v>1110</v>
      </c>
      <c r="D1483" s="2" t="s">
        <v>1509</v>
      </c>
      <c r="E1483" s="2" t="s">
        <v>96</v>
      </c>
      <c r="F1483" s="3">
        <v>234.5</v>
      </c>
      <c r="G1483" s="3">
        <v>251.3</v>
      </c>
      <c r="H1483" s="2" t="s">
        <v>1463</v>
      </c>
      <c r="I1483" s="19">
        <v>464</v>
      </c>
      <c r="J1483" s="34">
        <f t="shared" si="92"/>
        <v>4.0367999999999995</v>
      </c>
      <c r="K1483" s="34">
        <f t="shared" si="93"/>
        <v>6.06</v>
      </c>
      <c r="L1483" s="34">
        <f t="shared" si="94"/>
        <v>24.24</v>
      </c>
      <c r="M1483" s="20" t="s">
        <v>4304</v>
      </c>
      <c r="N1483" s="20" t="s">
        <v>3891</v>
      </c>
      <c r="O1483" s="20" t="s">
        <v>3892</v>
      </c>
      <c r="P1483" s="20" t="s">
        <v>3893</v>
      </c>
      <c r="Q1483" s="21">
        <v>234.5</v>
      </c>
      <c r="R1483" s="21">
        <v>251.3</v>
      </c>
      <c r="S1483" s="21">
        <v>8.4</v>
      </c>
      <c r="T1483" s="22">
        <v>5.5</v>
      </c>
      <c r="U1483" s="13">
        <f t="shared" si="95"/>
        <v>-18.739999999999998</v>
      </c>
      <c r="V1483" s="23">
        <v>673.75</v>
      </c>
      <c r="W1483" s="23">
        <v>673.75</v>
      </c>
      <c r="X1483" s="20">
        <v>8</v>
      </c>
      <c r="Y1483" s="24" t="s">
        <v>3713</v>
      </c>
      <c r="Z1483" s="16">
        <v>209.75</v>
      </c>
      <c r="AA1483" s="17">
        <v>45.2</v>
      </c>
      <c r="AB1483" s="25" t="s">
        <v>3714</v>
      </c>
    </row>
    <row r="1484" spans="1:28" x14ac:dyDescent="0.45">
      <c r="A1484" s="4" t="s">
        <v>2077</v>
      </c>
      <c r="B1484" s="4" t="s">
        <v>6579</v>
      </c>
      <c r="C1484" s="4" t="s">
        <v>1110</v>
      </c>
      <c r="D1484" s="4" t="s">
        <v>1509</v>
      </c>
      <c r="E1484" s="4" t="s">
        <v>96</v>
      </c>
      <c r="F1484" s="5">
        <v>239.2</v>
      </c>
      <c r="G1484" s="5">
        <v>250.6</v>
      </c>
      <c r="H1484" s="4" t="s">
        <v>1297</v>
      </c>
      <c r="I1484" s="10">
        <v>217</v>
      </c>
      <c r="J1484" s="34">
        <f t="shared" si="92"/>
        <v>1.8878999999999999</v>
      </c>
      <c r="K1484" s="34">
        <f t="shared" si="93"/>
        <v>2.83</v>
      </c>
      <c r="L1484" s="34">
        <f t="shared" si="94"/>
        <v>11.32</v>
      </c>
      <c r="M1484" s="11" t="s">
        <v>4570</v>
      </c>
      <c r="N1484" s="11" t="s">
        <v>3891</v>
      </c>
      <c r="O1484" s="11" t="s">
        <v>3892</v>
      </c>
      <c r="P1484" s="11" t="s">
        <v>3893</v>
      </c>
      <c r="Q1484" s="12">
        <v>239.3</v>
      </c>
      <c r="R1484" s="12">
        <v>250.7</v>
      </c>
      <c r="S1484" s="12">
        <v>5.7</v>
      </c>
      <c r="T1484" s="13">
        <v>3.41</v>
      </c>
      <c r="U1484" s="13">
        <f t="shared" si="95"/>
        <v>-7.91</v>
      </c>
      <c r="V1484" s="14">
        <v>417.72</v>
      </c>
      <c r="W1484" s="14">
        <v>417.72</v>
      </c>
      <c r="X1484" s="11">
        <v>16</v>
      </c>
      <c r="Y1484" s="15" t="s">
        <v>3713</v>
      </c>
      <c r="Z1484" s="16">
        <v>200.72</v>
      </c>
      <c r="AA1484" s="17">
        <v>92.5</v>
      </c>
      <c r="AB1484" s="18" t="s">
        <v>4119</v>
      </c>
    </row>
    <row r="1485" spans="1:28" x14ac:dyDescent="0.45">
      <c r="A1485" s="2" t="s">
        <v>2078</v>
      </c>
      <c r="B1485" s="2" t="s">
        <v>6580</v>
      </c>
      <c r="C1485" s="2" t="s">
        <v>1110</v>
      </c>
      <c r="D1485" s="2" t="s">
        <v>1509</v>
      </c>
      <c r="E1485" s="2" t="s">
        <v>96</v>
      </c>
      <c r="F1485" s="3">
        <v>240.67</v>
      </c>
      <c r="G1485" s="3">
        <v>251.33</v>
      </c>
      <c r="H1485" s="2" t="s">
        <v>1201</v>
      </c>
      <c r="I1485" s="19">
        <v>126</v>
      </c>
      <c r="J1485" s="34">
        <f t="shared" si="92"/>
        <v>1.0961999999999998</v>
      </c>
      <c r="K1485" s="34">
        <f t="shared" si="93"/>
        <v>1.64</v>
      </c>
      <c r="L1485" s="34">
        <f t="shared" si="94"/>
        <v>6.56</v>
      </c>
      <c r="M1485" s="20" t="s">
        <v>4305</v>
      </c>
      <c r="N1485" s="20" t="s">
        <v>3891</v>
      </c>
      <c r="O1485" s="20" t="s">
        <v>3892</v>
      </c>
      <c r="P1485" s="20" t="s">
        <v>3893</v>
      </c>
      <c r="Q1485" s="21">
        <v>240.53800000000001</v>
      </c>
      <c r="R1485" s="21">
        <v>251.20599999999999</v>
      </c>
      <c r="S1485" s="21">
        <v>5.3339999999999996</v>
      </c>
      <c r="T1485" s="22">
        <v>2.6</v>
      </c>
      <c r="U1485" s="13">
        <f t="shared" si="95"/>
        <v>-3.9599999999999995</v>
      </c>
      <c r="V1485" s="23">
        <v>318.5</v>
      </c>
      <c r="W1485" s="23">
        <v>318.5</v>
      </c>
      <c r="X1485" s="20">
        <v>20</v>
      </c>
      <c r="Y1485" s="24" t="s">
        <v>3737</v>
      </c>
      <c r="Z1485" s="16">
        <v>192.5</v>
      </c>
      <c r="AA1485" s="17">
        <v>152.80000000000001</v>
      </c>
      <c r="AB1485" s="25" t="s">
        <v>4189</v>
      </c>
    </row>
    <row r="1486" spans="1:28" x14ac:dyDescent="0.45">
      <c r="A1486" s="4" t="s">
        <v>2079</v>
      </c>
      <c r="B1486" s="4" t="s">
        <v>6581</v>
      </c>
      <c r="C1486" s="4" t="s">
        <v>1110</v>
      </c>
      <c r="D1486" s="4" t="s">
        <v>1509</v>
      </c>
      <c r="E1486" s="4" t="s">
        <v>96</v>
      </c>
      <c r="F1486" s="5">
        <v>240.67</v>
      </c>
      <c r="G1486" s="5">
        <v>254.65</v>
      </c>
      <c r="H1486" s="4" t="s">
        <v>1368</v>
      </c>
      <c r="I1486" s="10">
        <v>170</v>
      </c>
      <c r="J1486" s="34">
        <f t="shared" si="92"/>
        <v>1.4789999999999999</v>
      </c>
      <c r="K1486" s="34">
        <f t="shared" si="93"/>
        <v>2.2200000000000002</v>
      </c>
      <c r="L1486" s="34">
        <f t="shared" si="94"/>
        <v>8.8800000000000008</v>
      </c>
      <c r="M1486" s="11" t="s">
        <v>4306</v>
      </c>
      <c r="N1486" s="11" t="s">
        <v>3891</v>
      </c>
      <c r="O1486" s="11" t="s">
        <v>3892</v>
      </c>
      <c r="P1486" s="11" t="s">
        <v>3893</v>
      </c>
      <c r="Q1486" s="12">
        <v>240.53800000000001</v>
      </c>
      <c r="R1486" s="12">
        <v>254.762</v>
      </c>
      <c r="S1486" s="12">
        <v>7.1120000000000001</v>
      </c>
      <c r="T1486" s="13">
        <v>4.63</v>
      </c>
      <c r="U1486" s="13">
        <f t="shared" si="95"/>
        <v>-4.2500000000000009</v>
      </c>
      <c r="V1486" s="14">
        <v>567.16999999999996</v>
      </c>
      <c r="W1486" s="14">
        <v>567.16999999999996</v>
      </c>
      <c r="X1486" s="11">
        <v>97</v>
      </c>
      <c r="Y1486" s="15" t="s">
        <v>3737</v>
      </c>
      <c r="Z1486" s="16">
        <v>397.17</v>
      </c>
      <c r="AA1486" s="17">
        <v>233.6</v>
      </c>
      <c r="AB1486" s="18" t="s">
        <v>4199</v>
      </c>
    </row>
    <row r="1487" spans="1:28" x14ac:dyDescent="0.45">
      <c r="A1487" s="2" t="s">
        <v>2080</v>
      </c>
      <c r="B1487" s="2" t="s">
        <v>6582</v>
      </c>
      <c r="C1487" s="2" t="s">
        <v>1110</v>
      </c>
      <c r="D1487" s="2" t="s">
        <v>1509</v>
      </c>
      <c r="E1487" s="2" t="s">
        <v>96</v>
      </c>
      <c r="F1487" s="3">
        <v>240.89</v>
      </c>
      <c r="G1487" s="3">
        <v>247.95</v>
      </c>
      <c r="H1487" s="2" t="s">
        <v>1156</v>
      </c>
      <c r="I1487" s="19">
        <v>82</v>
      </c>
      <c r="J1487" s="34">
        <f t="shared" si="92"/>
        <v>0.71339999999999992</v>
      </c>
      <c r="K1487" s="34">
        <f t="shared" si="93"/>
        <v>1.07</v>
      </c>
      <c r="L1487" s="34">
        <f t="shared" si="94"/>
        <v>4.28</v>
      </c>
      <c r="M1487" s="20" t="s">
        <v>4571</v>
      </c>
      <c r="N1487" s="20" t="s">
        <v>3891</v>
      </c>
      <c r="O1487" s="20" t="s">
        <v>3892</v>
      </c>
      <c r="P1487" s="20" t="s">
        <v>3893</v>
      </c>
      <c r="Q1487" s="21">
        <v>240.792</v>
      </c>
      <c r="R1487" s="21">
        <v>247.904</v>
      </c>
      <c r="S1487" s="21">
        <v>3.556</v>
      </c>
      <c r="T1487" s="22">
        <v>1.73</v>
      </c>
      <c r="U1487" s="13">
        <f t="shared" si="95"/>
        <v>-2.5500000000000003</v>
      </c>
      <c r="V1487" s="23">
        <v>211.92</v>
      </c>
      <c r="W1487" s="23">
        <v>211.92</v>
      </c>
      <c r="X1487" s="20">
        <v>56</v>
      </c>
      <c r="Y1487" s="24" t="s">
        <v>3737</v>
      </c>
      <c r="Z1487" s="16">
        <v>129.91999999999999</v>
      </c>
      <c r="AA1487" s="17">
        <v>158.4</v>
      </c>
      <c r="AB1487" s="25" t="s">
        <v>3963</v>
      </c>
    </row>
    <row r="1488" spans="1:28" x14ac:dyDescent="0.45">
      <c r="A1488" s="4" t="s">
        <v>2081</v>
      </c>
      <c r="B1488" s="4" t="s">
        <v>6583</v>
      </c>
      <c r="C1488" s="4" t="s">
        <v>1110</v>
      </c>
      <c r="D1488" s="4" t="s">
        <v>1509</v>
      </c>
      <c r="E1488" s="4" t="s">
        <v>96</v>
      </c>
      <c r="F1488" s="5">
        <v>244.2</v>
      </c>
      <c r="G1488" s="5">
        <v>255.6</v>
      </c>
      <c r="H1488" s="4" t="s">
        <v>1297</v>
      </c>
      <c r="I1488" s="10">
        <v>220</v>
      </c>
      <c r="J1488" s="34">
        <f t="shared" si="92"/>
        <v>1.9139999999999999</v>
      </c>
      <c r="K1488" s="34">
        <f t="shared" si="93"/>
        <v>2.87</v>
      </c>
      <c r="L1488" s="34">
        <f t="shared" si="94"/>
        <v>11.48</v>
      </c>
      <c r="M1488" s="11" t="s">
        <v>4572</v>
      </c>
      <c r="N1488" s="11" t="s">
        <v>3891</v>
      </c>
      <c r="O1488" s="11" t="s">
        <v>3892</v>
      </c>
      <c r="P1488" s="11" t="s">
        <v>3893</v>
      </c>
      <c r="Q1488" s="12">
        <v>244.3</v>
      </c>
      <c r="R1488" s="12">
        <v>255.7</v>
      </c>
      <c r="S1488" s="12">
        <v>5.7</v>
      </c>
      <c r="T1488" s="13">
        <v>6.35</v>
      </c>
      <c r="U1488" s="13">
        <f t="shared" si="95"/>
        <v>-5.1300000000000008</v>
      </c>
      <c r="V1488" s="14">
        <v>777.88</v>
      </c>
      <c r="W1488" s="14">
        <v>777.88</v>
      </c>
      <c r="X1488" s="11">
        <v>4</v>
      </c>
      <c r="Y1488" s="15" t="s">
        <v>3713</v>
      </c>
      <c r="Z1488" s="16">
        <v>557.88</v>
      </c>
      <c r="AA1488" s="17">
        <v>253.6</v>
      </c>
      <c r="AB1488" s="18" t="s">
        <v>4119</v>
      </c>
    </row>
    <row r="1489" spans="1:28" x14ac:dyDescent="0.45">
      <c r="A1489" s="2" t="s">
        <v>2082</v>
      </c>
      <c r="B1489" s="2" t="s">
        <v>6584</v>
      </c>
      <c r="C1489" s="2" t="s">
        <v>1110</v>
      </c>
      <c r="D1489" s="2" t="s">
        <v>1509</v>
      </c>
      <c r="E1489" s="2" t="s">
        <v>96</v>
      </c>
      <c r="F1489" s="3">
        <v>247.02</v>
      </c>
      <c r="G1489" s="3">
        <v>257.68</v>
      </c>
      <c r="H1489" s="2" t="s">
        <v>1201</v>
      </c>
      <c r="I1489" s="19">
        <v>135</v>
      </c>
      <c r="J1489" s="34">
        <f t="shared" si="92"/>
        <v>1.1744999999999999</v>
      </c>
      <c r="K1489" s="34">
        <f t="shared" si="93"/>
        <v>1.76</v>
      </c>
      <c r="L1489" s="34">
        <f t="shared" si="94"/>
        <v>7.04</v>
      </c>
      <c r="M1489" s="20" t="s">
        <v>4307</v>
      </c>
      <c r="N1489" s="20" t="s">
        <v>3891</v>
      </c>
      <c r="O1489" s="20" t="s">
        <v>3892</v>
      </c>
      <c r="P1489" s="20" t="s">
        <v>3893</v>
      </c>
      <c r="Q1489" s="21">
        <v>246.88800000000001</v>
      </c>
      <c r="R1489" s="21">
        <v>257.55599999999998</v>
      </c>
      <c r="S1489" s="21">
        <v>5.3339999999999996</v>
      </c>
      <c r="T1489" s="22">
        <v>3.06</v>
      </c>
      <c r="U1489" s="13">
        <f t="shared" si="95"/>
        <v>-3.98</v>
      </c>
      <c r="V1489" s="23">
        <v>374.85</v>
      </c>
      <c r="W1489" s="23">
        <v>374.85</v>
      </c>
      <c r="X1489" s="20">
        <v>55</v>
      </c>
      <c r="Y1489" s="24" t="s">
        <v>3737</v>
      </c>
      <c r="Z1489" s="16">
        <v>239.85</v>
      </c>
      <c r="AA1489" s="17">
        <v>177.7</v>
      </c>
      <c r="AB1489" s="25" t="s">
        <v>4189</v>
      </c>
    </row>
    <row r="1490" spans="1:28" x14ac:dyDescent="0.45">
      <c r="A1490" s="4" t="s">
        <v>2083</v>
      </c>
      <c r="B1490" s="4" t="s">
        <v>6585</v>
      </c>
      <c r="C1490" s="4" t="s">
        <v>1110</v>
      </c>
      <c r="D1490" s="4" t="s">
        <v>1509</v>
      </c>
      <c r="E1490" s="4" t="s">
        <v>96</v>
      </c>
      <c r="F1490" s="5">
        <v>247.24</v>
      </c>
      <c r="G1490" s="5">
        <v>254.3</v>
      </c>
      <c r="H1490" s="4" t="s">
        <v>1156</v>
      </c>
      <c r="I1490" s="10">
        <v>82</v>
      </c>
      <c r="J1490" s="34">
        <f t="shared" si="92"/>
        <v>0.71339999999999992</v>
      </c>
      <c r="K1490" s="34">
        <f t="shared" si="93"/>
        <v>1.07</v>
      </c>
      <c r="L1490" s="34">
        <f t="shared" si="94"/>
        <v>4.28</v>
      </c>
      <c r="M1490" s="11" t="s">
        <v>4308</v>
      </c>
      <c r="N1490" s="11" t="s">
        <v>3891</v>
      </c>
      <c r="O1490" s="11" t="s">
        <v>3892</v>
      </c>
      <c r="P1490" s="11" t="s">
        <v>3893</v>
      </c>
      <c r="Q1490" s="12">
        <v>247.142</v>
      </c>
      <c r="R1490" s="12">
        <v>254.25399999999999</v>
      </c>
      <c r="S1490" s="12">
        <v>3.556</v>
      </c>
      <c r="T1490" s="13">
        <v>1.85</v>
      </c>
      <c r="U1490" s="13">
        <f t="shared" si="95"/>
        <v>-2.4300000000000002</v>
      </c>
      <c r="V1490" s="14">
        <v>226.62</v>
      </c>
      <c r="W1490" s="14">
        <v>226.62</v>
      </c>
      <c r="X1490" s="11">
        <v>31</v>
      </c>
      <c r="Y1490" s="15" t="s">
        <v>3737</v>
      </c>
      <c r="Z1490" s="16">
        <v>144.62</v>
      </c>
      <c r="AA1490" s="17">
        <v>176.4</v>
      </c>
      <c r="AB1490" s="18" t="s">
        <v>3963</v>
      </c>
    </row>
    <row r="1491" spans="1:28" x14ac:dyDescent="0.45">
      <c r="A1491" s="2" t="s">
        <v>2084</v>
      </c>
      <c r="B1491" s="2" t="s">
        <v>6586</v>
      </c>
      <c r="C1491" s="2" t="s">
        <v>1110</v>
      </c>
      <c r="D1491" s="2" t="s">
        <v>1509</v>
      </c>
      <c r="E1491" s="2" t="s">
        <v>96</v>
      </c>
      <c r="F1491" s="3">
        <v>249.2</v>
      </c>
      <c r="G1491" s="3">
        <v>260.60000000000002</v>
      </c>
      <c r="H1491" s="2" t="s">
        <v>1297</v>
      </c>
      <c r="I1491" s="19">
        <v>229</v>
      </c>
      <c r="J1491" s="34">
        <f t="shared" si="92"/>
        <v>1.9923</v>
      </c>
      <c r="K1491" s="34">
        <f t="shared" si="93"/>
        <v>2.99</v>
      </c>
      <c r="L1491" s="34">
        <f t="shared" si="94"/>
        <v>11.96</v>
      </c>
      <c r="M1491" s="20" t="s">
        <v>4573</v>
      </c>
      <c r="N1491" s="20" t="s">
        <v>3891</v>
      </c>
      <c r="O1491" s="20" t="s">
        <v>3892</v>
      </c>
      <c r="P1491" s="20" t="s">
        <v>3893</v>
      </c>
      <c r="Q1491" s="21">
        <v>249.3</v>
      </c>
      <c r="R1491" s="21">
        <v>260.7</v>
      </c>
      <c r="S1491" s="21">
        <v>5.7</v>
      </c>
      <c r="T1491" s="22">
        <v>3.19</v>
      </c>
      <c r="U1491" s="13">
        <f t="shared" si="95"/>
        <v>-8.7700000000000014</v>
      </c>
      <c r="V1491" s="23">
        <v>390.78</v>
      </c>
      <c r="W1491" s="23">
        <v>390.78</v>
      </c>
      <c r="X1491" s="20">
        <v>18</v>
      </c>
      <c r="Y1491" s="24" t="s">
        <v>3713</v>
      </c>
      <c r="Z1491" s="16">
        <v>161.78</v>
      </c>
      <c r="AA1491" s="17">
        <v>70.599999999999994</v>
      </c>
      <c r="AB1491" s="25" t="s">
        <v>4119</v>
      </c>
    </row>
    <row r="1492" spans="1:28" x14ac:dyDescent="0.45">
      <c r="A1492" s="4" t="s">
        <v>2085</v>
      </c>
      <c r="B1492" s="4" t="s">
        <v>6587</v>
      </c>
      <c r="C1492" s="4" t="s">
        <v>1110</v>
      </c>
      <c r="D1492" s="4" t="s">
        <v>1509</v>
      </c>
      <c r="E1492" s="4" t="s">
        <v>96</v>
      </c>
      <c r="F1492" s="5">
        <v>253.37</v>
      </c>
      <c r="G1492" s="5">
        <v>264.02999999999997</v>
      </c>
      <c r="H1492" s="4" t="s">
        <v>1201</v>
      </c>
      <c r="I1492" s="10">
        <v>140</v>
      </c>
      <c r="J1492" s="34">
        <f t="shared" si="92"/>
        <v>1.218</v>
      </c>
      <c r="K1492" s="34">
        <f t="shared" si="93"/>
        <v>1.83</v>
      </c>
      <c r="L1492" s="34">
        <f t="shared" si="94"/>
        <v>7.32</v>
      </c>
      <c r="M1492" s="11" t="s">
        <v>4310</v>
      </c>
      <c r="N1492" s="11" t="s">
        <v>3891</v>
      </c>
      <c r="O1492" s="11" t="s">
        <v>3892</v>
      </c>
      <c r="P1492" s="11" t="s">
        <v>3893</v>
      </c>
      <c r="Q1492" s="12">
        <v>253.238</v>
      </c>
      <c r="R1492" s="12">
        <v>263.90600000000001</v>
      </c>
      <c r="S1492" s="12">
        <v>5.3339999999999996</v>
      </c>
      <c r="T1492" s="13">
        <v>3.06</v>
      </c>
      <c r="U1492" s="13">
        <f t="shared" si="95"/>
        <v>-4.26</v>
      </c>
      <c r="V1492" s="14">
        <v>374.85</v>
      </c>
      <c r="W1492" s="14">
        <v>374.85</v>
      </c>
      <c r="X1492" s="11">
        <v>48</v>
      </c>
      <c r="Y1492" s="15" t="s">
        <v>3737</v>
      </c>
      <c r="Z1492" s="16">
        <v>234.85</v>
      </c>
      <c r="AA1492" s="17">
        <v>167.8</v>
      </c>
      <c r="AB1492" s="18" t="s">
        <v>4189</v>
      </c>
    </row>
    <row r="1493" spans="1:28" x14ac:dyDescent="0.45">
      <c r="A1493" s="2" t="s">
        <v>2086</v>
      </c>
      <c r="B1493" s="2" t="s">
        <v>6588</v>
      </c>
      <c r="C1493" s="2" t="s">
        <v>1110</v>
      </c>
      <c r="D1493" s="2" t="s">
        <v>1509</v>
      </c>
      <c r="E1493" s="2" t="s">
        <v>96</v>
      </c>
      <c r="F1493" s="3">
        <v>253.37</v>
      </c>
      <c r="G1493" s="3">
        <v>267.35000000000002</v>
      </c>
      <c r="H1493" s="2" t="s">
        <v>1368</v>
      </c>
      <c r="I1493" s="19">
        <v>197</v>
      </c>
      <c r="J1493" s="34">
        <f t="shared" si="92"/>
        <v>1.7139</v>
      </c>
      <c r="K1493" s="34">
        <f t="shared" si="93"/>
        <v>2.57</v>
      </c>
      <c r="L1493" s="34">
        <f t="shared" si="94"/>
        <v>10.28</v>
      </c>
      <c r="M1493" s="20" t="s">
        <v>4311</v>
      </c>
      <c r="N1493" s="20" t="s">
        <v>3891</v>
      </c>
      <c r="O1493" s="20" t="s">
        <v>3892</v>
      </c>
      <c r="P1493" s="20" t="s">
        <v>3893</v>
      </c>
      <c r="Q1493" s="21">
        <v>253.238</v>
      </c>
      <c r="R1493" s="21">
        <v>267.46199999999999</v>
      </c>
      <c r="S1493" s="21">
        <v>7.1120000000000001</v>
      </c>
      <c r="T1493" s="22">
        <v>4.2300000000000004</v>
      </c>
      <c r="U1493" s="13">
        <f t="shared" si="95"/>
        <v>-6.0499999999999989</v>
      </c>
      <c r="V1493" s="23">
        <v>518.17999999999995</v>
      </c>
      <c r="W1493" s="23">
        <v>518.17999999999995</v>
      </c>
      <c r="X1493" s="20">
        <v>45</v>
      </c>
      <c r="Y1493" s="24" t="s">
        <v>3737</v>
      </c>
      <c r="Z1493" s="16">
        <v>321.17999999999989</v>
      </c>
      <c r="AA1493" s="17">
        <v>163</v>
      </c>
      <c r="AB1493" s="25" t="s">
        <v>4199</v>
      </c>
    </row>
    <row r="1494" spans="1:28" x14ac:dyDescent="0.45">
      <c r="A1494" s="4" t="s">
        <v>2087</v>
      </c>
      <c r="B1494" s="4" t="s">
        <v>6589</v>
      </c>
      <c r="C1494" s="4" t="s">
        <v>1110</v>
      </c>
      <c r="D1494" s="4" t="s">
        <v>1509</v>
      </c>
      <c r="E1494" s="4" t="s">
        <v>96</v>
      </c>
      <c r="F1494" s="5">
        <v>253.59</v>
      </c>
      <c r="G1494" s="5">
        <v>260.64999999999998</v>
      </c>
      <c r="H1494" s="4" t="s">
        <v>1156</v>
      </c>
      <c r="I1494" s="10">
        <v>84</v>
      </c>
      <c r="J1494" s="34">
        <f t="shared" si="92"/>
        <v>0.73079999999999989</v>
      </c>
      <c r="K1494" s="34">
        <f t="shared" si="93"/>
        <v>1.1000000000000001</v>
      </c>
      <c r="L1494" s="34">
        <f t="shared" si="94"/>
        <v>4.4000000000000004</v>
      </c>
      <c r="M1494" s="11" t="s">
        <v>4312</v>
      </c>
      <c r="N1494" s="11" t="s">
        <v>3891</v>
      </c>
      <c r="O1494" s="11" t="s">
        <v>3892</v>
      </c>
      <c r="P1494" s="11" t="s">
        <v>3893</v>
      </c>
      <c r="Q1494" s="12">
        <v>253.49199999999999</v>
      </c>
      <c r="R1494" s="12">
        <v>260.60399999999998</v>
      </c>
      <c r="S1494" s="12">
        <v>3.556</v>
      </c>
      <c r="T1494" s="13">
        <v>1.85</v>
      </c>
      <c r="U1494" s="13">
        <f t="shared" si="95"/>
        <v>-2.5500000000000003</v>
      </c>
      <c r="V1494" s="14">
        <v>226.62</v>
      </c>
      <c r="W1494" s="14">
        <v>226.62</v>
      </c>
      <c r="X1494" s="11">
        <v>188</v>
      </c>
      <c r="Y1494" s="15" t="s">
        <v>3737</v>
      </c>
      <c r="Z1494" s="16">
        <v>142.62</v>
      </c>
      <c r="AA1494" s="17">
        <v>169.8</v>
      </c>
      <c r="AB1494" s="18" t="s">
        <v>3963</v>
      </c>
    </row>
    <row r="1495" spans="1:28" x14ac:dyDescent="0.45">
      <c r="A1495" s="2" t="s">
        <v>2088</v>
      </c>
      <c r="B1495" s="2" t="s">
        <v>6590</v>
      </c>
      <c r="C1495" s="2" t="s">
        <v>1110</v>
      </c>
      <c r="D1495" s="2" t="s">
        <v>1509</v>
      </c>
      <c r="E1495" s="2" t="s">
        <v>96</v>
      </c>
      <c r="F1495" s="3">
        <v>254.5</v>
      </c>
      <c r="G1495" s="3">
        <v>271.3</v>
      </c>
      <c r="H1495" s="2" t="s">
        <v>1463</v>
      </c>
      <c r="I1495" s="19">
        <v>554</v>
      </c>
      <c r="J1495" s="34">
        <f t="shared" si="92"/>
        <v>4.8197999999999999</v>
      </c>
      <c r="K1495" s="34">
        <f t="shared" si="93"/>
        <v>7.23</v>
      </c>
      <c r="L1495" s="34">
        <f t="shared" si="94"/>
        <v>28.92</v>
      </c>
      <c r="M1495" s="20" t="s">
        <v>4574</v>
      </c>
      <c r="N1495" s="20" t="s">
        <v>3891</v>
      </c>
      <c r="O1495" s="20" t="s">
        <v>3892</v>
      </c>
      <c r="P1495" s="20" t="s">
        <v>3893</v>
      </c>
      <c r="Q1495" s="21">
        <v>254.5</v>
      </c>
      <c r="R1495" s="21">
        <v>271.3</v>
      </c>
      <c r="S1495" s="21">
        <v>8.4</v>
      </c>
      <c r="T1495" s="22">
        <v>14.03</v>
      </c>
      <c r="U1495" s="13">
        <f t="shared" si="95"/>
        <v>-14.890000000000002</v>
      </c>
      <c r="V1495" s="23">
        <v>1718.68</v>
      </c>
      <c r="W1495" s="23">
        <v>1718.68</v>
      </c>
      <c r="X1495" s="20">
        <v>5</v>
      </c>
      <c r="Y1495" s="24" t="s">
        <v>3713</v>
      </c>
      <c r="Z1495" s="16">
        <v>1164.68</v>
      </c>
      <c r="AA1495" s="17">
        <v>210.2</v>
      </c>
      <c r="AB1495" s="25" t="s">
        <v>3714</v>
      </c>
    </row>
    <row r="1496" spans="1:28" x14ac:dyDescent="0.45">
      <c r="A1496" s="4" t="s">
        <v>2089</v>
      </c>
      <c r="B1496" s="4" t="s">
        <v>6591</v>
      </c>
      <c r="C1496" s="4" t="s">
        <v>1110</v>
      </c>
      <c r="D1496" s="4" t="s">
        <v>1509</v>
      </c>
      <c r="E1496" s="4" t="s">
        <v>96</v>
      </c>
      <c r="F1496" s="5">
        <v>259.2</v>
      </c>
      <c r="G1496" s="5">
        <v>270.60000000000002</v>
      </c>
      <c r="H1496" s="4" t="s">
        <v>1297</v>
      </c>
      <c r="I1496" s="10">
        <v>236</v>
      </c>
      <c r="J1496" s="34">
        <f t="shared" si="92"/>
        <v>2.0531999999999999</v>
      </c>
      <c r="K1496" s="34">
        <f t="shared" si="93"/>
        <v>3.08</v>
      </c>
      <c r="L1496" s="34">
        <f t="shared" si="94"/>
        <v>12.32</v>
      </c>
      <c r="M1496" s="11" t="s">
        <v>4575</v>
      </c>
      <c r="N1496" s="11" t="s">
        <v>3891</v>
      </c>
      <c r="O1496" s="11" t="s">
        <v>3892</v>
      </c>
      <c r="P1496" s="11" t="s">
        <v>3893</v>
      </c>
      <c r="Q1496" s="12">
        <v>259.3</v>
      </c>
      <c r="R1496" s="12">
        <v>270.7</v>
      </c>
      <c r="S1496" s="12">
        <v>5.7</v>
      </c>
      <c r="T1496" s="13">
        <v>5.28</v>
      </c>
      <c r="U1496" s="13">
        <f t="shared" si="95"/>
        <v>-7.04</v>
      </c>
      <c r="V1496" s="14">
        <v>646.79999999999995</v>
      </c>
      <c r="W1496" s="14">
        <v>646.79999999999995</v>
      </c>
      <c r="X1496" s="11">
        <v>38</v>
      </c>
      <c r="Y1496" s="15" t="s">
        <v>3713</v>
      </c>
      <c r="Z1496" s="16">
        <v>410.8</v>
      </c>
      <c r="AA1496" s="17">
        <v>174.1</v>
      </c>
      <c r="AB1496" s="18" t="s">
        <v>4119</v>
      </c>
    </row>
    <row r="1497" spans="1:28" x14ac:dyDescent="0.45">
      <c r="A1497" s="2" t="s">
        <v>2090</v>
      </c>
      <c r="B1497" s="2" t="s">
        <v>6592</v>
      </c>
      <c r="C1497" s="2" t="s">
        <v>1110</v>
      </c>
      <c r="D1497" s="2" t="s">
        <v>1509</v>
      </c>
      <c r="E1497" s="2" t="s">
        <v>96</v>
      </c>
      <c r="F1497" s="3">
        <v>264.5</v>
      </c>
      <c r="G1497" s="3">
        <v>281.3</v>
      </c>
      <c r="H1497" s="2" t="s">
        <v>1463</v>
      </c>
      <c r="I1497" s="19">
        <v>589</v>
      </c>
      <c r="J1497" s="34">
        <f t="shared" si="92"/>
        <v>5.1242999999999999</v>
      </c>
      <c r="K1497" s="34">
        <f t="shared" si="93"/>
        <v>7.69</v>
      </c>
      <c r="L1497" s="34">
        <f t="shared" si="94"/>
        <v>30.76</v>
      </c>
      <c r="M1497" s="20" t="s">
        <v>4576</v>
      </c>
      <c r="N1497" s="20" t="s">
        <v>3891</v>
      </c>
      <c r="O1497" s="20" t="s">
        <v>3892</v>
      </c>
      <c r="P1497" s="20" t="s">
        <v>3893</v>
      </c>
      <c r="Q1497" s="21">
        <v>264.5</v>
      </c>
      <c r="R1497" s="21">
        <v>281.3</v>
      </c>
      <c r="S1497" s="21">
        <v>8.4</v>
      </c>
      <c r="T1497" s="22">
        <v>10.41</v>
      </c>
      <c r="U1497" s="13">
        <f t="shared" si="95"/>
        <v>-20.350000000000001</v>
      </c>
      <c r="V1497" s="23">
        <v>1275.22</v>
      </c>
      <c r="W1497" s="23">
        <v>1275.22</v>
      </c>
      <c r="X1497" s="20">
        <v>19</v>
      </c>
      <c r="Y1497" s="24" t="s">
        <v>3713</v>
      </c>
      <c r="Z1497" s="16">
        <v>686.22</v>
      </c>
      <c r="AA1497" s="17">
        <v>116.5</v>
      </c>
      <c r="AB1497" s="25" t="s">
        <v>3714</v>
      </c>
    </row>
    <row r="1498" spans="1:28" x14ac:dyDescent="0.45">
      <c r="A1498" s="4" t="s">
        <v>2091</v>
      </c>
      <c r="B1498" s="4" t="s">
        <v>6593</v>
      </c>
      <c r="C1498" s="4" t="s">
        <v>1110</v>
      </c>
      <c r="D1498" s="4" t="s">
        <v>1509</v>
      </c>
      <c r="E1498" s="4" t="s">
        <v>96</v>
      </c>
      <c r="F1498" s="5">
        <v>265</v>
      </c>
      <c r="G1498" s="5">
        <v>275</v>
      </c>
      <c r="H1498" s="4" t="s">
        <v>1245</v>
      </c>
      <c r="I1498" s="10">
        <v>157</v>
      </c>
      <c r="J1498" s="34">
        <f t="shared" si="92"/>
        <v>1.3658999999999999</v>
      </c>
      <c r="K1498" s="34">
        <f t="shared" si="93"/>
        <v>2.0499999999999998</v>
      </c>
      <c r="L1498" s="34">
        <f t="shared" si="94"/>
        <v>8.1999999999999993</v>
      </c>
      <c r="M1498" s="11" t="s">
        <v>4577</v>
      </c>
      <c r="N1498" s="11" t="s">
        <v>3891</v>
      </c>
      <c r="O1498" s="11" t="s">
        <v>3892</v>
      </c>
      <c r="P1498" s="11" t="s">
        <v>3893</v>
      </c>
      <c r="Q1498" s="12">
        <v>265</v>
      </c>
      <c r="R1498" s="12">
        <v>275</v>
      </c>
      <c r="S1498" s="12">
        <v>5</v>
      </c>
      <c r="T1498" s="13">
        <v>3.86</v>
      </c>
      <c r="U1498" s="13">
        <f t="shared" si="95"/>
        <v>-4.34</v>
      </c>
      <c r="V1498" s="14">
        <v>472.85</v>
      </c>
      <c r="W1498" s="14">
        <v>472.85</v>
      </c>
      <c r="X1498" s="11">
        <v>17</v>
      </c>
      <c r="Y1498" s="15" t="s">
        <v>3713</v>
      </c>
      <c r="Z1498" s="16">
        <v>315.85000000000002</v>
      </c>
      <c r="AA1498" s="17">
        <v>201.2</v>
      </c>
      <c r="AB1498" s="18" t="s">
        <v>3714</v>
      </c>
    </row>
    <row r="1499" spans="1:28" x14ac:dyDescent="0.45">
      <c r="A1499" s="2" t="s">
        <v>2092</v>
      </c>
      <c r="B1499" s="2" t="s">
        <v>6594</v>
      </c>
      <c r="C1499" s="2" t="s">
        <v>1110</v>
      </c>
      <c r="D1499" s="2" t="s">
        <v>1509</v>
      </c>
      <c r="E1499" s="2" t="s">
        <v>96</v>
      </c>
      <c r="F1499" s="3">
        <v>266.07</v>
      </c>
      <c r="G1499" s="3">
        <v>276.73</v>
      </c>
      <c r="H1499" s="2" t="s">
        <v>1201</v>
      </c>
      <c r="I1499" s="19">
        <v>145</v>
      </c>
      <c r="J1499" s="34">
        <f t="shared" si="92"/>
        <v>1.2614999999999998</v>
      </c>
      <c r="K1499" s="34">
        <f t="shared" si="93"/>
        <v>1.89</v>
      </c>
      <c r="L1499" s="34">
        <f t="shared" si="94"/>
        <v>7.56</v>
      </c>
      <c r="M1499" s="20" t="s">
        <v>4313</v>
      </c>
      <c r="N1499" s="20" t="s">
        <v>3891</v>
      </c>
      <c r="O1499" s="20" t="s">
        <v>3892</v>
      </c>
      <c r="P1499" s="20" t="s">
        <v>3893</v>
      </c>
      <c r="Q1499" s="21">
        <v>265.93799999999999</v>
      </c>
      <c r="R1499" s="21">
        <v>276.60599999999999</v>
      </c>
      <c r="S1499" s="21">
        <v>5.3339999999999996</v>
      </c>
      <c r="T1499" s="22">
        <v>2.99</v>
      </c>
      <c r="U1499" s="13">
        <f t="shared" si="95"/>
        <v>-4.5699999999999994</v>
      </c>
      <c r="V1499" s="23">
        <v>366.28</v>
      </c>
      <c r="W1499" s="23">
        <v>366.28</v>
      </c>
      <c r="X1499" s="20">
        <v>22</v>
      </c>
      <c r="Y1499" s="24" t="s">
        <v>3737</v>
      </c>
      <c r="Z1499" s="16">
        <v>221.28</v>
      </c>
      <c r="AA1499" s="17">
        <v>152.6</v>
      </c>
      <c r="AB1499" s="25" t="s">
        <v>4189</v>
      </c>
    </row>
    <row r="1500" spans="1:28" x14ac:dyDescent="0.45">
      <c r="A1500" s="4" t="s">
        <v>2093</v>
      </c>
      <c r="B1500" s="4" t="s">
        <v>6595</v>
      </c>
      <c r="C1500" s="4" t="s">
        <v>1110</v>
      </c>
      <c r="D1500" s="4" t="s">
        <v>1509</v>
      </c>
      <c r="E1500" s="4" t="s">
        <v>96</v>
      </c>
      <c r="F1500" s="5">
        <v>266.07</v>
      </c>
      <c r="G1500" s="5">
        <v>280.05</v>
      </c>
      <c r="H1500" s="4" t="s">
        <v>1368</v>
      </c>
      <c r="I1500" s="10">
        <v>207</v>
      </c>
      <c r="J1500" s="34">
        <f t="shared" si="92"/>
        <v>1.8008999999999999</v>
      </c>
      <c r="K1500" s="34">
        <f t="shared" si="93"/>
        <v>2.7</v>
      </c>
      <c r="L1500" s="34">
        <f t="shared" si="94"/>
        <v>10.8</v>
      </c>
      <c r="M1500" s="11" t="s">
        <v>4314</v>
      </c>
      <c r="N1500" s="11" t="s">
        <v>3891</v>
      </c>
      <c r="O1500" s="11" t="s">
        <v>3892</v>
      </c>
      <c r="P1500" s="11" t="s">
        <v>3893</v>
      </c>
      <c r="Q1500" s="12">
        <v>265.93799999999999</v>
      </c>
      <c r="R1500" s="12">
        <v>280.16199999999998</v>
      </c>
      <c r="S1500" s="12">
        <v>7.1120000000000001</v>
      </c>
      <c r="T1500" s="13">
        <v>4.55</v>
      </c>
      <c r="U1500" s="13">
        <f t="shared" si="95"/>
        <v>-6.2500000000000009</v>
      </c>
      <c r="V1500" s="14">
        <v>557.38</v>
      </c>
      <c r="W1500" s="14">
        <v>557.38</v>
      </c>
      <c r="X1500" s="11">
        <v>21</v>
      </c>
      <c r="Y1500" s="15" t="s">
        <v>3737</v>
      </c>
      <c r="Z1500" s="16">
        <v>350.38</v>
      </c>
      <c r="AA1500" s="17">
        <v>169.3</v>
      </c>
      <c r="AB1500" s="18" t="s">
        <v>4199</v>
      </c>
    </row>
    <row r="1501" spans="1:28" x14ac:dyDescent="0.45">
      <c r="A1501" s="2" t="s">
        <v>2094</v>
      </c>
      <c r="B1501" s="2" t="s">
        <v>6596</v>
      </c>
      <c r="C1501" s="2" t="s">
        <v>1110</v>
      </c>
      <c r="D1501" s="2" t="s">
        <v>1509</v>
      </c>
      <c r="E1501" s="2" t="s">
        <v>96</v>
      </c>
      <c r="F1501" s="3">
        <v>266.29000000000002</v>
      </c>
      <c r="G1501" s="3">
        <v>273.35000000000002</v>
      </c>
      <c r="H1501" s="2" t="s">
        <v>1156</v>
      </c>
      <c r="I1501" s="19">
        <v>87</v>
      </c>
      <c r="J1501" s="34">
        <f t="shared" si="92"/>
        <v>0.75689999999999991</v>
      </c>
      <c r="K1501" s="34">
        <f t="shared" si="93"/>
        <v>1.1399999999999999</v>
      </c>
      <c r="L1501" s="34">
        <f t="shared" si="94"/>
        <v>4.5599999999999996</v>
      </c>
      <c r="M1501" s="20" t="s">
        <v>4315</v>
      </c>
      <c r="N1501" s="20" t="s">
        <v>3891</v>
      </c>
      <c r="O1501" s="20" t="s">
        <v>3892</v>
      </c>
      <c r="P1501" s="20" t="s">
        <v>3893</v>
      </c>
      <c r="Q1501" s="21">
        <v>266.19200000000001</v>
      </c>
      <c r="R1501" s="21">
        <v>273.30399999999997</v>
      </c>
      <c r="S1501" s="21">
        <v>3.556</v>
      </c>
      <c r="T1501" s="22">
        <v>2.25</v>
      </c>
      <c r="U1501" s="13">
        <f t="shared" si="95"/>
        <v>-2.3099999999999996</v>
      </c>
      <c r="V1501" s="23">
        <v>275.62</v>
      </c>
      <c r="W1501" s="23">
        <v>275.62</v>
      </c>
      <c r="X1501" s="20">
        <v>2807</v>
      </c>
      <c r="Y1501" s="24" t="s">
        <v>3737</v>
      </c>
      <c r="Z1501" s="16">
        <v>188.62</v>
      </c>
      <c r="AA1501" s="17">
        <v>216.8</v>
      </c>
      <c r="AB1501" s="25" t="s">
        <v>3963</v>
      </c>
    </row>
    <row r="1502" spans="1:28" x14ac:dyDescent="0.45">
      <c r="A1502" s="4" t="s">
        <v>2095</v>
      </c>
      <c r="B1502" s="4" t="s">
        <v>6597</v>
      </c>
      <c r="C1502" s="4" t="s">
        <v>1110</v>
      </c>
      <c r="D1502" s="4" t="s">
        <v>1509</v>
      </c>
      <c r="E1502" s="4" t="s">
        <v>96</v>
      </c>
      <c r="F1502" s="5">
        <v>269.2</v>
      </c>
      <c r="G1502" s="5">
        <v>280.60000000000002</v>
      </c>
      <c r="H1502" s="4" t="s">
        <v>1297</v>
      </c>
      <c r="I1502" s="10">
        <v>249</v>
      </c>
      <c r="J1502" s="34">
        <f t="shared" si="92"/>
        <v>2.1662999999999997</v>
      </c>
      <c r="K1502" s="34">
        <f t="shared" si="93"/>
        <v>3.25</v>
      </c>
      <c r="L1502" s="34">
        <f t="shared" si="94"/>
        <v>13</v>
      </c>
      <c r="M1502" s="11" t="s">
        <v>4578</v>
      </c>
      <c r="N1502" s="11" t="s">
        <v>3891</v>
      </c>
      <c r="O1502" s="11" t="s">
        <v>3892</v>
      </c>
      <c r="P1502" s="11" t="s">
        <v>3893</v>
      </c>
      <c r="Q1502" s="12">
        <v>269.3</v>
      </c>
      <c r="R1502" s="12">
        <v>280.7</v>
      </c>
      <c r="S1502" s="12">
        <v>5.7</v>
      </c>
      <c r="T1502" s="13">
        <v>4.49</v>
      </c>
      <c r="U1502" s="13">
        <f t="shared" si="95"/>
        <v>-8.51</v>
      </c>
      <c r="V1502" s="14">
        <v>550.02</v>
      </c>
      <c r="W1502" s="14">
        <v>550.02</v>
      </c>
      <c r="X1502" s="11">
        <v>31</v>
      </c>
      <c r="Y1502" s="15" t="s">
        <v>3713</v>
      </c>
      <c r="Z1502" s="16">
        <v>301.02</v>
      </c>
      <c r="AA1502" s="17">
        <v>120.9</v>
      </c>
      <c r="AB1502" s="18" t="s">
        <v>4119</v>
      </c>
    </row>
    <row r="1503" spans="1:28" x14ac:dyDescent="0.45">
      <c r="A1503" s="2" t="s">
        <v>2096</v>
      </c>
      <c r="B1503" s="2" t="s">
        <v>6598</v>
      </c>
      <c r="C1503" s="2" t="s">
        <v>1110</v>
      </c>
      <c r="D1503" s="2" t="s">
        <v>1509</v>
      </c>
      <c r="E1503" s="2" t="s">
        <v>96</v>
      </c>
      <c r="F1503" s="3">
        <v>274.2</v>
      </c>
      <c r="G1503" s="3">
        <v>285.60000000000002</v>
      </c>
      <c r="H1503" s="2" t="s">
        <v>1297</v>
      </c>
      <c r="I1503" s="19">
        <v>254</v>
      </c>
      <c r="J1503" s="34">
        <f t="shared" si="92"/>
        <v>2.2098</v>
      </c>
      <c r="K1503" s="34">
        <f t="shared" si="93"/>
        <v>3.31</v>
      </c>
      <c r="L1503" s="34">
        <f t="shared" si="94"/>
        <v>13.24</v>
      </c>
      <c r="M1503" s="20" t="s">
        <v>4579</v>
      </c>
      <c r="N1503" s="20" t="s">
        <v>3891</v>
      </c>
      <c r="O1503" s="20" t="s">
        <v>3892</v>
      </c>
      <c r="P1503" s="20" t="s">
        <v>3893</v>
      </c>
      <c r="Q1503" s="21">
        <v>274.3</v>
      </c>
      <c r="R1503" s="21">
        <v>285.7</v>
      </c>
      <c r="S1503" s="21">
        <v>5.7</v>
      </c>
      <c r="T1503" s="22">
        <v>28.86</v>
      </c>
      <c r="U1503" s="13">
        <f t="shared" si="95"/>
        <v>15.62</v>
      </c>
      <c r="V1503" s="23">
        <v>3535.35</v>
      </c>
      <c r="W1503" s="23">
        <v>3535.35</v>
      </c>
      <c r="X1503" s="20">
        <v>5</v>
      </c>
      <c r="Y1503" s="24" t="s">
        <v>3713</v>
      </c>
      <c r="Z1503" s="16">
        <v>3281.35</v>
      </c>
      <c r="AA1503" s="17">
        <v>1291.9000000000001</v>
      </c>
      <c r="AB1503" s="25" t="s">
        <v>4119</v>
      </c>
    </row>
    <row r="1504" spans="1:28" x14ac:dyDescent="0.45">
      <c r="A1504" s="4" t="s">
        <v>2097</v>
      </c>
      <c r="B1504" s="4" t="s">
        <v>6599</v>
      </c>
      <c r="C1504" s="4" t="s">
        <v>1110</v>
      </c>
      <c r="D1504" s="4" t="s">
        <v>1509</v>
      </c>
      <c r="E1504" s="4" t="s">
        <v>96</v>
      </c>
      <c r="F1504" s="5">
        <v>278.77</v>
      </c>
      <c r="G1504" s="5">
        <v>289.43</v>
      </c>
      <c r="H1504" s="4" t="s">
        <v>1201</v>
      </c>
      <c r="I1504" s="10">
        <v>148</v>
      </c>
      <c r="J1504" s="34">
        <f t="shared" si="92"/>
        <v>1.2875999999999999</v>
      </c>
      <c r="K1504" s="34">
        <f t="shared" si="93"/>
        <v>1.93</v>
      </c>
      <c r="L1504" s="34">
        <f t="shared" si="94"/>
        <v>7.72</v>
      </c>
      <c r="M1504" s="11" t="s">
        <v>4316</v>
      </c>
      <c r="N1504" s="11" t="s">
        <v>3891</v>
      </c>
      <c r="O1504" s="11" t="s">
        <v>3892</v>
      </c>
      <c r="P1504" s="11" t="s">
        <v>3893</v>
      </c>
      <c r="Q1504" s="12">
        <v>278.63799999999998</v>
      </c>
      <c r="R1504" s="12">
        <v>289.30599999999998</v>
      </c>
      <c r="S1504" s="12">
        <v>5.3339999999999996</v>
      </c>
      <c r="T1504" s="13">
        <v>3.51</v>
      </c>
      <c r="U1504" s="13">
        <f t="shared" si="95"/>
        <v>-4.21</v>
      </c>
      <c r="V1504" s="14">
        <v>429.98</v>
      </c>
      <c r="W1504" s="14">
        <v>429.98</v>
      </c>
      <c r="X1504" s="11">
        <v>3</v>
      </c>
      <c r="Y1504" s="15" t="s">
        <v>3737</v>
      </c>
      <c r="Z1504" s="16">
        <v>281.98</v>
      </c>
      <c r="AA1504" s="17">
        <v>190.5</v>
      </c>
      <c r="AB1504" s="18" t="s">
        <v>4189</v>
      </c>
    </row>
    <row r="1505" spans="1:28" x14ac:dyDescent="0.45">
      <c r="A1505" s="2" t="s">
        <v>2098</v>
      </c>
      <c r="B1505" s="2" t="s">
        <v>6600</v>
      </c>
      <c r="C1505" s="2" t="s">
        <v>1110</v>
      </c>
      <c r="D1505" s="2" t="s">
        <v>1509</v>
      </c>
      <c r="E1505" s="2" t="s">
        <v>96</v>
      </c>
      <c r="F1505" s="3">
        <v>278.77</v>
      </c>
      <c r="G1505" s="3">
        <v>292.75</v>
      </c>
      <c r="H1505" s="2" t="s">
        <v>1368</v>
      </c>
      <c r="I1505" s="19">
        <v>219</v>
      </c>
      <c r="J1505" s="34">
        <f t="shared" si="92"/>
        <v>1.9052999999999998</v>
      </c>
      <c r="K1505" s="34">
        <f t="shared" si="93"/>
        <v>2.86</v>
      </c>
      <c r="L1505" s="34">
        <f t="shared" si="94"/>
        <v>11.44</v>
      </c>
      <c r="M1505" s="20" t="s">
        <v>4317</v>
      </c>
      <c r="N1505" s="20" t="s">
        <v>3891</v>
      </c>
      <c r="O1505" s="20" t="s">
        <v>3892</v>
      </c>
      <c r="P1505" s="20" t="s">
        <v>3893</v>
      </c>
      <c r="Q1505" s="21">
        <v>278.63799999999998</v>
      </c>
      <c r="R1505" s="21">
        <v>292.86200000000002</v>
      </c>
      <c r="S1505" s="21">
        <v>7.1120000000000001</v>
      </c>
      <c r="T1505" s="22">
        <v>4.76</v>
      </c>
      <c r="U1505" s="13">
        <f t="shared" si="95"/>
        <v>-6.68</v>
      </c>
      <c r="V1505" s="23">
        <v>583.1</v>
      </c>
      <c r="W1505" s="23">
        <v>583.1</v>
      </c>
      <c r="X1505" s="20">
        <v>78</v>
      </c>
      <c r="Y1505" s="24" t="s">
        <v>3737</v>
      </c>
      <c r="Z1505" s="16">
        <v>364.1</v>
      </c>
      <c r="AA1505" s="17">
        <v>166.3</v>
      </c>
      <c r="AB1505" s="25" t="s">
        <v>4199</v>
      </c>
    </row>
    <row r="1506" spans="1:28" x14ac:dyDescent="0.45">
      <c r="A1506" s="4" t="s">
        <v>2099</v>
      </c>
      <c r="B1506" s="4" t="s">
        <v>6601</v>
      </c>
      <c r="C1506" s="4" t="s">
        <v>1110</v>
      </c>
      <c r="D1506" s="4" t="s">
        <v>1509</v>
      </c>
      <c r="E1506" s="4" t="s">
        <v>96</v>
      </c>
      <c r="F1506" s="5">
        <v>278.99</v>
      </c>
      <c r="G1506" s="5">
        <v>286.05</v>
      </c>
      <c r="H1506" s="4" t="s">
        <v>1156</v>
      </c>
      <c r="I1506" s="10">
        <v>91</v>
      </c>
      <c r="J1506" s="34">
        <f t="shared" si="92"/>
        <v>0.79169999999999996</v>
      </c>
      <c r="K1506" s="34">
        <f t="shared" si="93"/>
        <v>1.19</v>
      </c>
      <c r="L1506" s="34">
        <f t="shared" si="94"/>
        <v>4.76</v>
      </c>
      <c r="M1506" s="11" t="s">
        <v>4318</v>
      </c>
      <c r="N1506" s="11" t="s">
        <v>3891</v>
      </c>
      <c r="O1506" s="11" t="s">
        <v>3892</v>
      </c>
      <c r="P1506" s="11" t="s">
        <v>3893</v>
      </c>
      <c r="Q1506" s="12">
        <v>278.892</v>
      </c>
      <c r="R1506" s="12">
        <v>286.00400000000002</v>
      </c>
      <c r="S1506" s="12">
        <v>3.556</v>
      </c>
      <c r="T1506" s="13">
        <v>1.46</v>
      </c>
      <c r="U1506" s="13">
        <f t="shared" si="95"/>
        <v>-3.3</v>
      </c>
      <c r="V1506" s="14">
        <v>178.85</v>
      </c>
      <c r="W1506" s="14">
        <v>178.85</v>
      </c>
      <c r="X1506" s="11">
        <v>220</v>
      </c>
      <c r="Y1506" s="15" t="s">
        <v>3737</v>
      </c>
      <c r="Z1506" s="16">
        <v>87.85</v>
      </c>
      <c r="AA1506" s="17">
        <v>96.5</v>
      </c>
      <c r="AB1506" s="18" t="s">
        <v>3963</v>
      </c>
    </row>
    <row r="1507" spans="1:28" x14ac:dyDescent="0.45">
      <c r="A1507" s="2" t="s">
        <v>2100</v>
      </c>
      <c r="B1507" s="2" t="s">
        <v>6602</v>
      </c>
      <c r="C1507" s="2" t="s">
        <v>1110</v>
      </c>
      <c r="D1507" s="2" t="s">
        <v>1509</v>
      </c>
      <c r="E1507" s="2" t="s">
        <v>96</v>
      </c>
      <c r="F1507" s="3">
        <v>279.2</v>
      </c>
      <c r="G1507" s="3">
        <v>290.60000000000002</v>
      </c>
      <c r="H1507" s="2" t="s">
        <v>1297</v>
      </c>
      <c r="I1507" s="19">
        <v>266</v>
      </c>
      <c r="J1507" s="34">
        <f t="shared" si="92"/>
        <v>2.3142</v>
      </c>
      <c r="K1507" s="34">
        <f t="shared" si="93"/>
        <v>3.47</v>
      </c>
      <c r="L1507" s="34">
        <f t="shared" si="94"/>
        <v>13.88</v>
      </c>
      <c r="M1507" s="20" t="s">
        <v>4580</v>
      </c>
      <c r="N1507" s="20" t="s">
        <v>3891</v>
      </c>
      <c r="O1507" s="20" t="s">
        <v>3892</v>
      </c>
      <c r="P1507" s="20" t="s">
        <v>3893</v>
      </c>
      <c r="Q1507" s="21">
        <v>279.3</v>
      </c>
      <c r="R1507" s="21">
        <v>290.7</v>
      </c>
      <c r="S1507" s="21">
        <v>5.7</v>
      </c>
      <c r="T1507" s="22">
        <v>5.42</v>
      </c>
      <c r="U1507" s="13">
        <f t="shared" si="95"/>
        <v>-8.4600000000000009</v>
      </c>
      <c r="V1507" s="23">
        <v>663.95</v>
      </c>
      <c r="W1507" s="23">
        <v>663.95</v>
      </c>
      <c r="X1507" s="20">
        <v>11</v>
      </c>
      <c r="Y1507" s="24" t="s">
        <v>3713</v>
      </c>
      <c r="Z1507" s="16">
        <v>397.95</v>
      </c>
      <c r="AA1507" s="17">
        <v>149.6</v>
      </c>
      <c r="AB1507" s="25" t="s">
        <v>4119</v>
      </c>
    </row>
    <row r="1508" spans="1:28" x14ac:dyDescent="0.45">
      <c r="A1508" s="4" t="s">
        <v>2101</v>
      </c>
      <c r="B1508" s="4" t="s">
        <v>6603</v>
      </c>
      <c r="C1508" s="4" t="s">
        <v>1110</v>
      </c>
      <c r="D1508" s="4" t="s">
        <v>1509</v>
      </c>
      <c r="E1508" s="4" t="s">
        <v>96</v>
      </c>
      <c r="F1508" s="5">
        <v>284.2</v>
      </c>
      <c r="G1508" s="5">
        <v>295.60000000000002</v>
      </c>
      <c r="H1508" s="4" t="s">
        <v>1297</v>
      </c>
      <c r="I1508" s="10">
        <v>269</v>
      </c>
      <c r="J1508" s="34">
        <f t="shared" si="92"/>
        <v>2.3403</v>
      </c>
      <c r="K1508" s="34">
        <f t="shared" si="93"/>
        <v>3.51</v>
      </c>
      <c r="L1508" s="34">
        <f t="shared" si="94"/>
        <v>14.04</v>
      </c>
      <c r="M1508" s="11" t="s">
        <v>4581</v>
      </c>
      <c r="N1508" s="11" t="s">
        <v>3891</v>
      </c>
      <c r="O1508" s="11" t="s">
        <v>3892</v>
      </c>
      <c r="P1508" s="11" t="s">
        <v>3893</v>
      </c>
      <c r="Q1508" s="12">
        <v>284.3</v>
      </c>
      <c r="R1508" s="12">
        <v>295.7</v>
      </c>
      <c r="S1508" s="12">
        <v>5.7</v>
      </c>
      <c r="T1508" s="13">
        <v>31.01</v>
      </c>
      <c r="U1508" s="13">
        <f t="shared" si="95"/>
        <v>16.970000000000002</v>
      </c>
      <c r="V1508" s="14">
        <v>3798.73</v>
      </c>
      <c r="W1508" s="14">
        <v>3798.73</v>
      </c>
      <c r="X1508" s="11" t="s">
        <v>3722</v>
      </c>
      <c r="Y1508" s="15" t="s">
        <v>3713</v>
      </c>
      <c r="Z1508" s="16">
        <v>3529.73</v>
      </c>
      <c r="AA1508" s="17">
        <v>1312.2</v>
      </c>
      <c r="AB1508" s="18" t="s">
        <v>4119</v>
      </c>
    </row>
    <row r="1509" spans="1:28" x14ac:dyDescent="0.45">
      <c r="A1509" s="2" t="s">
        <v>2102</v>
      </c>
      <c r="B1509" s="2" t="s">
        <v>6604</v>
      </c>
      <c r="C1509" s="2" t="s">
        <v>1110</v>
      </c>
      <c r="D1509" s="2" t="s">
        <v>1509</v>
      </c>
      <c r="E1509" s="2" t="s">
        <v>96</v>
      </c>
      <c r="F1509" s="3">
        <v>289.2</v>
      </c>
      <c r="G1509" s="3">
        <v>300.60000000000002</v>
      </c>
      <c r="H1509" s="2" t="s">
        <v>1297</v>
      </c>
      <c r="I1509" s="19">
        <v>274</v>
      </c>
      <c r="J1509" s="34">
        <f t="shared" si="92"/>
        <v>2.3837999999999999</v>
      </c>
      <c r="K1509" s="34">
        <f t="shared" si="93"/>
        <v>3.58</v>
      </c>
      <c r="L1509" s="34">
        <f t="shared" si="94"/>
        <v>14.32</v>
      </c>
      <c r="M1509" s="20" t="s">
        <v>4582</v>
      </c>
      <c r="N1509" s="20" t="s">
        <v>3891</v>
      </c>
      <c r="O1509" s="20" t="s">
        <v>3892</v>
      </c>
      <c r="P1509" s="20" t="s">
        <v>3893</v>
      </c>
      <c r="Q1509" s="21">
        <v>289.3</v>
      </c>
      <c r="R1509" s="21">
        <v>300.7</v>
      </c>
      <c r="S1509" s="21">
        <v>5.7</v>
      </c>
      <c r="T1509" s="22">
        <v>5.49</v>
      </c>
      <c r="U1509" s="13">
        <f t="shared" si="95"/>
        <v>-8.83</v>
      </c>
      <c r="V1509" s="23">
        <v>672.52</v>
      </c>
      <c r="W1509" s="23">
        <v>672.52</v>
      </c>
      <c r="X1509" s="20">
        <v>9</v>
      </c>
      <c r="Y1509" s="24" t="s">
        <v>3713</v>
      </c>
      <c r="Z1509" s="16">
        <v>398.52</v>
      </c>
      <c r="AA1509" s="17">
        <v>145.4</v>
      </c>
      <c r="AB1509" s="25" t="s">
        <v>4119</v>
      </c>
    </row>
    <row r="1510" spans="1:28" x14ac:dyDescent="0.45">
      <c r="A1510" s="4" t="s">
        <v>2103</v>
      </c>
      <c r="B1510" s="4" t="s">
        <v>6605</v>
      </c>
      <c r="C1510" s="4" t="s">
        <v>1110</v>
      </c>
      <c r="D1510" s="4" t="s">
        <v>1509</v>
      </c>
      <c r="E1510" s="4" t="s">
        <v>96</v>
      </c>
      <c r="F1510" s="5">
        <v>291.47000000000003</v>
      </c>
      <c r="G1510" s="5">
        <v>302.13000000000011</v>
      </c>
      <c r="H1510" s="4" t="s">
        <v>1201</v>
      </c>
      <c r="I1510" s="10">
        <v>151</v>
      </c>
      <c r="J1510" s="34">
        <f t="shared" si="92"/>
        <v>1.3136999999999999</v>
      </c>
      <c r="K1510" s="34">
        <f t="shared" si="93"/>
        <v>1.97</v>
      </c>
      <c r="L1510" s="34">
        <f t="shared" si="94"/>
        <v>7.88</v>
      </c>
      <c r="M1510" s="11" t="s">
        <v>4319</v>
      </c>
      <c r="N1510" s="11" t="s">
        <v>3891</v>
      </c>
      <c r="O1510" s="11" t="s">
        <v>3892</v>
      </c>
      <c r="P1510" s="11" t="s">
        <v>3893</v>
      </c>
      <c r="Q1510" s="12">
        <v>291.33800000000002</v>
      </c>
      <c r="R1510" s="12">
        <v>302.00599999999997</v>
      </c>
      <c r="S1510" s="12">
        <v>5.3339999999999996</v>
      </c>
      <c r="T1510" s="13">
        <v>3.62</v>
      </c>
      <c r="U1510" s="13">
        <f t="shared" si="95"/>
        <v>-4.26</v>
      </c>
      <c r="V1510" s="14">
        <v>443.45</v>
      </c>
      <c r="W1510" s="14">
        <v>443.45</v>
      </c>
      <c r="X1510" s="11">
        <v>17</v>
      </c>
      <c r="Y1510" s="15" t="s">
        <v>3737</v>
      </c>
      <c r="Z1510" s="16">
        <v>292.45</v>
      </c>
      <c r="AA1510" s="17">
        <v>193.7</v>
      </c>
      <c r="AB1510" s="18" t="s">
        <v>4189</v>
      </c>
    </row>
    <row r="1511" spans="1:28" x14ac:dyDescent="0.45">
      <c r="A1511" s="2" t="s">
        <v>2104</v>
      </c>
      <c r="B1511" s="2" t="s">
        <v>6606</v>
      </c>
      <c r="C1511" s="2" t="s">
        <v>1110</v>
      </c>
      <c r="D1511" s="2" t="s">
        <v>1509</v>
      </c>
      <c r="E1511" s="2" t="s">
        <v>96</v>
      </c>
      <c r="F1511" s="3">
        <v>291.47000000000003</v>
      </c>
      <c r="G1511" s="3">
        <v>305.45</v>
      </c>
      <c r="H1511" s="2" t="s">
        <v>1368</v>
      </c>
      <c r="I1511" s="19">
        <v>227</v>
      </c>
      <c r="J1511" s="34">
        <f t="shared" si="92"/>
        <v>1.9748999999999999</v>
      </c>
      <c r="K1511" s="34">
        <f t="shared" si="93"/>
        <v>2.96</v>
      </c>
      <c r="L1511" s="34">
        <f t="shared" si="94"/>
        <v>11.84</v>
      </c>
      <c r="M1511" s="20" t="s">
        <v>4320</v>
      </c>
      <c r="N1511" s="20" t="s">
        <v>3891</v>
      </c>
      <c r="O1511" s="20" t="s">
        <v>3892</v>
      </c>
      <c r="P1511" s="20" t="s">
        <v>3893</v>
      </c>
      <c r="Q1511" s="21">
        <v>291.33800000000002</v>
      </c>
      <c r="R1511" s="21">
        <v>305.56200000000001</v>
      </c>
      <c r="S1511" s="21">
        <v>7.1120000000000001</v>
      </c>
      <c r="T1511" s="22">
        <v>7.49</v>
      </c>
      <c r="U1511" s="13">
        <f t="shared" si="95"/>
        <v>-4.3499999999999996</v>
      </c>
      <c r="V1511" s="23">
        <v>917.52</v>
      </c>
      <c r="W1511" s="23">
        <v>917.52</v>
      </c>
      <c r="X1511" s="20">
        <v>74</v>
      </c>
      <c r="Y1511" s="24" t="s">
        <v>3737</v>
      </c>
      <c r="Z1511" s="16">
        <v>690.52</v>
      </c>
      <c r="AA1511" s="17">
        <v>304.2</v>
      </c>
      <c r="AB1511" s="25" t="s">
        <v>4199</v>
      </c>
    </row>
    <row r="1512" spans="1:28" x14ac:dyDescent="0.45">
      <c r="A1512" s="4" t="s">
        <v>2105</v>
      </c>
      <c r="B1512" s="37" t="s">
        <v>7346</v>
      </c>
      <c r="C1512" s="4" t="s">
        <v>1110</v>
      </c>
      <c r="D1512" s="4" t="s">
        <v>1509</v>
      </c>
      <c r="E1512" s="4" t="s">
        <v>96</v>
      </c>
      <c r="F1512" s="5">
        <v>299.2</v>
      </c>
      <c r="G1512" s="5">
        <v>310.60000000000002</v>
      </c>
      <c r="H1512" s="4" t="s">
        <v>1297</v>
      </c>
      <c r="I1512" s="10">
        <v>300</v>
      </c>
      <c r="J1512" s="34">
        <f t="shared" si="92"/>
        <v>2.61</v>
      </c>
      <c r="K1512" s="34">
        <f t="shared" si="93"/>
        <v>3.92</v>
      </c>
      <c r="L1512" s="34">
        <f t="shared" si="94"/>
        <v>15.68</v>
      </c>
      <c r="M1512" s="11" t="s">
        <v>4583</v>
      </c>
      <c r="N1512" s="11" t="s">
        <v>3891</v>
      </c>
      <c r="O1512" s="11" t="s">
        <v>3892</v>
      </c>
      <c r="P1512" s="11" t="s">
        <v>3893</v>
      </c>
      <c r="Q1512" s="12">
        <v>299.3</v>
      </c>
      <c r="R1512" s="12">
        <v>310.7</v>
      </c>
      <c r="S1512" s="12">
        <v>5.7</v>
      </c>
      <c r="T1512" s="13">
        <v>4.42</v>
      </c>
      <c r="U1512" s="13">
        <f t="shared" si="95"/>
        <v>-11.26</v>
      </c>
      <c r="V1512" s="14">
        <v>541.45000000000005</v>
      </c>
      <c r="W1512" s="14">
        <v>541.45000000000005</v>
      </c>
      <c r="X1512" s="11">
        <v>11</v>
      </c>
      <c r="Y1512" s="15" t="s">
        <v>3713</v>
      </c>
      <c r="Z1512" s="16">
        <v>241.45</v>
      </c>
      <c r="AA1512" s="17">
        <v>80.5</v>
      </c>
      <c r="AB1512" s="18" t="s">
        <v>4119</v>
      </c>
    </row>
    <row r="1513" spans="1:28" x14ac:dyDescent="0.45">
      <c r="A1513" s="2" t="s">
        <v>2106</v>
      </c>
      <c r="B1513" s="2" t="s">
        <v>6607</v>
      </c>
      <c r="C1513" s="2" t="s">
        <v>1110</v>
      </c>
      <c r="D1513" s="2" t="s">
        <v>1509</v>
      </c>
      <c r="E1513" s="2" t="s">
        <v>96</v>
      </c>
      <c r="F1513" s="3">
        <v>304.17</v>
      </c>
      <c r="G1513" s="3">
        <v>314.83</v>
      </c>
      <c r="H1513" s="2" t="s">
        <v>1201</v>
      </c>
      <c r="I1513" s="19">
        <v>232</v>
      </c>
      <c r="J1513" s="34">
        <f t="shared" si="92"/>
        <v>2.0183999999999997</v>
      </c>
      <c r="K1513" s="34">
        <f t="shared" si="93"/>
        <v>3.03</v>
      </c>
      <c r="L1513" s="34">
        <f t="shared" si="94"/>
        <v>12.12</v>
      </c>
      <c r="M1513" s="20" t="s">
        <v>4584</v>
      </c>
      <c r="N1513" s="20" t="s">
        <v>3891</v>
      </c>
      <c r="O1513" s="20" t="s">
        <v>3892</v>
      </c>
      <c r="P1513" s="20" t="s">
        <v>3893</v>
      </c>
      <c r="Q1513" s="21">
        <v>304.03800000000001</v>
      </c>
      <c r="R1513" s="21">
        <v>314.70600000000002</v>
      </c>
      <c r="S1513" s="21">
        <v>5.3339999999999996</v>
      </c>
      <c r="T1513" s="22">
        <v>3.83</v>
      </c>
      <c r="U1513" s="13">
        <f t="shared" si="95"/>
        <v>-8.2899999999999991</v>
      </c>
      <c r="V1513" s="23">
        <v>469.18</v>
      </c>
      <c r="W1513" s="23">
        <v>469.18</v>
      </c>
      <c r="X1513" s="20" t="s">
        <v>3722</v>
      </c>
      <c r="Y1513" s="24" t="s">
        <v>3737</v>
      </c>
      <c r="Z1513" s="16">
        <v>237.18</v>
      </c>
      <c r="AA1513" s="17">
        <v>102.2</v>
      </c>
      <c r="AB1513" s="25" t="s">
        <v>4189</v>
      </c>
    </row>
    <row r="1514" spans="1:28" x14ac:dyDescent="0.45">
      <c r="A1514" s="4" t="s">
        <v>2107</v>
      </c>
      <c r="B1514" s="4" t="s">
        <v>6608</v>
      </c>
      <c r="C1514" s="4" t="s">
        <v>1110</v>
      </c>
      <c r="D1514" s="4" t="s">
        <v>1509</v>
      </c>
      <c r="E1514" s="4" t="s">
        <v>96</v>
      </c>
      <c r="F1514" s="5">
        <v>304.17</v>
      </c>
      <c r="G1514" s="5">
        <v>318.14999999999998</v>
      </c>
      <c r="H1514" s="4" t="s">
        <v>1368</v>
      </c>
      <c r="I1514" s="10">
        <v>251</v>
      </c>
      <c r="J1514" s="34">
        <f t="shared" si="92"/>
        <v>2.1837</v>
      </c>
      <c r="K1514" s="34">
        <f t="shared" si="93"/>
        <v>3.28</v>
      </c>
      <c r="L1514" s="34">
        <f t="shared" si="94"/>
        <v>13.12</v>
      </c>
      <c r="M1514" s="11" t="s">
        <v>4321</v>
      </c>
      <c r="N1514" s="11" t="s">
        <v>3891</v>
      </c>
      <c r="O1514" s="11" t="s">
        <v>3892</v>
      </c>
      <c r="P1514" s="11" t="s">
        <v>3893</v>
      </c>
      <c r="Q1514" s="12">
        <v>304.03800000000001</v>
      </c>
      <c r="R1514" s="12">
        <v>318.262</v>
      </c>
      <c r="S1514" s="12">
        <v>7.1120000000000001</v>
      </c>
      <c r="T1514" s="13">
        <v>5.5</v>
      </c>
      <c r="U1514" s="13">
        <f t="shared" si="95"/>
        <v>-7.6199999999999992</v>
      </c>
      <c r="V1514" s="14">
        <v>673.75</v>
      </c>
      <c r="W1514" s="14">
        <v>673.75</v>
      </c>
      <c r="X1514" s="11">
        <v>23</v>
      </c>
      <c r="Y1514" s="15" t="s">
        <v>3737</v>
      </c>
      <c r="Z1514" s="16">
        <v>422.75</v>
      </c>
      <c r="AA1514" s="17">
        <v>168.4</v>
      </c>
      <c r="AB1514" s="18" t="s">
        <v>4199</v>
      </c>
    </row>
    <row r="1515" spans="1:28" x14ac:dyDescent="0.45">
      <c r="A1515" s="2" t="s">
        <v>2108</v>
      </c>
      <c r="B1515" s="2" t="s">
        <v>6609</v>
      </c>
      <c r="C1515" s="2" t="s">
        <v>1110</v>
      </c>
      <c r="D1515" s="2" t="s">
        <v>1509</v>
      </c>
      <c r="E1515" s="2" t="s">
        <v>96</v>
      </c>
      <c r="F1515" s="3">
        <v>304.2</v>
      </c>
      <c r="G1515" s="3">
        <v>315.60000000000002</v>
      </c>
      <c r="H1515" s="2" t="s">
        <v>1297</v>
      </c>
      <c r="I1515" s="19">
        <v>303</v>
      </c>
      <c r="J1515" s="34">
        <f t="shared" si="92"/>
        <v>2.6360999999999999</v>
      </c>
      <c r="K1515" s="34">
        <f t="shared" si="93"/>
        <v>3.95</v>
      </c>
      <c r="L1515" s="34">
        <f t="shared" si="94"/>
        <v>15.8</v>
      </c>
      <c r="M1515" s="20" t="s">
        <v>4322</v>
      </c>
      <c r="N1515" s="20" t="s">
        <v>3891</v>
      </c>
      <c r="O1515" s="20" t="s">
        <v>3892</v>
      </c>
      <c r="P1515" s="20" t="s">
        <v>3893</v>
      </c>
      <c r="Q1515" s="21">
        <v>304.3</v>
      </c>
      <c r="R1515" s="21">
        <v>315.7</v>
      </c>
      <c r="S1515" s="21">
        <v>5.7</v>
      </c>
      <c r="T1515" s="22">
        <v>5.58</v>
      </c>
      <c r="U1515" s="13">
        <f t="shared" si="95"/>
        <v>-10.220000000000001</v>
      </c>
      <c r="V1515" s="23">
        <v>683.55</v>
      </c>
      <c r="W1515" s="23">
        <v>683.55</v>
      </c>
      <c r="X1515" s="20">
        <v>65</v>
      </c>
      <c r="Y1515" s="24" t="s">
        <v>3713</v>
      </c>
      <c r="Z1515" s="16">
        <v>380.55</v>
      </c>
      <c r="AA1515" s="17">
        <v>125.6</v>
      </c>
      <c r="AB1515" s="25" t="s">
        <v>4119</v>
      </c>
    </row>
    <row r="1516" spans="1:28" x14ac:dyDescent="0.45">
      <c r="A1516" s="4" t="s">
        <v>2109</v>
      </c>
      <c r="B1516" s="4" t="s">
        <v>6610</v>
      </c>
      <c r="C1516" s="4" t="s">
        <v>1110</v>
      </c>
      <c r="D1516" s="4" t="s">
        <v>1509</v>
      </c>
      <c r="E1516" s="4" t="s">
        <v>96</v>
      </c>
      <c r="F1516" s="5">
        <v>309.2</v>
      </c>
      <c r="G1516" s="5">
        <v>320.60000000000002</v>
      </c>
      <c r="H1516" s="4" t="s">
        <v>1297</v>
      </c>
      <c r="I1516" s="10">
        <v>321</v>
      </c>
      <c r="J1516" s="34">
        <f t="shared" si="92"/>
        <v>2.7927</v>
      </c>
      <c r="K1516" s="34">
        <f t="shared" si="93"/>
        <v>4.1900000000000004</v>
      </c>
      <c r="L1516" s="34">
        <f t="shared" si="94"/>
        <v>16.760000000000002</v>
      </c>
      <c r="M1516" s="11" t="s">
        <v>4585</v>
      </c>
      <c r="N1516" s="11" t="s">
        <v>3891</v>
      </c>
      <c r="O1516" s="11" t="s">
        <v>3892</v>
      </c>
      <c r="P1516" s="11" t="s">
        <v>3893</v>
      </c>
      <c r="Q1516" s="12">
        <v>309.3</v>
      </c>
      <c r="R1516" s="12">
        <v>320.7</v>
      </c>
      <c r="S1516" s="12">
        <v>5.7</v>
      </c>
      <c r="T1516" s="13">
        <v>7.49</v>
      </c>
      <c r="U1516" s="13">
        <f t="shared" si="95"/>
        <v>-9.2700000000000014</v>
      </c>
      <c r="V1516" s="14">
        <v>917.52</v>
      </c>
      <c r="W1516" s="14">
        <v>917.52</v>
      </c>
      <c r="X1516" s="11">
        <v>100</v>
      </c>
      <c r="Y1516" s="15" t="s">
        <v>3713</v>
      </c>
      <c r="Z1516" s="16">
        <v>596.52</v>
      </c>
      <c r="AA1516" s="17">
        <v>185.8</v>
      </c>
      <c r="AB1516" s="18" t="s">
        <v>4119</v>
      </c>
    </row>
    <row r="1517" spans="1:28" x14ac:dyDescent="0.45">
      <c r="A1517" s="2" t="s">
        <v>2110</v>
      </c>
      <c r="B1517" s="2" t="s">
        <v>6611</v>
      </c>
      <c r="C1517" s="2" t="s">
        <v>1110</v>
      </c>
      <c r="D1517" s="2" t="s">
        <v>1509</v>
      </c>
      <c r="E1517" s="2" t="s">
        <v>96</v>
      </c>
      <c r="F1517" s="3">
        <v>310</v>
      </c>
      <c r="G1517" s="3">
        <v>320</v>
      </c>
      <c r="H1517" s="2" t="s">
        <v>1245</v>
      </c>
      <c r="I1517" s="19">
        <v>205</v>
      </c>
      <c r="J1517" s="34">
        <f t="shared" si="92"/>
        <v>1.7834999999999999</v>
      </c>
      <c r="K1517" s="34">
        <f t="shared" si="93"/>
        <v>2.68</v>
      </c>
      <c r="L1517" s="34">
        <f t="shared" si="94"/>
        <v>10.72</v>
      </c>
      <c r="M1517" s="20" t="s">
        <v>4586</v>
      </c>
      <c r="N1517" s="20" t="s">
        <v>3891</v>
      </c>
      <c r="O1517" s="20" t="s">
        <v>3892</v>
      </c>
      <c r="P1517" s="20" t="s">
        <v>3893</v>
      </c>
      <c r="Q1517" s="21">
        <v>310</v>
      </c>
      <c r="R1517" s="21">
        <v>320</v>
      </c>
      <c r="S1517" s="21">
        <v>5</v>
      </c>
      <c r="T1517" s="22">
        <v>4.95</v>
      </c>
      <c r="U1517" s="13">
        <f t="shared" si="95"/>
        <v>-5.7700000000000005</v>
      </c>
      <c r="V1517" s="23">
        <v>606.38</v>
      </c>
      <c r="W1517" s="23">
        <v>606.38</v>
      </c>
      <c r="X1517" s="20">
        <v>11</v>
      </c>
      <c r="Y1517" s="24" t="s">
        <v>3713</v>
      </c>
      <c r="Z1517" s="16">
        <v>401.38</v>
      </c>
      <c r="AA1517" s="17">
        <v>195.8</v>
      </c>
      <c r="AB1517" s="25" t="s">
        <v>3714</v>
      </c>
    </row>
    <row r="1518" spans="1:28" x14ac:dyDescent="0.45">
      <c r="A1518" s="4" t="s">
        <v>2111</v>
      </c>
      <c r="B1518" s="4" t="s">
        <v>6612</v>
      </c>
      <c r="C1518" s="4" t="s">
        <v>1110</v>
      </c>
      <c r="D1518" s="4" t="s">
        <v>1509</v>
      </c>
      <c r="E1518" s="4" t="s">
        <v>96</v>
      </c>
      <c r="F1518" s="5">
        <v>314.2</v>
      </c>
      <c r="G1518" s="5">
        <v>325.60000000000002</v>
      </c>
      <c r="H1518" s="4" t="s">
        <v>1297</v>
      </c>
      <c r="I1518" s="10">
        <v>340</v>
      </c>
      <c r="J1518" s="34">
        <f t="shared" si="92"/>
        <v>2.9579999999999997</v>
      </c>
      <c r="K1518" s="34">
        <f t="shared" si="93"/>
        <v>4.4400000000000004</v>
      </c>
      <c r="L1518" s="34">
        <f t="shared" si="94"/>
        <v>17.760000000000002</v>
      </c>
      <c r="M1518" s="11" t="s">
        <v>4587</v>
      </c>
      <c r="N1518" s="11" t="s">
        <v>3891</v>
      </c>
      <c r="O1518" s="11" t="s">
        <v>3892</v>
      </c>
      <c r="P1518" s="11" t="s">
        <v>3893</v>
      </c>
      <c r="Q1518" s="12">
        <v>314.3</v>
      </c>
      <c r="R1518" s="12">
        <v>325.7</v>
      </c>
      <c r="S1518" s="12">
        <v>5.7</v>
      </c>
      <c r="T1518" s="13">
        <v>13.86</v>
      </c>
      <c r="U1518" s="13">
        <f t="shared" si="95"/>
        <v>-3.9000000000000021</v>
      </c>
      <c r="V1518" s="14">
        <v>1697.85</v>
      </c>
      <c r="W1518" s="14">
        <v>1697.85</v>
      </c>
      <c r="X1518" s="11" t="s">
        <v>3722</v>
      </c>
      <c r="Y1518" s="15" t="s">
        <v>3713</v>
      </c>
      <c r="Z1518" s="16">
        <v>1357.85</v>
      </c>
      <c r="AA1518" s="17">
        <v>399.4</v>
      </c>
      <c r="AB1518" s="18" t="s">
        <v>4119</v>
      </c>
    </row>
    <row r="1519" spans="1:28" x14ac:dyDescent="0.45">
      <c r="A1519" s="2" t="s">
        <v>2112</v>
      </c>
      <c r="B1519" s="2" t="s">
        <v>6613</v>
      </c>
      <c r="C1519" s="2" t="s">
        <v>1110</v>
      </c>
      <c r="D1519" s="2" t="s">
        <v>1509</v>
      </c>
      <c r="E1519" s="2" t="s">
        <v>96</v>
      </c>
      <c r="F1519" s="3">
        <v>316.87</v>
      </c>
      <c r="G1519" s="3">
        <v>330.85</v>
      </c>
      <c r="H1519" s="2" t="s">
        <v>1368</v>
      </c>
      <c r="I1519" s="19">
        <v>268</v>
      </c>
      <c r="J1519" s="34">
        <f t="shared" si="92"/>
        <v>2.3315999999999999</v>
      </c>
      <c r="K1519" s="34">
        <f t="shared" si="93"/>
        <v>3.5</v>
      </c>
      <c r="L1519" s="34">
        <f t="shared" si="94"/>
        <v>14</v>
      </c>
      <c r="M1519" s="20" t="s">
        <v>4323</v>
      </c>
      <c r="N1519" s="20" t="s">
        <v>3891</v>
      </c>
      <c r="O1519" s="20" t="s">
        <v>3892</v>
      </c>
      <c r="P1519" s="20" t="s">
        <v>3893</v>
      </c>
      <c r="Q1519" s="21">
        <v>316.738</v>
      </c>
      <c r="R1519" s="21">
        <v>330.96199999999999</v>
      </c>
      <c r="S1519" s="21">
        <v>7.1120000000000001</v>
      </c>
      <c r="T1519" s="22">
        <v>5.5</v>
      </c>
      <c r="U1519" s="13">
        <f t="shared" si="95"/>
        <v>-8.5</v>
      </c>
      <c r="V1519" s="23">
        <v>673.75</v>
      </c>
      <c r="W1519" s="23">
        <v>673.75</v>
      </c>
      <c r="X1519" s="20">
        <v>33</v>
      </c>
      <c r="Y1519" s="24" t="s">
        <v>3737</v>
      </c>
      <c r="Z1519" s="16">
        <v>405.75</v>
      </c>
      <c r="AA1519" s="17">
        <v>151.4</v>
      </c>
      <c r="AB1519" s="25" t="s">
        <v>4199</v>
      </c>
    </row>
    <row r="1520" spans="1:28" x14ac:dyDescent="0.45">
      <c r="A1520" s="4" t="s">
        <v>2113</v>
      </c>
      <c r="B1520" s="4" t="s">
        <v>6614</v>
      </c>
      <c r="C1520" s="4" t="s">
        <v>1110</v>
      </c>
      <c r="D1520" s="4" t="s">
        <v>1509</v>
      </c>
      <c r="E1520" s="4" t="s">
        <v>96</v>
      </c>
      <c r="F1520" s="5">
        <v>319.2</v>
      </c>
      <c r="G1520" s="5">
        <v>330.6</v>
      </c>
      <c r="H1520" s="4" t="s">
        <v>1297</v>
      </c>
      <c r="I1520" s="10">
        <v>340</v>
      </c>
      <c r="J1520" s="34">
        <f t="shared" si="92"/>
        <v>2.9579999999999997</v>
      </c>
      <c r="K1520" s="34">
        <f t="shared" si="93"/>
        <v>4.4400000000000004</v>
      </c>
      <c r="L1520" s="34">
        <f t="shared" si="94"/>
        <v>17.760000000000002</v>
      </c>
      <c r="M1520" s="11" t="s">
        <v>4588</v>
      </c>
      <c r="N1520" s="11" t="s">
        <v>3891</v>
      </c>
      <c r="O1520" s="11" t="s">
        <v>3892</v>
      </c>
      <c r="P1520" s="11" t="s">
        <v>3893</v>
      </c>
      <c r="Q1520" s="12">
        <v>319.3</v>
      </c>
      <c r="R1520" s="12">
        <v>330.7</v>
      </c>
      <c r="S1520" s="12">
        <v>5.7</v>
      </c>
      <c r="T1520" s="13">
        <v>4.76</v>
      </c>
      <c r="U1520" s="13">
        <f t="shared" si="95"/>
        <v>-13.000000000000002</v>
      </c>
      <c r="V1520" s="14">
        <v>583.1</v>
      </c>
      <c r="W1520" s="14">
        <v>583.1</v>
      </c>
      <c r="X1520" s="11">
        <v>49</v>
      </c>
      <c r="Y1520" s="15" t="s">
        <v>3713</v>
      </c>
      <c r="Z1520" s="16">
        <v>243.1</v>
      </c>
      <c r="AA1520" s="17">
        <v>71.5</v>
      </c>
      <c r="AB1520" s="18" t="s">
        <v>4119</v>
      </c>
    </row>
    <row r="1521" spans="1:28" x14ac:dyDescent="0.45">
      <c r="A1521" s="2" t="s">
        <v>2114</v>
      </c>
      <c r="B1521" s="2" t="s">
        <v>6615</v>
      </c>
      <c r="C1521" s="2" t="s">
        <v>1110</v>
      </c>
      <c r="D1521" s="2" t="s">
        <v>1509</v>
      </c>
      <c r="E1521" s="2" t="s">
        <v>96</v>
      </c>
      <c r="F1521" s="3">
        <v>324.39999999999998</v>
      </c>
      <c r="G1521" s="3">
        <v>335.8</v>
      </c>
      <c r="H1521" s="2" t="s">
        <v>1297</v>
      </c>
      <c r="I1521" s="19">
        <v>340</v>
      </c>
      <c r="J1521" s="34">
        <f t="shared" si="92"/>
        <v>2.9579999999999997</v>
      </c>
      <c r="K1521" s="34">
        <f t="shared" si="93"/>
        <v>4.4400000000000004</v>
      </c>
      <c r="L1521" s="34">
        <f t="shared" si="94"/>
        <v>17.760000000000002</v>
      </c>
      <c r="M1521" s="20" t="s">
        <v>4589</v>
      </c>
      <c r="N1521" s="20" t="s">
        <v>3891</v>
      </c>
      <c r="O1521" s="20" t="s">
        <v>3892</v>
      </c>
      <c r="P1521" s="20" t="s">
        <v>3893</v>
      </c>
      <c r="Q1521" s="21">
        <v>325</v>
      </c>
      <c r="R1521" s="21">
        <v>335</v>
      </c>
      <c r="S1521" s="21">
        <v>5</v>
      </c>
      <c r="T1521" s="22">
        <v>5.34</v>
      </c>
      <c r="U1521" s="13">
        <f t="shared" si="95"/>
        <v>-12.420000000000002</v>
      </c>
      <c r="V1521" s="23">
        <v>654.15</v>
      </c>
      <c r="W1521" s="23">
        <v>654.15</v>
      </c>
      <c r="X1521" s="20">
        <v>11</v>
      </c>
      <c r="Y1521" s="24" t="s">
        <v>3713</v>
      </c>
      <c r="Z1521" s="16">
        <v>314.14999999999998</v>
      </c>
      <c r="AA1521" s="17">
        <v>92.4</v>
      </c>
      <c r="AB1521" s="25" t="s">
        <v>4590</v>
      </c>
    </row>
    <row r="1522" spans="1:28" x14ac:dyDescent="0.45">
      <c r="A1522" s="4" t="s">
        <v>2115</v>
      </c>
      <c r="B1522" s="4" t="s">
        <v>6616</v>
      </c>
      <c r="C1522" s="4" t="s">
        <v>1110</v>
      </c>
      <c r="D1522" s="4" t="s">
        <v>1509</v>
      </c>
      <c r="E1522" s="4" t="s">
        <v>96</v>
      </c>
      <c r="F1522" s="5">
        <v>329.2</v>
      </c>
      <c r="G1522" s="5">
        <v>340.6</v>
      </c>
      <c r="H1522" s="4" t="s">
        <v>1297</v>
      </c>
      <c r="I1522" s="10">
        <v>357</v>
      </c>
      <c r="J1522" s="34">
        <f t="shared" si="92"/>
        <v>3.1058999999999997</v>
      </c>
      <c r="K1522" s="34">
        <f t="shared" si="93"/>
        <v>4.66</v>
      </c>
      <c r="L1522" s="34">
        <f t="shared" si="94"/>
        <v>18.64</v>
      </c>
      <c r="M1522" s="11" t="s">
        <v>4591</v>
      </c>
      <c r="N1522" s="11" t="s">
        <v>3891</v>
      </c>
      <c r="O1522" s="11" t="s">
        <v>3892</v>
      </c>
      <c r="P1522" s="11" t="s">
        <v>3893</v>
      </c>
      <c r="Q1522" s="12">
        <v>329.3</v>
      </c>
      <c r="R1522" s="12">
        <v>340.7</v>
      </c>
      <c r="S1522" s="12">
        <v>5.7</v>
      </c>
      <c r="T1522" s="13">
        <v>6.71</v>
      </c>
      <c r="U1522" s="13">
        <f t="shared" si="95"/>
        <v>-11.93</v>
      </c>
      <c r="V1522" s="14">
        <v>821.98</v>
      </c>
      <c r="W1522" s="14">
        <v>821.98</v>
      </c>
      <c r="X1522" s="11">
        <v>10</v>
      </c>
      <c r="Y1522" s="15" t="s">
        <v>3713</v>
      </c>
      <c r="Z1522" s="16">
        <v>464.98</v>
      </c>
      <c r="AA1522" s="17">
        <v>130.19999999999999</v>
      </c>
      <c r="AB1522" s="18" t="s">
        <v>4119</v>
      </c>
    </row>
    <row r="1523" spans="1:28" x14ac:dyDescent="0.45">
      <c r="A1523" s="2" t="s">
        <v>2116</v>
      </c>
      <c r="B1523" s="2" t="s">
        <v>6617</v>
      </c>
      <c r="C1523" s="2" t="s">
        <v>1110</v>
      </c>
      <c r="D1523" s="2" t="s">
        <v>1509</v>
      </c>
      <c r="E1523" s="2" t="s">
        <v>96</v>
      </c>
      <c r="F1523" s="3">
        <v>329.57</v>
      </c>
      <c r="G1523" s="3">
        <v>340.23</v>
      </c>
      <c r="H1523" s="2" t="s">
        <v>1201</v>
      </c>
      <c r="I1523" s="19">
        <v>251</v>
      </c>
      <c r="J1523" s="34">
        <f t="shared" si="92"/>
        <v>2.1837</v>
      </c>
      <c r="K1523" s="34">
        <f t="shared" si="93"/>
        <v>3.28</v>
      </c>
      <c r="L1523" s="34">
        <f t="shared" si="94"/>
        <v>13.12</v>
      </c>
      <c r="M1523" s="20" t="s">
        <v>4324</v>
      </c>
      <c r="N1523" s="20" t="s">
        <v>3891</v>
      </c>
      <c r="O1523" s="20" t="s">
        <v>3892</v>
      </c>
      <c r="P1523" s="20" t="s">
        <v>3893</v>
      </c>
      <c r="Q1523" s="21">
        <v>329.43799999999999</v>
      </c>
      <c r="R1523" s="21">
        <v>340.10599999999999</v>
      </c>
      <c r="S1523" s="21">
        <v>5.3339999999999996</v>
      </c>
      <c r="T1523" s="22">
        <v>5.97</v>
      </c>
      <c r="U1523" s="13">
        <f t="shared" si="95"/>
        <v>-7.1499999999999995</v>
      </c>
      <c r="V1523" s="23">
        <v>731.32</v>
      </c>
      <c r="W1523" s="23">
        <v>731.32</v>
      </c>
      <c r="X1523" s="20">
        <v>14</v>
      </c>
      <c r="Y1523" s="24" t="s">
        <v>3737</v>
      </c>
      <c r="Z1523" s="16">
        <v>480.32000000000011</v>
      </c>
      <c r="AA1523" s="17">
        <v>191.4</v>
      </c>
      <c r="AB1523" s="25" t="s">
        <v>4189</v>
      </c>
    </row>
    <row r="1524" spans="1:28" x14ac:dyDescent="0.45">
      <c r="A1524" s="4" t="s">
        <v>2117</v>
      </c>
      <c r="B1524" s="4" t="s">
        <v>6618</v>
      </c>
      <c r="C1524" s="4" t="s">
        <v>1110</v>
      </c>
      <c r="D1524" s="4" t="s">
        <v>1509</v>
      </c>
      <c r="E1524" s="4" t="s">
        <v>96</v>
      </c>
      <c r="F1524" s="5">
        <v>329.57</v>
      </c>
      <c r="G1524" s="5">
        <v>343.55</v>
      </c>
      <c r="H1524" s="4" t="s">
        <v>1368</v>
      </c>
      <c r="I1524" s="10">
        <v>268</v>
      </c>
      <c r="J1524" s="34">
        <f t="shared" si="92"/>
        <v>2.3315999999999999</v>
      </c>
      <c r="K1524" s="34">
        <f t="shared" si="93"/>
        <v>3.5</v>
      </c>
      <c r="L1524" s="34">
        <f t="shared" si="94"/>
        <v>14</v>
      </c>
      <c r="M1524" s="11" t="s">
        <v>4325</v>
      </c>
      <c r="N1524" s="11" t="s">
        <v>3891</v>
      </c>
      <c r="O1524" s="11" t="s">
        <v>3892</v>
      </c>
      <c r="P1524" s="11" t="s">
        <v>3893</v>
      </c>
      <c r="Q1524" s="12">
        <v>329.43799999999999</v>
      </c>
      <c r="R1524" s="12">
        <v>343.66199999999998</v>
      </c>
      <c r="S1524" s="12">
        <v>7.1120000000000001</v>
      </c>
      <c r="T1524" s="13">
        <v>5.91</v>
      </c>
      <c r="U1524" s="13">
        <f t="shared" si="95"/>
        <v>-8.09</v>
      </c>
      <c r="V1524" s="14">
        <v>723.98</v>
      </c>
      <c r="W1524" s="14">
        <v>723.98</v>
      </c>
      <c r="X1524" s="11">
        <v>8</v>
      </c>
      <c r="Y1524" s="15" t="s">
        <v>3737</v>
      </c>
      <c r="Z1524" s="16">
        <v>455.98</v>
      </c>
      <c r="AA1524" s="17">
        <v>170.1</v>
      </c>
      <c r="AB1524" s="18" t="s">
        <v>4199</v>
      </c>
    </row>
    <row r="1525" spans="1:28" x14ac:dyDescent="0.45">
      <c r="A1525" s="2" t="s">
        <v>2118</v>
      </c>
      <c r="B1525" s="2" t="s">
        <v>6619</v>
      </c>
      <c r="C1525" s="2" t="s">
        <v>1110</v>
      </c>
      <c r="D1525" s="2" t="s">
        <v>1509</v>
      </c>
      <c r="E1525" s="2" t="s">
        <v>96</v>
      </c>
      <c r="F1525" s="3">
        <v>339.2</v>
      </c>
      <c r="G1525" s="3">
        <v>350.6</v>
      </c>
      <c r="H1525" s="2" t="s">
        <v>1297</v>
      </c>
      <c r="I1525" s="19">
        <v>375</v>
      </c>
      <c r="J1525" s="34">
        <f t="shared" si="92"/>
        <v>3.2624999999999997</v>
      </c>
      <c r="K1525" s="34">
        <f t="shared" si="93"/>
        <v>4.8899999999999997</v>
      </c>
      <c r="L1525" s="34">
        <f t="shared" si="94"/>
        <v>19.559999999999999</v>
      </c>
      <c r="M1525" s="20" t="s">
        <v>4592</v>
      </c>
      <c r="N1525" s="20" t="s">
        <v>3891</v>
      </c>
      <c r="O1525" s="20" t="s">
        <v>3892</v>
      </c>
      <c r="P1525" s="20" t="s">
        <v>3893</v>
      </c>
      <c r="Q1525" s="21">
        <v>339.3</v>
      </c>
      <c r="R1525" s="21">
        <v>350.7</v>
      </c>
      <c r="S1525" s="21">
        <v>5.7</v>
      </c>
      <c r="T1525" s="22">
        <v>5.44</v>
      </c>
      <c r="U1525" s="13">
        <f t="shared" si="95"/>
        <v>-14.119999999999997</v>
      </c>
      <c r="V1525" s="23">
        <v>666.4</v>
      </c>
      <c r="W1525" s="23">
        <v>666.4</v>
      </c>
      <c r="X1525" s="20">
        <v>21</v>
      </c>
      <c r="Y1525" s="24" t="s">
        <v>3713</v>
      </c>
      <c r="Z1525" s="16">
        <v>291.39999999999998</v>
      </c>
      <c r="AA1525" s="17">
        <v>77.7</v>
      </c>
      <c r="AB1525" s="25" t="s">
        <v>4119</v>
      </c>
    </row>
    <row r="1526" spans="1:28" x14ac:dyDescent="0.45">
      <c r="A1526" s="4" t="s">
        <v>2119</v>
      </c>
      <c r="B1526" s="4" t="s">
        <v>6620</v>
      </c>
      <c r="C1526" s="4" t="s">
        <v>1110</v>
      </c>
      <c r="D1526" s="4" t="s">
        <v>1509</v>
      </c>
      <c r="E1526" s="4" t="s">
        <v>96</v>
      </c>
      <c r="F1526" s="5">
        <v>342.27</v>
      </c>
      <c r="G1526" s="5">
        <v>356.25</v>
      </c>
      <c r="H1526" s="4" t="s">
        <v>1368</v>
      </c>
      <c r="I1526" s="10">
        <v>411</v>
      </c>
      <c r="J1526" s="34">
        <f t="shared" si="92"/>
        <v>3.5756999999999999</v>
      </c>
      <c r="K1526" s="34">
        <f t="shared" si="93"/>
        <v>5.36</v>
      </c>
      <c r="L1526" s="34">
        <f t="shared" si="94"/>
        <v>21.44</v>
      </c>
      <c r="M1526" s="11" t="s">
        <v>4326</v>
      </c>
      <c r="N1526" s="11" t="s">
        <v>3891</v>
      </c>
      <c r="O1526" s="11" t="s">
        <v>3892</v>
      </c>
      <c r="P1526" s="11" t="s">
        <v>3893</v>
      </c>
      <c r="Q1526" s="12">
        <v>342.13799999999998</v>
      </c>
      <c r="R1526" s="12">
        <v>356.36200000000002</v>
      </c>
      <c r="S1526" s="12">
        <v>7.1120000000000001</v>
      </c>
      <c r="T1526" s="13">
        <v>6</v>
      </c>
      <c r="U1526" s="13">
        <f t="shared" si="95"/>
        <v>-15.440000000000001</v>
      </c>
      <c r="V1526" s="14">
        <v>735</v>
      </c>
      <c r="W1526" s="14">
        <v>735</v>
      </c>
      <c r="X1526" s="11">
        <v>22</v>
      </c>
      <c r="Y1526" s="15" t="s">
        <v>3737</v>
      </c>
      <c r="Z1526" s="16">
        <v>324</v>
      </c>
      <c r="AA1526" s="17">
        <v>78.8</v>
      </c>
      <c r="AB1526" s="18" t="s">
        <v>4199</v>
      </c>
    </row>
    <row r="1527" spans="1:28" x14ac:dyDescent="0.45">
      <c r="A1527" s="2" t="s">
        <v>2120</v>
      </c>
      <c r="B1527" s="2" t="s">
        <v>6621</v>
      </c>
      <c r="C1527" s="2" t="s">
        <v>1110</v>
      </c>
      <c r="D1527" s="2" t="s">
        <v>1509</v>
      </c>
      <c r="E1527" s="2" t="s">
        <v>96</v>
      </c>
      <c r="F1527" s="3">
        <v>349.2</v>
      </c>
      <c r="G1527" s="3">
        <v>360.6</v>
      </c>
      <c r="H1527" s="2" t="s">
        <v>1297</v>
      </c>
      <c r="I1527" s="19">
        <v>464</v>
      </c>
      <c r="J1527" s="34">
        <f t="shared" si="92"/>
        <v>4.0367999999999995</v>
      </c>
      <c r="K1527" s="34">
        <f t="shared" si="93"/>
        <v>6.06</v>
      </c>
      <c r="L1527" s="34">
        <f t="shared" si="94"/>
        <v>24.24</v>
      </c>
      <c r="M1527" s="20" t="s">
        <v>4593</v>
      </c>
      <c r="N1527" s="20" t="s">
        <v>3891</v>
      </c>
      <c r="O1527" s="20" t="s">
        <v>3892</v>
      </c>
      <c r="P1527" s="20" t="s">
        <v>3893</v>
      </c>
      <c r="Q1527" s="21">
        <v>349.3</v>
      </c>
      <c r="R1527" s="21">
        <v>360.7</v>
      </c>
      <c r="S1527" s="21">
        <v>5.7</v>
      </c>
      <c r="T1527" s="22">
        <v>10.56</v>
      </c>
      <c r="U1527" s="13">
        <f t="shared" si="95"/>
        <v>-13.679999999999998</v>
      </c>
      <c r="V1527" s="23">
        <v>1293.5999999999999</v>
      </c>
      <c r="W1527" s="23">
        <v>1293.5999999999999</v>
      </c>
      <c r="X1527" s="20">
        <v>2</v>
      </c>
      <c r="Y1527" s="24" t="s">
        <v>3713</v>
      </c>
      <c r="Z1527" s="16">
        <v>829.59999999999991</v>
      </c>
      <c r="AA1527" s="17">
        <v>178.8</v>
      </c>
      <c r="AB1527" s="25" t="s">
        <v>4119</v>
      </c>
    </row>
    <row r="1528" spans="1:28" x14ac:dyDescent="0.45">
      <c r="A1528" s="4" t="s">
        <v>2121</v>
      </c>
      <c r="B1528" s="4" t="s">
        <v>6622</v>
      </c>
      <c r="C1528" s="4" t="s">
        <v>1110</v>
      </c>
      <c r="D1528" s="4" t="s">
        <v>1509</v>
      </c>
      <c r="E1528" s="4" t="s">
        <v>96</v>
      </c>
      <c r="F1528" s="5">
        <v>354.97</v>
      </c>
      <c r="G1528" s="5">
        <v>365.63000000000011</v>
      </c>
      <c r="H1528" s="4" t="s">
        <v>1201</v>
      </c>
      <c r="I1528" s="10">
        <v>321</v>
      </c>
      <c r="J1528" s="34">
        <f t="shared" si="92"/>
        <v>2.7927</v>
      </c>
      <c r="K1528" s="34">
        <f t="shared" si="93"/>
        <v>4.1900000000000004</v>
      </c>
      <c r="L1528" s="34">
        <f t="shared" si="94"/>
        <v>16.760000000000002</v>
      </c>
      <c r="M1528" s="11" t="s">
        <v>4327</v>
      </c>
      <c r="N1528" s="11" t="s">
        <v>3891</v>
      </c>
      <c r="O1528" s="11" t="s">
        <v>3892</v>
      </c>
      <c r="P1528" s="11" t="s">
        <v>3893</v>
      </c>
      <c r="Q1528" s="12">
        <v>354.83800000000002</v>
      </c>
      <c r="R1528" s="12">
        <v>365.50599999999997</v>
      </c>
      <c r="S1528" s="12">
        <v>5.3339999999999996</v>
      </c>
      <c r="T1528" s="13">
        <v>4.33</v>
      </c>
      <c r="U1528" s="13">
        <f t="shared" si="95"/>
        <v>-12.430000000000001</v>
      </c>
      <c r="V1528" s="14">
        <v>530.41999999999996</v>
      </c>
      <c r="W1528" s="14">
        <v>530.41999999999996</v>
      </c>
      <c r="X1528" s="11">
        <v>12</v>
      </c>
      <c r="Y1528" s="15" t="s">
        <v>3737</v>
      </c>
      <c r="Z1528" s="16">
        <v>209.42</v>
      </c>
      <c r="AA1528" s="17">
        <v>65.2</v>
      </c>
      <c r="AB1528" s="18" t="s">
        <v>4189</v>
      </c>
    </row>
    <row r="1529" spans="1:28" x14ac:dyDescent="0.45">
      <c r="A1529" s="2" t="s">
        <v>2122</v>
      </c>
      <c r="B1529" s="2" t="s">
        <v>6623</v>
      </c>
      <c r="C1529" s="2" t="s">
        <v>1110</v>
      </c>
      <c r="D1529" s="2" t="s">
        <v>1509</v>
      </c>
      <c r="E1529" s="2" t="s">
        <v>96</v>
      </c>
      <c r="F1529" s="3">
        <v>354.97</v>
      </c>
      <c r="G1529" s="3">
        <v>368.95</v>
      </c>
      <c r="H1529" s="2" t="s">
        <v>1368</v>
      </c>
      <c r="I1529" s="19">
        <v>481</v>
      </c>
      <c r="J1529" s="34">
        <f t="shared" si="92"/>
        <v>4.1846999999999994</v>
      </c>
      <c r="K1529" s="34">
        <f t="shared" si="93"/>
        <v>6.28</v>
      </c>
      <c r="L1529" s="34">
        <f t="shared" si="94"/>
        <v>25.12</v>
      </c>
      <c r="M1529" s="20" t="s">
        <v>4328</v>
      </c>
      <c r="N1529" s="20" t="s">
        <v>3891</v>
      </c>
      <c r="O1529" s="20" t="s">
        <v>3892</v>
      </c>
      <c r="P1529" s="20" t="s">
        <v>3893</v>
      </c>
      <c r="Q1529" s="21">
        <v>354.83800000000002</v>
      </c>
      <c r="R1529" s="21">
        <v>369.06200000000001</v>
      </c>
      <c r="S1529" s="21">
        <v>7.1120000000000001</v>
      </c>
      <c r="T1529" s="22">
        <v>8.36</v>
      </c>
      <c r="U1529" s="13">
        <f t="shared" si="95"/>
        <v>-16.760000000000002</v>
      </c>
      <c r="V1529" s="23">
        <v>1024.0999999999999</v>
      </c>
      <c r="W1529" s="23">
        <v>1024.0999999999999</v>
      </c>
      <c r="X1529" s="20">
        <v>20</v>
      </c>
      <c r="Y1529" s="24" t="s">
        <v>3737</v>
      </c>
      <c r="Z1529" s="16">
        <v>543.09999999999991</v>
      </c>
      <c r="AA1529" s="17">
        <v>112.9</v>
      </c>
      <c r="AB1529" s="25" t="s">
        <v>4199</v>
      </c>
    </row>
    <row r="1530" spans="1:28" x14ac:dyDescent="0.45">
      <c r="A1530" s="4" t="s">
        <v>2123</v>
      </c>
      <c r="B1530" s="4" t="s">
        <v>6624</v>
      </c>
      <c r="C1530" s="4" t="s">
        <v>1110</v>
      </c>
      <c r="D1530" s="4" t="s">
        <v>1509</v>
      </c>
      <c r="E1530" s="4" t="s">
        <v>96</v>
      </c>
      <c r="F1530" s="5">
        <v>367.67</v>
      </c>
      <c r="G1530" s="5">
        <v>381.65</v>
      </c>
      <c r="H1530" s="4" t="s">
        <v>1368</v>
      </c>
      <c r="I1530" s="10">
        <v>481</v>
      </c>
      <c r="J1530" s="34">
        <f t="shared" si="92"/>
        <v>4.1846999999999994</v>
      </c>
      <c r="K1530" s="34">
        <f t="shared" si="93"/>
        <v>6.28</v>
      </c>
      <c r="L1530" s="34">
        <f t="shared" si="94"/>
        <v>25.12</v>
      </c>
      <c r="M1530" s="11" t="s">
        <v>4329</v>
      </c>
      <c r="N1530" s="11" t="s">
        <v>3891</v>
      </c>
      <c r="O1530" s="11" t="s">
        <v>3892</v>
      </c>
      <c r="P1530" s="11" t="s">
        <v>3893</v>
      </c>
      <c r="Q1530" s="12">
        <v>367.53800000000001</v>
      </c>
      <c r="R1530" s="12">
        <v>381.762</v>
      </c>
      <c r="S1530" s="12">
        <v>7.1120000000000001</v>
      </c>
      <c r="T1530" s="13">
        <v>9.52</v>
      </c>
      <c r="U1530" s="13">
        <f t="shared" si="95"/>
        <v>-15.600000000000001</v>
      </c>
      <c r="V1530" s="14">
        <v>1166.2</v>
      </c>
      <c r="W1530" s="14">
        <v>1166.2</v>
      </c>
      <c r="X1530" s="11">
        <v>29</v>
      </c>
      <c r="Y1530" s="15" t="s">
        <v>3737</v>
      </c>
      <c r="Z1530" s="16">
        <v>685.2</v>
      </c>
      <c r="AA1530" s="17">
        <v>142.5</v>
      </c>
      <c r="AB1530" s="18" t="s">
        <v>4199</v>
      </c>
    </row>
    <row r="1531" spans="1:28" x14ac:dyDescent="0.45">
      <c r="A1531" s="2" t="s">
        <v>2124</v>
      </c>
      <c r="B1531" s="2" t="s">
        <v>6625</v>
      </c>
      <c r="C1531" s="2" t="s">
        <v>1110</v>
      </c>
      <c r="D1531" s="2" t="s">
        <v>1509</v>
      </c>
      <c r="E1531" s="2" t="s">
        <v>96</v>
      </c>
      <c r="F1531" s="3">
        <v>380.37</v>
      </c>
      <c r="G1531" s="3">
        <v>394.35</v>
      </c>
      <c r="H1531" s="2" t="s">
        <v>1368</v>
      </c>
      <c r="I1531" s="19">
        <v>500</v>
      </c>
      <c r="J1531" s="34">
        <f t="shared" si="92"/>
        <v>4.3499999999999996</v>
      </c>
      <c r="K1531" s="34">
        <f t="shared" si="93"/>
        <v>6.53</v>
      </c>
      <c r="L1531" s="34">
        <f t="shared" si="94"/>
        <v>26.12</v>
      </c>
      <c r="M1531" s="20" t="s">
        <v>4330</v>
      </c>
      <c r="N1531" s="20" t="s">
        <v>3891</v>
      </c>
      <c r="O1531" s="20" t="s">
        <v>3892</v>
      </c>
      <c r="P1531" s="20" t="s">
        <v>3893</v>
      </c>
      <c r="Q1531" s="21">
        <v>380.238</v>
      </c>
      <c r="R1531" s="21">
        <v>394.46199999999999</v>
      </c>
      <c r="S1531" s="21">
        <v>7.1120000000000001</v>
      </c>
      <c r="T1531" s="22">
        <v>7.09</v>
      </c>
      <c r="U1531" s="13">
        <f t="shared" si="95"/>
        <v>-19.03</v>
      </c>
      <c r="V1531" s="23">
        <v>868.52</v>
      </c>
      <c r="W1531" s="23">
        <v>868.52</v>
      </c>
      <c r="X1531" s="20">
        <v>81</v>
      </c>
      <c r="Y1531" s="24" t="s">
        <v>3737</v>
      </c>
      <c r="Z1531" s="16">
        <v>368.52</v>
      </c>
      <c r="AA1531" s="17">
        <v>73.7</v>
      </c>
      <c r="AB1531" s="25" t="s">
        <v>4199</v>
      </c>
    </row>
    <row r="1532" spans="1:28" x14ac:dyDescent="0.45">
      <c r="A1532" s="4" t="s">
        <v>2125</v>
      </c>
      <c r="B1532" s="4" t="s">
        <v>6626</v>
      </c>
      <c r="C1532" s="4" t="s">
        <v>1110</v>
      </c>
      <c r="D1532" s="4" t="s">
        <v>1509</v>
      </c>
      <c r="E1532" s="4" t="s">
        <v>96</v>
      </c>
      <c r="F1532" s="5">
        <v>393.07</v>
      </c>
      <c r="G1532" s="5">
        <v>407.05</v>
      </c>
      <c r="H1532" s="4" t="s">
        <v>1368</v>
      </c>
      <c r="I1532" s="10">
        <v>500</v>
      </c>
      <c r="J1532" s="34">
        <f t="shared" si="92"/>
        <v>4.3499999999999996</v>
      </c>
      <c r="K1532" s="34">
        <f t="shared" si="93"/>
        <v>6.53</v>
      </c>
      <c r="L1532" s="34">
        <f t="shared" si="94"/>
        <v>26.12</v>
      </c>
      <c r="M1532" s="11" t="s">
        <v>4331</v>
      </c>
      <c r="N1532" s="11" t="s">
        <v>3891</v>
      </c>
      <c r="O1532" s="11" t="s">
        <v>3892</v>
      </c>
      <c r="P1532" s="11" t="s">
        <v>3893</v>
      </c>
      <c r="Q1532" s="12">
        <v>392.93799999999999</v>
      </c>
      <c r="R1532" s="12">
        <v>406.90800000000002</v>
      </c>
      <c r="S1532" s="12">
        <v>7.1120000000000001</v>
      </c>
      <c r="T1532" s="13">
        <v>8.52</v>
      </c>
      <c r="U1532" s="13">
        <f t="shared" si="95"/>
        <v>-17.600000000000001</v>
      </c>
      <c r="V1532" s="14">
        <v>1043.7</v>
      </c>
      <c r="W1532" s="14">
        <v>1043.7</v>
      </c>
      <c r="X1532" s="11">
        <v>20</v>
      </c>
      <c r="Y1532" s="15" t="s">
        <v>3737</v>
      </c>
      <c r="Z1532" s="16">
        <v>543.70000000000005</v>
      </c>
      <c r="AA1532" s="17">
        <v>108.7</v>
      </c>
      <c r="AB1532" s="18" t="s">
        <v>4152</v>
      </c>
    </row>
    <row r="1533" spans="1:28" x14ac:dyDescent="0.45">
      <c r="A1533" s="2" t="s">
        <v>2126</v>
      </c>
      <c r="B1533" s="2" t="s">
        <v>6627</v>
      </c>
      <c r="C1533" s="2" t="s">
        <v>1110</v>
      </c>
      <c r="D1533" s="2" t="s">
        <v>1509</v>
      </c>
      <c r="E1533" s="2" t="s">
        <v>96</v>
      </c>
      <c r="F1533" s="3">
        <v>405.26</v>
      </c>
      <c r="G1533" s="3">
        <v>419.24</v>
      </c>
      <c r="H1533" s="2" t="s">
        <v>1368</v>
      </c>
      <c r="I1533" s="19">
        <v>589</v>
      </c>
      <c r="J1533" s="34">
        <f t="shared" si="92"/>
        <v>5.1242999999999999</v>
      </c>
      <c r="K1533" s="34">
        <f t="shared" si="93"/>
        <v>7.69</v>
      </c>
      <c r="L1533" s="34">
        <f t="shared" si="94"/>
        <v>30.76</v>
      </c>
      <c r="M1533" s="20" t="s">
        <v>4332</v>
      </c>
      <c r="N1533" s="20" t="s">
        <v>3891</v>
      </c>
      <c r="O1533" s="20" t="s">
        <v>3892</v>
      </c>
      <c r="P1533" s="20" t="s">
        <v>3893</v>
      </c>
      <c r="Q1533" s="21">
        <v>405.38400000000001</v>
      </c>
      <c r="R1533" s="21">
        <v>419.1</v>
      </c>
      <c r="S1533" s="21">
        <v>7.1120000000000001</v>
      </c>
      <c r="T1533" s="22">
        <v>8.36</v>
      </c>
      <c r="U1533" s="13">
        <f t="shared" si="95"/>
        <v>-22.400000000000002</v>
      </c>
      <c r="V1533" s="23">
        <v>1024.0999999999999</v>
      </c>
      <c r="W1533" s="23">
        <v>1024.0999999999999</v>
      </c>
      <c r="X1533" s="20">
        <v>6</v>
      </c>
      <c r="Y1533" s="24" t="s">
        <v>3737</v>
      </c>
      <c r="Z1533" s="16">
        <v>435.09999999999991</v>
      </c>
      <c r="AA1533" s="17">
        <v>73.900000000000006</v>
      </c>
      <c r="AB1533" s="25" t="s">
        <v>4333</v>
      </c>
    </row>
    <row r="1534" spans="1:28" x14ac:dyDescent="0.45">
      <c r="A1534" s="4" t="s">
        <v>2127</v>
      </c>
      <c r="B1534" s="4" t="s">
        <v>6628</v>
      </c>
      <c r="C1534" s="4" t="s">
        <v>1110</v>
      </c>
      <c r="D1534" s="4" t="s">
        <v>1509</v>
      </c>
      <c r="E1534" s="4" t="s">
        <v>96</v>
      </c>
      <c r="F1534" s="5">
        <v>417.96</v>
      </c>
      <c r="G1534" s="5">
        <v>431.94</v>
      </c>
      <c r="H1534" s="4" t="s">
        <v>1368</v>
      </c>
      <c r="I1534" s="10">
        <v>606</v>
      </c>
      <c r="J1534" s="34">
        <f t="shared" si="92"/>
        <v>5.2721999999999998</v>
      </c>
      <c r="K1534" s="34">
        <f t="shared" si="93"/>
        <v>7.91</v>
      </c>
      <c r="L1534" s="34">
        <f t="shared" si="94"/>
        <v>31.64</v>
      </c>
      <c r="M1534" s="11" t="s">
        <v>4334</v>
      </c>
      <c r="N1534" s="11" t="s">
        <v>3891</v>
      </c>
      <c r="O1534" s="11" t="s">
        <v>3892</v>
      </c>
      <c r="P1534" s="11" t="s">
        <v>3893</v>
      </c>
      <c r="Q1534" s="12">
        <v>417.83</v>
      </c>
      <c r="R1534" s="12">
        <v>431.8</v>
      </c>
      <c r="S1534" s="12">
        <v>7.1120000000000001</v>
      </c>
      <c r="T1534" s="13">
        <v>8.2799999999999994</v>
      </c>
      <c r="U1534" s="13">
        <f t="shared" si="95"/>
        <v>-23.36</v>
      </c>
      <c r="V1534" s="14">
        <v>1014.3</v>
      </c>
      <c r="W1534" s="14">
        <v>1014.3</v>
      </c>
      <c r="X1534" s="11">
        <v>58</v>
      </c>
      <c r="Y1534" s="15" t="s">
        <v>3737</v>
      </c>
      <c r="Z1534" s="16">
        <v>408.3</v>
      </c>
      <c r="AA1534" s="17">
        <v>67.400000000000006</v>
      </c>
      <c r="AB1534" s="18" t="s">
        <v>4152</v>
      </c>
    </row>
    <row r="1535" spans="1:28" x14ac:dyDescent="0.45">
      <c r="A1535" s="2" t="s">
        <v>2128</v>
      </c>
      <c r="B1535" s="2" t="s">
        <v>6629</v>
      </c>
      <c r="C1535" s="2" t="s">
        <v>1110</v>
      </c>
      <c r="D1535" s="2" t="s">
        <v>1509</v>
      </c>
      <c r="E1535" s="2" t="s">
        <v>96</v>
      </c>
      <c r="F1535" s="3">
        <v>430.66</v>
      </c>
      <c r="G1535" s="3">
        <v>444.64</v>
      </c>
      <c r="H1535" s="2" t="s">
        <v>1368</v>
      </c>
      <c r="I1535" s="19">
        <v>606</v>
      </c>
      <c r="J1535" s="34">
        <f t="shared" si="92"/>
        <v>5.2721999999999998</v>
      </c>
      <c r="K1535" s="34">
        <f t="shared" si="93"/>
        <v>7.91</v>
      </c>
      <c r="L1535" s="34">
        <f t="shared" si="94"/>
        <v>31.64</v>
      </c>
      <c r="M1535" s="20" t="s">
        <v>4335</v>
      </c>
      <c r="N1535" s="20" t="s">
        <v>3891</v>
      </c>
      <c r="O1535" s="20" t="s">
        <v>3892</v>
      </c>
      <c r="P1535" s="20" t="s">
        <v>3893</v>
      </c>
      <c r="Q1535" s="21">
        <v>430.53</v>
      </c>
      <c r="R1535" s="21">
        <v>444.5</v>
      </c>
      <c r="S1535" s="21">
        <v>7.1120000000000001</v>
      </c>
      <c r="T1535" s="22">
        <v>11.59</v>
      </c>
      <c r="U1535" s="13">
        <f t="shared" si="95"/>
        <v>-20.05</v>
      </c>
      <c r="V1535" s="23">
        <v>1419.78</v>
      </c>
      <c r="W1535" s="23">
        <v>1419.78</v>
      </c>
      <c r="X1535" s="20">
        <v>38</v>
      </c>
      <c r="Y1535" s="24" t="s">
        <v>3737</v>
      </c>
      <c r="Z1535" s="16">
        <v>813.78</v>
      </c>
      <c r="AA1535" s="17">
        <v>134.30000000000001</v>
      </c>
      <c r="AB1535" s="25" t="s">
        <v>4152</v>
      </c>
    </row>
    <row r="1536" spans="1:28" x14ac:dyDescent="0.45">
      <c r="A1536" s="4" t="s">
        <v>2129</v>
      </c>
      <c r="B1536" s="4" t="s">
        <v>6630</v>
      </c>
      <c r="C1536" s="4" t="s">
        <v>1110</v>
      </c>
      <c r="D1536" s="4" t="s">
        <v>1509</v>
      </c>
      <c r="E1536" s="4" t="s">
        <v>96</v>
      </c>
      <c r="F1536" s="5">
        <v>443.36</v>
      </c>
      <c r="G1536" s="5">
        <v>457.34</v>
      </c>
      <c r="H1536" s="4" t="s">
        <v>1368</v>
      </c>
      <c r="I1536" s="10">
        <v>624</v>
      </c>
      <c r="J1536" s="34">
        <f t="shared" si="92"/>
        <v>5.4287999999999998</v>
      </c>
      <c r="K1536" s="34">
        <f t="shared" si="93"/>
        <v>8.14</v>
      </c>
      <c r="L1536" s="34">
        <f t="shared" si="94"/>
        <v>32.56</v>
      </c>
      <c r="M1536" s="11" t="s">
        <v>4336</v>
      </c>
      <c r="N1536" s="11" t="s">
        <v>3891</v>
      </c>
      <c r="O1536" s="11" t="s">
        <v>3892</v>
      </c>
      <c r="P1536" s="11" t="s">
        <v>3893</v>
      </c>
      <c r="Q1536" s="12">
        <v>443.23</v>
      </c>
      <c r="R1536" s="12">
        <v>457.2</v>
      </c>
      <c r="S1536" s="12">
        <v>7.1120000000000001</v>
      </c>
      <c r="T1536" s="13">
        <v>11.18</v>
      </c>
      <c r="U1536" s="13">
        <f t="shared" si="95"/>
        <v>-21.380000000000003</v>
      </c>
      <c r="V1536" s="14">
        <v>1369.55</v>
      </c>
      <c r="W1536" s="14">
        <v>1369.55</v>
      </c>
      <c r="X1536" s="11">
        <v>13</v>
      </c>
      <c r="Y1536" s="15" t="s">
        <v>3737</v>
      </c>
      <c r="Z1536" s="16">
        <v>745.55</v>
      </c>
      <c r="AA1536" s="17">
        <v>119.5</v>
      </c>
      <c r="AB1536" s="18" t="s">
        <v>4152</v>
      </c>
    </row>
    <row r="1537" spans="1:28" x14ac:dyDescent="0.45">
      <c r="A1537" s="2" t="s">
        <v>2130</v>
      </c>
      <c r="B1537" s="2" t="s">
        <v>6631</v>
      </c>
      <c r="C1537" s="2" t="s">
        <v>1110</v>
      </c>
      <c r="D1537" s="2" t="s">
        <v>1509</v>
      </c>
      <c r="E1537" s="2" t="s">
        <v>96</v>
      </c>
      <c r="F1537" s="3">
        <v>454</v>
      </c>
      <c r="G1537" s="3">
        <v>467.98</v>
      </c>
      <c r="H1537" s="2" t="s">
        <v>1368</v>
      </c>
      <c r="I1537" s="19">
        <v>636</v>
      </c>
      <c r="J1537" s="34">
        <f t="shared" si="92"/>
        <v>5.5331999999999999</v>
      </c>
      <c r="K1537" s="34">
        <f t="shared" si="93"/>
        <v>8.3000000000000007</v>
      </c>
      <c r="L1537" s="34">
        <f t="shared" si="94"/>
        <v>33.200000000000003</v>
      </c>
      <c r="M1537" s="20" t="s">
        <v>4594</v>
      </c>
      <c r="N1537" s="20" t="s">
        <v>3891</v>
      </c>
      <c r="O1537" s="20" t="s">
        <v>3892</v>
      </c>
      <c r="P1537" s="20" t="s">
        <v>3893</v>
      </c>
      <c r="Q1537" s="21">
        <v>455.93</v>
      </c>
      <c r="R1537" s="21">
        <v>466.85199999999998</v>
      </c>
      <c r="S1537" s="21">
        <v>5.3339999999999996</v>
      </c>
      <c r="T1537" s="22">
        <v>6.41</v>
      </c>
      <c r="U1537" s="13">
        <f t="shared" si="95"/>
        <v>-26.790000000000003</v>
      </c>
      <c r="V1537" s="23">
        <v>785.22</v>
      </c>
      <c r="W1537" s="23">
        <v>785.22</v>
      </c>
      <c r="X1537" s="20" t="s">
        <v>3722</v>
      </c>
      <c r="Y1537" s="24" t="s">
        <v>3737</v>
      </c>
      <c r="Z1537" s="16">
        <v>149.22</v>
      </c>
      <c r="AA1537" s="17">
        <v>23.5</v>
      </c>
      <c r="AB1537" s="25" t="s">
        <v>4595</v>
      </c>
    </row>
    <row r="1538" spans="1:28" x14ac:dyDescent="0.45">
      <c r="A1538" s="4" t="s">
        <v>2131</v>
      </c>
      <c r="B1538" s="4" t="s">
        <v>6632</v>
      </c>
      <c r="C1538" s="4" t="s">
        <v>1110</v>
      </c>
      <c r="D1538" s="4" t="s">
        <v>1509</v>
      </c>
      <c r="E1538" s="4" t="s">
        <v>96</v>
      </c>
      <c r="F1538" s="5">
        <v>468.76</v>
      </c>
      <c r="G1538" s="5">
        <v>482.74</v>
      </c>
      <c r="H1538" s="4" t="s">
        <v>1368</v>
      </c>
      <c r="I1538" s="10">
        <v>643</v>
      </c>
      <c r="J1538" s="34">
        <f t="shared" si="92"/>
        <v>5.5940999999999992</v>
      </c>
      <c r="K1538" s="34">
        <f t="shared" si="93"/>
        <v>8.39</v>
      </c>
      <c r="L1538" s="34">
        <f t="shared" si="94"/>
        <v>33.56</v>
      </c>
      <c r="M1538" s="11" t="s">
        <v>4337</v>
      </c>
      <c r="N1538" s="11" t="s">
        <v>3891</v>
      </c>
      <c r="O1538" s="11" t="s">
        <v>3892</v>
      </c>
      <c r="P1538" s="11" t="s">
        <v>3893</v>
      </c>
      <c r="Q1538" s="12">
        <v>468.63</v>
      </c>
      <c r="R1538" s="12">
        <v>482.6</v>
      </c>
      <c r="S1538" s="12">
        <v>7.1120000000000001</v>
      </c>
      <c r="T1538" s="13">
        <v>9.32</v>
      </c>
      <c r="U1538" s="13">
        <f t="shared" si="95"/>
        <v>-24.240000000000002</v>
      </c>
      <c r="V1538" s="14">
        <v>1141.7</v>
      </c>
      <c r="W1538" s="14">
        <v>1141.7</v>
      </c>
      <c r="X1538" s="11">
        <v>7</v>
      </c>
      <c r="Y1538" s="15" t="s">
        <v>3737</v>
      </c>
      <c r="Z1538" s="16">
        <v>498.7</v>
      </c>
      <c r="AA1538" s="17">
        <v>77.599999999999994</v>
      </c>
      <c r="AB1538" s="18" t="s">
        <v>4152</v>
      </c>
    </row>
    <row r="1539" spans="1:28" x14ac:dyDescent="0.45">
      <c r="A1539" s="2" t="s">
        <v>2132</v>
      </c>
      <c r="B1539" s="2" t="s">
        <v>6633</v>
      </c>
      <c r="C1539" s="2" t="s">
        <v>1110</v>
      </c>
      <c r="D1539" s="2" t="s">
        <v>1509</v>
      </c>
      <c r="E1539" s="2" t="s">
        <v>96</v>
      </c>
      <c r="F1539" s="3">
        <v>481.46</v>
      </c>
      <c r="G1539" s="3">
        <v>495.44</v>
      </c>
      <c r="H1539" s="2" t="s">
        <v>1368</v>
      </c>
      <c r="I1539" s="19">
        <v>660</v>
      </c>
      <c r="J1539" s="34">
        <f t="shared" si="92"/>
        <v>5.742</v>
      </c>
      <c r="K1539" s="34">
        <f t="shared" si="93"/>
        <v>8.61</v>
      </c>
      <c r="L1539" s="34">
        <f t="shared" si="94"/>
        <v>34.44</v>
      </c>
      <c r="M1539" s="20" t="s">
        <v>4338</v>
      </c>
      <c r="N1539" s="20" t="s">
        <v>3891</v>
      </c>
      <c r="O1539" s="20" t="s">
        <v>3892</v>
      </c>
      <c r="P1539" s="20" t="s">
        <v>3893</v>
      </c>
      <c r="Q1539" s="21">
        <v>481.33</v>
      </c>
      <c r="R1539" s="21">
        <v>495.3</v>
      </c>
      <c r="S1539" s="21">
        <v>7.1120000000000001</v>
      </c>
      <c r="T1539" s="22">
        <v>7.31</v>
      </c>
      <c r="U1539" s="13">
        <f t="shared" si="95"/>
        <v>-27.13</v>
      </c>
      <c r="V1539" s="23">
        <v>895.47</v>
      </c>
      <c r="W1539" s="23">
        <v>895.47</v>
      </c>
      <c r="X1539" s="20">
        <v>5</v>
      </c>
      <c r="Y1539" s="24" t="s">
        <v>3737</v>
      </c>
      <c r="Z1539" s="16">
        <v>235.47</v>
      </c>
      <c r="AA1539" s="17">
        <v>35.700000000000003</v>
      </c>
      <c r="AB1539" s="25" t="s">
        <v>4152</v>
      </c>
    </row>
    <row r="1540" spans="1:28" x14ac:dyDescent="0.45">
      <c r="A1540" s="4" t="s">
        <v>2133</v>
      </c>
      <c r="B1540" s="4" t="s">
        <v>6634</v>
      </c>
      <c r="C1540" s="4" t="s">
        <v>1110</v>
      </c>
      <c r="D1540" s="4" t="s">
        <v>1509</v>
      </c>
      <c r="E1540" s="4" t="s">
        <v>96</v>
      </c>
      <c r="F1540" s="5">
        <v>494.16</v>
      </c>
      <c r="G1540" s="5">
        <v>508.14</v>
      </c>
      <c r="H1540" s="4" t="s">
        <v>1368</v>
      </c>
      <c r="I1540" s="10">
        <v>678</v>
      </c>
      <c r="J1540" s="34">
        <f t="shared" si="92"/>
        <v>5.8985999999999992</v>
      </c>
      <c r="K1540" s="34">
        <f t="shared" si="93"/>
        <v>8.85</v>
      </c>
      <c r="L1540" s="34">
        <f t="shared" si="94"/>
        <v>35.4</v>
      </c>
      <c r="M1540" s="11" t="s">
        <v>4339</v>
      </c>
      <c r="N1540" s="11" t="s">
        <v>3891</v>
      </c>
      <c r="O1540" s="11" t="s">
        <v>3892</v>
      </c>
      <c r="P1540" s="11" t="s">
        <v>3893</v>
      </c>
      <c r="Q1540" s="12">
        <v>494.03</v>
      </c>
      <c r="R1540" s="12">
        <v>508</v>
      </c>
      <c r="S1540" s="12">
        <v>7.1120000000000001</v>
      </c>
      <c r="T1540" s="13">
        <v>9.32</v>
      </c>
      <c r="U1540" s="13">
        <f t="shared" si="95"/>
        <v>-26.08</v>
      </c>
      <c r="V1540" s="14">
        <v>1141.7</v>
      </c>
      <c r="W1540" s="14">
        <v>1141.7</v>
      </c>
      <c r="X1540" s="11">
        <v>9</v>
      </c>
      <c r="Y1540" s="15" t="s">
        <v>3737</v>
      </c>
      <c r="Z1540" s="16">
        <v>463.7</v>
      </c>
      <c r="AA1540" s="17">
        <v>68.400000000000006</v>
      </c>
      <c r="AB1540" s="18" t="s">
        <v>4152</v>
      </c>
    </row>
    <row r="1541" spans="1:28" x14ac:dyDescent="0.45">
      <c r="A1541" s="2" t="s">
        <v>2134</v>
      </c>
      <c r="B1541" s="2" t="s">
        <v>6635</v>
      </c>
      <c r="C1541" s="2" t="s">
        <v>1110</v>
      </c>
      <c r="D1541" s="2" t="s">
        <v>1509</v>
      </c>
      <c r="E1541" s="2" t="s">
        <v>96</v>
      </c>
      <c r="F1541" s="3">
        <v>506.86</v>
      </c>
      <c r="G1541" s="3">
        <v>520.84</v>
      </c>
      <c r="H1541" s="2" t="s">
        <v>1368</v>
      </c>
      <c r="I1541" s="19">
        <v>732</v>
      </c>
      <c r="J1541" s="34">
        <f t="shared" ref="J1541:J1604" si="96">I1541*0.0087</f>
        <v>6.3683999999999994</v>
      </c>
      <c r="K1541" s="34">
        <f t="shared" ref="K1541:K1604" si="97">ROUND(J1541*1.5,2)</f>
        <v>9.5500000000000007</v>
      </c>
      <c r="L1541" s="34">
        <f t="shared" ref="L1541:L1604" si="98">K1541*4</f>
        <v>38.200000000000003</v>
      </c>
      <c r="M1541" s="20" t="s">
        <v>4340</v>
      </c>
      <c r="N1541" s="20" t="s">
        <v>3891</v>
      </c>
      <c r="O1541" s="20" t="s">
        <v>3892</v>
      </c>
      <c r="P1541" s="20" t="s">
        <v>3893</v>
      </c>
      <c r="Q1541" s="21">
        <v>506.73</v>
      </c>
      <c r="R1541" s="21">
        <v>520.70000000000005</v>
      </c>
      <c r="S1541" s="21">
        <v>7.1120000000000001</v>
      </c>
      <c r="T1541" s="22">
        <v>14.08</v>
      </c>
      <c r="U1541" s="13">
        <f t="shared" ref="U1541:U1604" si="99">T1541-L1541</f>
        <v>-24.120000000000005</v>
      </c>
      <c r="V1541" s="23">
        <v>1724.8</v>
      </c>
      <c r="W1541" s="23">
        <v>1724.8</v>
      </c>
      <c r="X1541" s="20">
        <v>15</v>
      </c>
      <c r="Y1541" s="24" t="s">
        <v>3737</v>
      </c>
      <c r="Z1541" s="16">
        <v>992.8</v>
      </c>
      <c r="AA1541" s="17">
        <v>135.6</v>
      </c>
      <c r="AB1541" s="25" t="s">
        <v>4152</v>
      </c>
    </row>
    <row r="1542" spans="1:28" x14ac:dyDescent="0.45">
      <c r="A1542" s="4" t="s">
        <v>2135</v>
      </c>
      <c r="B1542" s="4" t="s">
        <v>6636</v>
      </c>
      <c r="C1542" s="4" t="s">
        <v>1110</v>
      </c>
      <c r="D1542" s="4" t="s">
        <v>1509</v>
      </c>
      <c r="E1542" s="4" t="s">
        <v>96</v>
      </c>
      <c r="F1542" s="5">
        <v>532.26</v>
      </c>
      <c r="G1542" s="5">
        <v>546.24</v>
      </c>
      <c r="H1542" s="4" t="s">
        <v>1368</v>
      </c>
      <c r="I1542" s="10">
        <v>749</v>
      </c>
      <c r="J1542" s="34">
        <f t="shared" si="96"/>
        <v>6.5162999999999993</v>
      </c>
      <c r="K1542" s="34">
        <f t="shared" si="97"/>
        <v>9.77</v>
      </c>
      <c r="L1542" s="34">
        <f t="shared" si="98"/>
        <v>39.08</v>
      </c>
      <c r="M1542" s="11" t="s">
        <v>4341</v>
      </c>
      <c r="N1542" s="11" t="s">
        <v>3891</v>
      </c>
      <c r="O1542" s="11" t="s">
        <v>3892</v>
      </c>
      <c r="P1542" s="11" t="s">
        <v>3893</v>
      </c>
      <c r="Q1542" s="12">
        <v>532.13</v>
      </c>
      <c r="R1542" s="12">
        <v>546.1</v>
      </c>
      <c r="S1542" s="12">
        <v>7.1120000000000001</v>
      </c>
      <c r="T1542" s="13">
        <v>19.100000000000001</v>
      </c>
      <c r="U1542" s="13">
        <f t="shared" si="99"/>
        <v>-19.979999999999997</v>
      </c>
      <c r="V1542" s="14">
        <v>2339.75</v>
      </c>
      <c r="W1542" s="14">
        <v>2339.75</v>
      </c>
      <c r="X1542" s="11">
        <v>4</v>
      </c>
      <c r="Y1542" s="15" t="s">
        <v>3737</v>
      </c>
      <c r="Z1542" s="16">
        <v>1590.75</v>
      </c>
      <c r="AA1542" s="17">
        <v>212.4</v>
      </c>
      <c r="AB1542" s="18" t="s">
        <v>4152</v>
      </c>
    </row>
    <row r="1543" spans="1:28" x14ac:dyDescent="0.45">
      <c r="A1543" s="2" t="s">
        <v>2136</v>
      </c>
      <c r="B1543" s="2" t="s">
        <v>6637</v>
      </c>
      <c r="C1543" s="2" t="s">
        <v>2137</v>
      </c>
      <c r="D1543" s="2" t="s">
        <v>2138</v>
      </c>
      <c r="E1543" s="2" t="s">
        <v>2139</v>
      </c>
      <c r="F1543" s="3">
        <v>2.9</v>
      </c>
      <c r="G1543" s="3">
        <v>6.46</v>
      </c>
      <c r="H1543" s="2" t="s">
        <v>1114</v>
      </c>
      <c r="I1543" s="19">
        <v>8</v>
      </c>
      <c r="J1543" s="34">
        <f t="shared" si="96"/>
        <v>6.9599999999999995E-2</v>
      </c>
      <c r="K1543" s="34">
        <f t="shared" si="97"/>
        <v>0.1</v>
      </c>
      <c r="L1543" s="34">
        <f t="shared" si="98"/>
        <v>0.4</v>
      </c>
      <c r="M1543" s="20" t="s">
        <v>4596</v>
      </c>
      <c r="N1543" s="20" t="s">
        <v>4597</v>
      </c>
      <c r="O1543" s="20" t="s">
        <v>3892</v>
      </c>
      <c r="P1543" s="20" t="s">
        <v>4598</v>
      </c>
      <c r="Q1543" s="21">
        <v>2.794</v>
      </c>
      <c r="R1543" s="21">
        <v>6.35</v>
      </c>
      <c r="S1543" s="21">
        <v>1.778</v>
      </c>
      <c r="T1543" s="22">
        <v>0.2</v>
      </c>
      <c r="U1543" s="13">
        <f t="shared" si="99"/>
        <v>-0.2</v>
      </c>
      <c r="V1543" s="23">
        <v>24.5</v>
      </c>
      <c r="W1543" s="23">
        <v>24.5</v>
      </c>
      <c r="X1543" s="20">
        <v>8401</v>
      </c>
      <c r="Y1543" s="24" t="s">
        <v>3737</v>
      </c>
      <c r="Z1543" s="16">
        <v>16.5</v>
      </c>
      <c r="AA1543" s="17">
        <v>206.2</v>
      </c>
      <c r="AB1543" s="25" t="s">
        <v>4037</v>
      </c>
    </row>
    <row r="1544" spans="1:28" x14ac:dyDescent="0.45">
      <c r="A1544" s="4" t="s">
        <v>2140</v>
      </c>
      <c r="B1544" s="4" t="s">
        <v>6638</v>
      </c>
      <c r="C1544" s="4" t="s">
        <v>2137</v>
      </c>
      <c r="D1544" s="4" t="s">
        <v>2138</v>
      </c>
      <c r="E1544" s="4" t="s">
        <v>2139</v>
      </c>
      <c r="F1544" s="5">
        <v>3.6</v>
      </c>
      <c r="G1544" s="5">
        <v>7.16</v>
      </c>
      <c r="H1544" s="4" t="s">
        <v>1114</v>
      </c>
      <c r="I1544" s="10">
        <v>8</v>
      </c>
      <c r="J1544" s="34">
        <f t="shared" si="96"/>
        <v>6.9599999999999995E-2</v>
      </c>
      <c r="K1544" s="34">
        <f t="shared" si="97"/>
        <v>0.1</v>
      </c>
      <c r="L1544" s="34">
        <f t="shared" si="98"/>
        <v>0.4</v>
      </c>
      <c r="M1544" s="11" t="s">
        <v>4599</v>
      </c>
      <c r="N1544" s="11" t="s">
        <v>4597</v>
      </c>
      <c r="O1544" s="11" t="s">
        <v>3892</v>
      </c>
      <c r="P1544" s="11" t="s">
        <v>4598</v>
      </c>
      <c r="Q1544" s="12">
        <v>3.556</v>
      </c>
      <c r="R1544" s="12">
        <v>7.1120000000000001</v>
      </c>
      <c r="S1544" s="12">
        <v>1.778</v>
      </c>
      <c r="T1544" s="13">
        <v>0.2</v>
      </c>
      <c r="U1544" s="13">
        <f t="shared" si="99"/>
        <v>-0.2</v>
      </c>
      <c r="V1544" s="14">
        <v>24.5</v>
      </c>
      <c r="W1544" s="14">
        <v>24.5</v>
      </c>
      <c r="X1544" s="11">
        <v>6399</v>
      </c>
      <c r="Y1544" s="15" t="s">
        <v>3737</v>
      </c>
      <c r="Z1544" s="16">
        <v>16.5</v>
      </c>
      <c r="AA1544" s="17">
        <v>206.2</v>
      </c>
      <c r="AB1544" s="18" t="s">
        <v>4600</v>
      </c>
    </row>
    <row r="1545" spans="1:28" x14ac:dyDescent="0.45">
      <c r="A1545" s="2" t="s">
        <v>2141</v>
      </c>
      <c r="B1545" s="2" t="s">
        <v>6639</v>
      </c>
      <c r="C1545" s="2" t="s">
        <v>2137</v>
      </c>
      <c r="D1545" s="2" t="s">
        <v>2138</v>
      </c>
      <c r="E1545" s="2" t="s">
        <v>2139</v>
      </c>
      <c r="F1545" s="3">
        <v>4.47</v>
      </c>
      <c r="G1545" s="3">
        <v>8.0299999999999994</v>
      </c>
      <c r="H1545" s="2" t="s">
        <v>1114</v>
      </c>
      <c r="I1545" s="19">
        <v>8</v>
      </c>
      <c r="J1545" s="34">
        <f t="shared" si="96"/>
        <v>6.9599999999999995E-2</v>
      </c>
      <c r="K1545" s="34">
        <f t="shared" si="97"/>
        <v>0.1</v>
      </c>
      <c r="L1545" s="34">
        <f t="shared" si="98"/>
        <v>0.4</v>
      </c>
      <c r="M1545" s="20" t="s">
        <v>4601</v>
      </c>
      <c r="N1545" s="20" t="s">
        <v>4597</v>
      </c>
      <c r="O1545" s="20" t="s">
        <v>3892</v>
      </c>
      <c r="P1545" s="20" t="s">
        <v>4598</v>
      </c>
      <c r="Q1545" s="21">
        <v>4</v>
      </c>
      <c r="R1545" s="21">
        <v>8</v>
      </c>
      <c r="S1545" s="21">
        <v>2</v>
      </c>
      <c r="T1545" s="22">
        <v>0.27</v>
      </c>
      <c r="U1545" s="13">
        <f t="shared" si="99"/>
        <v>-0.13</v>
      </c>
      <c r="V1545" s="23">
        <v>33.08</v>
      </c>
      <c r="W1545" s="23">
        <v>33.08</v>
      </c>
      <c r="X1545" s="20">
        <v>23249</v>
      </c>
      <c r="Y1545" s="24" t="s">
        <v>3713</v>
      </c>
      <c r="Z1545" s="16">
        <v>25.08</v>
      </c>
      <c r="AA1545" s="17">
        <v>313.5</v>
      </c>
      <c r="AB1545" s="25" t="s">
        <v>4602</v>
      </c>
    </row>
    <row r="1546" spans="1:28" x14ac:dyDescent="0.45">
      <c r="A1546" s="4" t="s">
        <v>2142</v>
      </c>
      <c r="B1546" s="4" t="s">
        <v>6640</v>
      </c>
      <c r="C1546" s="4" t="s">
        <v>2137</v>
      </c>
      <c r="D1546" s="4" t="s">
        <v>2138</v>
      </c>
      <c r="E1546" s="4" t="s">
        <v>2139</v>
      </c>
      <c r="F1546" s="5">
        <v>4.4000000000000004</v>
      </c>
      <c r="G1546" s="5">
        <v>11.4</v>
      </c>
      <c r="H1546" s="4" t="s">
        <v>1187</v>
      </c>
      <c r="I1546" s="10">
        <v>8</v>
      </c>
      <c r="J1546" s="34">
        <f t="shared" si="96"/>
        <v>6.9599999999999995E-2</v>
      </c>
      <c r="K1546" s="34">
        <f t="shared" si="97"/>
        <v>0.1</v>
      </c>
      <c r="L1546" s="34">
        <f t="shared" si="98"/>
        <v>0.4</v>
      </c>
      <c r="M1546" s="11" t="s">
        <v>4603</v>
      </c>
      <c r="N1546" s="11" t="s">
        <v>4597</v>
      </c>
      <c r="O1546" s="11" t="s">
        <v>3892</v>
      </c>
      <c r="P1546" s="11" t="s">
        <v>4598</v>
      </c>
      <c r="Q1546" s="12">
        <v>5</v>
      </c>
      <c r="R1546" s="12">
        <v>11</v>
      </c>
      <c r="S1546" s="12">
        <v>3</v>
      </c>
      <c r="T1546" s="13">
        <v>0.33</v>
      </c>
      <c r="U1546" s="13">
        <f t="shared" si="99"/>
        <v>-7.0000000000000007E-2</v>
      </c>
      <c r="V1546" s="14">
        <v>40.43</v>
      </c>
      <c r="W1546" s="14">
        <v>40.43</v>
      </c>
      <c r="X1546" s="11">
        <v>207</v>
      </c>
      <c r="Y1546" s="15" t="s">
        <v>3713</v>
      </c>
      <c r="Z1546" s="16">
        <v>32.43</v>
      </c>
      <c r="AA1546" s="17">
        <v>405.4</v>
      </c>
      <c r="AB1546" s="18" t="s">
        <v>4604</v>
      </c>
    </row>
    <row r="1547" spans="1:28" x14ac:dyDescent="0.45">
      <c r="A1547" s="2" t="s">
        <v>2143</v>
      </c>
      <c r="B1547" s="2" t="s">
        <v>6641</v>
      </c>
      <c r="C1547" s="2" t="s">
        <v>2137</v>
      </c>
      <c r="D1547" s="2" t="s">
        <v>2138</v>
      </c>
      <c r="E1547" s="2" t="s">
        <v>2139</v>
      </c>
      <c r="F1547" s="3">
        <v>4.8</v>
      </c>
      <c r="G1547" s="3">
        <v>8.6</v>
      </c>
      <c r="H1547" s="2" t="s">
        <v>1112</v>
      </c>
      <c r="I1547" s="19">
        <v>8</v>
      </c>
      <c r="J1547" s="34">
        <f t="shared" si="96"/>
        <v>6.9599999999999995E-2</v>
      </c>
      <c r="K1547" s="34">
        <f t="shared" si="97"/>
        <v>0.1</v>
      </c>
      <c r="L1547" s="34">
        <f t="shared" si="98"/>
        <v>0.4</v>
      </c>
      <c r="M1547" s="20" t="s">
        <v>4605</v>
      </c>
      <c r="N1547" s="20" t="s">
        <v>4597</v>
      </c>
      <c r="O1547" s="20" t="s">
        <v>3892</v>
      </c>
      <c r="P1547" s="20" t="s">
        <v>4598</v>
      </c>
      <c r="Q1547" s="21">
        <v>4.5</v>
      </c>
      <c r="R1547" s="21">
        <v>8.5</v>
      </c>
      <c r="S1547" s="21">
        <v>2</v>
      </c>
      <c r="T1547" s="22">
        <v>0.81</v>
      </c>
      <c r="U1547" s="13">
        <f t="shared" si="99"/>
        <v>0.41000000000000003</v>
      </c>
      <c r="V1547" s="23">
        <v>99.22</v>
      </c>
      <c r="W1547" s="23">
        <v>99.22</v>
      </c>
      <c r="X1547" s="20">
        <v>24</v>
      </c>
      <c r="Y1547" s="24" t="s">
        <v>3713</v>
      </c>
      <c r="Z1547" s="16">
        <v>91.22</v>
      </c>
      <c r="AA1547" s="17">
        <v>1140.2</v>
      </c>
      <c r="AB1547" s="25" t="s">
        <v>4343</v>
      </c>
    </row>
    <row r="1548" spans="1:28" x14ac:dyDescent="0.45">
      <c r="A1548" s="4" t="s">
        <v>2144</v>
      </c>
      <c r="B1548" s="4" t="s">
        <v>6642</v>
      </c>
      <c r="C1548" s="4" t="s">
        <v>2137</v>
      </c>
      <c r="D1548" s="4" t="s">
        <v>2138</v>
      </c>
      <c r="E1548" s="4" t="s">
        <v>2139</v>
      </c>
      <c r="F1548" s="5">
        <v>4</v>
      </c>
      <c r="G1548" s="5">
        <v>8</v>
      </c>
      <c r="H1548" s="4" t="s">
        <v>1122</v>
      </c>
      <c r="I1548" s="10">
        <v>8</v>
      </c>
      <c r="J1548" s="34">
        <f t="shared" si="96"/>
        <v>6.9599999999999995E-2</v>
      </c>
      <c r="K1548" s="34">
        <f t="shared" si="97"/>
        <v>0.1</v>
      </c>
      <c r="L1548" s="34">
        <f t="shared" si="98"/>
        <v>0.4</v>
      </c>
      <c r="M1548" s="11" t="s">
        <v>4601</v>
      </c>
      <c r="N1548" s="11" t="s">
        <v>4597</v>
      </c>
      <c r="O1548" s="11" t="s">
        <v>3892</v>
      </c>
      <c r="P1548" s="11" t="s">
        <v>4598</v>
      </c>
      <c r="Q1548" s="12">
        <v>4</v>
      </c>
      <c r="R1548" s="12">
        <v>8</v>
      </c>
      <c r="S1548" s="12">
        <v>2</v>
      </c>
      <c r="T1548" s="13">
        <v>0.27</v>
      </c>
      <c r="U1548" s="13">
        <f t="shared" si="99"/>
        <v>-0.13</v>
      </c>
      <c r="V1548" s="14">
        <v>33.08</v>
      </c>
      <c r="W1548" s="14">
        <v>33.08</v>
      </c>
      <c r="X1548" s="11">
        <v>23249</v>
      </c>
      <c r="Y1548" s="15" t="s">
        <v>3713</v>
      </c>
      <c r="Z1548" s="16">
        <v>25.08</v>
      </c>
      <c r="AA1548" s="17">
        <v>313.5</v>
      </c>
      <c r="AB1548" s="18" t="s">
        <v>3714</v>
      </c>
    </row>
    <row r="1549" spans="1:28" x14ac:dyDescent="0.45">
      <c r="A1549" s="2" t="s">
        <v>2145</v>
      </c>
      <c r="B1549" s="2" t="s">
        <v>6643</v>
      </c>
      <c r="C1549" s="2" t="s">
        <v>2137</v>
      </c>
      <c r="D1549" s="2" t="s">
        <v>2138</v>
      </c>
      <c r="E1549" s="2" t="s">
        <v>2139</v>
      </c>
      <c r="F1549" s="3">
        <v>5.28</v>
      </c>
      <c r="G1549" s="3">
        <v>8.84</v>
      </c>
      <c r="H1549" s="2" t="s">
        <v>1114</v>
      </c>
      <c r="I1549" s="19">
        <v>8</v>
      </c>
      <c r="J1549" s="34">
        <f t="shared" si="96"/>
        <v>6.9599999999999995E-2</v>
      </c>
      <c r="K1549" s="34">
        <f t="shared" si="97"/>
        <v>0.1</v>
      </c>
      <c r="L1549" s="34">
        <f t="shared" si="98"/>
        <v>0.4</v>
      </c>
      <c r="M1549" s="20" t="s">
        <v>4606</v>
      </c>
      <c r="N1549" s="20" t="s">
        <v>4597</v>
      </c>
      <c r="O1549" s="20" t="s">
        <v>3892</v>
      </c>
      <c r="P1549" s="20" t="s">
        <v>4598</v>
      </c>
      <c r="Q1549" s="21">
        <v>5.3339999999999996</v>
      </c>
      <c r="R1549" s="21">
        <v>8.89</v>
      </c>
      <c r="S1549" s="21">
        <v>1.778</v>
      </c>
      <c r="T1549" s="22">
        <v>0.2</v>
      </c>
      <c r="U1549" s="13">
        <f t="shared" si="99"/>
        <v>-0.2</v>
      </c>
      <c r="V1549" s="23">
        <v>24.5</v>
      </c>
      <c r="W1549" s="23">
        <v>24.5</v>
      </c>
      <c r="X1549" s="20">
        <v>5533</v>
      </c>
      <c r="Y1549" s="24" t="s">
        <v>3737</v>
      </c>
      <c r="Z1549" s="16">
        <v>16.5</v>
      </c>
      <c r="AA1549" s="17">
        <v>206.2</v>
      </c>
      <c r="AB1549" s="25" t="s">
        <v>3920</v>
      </c>
    </row>
    <row r="1550" spans="1:28" x14ac:dyDescent="0.45">
      <c r="A1550" s="4" t="s">
        <v>2146</v>
      </c>
      <c r="B1550" s="4" t="s">
        <v>6644</v>
      </c>
      <c r="C1550" s="4" t="s">
        <v>2137</v>
      </c>
      <c r="D1550" s="4" t="s">
        <v>2138</v>
      </c>
      <c r="E1550" s="4" t="s">
        <v>2139</v>
      </c>
      <c r="F1550" s="5">
        <v>5.2</v>
      </c>
      <c r="G1550" s="5">
        <v>10</v>
      </c>
      <c r="H1550" s="4" t="s">
        <v>1140</v>
      </c>
      <c r="I1550" s="10">
        <v>8</v>
      </c>
      <c r="J1550" s="34">
        <f t="shared" si="96"/>
        <v>6.9599999999999995E-2</v>
      </c>
      <c r="K1550" s="34">
        <f t="shared" si="97"/>
        <v>0.1</v>
      </c>
      <c r="L1550" s="34">
        <f t="shared" si="98"/>
        <v>0.4</v>
      </c>
      <c r="M1550" s="11" t="s">
        <v>4607</v>
      </c>
      <c r="N1550" s="11" t="s">
        <v>4597</v>
      </c>
      <c r="O1550" s="11" t="s">
        <v>3892</v>
      </c>
      <c r="P1550" s="11" t="s">
        <v>4598</v>
      </c>
      <c r="Q1550" s="12">
        <v>6</v>
      </c>
      <c r="R1550" s="12">
        <v>10</v>
      </c>
      <c r="S1550" s="12">
        <v>2</v>
      </c>
      <c r="T1550" s="13">
        <v>0.3</v>
      </c>
      <c r="U1550" s="13">
        <f t="shared" si="99"/>
        <v>-0.10000000000000003</v>
      </c>
      <c r="V1550" s="14">
        <v>36.75</v>
      </c>
      <c r="W1550" s="14">
        <v>36.75</v>
      </c>
      <c r="X1550" s="11">
        <v>163</v>
      </c>
      <c r="Y1550" s="15" t="s">
        <v>3713</v>
      </c>
      <c r="Z1550" s="16">
        <v>28.75</v>
      </c>
      <c r="AA1550" s="17">
        <v>359.4</v>
      </c>
      <c r="AB1550" s="18" t="s">
        <v>4608</v>
      </c>
    </row>
    <row r="1551" spans="1:28" x14ac:dyDescent="0.45">
      <c r="A1551" s="2" t="s">
        <v>2147</v>
      </c>
      <c r="B1551" s="2" t="s">
        <v>6645</v>
      </c>
      <c r="C1551" s="2" t="s">
        <v>2137</v>
      </c>
      <c r="D1551" s="2" t="s">
        <v>2138</v>
      </c>
      <c r="E1551" s="2" t="s">
        <v>2139</v>
      </c>
      <c r="F1551" s="3">
        <v>5.6</v>
      </c>
      <c r="G1551" s="3">
        <v>9</v>
      </c>
      <c r="H1551" s="2" t="s">
        <v>2148</v>
      </c>
      <c r="I1551" s="19">
        <v>8</v>
      </c>
      <c r="J1551" s="34">
        <f t="shared" si="96"/>
        <v>6.9599999999999995E-2</v>
      </c>
      <c r="K1551" s="34">
        <f t="shared" si="97"/>
        <v>0.1</v>
      </c>
      <c r="L1551" s="34">
        <f t="shared" si="98"/>
        <v>0.4</v>
      </c>
      <c r="M1551" s="20" t="s">
        <v>4609</v>
      </c>
      <c r="N1551" s="20" t="s">
        <v>4597</v>
      </c>
      <c r="O1551" s="20" t="s">
        <v>3892</v>
      </c>
      <c r="P1551" s="20" t="s">
        <v>4598</v>
      </c>
      <c r="Q1551" s="21">
        <v>5.8</v>
      </c>
      <c r="R1551" s="21">
        <v>8.8000000000000007</v>
      </c>
      <c r="S1551" s="21">
        <v>1.5</v>
      </c>
      <c r="T1551" s="22">
        <v>0.2</v>
      </c>
      <c r="U1551" s="13">
        <f t="shared" si="99"/>
        <v>-0.2</v>
      </c>
      <c r="V1551" s="23">
        <v>24.5</v>
      </c>
      <c r="W1551" s="23">
        <v>24.5</v>
      </c>
      <c r="X1551" s="20">
        <v>115</v>
      </c>
      <c r="Y1551" s="24" t="s">
        <v>3713</v>
      </c>
      <c r="Z1551" s="16">
        <v>16.5</v>
      </c>
      <c r="AA1551" s="17">
        <v>206.2</v>
      </c>
      <c r="AB1551" s="25" t="s">
        <v>4435</v>
      </c>
    </row>
    <row r="1552" spans="1:28" x14ac:dyDescent="0.45">
      <c r="A1552" s="4" t="s">
        <v>2149</v>
      </c>
      <c r="B1552" s="4" t="s">
        <v>6646</v>
      </c>
      <c r="C1552" s="4" t="s">
        <v>2137</v>
      </c>
      <c r="D1552" s="4" t="s">
        <v>2138</v>
      </c>
      <c r="E1552" s="4" t="s">
        <v>2139</v>
      </c>
      <c r="F1552" s="5">
        <v>5.8</v>
      </c>
      <c r="G1552" s="5">
        <v>9.6</v>
      </c>
      <c r="H1552" s="4" t="s">
        <v>1112</v>
      </c>
      <c r="I1552" s="10">
        <v>8</v>
      </c>
      <c r="J1552" s="34">
        <f t="shared" si="96"/>
        <v>6.9599999999999995E-2</v>
      </c>
      <c r="K1552" s="34">
        <f t="shared" si="97"/>
        <v>0.1</v>
      </c>
      <c r="L1552" s="34">
        <f t="shared" si="98"/>
        <v>0.4</v>
      </c>
      <c r="M1552" s="11" t="s">
        <v>4610</v>
      </c>
      <c r="N1552" s="11" t="s">
        <v>4597</v>
      </c>
      <c r="O1552" s="11" t="s">
        <v>3892</v>
      </c>
      <c r="P1552" s="11" t="s">
        <v>4598</v>
      </c>
      <c r="Q1552" s="12">
        <v>5.8</v>
      </c>
      <c r="R1552" s="12">
        <v>9.6</v>
      </c>
      <c r="S1552" s="12">
        <v>1.9</v>
      </c>
      <c r="T1552" s="13">
        <v>0.2</v>
      </c>
      <c r="U1552" s="13">
        <f t="shared" si="99"/>
        <v>-0.2</v>
      </c>
      <c r="V1552" s="14">
        <v>24.5</v>
      </c>
      <c r="W1552" s="14">
        <v>24.5</v>
      </c>
      <c r="X1552" s="11">
        <v>2</v>
      </c>
      <c r="Y1552" s="15" t="s">
        <v>3713</v>
      </c>
      <c r="Z1552" s="16">
        <v>16.5</v>
      </c>
      <c r="AA1552" s="17">
        <v>206.2</v>
      </c>
      <c r="AB1552" s="18" t="s">
        <v>3714</v>
      </c>
    </row>
    <row r="1553" spans="1:28" x14ac:dyDescent="0.45">
      <c r="A1553" s="2" t="s">
        <v>2150</v>
      </c>
      <c r="B1553" s="2" t="s">
        <v>6647</v>
      </c>
      <c r="C1553" s="2" t="s">
        <v>2137</v>
      </c>
      <c r="D1553" s="2" t="s">
        <v>2138</v>
      </c>
      <c r="E1553" s="2" t="s">
        <v>2139</v>
      </c>
      <c r="F1553" s="3">
        <v>5.94</v>
      </c>
      <c r="G1553" s="3">
        <v>13</v>
      </c>
      <c r="H1553" s="2" t="s">
        <v>1156</v>
      </c>
      <c r="I1553" s="19">
        <v>8</v>
      </c>
      <c r="J1553" s="34">
        <f t="shared" si="96"/>
        <v>6.9599999999999995E-2</v>
      </c>
      <c r="K1553" s="34">
        <f t="shared" si="97"/>
        <v>0.1</v>
      </c>
      <c r="L1553" s="34">
        <f t="shared" si="98"/>
        <v>0.4</v>
      </c>
      <c r="M1553" s="20" t="s">
        <v>4611</v>
      </c>
      <c r="N1553" s="20" t="s">
        <v>4597</v>
      </c>
      <c r="O1553" s="20" t="s">
        <v>3892</v>
      </c>
      <c r="P1553" s="20" t="s">
        <v>4598</v>
      </c>
      <c r="Q1553" s="21">
        <v>5.8419999999999996</v>
      </c>
      <c r="R1553" s="21">
        <v>12.954000000000001</v>
      </c>
      <c r="S1553" s="21">
        <v>3.556</v>
      </c>
      <c r="T1553" s="22">
        <v>0.39</v>
      </c>
      <c r="U1553" s="13">
        <f t="shared" si="99"/>
        <v>-1.0000000000000009E-2</v>
      </c>
      <c r="V1553" s="23">
        <v>47.78</v>
      </c>
      <c r="W1553" s="23">
        <v>47.78</v>
      </c>
      <c r="X1553" s="20">
        <v>431</v>
      </c>
      <c r="Y1553" s="24" t="s">
        <v>3737</v>
      </c>
      <c r="Z1553" s="16">
        <v>39.78</v>
      </c>
      <c r="AA1553" s="17">
        <v>497.2</v>
      </c>
      <c r="AB1553" s="25" t="s">
        <v>3963</v>
      </c>
    </row>
    <row r="1554" spans="1:28" x14ac:dyDescent="0.45">
      <c r="A1554" s="4" t="s">
        <v>2151</v>
      </c>
      <c r="B1554" s="4" t="s">
        <v>6648</v>
      </c>
      <c r="C1554" s="4" t="s">
        <v>2137</v>
      </c>
      <c r="D1554" s="4" t="s">
        <v>2138</v>
      </c>
      <c r="E1554" s="4" t="s">
        <v>2139</v>
      </c>
      <c r="F1554" s="5">
        <v>5</v>
      </c>
      <c r="G1554" s="5">
        <v>8</v>
      </c>
      <c r="H1554" s="4" t="s">
        <v>1120</v>
      </c>
      <c r="I1554" s="10">
        <v>8</v>
      </c>
      <c r="J1554" s="34">
        <f t="shared" si="96"/>
        <v>6.9599999999999995E-2</v>
      </c>
      <c r="K1554" s="34">
        <f t="shared" si="97"/>
        <v>0.1</v>
      </c>
      <c r="L1554" s="34">
        <f t="shared" si="98"/>
        <v>0.4</v>
      </c>
      <c r="M1554" s="11" t="s">
        <v>4612</v>
      </c>
      <c r="N1554" s="11" t="s">
        <v>4597</v>
      </c>
      <c r="O1554" s="11" t="s">
        <v>3892</v>
      </c>
      <c r="P1554" s="11" t="s">
        <v>4598</v>
      </c>
      <c r="Q1554" s="12">
        <v>5</v>
      </c>
      <c r="R1554" s="12">
        <v>8</v>
      </c>
      <c r="S1554" s="12">
        <v>1.5</v>
      </c>
      <c r="T1554" s="13">
        <v>0.2</v>
      </c>
      <c r="U1554" s="13">
        <f t="shared" si="99"/>
        <v>-0.2</v>
      </c>
      <c r="V1554" s="14">
        <v>24.5</v>
      </c>
      <c r="W1554" s="14">
        <v>24.5</v>
      </c>
      <c r="X1554" s="11">
        <v>386</v>
      </c>
      <c r="Y1554" s="15" t="s">
        <v>3713</v>
      </c>
      <c r="Z1554" s="16">
        <v>16.5</v>
      </c>
      <c r="AA1554" s="17">
        <v>206.2</v>
      </c>
      <c r="AB1554" s="18" t="s">
        <v>3714</v>
      </c>
    </row>
    <row r="1555" spans="1:28" x14ac:dyDescent="0.45">
      <c r="A1555" s="2" t="s">
        <v>2152</v>
      </c>
      <c r="B1555" s="2" t="s">
        <v>6649</v>
      </c>
      <c r="C1555" s="2" t="s">
        <v>2137</v>
      </c>
      <c r="D1555" s="2" t="s">
        <v>2138</v>
      </c>
      <c r="E1555" s="2" t="s">
        <v>2139</v>
      </c>
      <c r="F1555" s="3">
        <v>5</v>
      </c>
      <c r="G1555" s="3">
        <v>9</v>
      </c>
      <c r="H1555" s="2" t="s">
        <v>1122</v>
      </c>
      <c r="I1555" s="19">
        <v>8</v>
      </c>
      <c r="J1555" s="34">
        <f t="shared" si="96"/>
        <v>6.9599999999999995E-2</v>
      </c>
      <c r="K1555" s="34">
        <f t="shared" si="97"/>
        <v>0.1</v>
      </c>
      <c r="L1555" s="34">
        <f t="shared" si="98"/>
        <v>0.4</v>
      </c>
      <c r="M1555" s="20" t="s">
        <v>4613</v>
      </c>
      <c r="N1555" s="20" t="s">
        <v>4597</v>
      </c>
      <c r="O1555" s="20" t="s">
        <v>3892</v>
      </c>
      <c r="P1555" s="20" t="s">
        <v>4598</v>
      </c>
      <c r="Q1555" s="21">
        <v>5</v>
      </c>
      <c r="R1555" s="21">
        <v>9</v>
      </c>
      <c r="S1555" s="21">
        <v>2</v>
      </c>
      <c r="T1555" s="22">
        <v>0.24</v>
      </c>
      <c r="U1555" s="13">
        <f t="shared" si="99"/>
        <v>-0.16000000000000003</v>
      </c>
      <c r="V1555" s="23">
        <v>29.4</v>
      </c>
      <c r="W1555" s="23">
        <v>29.4</v>
      </c>
      <c r="X1555" s="20">
        <v>220</v>
      </c>
      <c r="Y1555" s="24" t="s">
        <v>3713</v>
      </c>
      <c r="Z1555" s="16">
        <v>21.4</v>
      </c>
      <c r="AA1555" s="17">
        <v>267.5</v>
      </c>
      <c r="AB1555" s="25" t="s">
        <v>3714</v>
      </c>
    </row>
    <row r="1556" spans="1:28" x14ac:dyDescent="0.45">
      <c r="A1556" s="4" t="s">
        <v>2153</v>
      </c>
      <c r="B1556" s="4" t="s">
        <v>6650</v>
      </c>
      <c r="C1556" s="4" t="s">
        <v>2137</v>
      </c>
      <c r="D1556" s="4" t="s">
        <v>2138</v>
      </c>
      <c r="E1556" s="4" t="s">
        <v>2139</v>
      </c>
      <c r="F1556" s="5">
        <v>6.02</v>
      </c>
      <c r="G1556" s="5">
        <v>11.26</v>
      </c>
      <c r="H1556" s="4" t="s">
        <v>1127</v>
      </c>
      <c r="I1556" s="10">
        <v>8</v>
      </c>
      <c r="J1556" s="34">
        <f t="shared" si="96"/>
        <v>6.9599999999999995E-2</v>
      </c>
      <c r="K1556" s="34">
        <f t="shared" si="97"/>
        <v>0.1</v>
      </c>
      <c r="L1556" s="34">
        <f t="shared" si="98"/>
        <v>0.4</v>
      </c>
      <c r="M1556" s="11" t="s">
        <v>4614</v>
      </c>
      <c r="N1556" s="11" t="s">
        <v>4597</v>
      </c>
      <c r="O1556" s="11" t="s">
        <v>3892</v>
      </c>
      <c r="P1556" s="11" t="s">
        <v>4598</v>
      </c>
      <c r="Q1556" s="12">
        <v>6</v>
      </c>
      <c r="R1556" s="12">
        <v>11</v>
      </c>
      <c r="S1556" s="12">
        <v>2.5</v>
      </c>
      <c r="T1556" s="13">
        <v>0.49</v>
      </c>
      <c r="U1556" s="13">
        <f t="shared" si="99"/>
        <v>8.9999999999999969E-2</v>
      </c>
      <c r="V1556" s="14">
        <v>60.02</v>
      </c>
      <c r="W1556" s="14">
        <v>60.02</v>
      </c>
      <c r="X1556" s="11">
        <v>126</v>
      </c>
      <c r="Y1556" s="15" t="s">
        <v>3713</v>
      </c>
      <c r="Z1556" s="16">
        <v>52.02</v>
      </c>
      <c r="AA1556" s="17">
        <v>650.20000000000005</v>
      </c>
      <c r="AB1556" s="18" t="s">
        <v>4355</v>
      </c>
    </row>
    <row r="1557" spans="1:28" x14ac:dyDescent="0.45">
      <c r="A1557" s="2" t="s">
        <v>2154</v>
      </c>
      <c r="B1557" s="2" t="s">
        <v>6651</v>
      </c>
      <c r="C1557" s="2" t="s">
        <v>2137</v>
      </c>
      <c r="D1557" s="2" t="s">
        <v>2138</v>
      </c>
      <c r="E1557" s="2" t="s">
        <v>2139</v>
      </c>
      <c r="F1557" s="3">
        <v>6.07</v>
      </c>
      <c r="G1557" s="3">
        <v>9.6300000000000008</v>
      </c>
      <c r="H1557" s="2" t="s">
        <v>1114</v>
      </c>
      <c r="I1557" s="19">
        <v>8</v>
      </c>
      <c r="J1557" s="34">
        <f t="shared" si="96"/>
        <v>6.9599999999999995E-2</v>
      </c>
      <c r="K1557" s="34">
        <f t="shared" si="97"/>
        <v>0.1</v>
      </c>
      <c r="L1557" s="34">
        <f t="shared" si="98"/>
        <v>0.4</v>
      </c>
      <c r="M1557" s="20" t="s">
        <v>4610</v>
      </c>
      <c r="N1557" s="20" t="s">
        <v>4597</v>
      </c>
      <c r="O1557" s="20" t="s">
        <v>3892</v>
      </c>
      <c r="P1557" s="20" t="s">
        <v>4598</v>
      </c>
      <c r="Q1557" s="21">
        <v>5.8</v>
      </c>
      <c r="R1557" s="21">
        <v>9.6</v>
      </c>
      <c r="S1557" s="21">
        <v>1.9</v>
      </c>
      <c r="T1557" s="22">
        <v>0.2</v>
      </c>
      <c r="U1557" s="13">
        <f t="shared" si="99"/>
        <v>-0.2</v>
      </c>
      <c r="V1557" s="23">
        <v>24.5</v>
      </c>
      <c r="W1557" s="23">
        <v>24.5</v>
      </c>
      <c r="X1557" s="20">
        <v>2</v>
      </c>
      <c r="Y1557" s="24" t="s">
        <v>3713</v>
      </c>
      <c r="Z1557" s="16">
        <v>16.5</v>
      </c>
      <c r="AA1557" s="17">
        <v>206.2</v>
      </c>
      <c r="AB1557" s="25" t="s">
        <v>4350</v>
      </c>
    </row>
    <row r="1558" spans="1:28" x14ac:dyDescent="0.45">
      <c r="A1558" s="4" t="s">
        <v>2155</v>
      </c>
      <c r="B1558" s="4" t="s">
        <v>6652</v>
      </c>
      <c r="C1558" s="4" t="s">
        <v>2137</v>
      </c>
      <c r="D1558" s="4" t="s">
        <v>2138</v>
      </c>
      <c r="E1558" s="4" t="s">
        <v>2139</v>
      </c>
      <c r="F1558" s="5">
        <v>6.74</v>
      </c>
      <c r="G1558" s="5">
        <v>10.3</v>
      </c>
      <c r="H1558" s="4" t="s">
        <v>1114</v>
      </c>
      <c r="I1558" s="10">
        <v>8</v>
      </c>
      <c r="J1558" s="34">
        <f t="shared" si="96"/>
        <v>6.9599999999999995E-2</v>
      </c>
      <c r="K1558" s="34">
        <f t="shared" si="97"/>
        <v>0.1</v>
      </c>
      <c r="L1558" s="34">
        <f t="shared" si="98"/>
        <v>0.4</v>
      </c>
      <c r="M1558" s="11" t="s">
        <v>4615</v>
      </c>
      <c r="N1558" s="11" t="s">
        <v>4597</v>
      </c>
      <c r="O1558" s="11" t="s">
        <v>3892</v>
      </c>
      <c r="P1558" s="11" t="s">
        <v>4598</v>
      </c>
      <c r="Q1558" s="12">
        <v>6.8</v>
      </c>
      <c r="R1558" s="12">
        <v>10.6</v>
      </c>
      <c r="S1558" s="12">
        <v>1.9</v>
      </c>
      <c r="T1558" s="13">
        <v>0.46</v>
      </c>
      <c r="U1558" s="13">
        <f t="shared" si="99"/>
        <v>0.06</v>
      </c>
      <c r="V1558" s="14">
        <v>56.35</v>
      </c>
      <c r="W1558" s="14">
        <v>56.35</v>
      </c>
      <c r="X1558" s="11">
        <v>18</v>
      </c>
      <c r="Y1558" s="15" t="s">
        <v>3713</v>
      </c>
      <c r="Z1558" s="16">
        <v>48.35</v>
      </c>
      <c r="AA1558" s="17">
        <v>604.4</v>
      </c>
      <c r="AB1558" s="18" t="s">
        <v>4616</v>
      </c>
    </row>
    <row r="1559" spans="1:28" x14ac:dyDescent="0.45">
      <c r="A1559" s="2" t="s">
        <v>2156</v>
      </c>
      <c r="B1559" s="2" t="s">
        <v>6653</v>
      </c>
      <c r="C1559" s="2" t="s">
        <v>2137</v>
      </c>
      <c r="D1559" s="2" t="s">
        <v>2138</v>
      </c>
      <c r="E1559" s="2" t="s">
        <v>2139</v>
      </c>
      <c r="F1559" s="3">
        <v>6.8</v>
      </c>
      <c r="G1559" s="3">
        <v>10.6</v>
      </c>
      <c r="H1559" s="2" t="s">
        <v>1112</v>
      </c>
      <c r="I1559" s="19">
        <v>8</v>
      </c>
      <c r="J1559" s="34">
        <f t="shared" si="96"/>
        <v>6.9599999999999995E-2</v>
      </c>
      <c r="K1559" s="34">
        <f t="shared" si="97"/>
        <v>0.1</v>
      </c>
      <c r="L1559" s="34">
        <f t="shared" si="98"/>
        <v>0.4</v>
      </c>
      <c r="M1559" s="20" t="s">
        <v>4615</v>
      </c>
      <c r="N1559" s="20" t="s">
        <v>4597</v>
      </c>
      <c r="O1559" s="20" t="s">
        <v>3892</v>
      </c>
      <c r="P1559" s="20" t="s">
        <v>4598</v>
      </c>
      <c r="Q1559" s="21">
        <v>6.8</v>
      </c>
      <c r="R1559" s="21">
        <v>10.6</v>
      </c>
      <c r="S1559" s="21">
        <v>1.9</v>
      </c>
      <c r="T1559" s="22">
        <v>0.46</v>
      </c>
      <c r="U1559" s="13">
        <f t="shared" si="99"/>
        <v>0.06</v>
      </c>
      <c r="V1559" s="23">
        <v>56.35</v>
      </c>
      <c r="W1559" s="23">
        <v>56.35</v>
      </c>
      <c r="X1559" s="20">
        <v>18</v>
      </c>
      <c r="Y1559" s="24" t="s">
        <v>3713</v>
      </c>
      <c r="Z1559" s="16">
        <v>48.35</v>
      </c>
      <c r="AA1559" s="17">
        <v>604.4</v>
      </c>
      <c r="AB1559" s="25" t="s">
        <v>3714</v>
      </c>
    </row>
    <row r="1560" spans="1:28" x14ac:dyDescent="0.45">
      <c r="A1560" s="4" t="s">
        <v>2157</v>
      </c>
      <c r="B1560" s="4" t="s">
        <v>6654</v>
      </c>
      <c r="C1560" s="4" t="s">
        <v>2137</v>
      </c>
      <c r="D1560" s="4" t="s">
        <v>2138</v>
      </c>
      <c r="E1560" s="4" t="s">
        <v>2139</v>
      </c>
      <c r="F1560" s="5">
        <v>6</v>
      </c>
      <c r="G1560" s="5">
        <v>9</v>
      </c>
      <c r="H1560" s="4" t="s">
        <v>1120</v>
      </c>
      <c r="I1560" s="10">
        <v>8</v>
      </c>
      <c r="J1560" s="34">
        <f t="shared" si="96"/>
        <v>6.9599999999999995E-2</v>
      </c>
      <c r="K1560" s="34">
        <f t="shared" si="97"/>
        <v>0.1</v>
      </c>
      <c r="L1560" s="34">
        <f t="shared" si="98"/>
        <v>0.4</v>
      </c>
      <c r="M1560" s="11" t="s">
        <v>4617</v>
      </c>
      <c r="N1560" s="11" t="s">
        <v>4597</v>
      </c>
      <c r="O1560" s="11" t="s">
        <v>3892</v>
      </c>
      <c r="P1560" s="11" t="s">
        <v>4598</v>
      </c>
      <c r="Q1560" s="12">
        <v>6</v>
      </c>
      <c r="R1560" s="12">
        <v>9</v>
      </c>
      <c r="S1560" s="12">
        <v>1.5</v>
      </c>
      <c r="T1560" s="13">
        <v>0.2</v>
      </c>
      <c r="U1560" s="13">
        <f t="shared" si="99"/>
        <v>-0.2</v>
      </c>
      <c r="V1560" s="14">
        <v>24.5</v>
      </c>
      <c r="W1560" s="14">
        <v>24.5</v>
      </c>
      <c r="X1560" s="11">
        <v>270</v>
      </c>
      <c r="Y1560" s="15" t="s">
        <v>3713</v>
      </c>
      <c r="Z1560" s="16">
        <v>16.5</v>
      </c>
      <c r="AA1560" s="17">
        <v>206.2</v>
      </c>
      <c r="AB1560" s="18" t="s">
        <v>3714</v>
      </c>
    </row>
    <row r="1561" spans="1:28" x14ac:dyDescent="0.45">
      <c r="A1561" s="2" t="s">
        <v>2158</v>
      </c>
      <c r="B1561" s="2" t="s">
        <v>6655</v>
      </c>
      <c r="C1561" s="2" t="s">
        <v>2137</v>
      </c>
      <c r="D1561" s="2" t="s">
        <v>2138</v>
      </c>
      <c r="E1561" s="2" t="s">
        <v>2139</v>
      </c>
      <c r="F1561" s="3">
        <v>6</v>
      </c>
      <c r="G1561" s="3">
        <v>10</v>
      </c>
      <c r="H1561" s="2" t="s">
        <v>1122</v>
      </c>
      <c r="I1561" s="19">
        <v>8</v>
      </c>
      <c r="J1561" s="34">
        <f t="shared" si="96"/>
        <v>6.9599999999999995E-2</v>
      </c>
      <c r="K1561" s="34">
        <f t="shared" si="97"/>
        <v>0.1</v>
      </c>
      <c r="L1561" s="34">
        <f t="shared" si="98"/>
        <v>0.4</v>
      </c>
      <c r="M1561" s="20" t="s">
        <v>4607</v>
      </c>
      <c r="N1561" s="20" t="s">
        <v>4597</v>
      </c>
      <c r="O1561" s="20" t="s">
        <v>3892</v>
      </c>
      <c r="P1561" s="20" t="s">
        <v>4598</v>
      </c>
      <c r="Q1561" s="21">
        <v>6</v>
      </c>
      <c r="R1561" s="21">
        <v>10</v>
      </c>
      <c r="S1561" s="21">
        <v>2</v>
      </c>
      <c r="T1561" s="22">
        <v>0.3</v>
      </c>
      <c r="U1561" s="13">
        <f t="shared" si="99"/>
        <v>-0.10000000000000003</v>
      </c>
      <c r="V1561" s="23">
        <v>36.75</v>
      </c>
      <c r="W1561" s="23">
        <v>36.75</v>
      </c>
      <c r="X1561" s="20">
        <v>163</v>
      </c>
      <c r="Y1561" s="24" t="s">
        <v>3713</v>
      </c>
      <c r="Z1561" s="16">
        <v>28.75</v>
      </c>
      <c r="AA1561" s="17">
        <v>359.4</v>
      </c>
      <c r="AB1561" s="25" t="s">
        <v>3714</v>
      </c>
    </row>
    <row r="1562" spans="1:28" x14ac:dyDescent="0.45">
      <c r="A1562" s="4" t="s">
        <v>2159</v>
      </c>
      <c r="B1562" s="4" t="s">
        <v>6656</v>
      </c>
      <c r="C1562" s="4" t="s">
        <v>2137</v>
      </c>
      <c r="D1562" s="4" t="s">
        <v>2138</v>
      </c>
      <c r="E1562" s="4" t="s">
        <v>2139</v>
      </c>
      <c r="F1562" s="5">
        <v>7.1</v>
      </c>
      <c r="G1562" s="5">
        <v>10.3</v>
      </c>
      <c r="H1562" s="4" t="s">
        <v>1514</v>
      </c>
      <c r="I1562" s="10">
        <v>8</v>
      </c>
      <c r="J1562" s="34">
        <f t="shared" si="96"/>
        <v>6.9599999999999995E-2</v>
      </c>
      <c r="K1562" s="34">
        <f t="shared" si="97"/>
        <v>0.1</v>
      </c>
      <c r="L1562" s="34">
        <f t="shared" si="98"/>
        <v>0.4</v>
      </c>
      <c r="M1562" s="11" t="s">
        <v>4618</v>
      </c>
      <c r="N1562" s="11" t="s">
        <v>4597</v>
      </c>
      <c r="O1562" s="11" t="s">
        <v>3892</v>
      </c>
      <c r="P1562" s="11" t="s">
        <v>4598</v>
      </c>
      <c r="Q1562" s="12">
        <v>7.1</v>
      </c>
      <c r="R1562" s="12">
        <v>10.3</v>
      </c>
      <c r="S1562" s="12">
        <v>1.6</v>
      </c>
      <c r="T1562" s="13">
        <v>0.37</v>
      </c>
      <c r="U1562" s="13">
        <f t="shared" si="99"/>
        <v>-3.0000000000000027E-2</v>
      </c>
      <c r="V1562" s="14">
        <v>45.32</v>
      </c>
      <c r="W1562" s="14">
        <v>45.32</v>
      </c>
      <c r="X1562" s="11">
        <v>3</v>
      </c>
      <c r="Y1562" s="15" t="s">
        <v>3713</v>
      </c>
      <c r="Z1562" s="16">
        <v>37.32</v>
      </c>
      <c r="AA1562" s="17">
        <v>466.5</v>
      </c>
      <c r="AB1562" s="18" t="s">
        <v>3714</v>
      </c>
    </row>
    <row r="1563" spans="1:28" x14ac:dyDescent="0.45">
      <c r="A1563" s="2" t="s">
        <v>2160</v>
      </c>
      <c r="B1563" s="2" t="s">
        <v>6657</v>
      </c>
      <c r="C1563" s="2" t="s">
        <v>2137</v>
      </c>
      <c r="D1563" s="2" t="s">
        <v>2138</v>
      </c>
      <c r="E1563" s="2" t="s">
        <v>2139</v>
      </c>
      <c r="F1563" s="3">
        <v>7.59</v>
      </c>
      <c r="G1563" s="3">
        <v>12.83</v>
      </c>
      <c r="H1563" s="2" t="s">
        <v>1127</v>
      </c>
      <c r="I1563" s="19">
        <v>8</v>
      </c>
      <c r="J1563" s="34">
        <f t="shared" si="96"/>
        <v>6.9599999999999995E-2</v>
      </c>
      <c r="K1563" s="34">
        <f t="shared" si="97"/>
        <v>0.1</v>
      </c>
      <c r="L1563" s="34">
        <f t="shared" si="98"/>
        <v>0.4</v>
      </c>
      <c r="M1563" s="20" t="s">
        <v>4619</v>
      </c>
      <c r="N1563" s="20" t="s">
        <v>4597</v>
      </c>
      <c r="O1563" s="20" t="s">
        <v>3892</v>
      </c>
      <c r="P1563" s="20" t="s">
        <v>4598</v>
      </c>
      <c r="Q1563" s="21">
        <v>7.6</v>
      </c>
      <c r="R1563" s="21">
        <v>12.4</v>
      </c>
      <c r="S1563" s="21">
        <v>2.4</v>
      </c>
      <c r="T1563" s="22">
        <v>0.48</v>
      </c>
      <c r="U1563" s="13">
        <f t="shared" si="99"/>
        <v>7.999999999999996E-2</v>
      </c>
      <c r="V1563" s="23">
        <v>58.8</v>
      </c>
      <c r="W1563" s="23">
        <v>58.8</v>
      </c>
      <c r="X1563" s="20" t="s">
        <v>3722</v>
      </c>
      <c r="Y1563" s="24" t="s">
        <v>3713</v>
      </c>
      <c r="Z1563" s="16">
        <v>50.8</v>
      </c>
      <c r="AA1563" s="17">
        <v>635</v>
      </c>
      <c r="AB1563" s="25" t="s">
        <v>3908</v>
      </c>
    </row>
    <row r="1564" spans="1:28" x14ac:dyDescent="0.45">
      <c r="A1564" s="4" t="s">
        <v>2161</v>
      </c>
      <c r="B1564" s="4" t="s">
        <v>6658</v>
      </c>
      <c r="C1564" s="4" t="s">
        <v>2137</v>
      </c>
      <c r="D1564" s="4" t="s">
        <v>2138</v>
      </c>
      <c r="E1564" s="4" t="s">
        <v>2139</v>
      </c>
      <c r="F1564" s="5">
        <v>7.5</v>
      </c>
      <c r="G1564" s="5">
        <v>10.5</v>
      </c>
      <c r="H1564" s="4" t="s">
        <v>1120</v>
      </c>
      <c r="I1564" s="10">
        <v>8</v>
      </c>
      <c r="J1564" s="34">
        <f t="shared" si="96"/>
        <v>6.9599999999999995E-2</v>
      </c>
      <c r="K1564" s="34">
        <f t="shared" si="97"/>
        <v>0.1</v>
      </c>
      <c r="L1564" s="34">
        <f t="shared" si="98"/>
        <v>0.4</v>
      </c>
      <c r="M1564" s="11" t="s">
        <v>4620</v>
      </c>
      <c r="N1564" s="11" t="s">
        <v>4597</v>
      </c>
      <c r="O1564" s="11" t="s">
        <v>3892</v>
      </c>
      <c r="P1564" s="11" t="s">
        <v>4598</v>
      </c>
      <c r="Q1564" s="12">
        <v>7.5</v>
      </c>
      <c r="R1564" s="12">
        <v>10.5</v>
      </c>
      <c r="S1564" s="12">
        <v>1.5</v>
      </c>
      <c r="T1564" s="13">
        <v>0.2</v>
      </c>
      <c r="U1564" s="13">
        <f t="shared" si="99"/>
        <v>-0.2</v>
      </c>
      <c r="V1564" s="14">
        <v>24.5</v>
      </c>
      <c r="W1564" s="14">
        <v>24.5</v>
      </c>
      <c r="X1564" s="11" t="s">
        <v>3722</v>
      </c>
      <c r="Y1564" s="15" t="s">
        <v>3713</v>
      </c>
      <c r="Z1564" s="16">
        <v>16.5</v>
      </c>
      <c r="AA1564" s="17">
        <v>206.2</v>
      </c>
      <c r="AB1564" s="18" t="s">
        <v>3714</v>
      </c>
    </row>
    <row r="1565" spans="1:28" x14ac:dyDescent="0.45">
      <c r="A1565" s="2" t="s">
        <v>2162</v>
      </c>
      <c r="B1565" s="2" t="s">
        <v>6659</v>
      </c>
      <c r="C1565" s="2" t="s">
        <v>2137</v>
      </c>
      <c r="D1565" s="2" t="s">
        <v>2138</v>
      </c>
      <c r="E1565" s="2" t="s">
        <v>2139</v>
      </c>
      <c r="F1565" s="3">
        <v>7.65</v>
      </c>
      <c r="G1565" s="3">
        <v>11.21</v>
      </c>
      <c r="H1565" s="2" t="s">
        <v>1114</v>
      </c>
      <c r="I1565" s="19">
        <v>8</v>
      </c>
      <c r="J1565" s="34">
        <f t="shared" si="96"/>
        <v>6.9599999999999995E-2</v>
      </c>
      <c r="K1565" s="34">
        <f t="shared" si="97"/>
        <v>0.1</v>
      </c>
      <c r="L1565" s="34">
        <f t="shared" si="98"/>
        <v>0.4</v>
      </c>
      <c r="M1565" s="20" t="s">
        <v>4621</v>
      </c>
      <c r="N1565" s="20" t="s">
        <v>4597</v>
      </c>
      <c r="O1565" s="20" t="s">
        <v>3892</v>
      </c>
      <c r="P1565" s="20" t="s">
        <v>4598</v>
      </c>
      <c r="Q1565" s="21">
        <v>7.5</v>
      </c>
      <c r="R1565" s="21">
        <v>11.1</v>
      </c>
      <c r="S1565" s="21">
        <v>1.8</v>
      </c>
      <c r="T1565" s="22">
        <v>0.2</v>
      </c>
      <c r="U1565" s="13">
        <f t="shared" si="99"/>
        <v>-0.2</v>
      </c>
      <c r="V1565" s="23">
        <v>24.5</v>
      </c>
      <c r="W1565" s="23">
        <v>24.5</v>
      </c>
      <c r="X1565" s="20">
        <v>302</v>
      </c>
      <c r="Y1565" s="24" t="s">
        <v>3713</v>
      </c>
      <c r="Z1565" s="16">
        <v>16.5</v>
      </c>
      <c r="AA1565" s="17">
        <v>206.2</v>
      </c>
      <c r="AB1565" s="25" t="s">
        <v>4622</v>
      </c>
    </row>
    <row r="1566" spans="1:28" x14ac:dyDescent="0.45">
      <c r="A1566" s="4" t="s">
        <v>2163</v>
      </c>
      <c r="B1566" s="4" t="s">
        <v>6660</v>
      </c>
      <c r="C1566" s="4" t="s">
        <v>2137</v>
      </c>
      <c r="D1566" s="4" t="s">
        <v>2138</v>
      </c>
      <c r="E1566" s="4" t="s">
        <v>2139</v>
      </c>
      <c r="F1566" s="5">
        <v>7.8</v>
      </c>
      <c r="G1566" s="5">
        <v>11.6</v>
      </c>
      <c r="H1566" s="4" t="s">
        <v>1112</v>
      </c>
      <c r="I1566" s="10">
        <v>8</v>
      </c>
      <c r="J1566" s="34">
        <f t="shared" si="96"/>
        <v>6.9599999999999995E-2</v>
      </c>
      <c r="K1566" s="34">
        <f t="shared" si="97"/>
        <v>0.1</v>
      </c>
      <c r="L1566" s="34">
        <f t="shared" si="98"/>
        <v>0.4</v>
      </c>
      <c r="M1566" s="11" t="s">
        <v>4623</v>
      </c>
      <c r="N1566" s="11" t="s">
        <v>4597</v>
      </c>
      <c r="O1566" s="11" t="s">
        <v>3892</v>
      </c>
      <c r="P1566" s="11" t="s">
        <v>4598</v>
      </c>
      <c r="Q1566" s="12">
        <v>7.8</v>
      </c>
      <c r="R1566" s="12">
        <v>11.6</v>
      </c>
      <c r="S1566" s="12">
        <v>1.9</v>
      </c>
      <c r="T1566" s="13">
        <v>1.27</v>
      </c>
      <c r="U1566" s="13">
        <f t="shared" si="99"/>
        <v>0.87</v>
      </c>
      <c r="V1566" s="14">
        <v>155.57</v>
      </c>
      <c r="W1566" s="14">
        <v>155.57</v>
      </c>
      <c r="X1566" s="11" t="s">
        <v>3722</v>
      </c>
      <c r="Y1566" s="15" t="s">
        <v>3713</v>
      </c>
      <c r="Z1566" s="16">
        <v>147.57</v>
      </c>
      <c r="AA1566" s="17">
        <v>1844.6</v>
      </c>
      <c r="AB1566" s="18" t="s">
        <v>3714</v>
      </c>
    </row>
    <row r="1567" spans="1:28" x14ac:dyDescent="0.45">
      <c r="A1567" s="2" t="s">
        <v>2164</v>
      </c>
      <c r="B1567" s="2" t="s">
        <v>6661</v>
      </c>
      <c r="C1567" s="2" t="s">
        <v>2137</v>
      </c>
      <c r="D1567" s="2" t="s">
        <v>2138</v>
      </c>
      <c r="E1567" s="2" t="s">
        <v>2139</v>
      </c>
      <c r="F1567" s="3">
        <v>7</v>
      </c>
      <c r="G1567" s="3">
        <v>10</v>
      </c>
      <c r="H1567" s="2" t="s">
        <v>1120</v>
      </c>
      <c r="I1567" s="19">
        <v>8</v>
      </c>
      <c r="J1567" s="34">
        <f t="shared" si="96"/>
        <v>6.9599999999999995E-2</v>
      </c>
      <c r="K1567" s="34">
        <f t="shared" si="97"/>
        <v>0.1</v>
      </c>
      <c r="L1567" s="34">
        <f t="shared" si="98"/>
        <v>0.4</v>
      </c>
      <c r="M1567" s="20" t="s">
        <v>4624</v>
      </c>
      <c r="N1567" s="20" t="s">
        <v>4597</v>
      </c>
      <c r="O1567" s="20" t="s">
        <v>3892</v>
      </c>
      <c r="P1567" s="20" t="s">
        <v>4598</v>
      </c>
      <c r="Q1567" s="21">
        <v>7</v>
      </c>
      <c r="R1567" s="21">
        <v>10</v>
      </c>
      <c r="S1567" s="21">
        <v>1.5</v>
      </c>
      <c r="T1567" s="22">
        <v>0.25</v>
      </c>
      <c r="U1567" s="13">
        <f t="shared" si="99"/>
        <v>-0.15000000000000002</v>
      </c>
      <c r="V1567" s="23">
        <v>30.62</v>
      </c>
      <c r="W1567" s="23">
        <v>30.62</v>
      </c>
      <c r="X1567" s="20">
        <v>38</v>
      </c>
      <c r="Y1567" s="24" t="s">
        <v>3713</v>
      </c>
      <c r="Z1567" s="16">
        <v>22.62</v>
      </c>
      <c r="AA1567" s="17">
        <v>282.8</v>
      </c>
      <c r="AB1567" s="25" t="s">
        <v>3714</v>
      </c>
    </row>
    <row r="1568" spans="1:28" x14ac:dyDescent="0.45">
      <c r="A1568" s="4" t="s">
        <v>2165</v>
      </c>
      <c r="B1568" s="4" t="s">
        <v>6662</v>
      </c>
      <c r="C1568" s="4" t="s">
        <v>2137</v>
      </c>
      <c r="D1568" s="4" t="s">
        <v>2138</v>
      </c>
      <c r="E1568" s="4" t="s">
        <v>2139</v>
      </c>
      <c r="F1568" s="5">
        <v>7</v>
      </c>
      <c r="G1568" s="5">
        <v>11</v>
      </c>
      <c r="H1568" s="4" t="s">
        <v>1122</v>
      </c>
      <c r="I1568" s="10">
        <v>8</v>
      </c>
      <c r="J1568" s="34">
        <f t="shared" si="96"/>
        <v>6.9599999999999995E-2</v>
      </c>
      <c r="K1568" s="34">
        <f t="shared" si="97"/>
        <v>0.1</v>
      </c>
      <c r="L1568" s="34">
        <f t="shared" si="98"/>
        <v>0.4</v>
      </c>
      <c r="M1568" s="11" t="s">
        <v>4625</v>
      </c>
      <c r="N1568" s="11" t="s">
        <v>4597</v>
      </c>
      <c r="O1568" s="11" t="s">
        <v>3892</v>
      </c>
      <c r="P1568" s="11" t="s">
        <v>4598</v>
      </c>
      <c r="Q1568" s="12">
        <v>7</v>
      </c>
      <c r="R1568" s="12">
        <v>11</v>
      </c>
      <c r="S1568" s="12">
        <v>2</v>
      </c>
      <c r="T1568" s="13">
        <v>0.93</v>
      </c>
      <c r="U1568" s="13">
        <f t="shared" si="99"/>
        <v>0.53</v>
      </c>
      <c r="V1568" s="14">
        <v>113.93</v>
      </c>
      <c r="W1568" s="14">
        <v>113.93</v>
      </c>
      <c r="X1568" s="11">
        <v>244</v>
      </c>
      <c r="Y1568" s="15" t="s">
        <v>3713</v>
      </c>
      <c r="Z1568" s="16">
        <v>105.93</v>
      </c>
      <c r="AA1568" s="17">
        <v>1324.1</v>
      </c>
      <c r="AB1568" s="18" t="s">
        <v>3714</v>
      </c>
    </row>
    <row r="1569" spans="1:28" x14ac:dyDescent="0.45">
      <c r="A1569" s="2" t="s">
        <v>2166</v>
      </c>
      <c r="B1569" s="2" t="s">
        <v>6663</v>
      </c>
      <c r="C1569" s="2" t="s">
        <v>2137</v>
      </c>
      <c r="D1569" s="2" t="s">
        <v>2138</v>
      </c>
      <c r="E1569" s="2" t="s">
        <v>2139</v>
      </c>
      <c r="F1569" s="3">
        <v>7</v>
      </c>
      <c r="G1569" s="3">
        <v>13</v>
      </c>
      <c r="H1569" s="2" t="s">
        <v>1149</v>
      </c>
      <c r="I1569" s="19">
        <v>8</v>
      </c>
      <c r="J1569" s="34">
        <f t="shared" si="96"/>
        <v>6.9599999999999995E-2</v>
      </c>
      <c r="K1569" s="34">
        <f t="shared" si="97"/>
        <v>0.1</v>
      </c>
      <c r="L1569" s="34">
        <f t="shared" si="98"/>
        <v>0.4</v>
      </c>
      <c r="M1569" s="20" t="s">
        <v>4626</v>
      </c>
      <c r="N1569" s="20" t="s">
        <v>4597</v>
      </c>
      <c r="O1569" s="20" t="s">
        <v>3892</v>
      </c>
      <c r="P1569" s="20" t="s">
        <v>4598</v>
      </c>
      <c r="Q1569" s="21">
        <v>7.62</v>
      </c>
      <c r="R1569" s="21">
        <v>12.954000000000001</v>
      </c>
      <c r="S1569" s="21">
        <v>2.54</v>
      </c>
      <c r="T1569" s="22">
        <v>0.2</v>
      </c>
      <c r="U1569" s="13">
        <f t="shared" si="99"/>
        <v>-0.2</v>
      </c>
      <c r="V1569" s="23">
        <v>24.5</v>
      </c>
      <c r="W1569" s="23">
        <v>24.5</v>
      </c>
      <c r="X1569" s="20">
        <v>421</v>
      </c>
      <c r="Y1569" s="24" t="s">
        <v>3737</v>
      </c>
      <c r="Z1569" s="16">
        <v>16.5</v>
      </c>
      <c r="AA1569" s="17">
        <v>206.2</v>
      </c>
      <c r="AB1569" s="25" t="s">
        <v>4627</v>
      </c>
    </row>
    <row r="1570" spans="1:28" x14ac:dyDescent="0.45">
      <c r="A1570" s="4" t="s">
        <v>2167</v>
      </c>
      <c r="B1570" s="4" t="s">
        <v>6664</v>
      </c>
      <c r="C1570" s="4" t="s">
        <v>2137</v>
      </c>
      <c r="D1570" s="4" t="s">
        <v>2138</v>
      </c>
      <c r="E1570" s="4" t="s">
        <v>2139</v>
      </c>
      <c r="F1570" s="5">
        <v>7</v>
      </c>
      <c r="G1570" s="5">
        <v>17</v>
      </c>
      <c r="H1570" s="4" t="s">
        <v>1245</v>
      </c>
      <c r="I1570" s="10">
        <v>17</v>
      </c>
      <c r="J1570" s="34">
        <f t="shared" si="96"/>
        <v>0.14789999999999998</v>
      </c>
      <c r="K1570" s="34">
        <f t="shared" si="97"/>
        <v>0.22</v>
      </c>
      <c r="L1570" s="34">
        <f t="shared" si="98"/>
        <v>0.88</v>
      </c>
      <c r="M1570" s="11" t="s">
        <v>4628</v>
      </c>
      <c r="N1570" s="11" t="s">
        <v>4597</v>
      </c>
      <c r="O1570" s="11" t="s">
        <v>3892</v>
      </c>
      <c r="P1570" s="11" t="s">
        <v>4598</v>
      </c>
      <c r="Q1570" s="12">
        <v>8</v>
      </c>
      <c r="R1570" s="12">
        <v>16</v>
      </c>
      <c r="S1570" s="12">
        <v>4</v>
      </c>
      <c r="T1570" s="13">
        <v>1.07</v>
      </c>
      <c r="U1570" s="13">
        <f t="shared" si="99"/>
        <v>0.19000000000000006</v>
      </c>
      <c r="V1570" s="14">
        <v>131.08000000000001</v>
      </c>
      <c r="W1570" s="14">
        <v>131.08000000000001</v>
      </c>
      <c r="X1570" s="11">
        <v>101</v>
      </c>
      <c r="Y1570" s="15" t="s">
        <v>3713</v>
      </c>
      <c r="Z1570" s="16">
        <v>114.08</v>
      </c>
      <c r="AA1570" s="17">
        <v>671.1</v>
      </c>
      <c r="AB1570" s="18" t="s">
        <v>3783</v>
      </c>
    </row>
    <row r="1571" spans="1:28" x14ac:dyDescent="0.45">
      <c r="A1571" s="2" t="s">
        <v>2168</v>
      </c>
      <c r="B1571" s="2" t="s">
        <v>6665</v>
      </c>
      <c r="C1571" s="2" t="s">
        <v>2137</v>
      </c>
      <c r="D1571" s="2" t="s">
        <v>2138</v>
      </c>
      <c r="E1571" s="2" t="s">
        <v>2139</v>
      </c>
      <c r="F1571" s="3">
        <v>8.1</v>
      </c>
      <c r="G1571" s="3">
        <v>11.3</v>
      </c>
      <c r="H1571" s="2" t="s">
        <v>1514</v>
      </c>
      <c r="I1571" s="19">
        <v>8</v>
      </c>
      <c r="J1571" s="34">
        <f t="shared" si="96"/>
        <v>6.9599999999999995E-2</v>
      </c>
      <c r="K1571" s="34">
        <f t="shared" si="97"/>
        <v>0.1</v>
      </c>
      <c r="L1571" s="34">
        <f t="shared" si="98"/>
        <v>0.4</v>
      </c>
      <c r="M1571" s="20" t="s">
        <v>4629</v>
      </c>
      <c r="N1571" s="20" t="s">
        <v>4597</v>
      </c>
      <c r="O1571" s="20" t="s">
        <v>3892</v>
      </c>
      <c r="P1571" s="20" t="s">
        <v>4598</v>
      </c>
      <c r="Q1571" s="21">
        <v>8.1</v>
      </c>
      <c r="R1571" s="21">
        <v>11.3</v>
      </c>
      <c r="S1571" s="21">
        <v>1.6</v>
      </c>
      <c r="T1571" s="22">
        <v>0.2</v>
      </c>
      <c r="U1571" s="13">
        <f t="shared" si="99"/>
        <v>-0.2</v>
      </c>
      <c r="V1571" s="23">
        <v>24.5</v>
      </c>
      <c r="W1571" s="23">
        <v>24.5</v>
      </c>
      <c r="X1571" s="20">
        <v>2961</v>
      </c>
      <c r="Y1571" s="24" t="s">
        <v>3713</v>
      </c>
      <c r="Z1571" s="16">
        <v>16.5</v>
      </c>
      <c r="AA1571" s="17">
        <v>206.2</v>
      </c>
      <c r="AB1571" s="25" t="s">
        <v>3714</v>
      </c>
    </row>
    <row r="1572" spans="1:28" x14ac:dyDescent="0.45">
      <c r="A1572" s="4" t="s">
        <v>2169</v>
      </c>
      <c r="B1572" s="4" t="s">
        <v>6666</v>
      </c>
      <c r="C1572" s="4" t="s">
        <v>2137</v>
      </c>
      <c r="D1572" s="4" t="s">
        <v>2138</v>
      </c>
      <c r="E1572" s="4" t="s">
        <v>2139</v>
      </c>
      <c r="F1572" s="5">
        <v>8.74</v>
      </c>
      <c r="G1572" s="5">
        <v>12.3</v>
      </c>
      <c r="H1572" s="4" t="s">
        <v>1114</v>
      </c>
      <c r="I1572" s="10">
        <v>8</v>
      </c>
      <c r="J1572" s="34">
        <f t="shared" si="96"/>
        <v>6.9599999999999995E-2</v>
      </c>
      <c r="K1572" s="34">
        <f t="shared" si="97"/>
        <v>0.1</v>
      </c>
      <c r="L1572" s="34">
        <f t="shared" si="98"/>
        <v>0.4</v>
      </c>
      <c r="M1572" s="11" t="s">
        <v>4630</v>
      </c>
      <c r="N1572" s="11" t="s">
        <v>4597</v>
      </c>
      <c r="O1572" s="11" t="s">
        <v>3892</v>
      </c>
      <c r="P1572" s="11" t="s">
        <v>4598</v>
      </c>
      <c r="Q1572" s="12">
        <v>9.1</v>
      </c>
      <c r="R1572" s="12">
        <v>12.3</v>
      </c>
      <c r="S1572" s="12">
        <v>1.6</v>
      </c>
      <c r="T1572" s="13">
        <v>0.28999999999999998</v>
      </c>
      <c r="U1572" s="13">
        <f t="shared" si="99"/>
        <v>-0.11000000000000004</v>
      </c>
      <c r="V1572" s="14">
        <v>35.520000000000003</v>
      </c>
      <c r="W1572" s="14">
        <v>35.520000000000003</v>
      </c>
      <c r="X1572" s="11">
        <v>140</v>
      </c>
      <c r="Y1572" s="15" t="s">
        <v>3713</v>
      </c>
      <c r="Z1572" s="16">
        <v>27.52</v>
      </c>
      <c r="AA1572" s="17">
        <v>344</v>
      </c>
      <c r="AB1572" s="18" t="s">
        <v>4631</v>
      </c>
    </row>
    <row r="1573" spans="1:28" x14ac:dyDescent="0.45">
      <c r="A1573" s="2" t="s">
        <v>2170</v>
      </c>
      <c r="B1573" s="2" t="s">
        <v>6667</v>
      </c>
      <c r="C1573" s="2" t="s">
        <v>2137</v>
      </c>
      <c r="D1573" s="2" t="s">
        <v>2138</v>
      </c>
      <c r="E1573" s="2" t="s">
        <v>2139</v>
      </c>
      <c r="F1573" s="3">
        <v>8.8000000000000007</v>
      </c>
      <c r="G1573" s="3">
        <v>12.6</v>
      </c>
      <c r="H1573" s="2" t="s">
        <v>1112</v>
      </c>
      <c r="I1573" s="19">
        <v>8</v>
      </c>
      <c r="J1573" s="34">
        <f t="shared" si="96"/>
        <v>6.9599999999999995E-2</v>
      </c>
      <c r="K1573" s="34">
        <f t="shared" si="97"/>
        <v>0.1</v>
      </c>
      <c r="L1573" s="34">
        <f t="shared" si="98"/>
        <v>0.4</v>
      </c>
      <c r="M1573" s="20" t="s">
        <v>4632</v>
      </c>
      <c r="N1573" s="20" t="s">
        <v>4597</v>
      </c>
      <c r="O1573" s="20" t="s">
        <v>3892</v>
      </c>
      <c r="P1573" s="20" t="s">
        <v>4598</v>
      </c>
      <c r="Q1573" s="21">
        <v>8.9</v>
      </c>
      <c r="R1573" s="21">
        <v>12.7</v>
      </c>
      <c r="S1573" s="21">
        <v>1.9</v>
      </c>
      <c r="T1573" s="22">
        <v>0.2</v>
      </c>
      <c r="U1573" s="13">
        <f t="shared" si="99"/>
        <v>-0.2</v>
      </c>
      <c r="V1573" s="23">
        <v>24.5</v>
      </c>
      <c r="W1573" s="23">
        <v>24.5</v>
      </c>
      <c r="X1573" s="20">
        <v>8</v>
      </c>
      <c r="Y1573" s="24" t="s">
        <v>3713</v>
      </c>
      <c r="Z1573" s="16">
        <v>16.5</v>
      </c>
      <c r="AA1573" s="17">
        <v>206.2</v>
      </c>
      <c r="AB1573" s="25" t="s">
        <v>4119</v>
      </c>
    </row>
    <row r="1574" spans="1:28" x14ac:dyDescent="0.45">
      <c r="A1574" s="4" t="s">
        <v>2171</v>
      </c>
      <c r="B1574" s="4" t="s">
        <v>6668</v>
      </c>
      <c r="C1574" s="4" t="s">
        <v>2137</v>
      </c>
      <c r="D1574" s="4" t="s">
        <v>2138</v>
      </c>
      <c r="E1574" s="4" t="s">
        <v>2139</v>
      </c>
      <c r="F1574" s="5">
        <v>8</v>
      </c>
      <c r="G1574" s="5">
        <v>11</v>
      </c>
      <c r="H1574" s="4" t="s">
        <v>1120</v>
      </c>
      <c r="I1574" s="10">
        <v>8</v>
      </c>
      <c r="J1574" s="34">
        <f t="shared" si="96"/>
        <v>6.9599999999999995E-2</v>
      </c>
      <c r="K1574" s="34">
        <f t="shared" si="97"/>
        <v>0.1</v>
      </c>
      <c r="L1574" s="34">
        <f t="shared" si="98"/>
        <v>0.4</v>
      </c>
      <c r="M1574" s="11" t="s">
        <v>4633</v>
      </c>
      <c r="N1574" s="11" t="s">
        <v>4597</v>
      </c>
      <c r="O1574" s="11" t="s">
        <v>3892</v>
      </c>
      <c r="P1574" s="11" t="s">
        <v>4598</v>
      </c>
      <c r="Q1574" s="12">
        <v>8</v>
      </c>
      <c r="R1574" s="12">
        <v>11</v>
      </c>
      <c r="S1574" s="12">
        <v>1.5</v>
      </c>
      <c r="T1574" s="13">
        <v>0.2</v>
      </c>
      <c r="U1574" s="13">
        <f t="shared" si="99"/>
        <v>-0.2</v>
      </c>
      <c r="V1574" s="14">
        <v>24.5</v>
      </c>
      <c r="W1574" s="14">
        <v>24.5</v>
      </c>
      <c r="X1574" s="11">
        <v>1708</v>
      </c>
      <c r="Y1574" s="15" t="s">
        <v>3713</v>
      </c>
      <c r="Z1574" s="16">
        <v>16.5</v>
      </c>
      <c r="AA1574" s="17">
        <v>206.2</v>
      </c>
      <c r="AB1574" s="18" t="s">
        <v>3714</v>
      </c>
    </row>
    <row r="1575" spans="1:28" x14ac:dyDescent="0.45">
      <c r="A1575" s="2" t="s">
        <v>2172</v>
      </c>
      <c r="B1575" s="2" t="s">
        <v>6669</v>
      </c>
      <c r="C1575" s="2" t="s">
        <v>2137</v>
      </c>
      <c r="D1575" s="2" t="s">
        <v>2138</v>
      </c>
      <c r="E1575" s="2" t="s">
        <v>2139</v>
      </c>
      <c r="F1575" s="3">
        <v>8</v>
      </c>
      <c r="G1575" s="3">
        <v>12</v>
      </c>
      <c r="H1575" s="2" t="s">
        <v>1122</v>
      </c>
      <c r="I1575" s="19">
        <v>8</v>
      </c>
      <c r="J1575" s="34">
        <f t="shared" si="96"/>
        <v>6.9599999999999995E-2</v>
      </c>
      <c r="K1575" s="34">
        <f t="shared" si="97"/>
        <v>0.1</v>
      </c>
      <c r="L1575" s="34">
        <f t="shared" si="98"/>
        <v>0.4</v>
      </c>
      <c r="M1575" s="20" t="s">
        <v>4634</v>
      </c>
      <c r="N1575" s="20" t="s">
        <v>4597</v>
      </c>
      <c r="O1575" s="20" t="s">
        <v>3892</v>
      </c>
      <c r="P1575" s="20" t="s">
        <v>4598</v>
      </c>
      <c r="Q1575" s="21">
        <v>8</v>
      </c>
      <c r="R1575" s="21">
        <v>12</v>
      </c>
      <c r="S1575" s="21">
        <v>2</v>
      </c>
      <c r="T1575" s="22">
        <v>0.26</v>
      </c>
      <c r="U1575" s="13">
        <f t="shared" si="99"/>
        <v>-0.14000000000000001</v>
      </c>
      <c r="V1575" s="23">
        <v>31.85</v>
      </c>
      <c r="W1575" s="23">
        <v>31.85</v>
      </c>
      <c r="X1575" s="20">
        <v>14969</v>
      </c>
      <c r="Y1575" s="24" t="s">
        <v>3713</v>
      </c>
      <c r="Z1575" s="16">
        <v>23.85</v>
      </c>
      <c r="AA1575" s="17">
        <v>298.10000000000002</v>
      </c>
      <c r="AB1575" s="25" t="s">
        <v>3714</v>
      </c>
    </row>
    <row r="1576" spans="1:28" x14ac:dyDescent="0.45">
      <c r="A1576" s="4" t="s">
        <v>2173</v>
      </c>
      <c r="B1576" s="4" t="s">
        <v>6670</v>
      </c>
      <c r="C1576" s="4" t="s">
        <v>2137</v>
      </c>
      <c r="D1576" s="4" t="s">
        <v>2138</v>
      </c>
      <c r="E1576" s="4" t="s">
        <v>2139</v>
      </c>
      <c r="F1576" s="5">
        <v>8</v>
      </c>
      <c r="G1576" s="5">
        <v>13</v>
      </c>
      <c r="H1576" s="4" t="s">
        <v>1135</v>
      </c>
      <c r="I1576" s="10">
        <v>8</v>
      </c>
      <c r="J1576" s="34">
        <f t="shared" si="96"/>
        <v>6.9599999999999995E-2</v>
      </c>
      <c r="K1576" s="34">
        <f t="shared" si="97"/>
        <v>0.1</v>
      </c>
      <c r="L1576" s="34">
        <f t="shared" si="98"/>
        <v>0.4</v>
      </c>
      <c r="M1576" s="11" t="s">
        <v>4635</v>
      </c>
      <c r="N1576" s="11" t="s">
        <v>4597</v>
      </c>
      <c r="O1576" s="11" t="s">
        <v>3892</v>
      </c>
      <c r="P1576" s="11" t="s">
        <v>4598</v>
      </c>
      <c r="Q1576" s="12">
        <v>8</v>
      </c>
      <c r="R1576" s="12">
        <v>13</v>
      </c>
      <c r="S1576" s="12">
        <v>2.5</v>
      </c>
      <c r="T1576" s="13">
        <v>0.4</v>
      </c>
      <c r="U1576" s="13">
        <f t="shared" si="99"/>
        <v>0</v>
      </c>
      <c r="V1576" s="14">
        <v>49</v>
      </c>
      <c r="W1576" s="14">
        <v>49</v>
      </c>
      <c r="X1576" s="11">
        <v>6860</v>
      </c>
      <c r="Y1576" s="15" t="s">
        <v>3713</v>
      </c>
      <c r="Z1576" s="16">
        <v>41</v>
      </c>
      <c r="AA1576" s="17">
        <v>512.5</v>
      </c>
      <c r="AB1576" s="18" t="s">
        <v>3714</v>
      </c>
    </row>
    <row r="1577" spans="1:28" x14ac:dyDescent="0.45">
      <c r="A1577" s="2" t="s">
        <v>2174</v>
      </c>
      <c r="B1577" s="2" t="s">
        <v>6671</v>
      </c>
      <c r="C1577" s="2" t="s">
        <v>2137</v>
      </c>
      <c r="D1577" s="2" t="s">
        <v>2138</v>
      </c>
      <c r="E1577" s="2" t="s">
        <v>2139</v>
      </c>
      <c r="F1577" s="3">
        <v>9.1199999999999992</v>
      </c>
      <c r="G1577" s="3">
        <v>16.18</v>
      </c>
      <c r="H1577" s="2" t="s">
        <v>1156</v>
      </c>
      <c r="I1577" s="19">
        <v>12</v>
      </c>
      <c r="J1577" s="34">
        <f t="shared" si="96"/>
        <v>0.10439999999999999</v>
      </c>
      <c r="K1577" s="34">
        <f t="shared" si="97"/>
        <v>0.16</v>
      </c>
      <c r="L1577" s="34">
        <f t="shared" si="98"/>
        <v>0.64</v>
      </c>
      <c r="M1577" s="20" t="s">
        <v>4636</v>
      </c>
      <c r="N1577" s="20" t="s">
        <v>4597</v>
      </c>
      <c r="O1577" s="20" t="s">
        <v>3892</v>
      </c>
      <c r="P1577" s="20" t="s">
        <v>4598</v>
      </c>
      <c r="Q1577" s="21">
        <v>9.1440000000000001</v>
      </c>
      <c r="R1577" s="21">
        <v>16.256</v>
      </c>
      <c r="S1577" s="21">
        <v>3.556</v>
      </c>
      <c r="T1577" s="22">
        <v>0.2</v>
      </c>
      <c r="U1577" s="13">
        <f t="shared" si="99"/>
        <v>-0.44</v>
      </c>
      <c r="V1577" s="23">
        <v>24.5</v>
      </c>
      <c r="W1577" s="23">
        <v>24.5</v>
      </c>
      <c r="X1577" s="20" t="s">
        <v>3722</v>
      </c>
      <c r="Y1577" s="24" t="s">
        <v>3737</v>
      </c>
      <c r="Z1577" s="16">
        <v>12.5</v>
      </c>
      <c r="AA1577" s="17">
        <v>104.2</v>
      </c>
      <c r="AB1577" s="25" t="s">
        <v>3945</v>
      </c>
    </row>
    <row r="1578" spans="1:28" x14ac:dyDescent="0.45">
      <c r="A1578" s="4" t="s">
        <v>2175</v>
      </c>
      <c r="B1578" s="4" t="s">
        <v>6672</v>
      </c>
      <c r="C1578" s="4" t="s">
        <v>2137</v>
      </c>
      <c r="D1578" s="4" t="s">
        <v>2138</v>
      </c>
      <c r="E1578" s="4" t="s">
        <v>2139</v>
      </c>
      <c r="F1578" s="5">
        <v>9.19</v>
      </c>
      <c r="G1578" s="5">
        <v>14.43</v>
      </c>
      <c r="H1578" s="4" t="s">
        <v>1127</v>
      </c>
      <c r="I1578" s="10">
        <v>8</v>
      </c>
      <c r="J1578" s="34">
        <f t="shared" si="96"/>
        <v>6.9599999999999995E-2</v>
      </c>
      <c r="K1578" s="34">
        <f t="shared" si="97"/>
        <v>0.1</v>
      </c>
      <c r="L1578" s="34">
        <f t="shared" si="98"/>
        <v>0.4</v>
      </c>
      <c r="M1578" s="11" t="s">
        <v>4637</v>
      </c>
      <c r="N1578" s="11" t="s">
        <v>4597</v>
      </c>
      <c r="O1578" s="11" t="s">
        <v>3892</v>
      </c>
      <c r="P1578" s="11" t="s">
        <v>4598</v>
      </c>
      <c r="Q1578" s="12">
        <v>9.1440000000000001</v>
      </c>
      <c r="R1578" s="12">
        <v>14.478</v>
      </c>
      <c r="S1578" s="12">
        <v>2.54</v>
      </c>
      <c r="T1578" s="13">
        <v>0.2</v>
      </c>
      <c r="U1578" s="13">
        <f t="shared" si="99"/>
        <v>-0.2</v>
      </c>
      <c r="V1578" s="14">
        <v>24.5</v>
      </c>
      <c r="W1578" s="14">
        <v>24.5</v>
      </c>
      <c r="X1578" s="11">
        <v>464</v>
      </c>
      <c r="Y1578" s="15" t="s">
        <v>3737</v>
      </c>
      <c r="Z1578" s="16">
        <v>16.5</v>
      </c>
      <c r="AA1578" s="17">
        <v>206.2</v>
      </c>
      <c r="AB1578" s="18" t="s">
        <v>3920</v>
      </c>
    </row>
    <row r="1579" spans="1:28" x14ac:dyDescent="0.45">
      <c r="A1579" s="2" t="s">
        <v>2176</v>
      </c>
      <c r="B1579" s="2" t="s">
        <v>6673</v>
      </c>
      <c r="C1579" s="2" t="s">
        <v>2137</v>
      </c>
      <c r="D1579" s="2" t="s">
        <v>2138</v>
      </c>
      <c r="E1579" s="2" t="s">
        <v>2139</v>
      </c>
      <c r="F1579" s="3">
        <v>9.25</v>
      </c>
      <c r="G1579" s="3">
        <v>12.81</v>
      </c>
      <c r="H1579" s="2" t="s">
        <v>1114</v>
      </c>
      <c r="I1579" s="19">
        <v>8</v>
      </c>
      <c r="J1579" s="34">
        <f t="shared" si="96"/>
        <v>6.9599999999999995E-2</v>
      </c>
      <c r="K1579" s="34">
        <f t="shared" si="97"/>
        <v>0.1</v>
      </c>
      <c r="L1579" s="34">
        <f t="shared" si="98"/>
        <v>0.4</v>
      </c>
      <c r="M1579" s="20" t="s">
        <v>4638</v>
      </c>
      <c r="N1579" s="20" t="s">
        <v>4597</v>
      </c>
      <c r="O1579" s="20" t="s">
        <v>3892</v>
      </c>
      <c r="P1579" s="20" t="s">
        <v>4598</v>
      </c>
      <c r="Q1579" s="21">
        <v>9.5</v>
      </c>
      <c r="R1579" s="21">
        <v>12.7</v>
      </c>
      <c r="S1579" s="21">
        <v>1.6</v>
      </c>
      <c r="T1579" s="22">
        <v>0.2</v>
      </c>
      <c r="U1579" s="13">
        <f t="shared" si="99"/>
        <v>-0.2</v>
      </c>
      <c r="V1579" s="23">
        <v>24.5</v>
      </c>
      <c r="W1579" s="23">
        <v>24.5</v>
      </c>
      <c r="X1579" s="20" t="s">
        <v>3722</v>
      </c>
      <c r="Y1579" s="24" t="s">
        <v>3713</v>
      </c>
      <c r="Z1579" s="16">
        <v>16.5</v>
      </c>
      <c r="AA1579" s="17">
        <v>206.2</v>
      </c>
      <c r="AB1579" s="25" t="s">
        <v>3922</v>
      </c>
    </row>
    <row r="1580" spans="1:28" x14ac:dyDescent="0.45">
      <c r="A1580" s="4" t="s">
        <v>2177</v>
      </c>
      <c r="B1580" s="4" t="s">
        <v>6674</v>
      </c>
      <c r="C1580" s="4" t="s">
        <v>2137</v>
      </c>
      <c r="D1580" s="4" t="s">
        <v>2138</v>
      </c>
      <c r="E1580" s="4" t="s">
        <v>2139</v>
      </c>
      <c r="F1580" s="5">
        <v>9.5</v>
      </c>
      <c r="G1580" s="5">
        <v>12.5</v>
      </c>
      <c r="H1580" s="4" t="s">
        <v>1120</v>
      </c>
      <c r="I1580" s="10">
        <v>8</v>
      </c>
      <c r="J1580" s="34">
        <f t="shared" si="96"/>
        <v>6.9599999999999995E-2</v>
      </c>
      <c r="K1580" s="34">
        <f t="shared" si="97"/>
        <v>0.1</v>
      </c>
      <c r="L1580" s="34">
        <f t="shared" si="98"/>
        <v>0.4</v>
      </c>
      <c r="M1580" s="11" t="s">
        <v>4639</v>
      </c>
      <c r="N1580" s="11" t="s">
        <v>4597</v>
      </c>
      <c r="O1580" s="11" t="s">
        <v>3892</v>
      </c>
      <c r="P1580" s="11" t="s">
        <v>4598</v>
      </c>
      <c r="Q1580" s="12">
        <v>9.5</v>
      </c>
      <c r="R1580" s="12">
        <v>12.5</v>
      </c>
      <c r="S1580" s="12">
        <v>1.5</v>
      </c>
      <c r="T1580" s="13">
        <v>0.2</v>
      </c>
      <c r="U1580" s="13">
        <f t="shared" si="99"/>
        <v>-0.2</v>
      </c>
      <c r="V1580" s="14">
        <v>24.5</v>
      </c>
      <c r="W1580" s="14">
        <v>24.5</v>
      </c>
      <c r="X1580" s="11">
        <v>76</v>
      </c>
      <c r="Y1580" s="15" t="s">
        <v>3713</v>
      </c>
      <c r="Z1580" s="16">
        <v>16.5</v>
      </c>
      <c r="AA1580" s="17">
        <v>206.2</v>
      </c>
      <c r="AB1580" s="18" t="s">
        <v>3714</v>
      </c>
    </row>
    <row r="1581" spans="1:28" x14ac:dyDescent="0.45">
      <c r="A1581" s="2" t="s">
        <v>2178</v>
      </c>
      <c r="B1581" s="2" t="s">
        <v>6675</v>
      </c>
      <c r="C1581" s="2" t="s">
        <v>2137</v>
      </c>
      <c r="D1581" s="2" t="s">
        <v>2138</v>
      </c>
      <c r="E1581" s="2" t="s">
        <v>2139</v>
      </c>
      <c r="F1581" s="3">
        <v>9.5</v>
      </c>
      <c r="G1581" s="3">
        <v>14.5</v>
      </c>
      <c r="H1581" s="2" t="s">
        <v>1135</v>
      </c>
      <c r="I1581" s="19">
        <v>8</v>
      </c>
      <c r="J1581" s="34">
        <f t="shared" si="96"/>
        <v>6.9599999999999995E-2</v>
      </c>
      <c r="K1581" s="34">
        <f t="shared" si="97"/>
        <v>0.1</v>
      </c>
      <c r="L1581" s="34">
        <f t="shared" si="98"/>
        <v>0.4</v>
      </c>
      <c r="M1581" s="20" t="s">
        <v>4637</v>
      </c>
      <c r="N1581" s="20" t="s">
        <v>4597</v>
      </c>
      <c r="O1581" s="20" t="s">
        <v>3892</v>
      </c>
      <c r="P1581" s="20" t="s">
        <v>4598</v>
      </c>
      <c r="Q1581" s="21">
        <v>9.1440000000000001</v>
      </c>
      <c r="R1581" s="21">
        <v>14.478</v>
      </c>
      <c r="S1581" s="21">
        <v>2.54</v>
      </c>
      <c r="T1581" s="22">
        <v>0.2</v>
      </c>
      <c r="U1581" s="13">
        <f t="shared" si="99"/>
        <v>-0.2</v>
      </c>
      <c r="V1581" s="23">
        <v>24.5</v>
      </c>
      <c r="W1581" s="23">
        <v>24.5</v>
      </c>
      <c r="X1581" s="20">
        <v>464</v>
      </c>
      <c r="Y1581" s="24" t="s">
        <v>3737</v>
      </c>
      <c r="Z1581" s="16">
        <v>16.5</v>
      </c>
      <c r="AA1581" s="17">
        <v>206.2</v>
      </c>
      <c r="AB1581" s="25" t="s">
        <v>4640</v>
      </c>
    </row>
    <row r="1582" spans="1:28" x14ac:dyDescent="0.45">
      <c r="A1582" s="4" t="s">
        <v>2179</v>
      </c>
      <c r="B1582" s="4" t="s">
        <v>6676</v>
      </c>
      <c r="C1582" s="4" t="s">
        <v>2137</v>
      </c>
      <c r="D1582" s="4" t="s">
        <v>2138</v>
      </c>
      <c r="E1582" s="4" t="s">
        <v>2139</v>
      </c>
      <c r="F1582" s="5">
        <v>9.8000000000000007</v>
      </c>
      <c r="G1582" s="5">
        <v>13.6</v>
      </c>
      <c r="H1582" s="4" t="s">
        <v>1112</v>
      </c>
      <c r="I1582" s="10">
        <v>8</v>
      </c>
      <c r="J1582" s="34">
        <f t="shared" si="96"/>
        <v>6.9599999999999995E-2</v>
      </c>
      <c r="K1582" s="34">
        <f t="shared" si="97"/>
        <v>0.1</v>
      </c>
      <c r="L1582" s="34">
        <f t="shared" si="98"/>
        <v>0.4</v>
      </c>
      <c r="M1582" s="11" t="s">
        <v>4641</v>
      </c>
      <c r="N1582" s="11" t="s">
        <v>4597</v>
      </c>
      <c r="O1582" s="11" t="s">
        <v>3892</v>
      </c>
      <c r="P1582" s="11" t="s">
        <v>4598</v>
      </c>
      <c r="Q1582" s="12">
        <v>9.8000000000000007</v>
      </c>
      <c r="R1582" s="12">
        <v>13.6</v>
      </c>
      <c r="S1582" s="12">
        <v>1.9</v>
      </c>
      <c r="T1582" s="13">
        <v>0.64</v>
      </c>
      <c r="U1582" s="13">
        <f t="shared" si="99"/>
        <v>0.24</v>
      </c>
      <c r="V1582" s="14">
        <v>78.400000000000006</v>
      </c>
      <c r="W1582" s="14">
        <v>78.400000000000006</v>
      </c>
      <c r="X1582" s="11">
        <v>208</v>
      </c>
      <c r="Y1582" s="15" t="s">
        <v>3713</v>
      </c>
      <c r="Z1582" s="16">
        <v>70.400000000000006</v>
      </c>
      <c r="AA1582" s="17">
        <v>880</v>
      </c>
      <c r="AB1582" s="18" t="s">
        <v>3714</v>
      </c>
    </row>
    <row r="1583" spans="1:28" x14ac:dyDescent="0.45">
      <c r="A1583" s="2" t="s">
        <v>2180</v>
      </c>
      <c r="B1583" s="2" t="s">
        <v>6677</v>
      </c>
      <c r="C1583" s="2" t="s">
        <v>2137</v>
      </c>
      <c r="D1583" s="2" t="s">
        <v>2138</v>
      </c>
      <c r="E1583" s="2" t="s">
        <v>2139</v>
      </c>
      <c r="F1583" s="3">
        <v>9.8000000000000007</v>
      </c>
      <c r="G1583" s="3">
        <v>14.6</v>
      </c>
      <c r="H1583" s="2" t="s">
        <v>1140</v>
      </c>
      <c r="I1583" s="19">
        <v>8</v>
      </c>
      <c r="J1583" s="34">
        <f t="shared" si="96"/>
        <v>6.9599999999999995E-2</v>
      </c>
      <c r="K1583" s="34">
        <f t="shared" si="97"/>
        <v>0.1</v>
      </c>
      <c r="L1583" s="34">
        <f t="shared" si="98"/>
        <v>0.4</v>
      </c>
      <c r="M1583" s="20" t="s">
        <v>4642</v>
      </c>
      <c r="N1583" s="20" t="s">
        <v>4597</v>
      </c>
      <c r="O1583" s="20" t="s">
        <v>3892</v>
      </c>
      <c r="P1583" s="20" t="s">
        <v>4598</v>
      </c>
      <c r="Q1583" s="21">
        <v>10</v>
      </c>
      <c r="R1583" s="21">
        <v>15</v>
      </c>
      <c r="S1583" s="21">
        <v>2.5</v>
      </c>
      <c r="T1583" s="22">
        <v>0.47</v>
      </c>
      <c r="U1583" s="13">
        <f t="shared" si="99"/>
        <v>6.9999999999999951E-2</v>
      </c>
      <c r="V1583" s="23">
        <v>57.58</v>
      </c>
      <c r="W1583" s="23">
        <v>57.58</v>
      </c>
      <c r="X1583" s="20">
        <v>5783</v>
      </c>
      <c r="Y1583" s="24" t="s">
        <v>3713</v>
      </c>
      <c r="Z1583" s="16">
        <v>49.58</v>
      </c>
      <c r="AA1583" s="17">
        <v>619.79999999999995</v>
      </c>
      <c r="AB1583" s="25" t="s">
        <v>4643</v>
      </c>
    </row>
    <row r="1584" spans="1:28" x14ac:dyDescent="0.45">
      <c r="A1584" s="4" t="s">
        <v>2181</v>
      </c>
      <c r="B1584" s="4" t="s">
        <v>6678</v>
      </c>
      <c r="C1584" s="4" t="s">
        <v>2137</v>
      </c>
      <c r="D1584" s="4" t="s">
        <v>2138</v>
      </c>
      <c r="E1584" s="4" t="s">
        <v>2139</v>
      </c>
      <c r="F1584" s="5">
        <v>9</v>
      </c>
      <c r="G1584" s="5">
        <v>12</v>
      </c>
      <c r="H1584" s="4" t="s">
        <v>1120</v>
      </c>
      <c r="I1584" s="10">
        <v>8</v>
      </c>
      <c r="J1584" s="34">
        <f t="shared" si="96"/>
        <v>6.9599999999999995E-2</v>
      </c>
      <c r="K1584" s="34">
        <f t="shared" si="97"/>
        <v>0.1</v>
      </c>
      <c r="L1584" s="34">
        <f t="shared" si="98"/>
        <v>0.4</v>
      </c>
      <c r="M1584" s="11" t="s">
        <v>4644</v>
      </c>
      <c r="N1584" s="11" t="s">
        <v>4597</v>
      </c>
      <c r="O1584" s="11" t="s">
        <v>3892</v>
      </c>
      <c r="P1584" s="11" t="s">
        <v>4598</v>
      </c>
      <c r="Q1584" s="12">
        <v>9</v>
      </c>
      <c r="R1584" s="12">
        <v>12</v>
      </c>
      <c r="S1584" s="12">
        <v>1.5</v>
      </c>
      <c r="T1584" s="13">
        <v>0.2</v>
      </c>
      <c r="U1584" s="13">
        <f t="shared" si="99"/>
        <v>-0.2</v>
      </c>
      <c r="V1584" s="14">
        <v>24.5</v>
      </c>
      <c r="W1584" s="14">
        <v>24.5</v>
      </c>
      <c r="X1584" s="11" t="s">
        <v>3722</v>
      </c>
      <c r="Y1584" s="15" t="s">
        <v>3713</v>
      </c>
      <c r="Z1584" s="16">
        <v>16.5</v>
      </c>
      <c r="AA1584" s="17">
        <v>206.2</v>
      </c>
      <c r="AB1584" s="18" t="s">
        <v>3714</v>
      </c>
    </row>
    <row r="1585" spans="1:28" x14ac:dyDescent="0.45">
      <c r="A1585" s="2" t="s">
        <v>2182</v>
      </c>
      <c r="B1585" s="2" t="s">
        <v>6679</v>
      </c>
      <c r="C1585" s="2" t="s">
        <v>2137</v>
      </c>
      <c r="D1585" s="2" t="s">
        <v>2138</v>
      </c>
      <c r="E1585" s="2" t="s">
        <v>2139</v>
      </c>
      <c r="F1585" s="3">
        <v>9</v>
      </c>
      <c r="G1585" s="3">
        <v>13</v>
      </c>
      <c r="H1585" s="2" t="s">
        <v>1122</v>
      </c>
      <c r="I1585" s="19">
        <v>8</v>
      </c>
      <c r="J1585" s="34">
        <f t="shared" si="96"/>
        <v>6.9599999999999995E-2</v>
      </c>
      <c r="K1585" s="34">
        <f t="shared" si="97"/>
        <v>0.1</v>
      </c>
      <c r="L1585" s="34">
        <f t="shared" si="98"/>
        <v>0.4</v>
      </c>
      <c r="M1585" s="20" t="s">
        <v>4645</v>
      </c>
      <c r="N1585" s="20" t="s">
        <v>4597</v>
      </c>
      <c r="O1585" s="20" t="s">
        <v>3892</v>
      </c>
      <c r="P1585" s="20" t="s">
        <v>4598</v>
      </c>
      <c r="Q1585" s="21">
        <v>9</v>
      </c>
      <c r="R1585" s="21">
        <v>13</v>
      </c>
      <c r="S1585" s="21">
        <v>2</v>
      </c>
      <c r="T1585" s="22">
        <v>0.22</v>
      </c>
      <c r="U1585" s="13">
        <f t="shared" si="99"/>
        <v>-0.18000000000000002</v>
      </c>
      <c r="V1585" s="23">
        <v>26.95</v>
      </c>
      <c r="W1585" s="23">
        <v>26.95</v>
      </c>
      <c r="X1585" s="20">
        <v>395</v>
      </c>
      <c r="Y1585" s="24" t="s">
        <v>3713</v>
      </c>
      <c r="Z1585" s="16">
        <v>18.95</v>
      </c>
      <c r="AA1585" s="17">
        <v>236.9</v>
      </c>
      <c r="AB1585" s="25" t="s">
        <v>3714</v>
      </c>
    </row>
    <row r="1586" spans="1:28" x14ac:dyDescent="0.45">
      <c r="A1586" s="4" t="s">
        <v>2183</v>
      </c>
      <c r="B1586" s="4" t="s">
        <v>6680</v>
      </c>
      <c r="C1586" s="4" t="s">
        <v>2137</v>
      </c>
      <c r="D1586" s="4" t="s">
        <v>2138</v>
      </c>
      <c r="E1586" s="4" t="s">
        <v>2139</v>
      </c>
      <c r="F1586" s="5">
        <v>10.77</v>
      </c>
      <c r="G1586" s="5">
        <v>16.010000000000002</v>
      </c>
      <c r="H1586" s="4" t="s">
        <v>1127</v>
      </c>
      <c r="I1586" s="10">
        <v>8</v>
      </c>
      <c r="J1586" s="34">
        <f t="shared" si="96"/>
        <v>6.9599999999999995E-2</v>
      </c>
      <c r="K1586" s="34">
        <f t="shared" si="97"/>
        <v>0.1</v>
      </c>
      <c r="L1586" s="34">
        <f t="shared" si="98"/>
        <v>0.4</v>
      </c>
      <c r="M1586" s="11" t="s">
        <v>4646</v>
      </c>
      <c r="N1586" s="11" t="s">
        <v>4597</v>
      </c>
      <c r="O1586" s="11" t="s">
        <v>3892</v>
      </c>
      <c r="P1586" s="11" t="s">
        <v>4598</v>
      </c>
      <c r="Q1586" s="12">
        <v>11</v>
      </c>
      <c r="R1586" s="12">
        <v>16</v>
      </c>
      <c r="S1586" s="12">
        <v>2.5</v>
      </c>
      <c r="T1586" s="13">
        <v>0.5</v>
      </c>
      <c r="U1586" s="13">
        <f t="shared" si="99"/>
        <v>9.9999999999999978E-2</v>
      </c>
      <c r="V1586" s="14">
        <v>61.25</v>
      </c>
      <c r="W1586" s="14">
        <v>61.25</v>
      </c>
      <c r="X1586" s="11">
        <v>30</v>
      </c>
      <c r="Y1586" s="15" t="s">
        <v>3713</v>
      </c>
      <c r="Z1586" s="16">
        <v>53.25</v>
      </c>
      <c r="AA1586" s="17">
        <v>665.6</v>
      </c>
      <c r="AB1586" s="18" t="s">
        <v>3928</v>
      </c>
    </row>
    <row r="1587" spans="1:28" x14ac:dyDescent="0.45">
      <c r="A1587" s="2" t="s">
        <v>2184</v>
      </c>
      <c r="B1587" s="2" t="s">
        <v>6681</v>
      </c>
      <c r="C1587" s="2" t="s">
        <v>2137</v>
      </c>
      <c r="D1587" s="2" t="s">
        <v>2138</v>
      </c>
      <c r="E1587" s="2" t="s">
        <v>2139</v>
      </c>
      <c r="F1587" s="3">
        <v>10.82</v>
      </c>
      <c r="G1587" s="3">
        <v>14.38</v>
      </c>
      <c r="H1587" s="2" t="s">
        <v>1114</v>
      </c>
      <c r="I1587" s="19">
        <v>8</v>
      </c>
      <c r="J1587" s="34">
        <f t="shared" si="96"/>
        <v>6.9599999999999995E-2</v>
      </c>
      <c r="K1587" s="34">
        <f t="shared" si="97"/>
        <v>0.1</v>
      </c>
      <c r="L1587" s="34">
        <f t="shared" si="98"/>
        <v>0.4</v>
      </c>
      <c r="M1587" s="20" t="s">
        <v>4647</v>
      </c>
      <c r="N1587" s="20" t="s">
        <v>4597</v>
      </c>
      <c r="O1587" s="20" t="s">
        <v>3892</v>
      </c>
      <c r="P1587" s="20" t="s">
        <v>4598</v>
      </c>
      <c r="Q1587" s="21">
        <v>11.1</v>
      </c>
      <c r="R1587" s="21">
        <v>14.3</v>
      </c>
      <c r="S1587" s="21">
        <v>1.6</v>
      </c>
      <c r="T1587" s="22">
        <v>0.26</v>
      </c>
      <c r="U1587" s="13">
        <f t="shared" si="99"/>
        <v>-0.14000000000000001</v>
      </c>
      <c r="V1587" s="23">
        <v>31.85</v>
      </c>
      <c r="W1587" s="23">
        <v>31.85</v>
      </c>
      <c r="X1587" s="20">
        <v>113</v>
      </c>
      <c r="Y1587" s="24" t="s">
        <v>3713</v>
      </c>
      <c r="Z1587" s="16">
        <v>23.85</v>
      </c>
      <c r="AA1587" s="17">
        <v>298.10000000000002</v>
      </c>
      <c r="AB1587" s="25" t="s">
        <v>3930</v>
      </c>
    </row>
    <row r="1588" spans="1:28" x14ac:dyDescent="0.45">
      <c r="A1588" s="4" t="s">
        <v>2185</v>
      </c>
      <c r="B1588" s="4" t="s">
        <v>6682</v>
      </c>
      <c r="C1588" s="4" t="s">
        <v>2137</v>
      </c>
      <c r="D1588" s="4" t="s">
        <v>2138</v>
      </c>
      <c r="E1588" s="4" t="s">
        <v>2139</v>
      </c>
      <c r="F1588" s="5">
        <v>10.8</v>
      </c>
      <c r="G1588" s="5">
        <v>15.6</v>
      </c>
      <c r="H1588" s="4" t="s">
        <v>1140</v>
      </c>
      <c r="I1588" s="10">
        <v>8</v>
      </c>
      <c r="J1588" s="34">
        <f t="shared" si="96"/>
        <v>6.9599999999999995E-2</v>
      </c>
      <c r="K1588" s="34">
        <f t="shared" si="97"/>
        <v>0.1</v>
      </c>
      <c r="L1588" s="34">
        <f t="shared" si="98"/>
        <v>0.4</v>
      </c>
      <c r="M1588" s="11" t="s">
        <v>4648</v>
      </c>
      <c r="N1588" s="11" t="s">
        <v>4597</v>
      </c>
      <c r="O1588" s="11" t="s">
        <v>3892</v>
      </c>
      <c r="P1588" s="11" t="s">
        <v>4598</v>
      </c>
      <c r="Q1588" s="12">
        <v>10.5</v>
      </c>
      <c r="R1588" s="12">
        <v>15.5</v>
      </c>
      <c r="S1588" s="12">
        <v>2.5</v>
      </c>
      <c r="T1588" s="13">
        <v>0.48</v>
      </c>
      <c r="U1588" s="13">
        <f t="shared" si="99"/>
        <v>7.999999999999996E-2</v>
      </c>
      <c r="V1588" s="14">
        <v>58.8</v>
      </c>
      <c r="W1588" s="14">
        <v>58.8</v>
      </c>
      <c r="X1588" s="11">
        <v>1</v>
      </c>
      <c r="Y1588" s="15" t="s">
        <v>3713</v>
      </c>
      <c r="Z1588" s="16">
        <v>50.8</v>
      </c>
      <c r="AA1588" s="17">
        <v>635</v>
      </c>
      <c r="AB1588" s="18" t="s">
        <v>4343</v>
      </c>
    </row>
    <row r="1589" spans="1:28" x14ac:dyDescent="0.45">
      <c r="A1589" s="2" t="s">
        <v>2186</v>
      </c>
      <c r="B1589" s="2" t="s">
        <v>6683</v>
      </c>
      <c r="C1589" s="2" t="s">
        <v>2137</v>
      </c>
      <c r="D1589" s="2" t="s">
        <v>2138</v>
      </c>
      <c r="E1589" s="2" t="s">
        <v>2139</v>
      </c>
      <c r="F1589" s="3">
        <v>10</v>
      </c>
      <c r="G1589" s="3">
        <v>14</v>
      </c>
      <c r="H1589" s="2" t="s">
        <v>1122</v>
      </c>
      <c r="I1589" s="19">
        <v>8</v>
      </c>
      <c r="J1589" s="34">
        <f t="shared" si="96"/>
        <v>6.9599999999999995E-2</v>
      </c>
      <c r="K1589" s="34">
        <f t="shared" si="97"/>
        <v>0.1</v>
      </c>
      <c r="L1589" s="34">
        <f t="shared" si="98"/>
        <v>0.4</v>
      </c>
      <c r="M1589" s="20" t="s">
        <v>4649</v>
      </c>
      <c r="N1589" s="20" t="s">
        <v>4597</v>
      </c>
      <c r="O1589" s="20" t="s">
        <v>3892</v>
      </c>
      <c r="P1589" s="20" t="s">
        <v>4598</v>
      </c>
      <c r="Q1589" s="21">
        <v>10</v>
      </c>
      <c r="R1589" s="21">
        <v>14</v>
      </c>
      <c r="S1589" s="21">
        <v>2</v>
      </c>
      <c r="T1589" s="22">
        <v>0.22</v>
      </c>
      <c r="U1589" s="13">
        <f t="shared" si="99"/>
        <v>-0.18000000000000002</v>
      </c>
      <c r="V1589" s="23">
        <v>26.95</v>
      </c>
      <c r="W1589" s="23">
        <v>26.95</v>
      </c>
      <c r="X1589" s="20">
        <v>6713</v>
      </c>
      <c r="Y1589" s="24" t="s">
        <v>3713</v>
      </c>
      <c r="Z1589" s="16">
        <v>18.95</v>
      </c>
      <c r="AA1589" s="17">
        <v>236.9</v>
      </c>
      <c r="AB1589" s="25" t="s">
        <v>3714</v>
      </c>
    </row>
    <row r="1590" spans="1:28" x14ac:dyDescent="0.45">
      <c r="A1590" s="4" t="s">
        <v>2187</v>
      </c>
      <c r="B1590" s="4" t="s">
        <v>6684</v>
      </c>
      <c r="C1590" s="4" t="s">
        <v>2137</v>
      </c>
      <c r="D1590" s="4" t="s">
        <v>2138</v>
      </c>
      <c r="E1590" s="4" t="s">
        <v>2139</v>
      </c>
      <c r="F1590" s="5">
        <v>10</v>
      </c>
      <c r="G1590" s="5">
        <v>15</v>
      </c>
      <c r="H1590" s="4" t="s">
        <v>1135</v>
      </c>
      <c r="I1590" s="10">
        <v>8</v>
      </c>
      <c r="J1590" s="34">
        <f t="shared" si="96"/>
        <v>6.9599999999999995E-2</v>
      </c>
      <c r="K1590" s="34">
        <f t="shared" si="97"/>
        <v>0.1</v>
      </c>
      <c r="L1590" s="34">
        <f t="shared" si="98"/>
        <v>0.4</v>
      </c>
      <c r="M1590" s="11" t="s">
        <v>4642</v>
      </c>
      <c r="N1590" s="11" t="s">
        <v>4597</v>
      </c>
      <c r="O1590" s="11" t="s">
        <v>3892</v>
      </c>
      <c r="P1590" s="11" t="s">
        <v>4598</v>
      </c>
      <c r="Q1590" s="12">
        <v>10</v>
      </c>
      <c r="R1590" s="12">
        <v>15</v>
      </c>
      <c r="S1590" s="12">
        <v>2.5</v>
      </c>
      <c r="T1590" s="13">
        <v>0.47</v>
      </c>
      <c r="U1590" s="13">
        <f t="shared" si="99"/>
        <v>6.9999999999999951E-2</v>
      </c>
      <c r="V1590" s="14">
        <v>57.58</v>
      </c>
      <c r="W1590" s="14">
        <v>57.58</v>
      </c>
      <c r="X1590" s="11">
        <v>5783</v>
      </c>
      <c r="Y1590" s="15" t="s">
        <v>3713</v>
      </c>
      <c r="Z1590" s="16">
        <v>49.58</v>
      </c>
      <c r="AA1590" s="17">
        <v>619.79999999999995</v>
      </c>
      <c r="AB1590" s="18" t="s">
        <v>3714</v>
      </c>
    </row>
    <row r="1591" spans="1:28" x14ac:dyDescent="0.45">
      <c r="A1591" s="2" t="s">
        <v>2188</v>
      </c>
      <c r="B1591" s="2" t="s">
        <v>6685</v>
      </c>
      <c r="C1591" s="2" t="s">
        <v>2137</v>
      </c>
      <c r="D1591" s="2" t="s">
        <v>2138</v>
      </c>
      <c r="E1591" s="2" t="s">
        <v>2139</v>
      </c>
      <c r="F1591" s="3">
        <v>11.35</v>
      </c>
      <c r="G1591" s="3">
        <v>16.59</v>
      </c>
      <c r="H1591" s="2" t="s">
        <v>1127</v>
      </c>
      <c r="I1591" s="19">
        <v>8</v>
      </c>
      <c r="J1591" s="34">
        <f t="shared" si="96"/>
        <v>6.9599999999999995E-2</v>
      </c>
      <c r="K1591" s="34">
        <f t="shared" si="97"/>
        <v>0.1</v>
      </c>
      <c r="L1591" s="34">
        <f t="shared" si="98"/>
        <v>0.4</v>
      </c>
      <c r="M1591" s="20" t="s">
        <v>4650</v>
      </c>
      <c r="N1591" s="20" t="s">
        <v>4597</v>
      </c>
      <c r="O1591" s="20" t="s">
        <v>3892</v>
      </c>
      <c r="P1591" s="20" t="s">
        <v>4598</v>
      </c>
      <c r="Q1591" s="21">
        <v>11.6</v>
      </c>
      <c r="R1591" s="21">
        <v>16.399999999999999</v>
      </c>
      <c r="S1591" s="21">
        <v>2.4</v>
      </c>
      <c r="T1591" s="22">
        <v>0.28000000000000003</v>
      </c>
      <c r="U1591" s="13">
        <f t="shared" si="99"/>
        <v>-0.12</v>
      </c>
      <c r="V1591" s="23">
        <v>34.299999999999997</v>
      </c>
      <c r="W1591" s="23">
        <v>34.299999999999997</v>
      </c>
      <c r="X1591" s="20" t="s">
        <v>3722</v>
      </c>
      <c r="Y1591" s="24" t="s">
        <v>3713</v>
      </c>
      <c r="Z1591" s="16">
        <v>26.3</v>
      </c>
      <c r="AA1591" s="17">
        <v>328.7</v>
      </c>
      <c r="AB1591" s="25" t="s">
        <v>4651</v>
      </c>
    </row>
    <row r="1592" spans="1:28" x14ac:dyDescent="0.45">
      <c r="A1592" s="4" t="s">
        <v>2189</v>
      </c>
      <c r="B1592" s="4" t="s">
        <v>6686</v>
      </c>
      <c r="C1592" s="4" t="s">
        <v>2137</v>
      </c>
      <c r="D1592" s="4" t="s">
        <v>2138</v>
      </c>
      <c r="E1592" s="4" t="s">
        <v>2139</v>
      </c>
      <c r="F1592" s="5">
        <v>11.8</v>
      </c>
      <c r="G1592" s="5">
        <v>16.600000000000001</v>
      </c>
      <c r="H1592" s="4" t="s">
        <v>1140</v>
      </c>
      <c r="I1592" s="10">
        <v>8</v>
      </c>
      <c r="J1592" s="34">
        <f t="shared" si="96"/>
        <v>6.9599999999999995E-2</v>
      </c>
      <c r="K1592" s="34">
        <f t="shared" si="97"/>
        <v>0.1</v>
      </c>
      <c r="L1592" s="34">
        <f t="shared" si="98"/>
        <v>0.4</v>
      </c>
      <c r="M1592" s="11" t="s">
        <v>4650</v>
      </c>
      <c r="N1592" s="11" t="s">
        <v>4597</v>
      </c>
      <c r="O1592" s="11" t="s">
        <v>3892</v>
      </c>
      <c r="P1592" s="11" t="s">
        <v>4598</v>
      </c>
      <c r="Q1592" s="12">
        <v>11.6</v>
      </c>
      <c r="R1592" s="12">
        <v>16.399999999999999</v>
      </c>
      <c r="S1592" s="12">
        <v>2.4</v>
      </c>
      <c r="T1592" s="13">
        <v>0.28000000000000003</v>
      </c>
      <c r="U1592" s="13">
        <f t="shared" si="99"/>
        <v>-0.12</v>
      </c>
      <c r="V1592" s="14">
        <v>34.299999999999997</v>
      </c>
      <c r="W1592" s="14">
        <v>34.299999999999997</v>
      </c>
      <c r="X1592" s="11" t="s">
        <v>3722</v>
      </c>
      <c r="Y1592" s="15" t="s">
        <v>3713</v>
      </c>
      <c r="Z1592" s="16">
        <v>26.3</v>
      </c>
      <c r="AA1592" s="17">
        <v>328.7</v>
      </c>
      <c r="AB1592" s="18" t="s">
        <v>4435</v>
      </c>
    </row>
    <row r="1593" spans="1:28" x14ac:dyDescent="0.45">
      <c r="A1593" s="2" t="s">
        <v>2190</v>
      </c>
      <c r="B1593" s="2" t="s">
        <v>6687</v>
      </c>
      <c r="C1593" s="2" t="s">
        <v>2137</v>
      </c>
      <c r="D1593" s="2" t="s">
        <v>2138</v>
      </c>
      <c r="E1593" s="2" t="s">
        <v>2139</v>
      </c>
      <c r="F1593" s="3">
        <v>11</v>
      </c>
      <c r="G1593" s="3">
        <v>14</v>
      </c>
      <c r="H1593" s="2" t="s">
        <v>1120</v>
      </c>
      <c r="I1593" s="19">
        <v>8</v>
      </c>
      <c r="J1593" s="34">
        <f t="shared" si="96"/>
        <v>6.9599999999999995E-2</v>
      </c>
      <c r="K1593" s="34">
        <f t="shared" si="97"/>
        <v>0.1</v>
      </c>
      <c r="L1593" s="34">
        <f t="shared" si="98"/>
        <v>0.4</v>
      </c>
      <c r="M1593" s="20" t="s">
        <v>4652</v>
      </c>
      <c r="N1593" s="20" t="s">
        <v>4597</v>
      </c>
      <c r="O1593" s="20" t="s">
        <v>3892</v>
      </c>
      <c r="P1593" s="20" t="s">
        <v>4598</v>
      </c>
      <c r="Q1593" s="21">
        <v>11</v>
      </c>
      <c r="R1593" s="21">
        <v>14</v>
      </c>
      <c r="S1593" s="21">
        <v>1.5</v>
      </c>
      <c r="T1593" s="22">
        <v>0.2</v>
      </c>
      <c r="U1593" s="13">
        <f t="shared" si="99"/>
        <v>-0.2</v>
      </c>
      <c r="V1593" s="23">
        <v>24.5</v>
      </c>
      <c r="W1593" s="23">
        <v>24.5</v>
      </c>
      <c r="X1593" s="20">
        <v>1649</v>
      </c>
      <c r="Y1593" s="24" t="s">
        <v>3713</v>
      </c>
      <c r="Z1593" s="16">
        <v>16.5</v>
      </c>
      <c r="AA1593" s="17">
        <v>206.2</v>
      </c>
      <c r="AB1593" s="25" t="s">
        <v>3714</v>
      </c>
    </row>
    <row r="1594" spans="1:28" x14ac:dyDescent="0.45">
      <c r="A1594" s="4" t="s">
        <v>2191</v>
      </c>
      <c r="B1594" s="4" t="s">
        <v>6688</v>
      </c>
      <c r="C1594" s="4" t="s">
        <v>2137</v>
      </c>
      <c r="D1594" s="4" t="s">
        <v>2138</v>
      </c>
      <c r="E1594" s="4" t="s">
        <v>2139</v>
      </c>
      <c r="F1594" s="5">
        <v>11</v>
      </c>
      <c r="G1594" s="5">
        <v>15</v>
      </c>
      <c r="H1594" s="4" t="s">
        <v>1122</v>
      </c>
      <c r="I1594" s="10">
        <v>8</v>
      </c>
      <c r="J1594" s="34">
        <f t="shared" si="96"/>
        <v>6.9599999999999995E-2</v>
      </c>
      <c r="K1594" s="34">
        <f t="shared" si="97"/>
        <v>0.1</v>
      </c>
      <c r="L1594" s="34">
        <f t="shared" si="98"/>
        <v>0.4</v>
      </c>
      <c r="M1594" s="11" t="s">
        <v>4653</v>
      </c>
      <c r="N1594" s="11" t="s">
        <v>4597</v>
      </c>
      <c r="O1594" s="11" t="s">
        <v>3892</v>
      </c>
      <c r="P1594" s="11" t="s">
        <v>4598</v>
      </c>
      <c r="Q1594" s="12">
        <v>11</v>
      </c>
      <c r="R1594" s="12">
        <v>15</v>
      </c>
      <c r="S1594" s="12">
        <v>2</v>
      </c>
      <c r="T1594" s="13">
        <v>0.32</v>
      </c>
      <c r="U1594" s="13">
        <f t="shared" si="99"/>
        <v>-8.0000000000000016E-2</v>
      </c>
      <c r="V1594" s="14">
        <v>39.200000000000003</v>
      </c>
      <c r="W1594" s="14">
        <v>39.200000000000003</v>
      </c>
      <c r="X1594" s="11">
        <v>2000</v>
      </c>
      <c r="Y1594" s="15" t="s">
        <v>3713</v>
      </c>
      <c r="Z1594" s="16">
        <v>31.2</v>
      </c>
      <c r="AA1594" s="17">
        <v>390</v>
      </c>
      <c r="AB1594" s="18" t="s">
        <v>3714</v>
      </c>
    </row>
    <row r="1595" spans="1:28" x14ac:dyDescent="0.45">
      <c r="A1595" s="2" t="s">
        <v>2192</v>
      </c>
      <c r="B1595" s="2" t="s">
        <v>6689</v>
      </c>
      <c r="C1595" s="2" t="s">
        <v>2137</v>
      </c>
      <c r="D1595" s="2" t="s">
        <v>2138</v>
      </c>
      <c r="E1595" s="2" t="s">
        <v>2139</v>
      </c>
      <c r="F1595" s="3">
        <v>11</v>
      </c>
      <c r="G1595" s="3">
        <v>16</v>
      </c>
      <c r="H1595" s="2" t="s">
        <v>1135</v>
      </c>
      <c r="I1595" s="19">
        <v>8</v>
      </c>
      <c r="J1595" s="34">
        <f t="shared" si="96"/>
        <v>6.9599999999999995E-2</v>
      </c>
      <c r="K1595" s="34">
        <f t="shared" si="97"/>
        <v>0.1</v>
      </c>
      <c r="L1595" s="34">
        <f t="shared" si="98"/>
        <v>0.4</v>
      </c>
      <c r="M1595" s="20" t="s">
        <v>4646</v>
      </c>
      <c r="N1595" s="20" t="s">
        <v>4597</v>
      </c>
      <c r="O1595" s="20" t="s">
        <v>3892</v>
      </c>
      <c r="P1595" s="20" t="s">
        <v>4598</v>
      </c>
      <c r="Q1595" s="21">
        <v>11</v>
      </c>
      <c r="R1595" s="21">
        <v>16</v>
      </c>
      <c r="S1595" s="21">
        <v>2.5</v>
      </c>
      <c r="T1595" s="22">
        <v>0.5</v>
      </c>
      <c r="U1595" s="13">
        <f t="shared" si="99"/>
        <v>9.9999999999999978E-2</v>
      </c>
      <c r="V1595" s="23">
        <v>61.25</v>
      </c>
      <c r="W1595" s="23">
        <v>61.25</v>
      </c>
      <c r="X1595" s="20">
        <v>30</v>
      </c>
      <c r="Y1595" s="24" t="s">
        <v>3713</v>
      </c>
      <c r="Z1595" s="16">
        <v>53.25</v>
      </c>
      <c r="AA1595" s="17">
        <v>665.6</v>
      </c>
      <c r="AB1595" s="25" t="s">
        <v>3714</v>
      </c>
    </row>
    <row r="1596" spans="1:28" x14ac:dyDescent="0.45">
      <c r="A1596" s="4" t="s">
        <v>2193</v>
      </c>
      <c r="B1596" s="4" t="s">
        <v>6690</v>
      </c>
      <c r="C1596" s="4" t="s">
        <v>2137</v>
      </c>
      <c r="D1596" s="4" t="s">
        <v>2138</v>
      </c>
      <c r="E1596" s="4" t="s">
        <v>2139</v>
      </c>
      <c r="F1596" s="5">
        <v>12.37</v>
      </c>
      <c r="G1596" s="5">
        <v>17.61</v>
      </c>
      <c r="H1596" s="4" t="s">
        <v>1127</v>
      </c>
      <c r="I1596" s="10">
        <v>8</v>
      </c>
      <c r="J1596" s="34">
        <f t="shared" si="96"/>
        <v>6.9599999999999995E-2</v>
      </c>
      <c r="K1596" s="34">
        <f t="shared" si="97"/>
        <v>0.1</v>
      </c>
      <c r="L1596" s="34">
        <f t="shared" si="98"/>
        <v>0.4</v>
      </c>
      <c r="M1596" s="11" t="s">
        <v>4654</v>
      </c>
      <c r="N1596" s="11" t="s">
        <v>4597</v>
      </c>
      <c r="O1596" s="11" t="s">
        <v>3892</v>
      </c>
      <c r="P1596" s="11" t="s">
        <v>4598</v>
      </c>
      <c r="Q1596" s="12">
        <v>12.446</v>
      </c>
      <c r="R1596" s="12">
        <v>17.526</v>
      </c>
      <c r="S1596" s="12">
        <v>2.54</v>
      </c>
      <c r="T1596" s="13">
        <v>0.24</v>
      </c>
      <c r="U1596" s="13">
        <f t="shared" si="99"/>
        <v>-0.16000000000000003</v>
      </c>
      <c r="V1596" s="14">
        <v>29.4</v>
      </c>
      <c r="W1596" s="14">
        <v>29.4</v>
      </c>
      <c r="X1596" s="11">
        <v>574</v>
      </c>
      <c r="Y1596" s="15" t="s">
        <v>3737</v>
      </c>
      <c r="Z1596" s="16">
        <v>21.4</v>
      </c>
      <c r="AA1596" s="17">
        <v>267.5</v>
      </c>
      <c r="AB1596" s="18" t="s">
        <v>4022</v>
      </c>
    </row>
    <row r="1597" spans="1:28" x14ac:dyDescent="0.45">
      <c r="A1597" s="2" t="s">
        <v>2194</v>
      </c>
      <c r="B1597" s="2" t="s">
        <v>6691</v>
      </c>
      <c r="C1597" s="2" t="s">
        <v>2137</v>
      </c>
      <c r="D1597" s="2" t="s">
        <v>2138</v>
      </c>
      <c r="E1597" s="2" t="s">
        <v>2139</v>
      </c>
      <c r="F1597" s="3">
        <v>12.42</v>
      </c>
      <c r="G1597" s="3">
        <v>15.98</v>
      </c>
      <c r="H1597" s="2" t="s">
        <v>1114</v>
      </c>
      <c r="I1597" s="19">
        <v>8</v>
      </c>
      <c r="J1597" s="34">
        <f t="shared" si="96"/>
        <v>6.9599999999999995E-2</v>
      </c>
      <c r="K1597" s="34">
        <f t="shared" si="97"/>
        <v>0.1</v>
      </c>
      <c r="L1597" s="34">
        <f t="shared" si="98"/>
        <v>0.4</v>
      </c>
      <c r="M1597" s="20" t="s">
        <v>4655</v>
      </c>
      <c r="N1597" s="20" t="s">
        <v>4597</v>
      </c>
      <c r="O1597" s="20" t="s">
        <v>3892</v>
      </c>
      <c r="P1597" s="20" t="s">
        <v>4598</v>
      </c>
      <c r="Q1597" s="21">
        <v>12.446</v>
      </c>
      <c r="R1597" s="21">
        <v>16.001999999999999</v>
      </c>
      <c r="S1597" s="21">
        <v>1.778</v>
      </c>
      <c r="T1597" s="22">
        <v>0.26</v>
      </c>
      <c r="U1597" s="13">
        <f t="shared" si="99"/>
        <v>-0.14000000000000001</v>
      </c>
      <c r="V1597" s="23">
        <v>31.85</v>
      </c>
      <c r="W1597" s="23">
        <v>31.85</v>
      </c>
      <c r="X1597" s="20">
        <v>233</v>
      </c>
      <c r="Y1597" s="24" t="s">
        <v>3737</v>
      </c>
      <c r="Z1597" s="16">
        <v>23.85</v>
      </c>
      <c r="AA1597" s="17">
        <v>298.10000000000002</v>
      </c>
      <c r="AB1597" s="25" t="s">
        <v>3967</v>
      </c>
    </row>
    <row r="1598" spans="1:28" x14ac:dyDescent="0.45">
      <c r="A1598" s="4" t="s">
        <v>2195</v>
      </c>
      <c r="B1598" s="4" t="s">
        <v>6692</v>
      </c>
      <c r="C1598" s="4" t="s">
        <v>2137</v>
      </c>
      <c r="D1598" s="4" t="s">
        <v>2138</v>
      </c>
      <c r="E1598" s="4" t="s">
        <v>2139</v>
      </c>
      <c r="F1598" s="5">
        <v>12.4</v>
      </c>
      <c r="G1598" s="5">
        <v>16.2</v>
      </c>
      <c r="H1598" s="4" t="s">
        <v>1112</v>
      </c>
      <c r="I1598" s="10">
        <v>8</v>
      </c>
      <c r="J1598" s="34">
        <f t="shared" si="96"/>
        <v>6.9599999999999995E-2</v>
      </c>
      <c r="K1598" s="34">
        <f t="shared" si="97"/>
        <v>0.1</v>
      </c>
      <c r="L1598" s="34">
        <f t="shared" si="98"/>
        <v>0.4</v>
      </c>
      <c r="M1598" s="11" t="s">
        <v>4656</v>
      </c>
      <c r="N1598" s="11" t="s">
        <v>4597</v>
      </c>
      <c r="O1598" s="11" t="s">
        <v>3892</v>
      </c>
      <c r="P1598" s="11" t="s">
        <v>4598</v>
      </c>
      <c r="Q1598" s="12">
        <v>12.5</v>
      </c>
      <c r="R1598" s="12">
        <v>16.5</v>
      </c>
      <c r="S1598" s="12">
        <v>2</v>
      </c>
      <c r="T1598" s="13">
        <v>0.4</v>
      </c>
      <c r="U1598" s="13">
        <f t="shared" si="99"/>
        <v>0</v>
      </c>
      <c r="V1598" s="14">
        <v>49</v>
      </c>
      <c r="W1598" s="14">
        <v>49</v>
      </c>
      <c r="X1598" s="11">
        <v>148</v>
      </c>
      <c r="Y1598" s="15" t="s">
        <v>3713</v>
      </c>
      <c r="Z1598" s="16">
        <v>41</v>
      </c>
      <c r="AA1598" s="17">
        <v>512.5</v>
      </c>
      <c r="AB1598" s="18" t="s">
        <v>4657</v>
      </c>
    </row>
    <row r="1599" spans="1:28" x14ac:dyDescent="0.45">
      <c r="A1599" s="2" t="s">
        <v>2196</v>
      </c>
      <c r="B1599" s="2" t="s">
        <v>6693</v>
      </c>
      <c r="C1599" s="2" t="s">
        <v>2137</v>
      </c>
      <c r="D1599" s="2" t="s">
        <v>2138</v>
      </c>
      <c r="E1599" s="2" t="s">
        <v>2139</v>
      </c>
      <c r="F1599" s="3">
        <v>12</v>
      </c>
      <c r="G1599" s="3">
        <v>15</v>
      </c>
      <c r="H1599" s="2" t="s">
        <v>1120</v>
      </c>
      <c r="I1599" s="19">
        <v>8</v>
      </c>
      <c r="J1599" s="34">
        <f t="shared" si="96"/>
        <v>6.9599999999999995E-2</v>
      </c>
      <c r="K1599" s="34">
        <f t="shared" si="97"/>
        <v>0.1</v>
      </c>
      <c r="L1599" s="34">
        <f t="shared" si="98"/>
        <v>0.4</v>
      </c>
      <c r="M1599" s="20" t="s">
        <v>4658</v>
      </c>
      <c r="N1599" s="20" t="s">
        <v>4597</v>
      </c>
      <c r="O1599" s="20" t="s">
        <v>3892</v>
      </c>
      <c r="P1599" s="20" t="s">
        <v>4598</v>
      </c>
      <c r="Q1599" s="21">
        <v>12</v>
      </c>
      <c r="R1599" s="21">
        <v>15</v>
      </c>
      <c r="S1599" s="21">
        <v>1.5</v>
      </c>
      <c r="T1599" s="22">
        <v>0.37</v>
      </c>
      <c r="U1599" s="13">
        <f t="shared" si="99"/>
        <v>-3.0000000000000027E-2</v>
      </c>
      <c r="V1599" s="23">
        <v>45.32</v>
      </c>
      <c r="W1599" s="23">
        <v>45.32</v>
      </c>
      <c r="X1599" s="20">
        <v>154</v>
      </c>
      <c r="Y1599" s="24" t="s">
        <v>3713</v>
      </c>
      <c r="Z1599" s="16">
        <v>37.32</v>
      </c>
      <c r="AA1599" s="17">
        <v>466.5</v>
      </c>
      <c r="AB1599" s="25" t="s">
        <v>3714</v>
      </c>
    </row>
    <row r="1600" spans="1:28" x14ac:dyDescent="0.45">
      <c r="A1600" s="4" t="s">
        <v>2197</v>
      </c>
      <c r="B1600" s="4" t="s">
        <v>6694</v>
      </c>
      <c r="C1600" s="4" t="s">
        <v>2137</v>
      </c>
      <c r="D1600" s="4" t="s">
        <v>2138</v>
      </c>
      <c r="E1600" s="4" t="s">
        <v>2139</v>
      </c>
      <c r="F1600" s="5">
        <v>12</v>
      </c>
      <c r="G1600" s="5">
        <v>16</v>
      </c>
      <c r="H1600" s="4" t="s">
        <v>1122</v>
      </c>
      <c r="I1600" s="10">
        <v>8</v>
      </c>
      <c r="J1600" s="34">
        <f t="shared" si="96"/>
        <v>6.9599999999999995E-2</v>
      </c>
      <c r="K1600" s="34">
        <f t="shared" si="97"/>
        <v>0.1</v>
      </c>
      <c r="L1600" s="34">
        <f t="shared" si="98"/>
        <v>0.4</v>
      </c>
      <c r="M1600" s="11" t="s">
        <v>4659</v>
      </c>
      <c r="N1600" s="11" t="s">
        <v>4597</v>
      </c>
      <c r="O1600" s="11" t="s">
        <v>3892</v>
      </c>
      <c r="P1600" s="11" t="s">
        <v>4598</v>
      </c>
      <c r="Q1600" s="12">
        <v>12</v>
      </c>
      <c r="R1600" s="12">
        <v>16</v>
      </c>
      <c r="S1600" s="12">
        <v>2</v>
      </c>
      <c r="T1600" s="13">
        <v>0.28999999999999998</v>
      </c>
      <c r="U1600" s="13">
        <f t="shared" si="99"/>
        <v>-0.11000000000000004</v>
      </c>
      <c r="V1600" s="14">
        <v>35.520000000000003</v>
      </c>
      <c r="W1600" s="14">
        <v>35.520000000000003</v>
      </c>
      <c r="X1600" s="11">
        <v>1313</v>
      </c>
      <c r="Y1600" s="15" t="s">
        <v>3713</v>
      </c>
      <c r="Z1600" s="16">
        <v>27.52</v>
      </c>
      <c r="AA1600" s="17">
        <v>344</v>
      </c>
      <c r="AB1600" s="18" t="s">
        <v>3714</v>
      </c>
    </row>
    <row r="1601" spans="1:28" x14ac:dyDescent="0.45">
      <c r="A1601" s="2" t="s">
        <v>2198</v>
      </c>
      <c r="B1601" s="2" t="s">
        <v>6695</v>
      </c>
      <c r="C1601" s="2" t="s">
        <v>2137</v>
      </c>
      <c r="D1601" s="2" t="s">
        <v>2138</v>
      </c>
      <c r="E1601" s="2" t="s">
        <v>2139</v>
      </c>
      <c r="F1601" s="3">
        <v>12</v>
      </c>
      <c r="G1601" s="3">
        <v>17</v>
      </c>
      <c r="H1601" s="2" t="s">
        <v>1135</v>
      </c>
      <c r="I1601" s="19">
        <v>8</v>
      </c>
      <c r="J1601" s="34">
        <f t="shared" si="96"/>
        <v>6.9599999999999995E-2</v>
      </c>
      <c r="K1601" s="34">
        <f t="shared" si="97"/>
        <v>0.1</v>
      </c>
      <c r="L1601" s="34">
        <f t="shared" si="98"/>
        <v>0.4</v>
      </c>
      <c r="M1601" s="20" t="s">
        <v>4660</v>
      </c>
      <c r="N1601" s="20" t="s">
        <v>4597</v>
      </c>
      <c r="O1601" s="20" t="s">
        <v>3892</v>
      </c>
      <c r="P1601" s="20" t="s">
        <v>4598</v>
      </c>
      <c r="Q1601" s="21">
        <v>12</v>
      </c>
      <c r="R1601" s="21">
        <v>17</v>
      </c>
      <c r="S1601" s="21">
        <v>2.5</v>
      </c>
      <c r="T1601" s="22">
        <v>0.28999999999999998</v>
      </c>
      <c r="U1601" s="13">
        <f t="shared" si="99"/>
        <v>-0.11000000000000004</v>
      </c>
      <c r="V1601" s="23">
        <v>35.520000000000003</v>
      </c>
      <c r="W1601" s="23">
        <v>35.520000000000003</v>
      </c>
      <c r="X1601" s="20">
        <v>66</v>
      </c>
      <c r="Y1601" s="24" t="s">
        <v>3713</v>
      </c>
      <c r="Z1601" s="16">
        <v>27.52</v>
      </c>
      <c r="AA1601" s="17">
        <v>344</v>
      </c>
      <c r="AB1601" s="25" t="s">
        <v>3714</v>
      </c>
    </row>
    <row r="1602" spans="1:28" x14ac:dyDescent="0.45">
      <c r="A1602" s="4" t="s">
        <v>2199</v>
      </c>
      <c r="B1602" s="4" t="s">
        <v>6696</v>
      </c>
      <c r="C1602" s="4" t="s">
        <v>2137</v>
      </c>
      <c r="D1602" s="4" t="s">
        <v>2138</v>
      </c>
      <c r="E1602" s="4" t="s">
        <v>2139</v>
      </c>
      <c r="F1602" s="5">
        <v>13.2</v>
      </c>
      <c r="G1602" s="5">
        <v>16.760000000000002</v>
      </c>
      <c r="H1602" s="4" t="s">
        <v>1114</v>
      </c>
      <c r="I1602" s="10">
        <v>8</v>
      </c>
      <c r="J1602" s="34">
        <f t="shared" si="96"/>
        <v>6.9599999999999995E-2</v>
      </c>
      <c r="K1602" s="34">
        <f t="shared" si="97"/>
        <v>0.1</v>
      </c>
      <c r="L1602" s="34">
        <f t="shared" si="98"/>
        <v>0.4</v>
      </c>
      <c r="M1602" s="11" t="s">
        <v>4661</v>
      </c>
      <c r="N1602" s="11" t="s">
        <v>4597</v>
      </c>
      <c r="O1602" s="11" t="s">
        <v>3892</v>
      </c>
      <c r="P1602" s="11" t="s">
        <v>4598</v>
      </c>
      <c r="Q1602" s="12">
        <v>13.2</v>
      </c>
      <c r="R1602" s="12">
        <v>16.8</v>
      </c>
      <c r="S1602" s="12">
        <v>1.8</v>
      </c>
      <c r="T1602" s="13">
        <v>0.88</v>
      </c>
      <c r="U1602" s="13">
        <f t="shared" si="99"/>
        <v>0.48</v>
      </c>
      <c r="V1602" s="14">
        <v>107.8</v>
      </c>
      <c r="W1602" s="14">
        <v>107.8</v>
      </c>
      <c r="X1602" s="11" t="s">
        <v>3722</v>
      </c>
      <c r="Y1602" s="15" t="s">
        <v>3713</v>
      </c>
      <c r="Z1602" s="16">
        <v>99.8</v>
      </c>
      <c r="AA1602" s="17">
        <v>1247.5</v>
      </c>
      <c r="AB1602" s="18" t="s">
        <v>4380</v>
      </c>
    </row>
    <row r="1603" spans="1:28" x14ac:dyDescent="0.45">
      <c r="A1603" s="2" t="s">
        <v>2200</v>
      </c>
      <c r="B1603" s="2" t="s">
        <v>6697</v>
      </c>
      <c r="C1603" s="2" t="s">
        <v>2137</v>
      </c>
      <c r="D1603" s="2" t="s">
        <v>2138</v>
      </c>
      <c r="E1603" s="2" t="s">
        <v>2139</v>
      </c>
      <c r="F1603" s="3">
        <v>13.87</v>
      </c>
      <c r="G1603" s="3">
        <v>20.93</v>
      </c>
      <c r="H1603" s="2" t="s">
        <v>1156</v>
      </c>
      <c r="I1603" s="19">
        <v>17</v>
      </c>
      <c r="J1603" s="34">
        <f t="shared" si="96"/>
        <v>0.14789999999999998</v>
      </c>
      <c r="K1603" s="34">
        <f t="shared" si="97"/>
        <v>0.22</v>
      </c>
      <c r="L1603" s="34">
        <f t="shared" si="98"/>
        <v>0.88</v>
      </c>
      <c r="M1603" s="20" t="s">
        <v>4662</v>
      </c>
      <c r="N1603" s="20" t="s">
        <v>4597</v>
      </c>
      <c r="O1603" s="20" t="s">
        <v>3892</v>
      </c>
      <c r="P1603" s="20" t="s">
        <v>4598</v>
      </c>
      <c r="Q1603" s="21">
        <v>13.97</v>
      </c>
      <c r="R1603" s="21">
        <v>20.827999999999999</v>
      </c>
      <c r="S1603" s="21">
        <v>3.556</v>
      </c>
      <c r="T1603" s="22">
        <v>0.3</v>
      </c>
      <c r="U1603" s="13">
        <f t="shared" si="99"/>
        <v>-0.58000000000000007</v>
      </c>
      <c r="V1603" s="23">
        <v>36.75</v>
      </c>
      <c r="W1603" s="23">
        <v>36.75</v>
      </c>
      <c r="X1603" s="20">
        <v>666</v>
      </c>
      <c r="Y1603" s="24" t="s">
        <v>3737</v>
      </c>
      <c r="Z1603" s="16">
        <v>19.75</v>
      </c>
      <c r="AA1603" s="17">
        <v>116.2</v>
      </c>
      <c r="AB1603" s="25" t="s">
        <v>3999</v>
      </c>
    </row>
    <row r="1604" spans="1:28" x14ac:dyDescent="0.45">
      <c r="A1604" s="4" t="s">
        <v>2201</v>
      </c>
      <c r="B1604" s="4" t="s">
        <v>6698</v>
      </c>
      <c r="C1604" s="4" t="s">
        <v>2137</v>
      </c>
      <c r="D1604" s="4" t="s">
        <v>2138</v>
      </c>
      <c r="E1604" s="4" t="s">
        <v>2139</v>
      </c>
      <c r="F1604" s="5">
        <v>13.94</v>
      </c>
      <c r="G1604" s="5">
        <v>19.18</v>
      </c>
      <c r="H1604" s="4" t="s">
        <v>1127</v>
      </c>
      <c r="I1604" s="10">
        <v>10</v>
      </c>
      <c r="J1604" s="34">
        <f t="shared" si="96"/>
        <v>8.6999999999999994E-2</v>
      </c>
      <c r="K1604" s="34">
        <f t="shared" si="97"/>
        <v>0.13</v>
      </c>
      <c r="L1604" s="34">
        <f t="shared" si="98"/>
        <v>0.52</v>
      </c>
      <c r="M1604" s="11" t="s">
        <v>4663</v>
      </c>
      <c r="N1604" s="11" t="s">
        <v>4597</v>
      </c>
      <c r="O1604" s="11" t="s">
        <v>3892</v>
      </c>
      <c r="P1604" s="11" t="s">
        <v>4598</v>
      </c>
      <c r="Q1604" s="12">
        <v>14</v>
      </c>
      <c r="R1604" s="12">
        <v>19</v>
      </c>
      <c r="S1604" s="12">
        <v>2.5</v>
      </c>
      <c r="T1604" s="13">
        <v>0.35</v>
      </c>
      <c r="U1604" s="13">
        <f t="shared" si="99"/>
        <v>-0.17000000000000004</v>
      </c>
      <c r="V1604" s="14">
        <v>42.88</v>
      </c>
      <c r="W1604" s="14">
        <v>42.88</v>
      </c>
      <c r="X1604" s="11">
        <v>444</v>
      </c>
      <c r="Y1604" s="15" t="s">
        <v>3713</v>
      </c>
      <c r="Z1604" s="16">
        <v>32.880000000000003</v>
      </c>
      <c r="AA1604" s="17">
        <v>328.8</v>
      </c>
      <c r="AB1604" s="18" t="s">
        <v>3941</v>
      </c>
    </row>
    <row r="1605" spans="1:28" x14ac:dyDescent="0.45">
      <c r="A1605" s="2" t="s">
        <v>2202</v>
      </c>
      <c r="B1605" s="2" t="s">
        <v>6699</v>
      </c>
      <c r="C1605" s="2" t="s">
        <v>2137</v>
      </c>
      <c r="D1605" s="2" t="s">
        <v>2138</v>
      </c>
      <c r="E1605" s="2" t="s">
        <v>2139</v>
      </c>
      <c r="F1605" s="3">
        <v>13</v>
      </c>
      <c r="G1605" s="3">
        <v>17</v>
      </c>
      <c r="H1605" s="2" t="s">
        <v>1122</v>
      </c>
      <c r="I1605" s="19">
        <v>8</v>
      </c>
      <c r="J1605" s="34">
        <f t="shared" ref="J1605:J1668" si="100">I1605*0.0087</f>
        <v>6.9599999999999995E-2</v>
      </c>
      <c r="K1605" s="34">
        <f t="shared" ref="K1605:K1668" si="101">ROUND(J1605*1.5,2)</f>
        <v>0.1</v>
      </c>
      <c r="L1605" s="34">
        <f t="shared" ref="L1605:L1668" si="102">K1605*4</f>
        <v>0.4</v>
      </c>
      <c r="M1605" s="20" t="s">
        <v>4664</v>
      </c>
      <c r="N1605" s="20" t="s">
        <v>4597</v>
      </c>
      <c r="O1605" s="20" t="s">
        <v>3892</v>
      </c>
      <c r="P1605" s="20" t="s">
        <v>4598</v>
      </c>
      <c r="Q1605" s="21">
        <v>13</v>
      </c>
      <c r="R1605" s="21">
        <v>17</v>
      </c>
      <c r="S1605" s="21">
        <v>2</v>
      </c>
      <c r="T1605" s="22">
        <v>0.43</v>
      </c>
      <c r="U1605" s="13">
        <f t="shared" ref="U1605:U1668" si="103">T1605-L1605</f>
        <v>2.9999999999999971E-2</v>
      </c>
      <c r="V1605" s="23">
        <v>52.68</v>
      </c>
      <c r="W1605" s="23">
        <v>52.68</v>
      </c>
      <c r="X1605" s="20">
        <v>2367</v>
      </c>
      <c r="Y1605" s="24" t="s">
        <v>3713</v>
      </c>
      <c r="Z1605" s="16">
        <v>44.68</v>
      </c>
      <c r="AA1605" s="17">
        <v>558.5</v>
      </c>
      <c r="AB1605" s="25" t="s">
        <v>3714</v>
      </c>
    </row>
    <row r="1606" spans="1:28" x14ac:dyDescent="0.45">
      <c r="A1606" s="4" t="s">
        <v>2203</v>
      </c>
      <c r="B1606" s="4" t="s">
        <v>6700</v>
      </c>
      <c r="C1606" s="4" t="s">
        <v>2137</v>
      </c>
      <c r="D1606" s="4" t="s">
        <v>2138</v>
      </c>
      <c r="E1606" s="4" t="s">
        <v>2139</v>
      </c>
      <c r="F1606" s="5">
        <v>13</v>
      </c>
      <c r="G1606" s="5">
        <v>18</v>
      </c>
      <c r="H1606" s="4" t="s">
        <v>1135</v>
      </c>
      <c r="I1606" s="10">
        <v>8</v>
      </c>
      <c r="J1606" s="34">
        <f t="shared" si="100"/>
        <v>6.9599999999999995E-2</v>
      </c>
      <c r="K1606" s="34">
        <f t="shared" si="101"/>
        <v>0.1</v>
      </c>
      <c r="L1606" s="34">
        <f t="shared" si="102"/>
        <v>0.4</v>
      </c>
      <c r="M1606" s="11" t="s">
        <v>4665</v>
      </c>
      <c r="N1606" s="11" t="s">
        <v>4597</v>
      </c>
      <c r="O1606" s="11" t="s">
        <v>3892</v>
      </c>
      <c r="P1606" s="11" t="s">
        <v>4598</v>
      </c>
      <c r="Q1606" s="12">
        <v>13</v>
      </c>
      <c r="R1606" s="12">
        <v>18</v>
      </c>
      <c r="S1606" s="12">
        <v>2.5</v>
      </c>
      <c r="T1606" s="13">
        <v>0.54</v>
      </c>
      <c r="U1606" s="13">
        <f t="shared" si="103"/>
        <v>0.14000000000000001</v>
      </c>
      <c r="V1606" s="14">
        <v>66.150000000000006</v>
      </c>
      <c r="W1606" s="14">
        <v>66.150000000000006</v>
      </c>
      <c r="X1606" s="11">
        <v>377</v>
      </c>
      <c r="Y1606" s="15" t="s">
        <v>3713</v>
      </c>
      <c r="Z1606" s="16">
        <v>58.150000000000013</v>
      </c>
      <c r="AA1606" s="17">
        <v>726.9</v>
      </c>
      <c r="AB1606" s="18" t="s">
        <v>3714</v>
      </c>
    </row>
    <row r="1607" spans="1:28" x14ac:dyDescent="0.45">
      <c r="A1607" s="2" t="s">
        <v>2204</v>
      </c>
      <c r="B1607" s="2" t="s">
        <v>6701</v>
      </c>
      <c r="C1607" s="2" t="s">
        <v>2137</v>
      </c>
      <c r="D1607" s="2" t="s">
        <v>2138</v>
      </c>
      <c r="E1607" s="2" t="s">
        <v>2139</v>
      </c>
      <c r="F1607" s="3">
        <v>14.1</v>
      </c>
      <c r="G1607" s="3">
        <v>17.3</v>
      </c>
      <c r="H1607" s="2" t="s">
        <v>1514</v>
      </c>
      <c r="I1607" s="19">
        <v>8</v>
      </c>
      <c r="J1607" s="34">
        <f t="shared" si="100"/>
        <v>6.9599999999999995E-2</v>
      </c>
      <c r="K1607" s="34">
        <f t="shared" si="101"/>
        <v>0.1</v>
      </c>
      <c r="L1607" s="34">
        <f t="shared" si="102"/>
        <v>0.4</v>
      </c>
      <c r="M1607" s="20" t="s">
        <v>4666</v>
      </c>
      <c r="N1607" s="20" t="s">
        <v>4597</v>
      </c>
      <c r="O1607" s="20" t="s">
        <v>3892</v>
      </c>
      <c r="P1607" s="20" t="s">
        <v>4598</v>
      </c>
      <c r="Q1607" s="21">
        <v>14.1</v>
      </c>
      <c r="R1607" s="21">
        <v>17.3</v>
      </c>
      <c r="S1607" s="21">
        <v>1.6</v>
      </c>
      <c r="T1607" s="22">
        <v>0.41</v>
      </c>
      <c r="U1607" s="13">
        <f t="shared" si="103"/>
        <v>9.9999999999999534E-3</v>
      </c>
      <c r="V1607" s="23">
        <v>50.22</v>
      </c>
      <c r="W1607" s="23">
        <v>50.22</v>
      </c>
      <c r="X1607" s="20">
        <v>1</v>
      </c>
      <c r="Y1607" s="24" t="s">
        <v>3713</v>
      </c>
      <c r="Z1607" s="16">
        <v>42.22</v>
      </c>
      <c r="AA1607" s="17">
        <v>527.79999999999995</v>
      </c>
      <c r="AB1607" s="25" t="s">
        <v>3714</v>
      </c>
    </row>
    <row r="1608" spans="1:28" x14ac:dyDescent="0.45">
      <c r="A1608" s="4" t="s">
        <v>2205</v>
      </c>
      <c r="B1608" s="4" t="s">
        <v>6702</v>
      </c>
      <c r="C1608" s="4" t="s">
        <v>2137</v>
      </c>
      <c r="D1608" s="4" t="s">
        <v>2138</v>
      </c>
      <c r="E1608" s="4" t="s">
        <v>2139</v>
      </c>
      <c r="F1608" s="5">
        <v>14.8</v>
      </c>
      <c r="G1608" s="5">
        <v>19.600000000000001</v>
      </c>
      <c r="H1608" s="4" t="s">
        <v>1140</v>
      </c>
      <c r="I1608" s="10">
        <v>10</v>
      </c>
      <c r="J1608" s="34">
        <f t="shared" si="100"/>
        <v>8.6999999999999994E-2</v>
      </c>
      <c r="K1608" s="34">
        <f t="shared" si="101"/>
        <v>0.13</v>
      </c>
      <c r="L1608" s="34">
        <f t="shared" si="102"/>
        <v>0.52</v>
      </c>
      <c r="M1608" s="11" t="s">
        <v>4667</v>
      </c>
      <c r="N1608" s="11" t="s">
        <v>4597</v>
      </c>
      <c r="O1608" s="11" t="s">
        <v>3892</v>
      </c>
      <c r="P1608" s="11" t="s">
        <v>4598</v>
      </c>
      <c r="Q1608" s="12">
        <v>15</v>
      </c>
      <c r="R1608" s="12">
        <v>20</v>
      </c>
      <c r="S1608" s="12">
        <v>2.5</v>
      </c>
      <c r="T1608" s="13">
        <v>0.56999999999999995</v>
      </c>
      <c r="U1608" s="13">
        <f t="shared" si="103"/>
        <v>4.9999999999999933E-2</v>
      </c>
      <c r="V1608" s="14">
        <v>69.819999999999993</v>
      </c>
      <c r="W1608" s="14">
        <v>69.819999999999993</v>
      </c>
      <c r="X1608" s="11">
        <v>206</v>
      </c>
      <c r="Y1608" s="15" t="s">
        <v>3713</v>
      </c>
      <c r="Z1608" s="16">
        <v>59.819999999999993</v>
      </c>
      <c r="AA1608" s="17">
        <v>598.20000000000005</v>
      </c>
      <c r="AB1608" s="18" t="s">
        <v>4643</v>
      </c>
    </row>
    <row r="1609" spans="1:28" x14ac:dyDescent="0.45">
      <c r="A1609" s="2" t="s">
        <v>2206</v>
      </c>
      <c r="B1609" s="2" t="s">
        <v>6703</v>
      </c>
      <c r="C1609" s="2" t="s">
        <v>2137</v>
      </c>
      <c r="D1609" s="2" t="s">
        <v>2138</v>
      </c>
      <c r="E1609" s="2" t="s">
        <v>2139</v>
      </c>
      <c r="F1609" s="3">
        <v>14</v>
      </c>
      <c r="G1609" s="3">
        <v>17</v>
      </c>
      <c r="H1609" s="2" t="s">
        <v>1120</v>
      </c>
      <c r="I1609" s="19">
        <v>8</v>
      </c>
      <c r="J1609" s="34">
        <f t="shared" si="100"/>
        <v>6.9599999999999995E-2</v>
      </c>
      <c r="K1609" s="34">
        <f t="shared" si="101"/>
        <v>0.1</v>
      </c>
      <c r="L1609" s="34">
        <f t="shared" si="102"/>
        <v>0.4</v>
      </c>
      <c r="M1609" s="20" t="s">
        <v>4668</v>
      </c>
      <c r="N1609" s="20" t="s">
        <v>4597</v>
      </c>
      <c r="O1609" s="20" t="s">
        <v>3892</v>
      </c>
      <c r="P1609" s="20" t="s">
        <v>4598</v>
      </c>
      <c r="Q1609" s="21">
        <v>14</v>
      </c>
      <c r="R1609" s="21">
        <v>17</v>
      </c>
      <c r="S1609" s="21">
        <v>1.5</v>
      </c>
      <c r="T1609" s="22">
        <v>0.48</v>
      </c>
      <c r="U1609" s="13">
        <f t="shared" si="103"/>
        <v>7.999999999999996E-2</v>
      </c>
      <c r="V1609" s="23">
        <v>58.8</v>
      </c>
      <c r="W1609" s="23">
        <v>58.8</v>
      </c>
      <c r="X1609" s="20">
        <v>180</v>
      </c>
      <c r="Y1609" s="24" t="s">
        <v>3713</v>
      </c>
      <c r="Z1609" s="16">
        <v>50.8</v>
      </c>
      <c r="AA1609" s="17">
        <v>635</v>
      </c>
      <c r="AB1609" s="25" t="s">
        <v>3714</v>
      </c>
    </row>
    <row r="1610" spans="1:28" x14ac:dyDescent="0.45">
      <c r="A1610" s="4" t="s">
        <v>2207</v>
      </c>
      <c r="B1610" s="4" t="s">
        <v>6704</v>
      </c>
      <c r="C1610" s="4" t="s">
        <v>2137</v>
      </c>
      <c r="D1610" s="4" t="s">
        <v>2138</v>
      </c>
      <c r="E1610" s="4" t="s">
        <v>2139</v>
      </c>
      <c r="F1610" s="5">
        <v>14</v>
      </c>
      <c r="G1610" s="5">
        <v>17.559999999999999</v>
      </c>
      <c r="H1610" s="4" t="s">
        <v>1114</v>
      </c>
      <c r="I1610" s="10">
        <v>8</v>
      </c>
      <c r="J1610" s="34">
        <f t="shared" si="100"/>
        <v>6.9599999999999995E-2</v>
      </c>
      <c r="K1610" s="34">
        <f t="shared" si="101"/>
        <v>0.1</v>
      </c>
      <c r="L1610" s="34">
        <f t="shared" si="102"/>
        <v>0.4</v>
      </c>
      <c r="M1610" s="11" t="s">
        <v>4669</v>
      </c>
      <c r="N1610" s="11" t="s">
        <v>4597</v>
      </c>
      <c r="O1610" s="11" t="s">
        <v>3892</v>
      </c>
      <c r="P1610" s="11" t="s">
        <v>4598</v>
      </c>
      <c r="Q1610" s="12">
        <v>14</v>
      </c>
      <c r="R1610" s="12">
        <v>17.600000000000001</v>
      </c>
      <c r="S1610" s="12">
        <v>1.8</v>
      </c>
      <c r="T1610" s="13">
        <v>0.2</v>
      </c>
      <c r="U1610" s="13">
        <f t="shared" si="103"/>
        <v>-0.2</v>
      </c>
      <c r="V1610" s="14">
        <v>24.5</v>
      </c>
      <c r="W1610" s="14">
        <v>24.5</v>
      </c>
      <c r="X1610" s="11" t="s">
        <v>3722</v>
      </c>
      <c r="Y1610" s="15" t="s">
        <v>3713</v>
      </c>
      <c r="Z1610" s="16">
        <v>16.5</v>
      </c>
      <c r="AA1610" s="17">
        <v>206.2</v>
      </c>
      <c r="AB1610" s="18" t="s">
        <v>4380</v>
      </c>
    </row>
    <row r="1611" spans="1:28" x14ac:dyDescent="0.45">
      <c r="A1611" s="2" t="s">
        <v>2208</v>
      </c>
      <c r="B1611" s="2" t="s">
        <v>6705</v>
      </c>
      <c r="C1611" s="2" t="s">
        <v>2137</v>
      </c>
      <c r="D1611" s="2" t="s">
        <v>2138</v>
      </c>
      <c r="E1611" s="2" t="s">
        <v>2139</v>
      </c>
      <c r="F1611" s="3">
        <v>14</v>
      </c>
      <c r="G1611" s="3">
        <v>18</v>
      </c>
      <c r="H1611" s="2" t="s">
        <v>1122</v>
      </c>
      <c r="I1611" s="19">
        <v>8</v>
      </c>
      <c r="J1611" s="34">
        <f t="shared" si="100"/>
        <v>6.9599999999999995E-2</v>
      </c>
      <c r="K1611" s="34">
        <f t="shared" si="101"/>
        <v>0.1</v>
      </c>
      <c r="L1611" s="34">
        <f t="shared" si="102"/>
        <v>0.4</v>
      </c>
      <c r="M1611" s="20" t="s">
        <v>4670</v>
      </c>
      <c r="N1611" s="20" t="s">
        <v>4597</v>
      </c>
      <c r="O1611" s="20" t="s">
        <v>3892</v>
      </c>
      <c r="P1611" s="20" t="s">
        <v>4598</v>
      </c>
      <c r="Q1611" s="21">
        <v>14</v>
      </c>
      <c r="R1611" s="21">
        <v>18</v>
      </c>
      <c r="S1611" s="21">
        <v>2</v>
      </c>
      <c r="T1611" s="22">
        <v>0.43</v>
      </c>
      <c r="U1611" s="13">
        <f t="shared" si="103"/>
        <v>2.9999999999999971E-2</v>
      </c>
      <c r="V1611" s="23">
        <v>52.68</v>
      </c>
      <c r="W1611" s="23">
        <v>52.68</v>
      </c>
      <c r="X1611" s="20">
        <v>339</v>
      </c>
      <c r="Y1611" s="24" t="s">
        <v>3713</v>
      </c>
      <c r="Z1611" s="16">
        <v>44.68</v>
      </c>
      <c r="AA1611" s="17">
        <v>558.5</v>
      </c>
      <c r="AB1611" s="25" t="s">
        <v>3714</v>
      </c>
    </row>
    <row r="1612" spans="1:28" x14ac:dyDescent="0.45">
      <c r="A1612" s="4" t="s">
        <v>2209</v>
      </c>
      <c r="B1612" s="4" t="s">
        <v>6706</v>
      </c>
      <c r="C1612" s="4" t="s">
        <v>2137</v>
      </c>
      <c r="D1612" s="4" t="s">
        <v>2138</v>
      </c>
      <c r="E1612" s="4" t="s">
        <v>2139</v>
      </c>
      <c r="F1612" s="5">
        <v>14</v>
      </c>
      <c r="G1612" s="5">
        <v>19</v>
      </c>
      <c r="H1612" s="4" t="s">
        <v>1135</v>
      </c>
      <c r="I1612" s="10">
        <v>10</v>
      </c>
      <c r="J1612" s="34">
        <f t="shared" si="100"/>
        <v>8.6999999999999994E-2</v>
      </c>
      <c r="K1612" s="34">
        <f t="shared" si="101"/>
        <v>0.13</v>
      </c>
      <c r="L1612" s="34">
        <f t="shared" si="102"/>
        <v>0.52</v>
      </c>
      <c r="M1612" s="11" t="s">
        <v>4663</v>
      </c>
      <c r="N1612" s="11" t="s">
        <v>4597</v>
      </c>
      <c r="O1612" s="11" t="s">
        <v>3892</v>
      </c>
      <c r="P1612" s="11" t="s">
        <v>4598</v>
      </c>
      <c r="Q1612" s="12">
        <v>14</v>
      </c>
      <c r="R1612" s="12">
        <v>19</v>
      </c>
      <c r="S1612" s="12">
        <v>2.5</v>
      </c>
      <c r="T1612" s="13">
        <v>0.35</v>
      </c>
      <c r="U1612" s="13">
        <f t="shared" si="103"/>
        <v>-0.17000000000000004</v>
      </c>
      <c r="V1612" s="14">
        <v>42.88</v>
      </c>
      <c r="W1612" s="14">
        <v>42.88</v>
      </c>
      <c r="X1612" s="11">
        <v>444</v>
      </c>
      <c r="Y1612" s="15" t="s">
        <v>3713</v>
      </c>
      <c r="Z1612" s="16">
        <v>32.880000000000003</v>
      </c>
      <c r="AA1612" s="17">
        <v>328.8</v>
      </c>
      <c r="AB1612" s="18" t="s">
        <v>3714</v>
      </c>
    </row>
    <row r="1613" spans="1:28" x14ac:dyDescent="0.45">
      <c r="A1613" s="2" t="s">
        <v>2210</v>
      </c>
      <c r="B1613" s="2" t="s">
        <v>6707</v>
      </c>
      <c r="C1613" s="2" t="s">
        <v>2137</v>
      </c>
      <c r="D1613" s="2" t="s">
        <v>2138</v>
      </c>
      <c r="E1613" s="2" t="s">
        <v>2139</v>
      </c>
      <c r="F1613" s="3">
        <v>14</v>
      </c>
      <c r="G1613" s="3">
        <v>20</v>
      </c>
      <c r="H1613" s="2" t="s">
        <v>1149</v>
      </c>
      <c r="I1613" s="19">
        <v>17</v>
      </c>
      <c r="J1613" s="34">
        <f t="shared" si="100"/>
        <v>0.14789999999999998</v>
      </c>
      <c r="K1613" s="34">
        <f t="shared" si="101"/>
        <v>0.22</v>
      </c>
      <c r="L1613" s="34">
        <f t="shared" si="102"/>
        <v>0.88</v>
      </c>
      <c r="M1613" s="20" t="s">
        <v>4671</v>
      </c>
      <c r="N1613" s="20" t="s">
        <v>4597</v>
      </c>
      <c r="O1613" s="20" t="s">
        <v>3892</v>
      </c>
      <c r="P1613" s="20" t="s">
        <v>4598</v>
      </c>
      <c r="Q1613" s="21">
        <v>14</v>
      </c>
      <c r="R1613" s="21">
        <v>20</v>
      </c>
      <c r="S1613" s="21">
        <v>3</v>
      </c>
      <c r="T1613" s="22">
        <v>0.66</v>
      </c>
      <c r="U1613" s="13">
        <f t="shared" si="103"/>
        <v>-0.21999999999999997</v>
      </c>
      <c r="V1613" s="23">
        <v>80.849999999999994</v>
      </c>
      <c r="W1613" s="23">
        <v>80.849999999999994</v>
      </c>
      <c r="X1613" s="20">
        <v>271</v>
      </c>
      <c r="Y1613" s="24" t="s">
        <v>3713</v>
      </c>
      <c r="Z1613" s="16">
        <v>63.849999999999987</v>
      </c>
      <c r="AA1613" s="17">
        <v>375.6</v>
      </c>
      <c r="AB1613" s="25" t="s">
        <v>3714</v>
      </c>
    </row>
    <row r="1614" spans="1:28" x14ac:dyDescent="0.45">
      <c r="A1614" s="4" t="s">
        <v>2211</v>
      </c>
      <c r="B1614" s="4" t="s">
        <v>6708</v>
      </c>
      <c r="C1614" s="4" t="s">
        <v>2137</v>
      </c>
      <c r="D1614" s="4" t="s">
        <v>2138</v>
      </c>
      <c r="E1614" s="4" t="s">
        <v>2139</v>
      </c>
      <c r="F1614" s="5">
        <v>15.47</v>
      </c>
      <c r="G1614" s="5">
        <v>22.53</v>
      </c>
      <c r="H1614" s="4" t="s">
        <v>1156</v>
      </c>
      <c r="I1614" s="10">
        <v>18</v>
      </c>
      <c r="J1614" s="34">
        <f t="shared" si="100"/>
        <v>0.15659999999999999</v>
      </c>
      <c r="K1614" s="34">
        <f t="shared" si="101"/>
        <v>0.23</v>
      </c>
      <c r="L1614" s="34">
        <f t="shared" si="102"/>
        <v>0.92</v>
      </c>
      <c r="M1614" s="11" t="s">
        <v>4672</v>
      </c>
      <c r="N1614" s="11" t="s">
        <v>4597</v>
      </c>
      <c r="O1614" s="11" t="s">
        <v>3892</v>
      </c>
      <c r="P1614" s="11" t="s">
        <v>4598</v>
      </c>
      <c r="Q1614" s="12">
        <v>15.494</v>
      </c>
      <c r="R1614" s="12">
        <v>22.606000000000002</v>
      </c>
      <c r="S1614" s="12">
        <v>3.556</v>
      </c>
      <c r="T1614" s="13">
        <v>0.49</v>
      </c>
      <c r="U1614" s="13">
        <f t="shared" si="103"/>
        <v>-0.43000000000000005</v>
      </c>
      <c r="V1614" s="14">
        <v>60.02</v>
      </c>
      <c r="W1614" s="14">
        <v>60.02</v>
      </c>
      <c r="X1614" s="11">
        <v>811</v>
      </c>
      <c r="Y1614" s="15" t="s">
        <v>3737</v>
      </c>
      <c r="Z1614" s="16">
        <v>42.02</v>
      </c>
      <c r="AA1614" s="17">
        <v>233.4</v>
      </c>
      <c r="AB1614" s="18" t="s">
        <v>3945</v>
      </c>
    </row>
    <row r="1615" spans="1:28" x14ac:dyDescent="0.45">
      <c r="A1615" s="2" t="s">
        <v>2212</v>
      </c>
      <c r="B1615" s="2" t="s">
        <v>6709</v>
      </c>
      <c r="C1615" s="2" t="s">
        <v>2137</v>
      </c>
      <c r="D1615" s="2" t="s">
        <v>2138</v>
      </c>
      <c r="E1615" s="2" t="s">
        <v>2139</v>
      </c>
      <c r="F1615" s="3">
        <v>15.54</v>
      </c>
      <c r="G1615" s="3">
        <v>20.78</v>
      </c>
      <c r="H1615" s="2" t="s">
        <v>1127</v>
      </c>
      <c r="I1615" s="19">
        <v>10</v>
      </c>
      <c r="J1615" s="34">
        <f t="shared" si="100"/>
        <v>8.6999999999999994E-2</v>
      </c>
      <c r="K1615" s="34">
        <f t="shared" si="101"/>
        <v>0.13</v>
      </c>
      <c r="L1615" s="34">
        <f t="shared" si="102"/>
        <v>0.52</v>
      </c>
      <c r="M1615" s="20" t="s">
        <v>4673</v>
      </c>
      <c r="N1615" s="20" t="s">
        <v>4597</v>
      </c>
      <c r="O1615" s="20" t="s">
        <v>3892</v>
      </c>
      <c r="P1615" s="20" t="s">
        <v>4598</v>
      </c>
      <c r="Q1615" s="21">
        <v>15.494</v>
      </c>
      <c r="R1615" s="21">
        <v>20.827999999999999</v>
      </c>
      <c r="S1615" s="21">
        <v>2.54</v>
      </c>
      <c r="T1615" s="22">
        <v>0.86</v>
      </c>
      <c r="U1615" s="13">
        <f t="shared" si="103"/>
        <v>0.33999999999999997</v>
      </c>
      <c r="V1615" s="23">
        <v>105.35</v>
      </c>
      <c r="W1615" s="23">
        <v>105.35</v>
      </c>
      <c r="X1615" s="20">
        <v>403</v>
      </c>
      <c r="Y1615" s="24" t="s">
        <v>3737</v>
      </c>
      <c r="Z1615" s="16">
        <v>95.35</v>
      </c>
      <c r="AA1615" s="17">
        <v>953.5</v>
      </c>
      <c r="AB1615" s="25" t="s">
        <v>3920</v>
      </c>
    </row>
    <row r="1616" spans="1:28" x14ac:dyDescent="0.45">
      <c r="A1616" s="4" t="s">
        <v>2213</v>
      </c>
      <c r="B1616" s="4" t="s">
        <v>6710</v>
      </c>
      <c r="C1616" s="4" t="s">
        <v>2137</v>
      </c>
      <c r="D1616" s="4" t="s">
        <v>2138</v>
      </c>
      <c r="E1616" s="4" t="s">
        <v>2139</v>
      </c>
      <c r="F1616" s="5">
        <v>15.6</v>
      </c>
      <c r="G1616" s="5">
        <v>19.16</v>
      </c>
      <c r="H1616" s="4" t="s">
        <v>1114</v>
      </c>
      <c r="I1616" s="10">
        <v>8</v>
      </c>
      <c r="J1616" s="34">
        <f t="shared" si="100"/>
        <v>6.9599999999999995E-2</v>
      </c>
      <c r="K1616" s="34">
        <f t="shared" si="101"/>
        <v>0.1</v>
      </c>
      <c r="L1616" s="34">
        <f t="shared" si="102"/>
        <v>0.4</v>
      </c>
      <c r="M1616" s="11" t="s">
        <v>4674</v>
      </c>
      <c r="N1616" s="11" t="s">
        <v>4597</v>
      </c>
      <c r="O1616" s="11" t="s">
        <v>3892</v>
      </c>
      <c r="P1616" s="11" t="s">
        <v>4598</v>
      </c>
      <c r="Q1616" s="12">
        <v>15.494</v>
      </c>
      <c r="R1616" s="12">
        <v>19.05</v>
      </c>
      <c r="S1616" s="12">
        <v>1.778</v>
      </c>
      <c r="T1616" s="13">
        <v>0.2</v>
      </c>
      <c r="U1616" s="13">
        <f t="shared" si="103"/>
        <v>-0.2</v>
      </c>
      <c r="V1616" s="14">
        <v>24.5</v>
      </c>
      <c r="W1616" s="14">
        <v>24.5</v>
      </c>
      <c r="X1616" s="11">
        <v>1185</v>
      </c>
      <c r="Y1616" s="15" t="s">
        <v>3737</v>
      </c>
      <c r="Z1616" s="16">
        <v>16.5</v>
      </c>
      <c r="AA1616" s="17">
        <v>206.2</v>
      </c>
      <c r="AB1616" s="18" t="s">
        <v>4037</v>
      </c>
    </row>
    <row r="1617" spans="1:28" x14ac:dyDescent="0.45">
      <c r="A1617" s="2" t="s">
        <v>2214</v>
      </c>
      <c r="B1617" s="2" t="s">
        <v>6711</v>
      </c>
      <c r="C1617" s="2" t="s">
        <v>2137</v>
      </c>
      <c r="D1617" s="2" t="s">
        <v>2138</v>
      </c>
      <c r="E1617" s="2" t="s">
        <v>2139</v>
      </c>
      <c r="F1617" s="3">
        <v>15.8</v>
      </c>
      <c r="G1617" s="3">
        <v>20.6</v>
      </c>
      <c r="H1617" s="2" t="s">
        <v>1140</v>
      </c>
      <c r="I1617" s="19">
        <v>10</v>
      </c>
      <c r="J1617" s="34">
        <f t="shared" si="100"/>
        <v>8.6999999999999994E-2</v>
      </c>
      <c r="K1617" s="34">
        <f t="shared" si="101"/>
        <v>0.13</v>
      </c>
      <c r="L1617" s="34">
        <f t="shared" si="102"/>
        <v>0.52</v>
      </c>
      <c r="M1617" s="20" t="s">
        <v>4675</v>
      </c>
      <c r="N1617" s="20" t="s">
        <v>4597</v>
      </c>
      <c r="O1617" s="20" t="s">
        <v>3892</v>
      </c>
      <c r="P1617" s="20" t="s">
        <v>4598</v>
      </c>
      <c r="Q1617" s="21">
        <v>15.6</v>
      </c>
      <c r="R1617" s="21">
        <v>20.399999999999999</v>
      </c>
      <c r="S1617" s="21">
        <v>2.4</v>
      </c>
      <c r="T1617" s="22">
        <v>0.81</v>
      </c>
      <c r="U1617" s="13">
        <f t="shared" si="103"/>
        <v>0.29000000000000004</v>
      </c>
      <c r="V1617" s="23">
        <v>99.22</v>
      </c>
      <c r="W1617" s="23">
        <v>99.22</v>
      </c>
      <c r="X1617" s="20">
        <v>1927</v>
      </c>
      <c r="Y1617" s="24" t="s">
        <v>3713</v>
      </c>
      <c r="Z1617" s="16">
        <v>89.22</v>
      </c>
      <c r="AA1617" s="17">
        <v>892.2</v>
      </c>
      <c r="AB1617" s="25" t="s">
        <v>4435</v>
      </c>
    </row>
    <row r="1618" spans="1:28" x14ac:dyDescent="0.45">
      <c r="A1618" s="4" t="s">
        <v>2215</v>
      </c>
      <c r="B1618" s="4" t="s">
        <v>6712</v>
      </c>
      <c r="C1618" s="4" t="s">
        <v>2137</v>
      </c>
      <c r="D1618" s="4" t="s">
        <v>2138</v>
      </c>
      <c r="E1618" s="4" t="s">
        <v>2139</v>
      </c>
      <c r="F1618" s="5">
        <v>15</v>
      </c>
      <c r="G1618" s="5">
        <v>19</v>
      </c>
      <c r="H1618" s="4" t="s">
        <v>1122</v>
      </c>
      <c r="I1618" s="10">
        <v>8</v>
      </c>
      <c r="J1618" s="34">
        <f t="shared" si="100"/>
        <v>6.9599999999999995E-2</v>
      </c>
      <c r="K1618" s="34">
        <f t="shared" si="101"/>
        <v>0.1</v>
      </c>
      <c r="L1618" s="34">
        <f t="shared" si="102"/>
        <v>0.4</v>
      </c>
      <c r="M1618" s="11" t="s">
        <v>4676</v>
      </c>
      <c r="N1618" s="11" t="s">
        <v>4597</v>
      </c>
      <c r="O1618" s="11" t="s">
        <v>3892</v>
      </c>
      <c r="P1618" s="11" t="s">
        <v>4598</v>
      </c>
      <c r="Q1618" s="12">
        <v>15</v>
      </c>
      <c r="R1618" s="12">
        <v>19</v>
      </c>
      <c r="S1618" s="12">
        <v>2</v>
      </c>
      <c r="T1618" s="13">
        <v>0.5</v>
      </c>
      <c r="U1618" s="13">
        <f t="shared" si="103"/>
        <v>9.9999999999999978E-2</v>
      </c>
      <c r="V1618" s="14">
        <v>61.25</v>
      </c>
      <c r="W1618" s="14">
        <v>61.25</v>
      </c>
      <c r="X1618" s="11">
        <v>1076</v>
      </c>
      <c r="Y1618" s="15" t="s">
        <v>3713</v>
      </c>
      <c r="Z1618" s="16">
        <v>53.25</v>
      </c>
      <c r="AA1618" s="17">
        <v>665.6</v>
      </c>
      <c r="AB1618" s="18" t="s">
        <v>3714</v>
      </c>
    </row>
    <row r="1619" spans="1:28" x14ac:dyDescent="0.45">
      <c r="A1619" s="2" t="s">
        <v>2216</v>
      </c>
      <c r="B1619" s="2" t="s">
        <v>6713</v>
      </c>
      <c r="C1619" s="2" t="s">
        <v>2137</v>
      </c>
      <c r="D1619" s="2" t="s">
        <v>2138</v>
      </c>
      <c r="E1619" s="2" t="s">
        <v>2139</v>
      </c>
      <c r="F1619" s="3">
        <v>15</v>
      </c>
      <c r="G1619" s="3">
        <v>20</v>
      </c>
      <c r="H1619" s="2" t="s">
        <v>1135</v>
      </c>
      <c r="I1619" s="19">
        <v>10</v>
      </c>
      <c r="J1619" s="34">
        <f t="shared" si="100"/>
        <v>8.6999999999999994E-2</v>
      </c>
      <c r="K1619" s="34">
        <f t="shared" si="101"/>
        <v>0.13</v>
      </c>
      <c r="L1619" s="34">
        <f t="shared" si="102"/>
        <v>0.52</v>
      </c>
      <c r="M1619" s="20" t="s">
        <v>4667</v>
      </c>
      <c r="N1619" s="20" t="s">
        <v>4597</v>
      </c>
      <c r="O1619" s="20" t="s">
        <v>3892</v>
      </c>
      <c r="P1619" s="20" t="s">
        <v>4598</v>
      </c>
      <c r="Q1619" s="21">
        <v>15</v>
      </c>
      <c r="R1619" s="21">
        <v>20</v>
      </c>
      <c r="S1619" s="21">
        <v>2.5</v>
      </c>
      <c r="T1619" s="22">
        <v>0.56999999999999995</v>
      </c>
      <c r="U1619" s="13">
        <f t="shared" si="103"/>
        <v>4.9999999999999933E-2</v>
      </c>
      <c r="V1619" s="23">
        <v>69.819999999999993</v>
      </c>
      <c r="W1619" s="23">
        <v>69.819999999999993</v>
      </c>
      <c r="X1619" s="20">
        <v>206</v>
      </c>
      <c r="Y1619" s="24" t="s">
        <v>3713</v>
      </c>
      <c r="Z1619" s="16">
        <v>59.819999999999993</v>
      </c>
      <c r="AA1619" s="17">
        <v>598.20000000000005</v>
      </c>
      <c r="AB1619" s="25" t="s">
        <v>3714</v>
      </c>
    </row>
    <row r="1620" spans="1:28" x14ac:dyDescent="0.45">
      <c r="A1620" s="4" t="s">
        <v>2217</v>
      </c>
      <c r="B1620" s="4" t="s">
        <v>6714</v>
      </c>
      <c r="C1620" s="4" t="s">
        <v>2137</v>
      </c>
      <c r="D1620" s="4" t="s">
        <v>2138</v>
      </c>
      <c r="E1620" s="4" t="s">
        <v>2139</v>
      </c>
      <c r="F1620" s="5">
        <v>15</v>
      </c>
      <c r="G1620" s="5">
        <v>21</v>
      </c>
      <c r="H1620" s="4" t="s">
        <v>1149</v>
      </c>
      <c r="I1620" s="10">
        <v>18</v>
      </c>
      <c r="J1620" s="34">
        <f t="shared" si="100"/>
        <v>0.15659999999999999</v>
      </c>
      <c r="K1620" s="34">
        <f t="shared" si="101"/>
        <v>0.23</v>
      </c>
      <c r="L1620" s="34">
        <f t="shared" si="102"/>
        <v>0.92</v>
      </c>
      <c r="M1620" s="11" t="s">
        <v>4677</v>
      </c>
      <c r="N1620" s="11" t="s">
        <v>4597</v>
      </c>
      <c r="O1620" s="11" t="s">
        <v>3892</v>
      </c>
      <c r="P1620" s="11" t="s">
        <v>4598</v>
      </c>
      <c r="Q1620" s="12">
        <v>15</v>
      </c>
      <c r="R1620" s="12">
        <v>21</v>
      </c>
      <c r="S1620" s="12">
        <v>3</v>
      </c>
      <c r="T1620" s="13">
        <v>0.67</v>
      </c>
      <c r="U1620" s="13">
        <f t="shared" si="103"/>
        <v>-0.25</v>
      </c>
      <c r="V1620" s="14">
        <v>82.08</v>
      </c>
      <c r="W1620" s="14">
        <v>82.08</v>
      </c>
      <c r="X1620" s="11">
        <v>5166</v>
      </c>
      <c r="Y1620" s="15" t="s">
        <v>3713</v>
      </c>
      <c r="Z1620" s="16">
        <v>64.08</v>
      </c>
      <c r="AA1620" s="17">
        <v>356</v>
      </c>
      <c r="AB1620" s="18" t="s">
        <v>3714</v>
      </c>
    </row>
    <row r="1621" spans="1:28" x14ac:dyDescent="0.45">
      <c r="A1621" s="2" t="s">
        <v>2218</v>
      </c>
      <c r="B1621" s="2" t="s">
        <v>6715</v>
      </c>
      <c r="C1621" s="2" t="s">
        <v>2137</v>
      </c>
      <c r="D1621" s="2" t="s">
        <v>2138</v>
      </c>
      <c r="E1621" s="2" t="s">
        <v>2139</v>
      </c>
      <c r="F1621" s="3">
        <v>16.3</v>
      </c>
      <c r="G1621" s="3">
        <v>21.1</v>
      </c>
      <c r="H1621" s="2" t="s">
        <v>1140</v>
      </c>
      <c r="I1621" s="19">
        <v>10</v>
      </c>
      <c r="J1621" s="34">
        <f t="shared" si="100"/>
        <v>8.6999999999999994E-2</v>
      </c>
      <c r="K1621" s="34">
        <f t="shared" si="101"/>
        <v>0.13</v>
      </c>
      <c r="L1621" s="34">
        <f t="shared" si="102"/>
        <v>0.52</v>
      </c>
      <c r="M1621" s="20" t="s">
        <v>4678</v>
      </c>
      <c r="N1621" s="20" t="s">
        <v>4597</v>
      </c>
      <c r="O1621" s="20" t="s">
        <v>3892</v>
      </c>
      <c r="P1621" s="20" t="s">
        <v>4598</v>
      </c>
      <c r="Q1621" s="21">
        <v>16</v>
      </c>
      <c r="R1621" s="21">
        <v>21</v>
      </c>
      <c r="S1621" s="21">
        <v>2.5</v>
      </c>
      <c r="T1621" s="22">
        <v>0.6</v>
      </c>
      <c r="U1621" s="13">
        <f t="shared" si="103"/>
        <v>7.999999999999996E-2</v>
      </c>
      <c r="V1621" s="23">
        <v>73.5</v>
      </c>
      <c r="W1621" s="23">
        <v>73.5</v>
      </c>
      <c r="X1621" s="20">
        <v>678</v>
      </c>
      <c r="Y1621" s="24" t="s">
        <v>3713</v>
      </c>
      <c r="Z1621" s="16">
        <v>63.5</v>
      </c>
      <c r="AA1621" s="17">
        <v>635</v>
      </c>
      <c r="AB1621" s="25" t="s">
        <v>4343</v>
      </c>
    </row>
    <row r="1622" spans="1:28" x14ac:dyDescent="0.45">
      <c r="A1622" s="4" t="s">
        <v>2219</v>
      </c>
      <c r="B1622" s="4" t="s">
        <v>6716</v>
      </c>
      <c r="C1622" s="4" t="s">
        <v>2137</v>
      </c>
      <c r="D1622" s="4" t="s">
        <v>2138</v>
      </c>
      <c r="E1622" s="4" t="s">
        <v>2139</v>
      </c>
      <c r="F1622" s="5">
        <v>16.559999999999999</v>
      </c>
      <c r="G1622" s="5">
        <v>20.12</v>
      </c>
      <c r="H1622" s="4" t="s">
        <v>1114</v>
      </c>
      <c r="I1622" s="10">
        <v>8</v>
      </c>
      <c r="J1622" s="34">
        <f t="shared" si="100"/>
        <v>6.9599999999999995E-2</v>
      </c>
      <c r="K1622" s="34">
        <f t="shared" si="101"/>
        <v>0.1</v>
      </c>
      <c r="L1622" s="34">
        <f t="shared" si="102"/>
        <v>0.4</v>
      </c>
      <c r="M1622" s="11" t="s">
        <v>4679</v>
      </c>
      <c r="N1622" s="11" t="s">
        <v>4597</v>
      </c>
      <c r="O1622" s="11" t="s">
        <v>3892</v>
      </c>
      <c r="P1622" s="11" t="s">
        <v>4598</v>
      </c>
      <c r="Q1622" s="12">
        <v>17</v>
      </c>
      <c r="R1622" s="12">
        <v>20</v>
      </c>
      <c r="S1622" s="12">
        <v>1.5</v>
      </c>
      <c r="T1622" s="13">
        <v>0.37</v>
      </c>
      <c r="U1622" s="13">
        <f t="shared" si="103"/>
        <v>-3.0000000000000027E-2</v>
      </c>
      <c r="V1622" s="14">
        <v>45.32</v>
      </c>
      <c r="W1622" s="14">
        <v>45.32</v>
      </c>
      <c r="X1622" s="11">
        <v>1213</v>
      </c>
      <c r="Y1622" s="15" t="s">
        <v>3713</v>
      </c>
      <c r="Z1622" s="16">
        <v>37.32</v>
      </c>
      <c r="AA1622" s="17">
        <v>466.5</v>
      </c>
      <c r="AB1622" s="18" t="s">
        <v>4680</v>
      </c>
    </row>
    <row r="1623" spans="1:28" x14ac:dyDescent="0.45">
      <c r="A1623" s="2" t="s">
        <v>2220</v>
      </c>
      <c r="B1623" s="2" t="s">
        <v>6717</v>
      </c>
      <c r="C1623" s="2" t="s">
        <v>2137</v>
      </c>
      <c r="D1623" s="2" t="s">
        <v>2138</v>
      </c>
      <c r="E1623" s="2" t="s">
        <v>2139</v>
      </c>
      <c r="F1623" s="3">
        <v>16.5</v>
      </c>
      <c r="G1623" s="3">
        <v>19.5</v>
      </c>
      <c r="H1623" s="2" t="s">
        <v>1120</v>
      </c>
      <c r="I1623" s="19">
        <v>8</v>
      </c>
      <c r="J1623" s="34">
        <f t="shared" si="100"/>
        <v>6.9599999999999995E-2</v>
      </c>
      <c r="K1623" s="34">
        <f t="shared" si="101"/>
        <v>0.1</v>
      </c>
      <c r="L1623" s="34">
        <f t="shared" si="102"/>
        <v>0.4</v>
      </c>
      <c r="M1623" s="20" t="s">
        <v>4681</v>
      </c>
      <c r="N1623" s="20" t="s">
        <v>4597</v>
      </c>
      <c r="O1623" s="20" t="s">
        <v>3892</v>
      </c>
      <c r="P1623" s="20" t="s">
        <v>4598</v>
      </c>
      <c r="Q1623" s="21">
        <v>16</v>
      </c>
      <c r="R1623" s="21">
        <v>19</v>
      </c>
      <c r="S1623" s="21">
        <v>1.5</v>
      </c>
      <c r="T1623" s="22">
        <v>0.4</v>
      </c>
      <c r="U1623" s="13">
        <f t="shared" si="103"/>
        <v>0</v>
      </c>
      <c r="V1623" s="23">
        <v>49</v>
      </c>
      <c r="W1623" s="23">
        <v>49</v>
      </c>
      <c r="X1623" s="20">
        <v>43</v>
      </c>
      <c r="Y1623" s="24" t="s">
        <v>3713</v>
      </c>
      <c r="Z1623" s="16">
        <v>41</v>
      </c>
      <c r="AA1623" s="17">
        <v>512.5</v>
      </c>
      <c r="AB1623" s="25" t="s">
        <v>4441</v>
      </c>
    </row>
    <row r="1624" spans="1:28" x14ac:dyDescent="0.45">
      <c r="A1624" s="4" t="s">
        <v>2221</v>
      </c>
      <c r="B1624" s="4" t="s">
        <v>6718</v>
      </c>
      <c r="C1624" s="4" t="s">
        <v>2137</v>
      </c>
      <c r="D1624" s="4" t="s">
        <v>2138</v>
      </c>
      <c r="E1624" s="4" t="s">
        <v>2139</v>
      </c>
      <c r="F1624" s="5">
        <v>16.7</v>
      </c>
      <c r="G1624" s="5">
        <v>23.7</v>
      </c>
      <c r="H1624" s="4" t="s">
        <v>1187</v>
      </c>
      <c r="I1624" s="10">
        <v>20</v>
      </c>
      <c r="J1624" s="34">
        <f t="shared" si="100"/>
        <v>0.17399999999999999</v>
      </c>
      <c r="K1624" s="34">
        <f t="shared" si="101"/>
        <v>0.26</v>
      </c>
      <c r="L1624" s="34">
        <f t="shared" si="102"/>
        <v>1.04</v>
      </c>
      <c r="M1624" s="11" t="s">
        <v>4682</v>
      </c>
      <c r="N1624" s="11" t="s">
        <v>4597</v>
      </c>
      <c r="O1624" s="11" t="s">
        <v>3892</v>
      </c>
      <c r="P1624" s="11" t="s">
        <v>4598</v>
      </c>
      <c r="Q1624" s="12">
        <v>16</v>
      </c>
      <c r="R1624" s="12">
        <v>24</v>
      </c>
      <c r="S1624" s="12">
        <v>4</v>
      </c>
      <c r="T1624" s="13">
        <v>0.83</v>
      </c>
      <c r="U1624" s="13">
        <f t="shared" si="103"/>
        <v>-0.21000000000000008</v>
      </c>
      <c r="V1624" s="14">
        <v>101.68</v>
      </c>
      <c r="W1624" s="14">
        <v>101.68</v>
      </c>
      <c r="X1624" s="11" t="s">
        <v>3722</v>
      </c>
      <c r="Y1624" s="15" t="s">
        <v>3713</v>
      </c>
      <c r="Z1624" s="16">
        <v>81.680000000000007</v>
      </c>
      <c r="AA1624" s="17">
        <v>408.4</v>
      </c>
      <c r="AB1624" s="18" t="s">
        <v>4683</v>
      </c>
    </row>
    <row r="1625" spans="1:28" x14ac:dyDescent="0.45">
      <c r="A1625" s="2" t="s">
        <v>2222</v>
      </c>
      <c r="B1625" s="2" t="s">
        <v>6719</v>
      </c>
      <c r="C1625" s="2" t="s">
        <v>2137</v>
      </c>
      <c r="D1625" s="2" t="s">
        <v>2138</v>
      </c>
      <c r="E1625" s="2" t="s">
        <v>2139</v>
      </c>
      <c r="F1625" s="3">
        <v>16.809999999999999</v>
      </c>
      <c r="G1625" s="3">
        <v>27.47</v>
      </c>
      <c r="H1625" s="2" t="s">
        <v>1201</v>
      </c>
      <c r="I1625" s="19">
        <v>39</v>
      </c>
      <c r="J1625" s="34">
        <f t="shared" si="100"/>
        <v>0.33929999999999999</v>
      </c>
      <c r="K1625" s="34">
        <f t="shared" si="101"/>
        <v>0.51</v>
      </c>
      <c r="L1625" s="34">
        <f t="shared" si="102"/>
        <v>2.04</v>
      </c>
      <c r="M1625" s="20" t="s">
        <v>4684</v>
      </c>
      <c r="N1625" s="20" t="s">
        <v>4597</v>
      </c>
      <c r="O1625" s="20" t="s">
        <v>3892</v>
      </c>
      <c r="P1625" s="20" t="s">
        <v>4598</v>
      </c>
      <c r="Q1625" s="21">
        <v>18</v>
      </c>
      <c r="R1625" s="21">
        <v>26</v>
      </c>
      <c r="S1625" s="21">
        <v>4</v>
      </c>
      <c r="T1625" s="22">
        <v>1.39</v>
      </c>
      <c r="U1625" s="13">
        <f t="shared" si="103"/>
        <v>-0.65000000000000013</v>
      </c>
      <c r="V1625" s="23">
        <v>170.27</v>
      </c>
      <c r="W1625" s="23">
        <v>170.27</v>
      </c>
      <c r="X1625" s="20" t="s">
        <v>3722</v>
      </c>
      <c r="Y1625" s="24" t="s">
        <v>3713</v>
      </c>
      <c r="Z1625" s="16">
        <v>131.27000000000001</v>
      </c>
      <c r="AA1625" s="17">
        <v>336.6</v>
      </c>
      <c r="AB1625" s="25" t="s">
        <v>4685</v>
      </c>
    </row>
    <row r="1626" spans="1:28" x14ac:dyDescent="0.45">
      <c r="A1626" s="4" t="s">
        <v>2223</v>
      </c>
      <c r="B1626" s="4" t="s">
        <v>6720</v>
      </c>
      <c r="C1626" s="4" t="s">
        <v>2137</v>
      </c>
      <c r="D1626" s="4" t="s">
        <v>2138</v>
      </c>
      <c r="E1626" s="4" t="s">
        <v>2139</v>
      </c>
      <c r="F1626" s="5">
        <v>16</v>
      </c>
      <c r="G1626" s="5">
        <v>19.2</v>
      </c>
      <c r="H1626" s="4" t="s">
        <v>1514</v>
      </c>
      <c r="I1626" s="10">
        <v>8</v>
      </c>
      <c r="J1626" s="34">
        <f t="shared" si="100"/>
        <v>6.9599999999999995E-2</v>
      </c>
      <c r="K1626" s="34">
        <f t="shared" si="101"/>
        <v>0.1</v>
      </c>
      <c r="L1626" s="34">
        <f t="shared" si="102"/>
        <v>0.4</v>
      </c>
      <c r="M1626" s="11" t="s">
        <v>4681</v>
      </c>
      <c r="N1626" s="11" t="s">
        <v>4597</v>
      </c>
      <c r="O1626" s="11" t="s">
        <v>3892</v>
      </c>
      <c r="P1626" s="11" t="s">
        <v>4598</v>
      </c>
      <c r="Q1626" s="12">
        <v>16</v>
      </c>
      <c r="R1626" s="12">
        <v>19</v>
      </c>
      <c r="S1626" s="12">
        <v>1.5</v>
      </c>
      <c r="T1626" s="13">
        <v>0.4</v>
      </c>
      <c r="U1626" s="13">
        <f t="shared" si="103"/>
        <v>0</v>
      </c>
      <c r="V1626" s="14">
        <v>49</v>
      </c>
      <c r="W1626" s="14">
        <v>49</v>
      </c>
      <c r="X1626" s="11">
        <v>43</v>
      </c>
      <c r="Y1626" s="15" t="s">
        <v>3713</v>
      </c>
      <c r="Z1626" s="16">
        <v>41</v>
      </c>
      <c r="AA1626" s="17">
        <v>512.5</v>
      </c>
      <c r="AB1626" s="18" t="s">
        <v>3793</v>
      </c>
    </row>
    <row r="1627" spans="1:28" x14ac:dyDescent="0.45">
      <c r="A1627" s="2" t="s">
        <v>2224</v>
      </c>
      <c r="B1627" s="2" t="s">
        <v>6721</v>
      </c>
      <c r="C1627" s="2" t="s">
        <v>2137</v>
      </c>
      <c r="D1627" s="2" t="s">
        <v>2138</v>
      </c>
      <c r="E1627" s="2" t="s">
        <v>2139</v>
      </c>
      <c r="F1627" s="3">
        <v>16</v>
      </c>
      <c r="G1627" s="3">
        <v>20</v>
      </c>
      <c r="H1627" s="2" t="s">
        <v>1122</v>
      </c>
      <c r="I1627" s="19">
        <v>10</v>
      </c>
      <c r="J1627" s="34">
        <f t="shared" si="100"/>
        <v>8.6999999999999994E-2</v>
      </c>
      <c r="K1627" s="34">
        <f t="shared" si="101"/>
        <v>0.13</v>
      </c>
      <c r="L1627" s="34">
        <f t="shared" si="102"/>
        <v>0.52</v>
      </c>
      <c r="M1627" s="20" t="s">
        <v>4686</v>
      </c>
      <c r="N1627" s="20" t="s">
        <v>4597</v>
      </c>
      <c r="O1627" s="20" t="s">
        <v>3892</v>
      </c>
      <c r="P1627" s="20" t="s">
        <v>4598</v>
      </c>
      <c r="Q1627" s="21">
        <v>16</v>
      </c>
      <c r="R1627" s="21">
        <v>20</v>
      </c>
      <c r="S1627" s="21">
        <v>2</v>
      </c>
      <c r="T1627" s="22">
        <v>0.51</v>
      </c>
      <c r="U1627" s="13">
        <f t="shared" si="103"/>
        <v>-1.0000000000000009E-2</v>
      </c>
      <c r="V1627" s="23">
        <v>62.48</v>
      </c>
      <c r="W1627" s="23">
        <v>62.48</v>
      </c>
      <c r="X1627" s="20">
        <v>6253</v>
      </c>
      <c r="Y1627" s="24" t="s">
        <v>3713</v>
      </c>
      <c r="Z1627" s="16">
        <v>52.48</v>
      </c>
      <c r="AA1627" s="17">
        <v>524.79999999999995</v>
      </c>
      <c r="AB1627" s="25" t="s">
        <v>3714</v>
      </c>
    </row>
    <row r="1628" spans="1:28" x14ac:dyDescent="0.45">
      <c r="A1628" s="4" t="s">
        <v>2225</v>
      </c>
      <c r="B1628" s="4" t="s">
        <v>6722</v>
      </c>
      <c r="C1628" s="4" t="s">
        <v>2137</v>
      </c>
      <c r="D1628" s="4" t="s">
        <v>2138</v>
      </c>
      <c r="E1628" s="4" t="s">
        <v>2139</v>
      </c>
      <c r="F1628" s="5">
        <v>16</v>
      </c>
      <c r="G1628" s="5">
        <v>21</v>
      </c>
      <c r="H1628" s="4" t="s">
        <v>1135</v>
      </c>
      <c r="I1628" s="10">
        <v>10</v>
      </c>
      <c r="J1628" s="34">
        <f t="shared" si="100"/>
        <v>8.6999999999999994E-2</v>
      </c>
      <c r="K1628" s="34">
        <f t="shared" si="101"/>
        <v>0.13</v>
      </c>
      <c r="L1628" s="34">
        <f t="shared" si="102"/>
        <v>0.52</v>
      </c>
      <c r="M1628" s="11" t="s">
        <v>4678</v>
      </c>
      <c r="N1628" s="11" t="s">
        <v>4597</v>
      </c>
      <c r="O1628" s="11" t="s">
        <v>3892</v>
      </c>
      <c r="P1628" s="11" t="s">
        <v>4598</v>
      </c>
      <c r="Q1628" s="12">
        <v>16</v>
      </c>
      <c r="R1628" s="12">
        <v>21</v>
      </c>
      <c r="S1628" s="12">
        <v>2.5</v>
      </c>
      <c r="T1628" s="13">
        <v>0.6</v>
      </c>
      <c r="U1628" s="13">
        <f t="shared" si="103"/>
        <v>7.999999999999996E-2</v>
      </c>
      <c r="V1628" s="14">
        <v>73.5</v>
      </c>
      <c r="W1628" s="14">
        <v>73.5</v>
      </c>
      <c r="X1628" s="11">
        <v>678</v>
      </c>
      <c r="Y1628" s="15" t="s">
        <v>3713</v>
      </c>
      <c r="Z1628" s="16">
        <v>63.5</v>
      </c>
      <c r="AA1628" s="17">
        <v>635</v>
      </c>
      <c r="AB1628" s="18" t="s">
        <v>3714</v>
      </c>
    </row>
    <row r="1629" spans="1:28" x14ac:dyDescent="0.45">
      <c r="A1629" s="2" t="s">
        <v>2226</v>
      </c>
      <c r="B1629" s="2" t="s">
        <v>6723</v>
      </c>
      <c r="C1629" s="2" t="s">
        <v>2137</v>
      </c>
      <c r="D1629" s="2" t="s">
        <v>2138</v>
      </c>
      <c r="E1629" s="2" t="s">
        <v>2139</v>
      </c>
      <c r="F1629" s="3">
        <v>16</v>
      </c>
      <c r="G1629" s="3">
        <v>22</v>
      </c>
      <c r="H1629" s="2" t="s">
        <v>1149</v>
      </c>
      <c r="I1629" s="19">
        <v>18</v>
      </c>
      <c r="J1629" s="34">
        <f t="shared" si="100"/>
        <v>0.15659999999999999</v>
      </c>
      <c r="K1629" s="34">
        <f t="shared" si="101"/>
        <v>0.23</v>
      </c>
      <c r="L1629" s="34">
        <f t="shared" si="102"/>
        <v>0.92</v>
      </c>
      <c r="M1629" s="20" t="s">
        <v>4687</v>
      </c>
      <c r="N1629" s="20" t="s">
        <v>4597</v>
      </c>
      <c r="O1629" s="20" t="s">
        <v>3892</v>
      </c>
      <c r="P1629" s="20" t="s">
        <v>4598</v>
      </c>
      <c r="Q1629" s="21">
        <v>16</v>
      </c>
      <c r="R1629" s="21">
        <v>22</v>
      </c>
      <c r="S1629" s="21">
        <v>3</v>
      </c>
      <c r="T1629" s="22">
        <v>0.67</v>
      </c>
      <c r="U1629" s="13">
        <f t="shared" si="103"/>
        <v>-0.25</v>
      </c>
      <c r="V1629" s="23">
        <v>82.08</v>
      </c>
      <c r="W1629" s="23">
        <v>82.08</v>
      </c>
      <c r="X1629" s="20">
        <v>45</v>
      </c>
      <c r="Y1629" s="24" t="s">
        <v>3713</v>
      </c>
      <c r="Z1629" s="16">
        <v>64.08</v>
      </c>
      <c r="AA1629" s="17">
        <v>356</v>
      </c>
      <c r="AB1629" s="25" t="s">
        <v>3714</v>
      </c>
    </row>
    <row r="1630" spans="1:28" x14ac:dyDescent="0.45">
      <c r="A1630" s="4" t="s">
        <v>2227</v>
      </c>
      <c r="B1630" s="4" t="s">
        <v>6724</v>
      </c>
      <c r="C1630" s="4" t="s">
        <v>2137</v>
      </c>
      <c r="D1630" s="4" t="s">
        <v>2138</v>
      </c>
      <c r="E1630" s="4" t="s">
        <v>2139</v>
      </c>
      <c r="F1630" s="5">
        <v>16</v>
      </c>
      <c r="G1630" s="5">
        <v>26</v>
      </c>
      <c r="H1630" s="4" t="s">
        <v>1245</v>
      </c>
      <c r="I1630" s="10">
        <v>37</v>
      </c>
      <c r="J1630" s="34">
        <f t="shared" si="100"/>
        <v>0.32189999999999996</v>
      </c>
      <c r="K1630" s="34">
        <f t="shared" si="101"/>
        <v>0.48</v>
      </c>
      <c r="L1630" s="34">
        <f t="shared" si="102"/>
        <v>1.92</v>
      </c>
      <c r="M1630" s="11" t="s">
        <v>4688</v>
      </c>
      <c r="N1630" s="11" t="s">
        <v>4597</v>
      </c>
      <c r="O1630" s="11" t="s">
        <v>3892</v>
      </c>
      <c r="P1630" s="11" t="s">
        <v>4598</v>
      </c>
      <c r="Q1630" s="12">
        <v>15</v>
      </c>
      <c r="R1630" s="12">
        <v>25</v>
      </c>
      <c r="S1630" s="12">
        <v>5</v>
      </c>
      <c r="T1630" s="13">
        <v>1.45</v>
      </c>
      <c r="U1630" s="13">
        <f t="shared" si="103"/>
        <v>-0.47</v>
      </c>
      <c r="V1630" s="14">
        <v>177.62</v>
      </c>
      <c r="W1630" s="14">
        <v>177.62</v>
      </c>
      <c r="X1630" s="11" t="s">
        <v>3722</v>
      </c>
      <c r="Y1630" s="15" t="s">
        <v>3713</v>
      </c>
      <c r="Z1630" s="16">
        <v>140.62</v>
      </c>
      <c r="AA1630" s="17">
        <v>380.1</v>
      </c>
      <c r="AB1630" s="18" t="s">
        <v>3783</v>
      </c>
    </row>
    <row r="1631" spans="1:28" x14ac:dyDescent="0.45">
      <c r="A1631" s="2" t="s">
        <v>2228</v>
      </c>
      <c r="B1631" s="2" t="s">
        <v>6725</v>
      </c>
      <c r="C1631" s="2" t="s">
        <v>2137</v>
      </c>
      <c r="D1631" s="2" t="s">
        <v>2138</v>
      </c>
      <c r="E1631" s="2" t="s">
        <v>2139</v>
      </c>
      <c r="F1631" s="3">
        <v>17.04</v>
      </c>
      <c r="G1631" s="3">
        <v>24.1</v>
      </c>
      <c r="H1631" s="2" t="s">
        <v>1156</v>
      </c>
      <c r="I1631" s="19">
        <v>20</v>
      </c>
      <c r="J1631" s="34">
        <f t="shared" si="100"/>
        <v>0.17399999999999999</v>
      </c>
      <c r="K1631" s="34">
        <f t="shared" si="101"/>
        <v>0.26</v>
      </c>
      <c r="L1631" s="34">
        <f t="shared" si="102"/>
        <v>1.04</v>
      </c>
      <c r="M1631" s="20" t="s">
        <v>4689</v>
      </c>
      <c r="N1631" s="20" t="s">
        <v>4597</v>
      </c>
      <c r="O1631" s="20" t="s">
        <v>3892</v>
      </c>
      <c r="P1631" s="20" t="s">
        <v>4598</v>
      </c>
      <c r="Q1631" s="21">
        <v>17.018000000000001</v>
      </c>
      <c r="R1631" s="21">
        <v>24.13</v>
      </c>
      <c r="S1631" s="21">
        <v>3.556</v>
      </c>
      <c r="T1631" s="22">
        <v>1.1100000000000001</v>
      </c>
      <c r="U1631" s="13">
        <f t="shared" si="103"/>
        <v>7.0000000000000062E-2</v>
      </c>
      <c r="V1631" s="23">
        <v>135.97999999999999</v>
      </c>
      <c r="W1631" s="23">
        <v>135.97999999999999</v>
      </c>
      <c r="X1631" s="20">
        <v>29</v>
      </c>
      <c r="Y1631" s="24" t="s">
        <v>3737</v>
      </c>
      <c r="Z1631" s="16">
        <v>115.98</v>
      </c>
      <c r="AA1631" s="17">
        <v>579.9</v>
      </c>
      <c r="AB1631" s="25" t="s">
        <v>3983</v>
      </c>
    </row>
    <row r="1632" spans="1:28" x14ac:dyDescent="0.45">
      <c r="A1632" s="4" t="s">
        <v>2229</v>
      </c>
      <c r="B1632" s="4" t="s">
        <v>6726</v>
      </c>
      <c r="C1632" s="4" t="s">
        <v>2137</v>
      </c>
      <c r="D1632" s="4" t="s">
        <v>2138</v>
      </c>
      <c r="E1632" s="4" t="s">
        <v>2139</v>
      </c>
      <c r="F1632" s="5">
        <v>17.12</v>
      </c>
      <c r="G1632" s="5">
        <v>22.36</v>
      </c>
      <c r="H1632" s="4" t="s">
        <v>1127</v>
      </c>
      <c r="I1632" s="10">
        <v>12</v>
      </c>
      <c r="J1632" s="34">
        <f t="shared" si="100"/>
        <v>0.10439999999999999</v>
      </c>
      <c r="K1632" s="34">
        <f t="shared" si="101"/>
        <v>0.16</v>
      </c>
      <c r="L1632" s="34">
        <f t="shared" si="102"/>
        <v>0.64</v>
      </c>
      <c r="M1632" s="11" t="s">
        <v>4690</v>
      </c>
      <c r="N1632" s="11" t="s">
        <v>4597</v>
      </c>
      <c r="O1632" s="11" t="s">
        <v>3892</v>
      </c>
      <c r="P1632" s="11" t="s">
        <v>4598</v>
      </c>
      <c r="Q1632" s="12">
        <v>17.018000000000001</v>
      </c>
      <c r="R1632" s="12">
        <v>22.352</v>
      </c>
      <c r="S1632" s="12">
        <v>2.54</v>
      </c>
      <c r="T1632" s="13">
        <v>0.32</v>
      </c>
      <c r="U1632" s="13">
        <f t="shared" si="103"/>
        <v>-0.32</v>
      </c>
      <c r="V1632" s="14">
        <v>39.200000000000003</v>
      </c>
      <c r="W1632" s="14">
        <v>39.200000000000003</v>
      </c>
      <c r="X1632" s="11">
        <v>374</v>
      </c>
      <c r="Y1632" s="15" t="s">
        <v>3737</v>
      </c>
      <c r="Z1632" s="16">
        <v>27.2</v>
      </c>
      <c r="AA1632" s="17">
        <v>226.7</v>
      </c>
      <c r="AB1632" s="18" t="s">
        <v>3985</v>
      </c>
    </row>
    <row r="1633" spans="1:28" x14ac:dyDescent="0.45">
      <c r="A1633" s="2" t="s">
        <v>2230</v>
      </c>
      <c r="B1633" s="2" t="s">
        <v>6727</v>
      </c>
      <c r="C1633" s="2" t="s">
        <v>2137</v>
      </c>
      <c r="D1633" s="2" t="s">
        <v>2138</v>
      </c>
      <c r="E1633" s="2" t="s">
        <v>2139</v>
      </c>
      <c r="F1633" s="3">
        <v>17.170000000000002</v>
      </c>
      <c r="G1633" s="3">
        <v>20.73</v>
      </c>
      <c r="H1633" s="2" t="s">
        <v>1114</v>
      </c>
      <c r="I1633" s="19">
        <v>8</v>
      </c>
      <c r="J1633" s="34">
        <f t="shared" si="100"/>
        <v>6.9599999999999995E-2</v>
      </c>
      <c r="K1633" s="34">
        <f t="shared" si="101"/>
        <v>0.1</v>
      </c>
      <c r="L1633" s="34">
        <f t="shared" si="102"/>
        <v>0.4</v>
      </c>
      <c r="M1633" s="20" t="s">
        <v>4691</v>
      </c>
      <c r="N1633" s="20" t="s">
        <v>4597</v>
      </c>
      <c r="O1633" s="20" t="s">
        <v>3892</v>
      </c>
      <c r="P1633" s="20" t="s">
        <v>4598</v>
      </c>
      <c r="Q1633" s="21">
        <v>17</v>
      </c>
      <c r="R1633" s="21">
        <v>21</v>
      </c>
      <c r="S1633" s="21">
        <v>2</v>
      </c>
      <c r="T1633" s="22">
        <v>0.56000000000000005</v>
      </c>
      <c r="U1633" s="13">
        <f t="shared" si="103"/>
        <v>0.16000000000000003</v>
      </c>
      <c r="V1633" s="23">
        <v>68.599999999999994</v>
      </c>
      <c r="W1633" s="23">
        <v>68.599999999999994</v>
      </c>
      <c r="X1633" s="20">
        <v>242</v>
      </c>
      <c r="Y1633" s="24" t="s">
        <v>3713</v>
      </c>
      <c r="Z1633" s="16">
        <v>60.599999999999987</v>
      </c>
      <c r="AA1633" s="17">
        <v>757.5</v>
      </c>
      <c r="AB1633" s="25" t="s">
        <v>3959</v>
      </c>
    </row>
    <row r="1634" spans="1:28" x14ac:dyDescent="0.45">
      <c r="A1634" s="4" t="s">
        <v>2231</v>
      </c>
      <c r="B1634" s="37" t="s">
        <v>7347</v>
      </c>
      <c r="C1634" s="4" t="s">
        <v>2137</v>
      </c>
      <c r="D1634" s="4" t="s">
        <v>2138</v>
      </c>
      <c r="E1634" s="4" t="s">
        <v>2139</v>
      </c>
      <c r="F1634" s="5">
        <v>17.100000000000001</v>
      </c>
      <c r="G1634" s="5">
        <v>20.3</v>
      </c>
      <c r="H1634" s="4" t="s">
        <v>1514</v>
      </c>
      <c r="I1634" s="10">
        <v>8</v>
      </c>
      <c r="J1634" s="34">
        <f t="shared" si="100"/>
        <v>6.9599999999999995E-2</v>
      </c>
      <c r="K1634" s="34">
        <f t="shared" si="101"/>
        <v>0.1</v>
      </c>
      <c r="L1634" s="34">
        <f t="shared" si="102"/>
        <v>0.4</v>
      </c>
      <c r="M1634" s="11" t="s">
        <v>4692</v>
      </c>
      <c r="N1634" s="11" t="s">
        <v>4597</v>
      </c>
      <c r="O1634" s="11" t="s">
        <v>3892</v>
      </c>
      <c r="P1634" s="11" t="s">
        <v>4598</v>
      </c>
      <c r="Q1634" s="12">
        <v>17.100000000000001</v>
      </c>
      <c r="R1634" s="12">
        <v>20.3</v>
      </c>
      <c r="S1634" s="12">
        <v>1.6</v>
      </c>
      <c r="T1634" s="13">
        <v>0.89</v>
      </c>
      <c r="U1634" s="13">
        <f t="shared" si="103"/>
        <v>0.49</v>
      </c>
      <c r="V1634" s="14">
        <v>109.02</v>
      </c>
      <c r="W1634" s="14">
        <v>109.02</v>
      </c>
      <c r="X1634" s="11">
        <v>14</v>
      </c>
      <c r="Y1634" s="15" t="s">
        <v>3713</v>
      </c>
      <c r="Z1634" s="16">
        <v>101.02</v>
      </c>
      <c r="AA1634" s="17">
        <v>1262.8</v>
      </c>
      <c r="AB1634" s="18" t="s">
        <v>3714</v>
      </c>
    </row>
    <row r="1635" spans="1:28" x14ac:dyDescent="0.45">
      <c r="A1635" s="2" t="s">
        <v>2232</v>
      </c>
      <c r="B1635" s="2" t="s">
        <v>6728</v>
      </c>
      <c r="C1635" s="2" t="s">
        <v>2137</v>
      </c>
      <c r="D1635" s="2" t="s">
        <v>2138</v>
      </c>
      <c r="E1635" s="2" t="s">
        <v>2139</v>
      </c>
      <c r="F1635" s="3">
        <v>17.8</v>
      </c>
      <c r="G1635" s="3">
        <v>22.6</v>
      </c>
      <c r="H1635" s="2" t="s">
        <v>1140</v>
      </c>
      <c r="I1635" s="19">
        <v>12</v>
      </c>
      <c r="J1635" s="34">
        <f t="shared" si="100"/>
        <v>0.10439999999999999</v>
      </c>
      <c r="K1635" s="34">
        <f t="shared" si="101"/>
        <v>0.16</v>
      </c>
      <c r="L1635" s="34">
        <f t="shared" si="102"/>
        <v>0.64</v>
      </c>
      <c r="M1635" s="20" t="s">
        <v>4693</v>
      </c>
      <c r="N1635" s="20" t="s">
        <v>4597</v>
      </c>
      <c r="O1635" s="20" t="s">
        <v>3892</v>
      </c>
      <c r="P1635" s="20" t="s">
        <v>4598</v>
      </c>
      <c r="Q1635" s="21">
        <v>17.8</v>
      </c>
      <c r="R1635" s="21">
        <v>22.6</v>
      </c>
      <c r="S1635" s="21">
        <v>2.4</v>
      </c>
      <c r="T1635" s="22">
        <v>0.78</v>
      </c>
      <c r="U1635" s="13">
        <f t="shared" si="103"/>
        <v>0.14000000000000001</v>
      </c>
      <c r="V1635" s="23">
        <v>95.55</v>
      </c>
      <c r="W1635" s="23">
        <v>95.55</v>
      </c>
      <c r="X1635" s="20">
        <v>54</v>
      </c>
      <c r="Y1635" s="24" t="s">
        <v>3713</v>
      </c>
      <c r="Z1635" s="16">
        <v>83.55</v>
      </c>
      <c r="AA1635" s="17">
        <v>696.2</v>
      </c>
      <c r="AB1635" s="25" t="s">
        <v>3714</v>
      </c>
    </row>
    <row r="1636" spans="1:28" x14ac:dyDescent="0.45">
      <c r="A1636" s="4" t="s">
        <v>2233</v>
      </c>
      <c r="B1636" s="4" t="s">
        <v>6729</v>
      </c>
      <c r="C1636" s="4" t="s">
        <v>2137</v>
      </c>
      <c r="D1636" s="4" t="s">
        <v>2138</v>
      </c>
      <c r="E1636" s="4" t="s">
        <v>2139</v>
      </c>
      <c r="F1636" s="5">
        <v>17</v>
      </c>
      <c r="G1636" s="5">
        <v>21</v>
      </c>
      <c r="H1636" s="4" t="s">
        <v>1122</v>
      </c>
      <c r="I1636" s="10">
        <v>10</v>
      </c>
      <c r="J1636" s="34">
        <f t="shared" si="100"/>
        <v>8.6999999999999994E-2</v>
      </c>
      <c r="K1636" s="34">
        <f t="shared" si="101"/>
        <v>0.13</v>
      </c>
      <c r="L1636" s="34">
        <f t="shared" si="102"/>
        <v>0.52</v>
      </c>
      <c r="M1636" s="11" t="s">
        <v>4691</v>
      </c>
      <c r="N1636" s="11" t="s">
        <v>4597</v>
      </c>
      <c r="O1636" s="11" t="s">
        <v>3892</v>
      </c>
      <c r="P1636" s="11" t="s">
        <v>4598</v>
      </c>
      <c r="Q1636" s="12">
        <v>17</v>
      </c>
      <c r="R1636" s="12">
        <v>21</v>
      </c>
      <c r="S1636" s="12">
        <v>2</v>
      </c>
      <c r="T1636" s="13">
        <v>0.56000000000000005</v>
      </c>
      <c r="U1636" s="13">
        <f t="shared" si="103"/>
        <v>4.0000000000000036E-2</v>
      </c>
      <c r="V1636" s="14">
        <v>68.599999999999994</v>
      </c>
      <c r="W1636" s="14">
        <v>68.599999999999994</v>
      </c>
      <c r="X1636" s="11">
        <v>242</v>
      </c>
      <c r="Y1636" s="15" t="s">
        <v>3713</v>
      </c>
      <c r="Z1636" s="16">
        <v>58.599999999999987</v>
      </c>
      <c r="AA1636" s="17">
        <v>586</v>
      </c>
      <c r="AB1636" s="18" t="s">
        <v>3714</v>
      </c>
    </row>
    <row r="1637" spans="1:28" x14ac:dyDescent="0.45">
      <c r="A1637" s="2" t="s">
        <v>2234</v>
      </c>
      <c r="B1637" s="2" t="s">
        <v>6730</v>
      </c>
      <c r="C1637" s="2" t="s">
        <v>2137</v>
      </c>
      <c r="D1637" s="2" t="s">
        <v>2138</v>
      </c>
      <c r="E1637" s="2" t="s">
        <v>2139</v>
      </c>
      <c r="F1637" s="3">
        <v>17</v>
      </c>
      <c r="G1637" s="3">
        <v>22</v>
      </c>
      <c r="H1637" s="2" t="s">
        <v>1135</v>
      </c>
      <c r="I1637" s="19">
        <v>12</v>
      </c>
      <c r="J1637" s="34">
        <f t="shared" si="100"/>
        <v>0.10439999999999999</v>
      </c>
      <c r="K1637" s="34">
        <f t="shared" si="101"/>
        <v>0.16</v>
      </c>
      <c r="L1637" s="34">
        <f t="shared" si="102"/>
        <v>0.64</v>
      </c>
      <c r="M1637" s="20" t="s">
        <v>4694</v>
      </c>
      <c r="N1637" s="20" t="s">
        <v>4597</v>
      </c>
      <c r="O1637" s="20" t="s">
        <v>3892</v>
      </c>
      <c r="P1637" s="20" t="s">
        <v>4598</v>
      </c>
      <c r="Q1637" s="21">
        <v>17</v>
      </c>
      <c r="R1637" s="21">
        <v>22</v>
      </c>
      <c r="S1637" s="21">
        <v>2.5</v>
      </c>
      <c r="T1637" s="22">
        <v>0.62</v>
      </c>
      <c r="U1637" s="13">
        <f t="shared" si="103"/>
        <v>-2.0000000000000018E-2</v>
      </c>
      <c r="V1637" s="23">
        <v>75.95</v>
      </c>
      <c r="W1637" s="23">
        <v>75.95</v>
      </c>
      <c r="X1637" s="20">
        <v>5921</v>
      </c>
      <c r="Y1637" s="24" t="s">
        <v>3713</v>
      </c>
      <c r="Z1637" s="16">
        <v>63.95</v>
      </c>
      <c r="AA1637" s="17">
        <v>532.9</v>
      </c>
      <c r="AB1637" s="25" t="s">
        <v>3714</v>
      </c>
    </row>
    <row r="1638" spans="1:28" x14ac:dyDescent="0.45">
      <c r="A1638" s="4" t="s">
        <v>2235</v>
      </c>
      <c r="B1638" s="4" t="s">
        <v>6731</v>
      </c>
      <c r="C1638" s="4" t="s">
        <v>2137</v>
      </c>
      <c r="D1638" s="4" t="s">
        <v>2138</v>
      </c>
      <c r="E1638" s="4" t="s">
        <v>2139</v>
      </c>
      <c r="F1638" s="5">
        <v>17</v>
      </c>
      <c r="G1638" s="5">
        <v>23</v>
      </c>
      <c r="H1638" s="4" t="s">
        <v>1149</v>
      </c>
      <c r="I1638" s="10">
        <v>20</v>
      </c>
      <c r="J1638" s="34">
        <f t="shared" si="100"/>
        <v>0.17399999999999999</v>
      </c>
      <c r="K1638" s="34">
        <f t="shared" si="101"/>
        <v>0.26</v>
      </c>
      <c r="L1638" s="34">
        <f t="shared" si="102"/>
        <v>1.04</v>
      </c>
      <c r="M1638" s="11" t="s">
        <v>4695</v>
      </c>
      <c r="N1638" s="11" t="s">
        <v>4597</v>
      </c>
      <c r="O1638" s="11" t="s">
        <v>3892</v>
      </c>
      <c r="P1638" s="11" t="s">
        <v>4598</v>
      </c>
      <c r="Q1638" s="12">
        <v>17</v>
      </c>
      <c r="R1638" s="12">
        <v>23</v>
      </c>
      <c r="S1638" s="12">
        <v>3</v>
      </c>
      <c r="T1638" s="13">
        <v>0.7</v>
      </c>
      <c r="U1638" s="13">
        <f t="shared" si="103"/>
        <v>-0.34000000000000008</v>
      </c>
      <c r="V1638" s="14">
        <v>85.75</v>
      </c>
      <c r="W1638" s="14">
        <v>85.75</v>
      </c>
      <c r="X1638" s="11">
        <v>41</v>
      </c>
      <c r="Y1638" s="15" t="s">
        <v>3713</v>
      </c>
      <c r="Z1638" s="16">
        <v>65.75</v>
      </c>
      <c r="AA1638" s="17">
        <v>328.8</v>
      </c>
      <c r="AB1638" s="18" t="s">
        <v>3714</v>
      </c>
    </row>
    <row r="1639" spans="1:28" x14ac:dyDescent="0.45">
      <c r="A1639" s="2" t="s">
        <v>2236</v>
      </c>
      <c r="B1639" s="2" t="s">
        <v>6732</v>
      </c>
      <c r="C1639" s="2" t="s">
        <v>2137</v>
      </c>
      <c r="D1639" s="2" t="s">
        <v>2138</v>
      </c>
      <c r="E1639" s="2" t="s">
        <v>2139</v>
      </c>
      <c r="F1639" s="3">
        <v>17</v>
      </c>
      <c r="G1639" s="3">
        <v>27</v>
      </c>
      <c r="H1639" s="2" t="s">
        <v>1245</v>
      </c>
      <c r="I1639" s="19">
        <v>39</v>
      </c>
      <c r="J1639" s="34">
        <f t="shared" si="100"/>
        <v>0.33929999999999999</v>
      </c>
      <c r="K1639" s="34">
        <f t="shared" si="101"/>
        <v>0.51</v>
      </c>
      <c r="L1639" s="34">
        <f t="shared" si="102"/>
        <v>2.04</v>
      </c>
      <c r="M1639" s="20" t="s">
        <v>4684</v>
      </c>
      <c r="N1639" s="20" t="s">
        <v>4597</v>
      </c>
      <c r="O1639" s="20" t="s">
        <v>3892</v>
      </c>
      <c r="P1639" s="20" t="s">
        <v>4598</v>
      </c>
      <c r="Q1639" s="21">
        <v>18</v>
      </c>
      <c r="R1639" s="21">
        <v>26</v>
      </c>
      <c r="S1639" s="21">
        <v>4</v>
      </c>
      <c r="T1639" s="22">
        <v>1.39</v>
      </c>
      <c r="U1639" s="13">
        <f t="shared" si="103"/>
        <v>-0.65000000000000013</v>
      </c>
      <c r="V1639" s="23">
        <v>170.27</v>
      </c>
      <c r="W1639" s="23">
        <v>170.27</v>
      </c>
      <c r="X1639" s="20" t="s">
        <v>3722</v>
      </c>
      <c r="Y1639" s="24" t="s">
        <v>3713</v>
      </c>
      <c r="Z1639" s="16">
        <v>131.27000000000001</v>
      </c>
      <c r="AA1639" s="17">
        <v>336.6</v>
      </c>
      <c r="AB1639" s="25" t="s">
        <v>3783</v>
      </c>
    </row>
    <row r="1640" spans="1:28" x14ac:dyDescent="0.45">
      <c r="A1640" s="4" t="s">
        <v>2237</v>
      </c>
      <c r="B1640" s="37" t="s">
        <v>7348</v>
      </c>
      <c r="C1640" s="4" t="s">
        <v>2137</v>
      </c>
      <c r="D1640" s="4" t="s">
        <v>2138</v>
      </c>
      <c r="E1640" s="4" t="s">
        <v>2139</v>
      </c>
      <c r="F1640" s="5">
        <v>18.100000000000001</v>
      </c>
      <c r="G1640" s="5">
        <v>21.3</v>
      </c>
      <c r="H1640" s="4" t="s">
        <v>1514</v>
      </c>
      <c r="I1640" s="10">
        <v>8</v>
      </c>
      <c r="J1640" s="34">
        <f t="shared" si="100"/>
        <v>6.9599999999999995E-2</v>
      </c>
      <c r="K1640" s="34">
        <f t="shared" si="101"/>
        <v>0.1</v>
      </c>
      <c r="L1640" s="34">
        <f t="shared" si="102"/>
        <v>0.4</v>
      </c>
      <c r="M1640" s="11" t="s">
        <v>4696</v>
      </c>
      <c r="N1640" s="11" t="s">
        <v>4597</v>
      </c>
      <c r="O1640" s="11" t="s">
        <v>3892</v>
      </c>
      <c r="P1640" s="11" t="s">
        <v>4598</v>
      </c>
      <c r="Q1640" s="12">
        <v>18</v>
      </c>
      <c r="R1640" s="12">
        <v>21</v>
      </c>
      <c r="S1640" s="12">
        <v>1.5</v>
      </c>
      <c r="T1640" s="13">
        <v>0.2</v>
      </c>
      <c r="U1640" s="13">
        <f t="shared" si="103"/>
        <v>-0.2</v>
      </c>
      <c r="V1640" s="14">
        <v>24.5</v>
      </c>
      <c r="W1640" s="14">
        <v>24.5</v>
      </c>
      <c r="X1640" s="11">
        <v>14945</v>
      </c>
      <c r="Y1640" s="15" t="s">
        <v>3713</v>
      </c>
      <c r="Z1640" s="16">
        <v>16.5</v>
      </c>
      <c r="AA1640" s="17">
        <v>206.2</v>
      </c>
      <c r="AB1640" s="18" t="s">
        <v>4657</v>
      </c>
    </row>
    <row r="1641" spans="1:28" x14ac:dyDescent="0.45">
      <c r="A1641" s="2" t="s">
        <v>2238</v>
      </c>
      <c r="B1641" s="2" t="s">
        <v>6733</v>
      </c>
      <c r="C1641" s="2" t="s">
        <v>2137</v>
      </c>
      <c r="D1641" s="2" t="s">
        <v>2138</v>
      </c>
      <c r="E1641" s="2" t="s">
        <v>2139</v>
      </c>
      <c r="F1641" s="3">
        <v>18.5</v>
      </c>
      <c r="G1641" s="3">
        <v>28.5</v>
      </c>
      <c r="H1641" s="2" t="s">
        <v>1245</v>
      </c>
      <c r="I1641" s="19">
        <v>42</v>
      </c>
      <c r="J1641" s="34">
        <f t="shared" si="100"/>
        <v>0.36539999999999995</v>
      </c>
      <c r="K1641" s="34">
        <f t="shared" si="101"/>
        <v>0.55000000000000004</v>
      </c>
      <c r="L1641" s="34">
        <f t="shared" si="102"/>
        <v>2.2000000000000002</v>
      </c>
      <c r="M1641" s="20" t="s">
        <v>4697</v>
      </c>
      <c r="N1641" s="20" t="s">
        <v>4597</v>
      </c>
      <c r="O1641" s="20" t="s">
        <v>3892</v>
      </c>
      <c r="P1641" s="20" t="s">
        <v>4598</v>
      </c>
      <c r="Q1641" s="21">
        <v>20</v>
      </c>
      <c r="R1641" s="21">
        <v>28</v>
      </c>
      <c r="S1641" s="21">
        <v>4</v>
      </c>
      <c r="T1641" s="22">
        <v>1.56</v>
      </c>
      <c r="U1641" s="13">
        <f t="shared" si="103"/>
        <v>-0.64000000000000012</v>
      </c>
      <c r="V1641" s="23">
        <v>191.1</v>
      </c>
      <c r="W1641" s="23">
        <v>191.1</v>
      </c>
      <c r="X1641" s="20">
        <v>84</v>
      </c>
      <c r="Y1641" s="24" t="s">
        <v>3713</v>
      </c>
      <c r="Z1641" s="16">
        <v>149.1</v>
      </c>
      <c r="AA1641" s="17">
        <v>355</v>
      </c>
      <c r="AB1641" s="25" t="s">
        <v>4698</v>
      </c>
    </row>
    <row r="1642" spans="1:28" x14ac:dyDescent="0.45">
      <c r="A1642" s="4" t="s">
        <v>2239</v>
      </c>
      <c r="B1642" s="4" t="s">
        <v>6734</v>
      </c>
      <c r="C1642" s="4" t="s">
        <v>2137</v>
      </c>
      <c r="D1642" s="4" t="s">
        <v>2138</v>
      </c>
      <c r="E1642" s="4" t="s">
        <v>2139</v>
      </c>
      <c r="F1642" s="5">
        <v>18.64</v>
      </c>
      <c r="G1642" s="5">
        <v>25.7</v>
      </c>
      <c r="H1642" s="4" t="s">
        <v>1156</v>
      </c>
      <c r="I1642" s="10">
        <v>22</v>
      </c>
      <c r="J1642" s="34">
        <f t="shared" si="100"/>
        <v>0.19139999999999999</v>
      </c>
      <c r="K1642" s="34">
        <f t="shared" si="101"/>
        <v>0.28999999999999998</v>
      </c>
      <c r="L1642" s="34">
        <f t="shared" si="102"/>
        <v>1.1599999999999999</v>
      </c>
      <c r="M1642" s="11" t="s">
        <v>4699</v>
      </c>
      <c r="N1642" s="11" t="s">
        <v>4597</v>
      </c>
      <c r="O1642" s="11" t="s">
        <v>3892</v>
      </c>
      <c r="P1642" s="11" t="s">
        <v>4598</v>
      </c>
      <c r="Q1642" s="12">
        <v>18.542000000000002</v>
      </c>
      <c r="R1642" s="12">
        <v>25.654</v>
      </c>
      <c r="S1642" s="12">
        <v>3.556</v>
      </c>
      <c r="T1642" s="13">
        <v>0.5</v>
      </c>
      <c r="U1642" s="13">
        <f t="shared" si="103"/>
        <v>-0.65999999999999992</v>
      </c>
      <c r="V1642" s="14">
        <v>61.25</v>
      </c>
      <c r="W1642" s="14">
        <v>61.25</v>
      </c>
      <c r="X1642" s="11">
        <v>826</v>
      </c>
      <c r="Y1642" s="15" t="s">
        <v>3737</v>
      </c>
      <c r="Z1642" s="16">
        <v>39.25</v>
      </c>
      <c r="AA1642" s="17">
        <v>178.4</v>
      </c>
      <c r="AB1642" s="18" t="s">
        <v>3963</v>
      </c>
    </row>
    <row r="1643" spans="1:28" x14ac:dyDescent="0.45">
      <c r="A1643" s="2" t="s">
        <v>2240</v>
      </c>
      <c r="B1643" s="2" t="s">
        <v>6735</v>
      </c>
      <c r="C1643" s="2" t="s">
        <v>2137</v>
      </c>
      <c r="D1643" s="2" t="s">
        <v>2138</v>
      </c>
      <c r="E1643" s="2" t="s">
        <v>2139</v>
      </c>
      <c r="F1643" s="3">
        <v>18.72</v>
      </c>
      <c r="G1643" s="3">
        <v>23.96</v>
      </c>
      <c r="H1643" s="2" t="s">
        <v>1127</v>
      </c>
      <c r="I1643" s="19">
        <v>12</v>
      </c>
      <c r="J1643" s="34">
        <f t="shared" si="100"/>
        <v>0.10439999999999999</v>
      </c>
      <c r="K1643" s="34">
        <f t="shared" si="101"/>
        <v>0.16</v>
      </c>
      <c r="L1643" s="34">
        <f t="shared" si="102"/>
        <v>0.64</v>
      </c>
      <c r="M1643" s="20" t="s">
        <v>4700</v>
      </c>
      <c r="N1643" s="20" t="s">
        <v>4597</v>
      </c>
      <c r="O1643" s="20" t="s">
        <v>3892</v>
      </c>
      <c r="P1643" s="20" t="s">
        <v>4598</v>
      </c>
      <c r="Q1643" s="21">
        <v>19</v>
      </c>
      <c r="R1643" s="21">
        <v>24</v>
      </c>
      <c r="S1643" s="21">
        <v>2.5</v>
      </c>
      <c r="T1643" s="22">
        <v>0.66</v>
      </c>
      <c r="U1643" s="13">
        <f t="shared" si="103"/>
        <v>2.0000000000000018E-2</v>
      </c>
      <c r="V1643" s="23">
        <v>80.849999999999994</v>
      </c>
      <c r="W1643" s="23">
        <v>80.849999999999994</v>
      </c>
      <c r="X1643" s="20">
        <v>2901</v>
      </c>
      <c r="Y1643" s="24" t="s">
        <v>3713</v>
      </c>
      <c r="Z1643" s="16">
        <v>68.849999999999994</v>
      </c>
      <c r="AA1643" s="17">
        <v>573.79999999999995</v>
      </c>
      <c r="AB1643" s="25" t="s">
        <v>3965</v>
      </c>
    </row>
    <row r="1644" spans="1:28" x14ac:dyDescent="0.45">
      <c r="A1644" s="4" t="s">
        <v>2241</v>
      </c>
      <c r="B1644" s="4" t="s">
        <v>6736</v>
      </c>
      <c r="C1644" s="4" t="s">
        <v>2137</v>
      </c>
      <c r="D1644" s="4" t="s">
        <v>2138</v>
      </c>
      <c r="E1644" s="4" t="s">
        <v>2139</v>
      </c>
      <c r="F1644" s="5">
        <v>18.77</v>
      </c>
      <c r="G1644" s="5">
        <v>22.33</v>
      </c>
      <c r="H1644" s="4" t="s">
        <v>1114</v>
      </c>
      <c r="I1644" s="10">
        <v>10</v>
      </c>
      <c r="J1644" s="34">
        <f t="shared" si="100"/>
        <v>8.6999999999999994E-2</v>
      </c>
      <c r="K1644" s="34">
        <f t="shared" si="101"/>
        <v>0.13</v>
      </c>
      <c r="L1644" s="34">
        <f t="shared" si="102"/>
        <v>0.52</v>
      </c>
      <c r="M1644" s="11" t="s">
        <v>4701</v>
      </c>
      <c r="N1644" s="11" t="s">
        <v>4597</v>
      </c>
      <c r="O1644" s="11" t="s">
        <v>3892</v>
      </c>
      <c r="P1644" s="11" t="s">
        <v>4598</v>
      </c>
      <c r="Q1644" s="12">
        <v>18.795999999999999</v>
      </c>
      <c r="R1644" s="12">
        <v>22.352</v>
      </c>
      <c r="S1644" s="12">
        <v>1.778</v>
      </c>
      <c r="T1644" s="13">
        <v>0.2</v>
      </c>
      <c r="U1644" s="13">
        <f t="shared" si="103"/>
        <v>-0.32</v>
      </c>
      <c r="V1644" s="14">
        <v>24.5</v>
      </c>
      <c r="W1644" s="14">
        <v>24.5</v>
      </c>
      <c r="X1644" s="11">
        <v>1343</v>
      </c>
      <c r="Y1644" s="15" t="s">
        <v>3737</v>
      </c>
      <c r="Z1644" s="16">
        <v>14.5</v>
      </c>
      <c r="AA1644" s="17">
        <v>145</v>
      </c>
      <c r="AB1644" s="18" t="s">
        <v>3967</v>
      </c>
    </row>
    <row r="1645" spans="1:28" x14ac:dyDescent="0.45">
      <c r="A1645" s="2" t="s">
        <v>2242</v>
      </c>
      <c r="B1645" s="2" t="s">
        <v>6737</v>
      </c>
      <c r="C1645" s="2" t="s">
        <v>2137</v>
      </c>
      <c r="D1645" s="2" t="s">
        <v>2138</v>
      </c>
      <c r="E1645" s="2" t="s">
        <v>2139</v>
      </c>
      <c r="F1645" s="3">
        <v>18</v>
      </c>
      <c r="G1645" s="3">
        <v>22</v>
      </c>
      <c r="H1645" s="2" t="s">
        <v>1122</v>
      </c>
      <c r="I1645" s="19">
        <v>10</v>
      </c>
      <c r="J1645" s="34">
        <f t="shared" si="100"/>
        <v>8.6999999999999994E-2</v>
      </c>
      <c r="K1645" s="34">
        <f t="shared" si="101"/>
        <v>0.13</v>
      </c>
      <c r="L1645" s="34">
        <f t="shared" si="102"/>
        <v>0.52</v>
      </c>
      <c r="M1645" s="20" t="s">
        <v>4702</v>
      </c>
      <c r="N1645" s="20" t="s">
        <v>4597</v>
      </c>
      <c r="O1645" s="20" t="s">
        <v>3892</v>
      </c>
      <c r="P1645" s="20" t="s">
        <v>4598</v>
      </c>
      <c r="Q1645" s="21">
        <v>18</v>
      </c>
      <c r="R1645" s="21">
        <v>22</v>
      </c>
      <c r="S1645" s="21">
        <v>2</v>
      </c>
      <c r="T1645" s="22">
        <v>0.55000000000000004</v>
      </c>
      <c r="U1645" s="13">
        <f t="shared" si="103"/>
        <v>3.0000000000000027E-2</v>
      </c>
      <c r="V1645" s="23">
        <v>67.38</v>
      </c>
      <c r="W1645" s="23">
        <v>67.38</v>
      </c>
      <c r="X1645" s="20">
        <v>331</v>
      </c>
      <c r="Y1645" s="24" t="s">
        <v>3713</v>
      </c>
      <c r="Z1645" s="16">
        <v>57.38</v>
      </c>
      <c r="AA1645" s="17">
        <v>573.79999999999995</v>
      </c>
      <c r="AB1645" s="25" t="s">
        <v>3714</v>
      </c>
    </row>
    <row r="1646" spans="1:28" x14ac:dyDescent="0.45">
      <c r="A1646" s="4" t="s">
        <v>2243</v>
      </c>
      <c r="B1646" s="4" t="s">
        <v>6738</v>
      </c>
      <c r="C1646" s="4" t="s">
        <v>2137</v>
      </c>
      <c r="D1646" s="4" t="s">
        <v>2138</v>
      </c>
      <c r="E1646" s="4" t="s">
        <v>2139</v>
      </c>
      <c r="F1646" s="5">
        <v>18</v>
      </c>
      <c r="G1646" s="5">
        <v>23</v>
      </c>
      <c r="H1646" s="4" t="s">
        <v>1135</v>
      </c>
      <c r="I1646" s="10">
        <v>12</v>
      </c>
      <c r="J1646" s="34">
        <f t="shared" si="100"/>
        <v>0.10439999999999999</v>
      </c>
      <c r="K1646" s="34">
        <f t="shared" si="101"/>
        <v>0.16</v>
      </c>
      <c r="L1646" s="34">
        <f t="shared" si="102"/>
        <v>0.64</v>
      </c>
      <c r="M1646" s="11" t="s">
        <v>4703</v>
      </c>
      <c r="N1646" s="11" t="s">
        <v>4597</v>
      </c>
      <c r="O1646" s="11" t="s">
        <v>3892</v>
      </c>
      <c r="P1646" s="11" t="s">
        <v>4598</v>
      </c>
      <c r="Q1646" s="12">
        <v>18</v>
      </c>
      <c r="R1646" s="12">
        <v>23</v>
      </c>
      <c r="S1646" s="12">
        <v>2.5</v>
      </c>
      <c r="T1646" s="13">
        <v>0.65</v>
      </c>
      <c r="U1646" s="13">
        <f t="shared" si="103"/>
        <v>1.0000000000000009E-2</v>
      </c>
      <c r="V1646" s="14">
        <v>79.62</v>
      </c>
      <c r="W1646" s="14">
        <v>79.62</v>
      </c>
      <c r="X1646" s="11">
        <v>323</v>
      </c>
      <c r="Y1646" s="15" t="s">
        <v>3713</v>
      </c>
      <c r="Z1646" s="16">
        <v>67.62</v>
      </c>
      <c r="AA1646" s="17">
        <v>563.5</v>
      </c>
      <c r="AB1646" s="18" t="s">
        <v>3714</v>
      </c>
    </row>
    <row r="1647" spans="1:28" x14ac:dyDescent="0.45">
      <c r="A1647" s="2" t="s">
        <v>2244</v>
      </c>
      <c r="B1647" s="2" t="s">
        <v>6739</v>
      </c>
      <c r="C1647" s="2" t="s">
        <v>2137</v>
      </c>
      <c r="D1647" s="2" t="s">
        <v>2138</v>
      </c>
      <c r="E1647" s="2" t="s">
        <v>2139</v>
      </c>
      <c r="F1647" s="3">
        <v>18</v>
      </c>
      <c r="G1647" s="3">
        <v>24</v>
      </c>
      <c r="H1647" s="2" t="s">
        <v>1149</v>
      </c>
      <c r="I1647" s="19">
        <v>22</v>
      </c>
      <c r="J1647" s="34">
        <f t="shared" si="100"/>
        <v>0.19139999999999999</v>
      </c>
      <c r="K1647" s="34">
        <f t="shared" si="101"/>
        <v>0.28999999999999998</v>
      </c>
      <c r="L1647" s="34">
        <f t="shared" si="102"/>
        <v>1.1599999999999999</v>
      </c>
      <c r="M1647" s="20" t="s">
        <v>4704</v>
      </c>
      <c r="N1647" s="20" t="s">
        <v>4597</v>
      </c>
      <c r="O1647" s="20" t="s">
        <v>3892</v>
      </c>
      <c r="P1647" s="20" t="s">
        <v>4598</v>
      </c>
      <c r="Q1647" s="21">
        <v>18</v>
      </c>
      <c r="R1647" s="21">
        <v>24</v>
      </c>
      <c r="S1647" s="21">
        <v>3</v>
      </c>
      <c r="T1647" s="22">
        <v>0.7</v>
      </c>
      <c r="U1647" s="13">
        <f t="shared" si="103"/>
        <v>-0.45999999999999996</v>
      </c>
      <c r="V1647" s="23">
        <v>85.75</v>
      </c>
      <c r="W1647" s="23">
        <v>85.75</v>
      </c>
      <c r="X1647" s="20">
        <v>54</v>
      </c>
      <c r="Y1647" s="24" t="s">
        <v>3713</v>
      </c>
      <c r="Z1647" s="16">
        <v>63.75</v>
      </c>
      <c r="AA1647" s="17">
        <v>289.8</v>
      </c>
      <c r="AB1647" s="25" t="s">
        <v>3714</v>
      </c>
    </row>
    <row r="1648" spans="1:28" x14ac:dyDescent="0.45">
      <c r="A1648" s="4" t="s">
        <v>2245</v>
      </c>
      <c r="B1648" s="4" t="s">
        <v>6740</v>
      </c>
      <c r="C1648" s="4" t="s">
        <v>2137</v>
      </c>
      <c r="D1648" s="4" t="s">
        <v>2138</v>
      </c>
      <c r="E1648" s="4" t="s">
        <v>2139</v>
      </c>
      <c r="F1648" s="5">
        <v>19.399999999999999</v>
      </c>
      <c r="G1648" s="5">
        <v>25.6</v>
      </c>
      <c r="H1648" s="4" t="s">
        <v>1221</v>
      </c>
      <c r="I1648" s="10">
        <v>23</v>
      </c>
      <c r="J1648" s="34">
        <f t="shared" si="100"/>
        <v>0.2001</v>
      </c>
      <c r="K1648" s="34">
        <f t="shared" si="101"/>
        <v>0.3</v>
      </c>
      <c r="L1648" s="34">
        <f t="shared" si="102"/>
        <v>1.2</v>
      </c>
      <c r="M1648" s="11" t="s">
        <v>4705</v>
      </c>
      <c r="N1648" s="11" t="s">
        <v>4597</v>
      </c>
      <c r="O1648" s="11" t="s">
        <v>3892</v>
      </c>
      <c r="P1648" s="11" t="s">
        <v>4598</v>
      </c>
      <c r="Q1648" s="12">
        <v>19.5</v>
      </c>
      <c r="R1648" s="12">
        <v>25.5</v>
      </c>
      <c r="S1648" s="12">
        <v>3</v>
      </c>
      <c r="T1648" s="13">
        <v>1.02</v>
      </c>
      <c r="U1648" s="13">
        <f t="shared" si="103"/>
        <v>-0.17999999999999994</v>
      </c>
      <c r="V1648" s="14">
        <v>124.95</v>
      </c>
      <c r="W1648" s="14">
        <v>124.95</v>
      </c>
      <c r="X1648" s="11">
        <v>1</v>
      </c>
      <c r="Y1648" s="15" t="s">
        <v>3713</v>
      </c>
      <c r="Z1648" s="16">
        <v>101.95</v>
      </c>
      <c r="AA1648" s="17">
        <v>443.3</v>
      </c>
      <c r="AB1648" s="18" t="s">
        <v>4119</v>
      </c>
    </row>
    <row r="1649" spans="1:28" x14ac:dyDescent="0.45">
      <c r="A1649" s="2" t="s">
        <v>2246</v>
      </c>
      <c r="B1649" s="2" t="s">
        <v>6741</v>
      </c>
      <c r="C1649" s="2" t="s">
        <v>2137</v>
      </c>
      <c r="D1649" s="2" t="s">
        <v>2138</v>
      </c>
      <c r="E1649" s="2" t="s">
        <v>2139</v>
      </c>
      <c r="F1649" s="3">
        <v>19</v>
      </c>
      <c r="G1649" s="3">
        <v>23</v>
      </c>
      <c r="H1649" s="2" t="s">
        <v>1122</v>
      </c>
      <c r="I1649" s="19">
        <v>10</v>
      </c>
      <c r="J1649" s="34">
        <f t="shared" si="100"/>
        <v>8.6999999999999994E-2</v>
      </c>
      <c r="K1649" s="34">
        <f t="shared" si="101"/>
        <v>0.13</v>
      </c>
      <c r="L1649" s="34">
        <f t="shared" si="102"/>
        <v>0.52</v>
      </c>
      <c r="M1649" s="20" t="s">
        <v>4706</v>
      </c>
      <c r="N1649" s="20" t="s">
        <v>4597</v>
      </c>
      <c r="O1649" s="20" t="s">
        <v>3892</v>
      </c>
      <c r="P1649" s="20" t="s">
        <v>4598</v>
      </c>
      <c r="Q1649" s="21">
        <v>19</v>
      </c>
      <c r="R1649" s="21">
        <v>23</v>
      </c>
      <c r="S1649" s="21">
        <v>2</v>
      </c>
      <c r="T1649" s="22">
        <v>0.54</v>
      </c>
      <c r="U1649" s="13">
        <f t="shared" si="103"/>
        <v>2.0000000000000018E-2</v>
      </c>
      <c r="V1649" s="23">
        <v>66.150000000000006</v>
      </c>
      <c r="W1649" s="23">
        <v>66.150000000000006</v>
      </c>
      <c r="X1649" s="20">
        <v>5894</v>
      </c>
      <c r="Y1649" s="24" t="s">
        <v>3713</v>
      </c>
      <c r="Z1649" s="16">
        <v>56.150000000000013</v>
      </c>
      <c r="AA1649" s="17">
        <v>561.5</v>
      </c>
      <c r="AB1649" s="25" t="s">
        <v>3714</v>
      </c>
    </row>
    <row r="1650" spans="1:28" x14ac:dyDescent="0.45">
      <c r="A1650" s="4" t="s">
        <v>2247</v>
      </c>
      <c r="B1650" s="4" t="s">
        <v>6742</v>
      </c>
      <c r="C1650" s="4" t="s">
        <v>2137</v>
      </c>
      <c r="D1650" s="4" t="s">
        <v>2138</v>
      </c>
      <c r="E1650" s="4" t="s">
        <v>2139</v>
      </c>
      <c r="F1650" s="5">
        <v>19</v>
      </c>
      <c r="G1650" s="5">
        <v>24</v>
      </c>
      <c r="H1650" s="4" t="s">
        <v>1135</v>
      </c>
      <c r="I1650" s="10">
        <v>12</v>
      </c>
      <c r="J1650" s="34">
        <f t="shared" si="100"/>
        <v>0.10439999999999999</v>
      </c>
      <c r="K1650" s="34">
        <f t="shared" si="101"/>
        <v>0.16</v>
      </c>
      <c r="L1650" s="34">
        <f t="shared" si="102"/>
        <v>0.64</v>
      </c>
      <c r="M1650" s="11" t="s">
        <v>4700</v>
      </c>
      <c r="N1650" s="11" t="s">
        <v>4597</v>
      </c>
      <c r="O1650" s="11" t="s">
        <v>3892</v>
      </c>
      <c r="P1650" s="11" t="s">
        <v>4598</v>
      </c>
      <c r="Q1650" s="12">
        <v>19</v>
      </c>
      <c r="R1650" s="12">
        <v>24</v>
      </c>
      <c r="S1650" s="12">
        <v>2.5</v>
      </c>
      <c r="T1650" s="13">
        <v>0.66</v>
      </c>
      <c r="U1650" s="13">
        <f t="shared" si="103"/>
        <v>2.0000000000000018E-2</v>
      </c>
      <c r="V1650" s="14">
        <v>80.849999999999994</v>
      </c>
      <c r="W1650" s="14">
        <v>80.849999999999994</v>
      </c>
      <c r="X1650" s="11">
        <v>2901</v>
      </c>
      <c r="Y1650" s="15" t="s">
        <v>3713</v>
      </c>
      <c r="Z1650" s="16">
        <v>68.849999999999994</v>
      </c>
      <c r="AA1650" s="17">
        <v>573.79999999999995</v>
      </c>
      <c r="AB1650" s="18" t="s">
        <v>3714</v>
      </c>
    </row>
    <row r="1651" spans="1:28" x14ac:dyDescent="0.45">
      <c r="A1651" s="2" t="s">
        <v>2248</v>
      </c>
      <c r="B1651" s="2" t="s">
        <v>6743</v>
      </c>
      <c r="C1651" s="2" t="s">
        <v>2137</v>
      </c>
      <c r="D1651" s="2" t="s">
        <v>2138</v>
      </c>
      <c r="E1651" s="2" t="s">
        <v>2139</v>
      </c>
      <c r="F1651" s="3">
        <v>19</v>
      </c>
      <c r="G1651" s="3">
        <v>25</v>
      </c>
      <c r="H1651" s="2" t="s">
        <v>1149</v>
      </c>
      <c r="I1651" s="19">
        <v>22</v>
      </c>
      <c r="J1651" s="34">
        <f t="shared" si="100"/>
        <v>0.19139999999999999</v>
      </c>
      <c r="K1651" s="34">
        <f t="shared" si="101"/>
        <v>0.28999999999999998</v>
      </c>
      <c r="L1651" s="34">
        <f t="shared" si="102"/>
        <v>1.1599999999999999</v>
      </c>
      <c r="M1651" s="20" t="s">
        <v>4707</v>
      </c>
      <c r="N1651" s="20" t="s">
        <v>4597</v>
      </c>
      <c r="O1651" s="20" t="s">
        <v>3892</v>
      </c>
      <c r="P1651" s="20" t="s">
        <v>4598</v>
      </c>
      <c r="Q1651" s="21">
        <v>19</v>
      </c>
      <c r="R1651" s="21">
        <v>25</v>
      </c>
      <c r="S1651" s="21">
        <v>3</v>
      </c>
      <c r="T1651" s="22">
        <v>0.77</v>
      </c>
      <c r="U1651" s="13">
        <f t="shared" si="103"/>
        <v>-0.3899999999999999</v>
      </c>
      <c r="V1651" s="23">
        <v>94.32</v>
      </c>
      <c r="W1651" s="23">
        <v>94.32</v>
      </c>
      <c r="X1651" s="20">
        <v>354</v>
      </c>
      <c r="Y1651" s="24" t="s">
        <v>3713</v>
      </c>
      <c r="Z1651" s="16">
        <v>72.319999999999993</v>
      </c>
      <c r="AA1651" s="17">
        <v>328.7</v>
      </c>
      <c r="AB1651" s="25" t="s">
        <v>3714</v>
      </c>
    </row>
    <row r="1652" spans="1:28" x14ac:dyDescent="0.45">
      <c r="A1652" s="4" t="s">
        <v>2249</v>
      </c>
      <c r="B1652" s="4" t="s">
        <v>6744</v>
      </c>
      <c r="C1652" s="4" t="s">
        <v>2137</v>
      </c>
      <c r="D1652" s="4" t="s">
        <v>2138</v>
      </c>
      <c r="E1652" s="4" t="s">
        <v>2139</v>
      </c>
      <c r="F1652" s="5">
        <v>20.22</v>
      </c>
      <c r="G1652" s="5">
        <v>27.28</v>
      </c>
      <c r="H1652" s="4" t="s">
        <v>1156</v>
      </c>
      <c r="I1652" s="10">
        <v>23</v>
      </c>
      <c r="J1652" s="34">
        <f t="shared" si="100"/>
        <v>0.2001</v>
      </c>
      <c r="K1652" s="34">
        <f t="shared" si="101"/>
        <v>0.3</v>
      </c>
      <c r="L1652" s="34">
        <f t="shared" si="102"/>
        <v>1.2</v>
      </c>
      <c r="M1652" s="11" t="s">
        <v>4708</v>
      </c>
      <c r="N1652" s="11" t="s">
        <v>4597</v>
      </c>
      <c r="O1652" s="11" t="s">
        <v>3892</v>
      </c>
      <c r="P1652" s="11" t="s">
        <v>4598</v>
      </c>
      <c r="Q1652" s="12">
        <v>20</v>
      </c>
      <c r="R1652" s="12">
        <v>27</v>
      </c>
      <c r="S1652" s="12">
        <v>3.5</v>
      </c>
      <c r="T1652" s="13">
        <v>1.31</v>
      </c>
      <c r="U1652" s="13">
        <f t="shared" si="103"/>
        <v>0.1100000000000001</v>
      </c>
      <c r="V1652" s="14">
        <v>160.47999999999999</v>
      </c>
      <c r="W1652" s="14">
        <v>160.47999999999999</v>
      </c>
      <c r="X1652" s="11" t="s">
        <v>3722</v>
      </c>
      <c r="Y1652" s="15" t="s">
        <v>3713</v>
      </c>
      <c r="Z1652" s="16">
        <v>137.47999999999999</v>
      </c>
      <c r="AA1652" s="17">
        <v>597.70000000000005</v>
      </c>
      <c r="AB1652" s="18" t="s">
        <v>3970</v>
      </c>
    </row>
    <row r="1653" spans="1:28" x14ac:dyDescent="0.45">
      <c r="A1653" s="2" t="s">
        <v>2250</v>
      </c>
      <c r="B1653" s="2" t="s">
        <v>6745</v>
      </c>
      <c r="C1653" s="2" t="s">
        <v>2137</v>
      </c>
      <c r="D1653" s="2" t="s">
        <v>2138</v>
      </c>
      <c r="E1653" s="2" t="s">
        <v>2139</v>
      </c>
      <c r="F1653" s="3">
        <v>20.29</v>
      </c>
      <c r="G1653" s="3">
        <v>25.53</v>
      </c>
      <c r="H1653" s="2" t="s">
        <v>1127</v>
      </c>
      <c r="I1653" s="19">
        <v>13</v>
      </c>
      <c r="J1653" s="34">
        <f t="shared" si="100"/>
        <v>0.11309999999999999</v>
      </c>
      <c r="K1653" s="34">
        <f t="shared" si="101"/>
        <v>0.17</v>
      </c>
      <c r="L1653" s="34">
        <f t="shared" si="102"/>
        <v>0.68</v>
      </c>
      <c r="M1653" s="20" t="s">
        <v>4709</v>
      </c>
      <c r="N1653" s="20" t="s">
        <v>4597</v>
      </c>
      <c r="O1653" s="20" t="s">
        <v>3892</v>
      </c>
      <c r="P1653" s="20" t="s">
        <v>4598</v>
      </c>
      <c r="Q1653" s="21">
        <v>20.3</v>
      </c>
      <c r="R1653" s="21">
        <v>25.1</v>
      </c>
      <c r="S1653" s="21">
        <v>2.4</v>
      </c>
      <c r="T1653" s="22">
        <v>0.52</v>
      </c>
      <c r="U1653" s="13">
        <f t="shared" si="103"/>
        <v>-0.16000000000000003</v>
      </c>
      <c r="V1653" s="23">
        <v>63.7</v>
      </c>
      <c r="W1653" s="23">
        <v>63.7</v>
      </c>
      <c r="X1653" s="20">
        <v>37</v>
      </c>
      <c r="Y1653" s="24" t="s">
        <v>3713</v>
      </c>
      <c r="Z1653" s="16">
        <v>50.7</v>
      </c>
      <c r="AA1653" s="17">
        <v>390</v>
      </c>
      <c r="AB1653" s="25" t="s">
        <v>3908</v>
      </c>
    </row>
    <row r="1654" spans="1:28" x14ac:dyDescent="0.45">
      <c r="A1654" s="4" t="s">
        <v>2251</v>
      </c>
      <c r="B1654" s="4" t="s">
        <v>6746</v>
      </c>
      <c r="C1654" s="4" t="s">
        <v>2137</v>
      </c>
      <c r="D1654" s="4" t="s">
        <v>2138</v>
      </c>
      <c r="E1654" s="4" t="s">
        <v>2139</v>
      </c>
      <c r="F1654" s="5">
        <v>20.350000000000001</v>
      </c>
      <c r="G1654" s="5">
        <v>23.91</v>
      </c>
      <c r="H1654" s="4" t="s">
        <v>1114</v>
      </c>
      <c r="I1654" s="10">
        <v>10</v>
      </c>
      <c r="J1654" s="34">
        <f t="shared" si="100"/>
        <v>8.6999999999999994E-2</v>
      </c>
      <c r="K1654" s="34">
        <f t="shared" si="101"/>
        <v>0.13</v>
      </c>
      <c r="L1654" s="34">
        <f t="shared" si="102"/>
        <v>0.52</v>
      </c>
      <c r="M1654" s="11" t="s">
        <v>4710</v>
      </c>
      <c r="N1654" s="11" t="s">
        <v>4597</v>
      </c>
      <c r="O1654" s="11" t="s">
        <v>3892</v>
      </c>
      <c r="P1654" s="11" t="s">
        <v>4598</v>
      </c>
      <c r="Q1654" s="12">
        <v>20.32</v>
      </c>
      <c r="R1654" s="12">
        <v>23.876000000000001</v>
      </c>
      <c r="S1654" s="12">
        <v>1.778</v>
      </c>
      <c r="T1654" s="13">
        <v>0.25</v>
      </c>
      <c r="U1654" s="13">
        <f t="shared" si="103"/>
        <v>-0.27</v>
      </c>
      <c r="V1654" s="14">
        <v>30.62</v>
      </c>
      <c r="W1654" s="14">
        <v>30.62</v>
      </c>
      <c r="X1654" s="11">
        <v>469</v>
      </c>
      <c r="Y1654" s="15" t="s">
        <v>3737</v>
      </c>
      <c r="Z1654" s="16">
        <v>20.62</v>
      </c>
      <c r="AA1654" s="17">
        <v>206.2</v>
      </c>
      <c r="AB1654" s="18" t="s">
        <v>3973</v>
      </c>
    </row>
    <row r="1655" spans="1:28" x14ac:dyDescent="0.45">
      <c r="A1655" s="2" t="s">
        <v>2252</v>
      </c>
      <c r="B1655" s="2" t="s">
        <v>6747</v>
      </c>
      <c r="C1655" s="2" t="s">
        <v>2137</v>
      </c>
      <c r="D1655" s="2" t="s">
        <v>2138</v>
      </c>
      <c r="E1655" s="2" t="s">
        <v>2139</v>
      </c>
      <c r="F1655" s="3">
        <v>20.3</v>
      </c>
      <c r="G1655" s="3">
        <v>25.1</v>
      </c>
      <c r="H1655" s="2" t="s">
        <v>1140</v>
      </c>
      <c r="I1655" s="19">
        <v>13</v>
      </c>
      <c r="J1655" s="34">
        <f t="shared" si="100"/>
        <v>0.11309999999999999</v>
      </c>
      <c r="K1655" s="34">
        <f t="shared" si="101"/>
        <v>0.17</v>
      </c>
      <c r="L1655" s="34">
        <f t="shared" si="102"/>
        <v>0.68</v>
      </c>
      <c r="M1655" s="20" t="s">
        <v>4709</v>
      </c>
      <c r="N1655" s="20" t="s">
        <v>4597</v>
      </c>
      <c r="O1655" s="20" t="s">
        <v>3892</v>
      </c>
      <c r="P1655" s="20" t="s">
        <v>4598</v>
      </c>
      <c r="Q1655" s="21">
        <v>20.3</v>
      </c>
      <c r="R1655" s="21">
        <v>25.1</v>
      </c>
      <c r="S1655" s="21">
        <v>2.4</v>
      </c>
      <c r="T1655" s="22">
        <v>0.52</v>
      </c>
      <c r="U1655" s="13">
        <f t="shared" si="103"/>
        <v>-0.16000000000000003</v>
      </c>
      <c r="V1655" s="23">
        <v>63.7</v>
      </c>
      <c r="W1655" s="23">
        <v>63.7</v>
      </c>
      <c r="X1655" s="20">
        <v>37</v>
      </c>
      <c r="Y1655" s="24" t="s">
        <v>3713</v>
      </c>
      <c r="Z1655" s="16">
        <v>50.7</v>
      </c>
      <c r="AA1655" s="17">
        <v>390</v>
      </c>
      <c r="AB1655" s="25" t="s">
        <v>3714</v>
      </c>
    </row>
    <row r="1656" spans="1:28" x14ac:dyDescent="0.45">
      <c r="A1656" s="4" t="s">
        <v>2253</v>
      </c>
      <c r="B1656" s="4" t="s">
        <v>6748</v>
      </c>
      <c r="C1656" s="4" t="s">
        <v>2137</v>
      </c>
      <c r="D1656" s="4" t="s">
        <v>2138</v>
      </c>
      <c r="E1656" s="4" t="s">
        <v>2139</v>
      </c>
      <c r="F1656" s="5">
        <v>20.8</v>
      </c>
      <c r="G1656" s="5">
        <v>25.6</v>
      </c>
      <c r="H1656" s="4" t="s">
        <v>1140</v>
      </c>
      <c r="I1656" s="10">
        <v>13</v>
      </c>
      <c r="J1656" s="34">
        <f t="shared" si="100"/>
        <v>0.11309999999999999</v>
      </c>
      <c r="K1656" s="34">
        <f t="shared" si="101"/>
        <v>0.17</v>
      </c>
      <c r="L1656" s="34">
        <f t="shared" si="102"/>
        <v>0.68</v>
      </c>
      <c r="M1656" s="11" t="s">
        <v>4711</v>
      </c>
      <c r="N1656" s="11" t="s">
        <v>4597</v>
      </c>
      <c r="O1656" s="11" t="s">
        <v>3892</v>
      </c>
      <c r="P1656" s="11" t="s">
        <v>4598</v>
      </c>
      <c r="Q1656" s="12">
        <v>21</v>
      </c>
      <c r="R1656" s="12">
        <v>26</v>
      </c>
      <c r="S1656" s="12">
        <v>2.5</v>
      </c>
      <c r="T1656" s="13">
        <v>0.7</v>
      </c>
      <c r="U1656" s="13">
        <f t="shared" si="103"/>
        <v>1.9999999999999907E-2</v>
      </c>
      <c r="V1656" s="14">
        <v>85.75</v>
      </c>
      <c r="W1656" s="14">
        <v>85.75</v>
      </c>
      <c r="X1656" s="11">
        <v>2451</v>
      </c>
      <c r="Y1656" s="15" t="s">
        <v>3713</v>
      </c>
      <c r="Z1656" s="16">
        <v>72.75</v>
      </c>
      <c r="AA1656" s="17">
        <v>559.6</v>
      </c>
      <c r="AB1656" s="18" t="s">
        <v>4643</v>
      </c>
    </row>
    <row r="1657" spans="1:28" x14ac:dyDescent="0.45">
      <c r="A1657" s="2" t="s">
        <v>2254</v>
      </c>
      <c r="B1657" s="2" t="s">
        <v>6749</v>
      </c>
      <c r="C1657" s="2" t="s">
        <v>2137</v>
      </c>
      <c r="D1657" s="2" t="s">
        <v>2138</v>
      </c>
      <c r="E1657" s="2" t="s">
        <v>2139</v>
      </c>
      <c r="F1657" s="3">
        <v>20</v>
      </c>
      <c r="G1657" s="3">
        <v>23</v>
      </c>
      <c r="H1657" s="2" t="s">
        <v>1120</v>
      </c>
      <c r="I1657" s="19">
        <v>10</v>
      </c>
      <c r="J1657" s="34">
        <f t="shared" si="100"/>
        <v>8.6999999999999994E-2</v>
      </c>
      <c r="K1657" s="34">
        <f t="shared" si="101"/>
        <v>0.13</v>
      </c>
      <c r="L1657" s="34">
        <f t="shared" si="102"/>
        <v>0.52</v>
      </c>
      <c r="M1657" s="20" t="s">
        <v>4712</v>
      </c>
      <c r="N1657" s="20" t="s">
        <v>4597</v>
      </c>
      <c r="O1657" s="20" t="s">
        <v>3892</v>
      </c>
      <c r="P1657" s="20" t="s">
        <v>4598</v>
      </c>
      <c r="Q1657" s="21">
        <v>20</v>
      </c>
      <c r="R1657" s="21">
        <v>23</v>
      </c>
      <c r="S1657" s="21">
        <v>1.5</v>
      </c>
      <c r="T1657" s="22">
        <v>0.27</v>
      </c>
      <c r="U1657" s="13">
        <f t="shared" si="103"/>
        <v>-0.25</v>
      </c>
      <c r="V1657" s="23">
        <v>33.08</v>
      </c>
      <c r="W1657" s="23">
        <v>33.08</v>
      </c>
      <c r="X1657" s="20">
        <v>10380</v>
      </c>
      <c r="Y1657" s="24" t="s">
        <v>3713</v>
      </c>
      <c r="Z1657" s="16">
        <v>23.08</v>
      </c>
      <c r="AA1657" s="17">
        <v>230.8</v>
      </c>
      <c r="AB1657" s="25" t="s">
        <v>3714</v>
      </c>
    </row>
    <row r="1658" spans="1:28" x14ac:dyDescent="0.45">
      <c r="A1658" s="4" t="s">
        <v>2255</v>
      </c>
      <c r="B1658" s="4" t="s">
        <v>6750</v>
      </c>
      <c r="C1658" s="4" t="s">
        <v>2137</v>
      </c>
      <c r="D1658" s="4" t="s">
        <v>2138</v>
      </c>
      <c r="E1658" s="4" t="s">
        <v>2139</v>
      </c>
      <c r="F1658" s="5">
        <v>20</v>
      </c>
      <c r="G1658" s="5">
        <v>24</v>
      </c>
      <c r="H1658" s="4" t="s">
        <v>1122</v>
      </c>
      <c r="I1658" s="10">
        <v>12</v>
      </c>
      <c r="J1658" s="34">
        <f t="shared" si="100"/>
        <v>0.10439999999999999</v>
      </c>
      <c r="K1658" s="34">
        <f t="shared" si="101"/>
        <v>0.16</v>
      </c>
      <c r="L1658" s="34">
        <f t="shared" si="102"/>
        <v>0.64</v>
      </c>
      <c r="M1658" s="11" t="s">
        <v>4710</v>
      </c>
      <c r="N1658" s="11" t="s">
        <v>4597</v>
      </c>
      <c r="O1658" s="11" t="s">
        <v>3892</v>
      </c>
      <c r="P1658" s="11" t="s">
        <v>4598</v>
      </c>
      <c r="Q1658" s="12">
        <v>20.32</v>
      </c>
      <c r="R1658" s="12">
        <v>23.876000000000001</v>
      </c>
      <c r="S1658" s="12">
        <v>1.778</v>
      </c>
      <c r="T1658" s="13">
        <v>0.25</v>
      </c>
      <c r="U1658" s="13">
        <f t="shared" si="103"/>
        <v>-0.39</v>
      </c>
      <c r="V1658" s="14">
        <v>30.62</v>
      </c>
      <c r="W1658" s="14">
        <v>30.62</v>
      </c>
      <c r="X1658" s="11">
        <v>469</v>
      </c>
      <c r="Y1658" s="15" t="s">
        <v>3737</v>
      </c>
      <c r="Z1658" s="16">
        <v>18.62</v>
      </c>
      <c r="AA1658" s="17">
        <v>155.19999999999999</v>
      </c>
      <c r="AB1658" s="18" t="s">
        <v>4713</v>
      </c>
    </row>
    <row r="1659" spans="1:28" x14ac:dyDescent="0.45">
      <c r="A1659" s="2" t="s">
        <v>2256</v>
      </c>
      <c r="B1659" s="2" t="s">
        <v>6751</v>
      </c>
      <c r="C1659" s="2" t="s">
        <v>2137</v>
      </c>
      <c r="D1659" s="2" t="s">
        <v>2138</v>
      </c>
      <c r="E1659" s="2" t="s">
        <v>2139</v>
      </c>
      <c r="F1659" s="3">
        <v>20</v>
      </c>
      <c r="G1659" s="3">
        <v>25</v>
      </c>
      <c r="H1659" s="2" t="s">
        <v>1135</v>
      </c>
      <c r="I1659" s="19">
        <v>13</v>
      </c>
      <c r="J1659" s="34">
        <f t="shared" si="100"/>
        <v>0.11309999999999999</v>
      </c>
      <c r="K1659" s="34">
        <f t="shared" si="101"/>
        <v>0.17</v>
      </c>
      <c r="L1659" s="34">
        <f t="shared" si="102"/>
        <v>0.68</v>
      </c>
      <c r="M1659" s="20" t="s">
        <v>4714</v>
      </c>
      <c r="N1659" s="20" t="s">
        <v>4597</v>
      </c>
      <c r="O1659" s="20" t="s">
        <v>3892</v>
      </c>
      <c r="P1659" s="20" t="s">
        <v>4598</v>
      </c>
      <c r="Q1659" s="21">
        <v>20</v>
      </c>
      <c r="R1659" s="21">
        <v>25</v>
      </c>
      <c r="S1659" s="21">
        <v>2.5</v>
      </c>
      <c r="T1659" s="22">
        <v>0.67</v>
      </c>
      <c r="U1659" s="13">
        <f t="shared" si="103"/>
        <v>-1.0000000000000009E-2</v>
      </c>
      <c r="V1659" s="23">
        <v>82.08</v>
      </c>
      <c r="W1659" s="23">
        <v>82.08</v>
      </c>
      <c r="X1659" s="20">
        <v>26</v>
      </c>
      <c r="Y1659" s="24" t="s">
        <v>3713</v>
      </c>
      <c r="Z1659" s="16">
        <v>69.08</v>
      </c>
      <c r="AA1659" s="17">
        <v>531.4</v>
      </c>
      <c r="AB1659" s="25" t="s">
        <v>3714</v>
      </c>
    </row>
    <row r="1660" spans="1:28" x14ac:dyDescent="0.45">
      <c r="A1660" s="4" t="s">
        <v>2257</v>
      </c>
      <c r="B1660" s="4" t="s">
        <v>6752</v>
      </c>
      <c r="C1660" s="4" t="s">
        <v>2137</v>
      </c>
      <c r="D1660" s="4" t="s">
        <v>2138</v>
      </c>
      <c r="E1660" s="4" t="s">
        <v>2139</v>
      </c>
      <c r="F1660" s="5">
        <v>20</v>
      </c>
      <c r="G1660" s="5">
        <v>26</v>
      </c>
      <c r="H1660" s="4" t="s">
        <v>1149</v>
      </c>
      <c r="I1660" s="10">
        <v>23</v>
      </c>
      <c r="J1660" s="34">
        <f t="shared" si="100"/>
        <v>0.2001</v>
      </c>
      <c r="K1660" s="34">
        <f t="shared" si="101"/>
        <v>0.3</v>
      </c>
      <c r="L1660" s="34">
        <f t="shared" si="102"/>
        <v>1.2</v>
      </c>
      <c r="M1660" s="11" t="s">
        <v>4715</v>
      </c>
      <c r="N1660" s="11" t="s">
        <v>4597</v>
      </c>
      <c r="O1660" s="11" t="s">
        <v>3892</v>
      </c>
      <c r="P1660" s="11" t="s">
        <v>4598</v>
      </c>
      <c r="Q1660" s="12">
        <v>20</v>
      </c>
      <c r="R1660" s="12">
        <v>26</v>
      </c>
      <c r="S1660" s="12">
        <v>3</v>
      </c>
      <c r="T1660" s="13">
        <v>0.73</v>
      </c>
      <c r="U1660" s="13">
        <f t="shared" si="103"/>
        <v>-0.47</v>
      </c>
      <c r="V1660" s="14">
        <v>89.42</v>
      </c>
      <c r="W1660" s="14">
        <v>89.42</v>
      </c>
      <c r="X1660" s="11">
        <v>46</v>
      </c>
      <c r="Y1660" s="15" t="s">
        <v>3713</v>
      </c>
      <c r="Z1660" s="16">
        <v>66.42</v>
      </c>
      <c r="AA1660" s="17">
        <v>288.8</v>
      </c>
      <c r="AB1660" s="18" t="s">
        <v>3714</v>
      </c>
    </row>
    <row r="1661" spans="1:28" x14ac:dyDescent="0.45">
      <c r="A1661" s="2" t="s">
        <v>2258</v>
      </c>
      <c r="B1661" s="2" t="s">
        <v>6753</v>
      </c>
      <c r="C1661" s="2" t="s">
        <v>2137</v>
      </c>
      <c r="D1661" s="2" t="s">
        <v>2138</v>
      </c>
      <c r="E1661" s="2" t="s">
        <v>2139</v>
      </c>
      <c r="F1661" s="3">
        <v>20</v>
      </c>
      <c r="G1661" s="3">
        <v>27</v>
      </c>
      <c r="H1661" s="2" t="s">
        <v>1187</v>
      </c>
      <c r="I1661" s="19">
        <v>23</v>
      </c>
      <c r="J1661" s="34">
        <f t="shared" si="100"/>
        <v>0.2001</v>
      </c>
      <c r="K1661" s="34">
        <f t="shared" si="101"/>
        <v>0.3</v>
      </c>
      <c r="L1661" s="34">
        <f t="shared" si="102"/>
        <v>1.2</v>
      </c>
      <c r="M1661" s="20" t="s">
        <v>4708</v>
      </c>
      <c r="N1661" s="20" t="s">
        <v>4597</v>
      </c>
      <c r="O1661" s="20" t="s">
        <v>3892</v>
      </c>
      <c r="P1661" s="20" t="s">
        <v>4598</v>
      </c>
      <c r="Q1661" s="21">
        <v>20</v>
      </c>
      <c r="R1661" s="21">
        <v>27</v>
      </c>
      <c r="S1661" s="21">
        <v>3.5</v>
      </c>
      <c r="T1661" s="22">
        <v>1.31</v>
      </c>
      <c r="U1661" s="13">
        <f t="shared" si="103"/>
        <v>0.1100000000000001</v>
      </c>
      <c r="V1661" s="23">
        <v>160.47999999999999</v>
      </c>
      <c r="W1661" s="23">
        <v>160.47999999999999</v>
      </c>
      <c r="X1661" s="20" t="s">
        <v>3722</v>
      </c>
      <c r="Y1661" s="24" t="s">
        <v>3713</v>
      </c>
      <c r="Z1661" s="16">
        <v>137.47999999999999</v>
      </c>
      <c r="AA1661" s="17">
        <v>597.70000000000005</v>
      </c>
      <c r="AB1661" s="25" t="s">
        <v>3714</v>
      </c>
    </row>
    <row r="1662" spans="1:28" x14ac:dyDescent="0.45">
      <c r="A1662" s="4" t="s">
        <v>2259</v>
      </c>
      <c r="B1662" s="4" t="s">
        <v>6754</v>
      </c>
      <c r="C1662" s="4" t="s">
        <v>2137</v>
      </c>
      <c r="D1662" s="4" t="s">
        <v>2138</v>
      </c>
      <c r="E1662" s="4" t="s">
        <v>2139</v>
      </c>
      <c r="F1662" s="5">
        <v>21.3</v>
      </c>
      <c r="G1662" s="5">
        <v>26.1</v>
      </c>
      <c r="H1662" s="4" t="s">
        <v>1140</v>
      </c>
      <c r="I1662" s="10">
        <v>13</v>
      </c>
      <c r="J1662" s="34">
        <f t="shared" si="100"/>
        <v>0.11309999999999999</v>
      </c>
      <c r="K1662" s="34">
        <f t="shared" si="101"/>
        <v>0.17</v>
      </c>
      <c r="L1662" s="34">
        <f t="shared" si="102"/>
        <v>0.68</v>
      </c>
      <c r="M1662" s="11" t="s">
        <v>4711</v>
      </c>
      <c r="N1662" s="11" t="s">
        <v>4597</v>
      </c>
      <c r="O1662" s="11" t="s">
        <v>3892</v>
      </c>
      <c r="P1662" s="11" t="s">
        <v>4598</v>
      </c>
      <c r="Q1662" s="12">
        <v>21</v>
      </c>
      <c r="R1662" s="12">
        <v>26</v>
      </c>
      <c r="S1662" s="12">
        <v>2.5</v>
      </c>
      <c r="T1662" s="13">
        <v>0.7</v>
      </c>
      <c r="U1662" s="13">
        <f t="shared" si="103"/>
        <v>1.9999999999999907E-2</v>
      </c>
      <c r="V1662" s="14">
        <v>85.75</v>
      </c>
      <c r="W1662" s="14">
        <v>85.75</v>
      </c>
      <c r="X1662" s="11">
        <v>2451</v>
      </c>
      <c r="Y1662" s="15" t="s">
        <v>3713</v>
      </c>
      <c r="Z1662" s="16">
        <v>72.75</v>
      </c>
      <c r="AA1662" s="17">
        <v>559.6</v>
      </c>
      <c r="AB1662" s="18" t="s">
        <v>4343</v>
      </c>
    </row>
    <row r="1663" spans="1:28" x14ac:dyDescent="0.45">
      <c r="A1663" s="2" t="s">
        <v>2260</v>
      </c>
      <c r="B1663" s="2" t="s">
        <v>6755</v>
      </c>
      <c r="C1663" s="2" t="s">
        <v>2137</v>
      </c>
      <c r="D1663" s="2" t="s">
        <v>2138</v>
      </c>
      <c r="E1663" s="2" t="s">
        <v>2139</v>
      </c>
      <c r="F1663" s="3">
        <v>21.5</v>
      </c>
      <c r="G1663" s="3">
        <v>27.5</v>
      </c>
      <c r="H1663" s="2" t="s">
        <v>1149</v>
      </c>
      <c r="I1663" s="19">
        <v>25</v>
      </c>
      <c r="J1663" s="34">
        <f t="shared" si="100"/>
        <v>0.21749999999999997</v>
      </c>
      <c r="K1663" s="34">
        <f t="shared" si="101"/>
        <v>0.33</v>
      </c>
      <c r="L1663" s="34">
        <f t="shared" si="102"/>
        <v>1.32</v>
      </c>
      <c r="M1663" s="20" t="s">
        <v>4716</v>
      </c>
      <c r="N1663" s="20" t="s">
        <v>4597</v>
      </c>
      <c r="O1663" s="20" t="s">
        <v>3892</v>
      </c>
      <c r="P1663" s="20" t="s">
        <v>4598</v>
      </c>
      <c r="Q1663" s="21">
        <v>21.5</v>
      </c>
      <c r="R1663" s="21">
        <v>27.5</v>
      </c>
      <c r="S1663" s="21">
        <v>3</v>
      </c>
      <c r="T1663" s="22">
        <v>1.5</v>
      </c>
      <c r="U1663" s="13">
        <f t="shared" si="103"/>
        <v>0.17999999999999994</v>
      </c>
      <c r="V1663" s="23">
        <v>183.75</v>
      </c>
      <c r="W1663" s="23">
        <v>183.75</v>
      </c>
      <c r="X1663" s="20">
        <v>50</v>
      </c>
      <c r="Y1663" s="24" t="s">
        <v>3713</v>
      </c>
      <c r="Z1663" s="16">
        <v>158.75</v>
      </c>
      <c r="AA1663" s="17">
        <v>635</v>
      </c>
      <c r="AB1663" s="25" t="s">
        <v>3714</v>
      </c>
    </row>
    <row r="1664" spans="1:28" x14ac:dyDescent="0.45">
      <c r="A1664" s="4" t="s">
        <v>2261</v>
      </c>
      <c r="B1664" s="4" t="s">
        <v>6756</v>
      </c>
      <c r="C1664" s="4" t="s">
        <v>2137</v>
      </c>
      <c r="D1664" s="4" t="s">
        <v>2138</v>
      </c>
      <c r="E1664" s="4" t="s">
        <v>2139</v>
      </c>
      <c r="F1664" s="5">
        <v>21.7</v>
      </c>
      <c r="G1664" s="5">
        <v>28.7</v>
      </c>
      <c r="H1664" s="4" t="s">
        <v>1187</v>
      </c>
      <c r="I1664" s="10">
        <v>25</v>
      </c>
      <c r="J1664" s="34">
        <f t="shared" si="100"/>
        <v>0.21749999999999997</v>
      </c>
      <c r="K1664" s="34">
        <f t="shared" si="101"/>
        <v>0.33</v>
      </c>
      <c r="L1664" s="34">
        <f t="shared" si="102"/>
        <v>1.32</v>
      </c>
      <c r="M1664" s="11" t="s">
        <v>4717</v>
      </c>
      <c r="N1664" s="11" t="s">
        <v>4597</v>
      </c>
      <c r="O1664" s="11" t="s">
        <v>3892</v>
      </c>
      <c r="P1664" s="11" t="s">
        <v>4598</v>
      </c>
      <c r="Q1664" s="12">
        <v>22</v>
      </c>
      <c r="R1664" s="12">
        <v>29</v>
      </c>
      <c r="S1664" s="12">
        <v>3.5</v>
      </c>
      <c r="T1664" s="13">
        <v>1.47</v>
      </c>
      <c r="U1664" s="13">
        <f t="shared" si="103"/>
        <v>0.14999999999999991</v>
      </c>
      <c r="V1664" s="14">
        <v>180.08</v>
      </c>
      <c r="W1664" s="14">
        <v>180.08</v>
      </c>
      <c r="X1664" s="11">
        <v>11</v>
      </c>
      <c r="Y1664" s="15" t="s">
        <v>3713</v>
      </c>
      <c r="Z1664" s="16">
        <v>155.08000000000001</v>
      </c>
      <c r="AA1664" s="17">
        <v>620.29999999999995</v>
      </c>
      <c r="AB1664" s="18" t="s">
        <v>4718</v>
      </c>
    </row>
    <row r="1665" spans="1:28" x14ac:dyDescent="0.45">
      <c r="A1665" s="2" t="s">
        <v>2262</v>
      </c>
      <c r="B1665" s="2" t="s">
        <v>6757</v>
      </c>
      <c r="C1665" s="2" t="s">
        <v>2137</v>
      </c>
      <c r="D1665" s="2" t="s">
        <v>2138</v>
      </c>
      <c r="E1665" s="2" t="s">
        <v>2139</v>
      </c>
      <c r="F1665" s="3">
        <v>21.82</v>
      </c>
      <c r="G1665" s="3">
        <v>28.88</v>
      </c>
      <c r="H1665" s="2" t="s">
        <v>1156</v>
      </c>
      <c r="I1665" s="19">
        <v>25</v>
      </c>
      <c r="J1665" s="34">
        <f t="shared" si="100"/>
        <v>0.21749999999999997</v>
      </c>
      <c r="K1665" s="34">
        <f t="shared" si="101"/>
        <v>0.33</v>
      </c>
      <c r="L1665" s="34">
        <f t="shared" si="102"/>
        <v>1.32</v>
      </c>
      <c r="M1665" s="20" t="s">
        <v>4717</v>
      </c>
      <c r="N1665" s="20" t="s">
        <v>4597</v>
      </c>
      <c r="O1665" s="20" t="s">
        <v>3892</v>
      </c>
      <c r="P1665" s="20" t="s">
        <v>4598</v>
      </c>
      <c r="Q1665" s="21">
        <v>22</v>
      </c>
      <c r="R1665" s="21">
        <v>29</v>
      </c>
      <c r="S1665" s="21">
        <v>3.5</v>
      </c>
      <c r="T1665" s="22">
        <v>1.47</v>
      </c>
      <c r="U1665" s="13">
        <f t="shared" si="103"/>
        <v>0.14999999999999991</v>
      </c>
      <c r="V1665" s="23">
        <v>180.08</v>
      </c>
      <c r="W1665" s="23">
        <v>180.08</v>
      </c>
      <c r="X1665" s="20">
        <v>11</v>
      </c>
      <c r="Y1665" s="24" t="s">
        <v>3713</v>
      </c>
      <c r="Z1665" s="16">
        <v>155.08000000000001</v>
      </c>
      <c r="AA1665" s="17">
        <v>620.29999999999995</v>
      </c>
      <c r="AB1665" s="25" t="s">
        <v>3975</v>
      </c>
    </row>
    <row r="1666" spans="1:28" x14ac:dyDescent="0.45">
      <c r="A1666" s="4" t="s">
        <v>2263</v>
      </c>
      <c r="B1666" s="4" t="s">
        <v>6758</v>
      </c>
      <c r="C1666" s="4" t="s">
        <v>2137</v>
      </c>
      <c r="D1666" s="4" t="s">
        <v>2138</v>
      </c>
      <c r="E1666" s="4" t="s">
        <v>2139</v>
      </c>
      <c r="F1666" s="5">
        <v>21.89</v>
      </c>
      <c r="G1666" s="5">
        <v>27.13</v>
      </c>
      <c r="H1666" s="4" t="s">
        <v>1127</v>
      </c>
      <c r="I1666" s="10">
        <v>13</v>
      </c>
      <c r="J1666" s="34">
        <f t="shared" si="100"/>
        <v>0.11309999999999999</v>
      </c>
      <c r="K1666" s="34">
        <f t="shared" si="101"/>
        <v>0.17</v>
      </c>
      <c r="L1666" s="34">
        <f t="shared" si="102"/>
        <v>0.68</v>
      </c>
      <c r="M1666" s="11" t="s">
        <v>4719</v>
      </c>
      <c r="N1666" s="11" t="s">
        <v>4597</v>
      </c>
      <c r="O1666" s="11" t="s">
        <v>3892</v>
      </c>
      <c r="P1666" s="11" t="s">
        <v>4598</v>
      </c>
      <c r="Q1666" s="12">
        <v>22</v>
      </c>
      <c r="R1666" s="12">
        <v>27</v>
      </c>
      <c r="S1666" s="12">
        <v>2.5</v>
      </c>
      <c r="T1666" s="13">
        <v>0.77</v>
      </c>
      <c r="U1666" s="13">
        <f t="shared" si="103"/>
        <v>8.9999999999999969E-2</v>
      </c>
      <c r="V1666" s="14">
        <v>94.32</v>
      </c>
      <c r="W1666" s="14">
        <v>94.32</v>
      </c>
      <c r="X1666" s="11">
        <v>2539</v>
      </c>
      <c r="Y1666" s="15" t="s">
        <v>3713</v>
      </c>
      <c r="Z1666" s="16">
        <v>81.319999999999993</v>
      </c>
      <c r="AA1666" s="17">
        <v>625.5</v>
      </c>
      <c r="AB1666" s="18" t="s">
        <v>3977</v>
      </c>
    </row>
    <row r="1667" spans="1:28" x14ac:dyDescent="0.45">
      <c r="A1667" s="2" t="s">
        <v>2264</v>
      </c>
      <c r="B1667" s="2" t="s">
        <v>6759</v>
      </c>
      <c r="C1667" s="2" t="s">
        <v>2137</v>
      </c>
      <c r="D1667" s="2" t="s">
        <v>2138</v>
      </c>
      <c r="E1667" s="2" t="s">
        <v>2139</v>
      </c>
      <c r="F1667" s="3">
        <v>21.8</v>
      </c>
      <c r="G1667" s="3">
        <v>26.6</v>
      </c>
      <c r="H1667" s="2" t="s">
        <v>1140</v>
      </c>
      <c r="I1667" s="19">
        <v>13</v>
      </c>
      <c r="J1667" s="34">
        <f t="shared" si="100"/>
        <v>0.11309999999999999</v>
      </c>
      <c r="K1667" s="34">
        <f t="shared" si="101"/>
        <v>0.17</v>
      </c>
      <c r="L1667" s="34">
        <f t="shared" si="102"/>
        <v>0.68</v>
      </c>
      <c r="M1667" s="20" t="s">
        <v>4720</v>
      </c>
      <c r="N1667" s="20" t="s">
        <v>4597</v>
      </c>
      <c r="O1667" s="20" t="s">
        <v>3892</v>
      </c>
      <c r="P1667" s="20" t="s">
        <v>4598</v>
      </c>
      <c r="Q1667" s="21">
        <v>21.6</v>
      </c>
      <c r="R1667" s="21">
        <v>26.4</v>
      </c>
      <c r="S1667" s="21">
        <v>2.4</v>
      </c>
      <c r="T1667" s="22">
        <v>1.02</v>
      </c>
      <c r="U1667" s="13">
        <f t="shared" si="103"/>
        <v>0.33999999999999997</v>
      </c>
      <c r="V1667" s="23">
        <v>124.95</v>
      </c>
      <c r="W1667" s="23">
        <v>124.95</v>
      </c>
      <c r="X1667" s="20">
        <v>45</v>
      </c>
      <c r="Y1667" s="24" t="s">
        <v>3713</v>
      </c>
      <c r="Z1667" s="16">
        <v>111.95</v>
      </c>
      <c r="AA1667" s="17">
        <v>861.2</v>
      </c>
      <c r="AB1667" s="25" t="s">
        <v>4435</v>
      </c>
    </row>
    <row r="1668" spans="1:28" x14ac:dyDescent="0.45">
      <c r="A1668" s="4" t="s">
        <v>2265</v>
      </c>
      <c r="B1668" s="4" t="s">
        <v>6760</v>
      </c>
      <c r="C1668" s="4" t="s">
        <v>2137</v>
      </c>
      <c r="D1668" s="4" t="s">
        <v>2138</v>
      </c>
      <c r="E1668" s="4" t="s">
        <v>2139</v>
      </c>
      <c r="F1668" s="5">
        <v>21.95</v>
      </c>
      <c r="G1668" s="5">
        <v>25.51</v>
      </c>
      <c r="H1668" s="4" t="s">
        <v>1114</v>
      </c>
      <c r="I1668" s="10">
        <v>10</v>
      </c>
      <c r="J1668" s="34">
        <f t="shared" si="100"/>
        <v>8.6999999999999994E-2</v>
      </c>
      <c r="K1668" s="34">
        <f t="shared" si="101"/>
        <v>0.13</v>
      </c>
      <c r="L1668" s="34">
        <f t="shared" si="102"/>
        <v>0.52</v>
      </c>
      <c r="M1668" s="11" t="s">
        <v>4721</v>
      </c>
      <c r="N1668" s="11" t="s">
        <v>4597</v>
      </c>
      <c r="O1668" s="11" t="s">
        <v>3892</v>
      </c>
      <c r="P1668" s="11" t="s">
        <v>4598</v>
      </c>
      <c r="Q1668" s="12">
        <v>22.1</v>
      </c>
      <c r="R1668" s="12">
        <v>25.3</v>
      </c>
      <c r="S1668" s="12">
        <v>1.6</v>
      </c>
      <c r="T1668" s="13">
        <v>0.52</v>
      </c>
      <c r="U1668" s="13">
        <f t="shared" si="103"/>
        <v>0</v>
      </c>
      <c r="V1668" s="14">
        <v>63.7</v>
      </c>
      <c r="W1668" s="14">
        <v>63.7</v>
      </c>
      <c r="X1668" s="11">
        <v>27</v>
      </c>
      <c r="Y1668" s="15" t="s">
        <v>3713</v>
      </c>
      <c r="Z1668" s="16">
        <v>53.7</v>
      </c>
      <c r="AA1668" s="17">
        <v>537</v>
      </c>
      <c r="AB1668" s="18" t="s">
        <v>4722</v>
      </c>
    </row>
    <row r="1669" spans="1:28" x14ac:dyDescent="0.45">
      <c r="A1669" s="2" t="s">
        <v>2266</v>
      </c>
      <c r="B1669" s="2" t="s">
        <v>6761</v>
      </c>
      <c r="C1669" s="2" t="s">
        <v>2137</v>
      </c>
      <c r="D1669" s="2" t="s">
        <v>2138</v>
      </c>
      <c r="E1669" s="2" t="s">
        <v>2139</v>
      </c>
      <c r="F1669" s="3">
        <v>21</v>
      </c>
      <c r="G1669" s="3">
        <v>25</v>
      </c>
      <c r="H1669" s="2" t="s">
        <v>1122</v>
      </c>
      <c r="I1669" s="19">
        <v>12</v>
      </c>
      <c r="J1669" s="34">
        <f t="shared" ref="J1669:J1732" si="104">I1669*0.0087</f>
        <v>0.10439999999999999</v>
      </c>
      <c r="K1669" s="34">
        <f t="shared" ref="K1669:K1732" si="105">ROUND(J1669*1.5,2)</f>
        <v>0.16</v>
      </c>
      <c r="L1669" s="34">
        <f t="shared" ref="L1669:L1732" si="106">K1669*4</f>
        <v>0.64</v>
      </c>
      <c r="M1669" s="20" t="s">
        <v>4723</v>
      </c>
      <c r="N1669" s="20" t="s">
        <v>4597</v>
      </c>
      <c r="O1669" s="20" t="s">
        <v>3892</v>
      </c>
      <c r="P1669" s="20" t="s">
        <v>4598</v>
      </c>
      <c r="Q1669" s="21">
        <v>21</v>
      </c>
      <c r="R1669" s="21">
        <v>25</v>
      </c>
      <c r="S1669" s="21">
        <v>2</v>
      </c>
      <c r="T1669" s="22">
        <v>0.6</v>
      </c>
      <c r="U1669" s="13">
        <f t="shared" ref="U1669:U1732" si="107">T1669-L1669</f>
        <v>-4.0000000000000036E-2</v>
      </c>
      <c r="V1669" s="23">
        <v>73.5</v>
      </c>
      <c r="W1669" s="23">
        <v>73.5</v>
      </c>
      <c r="X1669" s="20">
        <v>735</v>
      </c>
      <c r="Y1669" s="24" t="s">
        <v>3713</v>
      </c>
      <c r="Z1669" s="16">
        <v>61.5</v>
      </c>
      <c r="AA1669" s="17">
        <v>512.5</v>
      </c>
      <c r="AB1669" s="25" t="s">
        <v>3714</v>
      </c>
    </row>
    <row r="1670" spans="1:28" x14ac:dyDescent="0.45">
      <c r="A1670" s="4" t="s">
        <v>2267</v>
      </c>
      <c r="B1670" s="4" t="s">
        <v>6762</v>
      </c>
      <c r="C1670" s="4" t="s">
        <v>2137</v>
      </c>
      <c r="D1670" s="4" t="s">
        <v>2138</v>
      </c>
      <c r="E1670" s="4" t="s">
        <v>2139</v>
      </c>
      <c r="F1670" s="5">
        <v>21</v>
      </c>
      <c r="G1670" s="5">
        <v>26</v>
      </c>
      <c r="H1670" s="4" t="s">
        <v>1135</v>
      </c>
      <c r="I1670" s="10">
        <v>13</v>
      </c>
      <c r="J1670" s="34">
        <f t="shared" si="104"/>
        <v>0.11309999999999999</v>
      </c>
      <c r="K1670" s="34">
        <f t="shared" si="105"/>
        <v>0.17</v>
      </c>
      <c r="L1670" s="34">
        <f t="shared" si="106"/>
        <v>0.68</v>
      </c>
      <c r="M1670" s="11" t="s">
        <v>4711</v>
      </c>
      <c r="N1670" s="11" t="s">
        <v>4597</v>
      </c>
      <c r="O1670" s="11" t="s">
        <v>3892</v>
      </c>
      <c r="P1670" s="11" t="s">
        <v>4598</v>
      </c>
      <c r="Q1670" s="12">
        <v>21</v>
      </c>
      <c r="R1670" s="12">
        <v>26</v>
      </c>
      <c r="S1670" s="12">
        <v>2.5</v>
      </c>
      <c r="T1670" s="13">
        <v>0.7</v>
      </c>
      <c r="U1670" s="13">
        <f t="shared" si="107"/>
        <v>1.9999999999999907E-2</v>
      </c>
      <c r="V1670" s="14">
        <v>85.75</v>
      </c>
      <c r="W1670" s="14">
        <v>85.75</v>
      </c>
      <c r="X1670" s="11">
        <v>2451</v>
      </c>
      <c r="Y1670" s="15" t="s">
        <v>3713</v>
      </c>
      <c r="Z1670" s="16">
        <v>72.75</v>
      </c>
      <c r="AA1670" s="17">
        <v>559.6</v>
      </c>
      <c r="AB1670" s="18" t="s">
        <v>3714</v>
      </c>
    </row>
    <row r="1671" spans="1:28" x14ac:dyDescent="0.45">
      <c r="A1671" s="2" t="s">
        <v>2268</v>
      </c>
      <c r="B1671" s="2" t="s">
        <v>6763</v>
      </c>
      <c r="C1671" s="2" t="s">
        <v>2137</v>
      </c>
      <c r="D1671" s="2" t="s">
        <v>2138</v>
      </c>
      <c r="E1671" s="2" t="s">
        <v>2139</v>
      </c>
      <c r="F1671" s="3">
        <v>22.1</v>
      </c>
      <c r="G1671" s="3">
        <v>25.3</v>
      </c>
      <c r="H1671" s="2" t="s">
        <v>1514</v>
      </c>
      <c r="I1671" s="19">
        <v>10</v>
      </c>
      <c r="J1671" s="34">
        <f t="shared" si="104"/>
        <v>8.6999999999999994E-2</v>
      </c>
      <c r="K1671" s="34">
        <f t="shared" si="105"/>
        <v>0.13</v>
      </c>
      <c r="L1671" s="34">
        <f t="shared" si="106"/>
        <v>0.52</v>
      </c>
      <c r="M1671" s="20" t="s">
        <v>4721</v>
      </c>
      <c r="N1671" s="20" t="s">
        <v>4597</v>
      </c>
      <c r="O1671" s="20" t="s">
        <v>3892</v>
      </c>
      <c r="P1671" s="20" t="s">
        <v>4598</v>
      </c>
      <c r="Q1671" s="21">
        <v>22.1</v>
      </c>
      <c r="R1671" s="21">
        <v>25.3</v>
      </c>
      <c r="S1671" s="21">
        <v>1.6</v>
      </c>
      <c r="T1671" s="22">
        <v>0.52</v>
      </c>
      <c r="U1671" s="13">
        <f t="shared" si="107"/>
        <v>0</v>
      </c>
      <c r="V1671" s="23">
        <v>63.7</v>
      </c>
      <c r="W1671" s="23">
        <v>63.7</v>
      </c>
      <c r="X1671" s="20">
        <v>27</v>
      </c>
      <c r="Y1671" s="24" t="s">
        <v>3713</v>
      </c>
      <c r="Z1671" s="16">
        <v>53.7</v>
      </c>
      <c r="AA1671" s="17">
        <v>537</v>
      </c>
      <c r="AB1671" s="25" t="s">
        <v>3714</v>
      </c>
    </row>
    <row r="1672" spans="1:28" x14ac:dyDescent="0.45">
      <c r="A1672" s="4" t="s">
        <v>2269</v>
      </c>
      <c r="B1672" s="4" t="s">
        <v>6764</v>
      </c>
      <c r="C1672" s="4" t="s">
        <v>2137</v>
      </c>
      <c r="D1672" s="4" t="s">
        <v>2138</v>
      </c>
      <c r="E1672" s="4" t="s">
        <v>2139</v>
      </c>
      <c r="F1672" s="5">
        <v>22.4</v>
      </c>
      <c r="G1672" s="5">
        <v>28.6</v>
      </c>
      <c r="H1672" s="4" t="s">
        <v>1221</v>
      </c>
      <c r="I1672" s="10">
        <v>27</v>
      </c>
      <c r="J1672" s="34">
        <f t="shared" si="104"/>
        <v>0.2349</v>
      </c>
      <c r="K1672" s="34">
        <f t="shared" si="105"/>
        <v>0.35</v>
      </c>
      <c r="L1672" s="34">
        <f t="shared" si="106"/>
        <v>1.4</v>
      </c>
      <c r="M1672" s="11" t="s">
        <v>4724</v>
      </c>
      <c r="N1672" s="11" t="s">
        <v>4597</v>
      </c>
      <c r="O1672" s="11" t="s">
        <v>3892</v>
      </c>
      <c r="P1672" s="11" t="s">
        <v>4598</v>
      </c>
      <c r="Q1672" s="12">
        <v>22.5</v>
      </c>
      <c r="R1672" s="12">
        <v>28.5</v>
      </c>
      <c r="S1672" s="12">
        <v>3</v>
      </c>
      <c r="T1672" s="13">
        <v>0.77</v>
      </c>
      <c r="U1672" s="13">
        <f t="shared" si="107"/>
        <v>-0.62999999999999989</v>
      </c>
      <c r="V1672" s="14">
        <v>94.32</v>
      </c>
      <c r="W1672" s="14">
        <v>94.32</v>
      </c>
      <c r="X1672" s="11" t="s">
        <v>3722</v>
      </c>
      <c r="Y1672" s="15" t="s">
        <v>3713</v>
      </c>
      <c r="Z1672" s="16">
        <v>67.319999999999993</v>
      </c>
      <c r="AA1672" s="17">
        <v>249.3</v>
      </c>
      <c r="AB1672" s="18" t="s">
        <v>4119</v>
      </c>
    </row>
    <row r="1673" spans="1:28" x14ac:dyDescent="0.45">
      <c r="A1673" s="2" t="s">
        <v>2270</v>
      </c>
      <c r="B1673" s="2" t="s">
        <v>6765</v>
      </c>
      <c r="C1673" s="2" t="s">
        <v>2137</v>
      </c>
      <c r="D1673" s="2" t="s">
        <v>2138</v>
      </c>
      <c r="E1673" s="2" t="s">
        <v>2139</v>
      </c>
      <c r="F1673" s="3">
        <v>22.5</v>
      </c>
      <c r="G1673" s="3">
        <v>28.5</v>
      </c>
      <c r="H1673" s="2" t="s">
        <v>1149</v>
      </c>
      <c r="I1673" s="19">
        <v>27</v>
      </c>
      <c r="J1673" s="34">
        <f t="shared" si="104"/>
        <v>0.2349</v>
      </c>
      <c r="K1673" s="34">
        <f t="shared" si="105"/>
        <v>0.35</v>
      </c>
      <c r="L1673" s="34">
        <f t="shared" si="106"/>
        <v>1.4</v>
      </c>
      <c r="M1673" s="20" t="s">
        <v>4724</v>
      </c>
      <c r="N1673" s="20" t="s">
        <v>4597</v>
      </c>
      <c r="O1673" s="20" t="s">
        <v>3892</v>
      </c>
      <c r="P1673" s="20" t="s">
        <v>4598</v>
      </c>
      <c r="Q1673" s="21">
        <v>22.5</v>
      </c>
      <c r="R1673" s="21">
        <v>28.5</v>
      </c>
      <c r="S1673" s="21">
        <v>3</v>
      </c>
      <c r="T1673" s="22">
        <v>0.77</v>
      </c>
      <c r="U1673" s="13">
        <f t="shared" si="107"/>
        <v>-0.62999999999999989</v>
      </c>
      <c r="V1673" s="23">
        <v>94.32</v>
      </c>
      <c r="W1673" s="23">
        <v>94.32</v>
      </c>
      <c r="X1673" s="20" t="s">
        <v>3722</v>
      </c>
      <c r="Y1673" s="24" t="s">
        <v>3713</v>
      </c>
      <c r="Z1673" s="16">
        <v>67.319999999999993</v>
      </c>
      <c r="AA1673" s="17">
        <v>249.3</v>
      </c>
      <c r="AB1673" s="25" t="s">
        <v>3714</v>
      </c>
    </row>
    <row r="1674" spans="1:28" x14ac:dyDescent="0.45">
      <c r="A1674" s="4" t="s">
        <v>2271</v>
      </c>
      <c r="B1674" s="4" t="s">
        <v>6766</v>
      </c>
      <c r="C1674" s="4" t="s">
        <v>2137</v>
      </c>
      <c r="D1674" s="4" t="s">
        <v>2138</v>
      </c>
      <c r="E1674" s="4" t="s">
        <v>2139</v>
      </c>
      <c r="F1674" s="5">
        <v>22</v>
      </c>
      <c r="G1674" s="5">
        <v>25</v>
      </c>
      <c r="H1674" s="4" t="s">
        <v>1120</v>
      </c>
      <c r="I1674" s="10">
        <v>10</v>
      </c>
      <c r="J1674" s="34">
        <f t="shared" si="104"/>
        <v>8.6999999999999994E-2</v>
      </c>
      <c r="K1674" s="34">
        <f t="shared" si="105"/>
        <v>0.13</v>
      </c>
      <c r="L1674" s="34">
        <f t="shared" si="106"/>
        <v>0.52</v>
      </c>
      <c r="M1674" s="11" t="s">
        <v>4725</v>
      </c>
      <c r="N1674" s="11" t="s">
        <v>4597</v>
      </c>
      <c r="O1674" s="11" t="s">
        <v>3892</v>
      </c>
      <c r="P1674" s="11" t="s">
        <v>4598</v>
      </c>
      <c r="Q1674" s="12">
        <v>22</v>
      </c>
      <c r="R1674" s="12">
        <v>25</v>
      </c>
      <c r="S1674" s="12">
        <v>1.5</v>
      </c>
      <c r="T1674" s="13">
        <v>0.49</v>
      </c>
      <c r="U1674" s="13">
        <f t="shared" si="107"/>
        <v>-3.0000000000000027E-2</v>
      </c>
      <c r="V1674" s="14">
        <v>60.02</v>
      </c>
      <c r="W1674" s="14">
        <v>60.02</v>
      </c>
      <c r="X1674" s="11">
        <v>139</v>
      </c>
      <c r="Y1674" s="15" t="s">
        <v>3713</v>
      </c>
      <c r="Z1674" s="16">
        <v>50.02</v>
      </c>
      <c r="AA1674" s="17">
        <v>500.2</v>
      </c>
      <c r="AB1674" s="18" t="s">
        <v>3714</v>
      </c>
    </row>
    <row r="1675" spans="1:28" x14ac:dyDescent="0.45">
      <c r="A1675" s="2" t="s">
        <v>2272</v>
      </c>
      <c r="B1675" s="2" t="s">
        <v>6767</v>
      </c>
      <c r="C1675" s="2" t="s">
        <v>2137</v>
      </c>
      <c r="D1675" s="2" t="s">
        <v>2138</v>
      </c>
      <c r="E1675" s="2" t="s">
        <v>2139</v>
      </c>
      <c r="F1675" s="3">
        <v>22</v>
      </c>
      <c r="G1675" s="3">
        <v>27</v>
      </c>
      <c r="H1675" s="2" t="s">
        <v>1135</v>
      </c>
      <c r="I1675" s="19">
        <v>13</v>
      </c>
      <c r="J1675" s="34">
        <f t="shared" si="104"/>
        <v>0.11309999999999999</v>
      </c>
      <c r="K1675" s="34">
        <f t="shared" si="105"/>
        <v>0.17</v>
      </c>
      <c r="L1675" s="34">
        <f t="shared" si="106"/>
        <v>0.68</v>
      </c>
      <c r="M1675" s="20" t="s">
        <v>4719</v>
      </c>
      <c r="N1675" s="20" t="s">
        <v>4597</v>
      </c>
      <c r="O1675" s="20" t="s">
        <v>3892</v>
      </c>
      <c r="P1675" s="20" t="s">
        <v>4598</v>
      </c>
      <c r="Q1675" s="21">
        <v>22</v>
      </c>
      <c r="R1675" s="21">
        <v>27</v>
      </c>
      <c r="S1675" s="21">
        <v>2.5</v>
      </c>
      <c r="T1675" s="22">
        <v>0.77</v>
      </c>
      <c r="U1675" s="13">
        <f t="shared" si="107"/>
        <v>8.9999999999999969E-2</v>
      </c>
      <c r="V1675" s="23">
        <v>94.32</v>
      </c>
      <c r="W1675" s="23">
        <v>94.32</v>
      </c>
      <c r="X1675" s="20">
        <v>2539</v>
      </c>
      <c r="Y1675" s="24" t="s">
        <v>3713</v>
      </c>
      <c r="Z1675" s="16">
        <v>81.319999999999993</v>
      </c>
      <c r="AA1675" s="17">
        <v>625.5</v>
      </c>
      <c r="AB1675" s="25" t="s">
        <v>3714</v>
      </c>
    </row>
    <row r="1676" spans="1:28" x14ac:dyDescent="0.45">
      <c r="A1676" s="4" t="s">
        <v>2273</v>
      </c>
      <c r="B1676" s="4" t="s">
        <v>6768</v>
      </c>
      <c r="C1676" s="4" t="s">
        <v>2137</v>
      </c>
      <c r="D1676" s="4" t="s">
        <v>2138</v>
      </c>
      <c r="E1676" s="4" t="s">
        <v>2139</v>
      </c>
      <c r="F1676" s="5">
        <v>22</v>
      </c>
      <c r="G1676" s="5">
        <v>28</v>
      </c>
      <c r="H1676" s="4" t="s">
        <v>1149</v>
      </c>
      <c r="I1676" s="10">
        <v>25</v>
      </c>
      <c r="J1676" s="34">
        <f t="shared" si="104"/>
        <v>0.21749999999999997</v>
      </c>
      <c r="K1676" s="34">
        <f t="shared" si="105"/>
        <v>0.33</v>
      </c>
      <c r="L1676" s="34">
        <f t="shared" si="106"/>
        <v>1.32</v>
      </c>
      <c r="M1676" s="11" t="s">
        <v>4726</v>
      </c>
      <c r="N1676" s="11" t="s">
        <v>4597</v>
      </c>
      <c r="O1676" s="11" t="s">
        <v>3892</v>
      </c>
      <c r="P1676" s="11" t="s">
        <v>4598</v>
      </c>
      <c r="Q1676" s="12">
        <v>22</v>
      </c>
      <c r="R1676" s="12">
        <v>28</v>
      </c>
      <c r="S1676" s="12">
        <v>3</v>
      </c>
      <c r="T1676" s="13">
        <v>0.81</v>
      </c>
      <c r="U1676" s="13">
        <f t="shared" si="107"/>
        <v>-0.51</v>
      </c>
      <c r="V1676" s="14">
        <v>99.22</v>
      </c>
      <c r="W1676" s="14">
        <v>99.22</v>
      </c>
      <c r="X1676" s="11">
        <v>97</v>
      </c>
      <c r="Y1676" s="15" t="s">
        <v>3713</v>
      </c>
      <c r="Z1676" s="16">
        <v>74.22</v>
      </c>
      <c r="AA1676" s="17">
        <v>296.89999999999998</v>
      </c>
      <c r="AB1676" s="18" t="s">
        <v>3714</v>
      </c>
    </row>
    <row r="1677" spans="1:28" x14ac:dyDescent="0.45">
      <c r="A1677" s="2" t="s">
        <v>2274</v>
      </c>
      <c r="B1677" s="2" t="s">
        <v>6769</v>
      </c>
      <c r="C1677" s="2" t="s">
        <v>2137</v>
      </c>
      <c r="D1677" s="2" t="s">
        <v>2138</v>
      </c>
      <c r="E1677" s="2" t="s">
        <v>2139</v>
      </c>
      <c r="F1677" s="3">
        <v>22</v>
      </c>
      <c r="G1677" s="3">
        <v>30</v>
      </c>
      <c r="H1677" s="2" t="s">
        <v>1216</v>
      </c>
      <c r="I1677" s="19">
        <v>42</v>
      </c>
      <c r="J1677" s="34">
        <f t="shared" si="104"/>
        <v>0.36539999999999995</v>
      </c>
      <c r="K1677" s="34">
        <f t="shared" si="105"/>
        <v>0.55000000000000004</v>
      </c>
      <c r="L1677" s="34">
        <f t="shared" si="106"/>
        <v>2.2000000000000002</v>
      </c>
      <c r="M1677" s="20" t="s">
        <v>4727</v>
      </c>
      <c r="N1677" s="20" t="s">
        <v>4597</v>
      </c>
      <c r="O1677" s="20" t="s">
        <v>3892</v>
      </c>
      <c r="P1677" s="20" t="s">
        <v>4598</v>
      </c>
      <c r="Q1677" s="21">
        <v>22</v>
      </c>
      <c r="R1677" s="21">
        <v>30</v>
      </c>
      <c r="S1677" s="21">
        <v>4</v>
      </c>
      <c r="T1677" s="22">
        <v>1.55</v>
      </c>
      <c r="U1677" s="13">
        <f t="shared" si="107"/>
        <v>-0.65000000000000013</v>
      </c>
      <c r="V1677" s="23">
        <v>189.88</v>
      </c>
      <c r="W1677" s="23">
        <v>189.88</v>
      </c>
      <c r="X1677" s="20">
        <v>35</v>
      </c>
      <c r="Y1677" s="24" t="s">
        <v>3713</v>
      </c>
      <c r="Z1677" s="16">
        <v>147.88</v>
      </c>
      <c r="AA1677" s="17">
        <v>352.1</v>
      </c>
      <c r="AB1677" s="25" t="s">
        <v>3714</v>
      </c>
    </row>
    <row r="1678" spans="1:28" x14ac:dyDescent="0.45">
      <c r="A1678" s="4" t="s">
        <v>2275</v>
      </c>
      <c r="B1678" s="4" t="s">
        <v>6770</v>
      </c>
      <c r="C1678" s="4" t="s">
        <v>2137</v>
      </c>
      <c r="D1678" s="4" t="s">
        <v>2138</v>
      </c>
      <c r="E1678" s="4" t="s">
        <v>2139</v>
      </c>
      <c r="F1678" s="5">
        <v>23.16</v>
      </c>
      <c r="G1678" s="5">
        <v>33.82</v>
      </c>
      <c r="H1678" s="4" t="s">
        <v>1201</v>
      </c>
      <c r="I1678" s="10">
        <v>54</v>
      </c>
      <c r="J1678" s="34">
        <f t="shared" si="104"/>
        <v>0.4698</v>
      </c>
      <c r="K1678" s="34">
        <f t="shared" si="105"/>
        <v>0.7</v>
      </c>
      <c r="L1678" s="34">
        <f t="shared" si="106"/>
        <v>2.8</v>
      </c>
      <c r="M1678" s="11" t="s">
        <v>4728</v>
      </c>
      <c r="N1678" s="11" t="s">
        <v>4597</v>
      </c>
      <c r="O1678" s="11" t="s">
        <v>3892</v>
      </c>
      <c r="P1678" s="11" t="s">
        <v>4598</v>
      </c>
      <c r="Q1678" s="12">
        <v>23.114000000000001</v>
      </c>
      <c r="R1678" s="12">
        <v>33.781999999999996</v>
      </c>
      <c r="S1678" s="12">
        <v>5.3339999999999996</v>
      </c>
      <c r="T1678" s="13">
        <v>2.93</v>
      </c>
      <c r="U1678" s="13">
        <f t="shared" si="107"/>
        <v>0.13000000000000034</v>
      </c>
      <c r="V1678" s="14">
        <v>358.92</v>
      </c>
      <c r="W1678" s="14">
        <v>358.92</v>
      </c>
      <c r="X1678" s="11">
        <v>23</v>
      </c>
      <c r="Y1678" s="15" t="s">
        <v>3737</v>
      </c>
      <c r="Z1678" s="16">
        <v>304.92</v>
      </c>
      <c r="AA1678" s="17">
        <v>564.70000000000005</v>
      </c>
      <c r="AB1678" s="18" t="s">
        <v>4008</v>
      </c>
    </row>
    <row r="1679" spans="1:28" x14ac:dyDescent="0.45">
      <c r="A1679" s="2" t="s">
        <v>2276</v>
      </c>
      <c r="B1679" s="2" t="s">
        <v>6771</v>
      </c>
      <c r="C1679" s="2" t="s">
        <v>2137</v>
      </c>
      <c r="D1679" s="2" t="s">
        <v>2138</v>
      </c>
      <c r="E1679" s="2" t="s">
        <v>2139</v>
      </c>
      <c r="F1679" s="3">
        <v>23.39</v>
      </c>
      <c r="G1679" s="3">
        <v>30.45</v>
      </c>
      <c r="H1679" s="2" t="s">
        <v>1156</v>
      </c>
      <c r="I1679" s="19">
        <v>27</v>
      </c>
      <c r="J1679" s="34">
        <f t="shared" si="104"/>
        <v>0.2349</v>
      </c>
      <c r="K1679" s="34">
        <f t="shared" si="105"/>
        <v>0.35</v>
      </c>
      <c r="L1679" s="34">
        <f t="shared" si="106"/>
        <v>1.4</v>
      </c>
      <c r="M1679" s="20" t="s">
        <v>4729</v>
      </c>
      <c r="N1679" s="20" t="s">
        <v>4597</v>
      </c>
      <c r="O1679" s="20" t="s">
        <v>3892</v>
      </c>
      <c r="P1679" s="20" t="s">
        <v>4598</v>
      </c>
      <c r="Q1679" s="21">
        <v>23.367999999999999</v>
      </c>
      <c r="R1679" s="21">
        <v>30.48</v>
      </c>
      <c r="S1679" s="21">
        <v>3.556</v>
      </c>
      <c r="T1679" s="22">
        <v>1.86</v>
      </c>
      <c r="U1679" s="13">
        <f t="shared" si="107"/>
        <v>0.46000000000000019</v>
      </c>
      <c r="V1679" s="23">
        <v>227.85</v>
      </c>
      <c r="W1679" s="23">
        <v>227.85</v>
      </c>
      <c r="X1679" s="20">
        <v>262</v>
      </c>
      <c r="Y1679" s="24" t="s">
        <v>3737</v>
      </c>
      <c r="Z1679" s="16">
        <v>200.85</v>
      </c>
      <c r="AA1679" s="17">
        <v>743.9</v>
      </c>
      <c r="AB1679" s="25" t="s">
        <v>3983</v>
      </c>
    </row>
    <row r="1680" spans="1:28" x14ac:dyDescent="0.45">
      <c r="A1680" s="4" t="s">
        <v>2277</v>
      </c>
      <c r="B1680" s="4" t="s">
        <v>6772</v>
      </c>
      <c r="C1680" s="4" t="s">
        <v>2137</v>
      </c>
      <c r="D1680" s="4" t="s">
        <v>2138</v>
      </c>
      <c r="E1680" s="4" t="s">
        <v>2139</v>
      </c>
      <c r="F1680" s="5">
        <v>23.47</v>
      </c>
      <c r="G1680" s="5">
        <v>28.71</v>
      </c>
      <c r="H1680" s="4" t="s">
        <v>1127</v>
      </c>
      <c r="I1680" s="10">
        <v>15</v>
      </c>
      <c r="J1680" s="34">
        <f t="shared" si="104"/>
        <v>0.1305</v>
      </c>
      <c r="K1680" s="34">
        <f t="shared" si="105"/>
        <v>0.2</v>
      </c>
      <c r="L1680" s="34">
        <f t="shared" si="106"/>
        <v>0.8</v>
      </c>
      <c r="M1680" s="11" t="s">
        <v>4730</v>
      </c>
      <c r="N1680" s="11" t="s">
        <v>4597</v>
      </c>
      <c r="O1680" s="11" t="s">
        <v>3892</v>
      </c>
      <c r="P1680" s="11" t="s">
        <v>4598</v>
      </c>
      <c r="Q1680" s="12">
        <v>23.367999999999999</v>
      </c>
      <c r="R1680" s="12">
        <v>28.702000000000002</v>
      </c>
      <c r="S1680" s="12">
        <v>2.54</v>
      </c>
      <c r="T1680" s="13">
        <v>0.4</v>
      </c>
      <c r="U1680" s="13">
        <f t="shared" si="107"/>
        <v>-0.4</v>
      </c>
      <c r="V1680" s="14">
        <v>49</v>
      </c>
      <c r="W1680" s="14">
        <v>49</v>
      </c>
      <c r="X1680" s="11">
        <v>248</v>
      </c>
      <c r="Y1680" s="15" t="s">
        <v>3737</v>
      </c>
      <c r="Z1680" s="16">
        <v>34</v>
      </c>
      <c r="AA1680" s="17">
        <v>226.7</v>
      </c>
      <c r="AB1680" s="18" t="s">
        <v>3985</v>
      </c>
    </row>
    <row r="1681" spans="1:28" x14ac:dyDescent="0.45">
      <c r="A1681" s="2" t="s">
        <v>2278</v>
      </c>
      <c r="B1681" s="2" t="s">
        <v>6773</v>
      </c>
      <c r="C1681" s="2" t="s">
        <v>2137</v>
      </c>
      <c r="D1681" s="2" t="s">
        <v>2138</v>
      </c>
      <c r="E1681" s="2" t="s">
        <v>2139</v>
      </c>
      <c r="F1681" s="3">
        <v>23.52</v>
      </c>
      <c r="G1681" s="3">
        <v>27.08</v>
      </c>
      <c r="H1681" s="2" t="s">
        <v>1114</v>
      </c>
      <c r="I1681" s="19">
        <v>12</v>
      </c>
      <c r="J1681" s="34">
        <f t="shared" si="104"/>
        <v>0.10439999999999999</v>
      </c>
      <c r="K1681" s="34">
        <f t="shared" si="105"/>
        <v>0.16</v>
      </c>
      <c r="L1681" s="34">
        <f t="shared" si="106"/>
        <v>0.64</v>
      </c>
      <c r="M1681" s="20" t="s">
        <v>4731</v>
      </c>
      <c r="N1681" s="20" t="s">
        <v>4597</v>
      </c>
      <c r="O1681" s="20" t="s">
        <v>3892</v>
      </c>
      <c r="P1681" s="20" t="s">
        <v>4598</v>
      </c>
      <c r="Q1681" s="21">
        <v>23.622</v>
      </c>
      <c r="R1681" s="21">
        <v>27.178000000000001</v>
      </c>
      <c r="S1681" s="21">
        <v>1.778</v>
      </c>
      <c r="T1681" s="22">
        <v>0.39</v>
      </c>
      <c r="U1681" s="13">
        <f t="shared" si="107"/>
        <v>-0.25</v>
      </c>
      <c r="V1681" s="23">
        <v>47.78</v>
      </c>
      <c r="W1681" s="23">
        <v>47.78</v>
      </c>
      <c r="X1681" s="20">
        <v>830</v>
      </c>
      <c r="Y1681" s="24" t="s">
        <v>3737</v>
      </c>
      <c r="Z1681" s="16">
        <v>35.78</v>
      </c>
      <c r="AA1681" s="17">
        <v>298.2</v>
      </c>
      <c r="AB1681" s="25" t="s">
        <v>3999</v>
      </c>
    </row>
    <row r="1682" spans="1:28" x14ac:dyDescent="0.45">
      <c r="A1682" s="4" t="s">
        <v>2279</v>
      </c>
      <c r="B1682" s="4" t="s">
        <v>6774</v>
      </c>
      <c r="C1682" s="4" t="s">
        <v>2137</v>
      </c>
      <c r="D1682" s="4" t="s">
        <v>2138</v>
      </c>
      <c r="E1682" s="4" t="s">
        <v>2139</v>
      </c>
      <c r="F1682" s="5">
        <v>23.5</v>
      </c>
      <c r="G1682" s="5">
        <v>29.5</v>
      </c>
      <c r="H1682" s="4" t="s">
        <v>1149</v>
      </c>
      <c r="I1682" s="10">
        <v>27</v>
      </c>
      <c r="J1682" s="34">
        <f t="shared" si="104"/>
        <v>0.2349</v>
      </c>
      <c r="K1682" s="34">
        <f t="shared" si="105"/>
        <v>0.35</v>
      </c>
      <c r="L1682" s="34">
        <f t="shared" si="106"/>
        <v>1.4</v>
      </c>
      <c r="M1682" s="11" t="s">
        <v>4732</v>
      </c>
      <c r="N1682" s="11" t="s">
        <v>4597</v>
      </c>
      <c r="O1682" s="11" t="s">
        <v>3892</v>
      </c>
      <c r="P1682" s="11" t="s">
        <v>4598</v>
      </c>
      <c r="Q1682" s="12">
        <v>23.5</v>
      </c>
      <c r="R1682" s="12">
        <v>29.5</v>
      </c>
      <c r="S1682" s="12">
        <v>3</v>
      </c>
      <c r="T1682" s="13">
        <v>0.89</v>
      </c>
      <c r="U1682" s="13">
        <f t="shared" si="107"/>
        <v>-0.5099999999999999</v>
      </c>
      <c r="V1682" s="14">
        <v>109.02</v>
      </c>
      <c r="W1682" s="14">
        <v>109.02</v>
      </c>
      <c r="X1682" s="11">
        <v>88</v>
      </c>
      <c r="Y1682" s="15" t="s">
        <v>3713</v>
      </c>
      <c r="Z1682" s="16">
        <v>82.02</v>
      </c>
      <c r="AA1682" s="17">
        <v>303.8</v>
      </c>
      <c r="AB1682" s="18" t="s">
        <v>3714</v>
      </c>
    </row>
    <row r="1683" spans="1:28" x14ac:dyDescent="0.45">
      <c r="A1683" s="2" t="s">
        <v>2280</v>
      </c>
      <c r="B1683" s="2" t="s">
        <v>6775</v>
      </c>
      <c r="C1683" s="2" t="s">
        <v>2137</v>
      </c>
      <c r="D1683" s="2" t="s">
        <v>2138</v>
      </c>
      <c r="E1683" s="2" t="s">
        <v>2139</v>
      </c>
      <c r="F1683" s="3">
        <v>23.7</v>
      </c>
      <c r="G1683" s="3">
        <v>30.7</v>
      </c>
      <c r="H1683" s="2" t="s">
        <v>1187</v>
      </c>
      <c r="I1683" s="19">
        <v>27</v>
      </c>
      <c r="J1683" s="34">
        <f t="shared" si="104"/>
        <v>0.2349</v>
      </c>
      <c r="K1683" s="34">
        <f t="shared" si="105"/>
        <v>0.35</v>
      </c>
      <c r="L1683" s="34">
        <f t="shared" si="106"/>
        <v>1.4</v>
      </c>
      <c r="M1683" s="20" t="s">
        <v>4729</v>
      </c>
      <c r="N1683" s="20" t="s">
        <v>4597</v>
      </c>
      <c r="O1683" s="20" t="s">
        <v>3892</v>
      </c>
      <c r="P1683" s="20" t="s">
        <v>4598</v>
      </c>
      <c r="Q1683" s="21">
        <v>23.367999999999999</v>
      </c>
      <c r="R1683" s="21">
        <v>30.48</v>
      </c>
      <c r="S1683" s="21">
        <v>3.556</v>
      </c>
      <c r="T1683" s="22">
        <v>1.86</v>
      </c>
      <c r="U1683" s="13">
        <f t="shared" si="107"/>
        <v>0.46000000000000019</v>
      </c>
      <c r="V1683" s="23">
        <v>227.85</v>
      </c>
      <c r="W1683" s="23">
        <v>227.85</v>
      </c>
      <c r="X1683" s="20">
        <v>262</v>
      </c>
      <c r="Y1683" s="24" t="s">
        <v>3737</v>
      </c>
      <c r="Z1683" s="16">
        <v>200.85</v>
      </c>
      <c r="AA1683" s="17">
        <v>743.9</v>
      </c>
      <c r="AB1683" s="25" t="s">
        <v>4733</v>
      </c>
    </row>
    <row r="1684" spans="1:28" x14ac:dyDescent="0.45">
      <c r="A1684" s="4" t="s">
        <v>2281</v>
      </c>
      <c r="B1684" s="4" t="s">
        <v>6776</v>
      </c>
      <c r="C1684" s="4" t="s">
        <v>2137</v>
      </c>
      <c r="D1684" s="4" t="s">
        <v>2138</v>
      </c>
      <c r="E1684" s="4" t="s">
        <v>2139</v>
      </c>
      <c r="F1684" s="5">
        <v>23</v>
      </c>
      <c r="G1684" s="5">
        <v>27</v>
      </c>
      <c r="H1684" s="4" t="s">
        <v>1122</v>
      </c>
      <c r="I1684" s="10">
        <v>13</v>
      </c>
      <c r="J1684" s="34">
        <f t="shared" si="104"/>
        <v>0.11309999999999999</v>
      </c>
      <c r="K1684" s="34">
        <f t="shared" si="105"/>
        <v>0.17</v>
      </c>
      <c r="L1684" s="34">
        <f t="shared" si="106"/>
        <v>0.68</v>
      </c>
      <c r="M1684" s="11" t="s">
        <v>4734</v>
      </c>
      <c r="N1684" s="11" t="s">
        <v>4597</v>
      </c>
      <c r="O1684" s="11" t="s">
        <v>3892</v>
      </c>
      <c r="P1684" s="11" t="s">
        <v>4598</v>
      </c>
      <c r="Q1684" s="12">
        <v>23</v>
      </c>
      <c r="R1684" s="12">
        <v>27</v>
      </c>
      <c r="S1684" s="12">
        <v>2</v>
      </c>
      <c r="T1684" s="13">
        <v>0.61</v>
      </c>
      <c r="U1684" s="13">
        <f t="shared" si="107"/>
        <v>-7.0000000000000062E-2</v>
      </c>
      <c r="V1684" s="14">
        <v>74.72</v>
      </c>
      <c r="W1684" s="14">
        <v>74.72</v>
      </c>
      <c r="X1684" s="11">
        <v>15</v>
      </c>
      <c r="Y1684" s="15" t="s">
        <v>3713</v>
      </c>
      <c r="Z1684" s="16">
        <v>61.72</v>
      </c>
      <c r="AA1684" s="17">
        <v>474.8</v>
      </c>
      <c r="AB1684" s="18" t="s">
        <v>3714</v>
      </c>
    </row>
    <row r="1685" spans="1:28" x14ac:dyDescent="0.45">
      <c r="A1685" s="2" t="s">
        <v>2282</v>
      </c>
      <c r="B1685" s="2" t="s">
        <v>6777</v>
      </c>
      <c r="C1685" s="2" t="s">
        <v>2137</v>
      </c>
      <c r="D1685" s="2" t="s">
        <v>2138</v>
      </c>
      <c r="E1685" s="2" t="s">
        <v>2139</v>
      </c>
      <c r="F1685" s="3">
        <v>23</v>
      </c>
      <c r="G1685" s="3">
        <v>28</v>
      </c>
      <c r="H1685" s="2" t="s">
        <v>1135</v>
      </c>
      <c r="I1685" s="19">
        <v>15</v>
      </c>
      <c r="J1685" s="34">
        <f t="shared" si="104"/>
        <v>0.1305</v>
      </c>
      <c r="K1685" s="34">
        <f t="shared" si="105"/>
        <v>0.2</v>
      </c>
      <c r="L1685" s="34">
        <f t="shared" si="106"/>
        <v>0.8</v>
      </c>
      <c r="M1685" s="20" t="s">
        <v>4735</v>
      </c>
      <c r="N1685" s="20" t="s">
        <v>4597</v>
      </c>
      <c r="O1685" s="20" t="s">
        <v>3892</v>
      </c>
      <c r="P1685" s="20" t="s">
        <v>4598</v>
      </c>
      <c r="Q1685" s="21">
        <v>23</v>
      </c>
      <c r="R1685" s="21">
        <v>28</v>
      </c>
      <c r="S1685" s="21">
        <v>2.5</v>
      </c>
      <c r="T1685" s="22">
        <v>0.79</v>
      </c>
      <c r="U1685" s="13">
        <f t="shared" si="107"/>
        <v>-1.0000000000000009E-2</v>
      </c>
      <c r="V1685" s="23">
        <v>96.78</v>
      </c>
      <c r="W1685" s="23">
        <v>96.78</v>
      </c>
      <c r="X1685" s="20">
        <v>139</v>
      </c>
      <c r="Y1685" s="24" t="s">
        <v>3713</v>
      </c>
      <c r="Z1685" s="16">
        <v>81.78</v>
      </c>
      <c r="AA1685" s="17">
        <v>545.20000000000005</v>
      </c>
      <c r="AB1685" s="25" t="s">
        <v>3714</v>
      </c>
    </row>
    <row r="1686" spans="1:28" x14ac:dyDescent="0.45">
      <c r="A1686" s="4" t="s">
        <v>2283</v>
      </c>
      <c r="B1686" s="4" t="s">
        <v>6778</v>
      </c>
      <c r="C1686" s="4" t="s">
        <v>2137</v>
      </c>
      <c r="D1686" s="4" t="s">
        <v>2138</v>
      </c>
      <c r="E1686" s="4" t="s">
        <v>2139</v>
      </c>
      <c r="F1686" s="5">
        <v>23</v>
      </c>
      <c r="G1686" s="5">
        <v>29</v>
      </c>
      <c r="H1686" s="4" t="s">
        <v>1149</v>
      </c>
      <c r="I1686" s="10">
        <v>27</v>
      </c>
      <c r="J1686" s="34">
        <f t="shared" si="104"/>
        <v>0.2349</v>
      </c>
      <c r="K1686" s="34">
        <f t="shared" si="105"/>
        <v>0.35</v>
      </c>
      <c r="L1686" s="34">
        <f t="shared" si="106"/>
        <v>1.4</v>
      </c>
      <c r="M1686" s="11" t="s">
        <v>4736</v>
      </c>
      <c r="N1686" s="11" t="s">
        <v>4597</v>
      </c>
      <c r="O1686" s="11" t="s">
        <v>3892</v>
      </c>
      <c r="P1686" s="11" t="s">
        <v>4598</v>
      </c>
      <c r="Q1686" s="12">
        <v>23</v>
      </c>
      <c r="R1686" s="12">
        <v>29</v>
      </c>
      <c r="S1686" s="12">
        <v>3</v>
      </c>
      <c r="T1686" s="13">
        <v>0.92</v>
      </c>
      <c r="U1686" s="13">
        <f t="shared" si="107"/>
        <v>-0.47999999999999987</v>
      </c>
      <c r="V1686" s="14">
        <v>112.7</v>
      </c>
      <c r="W1686" s="14">
        <v>112.7</v>
      </c>
      <c r="X1686" s="11">
        <v>25</v>
      </c>
      <c r="Y1686" s="15" t="s">
        <v>3713</v>
      </c>
      <c r="Z1686" s="16">
        <v>85.7</v>
      </c>
      <c r="AA1686" s="17">
        <v>317.39999999999998</v>
      </c>
      <c r="AB1686" s="18" t="s">
        <v>3714</v>
      </c>
    </row>
    <row r="1687" spans="1:28" x14ac:dyDescent="0.45">
      <c r="A1687" s="2" t="s">
        <v>2284</v>
      </c>
      <c r="B1687" s="2" t="s">
        <v>6779</v>
      </c>
      <c r="C1687" s="2" t="s">
        <v>2137</v>
      </c>
      <c r="D1687" s="2" t="s">
        <v>2138</v>
      </c>
      <c r="E1687" s="2" t="s">
        <v>2139</v>
      </c>
      <c r="F1687" s="3">
        <v>24.4</v>
      </c>
      <c r="G1687" s="3">
        <v>30.6</v>
      </c>
      <c r="H1687" s="2" t="s">
        <v>1221</v>
      </c>
      <c r="I1687" s="19">
        <v>29</v>
      </c>
      <c r="J1687" s="34">
        <f t="shared" si="104"/>
        <v>0.25229999999999997</v>
      </c>
      <c r="K1687" s="34">
        <f t="shared" si="105"/>
        <v>0.38</v>
      </c>
      <c r="L1687" s="34">
        <f t="shared" si="106"/>
        <v>1.52</v>
      </c>
      <c r="M1687" s="20" t="s">
        <v>4737</v>
      </c>
      <c r="N1687" s="20" t="s">
        <v>4597</v>
      </c>
      <c r="O1687" s="20" t="s">
        <v>3892</v>
      </c>
      <c r="P1687" s="20" t="s">
        <v>4598</v>
      </c>
      <c r="Q1687" s="21">
        <v>24.5</v>
      </c>
      <c r="R1687" s="21">
        <v>30.5</v>
      </c>
      <c r="S1687" s="21">
        <v>3</v>
      </c>
      <c r="T1687" s="22">
        <v>1.26</v>
      </c>
      <c r="U1687" s="13">
        <f t="shared" si="107"/>
        <v>-0.26</v>
      </c>
      <c r="V1687" s="23">
        <v>154.35</v>
      </c>
      <c r="W1687" s="23">
        <v>154.35</v>
      </c>
      <c r="X1687" s="20">
        <v>198</v>
      </c>
      <c r="Y1687" s="24" t="s">
        <v>3713</v>
      </c>
      <c r="Z1687" s="16">
        <v>125.35</v>
      </c>
      <c r="AA1687" s="17">
        <v>432.2</v>
      </c>
      <c r="AB1687" s="25" t="s">
        <v>4119</v>
      </c>
    </row>
    <row r="1688" spans="1:28" x14ac:dyDescent="0.45">
      <c r="A1688" s="4" t="s">
        <v>2285</v>
      </c>
      <c r="B1688" s="4" t="s">
        <v>6780</v>
      </c>
      <c r="C1688" s="4" t="s">
        <v>2137</v>
      </c>
      <c r="D1688" s="4" t="s">
        <v>2138</v>
      </c>
      <c r="E1688" s="4" t="s">
        <v>2139</v>
      </c>
      <c r="F1688" s="5">
        <v>24.99</v>
      </c>
      <c r="G1688" s="5">
        <v>32.049999999999997</v>
      </c>
      <c r="H1688" s="4" t="s">
        <v>1156</v>
      </c>
      <c r="I1688" s="10">
        <v>29</v>
      </c>
      <c r="J1688" s="34">
        <f t="shared" si="104"/>
        <v>0.25229999999999997</v>
      </c>
      <c r="K1688" s="34">
        <f t="shared" si="105"/>
        <v>0.38</v>
      </c>
      <c r="L1688" s="34">
        <f t="shared" si="106"/>
        <v>1.52</v>
      </c>
      <c r="M1688" s="11" t="s">
        <v>4738</v>
      </c>
      <c r="N1688" s="11" t="s">
        <v>4597</v>
      </c>
      <c r="O1688" s="11" t="s">
        <v>3892</v>
      </c>
      <c r="P1688" s="11" t="s">
        <v>4598</v>
      </c>
      <c r="Q1688" s="12">
        <v>25</v>
      </c>
      <c r="R1688" s="12">
        <v>32</v>
      </c>
      <c r="S1688" s="12">
        <v>3.5</v>
      </c>
      <c r="T1688" s="13">
        <v>1.52</v>
      </c>
      <c r="U1688" s="13">
        <f t="shared" si="107"/>
        <v>0</v>
      </c>
      <c r="V1688" s="14">
        <v>186.2</v>
      </c>
      <c r="W1688" s="14">
        <v>186.2</v>
      </c>
      <c r="X1688" s="11">
        <v>2575</v>
      </c>
      <c r="Y1688" s="15" t="s">
        <v>3713</v>
      </c>
      <c r="Z1688" s="16">
        <v>157.19999999999999</v>
      </c>
      <c r="AA1688" s="17">
        <v>542.1</v>
      </c>
      <c r="AB1688" s="18" t="s">
        <v>3991</v>
      </c>
    </row>
    <row r="1689" spans="1:28" x14ac:dyDescent="0.45">
      <c r="A1689" s="2" t="s">
        <v>2286</v>
      </c>
      <c r="B1689" s="2" t="s">
        <v>6781</v>
      </c>
      <c r="C1689" s="2" t="s">
        <v>2137</v>
      </c>
      <c r="D1689" s="2" t="s">
        <v>2138</v>
      </c>
      <c r="E1689" s="2" t="s">
        <v>2139</v>
      </c>
      <c r="F1689" s="3">
        <v>24</v>
      </c>
      <c r="G1689" s="3">
        <v>27</v>
      </c>
      <c r="H1689" s="2" t="s">
        <v>1120</v>
      </c>
      <c r="I1689" s="19">
        <v>12</v>
      </c>
      <c r="J1689" s="34">
        <f t="shared" si="104"/>
        <v>0.10439999999999999</v>
      </c>
      <c r="K1689" s="34">
        <f t="shared" si="105"/>
        <v>0.16</v>
      </c>
      <c r="L1689" s="34">
        <f t="shared" si="106"/>
        <v>0.64</v>
      </c>
      <c r="M1689" s="20" t="s">
        <v>4739</v>
      </c>
      <c r="N1689" s="20" t="s">
        <v>4597</v>
      </c>
      <c r="O1689" s="20" t="s">
        <v>3892</v>
      </c>
      <c r="P1689" s="20" t="s">
        <v>4598</v>
      </c>
      <c r="Q1689" s="21">
        <v>24</v>
      </c>
      <c r="R1689" s="21">
        <v>27</v>
      </c>
      <c r="S1689" s="21">
        <v>1.5</v>
      </c>
      <c r="T1689" s="22">
        <v>0.51</v>
      </c>
      <c r="U1689" s="13">
        <f t="shared" si="107"/>
        <v>-0.13</v>
      </c>
      <c r="V1689" s="23">
        <v>62.48</v>
      </c>
      <c r="W1689" s="23">
        <v>62.48</v>
      </c>
      <c r="X1689" s="20">
        <v>174</v>
      </c>
      <c r="Y1689" s="24" t="s">
        <v>3713</v>
      </c>
      <c r="Z1689" s="16">
        <v>50.48</v>
      </c>
      <c r="AA1689" s="17">
        <v>420.7</v>
      </c>
      <c r="AB1689" s="25" t="s">
        <v>3714</v>
      </c>
    </row>
    <row r="1690" spans="1:28" x14ac:dyDescent="0.45">
      <c r="A1690" s="4" t="s">
        <v>2287</v>
      </c>
      <c r="B1690" s="4" t="s">
        <v>6782</v>
      </c>
      <c r="C1690" s="4" t="s">
        <v>2137</v>
      </c>
      <c r="D1690" s="4" t="s">
        <v>2138</v>
      </c>
      <c r="E1690" s="4" t="s">
        <v>2139</v>
      </c>
      <c r="F1690" s="5">
        <v>24</v>
      </c>
      <c r="G1690" s="5">
        <v>28</v>
      </c>
      <c r="H1690" s="4" t="s">
        <v>1122</v>
      </c>
      <c r="I1690" s="10">
        <v>13</v>
      </c>
      <c r="J1690" s="34">
        <f t="shared" si="104"/>
        <v>0.11309999999999999</v>
      </c>
      <c r="K1690" s="34">
        <f t="shared" si="105"/>
        <v>0.17</v>
      </c>
      <c r="L1690" s="34">
        <f t="shared" si="106"/>
        <v>0.68</v>
      </c>
      <c r="M1690" s="11" t="s">
        <v>4740</v>
      </c>
      <c r="N1690" s="11" t="s">
        <v>4597</v>
      </c>
      <c r="O1690" s="11" t="s">
        <v>3892</v>
      </c>
      <c r="P1690" s="11" t="s">
        <v>4598</v>
      </c>
      <c r="Q1690" s="12">
        <v>24</v>
      </c>
      <c r="R1690" s="12">
        <v>28</v>
      </c>
      <c r="S1690" s="12">
        <v>2</v>
      </c>
      <c r="T1690" s="13">
        <v>0.37</v>
      </c>
      <c r="U1690" s="13">
        <f t="shared" si="107"/>
        <v>-0.31000000000000005</v>
      </c>
      <c r="V1690" s="14">
        <v>45.32</v>
      </c>
      <c r="W1690" s="14">
        <v>45.32</v>
      </c>
      <c r="X1690" s="11">
        <v>114</v>
      </c>
      <c r="Y1690" s="15" t="s">
        <v>3713</v>
      </c>
      <c r="Z1690" s="16">
        <v>32.32</v>
      </c>
      <c r="AA1690" s="17">
        <v>248.6</v>
      </c>
      <c r="AB1690" s="18" t="s">
        <v>3714</v>
      </c>
    </row>
    <row r="1691" spans="1:28" x14ac:dyDescent="0.45">
      <c r="A1691" s="2" t="s">
        <v>2288</v>
      </c>
      <c r="B1691" s="2" t="s">
        <v>6783</v>
      </c>
      <c r="C1691" s="2" t="s">
        <v>2137</v>
      </c>
      <c r="D1691" s="2" t="s">
        <v>2138</v>
      </c>
      <c r="E1691" s="2" t="s">
        <v>2139</v>
      </c>
      <c r="F1691" s="3">
        <v>24</v>
      </c>
      <c r="G1691" s="3">
        <v>29</v>
      </c>
      <c r="H1691" s="2" t="s">
        <v>1135</v>
      </c>
      <c r="I1691" s="19">
        <v>15</v>
      </c>
      <c r="J1691" s="34">
        <f t="shared" si="104"/>
        <v>0.1305</v>
      </c>
      <c r="K1691" s="34">
        <f t="shared" si="105"/>
        <v>0.2</v>
      </c>
      <c r="L1691" s="34">
        <f t="shared" si="106"/>
        <v>0.8</v>
      </c>
      <c r="M1691" s="20" t="s">
        <v>4741</v>
      </c>
      <c r="N1691" s="20" t="s">
        <v>4597</v>
      </c>
      <c r="O1691" s="20" t="s">
        <v>3892</v>
      </c>
      <c r="P1691" s="20" t="s">
        <v>4598</v>
      </c>
      <c r="Q1691" s="21">
        <v>24</v>
      </c>
      <c r="R1691" s="21">
        <v>29</v>
      </c>
      <c r="S1691" s="21">
        <v>2.5</v>
      </c>
      <c r="T1691" s="22">
        <v>0.8</v>
      </c>
      <c r="U1691" s="13">
        <f t="shared" si="107"/>
        <v>0</v>
      </c>
      <c r="V1691" s="23">
        <v>98</v>
      </c>
      <c r="W1691" s="23">
        <v>98</v>
      </c>
      <c r="X1691" s="20">
        <v>451</v>
      </c>
      <c r="Y1691" s="24" t="s">
        <v>3713</v>
      </c>
      <c r="Z1691" s="16">
        <v>83</v>
      </c>
      <c r="AA1691" s="17">
        <v>553.29999999999995</v>
      </c>
      <c r="AB1691" s="25" t="s">
        <v>3714</v>
      </c>
    </row>
    <row r="1692" spans="1:28" x14ac:dyDescent="0.45">
      <c r="A1692" s="4" t="s">
        <v>2289</v>
      </c>
      <c r="B1692" s="4" t="s">
        <v>6784</v>
      </c>
      <c r="C1692" s="4" t="s">
        <v>2137</v>
      </c>
      <c r="D1692" s="4" t="s">
        <v>2138</v>
      </c>
      <c r="E1692" s="4" t="s">
        <v>2139</v>
      </c>
      <c r="F1692" s="5">
        <v>24</v>
      </c>
      <c r="G1692" s="5">
        <v>30</v>
      </c>
      <c r="H1692" s="4" t="s">
        <v>1149</v>
      </c>
      <c r="I1692" s="10">
        <v>29</v>
      </c>
      <c r="J1692" s="34">
        <f t="shared" si="104"/>
        <v>0.25229999999999997</v>
      </c>
      <c r="K1692" s="34">
        <f t="shared" si="105"/>
        <v>0.38</v>
      </c>
      <c r="L1692" s="34">
        <f t="shared" si="106"/>
        <v>1.52</v>
      </c>
      <c r="M1692" s="11" t="s">
        <v>4742</v>
      </c>
      <c r="N1692" s="11" t="s">
        <v>4597</v>
      </c>
      <c r="O1692" s="11" t="s">
        <v>3892</v>
      </c>
      <c r="P1692" s="11" t="s">
        <v>4598</v>
      </c>
      <c r="Q1692" s="12">
        <v>24</v>
      </c>
      <c r="R1692" s="12">
        <v>30</v>
      </c>
      <c r="S1692" s="12">
        <v>3</v>
      </c>
      <c r="T1692" s="13">
        <v>1.08</v>
      </c>
      <c r="U1692" s="13">
        <f t="shared" si="107"/>
        <v>-0.43999999999999995</v>
      </c>
      <c r="V1692" s="14">
        <v>132.30000000000001</v>
      </c>
      <c r="W1692" s="14">
        <v>132.30000000000001</v>
      </c>
      <c r="X1692" s="11">
        <v>1233</v>
      </c>
      <c r="Y1692" s="15" t="s">
        <v>3713</v>
      </c>
      <c r="Z1692" s="16">
        <v>103.3</v>
      </c>
      <c r="AA1692" s="17">
        <v>356.2</v>
      </c>
      <c r="AB1692" s="18" t="s">
        <v>3714</v>
      </c>
    </row>
    <row r="1693" spans="1:28" x14ac:dyDescent="0.45">
      <c r="A1693" s="2" t="s">
        <v>2290</v>
      </c>
      <c r="B1693" s="2" t="s">
        <v>6785</v>
      </c>
      <c r="C1693" s="2" t="s">
        <v>2137</v>
      </c>
      <c r="D1693" s="2" t="s">
        <v>2138</v>
      </c>
      <c r="E1693" s="2" t="s">
        <v>2139</v>
      </c>
      <c r="F1693" s="3">
        <v>25.07</v>
      </c>
      <c r="G1693" s="3">
        <v>30.31</v>
      </c>
      <c r="H1693" s="2" t="s">
        <v>1127</v>
      </c>
      <c r="I1693" s="19">
        <v>17</v>
      </c>
      <c r="J1693" s="34">
        <f t="shared" si="104"/>
        <v>0.14789999999999998</v>
      </c>
      <c r="K1693" s="34">
        <f t="shared" si="105"/>
        <v>0.22</v>
      </c>
      <c r="L1693" s="34">
        <f t="shared" si="106"/>
        <v>0.88</v>
      </c>
      <c r="M1693" s="20" t="s">
        <v>4743</v>
      </c>
      <c r="N1693" s="20" t="s">
        <v>4597</v>
      </c>
      <c r="O1693" s="20" t="s">
        <v>3892</v>
      </c>
      <c r="P1693" s="20" t="s">
        <v>4598</v>
      </c>
      <c r="Q1693" s="21">
        <v>25</v>
      </c>
      <c r="R1693" s="21">
        <v>30</v>
      </c>
      <c r="S1693" s="21">
        <v>2.5</v>
      </c>
      <c r="T1693" s="22">
        <v>0.82</v>
      </c>
      <c r="U1693" s="13">
        <f t="shared" si="107"/>
        <v>-6.0000000000000053E-2</v>
      </c>
      <c r="V1693" s="23">
        <v>100.45</v>
      </c>
      <c r="W1693" s="23">
        <v>100.45</v>
      </c>
      <c r="X1693" s="20">
        <v>2231</v>
      </c>
      <c r="Y1693" s="24" t="s">
        <v>3713</v>
      </c>
      <c r="Z1693" s="16">
        <v>83.45</v>
      </c>
      <c r="AA1693" s="17">
        <v>490.9</v>
      </c>
      <c r="AB1693" s="25" t="s">
        <v>3994</v>
      </c>
    </row>
    <row r="1694" spans="1:28" x14ac:dyDescent="0.45">
      <c r="A1694" s="4" t="s">
        <v>2291</v>
      </c>
      <c r="B1694" s="4" t="s">
        <v>6786</v>
      </c>
      <c r="C1694" s="4" t="s">
        <v>2137</v>
      </c>
      <c r="D1694" s="4" t="s">
        <v>2138</v>
      </c>
      <c r="E1694" s="4" t="s">
        <v>2139</v>
      </c>
      <c r="F1694" s="5">
        <v>25.12</v>
      </c>
      <c r="G1694" s="5">
        <v>28.68</v>
      </c>
      <c r="H1694" s="4" t="s">
        <v>1114</v>
      </c>
      <c r="I1694" s="10">
        <v>12</v>
      </c>
      <c r="J1694" s="34">
        <f t="shared" si="104"/>
        <v>0.10439999999999999</v>
      </c>
      <c r="K1694" s="34">
        <f t="shared" si="105"/>
        <v>0.16</v>
      </c>
      <c r="L1694" s="34">
        <f t="shared" si="106"/>
        <v>0.64</v>
      </c>
      <c r="M1694" s="11" t="s">
        <v>4744</v>
      </c>
      <c r="N1694" s="11" t="s">
        <v>4597</v>
      </c>
      <c r="O1694" s="11" t="s">
        <v>3892</v>
      </c>
      <c r="P1694" s="11" t="s">
        <v>4598</v>
      </c>
      <c r="Q1694" s="12">
        <v>25.146000000000001</v>
      </c>
      <c r="R1694" s="12">
        <v>28.702000000000002</v>
      </c>
      <c r="S1694" s="12">
        <v>1.778</v>
      </c>
      <c r="T1694" s="13">
        <v>0.33</v>
      </c>
      <c r="U1694" s="13">
        <f t="shared" si="107"/>
        <v>-0.31</v>
      </c>
      <c r="V1694" s="14">
        <v>40.43</v>
      </c>
      <c r="W1694" s="14">
        <v>40.43</v>
      </c>
      <c r="X1694" s="11">
        <v>423</v>
      </c>
      <c r="Y1694" s="15" t="s">
        <v>3737</v>
      </c>
      <c r="Z1694" s="16">
        <v>28.43</v>
      </c>
      <c r="AA1694" s="17">
        <v>236.9</v>
      </c>
      <c r="AB1694" s="18" t="s">
        <v>3967</v>
      </c>
    </row>
    <row r="1695" spans="1:28" x14ac:dyDescent="0.45">
      <c r="A1695" s="2" t="s">
        <v>2292</v>
      </c>
      <c r="B1695" s="2" t="s">
        <v>6787</v>
      </c>
      <c r="C1695" s="2" t="s">
        <v>2137</v>
      </c>
      <c r="D1695" s="2" t="s">
        <v>2138</v>
      </c>
      <c r="E1695" s="2" t="s">
        <v>2139</v>
      </c>
      <c r="F1695" s="3">
        <v>25.7</v>
      </c>
      <c r="G1695" s="3">
        <v>32.700000000000003</v>
      </c>
      <c r="H1695" s="2" t="s">
        <v>1187</v>
      </c>
      <c r="I1695" s="19">
        <v>30</v>
      </c>
      <c r="J1695" s="34">
        <f t="shared" si="104"/>
        <v>0.26100000000000001</v>
      </c>
      <c r="K1695" s="34">
        <f t="shared" si="105"/>
        <v>0.39</v>
      </c>
      <c r="L1695" s="34">
        <f t="shared" si="106"/>
        <v>1.56</v>
      </c>
      <c r="M1695" s="20" t="s">
        <v>4745</v>
      </c>
      <c r="N1695" s="20" t="s">
        <v>4597</v>
      </c>
      <c r="O1695" s="20" t="s">
        <v>3892</v>
      </c>
      <c r="P1695" s="20" t="s">
        <v>4598</v>
      </c>
      <c r="Q1695" s="21">
        <v>25</v>
      </c>
      <c r="R1695" s="21">
        <v>33</v>
      </c>
      <c r="S1695" s="21">
        <v>4</v>
      </c>
      <c r="T1695" s="22">
        <v>1.98</v>
      </c>
      <c r="U1695" s="13">
        <f t="shared" si="107"/>
        <v>0.41999999999999993</v>
      </c>
      <c r="V1695" s="23">
        <v>242.55</v>
      </c>
      <c r="W1695" s="23">
        <v>242.55</v>
      </c>
      <c r="X1695" s="20">
        <v>19</v>
      </c>
      <c r="Y1695" s="24" t="s">
        <v>3713</v>
      </c>
      <c r="Z1695" s="16">
        <v>212.55</v>
      </c>
      <c r="AA1695" s="17">
        <v>708.5</v>
      </c>
      <c r="AB1695" s="25" t="s">
        <v>4683</v>
      </c>
    </row>
    <row r="1696" spans="1:28" x14ac:dyDescent="0.45">
      <c r="A1696" s="4" t="s">
        <v>2293</v>
      </c>
      <c r="B1696" s="4" t="s">
        <v>6788</v>
      </c>
      <c r="C1696" s="4" t="s">
        <v>2137</v>
      </c>
      <c r="D1696" s="4" t="s">
        <v>2138</v>
      </c>
      <c r="E1696" s="4" t="s">
        <v>2139</v>
      </c>
      <c r="F1696" s="5">
        <v>25</v>
      </c>
      <c r="G1696" s="5">
        <v>29</v>
      </c>
      <c r="H1696" s="4" t="s">
        <v>1122</v>
      </c>
      <c r="I1696" s="10">
        <v>13</v>
      </c>
      <c r="J1696" s="34">
        <f t="shared" si="104"/>
        <v>0.11309999999999999</v>
      </c>
      <c r="K1696" s="34">
        <f t="shared" si="105"/>
        <v>0.17</v>
      </c>
      <c r="L1696" s="34">
        <f t="shared" si="106"/>
        <v>0.68</v>
      </c>
      <c r="M1696" s="11" t="s">
        <v>4746</v>
      </c>
      <c r="N1696" s="11" t="s">
        <v>4597</v>
      </c>
      <c r="O1696" s="11" t="s">
        <v>3892</v>
      </c>
      <c r="P1696" s="11" t="s">
        <v>4598</v>
      </c>
      <c r="Q1696" s="12">
        <v>25</v>
      </c>
      <c r="R1696" s="12">
        <v>29</v>
      </c>
      <c r="S1696" s="12">
        <v>2</v>
      </c>
      <c r="T1696" s="13">
        <v>0.43</v>
      </c>
      <c r="U1696" s="13">
        <f t="shared" si="107"/>
        <v>-0.25000000000000006</v>
      </c>
      <c r="V1696" s="14">
        <v>52.68</v>
      </c>
      <c r="W1696" s="14">
        <v>52.68</v>
      </c>
      <c r="X1696" s="11">
        <v>7574</v>
      </c>
      <c r="Y1696" s="15" t="s">
        <v>3713</v>
      </c>
      <c r="Z1696" s="16">
        <v>39.68</v>
      </c>
      <c r="AA1696" s="17">
        <v>305.2</v>
      </c>
      <c r="AB1696" s="18" t="s">
        <v>3714</v>
      </c>
    </row>
    <row r="1697" spans="1:28" x14ac:dyDescent="0.45">
      <c r="A1697" s="2" t="s">
        <v>2294</v>
      </c>
      <c r="B1697" s="2" t="s">
        <v>6789</v>
      </c>
      <c r="C1697" s="2" t="s">
        <v>2137</v>
      </c>
      <c r="D1697" s="2" t="s">
        <v>2138</v>
      </c>
      <c r="E1697" s="2" t="s">
        <v>2139</v>
      </c>
      <c r="F1697" s="3">
        <v>25</v>
      </c>
      <c r="G1697" s="3">
        <v>30</v>
      </c>
      <c r="H1697" s="2" t="s">
        <v>1135</v>
      </c>
      <c r="I1697" s="19">
        <v>15</v>
      </c>
      <c r="J1697" s="34">
        <f t="shared" si="104"/>
        <v>0.1305</v>
      </c>
      <c r="K1697" s="34">
        <f t="shared" si="105"/>
        <v>0.2</v>
      </c>
      <c r="L1697" s="34">
        <f t="shared" si="106"/>
        <v>0.8</v>
      </c>
      <c r="M1697" s="20" t="s">
        <v>4743</v>
      </c>
      <c r="N1697" s="20" t="s">
        <v>4597</v>
      </c>
      <c r="O1697" s="20" t="s">
        <v>3892</v>
      </c>
      <c r="P1697" s="20" t="s">
        <v>4598</v>
      </c>
      <c r="Q1697" s="21">
        <v>25</v>
      </c>
      <c r="R1697" s="21">
        <v>30</v>
      </c>
      <c r="S1697" s="21">
        <v>2.5</v>
      </c>
      <c r="T1697" s="22">
        <v>0.82</v>
      </c>
      <c r="U1697" s="13">
        <f t="shared" si="107"/>
        <v>1.9999999999999907E-2</v>
      </c>
      <c r="V1697" s="23">
        <v>100.45</v>
      </c>
      <c r="W1697" s="23">
        <v>100.45</v>
      </c>
      <c r="X1697" s="20">
        <v>2231</v>
      </c>
      <c r="Y1697" s="24" t="s">
        <v>3713</v>
      </c>
      <c r="Z1697" s="16">
        <v>85.45</v>
      </c>
      <c r="AA1697" s="17">
        <v>569.70000000000005</v>
      </c>
      <c r="AB1697" s="25" t="s">
        <v>3714</v>
      </c>
    </row>
    <row r="1698" spans="1:28" x14ac:dyDescent="0.45">
      <c r="A1698" s="4" t="s">
        <v>2295</v>
      </c>
      <c r="B1698" s="4" t="s">
        <v>6790</v>
      </c>
      <c r="C1698" s="4" t="s">
        <v>2137</v>
      </c>
      <c r="D1698" s="4" t="s">
        <v>2138</v>
      </c>
      <c r="E1698" s="4" t="s">
        <v>2139</v>
      </c>
      <c r="F1698" s="5">
        <v>25</v>
      </c>
      <c r="G1698" s="5">
        <v>31</v>
      </c>
      <c r="H1698" s="4" t="s">
        <v>1149</v>
      </c>
      <c r="I1698" s="10">
        <v>29</v>
      </c>
      <c r="J1698" s="34">
        <f t="shared" si="104"/>
        <v>0.25229999999999997</v>
      </c>
      <c r="K1698" s="34">
        <f t="shared" si="105"/>
        <v>0.38</v>
      </c>
      <c r="L1698" s="34">
        <f t="shared" si="106"/>
        <v>1.52</v>
      </c>
      <c r="M1698" s="11" t="s">
        <v>4747</v>
      </c>
      <c r="N1698" s="11" t="s">
        <v>4597</v>
      </c>
      <c r="O1698" s="11" t="s">
        <v>3892</v>
      </c>
      <c r="P1698" s="11" t="s">
        <v>4598</v>
      </c>
      <c r="Q1698" s="12">
        <v>25</v>
      </c>
      <c r="R1698" s="12">
        <v>31</v>
      </c>
      <c r="S1698" s="12">
        <v>3</v>
      </c>
      <c r="T1698" s="13">
        <v>0.92</v>
      </c>
      <c r="U1698" s="13">
        <f t="shared" si="107"/>
        <v>-0.6</v>
      </c>
      <c r="V1698" s="14">
        <v>112.7</v>
      </c>
      <c r="W1698" s="14">
        <v>112.7</v>
      </c>
      <c r="X1698" s="11">
        <v>264</v>
      </c>
      <c r="Y1698" s="15" t="s">
        <v>3713</v>
      </c>
      <c r="Z1698" s="16">
        <v>83.7</v>
      </c>
      <c r="AA1698" s="17">
        <v>288.60000000000002</v>
      </c>
      <c r="AB1698" s="18" t="s">
        <v>3714</v>
      </c>
    </row>
    <row r="1699" spans="1:28" x14ac:dyDescent="0.45">
      <c r="A1699" s="2" t="s">
        <v>2296</v>
      </c>
      <c r="B1699" s="2" t="s">
        <v>6791</v>
      </c>
      <c r="C1699" s="2" t="s">
        <v>2137</v>
      </c>
      <c r="D1699" s="2" t="s">
        <v>2138</v>
      </c>
      <c r="E1699" s="2" t="s">
        <v>2139</v>
      </c>
      <c r="F1699" s="3">
        <v>25</v>
      </c>
      <c r="G1699" s="3">
        <v>35</v>
      </c>
      <c r="H1699" s="2" t="s">
        <v>1245</v>
      </c>
      <c r="I1699" s="19">
        <v>57</v>
      </c>
      <c r="J1699" s="34">
        <f t="shared" si="104"/>
        <v>0.49589999999999995</v>
      </c>
      <c r="K1699" s="34">
        <f t="shared" si="105"/>
        <v>0.74</v>
      </c>
      <c r="L1699" s="34">
        <f t="shared" si="106"/>
        <v>2.96</v>
      </c>
      <c r="M1699" s="20" t="s">
        <v>4748</v>
      </c>
      <c r="N1699" s="20" t="s">
        <v>4597</v>
      </c>
      <c r="O1699" s="20" t="s">
        <v>3892</v>
      </c>
      <c r="P1699" s="20" t="s">
        <v>4598</v>
      </c>
      <c r="Q1699" s="21">
        <v>25</v>
      </c>
      <c r="R1699" s="21">
        <v>35</v>
      </c>
      <c r="S1699" s="21">
        <v>5</v>
      </c>
      <c r="T1699" s="22">
        <v>1.37</v>
      </c>
      <c r="U1699" s="13">
        <f t="shared" si="107"/>
        <v>-1.5899999999999999</v>
      </c>
      <c r="V1699" s="23">
        <v>167.82</v>
      </c>
      <c r="W1699" s="23">
        <v>167.82</v>
      </c>
      <c r="X1699" s="20">
        <v>36</v>
      </c>
      <c r="Y1699" s="24" t="s">
        <v>3713</v>
      </c>
      <c r="Z1699" s="16">
        <v>110.82</v>
      </c>
      <c r="AA1699" s="17">
        <v>194.4</v>
      </c>
      <c r="AB1699" s="25" t="s">
        <v>3714</v>
      </c>
    </row>
    <row r="1700" spans="1:28" x14ac:dyDescent="0.45">
      <c r="A1700" s="4" t="s">
        <v>2297</v>
      </c>
      <c r="B1700" s="4" t="s">
        <v>6792</v>
      </c>
      <c r="C1700" s="4" t="s">
        <v>2137</v>
      </c>
      <c r="D1700" s="4" t="s">
        <v>2138</v>
      </c>
      <c r="E1700" s="4" t="s">
        <v>2139</v>
      </c>
      <c r="F1700" s="5">
        <v>26.2</v>
      </c>
      <c r="G1700" s="5">
        <v>31</v>
      </c>
      <c r="H1700" s="4" t="s">
        <v>1140</v>
      </c>
      <c r="I1700" s="10">
        <v>17</v>
      </c>
      <c r="J1700" s="34">
        <f t="shared" si="104"/>
        <v>0.14789999999999998</v>
      </c>
      <c r="K1700" s="34">
        <f t="shared" si="105"/>
        <v>0.22</v>
      </c>
      <c r="L1700" s="34">
        <f t="shared" si="106"/>
        <v>0.88</v>
      </c>
      <c r="M1700" s="11" t="s">
        <v>4749</v>
      </c>
      <c r="N1700" s="11" t="s">
        <v>4597</v>
      </c>
      <c r="O1700" s="11" t="s">
        <v>3892</v>
      </c>
      <c r="P1700" s="11" t="s">
        <v>4598</v>
      </c>
      <c r="Q1700" s="12">
        <v>26</v>
      </c>
      <c r="R1700" s="12">
        <v>31</v>
      </c>
      <c r="S1700" s="12">
        <v>2.5</v>
      </c>
      <c r="T1700" s="13">
        <v>1.41</v>
      </c>
      <c r="U1700" s="13">
        <f t="shared" si="107"/>
        <v>0.52999999999999992</v>
      </c>
      <c r="V1700" s="14">
        <v>172.72</v>
      </c>
      <c r="W1700" s="14">
        <v>172.72</v>
      </c>
      <c r="X1700" s="11" t="s">
        <v>3722</v>
      </c>
      <c r="Y1700" s="15" t="s">
        <v>3713</v>
      </c>
      <c r="Z1700" s="16">
        <v>155.72</v>
      </c>
      <c r="AA1700" s="17">
        <v>916</v>
      </c>
      <c r="AB1700" s="18" t="s">
        <v>4377</v>
      </c>
    </row>
    <row r="1701" spans="1:28" x14ac:dyDescent="0.45">
      <c r="A1701" s="2" t="s">
        <v>2298</v>
      </c>
      <c r="B1701" s="2" t="s">
        <v>6793</v>
      </c>
      <c r="C1701" s="2" t="s">
        <v>2137</v>
      </c>
      <c r="D1701" s="2" t="s">
        <v>2138</v>
      </c>
      <c r="E1701" s="2" t="s">
        <v>2139</v>
      </c>
      <c r="F1701" s="3">
        <v>26.57</v>
      </c>
      <c r="G1701" s="3">
        <v>33.630000000000003</v>
      </c>
      <c r="H1701" s="2" t="s">
        <v>1156</v>
      </c>
      <c r="I1701" s="19">
        <v>30</v>
      </c>
      <c r="J1701" s="34">
        <f t="shared" si="104"/>
        <v>0.26100000000000001</v>
      </c>
      <c r="K1701" s="34">
        <f t="shared" si="105"/>
        <v>0.39</v>
      </c>
      <c r="L1701" s="34">
        <f t="shared" si="106"/>
        <v>1.56</v>
      </c>
      <c r="M1701" s="20" t="s">
        <v>4750</v>
      </c>
      <c r="N1701" s="20" t="s">
        <v>4597</v>
      </c>
      <c r="O1701" s="20" t="s">
        <v>3892</v>
      </c>
      <c r="P1701" s="20" t="s">
        <v>4598</v>
      </c>
      <c r="Q1701" s="21">
        <v>26.67</v>
      </c>
      <c r="R1701" s="21">
        <v>33.527999999999999</v>
      </c>
      <c r="S1701" s="21">
        <v>3.556</v>
      </c>
      <c r="T1701" s="22">
        <v>1.07</v>
      </c>
      <c r="U1701" s="13">
        <f t="shared" si="107"/>
        <v>-0.49</v>
      </c>
      <c r="V1701" s="23">
        <v>131.08000000000001</v>
      </c>
      <c r="W1701" s="23">
        <v>131.08000000000001</v>
      </c>
      <c r="X1701" s="20">
        <v>161</v>
      </c>
      <c r="Y1701" s="24" t="s">
        <v>3737</v>
      </c>
      <c r="Z1701" s="16">
        <v>101.08</v>
      </c>
      <c r="AA1701" s="17">
        <v>336.9</v>
      </c>
      <c r="AB1701" s="25" t="s">
        <v>3999</v>
      </c>
    </row>
    <row r="1702" spans="1:28" x14ac:dyDescent="0.45">
      <c r="A1702" s="4" t="s">
        <v>2299</v>
      </c>
      <c r="B1702" s="4" t="s">
        <v>6794</v>
      </c>
      <c r="C1702" s="4" t="s">
        <v>2137</v>
      </c>
      <c r="D1702" s="4" t="s">
        <v>2138</v>
      </c>
      <c r="E1702" s="4" t="s">
        <v>2139</v>
      </c>
      <c r="F1702" s="5">
        <v>26.64</v>
      </c>
      <c r="G1702" s="5">
        <v>31.88</v>
      </c>
      <c r="H1702" s="4" t="s">
        <v>1127</v>
      </c>
      <c r="I1702" s="10">
        <v>17</v>
      </c>
      <c r="J1702" s="34">
        <f t="shared" si="104"/>
        <v>0.14789999999999998</v>
      </c>
      <c r="K1702" s="34">
        <f t="shared" si="105"/>
        <v>0.22</v>
      </c>
      <c r="L1702" s="34">
        <f t="shared" si="106"/>
        <v>0.88</v>
      </c>
      <c r="M1702" s="11" t="s">
        <v>4751</v>
      </c>
      <c r="N1702" s="11" t="s">
        <v>4597</v>
      </c>
      <c r="O1702" s="11" t="s">
        <v>3892</v>
      </c>
      <c r="P1702" s="11" t="s">
        <v>4598</v>
      </c>
      <c r="Q1702" s="12">
        <v>26.67</v>
      </c>
      <c r="R1702" s="12">
        <v>31.75</v>
      </c>
      <c r="S1702" s="12">
        <v>2.54</v>
      </c>
      <c r="T1702" s="13">
        <v>0.41</v>
      </c>
      <c r="U1702" s="13">
        <f t="shared" si="107"/>
        <v>-0.47000000000000003</v>
      </c>
      <c r="V1702" s="14">
        <v>50.22</v>
      </c>
      <c r="W1702" s="14">
        <v>50.22</v>
      </c>
      <c r="X1702" s="11">
        <v>459</v>
      </c>
      <c r="Y1702" s="15" t="s">
        <v>3737</v>
      </c>
      <c r="Z1702" s="16">
        <v>33.22</v>
      </c>
      <c r="AA1702" s="17">
        <v>195.4</v>
      </c>
      <c r="AB1702" s="18" t="s">
        <v>4001</v>
      </c>
    </row>
    <row r="1703" spans="1:28" x14ac:dyDescent="0.45">
      <c r="A1703" s="2" t="s">
        <v>2300</v>
      </c>
      <c r="B1703" s="2" t="s">
        <v>6795</v>
      </c>
      <c r="C1703" s="2" t="s">
        <v>2137</v>
      </c>
      <c r="D1703" s="2" t="s">
        <v>2138</v>
      </c>
      <c r="E1703" s="2" t="s">
        <v>2139</v>
      </c>
      <c r="F1703" s="3">
        <v>26.7</v>
      </c>
      <c r="G1703" s="3">
        <v>30.26</v>
      </c>
      <c r="H1703" s="2" t="s">
        <v>1114</v>
      </c>
      <c r="I1703" s="19">
        <v>13</v>
      </c>
      <c r="J1703" s="34">
        <f t="shared" si="104"/>
        <v>0.11309999999999999</v>
      </c>
      <c r="K1703" s="34">
        <f t="shared" si="105"/>
        <v>0.17</v>
      </c>
      <c r="L1703" s="34">
        <f t="shared" si="106"/>
        <v>0.68</v>
      </c>
      <c r="M1703" s="20" t="s">
        <v>4752</v>
      </c>
      <c r="N1703" s="20" t="s">
        <v>4597</v>
      </c>
      <c r="O1703" s="20" t="s">
        <v>3892</v>
      </c>
      <c r="P1703" s="20" t="s">
        <v>4598</v>
      </c>
      <c r="Q1703" s="21">
        <v>26.67</v>
      </c>
      <c r="R1703" s="21">
        <v>30.225999999999999</v>
      </c>
      <c r="S1703" s="21">
        <v>1.778</v>
      </c>
      <c r="T1703" s="22">
        <v>0.28999999999999998</v>
      </c>
      <c r="U1703" s="13">
        <f t="shared" si="107"/>
        <v>-0.39000000000000007</v>
      </c>
      <c r="V1703" s="23">
        <v>35.520000000000003</v>
      </c>
      <c r="W1703" s="23">
        <v>35.520000000000003</v>
      </c>
      <c r="X1703" s="20">
        <v>433</v>
      </c>
      <c r="Y1703" s="24" t="s">
        <v>3737</v>
      </c>
      <c r="Z1703" s="16">
        <v>22.52</v>
      </c>
      <c r="AA1703" s="17">
        <v>173.2</v>
      </c>
      <c r="AB1703" s="25" t="s">
        <v>3973</v>
      </c>
    </row>
    <row r="1704" spans="1:28" x14ac:dyDescent="0.45">
      <c r="A1704" s="4" t="s">
        <v>2301</v>
      </c>
      <c r="B1704" s="4" t="s">
        <v>6796</v>
      </c>
      <c r="C1704" s="4" t="s">
        <v>2137</v>
      </c>
      <c r="D1704" s="4" t="s">
        <v>2138</v>
      </c>
      <c r="E1704" s="4" t="s">
        <v>2139</v>
      </c>
      <c r="F1704" s="5">
        <v>26</v>
      </c>
      <c r="G1704" s="5">
        <v>30</v>
      </c>
      <c r="H1704" s="4" t="s">
        <v>1122</v>
      </c>
      <c r="I1704" s="10">
        <v>15</v>
      </c>
      <c r="J1704" s="34">
        <f t="shared" si="104"/>
        <v>0.1305</v>
      </c>
      <c r="K1704" s="34">
        <f t="shared" si="105"/>
        <v>0.2</v>
      </c>
      <c r="L1704" s="34">
        <f t="shared" si="106"/>
        <v>0.8</v>
      </c>
      <c r="M1704" s="11" t="s">
        <v>4753</v>
      </c>
      <c r="N1704" s="11" t="s">
        <v>4597</v>
      </c>
      <c r="O1704" s="11" t="s">
        <v>3892</v>
      </c>
      <c r="P1704" s="11" t="s">
        <v>4598</v>
      </c>
      <c r="Q1704" s="12">
        <v>25.3</v>
      </c>
      <c r="R1704" s="12">
        <v>30.1</v>
      </c>
      <c r="S1704" s="12">
        <v>2.4</v>
      </c>
      <c r="T1704" s="13">
        <v>0.41</v>
      </c>
      <c r="U1704" s="13">
        <f t="shared" si="107"/>
        <v>-0.39000000000000007</v>
      </c>
      <c r="V1704" s="14">
        <v>50.22</v>
      </c>
      <c r="W1704" s="14">
        <v>50.22</v>
      </c>
      <c r="X1704" s="11">
        <v>43</v>
      </c>
      <c r="Y1704" s="15" t="s">
        <v>3713</v>
      </c>
      <c r="Z1704" s="16">
        <v>35.22</v>
      </c>
      <c r="AA1704" s="17">
        <v>234.8</v>
      </c>
      <c r="AB1704" s="18" t="s">
        <v>4473</v>
      </c>
    </row>
    <row r="1705" spans="1:28" x14ac:dyDescent="0.45">
      <c r="A1705" s="2" t="s">
        <v>2302</v>
      </c>
      <c r="B1705" s="2" t="s">
        <v>6797</v>
      </c>
      <c r="C1705" s="2" t="s">
        <v>2137</v>
      </c>
      <c r="D1705" s="2" t="s">
        <v>2138</v>
      </c>
      <c r="E1705" s="2" t="s">
        <v>2139</v>
      </c>
      <c r="F1705" s="3">
        <v>26</v>
      </c>
      <c r="G1705" s="3">
        <v>32</v>
      </c>
      <c r="H1705" s="2" t="s">
        <v>1149</v>
      </c>
      <c r="I1705" s="19">
        <v>30</v>
      </c>
      <c r="J1705" s="34">
        <f t="shared" si="104"/>
        <v>0.26100000000000001</v>
      </c>
      <c r="K1705" s="34">
        <f t="shared" si="105"/>
        <v>0.39</v>
      </c>
      <c r="L1705" s="34">
        <f t="shared" si="106"/>
        <v>1.56</v>
      </c>
      <c r="M1705" s="20" t="s">
        <v>4754</v>
      </c>
      <c r="N1705" s="20" t="s">
        <v>4597</v>
      </c>
      <c r="O1705" s="20" t="s">
        <v>3892</v>
      </c>
      <c r="P1705" s="20" t="s">
        <v>4598</v>
      </c>
      <c r="Q1705" s="21">
        <v>26</v>
      </c>
      <c r="R1705" s="21">
        <v>32</v>
      </c>
      <c r="S1705" s="21">
        <v>3</v>
      </c>
      <c r="T1705" s="22">
        <v>0.95</v>
      </c>
      <c r="U1705" s="13">
        <f t="shared" si="107"/>
        <v>-0.6100000000000001</v>
      </c>
      <c r="V1705" s="23">
        <v>116.38</v>
      </c>
      <c r="W1705" s="23">
        <v>116.38</v>
      </c>
      <c r="X1705" s="20">
        <v>27</v>
      </c>
      <c r="Y1705" s="24" t="s">
        <v>3713</v>
      </c>
      <c r="Z1705" s="16">
        <v>86.38</v>
      </c>
      <c r="AA1705" s="17">
        <v>287.89999999999998</v>
      </c>
      <c r="AB1705" s="25" t="s">
        <v>3714</v>
      </c>
    </row>
    <row r="1706" spans="1:28" x14ac:dyDescent="0.45">
      <c r="A1706" s="4" t="s">
        <v>2303</v>
      </c>
      <c r="B1706" s="4" t="s">
        <v>6798</v>
      </c>
      <c r="C1706" s="4" t="s">
        <v>2137</v>
      </c>
      <c r="D1706" s="4" t="s">
        <v>2138</v>
      </c>
      <c r="E1706" s="4" t="s">
        <v>2139</v>
      </c>
      <c r="F1706" s="5">
        <v>27.7</v>
      </c>
      <c r="G1706" s="5">
        <v>34.700000000000003</v>
      </c>
      <c r="H1706" s="4" t="s">
        <v>1187</v>
      </c>
      <c r="I1706" s="10">
        <v>32</v>
      </c>
      <c r="J1706" s="34">
        <f t="shared" si="104"/>
        <v>0.27839999999999998</v>
      </c>
      <c r="K1706" s="34">
        <f t="shared" si="105"/>
        <v>0.42</v>
      </c>
      <c r="L1706" s="34">
        <f t="shared" si="106"/>
        <v>1.68</v>
      </c>
      <c r="M1706" s="11" t="s">
        <v>4755</v>
      </c>
      <c r="N1706" s="11" t="s">
        <v>4597</v>
      </c>
      <c r="O1706" s="11" t="s">
        <v>3892</v>
      </c>
      <c r="P1706" s="11" t="s">
        <v>4598</v>
      </c>
      <c r="Q1706" s="12">
        <v>27</v>
      </c>
      <c r="R1706" s="12">
        <v>35</v>
      </c>
      <c r="S1706" s="12">
        <v>4</v>
      </c>
      <c r="T1706" s="13">
        <v>1.82</v>
      </c>
      <c r="U1706" s="13">
        <f t="shared" si="107"/>
        <v>0.14000000000000012</v>
      </c>
      <c r="V1706" s="14">
        <v>222.95</v>
      </c>
      <c r="W1706" s="14">
        <v>222.95</v>
      </c>
      <c r="X1706" s="11">
        <v>1</v>
      </c>
      <c r="Y1706" s="15" t="s">
        <v>3713</v>
      </c>
      <c r="Z1706" s="16">
        <v>190.95</v>
      </c>
      <c r="AA1706" s="17">
        <v>596.70000000000005</v>
      </c>
      <c r="AB1706" s="18" t="s">
        <v>4683</v>
      </c>
    </row>
    <row r="1707" spans="1:28" x14ac:dyDescent="0.45">
      <c r="A1707" s="2" t="s">
        <v>2304</v>
      </c>
      <c r="B1707" s="2" t="s">
        <v>6799</v>
      </c>
      <c r="C1707" s="2" t="s">
        <v>2137</v>
      </c>
      <c r="D1707" s="2" t="s">
        <v>2138</v>
      </c>
      <c r="E1707" s="2" t="s">
        <v>2139</v>
      </c>
      <c r="F1707" s="3">
        <v>27</v>
      </c>
      <c r="G1707" s="3">
        <v>32</v>
      </c>
      <c r="H1707" s="2" t="s">
        <v>1135</v>
      </c>
      <c r="I1707" s="19">
        <v>17</v>
      </c>
      <c r="J1707" s="34">
        <f t="shared" si="104"/>
        <v>0.14789999999999998</v>
      </c>
      <c r="K1707" s="34">
        <f t="shared" si="105"/>
        <v>0.22</v>
      </c>
      <c r="L1707" s="34">
        <f t="shared" si="106"/>
        <v>0.88</v>
      </c>
      <c r="M1707" s="20" t="s">
        <v>4756</v>
      </c>
      <c r="N1707" s="20" t="s">
        <v>4597</v>
      </c>
      <c r="O1707" s="20" t="s">
        <v>3892</v>
      </c>
      <c r="P1707" s="20" t="s">
        <v>4598</v>
      </c>
      <c r="Q1707" s="21">
        <v>27</v>
      </c>
      <c r="R1707" s="21">
        <v>32</v>
      </c>
      <c r="S1707" s="21">
        <v>2.5</v>
      </c>
      <c r="T1707" s="22">
        <v>0.87</v>
      </c>
      <c r="U1707" s="13">
        <f t="shared" si="107"/>
        <v>-1.0000000000000009E-2</v>
      </c>
      <c r="V1707" s="23">
        <v>106.58</v>
      </c>
      <c r="W1707" s="23">
        <v>106.58</v>
      </c>
      <c r="X1707" s="20">
        <v>2732</v>
      </c>
      <c r="Y1707" s="24" t="s">
        <v>3713</v>
      </c>
      <c r="Z1707" s="16">
        <v>89.58</v>
      </c>
      <c r="AA1707" s="17">
        <v>526.9</v>
      </c>
      <c r="AB1707" s="25" t="s">
        <v>3714</v>
      </c>
    </row>
    <row r="1708" spans="1:28" x14ac:dyDescent="0.45">
      <c r="A1708" s="4" t="s">
        <v>2305</v>
      </c>
      <c r="B1708" s="4" t="s">
        <v>6800</v>
      </c>
      <c r="C1708" s="4" t="s">
        <v>2137</v>
      </c>
      <c r="D1708" s="4" t="s">
        <v>2138</v>
      </c>
      <c r="E1708" s="4" t="s">
        <v>2139</v>
      </c>
      <c r="F1708" s="5">
        <v>27</v>
      </c>
      <c r="G1708" s="5">
        <v>33</v>
      </c>
      <c r="H1708" s="4" t="s">
        <v>1149</v>
      </c>
      <c r="I1708" s="10">
        <v>32</v>
      </c>
      <c r="J1708" s="34">
        <f t="shared" si="104"/>
        <v>0.27839999999999998</v>
      </c>
      <c r="K1708" s="34">
        <f t="shared" si="105"/>
        <v>0.42</v>
      </c>
      <c r="L1708" s="34">
        <f t="shared" si="106"/>
        <v>1.68</v>
      </c>
      <c r="M1708" s="11" t="s">
        <v>4757</v>
      </c>
      <c r="N1708" s="11" t="s">
        <v>4597</v>
      </c>
      <c r="O1708" s="11" t="s">
        <v>3892</v>
      </c>
      <c r="P1708" s="11" t="s">
        <v>4598</v>
      </c>
      <c r="Q1708" s="12">
        <v>27</v>
      </c>
      <c r="R1708" s="12">
        <v>33</v>
      </c>
      <c r="S1708" s="12">
        <v>3</v>
      </c>
      <c r="T1708" s="13">
        <v>0.94</v>
      </c>
      <c r="U1708" s="13">
        <f t="shared" si="107"/>
        <v>-0.74</v>
      </c>
      <c r="V1708" s="14">
        <v>115.15</v>
      </c>
      <c r="W1708" s="14">
        <v>115.15</v>
      </c>
      <c r="X1708" s="11">
        <v>1455</v>
      </c>
      <c r="Y1708" s="15" t="s">
        <v>3713</v>
      </c>
      <c r="Z1708" s="16">
        <v>83.15</v>
      </c>
      <c r="AA1708" s="17">
        <v>259.8</v>
      </c>
      <c r="AB1708" s="18" t="s">
        <v>3714</v>
      </c>
    </row>
    <row r="1709" spans="1:28" x14ac:dyDescent="0.45">
      <c r="A1709" s="2" t="s">
        <v>2306</v>
      </c>
      <c r="B1709" s="2" t="s">
        <v>6801</v>
      </c>
      <c r="C1709" s="2" t="s">
        <v>2137</v>
      </c>
      <c r="D1709" s="2" t="s">
        <v>2138</v>
      </c>
      <c r="E1709" s="2" t="s">
        <v>2139</v>
      </c>
      <c r="F1709" s="3">
        <v>28.17</v>
      </c>
      <c r="G1709" s="3">
        <v>35.229999999999997</v>
      </c>
      <c r="H1709" s="2" t="s">
        <v>1156</v>
      </c>
      <c r="I1709" s="19">
        <v>34</v>
      </c>
      <c r="J1709" s="34">
        <f t="shared" si="104"/>
        <v>0.29579999999999995</v>
      </c>
      <c r="K1709" s="34">
        <f t="shared" si="105"/>
        <v>0.44</v>
      </c>
      <c r="L1709" s="34">
        <f t="shared" si="106"/>
        <v>1.76</v>
      </c>
      <c r="M1709" s="20" t="s">
        <v>4758</v>
      </c>
      <c r="N1709" s="20" t="s">
        <v>4597</v>
      </c>
      <c r="O1709" s="20" t="s">
        <v>3892</v>
      </c>
      <c r="P1709" s="20" t="s">
        <v>4598</v>
      </c>
      <c r="Q1709" s="21">
        <v>28.193999999999999</v>
      </c>
      <c r="R1709" s="21">
        <v>35.305999999999997</v>
      </c>
      <c r="S1709" s="21">
        <v>3.556</v>
      </c>
      <c r="T1709" s="22">
        <v>0.82</v>
      </c>
      <c r="U1709" s="13">
        <f t="shared" si="107"/>
        <v>-0.94000000000000006</v>
      </c>
      <c r="V1709" s="23">
        <v>100.45</v>
      </c>
      <c r="W1709" s="23">
        <v>100.45</v>
      </c>
      <c r="X1709" s="20">
        <v>420</v>
      </c>
      <c r="Y1709" s="24" t="s">
        <v>3737</v>
      </c>
      <c r="Z1709" s="16">
        <v>66.45</v>
      </c>
      <c r="AA1709" s="17">
        <v>195.4</v>
      </c>
      <c r="AB1709" s="25" t="s">
        <v>3945</v>
      </c>
    </row>
    <row r="1710" spans="1:28" x14ac:dyDescent="0.45">
      <c r="A1710" s="4" t="s">
        <v>2307</v>
      </c>
      <c r="B1710" s="4" t="s">
        <v>6802</v>
      </c>
      <c r="C1710" s="4" t="s">
        <v>2137</v>
      </c>
      <c r="D1710" s="4" t="s">
        <v>2138</v>
      </c>
      <c r="E1710" s="4" t="s">
        <v>2139</v>
      </c>
      <c r="F1710" s="5">
        <v>28.24</v>
      </c>
      <c r="G1710" s="5">
        <v>33.479999999999997</v>
      </c>
      <c r="H1710" s="4" t="s">
        <v>1127</v>
      </c>
      <c r="I1710" s="10">
        <v>18</v>
      </c>
      <c r="J1710" s="34">
        <f t="shared" si="104"/>
        <v>0.15659999999999999</v>
      </c>
      <c r="K1710" s="34">
        <f t="shared" si="105"/>
        <v>0.23</v>
      </c>
      <c r="L1710" s="34">
        <f t="shared" si="106"/>
        <v>0.92</v>
      </c>
      <c r="M1710" s="11" t="s">
        <v>4759</v>
      </c>
      <c r="N1710" s="11" t="s">
        <v>4597</v>
      </c>
      <c r="O1710" s="11" t="s">
        <v>3892</v>
      </c>
      <c r="P1710" s="11" t="s">
        <v>4598</v>
      </c>
      <c r="Q1710" s="12">
        <v>28.193999999999999</v>
      </c>
      <c r="R1710" s="12">
        <v>33.527999999999999</v>
      </c>
      <c r="S1710" s="12">
        <v>2.54</v>
      </c>
      <c r="T1710" s="13">
        <v>0.53</v>
      </c>
      <c r="U1710" s="13">
        <f t="shared" si="107"/>
        <v>-0.39</v>
      </c>
      <c r="V1710" s="14">
        <v>64.92</v>
      </c>
      <c r="W1710" s="14">
        <v>64.92</v>
      </c>
      <c r="X1710" s="11">
        <v>828</v>
      </c>
      <c r="Y1710" s="15" t="s">
        <v>3737</v>
      </c>
      <c r="Z1710" s="16">
        <v>46.92</v>
      </c>
      <c r="AA1710" s="17">
        <v>260.7</v>
      </c>
      <c r="AB1710" s="18" t="s">
        <v>3920</v>
      </c>
    </row>
    <row r="1711" spans="1:28" x14ac:dyDescent="0.45">
      <c r="A1711" s="2" t="s">
        <v>2308</v>
      </c>
      <c r="B1711" s="2" t="s">
        <v>6803</v>
      </c>
      <c r="C1711" s="2" t="s">
        <v>2137</v>
      </c>
      <c r="D1711" s="2" t="s">
        <v>2138</v>
      </c>
      <c r="E1711" s="2" t="s">
        <v>2139</v>
      </c>
      <c r="F1711" s="3">
        <v>28.3</v>
      </c>
      <c r="G1711" s="3">
        <v>31.86</v>
      </c>
      <c r="H1711" s="2" t="s">
        <v>1114</v>
      </c>
      <c r="I1711" s="19">
        <v>13</v>
      </c>
      <c r="J1711" s="34">
        <f t="shared" si="104"/>
        <v>0.11309999999999999</v>
      </c>
      <c r="K1711" s="34">
        <f t="shared" si="105"/>
        <v>0.17</v>
      </c>
      <c r="L1711" s="34">
        <f t="shared" si="106"/>
        <v>0.68</v>
      </c>
      <c r="M1711" s="20" t="s">
        <v>4760</v>
      </c>
      <c r="N1711" s="20" t="s">
        <v>4597</v>
      </c>
      <c r="O1711" s="20" t="s">
        <v>3892</v>
      </c>
      <c r="P1711" s="20" t="s">
        <v>4598</v>
      </c>
      <c r="Q1711" s="21">
        <v>28</v>
      </c>
      <c r="R1711" s="21">
        <v>32</v>
      </c>
      <c r="S1711" s="21">
        <v>2</v>
      </c>
      <c r="T1711" s="22">
        <v>0.76</v>
      </c>
      <c r="U1711" s="13">
        <f t="shared" si="107"/>
        <v>7.999999999999996E-2</v>
      </c>
      <c r="V1711" s="23">
        <v>93.1</v>
      </c>
      <c r="W1711" s="23">
        <v>93.1</v>
      </c>
      <c r="X1711" s="20">
        <v>3969</v>
      </c>
      <c r="Y1711" s="24" t="s">
        <v>3713</v>
      </c>
      <c r="Z1711" s="16">
        <v>80.099999999999994</v>
      </c>
      <c r="AA1711" s="17">
        <v>616.20000000000005</v>
      </c>
      <c r="AB1711" s="25" t="s">
        <v>4006</v>
      </c>
    </row>
    <row r="1712" spans="1:28" x14ac:dyDescent="0.45">
      <c r="A1712" s="4" t="s">
        <v>2309</v>
      </c>
      <c r="B1712" s="4" t="s">
        <v>6804</v>
      </c>
      <c r="C1712" s="4" t="s">
        <v>2137</v>
      </c>
      <c r="D1712" s="4" t="s">
        <v>2138</v>
      </c>
      <c r="E1712" s="4" t="s">
        <v>2139</v>
      </c>
      <c r="F1712" s="5">
        <v>28.7</v>
      </c>
      <c r="G1712" s="5">
        <v>35.700000000000003</v>
      </c>
      <c r="H1712" s="4" t="s">
        <v>1187</v>
      </c>
      <c r="I1712" s="10">
        <v>34</v>
      </c>
      <c r="J1712" s="34">
        <f t="shared" si="104"/>
        <v>0.29579999999999995</v>
      </c>
      <c r="K1712" s="34">
        <f t="shared" si="105"/>
        <v>0.44</v>
      </c>
      <c r="L1712" s="34">
        <f t="shared" si="106"/>
        <v>1.76</v>
      </c>
      <c r="M1712" s="11" t="s">
        <v>4761</v>
      </c>
      <c r="N1712" s="11" t="s">
        <v>4597</v>
      </c>
      <c r="O1712" s="11" t="s">
        <v>3892</v>
      </c>
      <c r="P1712" s="11" t="s">
        <v>4598</v>
      </c>
      <c r="Q1712" s="12">
        <v>29.2</v>
      </c>
      <c r="R1712" s="12">
        <v>35.200000000000003</v>
      </c>
      <c r="S1712" s="12">
        <v>3</v>
      </c>
      <c r="T1712" s="13">
        <v>1.02</v>
      </c>
      <c r="U1712" s="13">
        <f t="shared" si="107"/>
        <v>-0.74</v>
      </c>
      <c r="V1712" s="14">
        <v>124.95</v>
      </c>
      <c r="W1712" s="14">
        <v>124.95</v>
      </c>
      <c r="X1712" s="11">
        <v>46</v>
      </c>
      <c r="Y1712" s="15" t="s">
        <v>3713</v>
      </c>
      <c r="Z1712" s="16">
        <v>90.95</v>
      </c>
      <c r="AA1712" s="17">
        <v>267.5</v>
      </c>
      <c r="AB1712" s="18" t="s">
        <v>4441</v>
      </c>
    </row>
    <row r="1713" spans="1:28" x14ac:dyDescent="0.45">
      <c r="A1713" s="2" t="s">
        <v>2310</v>
      </c>
      <c r="B1713" s="2" t="s">
        <v>6805</v>
      </c>
      <c r="C1713" s="2" t="s">
        <v>2137</v>
      </c>
      <c r="D1713" s="2" t="s">
        <v>2138</v>
      </c>
      <c r="E1713" s="2" t="s">
        <v>2139</v>
      </c>
      <c r="F1713" s="3">
        <v>28</v>
      </c>
      <c r="G1713" s="3">
        <v>32</v>
      </c>
      <c r="H1713" s="2" t="s">
        <v>1122</v>
      </c>
      <c r="I1713" s="19">
        <v>15</v>
      </c>
      <c r="J1713" s="34">
        <f t="shared" si="104"/>
        <v>0.1305</v>
      </c>
      <c r="K1713" s="34">
        <f t="shared" si="105"/>
        <v>0.2</v>
      </c>
      <c r="L1713" s="34">
        <f t="shared" si="106"/>
        <v>0.8</v>
      </c>
      <c r="M1713" s="20" t="s">
        <v>4760</v>
      </c>
      <c r="N1713" s="20" t="s">
        <v>4597</v>
      </c>
      <c r="O1713" s="20" t="s">
        <v>3892</v>
      </c>
      <c r="P1713" s="20" t="s">
        <v>4598</v>
      </c>
      <c r="Q1713" s="21">
        <v>28</v>
      </c>
      <c r="R1713" s="21">
        <v>32</v>
      </c>
      <c r="S1713" s="21">
        <v>2</v>
      </c>
      <c r="T1713" s="22">
        <v>0.76</v>
      </c>
      <c r="U1713" s="13">
        <f t="shared" si="107"/>
        <v>-4.0000000000000036E-2</v>
      </c>
      <c r="V1713" s="23">
        <v>93.1</v>
      </c>
      <c r="W1713" s="23">
        <v>93.1</v>
      </c>
      <c r="X1713" s="20">
        <v>3969</v>
      </c>
      <c r="Y1713" s="24" t="s">
        <v>3713</v>
      </c>
      <c r="Z1713" s="16">
        <v>78.099999999999994</v>
      </c>
      <c r="AA1713" s="17">
        <v>520.70000000000005</v>
      </c>
      <c r="AB1713" s="25" t="s">
        <v>3714</v>
      </c>
    </row>
    <row r="1714" spans="1:28" x14ac:dyDescent="0.45">
      <c r="A1714" s="4" t="s">
        <v>2311</v>
      </c>
      <c r="B1714" s="4" t="s">
        <v>6806</v>
      </c>
      <c r="C1714" s="4" t="s">
        <v>2137</v>
      </c>
      <c r="D1714" s="4" t="s">
        <v>2138</v>
      </c>
      <c r="E1714" s="4" t="s">
        <v>2139</v>
      </c>
      <c r="F1714" s="5">
        <v>28</v>
      </c>
      <c r="G1714" s="5">
        <v>33</v>
      </c>
      <c r="H1714" s="4" t="s">
        <v>1135</v>
      </c>
      <c r="I1714" s="10">
        <v>18</v>
      </c>
      <c r="J1714" s="34">
        <f t="shared" si="104"/>
        <v>0.15659999999999999</v>
      </c>
      <c r="K1714" s="34">
        <f t="shared" si="105"/>
        <v>0.23</v>
      </c>
      <c r="L1714" s="34">
        <f t="shared" si="106"/>
        <v>0.92</v>
      </c>
      <c r="M1714" s="11" t="s">
        <v>4762</v>
      </c>
      <c r="N1714" s="11" t="s">
        <v>4597</v>
      </c>
      <c r="O1714" s="11" t="s">
        <v>3892</v>
      </c>
      <c r="P1714" s="11" t="s">
        <v>4598</v>
      </c>
      <c r="Q1714" s="12">
        <v>28</v>
      </c>
      <c r="R1714" s="12">
        <v>33</v>
      </c>
      <c r="S1714" s="12">
        <v>2.5</v>
      </c>
      <c r="T1714" s="13">
        <v>0.89</v>
      </c>
      <c r="U1714" s="13">
        <f t="shared" si="107"/>
        <v>-3.0000000000000027E-2</v>
      </c>
      <c r="V1714" s="14">
        <v>109.02</v>
      </c>
      <c r="W1714" s="14">
        <v>109.02</v>
      </c>
      <c r="X1714" s="11">
        <v>2646</v>
      </c>
      <c r="Y1714" s="15" t="s">
        <v>3713</v>
      </c>
      <c r="Z1714" s="16">
        <v>91.02</v>
      </c>
      <c r="AA1714" s="17">
        <v>505.7</v>
      </c>
      <c r="AB1714" s="18" t="s">
        <v>3714</v>
      </c>
    </row>
    <row r="1715" spans="1:28" x14ac:dyDescent="0.45">
      <c r="A1715" s="2" t="s">
        <v>2312</v>
      </c>
      <c r="B1715" s="2" t="s">
        <v>6807</v>
      </c>
      <c r="C1715" s="2" t="s">
        <v>2137</v>
      </c>
      <c r="D1715" s="2" t="s">
        <v>2138</v>
      </c>
      <c r="E1715" s="2" t="s">
        <v>2139</v>
      </c>
      <c r="F1715" s="3">
        <v>28</v>
      </c>
      <c r="G1715" s="3">
        <v>34</v>
      </c>
      <c r="H1715" s="2" t="s">
        <v>1149</v>
      </c>
      <c r="I1715" s="19">
        <v>32</v>
      </c>
      <c r="J1715" s="34">
        <f t="shared" si="104"/>
        <v>0.27839999999999998</v>
      </c>
      <c r="K1715" s="34">
        <f t="shared" si="105"/>
        <v>0.42</v>
      </c>
      <c r="L1715" s="34">
        <f t="shared" si="106"/>
        <v>1.68</v>
      </c>
      <c r="M1715" s="20" t="s">
        <v>4763</v>
      </c>
      <c r="N1715" s="20" t="s">
        <v>4597</v>
      </c>
      <c r="O1715" s="20" t="s">
        <v>3892</v>
      </c>
      <c r="P1715" s="20" t="s">
        <v>4598</v>
      </c>
      <c r="Q1715" s="21">
        <v>28</v>
      </c>
      <c r="R1715" s="21">
        <v>34</v>
      </c>
      <c r="S1715" s="21">
        <v>3</v>
      </c>
      <c r="T1715" s="22">
        <v>1.04</v>
      </c>
      <c r="U1715" s="13">
        <f t="shared" si="107"/>
        <v>-0.6399999999999999</v>
      </c>
      <c r="V1715" s="23">
        <v>127.4</v>
      </c>
      <c r="W1715" s="23">
        <v>127.4</v>
      </c>
      <c r="X1715" s="20">
        <v>247</v>
      </c>
      <c r="Y1715" s="24" t="s">
        <v>3713</v>
      </c>
      <c r="Z1715" s="16">
        <v>95.4</v>
      </c>
      <c r="AA1715" s="17">
        <v>298.10000000000002</v>
      </c>
      <c r="AB1715" s="25" t="s">
        <v>3714</v>
      </c>
    </row>
    <row r="1716" spans="1:28" x14ac:dyDescent="0.45">
      <c r="A1716" s="4" t="s">
        <v>2313</v>
      </c>
      <c r="B1716" s="4" t="s">
        <v>6808</v>
      </c>
      <c r="C1716" s="4" t="s">
        <v>2137</v>
      </c>
      <c r="D1716" s="4" t="s">
        <v>2138</v>
      </c>
      <c r="E1716" s="4" t="s">
        <v>2139</v>
      </c>
      <c r="F1716" s="5">
        <v>29.4</v>
      </c>
      <c r="G1716" s="5">
        <v>35.6</v>
      </c>
      <c r="H1716" s="4" t="s">
        <v>1221</v>
      </c>
      <c r="I1716" s="10">
        <v>34</v>
      </c>
      <c r="J1716" s="34">
        <f t="shared" si="104"/>
        <v>0.29579999999999995</v>
      </c>
      <c r="K1716" s="34">
        <f t="shared" si="105"/>
        <v>0.44</v>
      </c>
      <c r="L1716" s="34">
        <f t="shared" si="106"/>
        <v>1.76</v>
      </c>
      <c r="M1716" s="11" t="s">
        <v>4764</v>
      </c>
      <c r="N1716" s="11" t="s">
        <v>4597</v>
      </c>
      <c r="O1716" s="11" t="s">
        <v>3892</v>
      </c>
      <c r="P1716" s="11" t="s">
        <v>4598</v>
      </c>
      <c r="Q1716" s="12">
        <v>29.5</v>
      </c>
      <c r="R1716" s="12">
        <v>35.5</v>
      </c>
      <c r="S1716" s="12">
        <v>3</v>
      </c>
      <c r="T1716" s="13">
        <v>1.31</v>
      </c>
      <c r="U1716" s="13">
        <f t="shared" si="107"/>
        <v>-0.44999999999999996</v>
      </c>
      <c r="V1716" s="14">
        <v>160.47999999999999</v>
      </c>
      <c r="W1716" s="14">
        <v>160.47999999999999</v>
      </c>
      <c r="X1716" s="11">
        <v>83</v>
      </c>
      <c r="Y1716" s="15" t="s">
        <v>3713</v>
      </c>
      <c r="Z1716" s="16">
        <v>126.48</v>
      </c>
      <c r="AA1716" s="17">
        <v>372</v>
      </c>
      <c r="AB1716" s="18" t="s">
        <v>4119</v>
      </c>
    </row>
    <row r="1717" spans="1:28" x14ac:dyDescent="0.45">
      <c r="A1717" s="2" t="s">
        <v>2314</v>
      </c>
      <c r="B1717" s="2" t="s">
        <v>6809</v>
      </c>
      <c r="C1717" s="2" t="s">
        <v>2137</v>
      </c>
      <c r="D1717" s="2" t="s">
        <v>2138</v>
      </c>
      <c r="E1717" s="2" t="s">
        <v>2139</v>
      </c>
      <c r="F1717" s="3">
        <v>29.51</v>
      </c>
      <c r="G1717" s="3">
        <v>40.17</v>
      </c>
      <c r="H1717" s="2" t="s">
        <v>1201</v>
      </c>
      <c r="I1717" s="19">
        <v>67</v>
      </c>
      <c r="J1717" s="34">
        <f t="shared" si="104"/>
        <v>0.58289999999999997</v>
      </c>
      <c r="K1717" s="34">
        <f t="shared" si="105"/>
        <v>0.87</v>
      </c>
      <c r="L1717" s="34">
        <f t="shared" si="106"/>
        <v>3.48</v>
      </c>
      <c r="M1717" s="20" t="s">
        <v>4765</v>
      </c>
      <c r="N1717" s="20" t="s">
        <v>4597</v>
      </c>
      <c r="O1717" s="20" t="s">
        <v>3892</v>
      </c>
      <c r="P1717" s="20" t="s">
        <v>4598</v>
      </c>
      <c r="Q1717" s="21">
        <v>29.463999999999999</v>
      </c>
      <c r="R1717" s="21">
        <v>40.131999999999998</v>
      </c>
      <c r="S1717" s="21">
        <v>5.3339999999999996</v>
      </c>
      <c r="T1717" s="22">
        <v>2.0699999999999998</v>
      </c>
      <c r="U1717" s="13">
        <f t="shared" si="107"/>
        <v>-1.4100000000000001</v>
      </c>
      <c r="V1717" s="23">
        <v>253.58</v>
      </c>
      <c r="W1717" s="23">
        <v>253.58</v>
      </c>
      <c r="X1717" s="20">
        <v>3</v>
      </c>
      <c r="Y1717" s="24" t="s">
        <v>3737</v>
      </c>
      <c r="Z1717" s="16">
        <v>186.58</v>
      </c>
      <c r="AA1717" s="17">
        <v>278.5</v>
      </c>
      <c r="AB1717" s="25" t="s">
        <v>4008</v>
      </c>
    </row>
    <row r="1718" spans="1:28" x14ac:dyDescent="0.45">
      <c r="A1718" s="4" t="s">
        <v>2315</v>
      </c>
      <c r="B1718" s="4" t="s">
        <v>6810</v>
      </c>
      <c r="C1718" s="4" t="s">
        <v>2137</v>
      </c>
      <c r="D1718" s="4" t="s">
        <v>2138</v>
      </c>
      <c r="E1718" s="4" t="s">
        <v>2139</v>
      </c>
      <c r="F1718" s="5">
        <v>29.74</v>
      </c>
      <c r="G1718" s="5">
        <v>36.799999999999997</v>
      </c>
      <c r="H1718" s="4" t="s">
        <v>1156</v>
      </c>
      <c r="I1718" s="10">
        <v>35</v>
      </c>
      <c r="J1718" s="34">
        <f t="shared" si="104"/>
        <v>0.30449999999999999</v>
      </c>
      <c r="K1718" s="34">
        <f t="shared" si="105"/>
        <v>0.46</v>
      </c>
      <c r="L1718" s="34">
        <f t="shared" si="106"/>
        <v>1.84</v>
      </c>
      <c r="M1718" s="11" t="s">
        <v>4766</v>
      </c>
      <c r="N1718" s="11" t="s">
        <v>4597</v>
      </c>
      <c r="O1718" s="11" t="s">
        <v>3892</v>
      </c>
      <c r="P1718" s="11" t="s">
        <v>4598</v>
      </c>
      <c r="Q1718" s="12">
        <v>29.718</v>
      </c>
      <c r="R1718" s="12">
        <v>36.83</v>
      </c>
      <c r="S1718" s="12">
        <v>3.556</v>
      </c>
      <c r="T1718" s="13">
        <v>0.85</v>
      </c>
      <c r="U1718" s="13">
        <f t="shared" si="107"/>
        <v>-0.9900000000000001</v>
      </c>
      <c r="V1718" s="14">
        <v>104.12</v>
      </c>
      <c r="W1718" s="14">
        <v>104.12</v>
      </c>
      <c r="X1718" s="11">
        <v>441</v>
      </c>
      <c r="Y1718" s="15" t="s">
        <v>3737</v>
      </c>
      <c r="Z1718" s="16">
        <v>69.12</v>
      </c>
      <c r="AA1718" s="17">
        <v>197.5</v>
      </c>
      <c r="AB1718" s="18" t="s">
        <v>3983</v>
      </c>
    </row>
    <row r="1719" spans="1:28" x14ac:dyDescent="0.45">
      <c r="A1719" s="2" t="s">
        <v>2316</v>
      </c>
      <c r="B1719" s="2" t="s">
        <v>6811</v>
      </c>
      <c r="C1719" s="2" t="s">
        <v>2137</v>
      </c>
      <c r="D1719" s="2" t="s">
        <v>2138</v>
      </c>
      <c r="E1719" s="2" t="s">
        <v>2139</v>
      </c>
      <c r="F1719" s="3">
        <v>29.82</v>
      </c>
      <c r="G1719" s="3">
        <v>35.06</v>
      </c>
      <c r="H1719" s="2" t="s">
        <v>1127</v>
      </c>
      <c r="I1719" s="19">
        <v>18</v>
      </c>
      <c r="J1719" s="34">
        <f t="shared" si="104"/>
        <v>0.15659999999999999</v>
      </c>
      <c r="K1719" s="34">
        <f t="shared" si="105"/>
        <v>0.23</v>
      </c>
      <c r="L1719" s="34">
        <f t="shared" si="106"/>
        <v>0.92</v>
      </c>
      <c r="M1719" s="20" t="s">
        <v>4767</v>
      </c>
      <c r="N1719" s="20" t="s">
        <v>4597</v>
      </c>
      <c r="O1719" s="20" t="s">
        <v>3892</v>
      </c>
      <c r="P1719" s="20" t="s">
        <v>4598</v>
      </c>
      <c r="Q1719" s="21">
        <v>30</v>
      </c>
      <c r="R1719" s="21">
        <v>35</v>
      </c>
      <c r="S1719" s="21">
        <v>2.5</v>
      </c>
      <c r="T1719" s="22">
        <v>0.94</v>
      </c>
      <c r="U1719" s="13">
        <f t="shared" si="107"/>
        <v>1.9999999999999907E-2</v>
      </c>
      <c r="V1719" s="23">
        <v>115.15</v>
      </c>
      <c r="W1719" s="23">
        <v>115.15</v>
      </c>
      <c r="X1719" s="20">
        <v>2267</v>
      </c>
      <c r="Y1719" s="24" t="s">
        <v>3713</v>
      </c>
      <c r="Z1719" s="16">
        <v>97.15</v>
      </c>
      <c r="AA1719" s="17">
        <v>539.70000000000005</v>
      </c>
      <c r="AB1719" s="25" t="s">
        <v>4011</v>
      </c>
    </row>
    <row r="1720" spans="1:28" x14ac:dyDescent="0.45">
      <c r="A1720" s="4" t="s">
        <v>2317</v>
      </c>
      <c r="B1720" s="4" t="s">
        <v>6812</v>
      </c>
      <c r="C1720" s="4" t="s">
        <v>2137</v>
      </c>
      <c r="D1720" s="4" t="s">
        <v>2138</v>
      </c>
      <c r="E1720" s="4" t="s">
        <v>2139</v>
      </c>
      <c r="F1720" s="5">
        <v>29.87</v>
      </c>
      <c r="G1720" s="5">
        <v>33.43</v>
      </c>
      <c r="H1720" s="4" t="s">
        <v>1114</v>
      </c>
      <c r="I1720" s="10">
        <v>15</v>
      </c>
      <c r="J1720" s="34">
        <f t="shared" si="104"/>
        <v>0.1305</v>
      </c>
      <c r="K1720" s="34">
        <f t="shared" si="105"/>
        <v>0.2</v>
      </c>
      <c r="L1720" s="34">
        <f t="shared" si="106"/>
        <v>0.8</v>
      </c>
      <c r="M1720" s="11" t="s">
        <v>4768</v>
      </c>
      <c r="N1720" s="11" t="s">
        <v>4597</v>
      </c>
      <c r="O1720" s="11" t="s">
        <v>3892</v>
      </c>
      <c r="P1720" s="11" t="s">
        <v>4598</v>
      </c>
      <c r="Q1720" s="12">
        <v>29.972000000000001</v>
      </c>
      <c r="R1720" s="12">
        <v>33.527999999999999</v>
      </c>
      <c r="S1720" s="12">
        <v>1.778</v>
      </c>
      <c r="T1720" s="13">
        <v>0.25</v>
      </c>
      <c r="U1720" s="13">
        <f t="shared" si="107"/>
        <v>-0.55000000000000004</v>
      </c>
      <c r="V1720" s="14">
        <v>30.62</v>
      </c>
      <c r="W1720" s="14">
        <v>30.62</v>
      </c>
      <c r="X1720" s="11">
        <v>776</v>
      </c>
      <c r="Y1720" s="15" t="s">
        <v>3737</v>
      </c>
      <c r="Z1720" s="16">
        <v>15.62</v>
      </c>
      <c r="AA1720" s="17">
        <v>104.1</v>
      </c>
      <c r="AB1720" s="18" t="s">
        <v>3999</v>
      </c>
    </row>
    <row r="1721" spans="1:28" x14ac:dyDescent="0.45">
      <c r="A1721" s="2" t="s">
        <v>2318</v>
      </c>
      <c r="B1721" s="2" t="s">
        <v>6813</v>
      </c>
      <c r="C1721" s="2" t="s">
        <v>2137</v>
      </c>
      <c r="D1721" s="2" t="s">
        <v>2138</v>
      </c>
      <c r="E1721" s="2" t="s">
        <v>2139</v>
      </c>
      <c r="F1721" s="3">
        <v>30.7</v>
      </c>
      <c r="G1721" s="3">
        <v>37.700000000000003</v>
      </c>
      <c r="H1721" s="2" t="s">
        <v>1187</v>
      </c>
      <c r="I1721" s="19">
        <v>35</v>
      </c>
      <c r="J1721" s="34">
        <f t="shared" si="104"/>
        <v>0.30449999999999999</v>
      </c>
      <c r="K1721" s="34">
        <f t="shared" si="105"/>
        <v>0.46</v>
      </c>
      <c r="L1721" s="34">
        <f t="shared" si="106"/>
        <v>1.84</v>
      </c>
      <c r="M1721" s="20" t="s">
        <v>4769</v>
      </c>
      <c r="N1721" s="20" t="s">
        <v>4597</v>
      </c>
      <c r="O1721" s="20" t="s">
        <v>3892</v>
      </c>
      <c r="P1721" s="20" t="s">
        <v>4598</v>
      </c>
      <c r="Q1721" s="21">
        <v>30</v>
      </c>
      <c r="R1721" s="21">
        <v>38</v>
      </c>
      <c r="S1721" s="21">
        <v>4</v>
      </c>
      <c r="T1721" s="22">
        <v>2.09</v>
      </c>
      <c r="U1721" s="13">
        <f t="shared" si="107"/>
        <v>0.24999999999999978</v>
      </c>
      <c r="V1721" s="23">
        <v>256.02</v>
      </c>
      <c r="W1721" s="23">
        <v>256.02</v>
      </c>
      <c r="X1721" s="20">
        <v>415</v>
      </c>
      <c r="Y1721" s="24" t="s">
        <v>3713</v>
      </c>
      <c r="Z1721" s="16">
        <v>221.02</v>
      </c>
      <c r="AA1721" s="17">
        <v>631.5</v>
      </c>
      <c r="AB1721" s="25" t="s">
        <v>4683</v>
      </c>
    </row>
    <row r="1722" spans="1:28" x14ac:dyDescent="0.45">
      <c r="A1722" s="4" t="s">
        <v>2319</v>
      </c>
      <c r="B1722" s="4" t="s">
        <v>6814</v>
      </c>
      <c r="C1722" s="4" t="s">
        <v>2137</v>
      </c>
      <c r="D1722" s="4" t="s">
        <v>2138</v>
      </c>
      <c r="E1722" s="4" t="s">
        <v>2139</v>
      </c>
      <c r="F1722" s="5">
        <v>30</v>
      </c>
      <c r="G1722" s="5">
        <v>34</v>
      </c>
      <c r="H1722" s="4" t="s">
        <v>1122</v>
      </c>
      <c r="I1722" s="10">
        <v>17</v>
      </c>
      <c r="J1722" s="34">
        <f t="shared" si="104"/>
        <v>0.14789999999999998</v>
      </c>
      <c r="K1722" s="34">
        <f t="shared" si="105"/>
        <v>0.22</v>
      </c>
      <c r="L1722" s="34">
        <f t="shared" si="106"/>
        <v>0.88</v>
      </c>
      <c r="M1722" s="11" t="s">
        <v>4770</v>
      </c>
      <c r="N1722" s="11" t="s">
        <v>4597</v>
      </c>
      <c r="O1722" s="11" t="s">
        <v>3892</v>
      </c>
      <c r="P1722" s="11" t="s">
        <v>4598</v>
      </c>
      <c r="Q1722" s="12">
        <v>29.6</v>
      </c>
      <c r="R1722" s="12">
        <v>34.4</v>
      </c>
      <c r="S1722" s="12">
        <v>2.4</v>
      </c>
      <c r="T1722" s="13">
        <v>0.69</v>
      </c>
      <c r="U1722" s="13">
        <f t="shared" si="107"/>
        <v>-0.19000000000000006</v>
      </c>
      <c r="V1722" s="14">
        <v>84.52</v>
      </c>
      <c r="W1722" s="14">
        <v>84.52</v>
      </c>
      <c r="X1722" s="11" t="s">
        <v>3722</v>
      </c>
      <c r="Y1722" s="15" t="s">
        <v>3713</v>
      </c>
      <c r="Z1722" s="16">
        <v>67.52</v>
      </c>
      <c r="AA1722" s="17">
        <v>397.2</v>
      </c>
      <c r="AB1722" s="18" t="s">
        <v>4296</v>
      </c>
    </row>
    <row r="1723" spans="1:28" x14ac:dyDescent="0.45">
      <c r="A1723" s="2" t="s">
        <v>2320</v>
      </c>
      <c r="B1723" s="2" t="s">
        <v>6815</v>
      </c>
      <c r="C1723" s="2" t="s">
        <v>2137</v>
      </c>
      <c r="D1723" s="2" t="s">
        <v>2138</v>
      </c>
      <c r="E1723" s="2" t="s">
        <v>2139</v>
      </c>
      <c r="F1723" s="3">
        <v>30</v>
      </c>
      <c r="G1723" s="3">
        <v>35</v>
      </c>
      <c r="H1723" s="2" t="s">
        <v>1135</v>
      </c>
      <c r="I1723" s="19">
        <v>18</v>
      </c>
      <c r="J1723" s="34">
        <f t="shared" si="104"/>
        <v>0.15659999999999999</v>
      </c>
      <c r="K1723" s="34">
        <f t="shared" si="105"/>
        <v>0.23</v>
      </c>
      <c r="L1723" s="34">
        <f t="shared" si="106"/>
        <v>0.92</v>
      </c>
      <c r="M1723" s="20" t="s">
        <v>4767</v>
      </c>
      <c r="N1723" s="20" t="s">
        <v>4597</v>
      </c>
      <c r="O1723" s="20" t="s">
        <v>3892</v>
      </c>
      <c r="P1723" s="20" t="s">
        <v>4598</v>
      </c>
      <c r="Q1723" s="21">
        <v>30</v>
      </c>
      <c r="R1723" s="21">
        <v>35</v>
      </c>
      <c r="S1723" s="21">
        <v>2.5</v>
      </c>
      <c r="T1723" s="22">
        <v>0.94</v>
      </c>
      <c r="U1723" s="13">
        <f t="shared" si="107"/>
        <v>1.9999999999999907E-2</v>
      </c>
      <c r="V1723" s="23">
        <v>115.15</v>
      </c>
      <c r="W1723" s="23">
        <v>115.15</v>
      </c>
      <c r="X1723" s="20">
        <v>2267</v>
      </c>
      <c r="Y1723" s="24" t="s">
        <v>3713</v>
      </c>
      <c r="Z1723" s="16">
        <v>97.15</v>
      </c>
      <c r="AA1723" s="17">
        <v>539.70000000000005</v>
      </c>
      <c r="AB1723" s="25" t="s">
        <v>3714</v>
      </c>
    </row>
    <row r="1724" spans="1:28" x14ac:dyDescent="0.45">
      <c r="A1724" s="4" t="s">
        <v>2321</v>
      </c>
      <c r="B1724" s="4" t="s">
        <v>6816</v>
      </c>
      <c r="C1724" s="4" t="s">
        <v>2137</v>
      </c>
      <c r="D1724" s="4" t="s">
        <v>2138</v>
      </c>
      <c r="E1724" s="4" t="s">
        <v>2139</v>
      </c>
      <c r="F1724" s="5">
        <v>30</v>
      </c>
      <c r="G1724" s="5">
        <v>36</v>
      </c>
      <c r="H1724" s="4" t="s">
        <v>1149</v>
      </c>
      <c r="I1724" s="10">
        <v>35</v>
      </c>
      <c r="J1724" s="34">
        <f t="shared" si="104"/>
        <v>0.30449999999999999</v>
      </c>
      <c r="K1724" s="34">
        <f t="shared" si="105"/>
        <v>0.46</v>
      </c>
      <c r="L1724" s="34">
        <f t="shared" si="106"/>
        <v>1.84</v>
      </c>
      <c r="M1724" s="11" t="s">
        <v>4771</v>
      </c>
      <c r="N1724" s="11" t="s">
        <v>4597</v>
      </c>
      <c r="O1724" s="11" t="s">
        <v>3892</v>
      </c>
      <c r="P1724" s="11" t="s">
        <v>4598</v>
      </c>
      <c r="Q1724" s="12">
        <v>30</v>
      </c>
      <c r="R1724" s="12">
        <v>36</v>
      </c>
      <c r="S1724" s="12">
        <v>3</v>
      </c>
      <c r="T1724" s="13">
        <v>1.04</v>
      </c>
      <c r="U1724" s="13">
        <f t="shared" si="107"/>
        <v>-0.8</v>
      </c>
      <c r="V1724" s="14">
        <v>127.4</v>
      </c>
      <c r="W1724" s="14">
        <v>127.4</v>
      </c>
      <c r="X1724" s="11">
        <v>800</v>
      </c>
      <c r="Y1724" s="15" t="s">
        <v>3713</v>
      </c>
      <c r="Z1724" s="16">
        <v>92.4</v>
      </c>
      <c r="AA1724" s="17">
        <v>264</v>
      </c>
      <c r="AB1724" s="18" t="s">
        <v>3714</v>
      </c>
    </row>
    <row r="1725" spans="1:28" x14ac:dyDescent="0.45">
      <c r="A1725" s="2" t="s">
        <v>2322</v>
      </c>
      <c r="B1725" s="2" t="s">
        <v>6817</v>
      </c>
      <c r="C1725" s="2" t="s">
        <v>2137</v>
      </c>
      <c r="D1725" s="2" t="s">
        <v>2138</v>
      </c>
      <c r="E1725" s="2" t="s">
        <v>2139</v>
      </c>
      <c r="F1725" s="3">
        <v>30</v>
      </c>
      <c r="G1725" s="3">
        <v>37</v>
      </c>
      <c r="H1725" s="2" t="s">
        <v>1187</v>
      </c>
      <c r="I1725" s="19">
        <v>35</v>
      </c>
      <c r="J1725" s="34">
        <f t="shared" si="104"/>
        <v>0.30449999999999999</v>
      </c>
      <c r="K1725" s="34">
        <f t="shared" si="105"/>
        <v>0.46</v>
      </c>
      <c r="L1725" s="34">
        <f t="shared" si="106"/>
        <v>1.84</v>
      </c>
      <c r="M1725" s="20" t="s">
        <v>4766</v>
      </c>
      <c r="N1725" s="20" t="s">
        <v>4597</v>
      </c>
      <c r="O1725" s="20" t="s">
        <v>3892</v>
      </c>
      <c r="P1725" s="20" t="s">
        <v>4598</v>
      </c>
      <c r="Q1725" s="21">
        <v>29.718</v>
      </c>
      <c r="R1725" s="21">
        <v>36.83</v>
      </c>
      <c r="S1725" s="21">
        <v>3.556</v>
      </c>
      <c r="T1725" s="22">
        <v>0.85</v>
      </c>
      <c r="U1725" s="13">
        <f t="shared" si="107"/>
        <v>-0.9900000000000001</v>
      </c>
      <c r="V1725" s="23">
        <v>104.12</v>
      </c>
      <c r="W1725" s="23">
        <v>104.12</v>
      </c>
      <c r="X1725" s="20">
        <v>441</v>
      </c>
      <c r="Y1725" s="24" t="s">
        <v>3737</v>
      </c>
      <c r="Z1725" s="16">
        <v>69.12</v>
      </c>
      <c r="AA1725" s="17">
        <v>197.5</v>
      </c>
      <c r="AB1725" s="25" t="s">
        <v>4772</v>
      </c>
    </row>
    <row r="1726" spans="1:28" x14ac:dyDescent="0.45">
      <c r="A1726" s="4" t="s">
        <v>2323</v>
      </c>
      <c r="B1726" s="4" t="s">
        <v>6818</v>
      </c>
      <c r="C1726" s="4" t="s">
        <v>2137</v>
      </c>
      <c r="D1726" s="4" t="s">
        <v>2138</v>
      </c>
      <c r="E1726" s="4" t="s">
        <v>2139</v>
      </c>
      <c r="F1726" s="5">
        <v>30</v>
      </c>
      <c r="G1726" s="5">
        <v>38</v>
      </c>
      <c r="H1726" s="4" t="s">
        <v>1216</v>
      </c>
      <c r="I1726" s="10">
        <v>57</v>
      </c>
      <c r="J1726" s="34">
        <f t="shared" si="104"/>
        <v>0.49589999999999995</v>
      </c>
      <c r="K1726" s="34">
        <f t="shared" si="105"/>
        <v>0.74</v>
      </c>
      <c r="L1726" s="34">
        <f t="shared" si="106"/>
        <v>2.96</v>
      </c>
      <c r="M1726" s="11" t="s">
        <v>4769</v>
      </c>
      <c r="N1726" s="11" t="s">
        <v>4597</v>
      </c>
      <c r="O1726" s="11" t="s">
        <v>3892</v>
      </c>
      <c r="P1726" s="11" t="s">
        <v>4598</v>
      </c>
      <c r="Q1726" s="12">
        <v>30</v>
      </c>
      <c r="R1726" s="12">
        <v>38</v>
      </c>
      <c r="S1726" s="12">
        <v>4</v>
      </c>
      <c r="T1726" s="13">
        <v>2.09</v>
      </c>
      <c r="U1726" s="13">
        <f t="shared" si="107"/>
        <v>-0.87000000000000011</v>
      </c>
      <c r="V1726" s="14">
        <v>256.02</v>
      </c>
      <c r="W1726" s="14">
        <v>256.02</v>
      </c>
      <c r="X1726" s="11">
        <v>415</v>
      </c>
      <c r="Y1726" s="15" t="s">
        <v>3713</v>
      </c>
      <c r="Z1726" s="16">
        <v>199.02</v>
      </c>
      <c r="AA1726" s="17">
        <v>349.2</v>
      </c>
      <c r="AB1726" s="18" t="s">
        <v>3714</v>
      </c>
    </row>
    <row r="1727" spans="1:28" x14ac:dyDescent="0.45">
      <c r="A1727" s="2" t="s">
        <v>2324</v>
      </c>
      <c r="B1727" s="2" t="s">
        <v>6819</v>
      </c>
      <c r="C1727" s="2" t="s">
        <v>2137</v>
      </c>
      <c r="D1727" s="2" t="s">
        <v>2138</v>
      </c>
      <c r="E1727" s="2" t="s">
        <v>2139</v>
      </c>
      <c r="F1727" s="3">
        <v>30</v>
      </c>
      <c r="G1727" s="3">
        <v>40</v>
      </c>
      <c r="H1727" s="2" t="s">
        <v>1245</v>
      </c>
      <c r="I1727" s="19">
        <v>69</v>
      </c>
      <c r="J1727" s="34">
        <f t="shared" si="104"/>
        <v>0.60029999999999994</v>
      </c>
      <c r="K1727" s="34">
        <f t="shared" si="105"/>
        <v>0.9</v>
      </c>
      <c r="L1727" s="34">
        <f t="shared" si="106"/>
        <v>3.6</v>
      </c>
      <c r="M1727" s="20" t="s">
        <v>4765</v>
      </c>
      <c r="N1727" s="20" t="s">
        <v>4597</v>
      </c>
      <c r="O1727" s="20" t="s">
        <v>3892</v>
      </c>
      <c r="P1727" s="20" t="s">
        <v>4598</v>
      </c>
      <c r="Q1727" s="21">
        <v>29.463999999999999</v>
      </c>
      <c r="R1727" s="21">
        <v>40.131999999999998</v>
      </c>
      <c r="S1727" s="21">
        <v>5.3339999999999996</v>
      </c>
      <c r="T1727" s="22">
        <v>2.0699999999999998</v>
      </c>
      <c r="U1727" s="13">
        <f t="shared" si="107"/>
        <v>-1.5300000000000002</v>
      </c>
      <c r="V1727" s="23">
        <v>253.58</v>
      </c>
      <c r="W1727" s="23">
        <v>253.58</v>
      </c>
      <c r="X1727" s="20">
        <v>3</v>
      </c>
      <c r="Y1727" s="24" t="s">
        <v>3737</v>
      </c>
      <c r="Z1727" s="16">
        <v>184.58</v>
      </c>
      <c r="AA1727" s="17">
        <v>267.5</v>
      </c>
      <c r="AB1727" s="25" t="s">
        <v>4773</v>
      </c>
    </row>
    <row r="1728" spans="1:28" x14ac:dyDescent="0.45">
      <c r="A1728" s="4" t="s">
        <v>2325</v>
      </c>
      <c r="B1728" s="4" t="s">
        <v>6820</v>
      </c>
      <c r="C1728" s="4" t="s">
        <v>2137</v>
      </c>
      <c r="D1728" s="4" t="s">
        <v>2138</v>
      </c>
      <c r="E1728" s="4" t="s">
        <v>2139</v>
      </c>
      <c r="F1728" s="5">
        <v>31.42</v>
      </c>
      <c r="G1728" s="5">
        <v>36.659999999999997</v>
      </c>
      <c r="H1728" s="4" t="s">
        <v>1127</v>
      </c>
      <c r="I1728" s="10">
        <v>20</v>
      </c>
      <c r="J1728" s="34">
        <f t="shared" si="104"/>
        <v>0.17399999999999999</v>
      </c>
      <c r="K1728" s="34">
        <f t="shared" si="105"/>
        <v>0.26</v>
      </c>
      <c r="L1728" s="34">
        <f t="shared" si="106"/>
        <v>1.04</v>
      </c>
      <c r="M1728" s="11" t="s">
        <v>4774</v>
      </c>
      <c r="N1728" s="11" t="s">
        <v>4597</v>
      </c>
      <c r="O1728" s="11" t="s">
        <v>3892</v>
      </c>
      <c r="P1728" s="11" t="s">
        <v>4598</v>
      </c>
      <c r="Q1728" s="12">
        <v>31.495999999999999</v>
      </c>
      <c r="R1728" s="12">
        <v>36.576000000000001</v>
      </c>
      <c r="S1728" s="12">
        <v>2.54</v>
      </c>
      <c r="T1728" s="13">
        <v>1.78</v>
      </c>
      <c r="U1728" s="13">
        <f t="shared" si="107"/>
        <v>0.74</v>
      </c>
      <c r="V1728" s="14">
        <v>218.05</v>
      </c>
      <c r="W1728" s="14">
        <v>218.05</v>
      </c>
      <c r="X1728" s="11">
        <v>528</v>
      </c>
      <c r="Y1728" s="15" t="s">
        <v>3737</v>
      </c>
      <c r="Z1728" s="16">
        <v>198.05</v>
      </c>
      <c r="AA1728" s="17">
        <v>990.2</v>
      </c>
      <c r="AB1728" s="18" t="s">
        <v>4022</v>
      </c>
    </row>
    <row r="1729" spans="1:28" x14ac:dyDescent="0.45">
      <c r="A1729" s="2" t="s">
        <v>2326</v>
      </c>
      <c r="B1729" s="2" t="s">
        <v>6821</v>
      </c>
      <c r="C1729" s="2" t="s">
        <v>2137</v>
      </c>
      <c r="D1729" s="2" t="s">
        <v>2138</v>
      </c>
      <c r="E1729" s="2" t="s">
        <v>2139</v>
      </c>
      <c r="F1729" s="3">
        <v>31.44</v>
      </c>
      <c r="G1729" s="3">
        <v>38.5</v>
      </c>
      <c r="H1729" s="2" t="s">
        <v>1156</v>
      </c>
      <c r="I1729" s="19">
        <v>37</v>
      </c>
      <c r="J1729" s="34">
        <f t="shared" si="104"/>
        <v>0.32189999999999996</v>
      </c>
      <c r="K1729" s="34">
        <f t="shared" si="105"/>
        <v>0.48</v>
      </c>
      <c r="L1729" s="34">
        <f t="shared" si="106"/>
        <v>1.92</v>
      </c>
      <c r="M1729" s="20" t="s">
        <v>4775</v>
      </c>
      <c r="N1729" s="20" t="s">
        <v>4597</v>
      </c>
      <c r="O1729" s="20" t="s">
        <v>3892</v>
      </c>
      <c r="P1729" s="20" t="s">
        <v>4598</v>
      </c>
      <c r="Q1729" s="21">
        <v>31.242000000000001</v>
      </c>
      <c r="R1729" s="21">
        <v>38.353999999999999</v>
      </c>
      <c r="S1729" s="21">
        <v>3.556</v>
      </c>
      <c r="T1729" s="22">
        <v>0.71</v>
      </c>
      <c r="U1729" s="13">
        <f t="shared" si="107"/>
        <v>-1.21</v>
      </c>
      <c r="V1729" s="23">
        <v>86.98</v>
      </c>
      <c r="W1729" s="23">
        <v>86.98</v>
      </c>
      <c r="X1729" s="20">
        <v>171</v>
      </c>
      <c r="Y1729" s="24" t="s">
        <v>3737</v>
      </c>
      <c r="Z1729" s="16">
        <v>49.98</v>
      </c>
      <c r="AA1729" s="17">
        <v>135.1</v>
      </c>
      <c r="AB1729" s="25" t="s">
        <v>4776</v>
      </c>
    </row>
    <row r="1730" spans="1:28" x14ac:dyDescent="0.45">
      <c r="A1730" s="4" t="s">
        <v>2327</v>
      </c>
      <c r="B1730" s="4" t="s">
        <v>6822</v>
      </c>
      <c r="C1730" s="4" t="s">
        <v>2137</v>
      </c>
      <c r="D1730" s="4" t="s">
        <v>2138</v>
      </c>
      <c r="E1730" s="4" t="s">
        <v>2139</v>
      </c>
      <c r="F1730" s="5">
        <v>31.47</v>
      </c>
      <c r="G1730" s="5">
        <v>35.03</v>
      </c>
      <c r="H1730" s="4" t="s">
        <v>1114</v>
      </c>
      <c r="I1730" s="10">
        <v>15</v>
      </c>
      <c r="J1730" s="34">
        <f t="shared" si="104"/>
        <v>0.1305</v>
      </c>
      <c r="K1730" s="34">
        <f t="shared" si="105"/>
        <v>0.2</v>
      </c>
      <c r="L1730" s="34">
        <f t="shared" si="106"/>
        <v>0.8</v>
      </c>
      <c r="M1730" s="11" t="s">
        <v>4777</v>
      </c>
      <c r="N1730" s="11" t="s">
        <v>4597</v>
      </c>
      <c r="O1730" s="11" t="s">
        <v>3892</v>
      </c>
      <c r="P1730" s="11" t="s">
        <v>4598</v>
      </c>
      <c r="Q1730" s="12">
        <v>31.495999999999999</v>
      </c>
      <c r="R1730" s="12">
        <v>35.052</v>
      </c>
      <c r="S1730" s="12">
        <v>1.778</v>
      </c>
      <c r="T1730" s="13">
        <v>0.28000000000000003</v>
      </c>
      <c r="U1730" s="13">
        <f t="shared" si="107"/>
        <v>-0.52</v>
      </c>
      <c r="V1730" s="14">
        <v>34.299999999999997</v>
      </c>
      <c r="W1730" s="14">
        <v>34.299999999999997</v>
      </c>
      <c r="X1730" s="11">
        <v>287</v>
      </c>
      <c r="Y1730" s="15" t="s">
        <v>3737</v>
      </c>
      <c r="Z1730" s="16">
        <v>19.3</v>
      </c>
      <c r="AA1730" s="17">
        <v>128.69999999999999</v>
      </c>
      <c r="AB1730" s="18" t="s">
        <v>3967</v>
      </c>
    </row>
    <row r="1731" spans="1:28" x14ac:dyDescent="0.45">
      <c r="A1731" s="2" t="s">
        <v>2328</v>
      </c>
      <c r="B1731" s="2" t="s">
        <v>6823</v>
      </c>
      <c r="C1731" s="2" t="s">
        <v>2137</v>
      </c>
      <c r="D1731" s="2" t="s">
        <v>2138</v>
      </c>
      <c r="E1731" s="2" t="s">
        <v>2139</v>
      </c>
      <c r="F1731" s="3">
        <v>31.7</v>
      </c>
      <c r="G1731" s="3">
        <v>38.700000000000003</v>
      </c>
      <c r="H1731" s="2" t="s">
        <v>1187</v>
      </c>
      <c r="I1731" s="19">
        <v>37</v>
      </c>
      <c r="J1731" s="34">
        <f t="shared" si="104"/>
        <v>0.32189999999999996</v>
      </c>
      <c r="K1731" s="34">
        <f t="shared" si="105"/>
        <v>0.48</v>
      </c>
      <c r="L1731" s="34">
        <f t="shared" si="106"/>
        <v>1.92</v>
      </c>
      <c r="M1731" s="20" t="s">
        <v>4778</v>
      </c>
      <c r="N1731" s="20" t="s">
        <v>4597</v>
      </c>
      <c r="O1731" s="20" t="s">
        <v>3892</v>
      </c>
      <c r="P1731" s="20" t="s">
        <v>4598</v>
      </c>
      <c r="Q1731" s="21">
        <v>31</v>
      </c>
      <c r="R1731" s="21">
        <v>39</v>
      </c>
      <c r="S1731" s="21">
        <v>4</v>
      </c>
      <c r="T1731" s="22">
        <v>1.51</v>
      </c>
      <c r="U1731" s="13">
        <f t="shared" si="107"/>
        <v>-0.40999999999999992</v>
      </c>
      <c r="V1731" s="23">
        <v>184.98</v>
      </c>
      <c r="W1731" s="23">
        <v>184.98</v>
      </c>
      <c r="X1731" s="20">
        <v>3</v>
      </c>
      <c r="Y1731" s="24" t="s">
        <v>3713</v>
      </c>
      <c r="Z1731" s="16">
        <v>147.97999999999999</v>
      </c>
      <c r="AA1731" s="17">
        <v>399.9</v>
      </c>
      <c r="AB1731" s="25" t="s">
        <v>4683</v>
      </c>
    </row>
    <row r="1732" spans="1:28" x14ac:dyDescent="0.45">
      <c r="A1732" s="4" t="s">
        <v>2329</v>
      </c>
      <c r="B1732" s="4" t="s">
        <v>6824</v>
      </c>
      <c r="C1732" s="4" t="s">
        <v>2137</v>
      </c>
      <c r="D1732" s="4" t="s">
        <v>2138</v>
      </c>
      <c r="E1732" s="4" t="s">
        <v>2139</v>
      </c>
      <c r="F1732" s="5">
        <v>32.700000000000003</v>
      </c>
      <c r="G1732" s="5">
        <v>39.700000000000003</v>
      </c>
      <c r="H1732" s="4" t="s">
        <v>1187</v>
      </c>
      <c r="I1732" s="10">
        <v>39</v>
      </c>
      <c r="J1732" s="34">
        <f t="shared" si="104"/>
        <v>0.33929999999999999</v>
      </c>
      <c r="K1732" s="34">
        <f t="shared" si="105"/>
        <v>0.51</v>
      </c>
      <c r="L1732" s="34">
        <f t="shared" si="106"/>
        <v>2.04</v>
      </c>
      <c r="M1732" s="11" t="s">
        <v>4779</v>
      </c>
      <c r="N1732" s="11" t="s">
        <v>4597</v>
      </c>
      <c r="O1732" s="11" t="s">
        <v>3892</v>
      </c>
      <c r="P1732" s="11" t="s">
        <v>4598</v>
      </c>
      <c r="Q1732" s="12">
        <v>33.020000000000003</v>
      </c>
      <c r="R1732" s="12">
        <v>39.878</v>
      </c>
      <c r="S1732" s="12">
        <v>3.556</v>
      </c>
      <c r="T1732" s="13">
        <v>1.27</v>
      </c>
      <c r="U1732" s="13">
        <f t="shared" si="107"/>
        <v>-0.77</v>
      </c>
      <c r="V1732" s="14">
        <v>155.57</v>
      </c>
      <c r="W1732" s="14">
        <v>155.57</v>
      </c>
      <c r="X1732" s="11">
        <v>437</v>
      </c>
      <c r="Y1732" s="15" t="s">
        <v>3737</v>
      </c>
      <c r="Z1732" s="16">
        <v>116.57</v>
      </c>
      <c r="AA1732" s="17">
        <v>298.89999999999998</v>
      </c>
      <c r="AB1732" s="18" t="s">
        <v>4780</v>
      </c>
    </row>
    <row r="1733" spans="1:28" x14ac:dyDescent="0.45">
      <c r="A1733" s="2" t="s">
        <v>2330</v>
      </c>
      <c r="B1733" s="2" t="s">
        <v>6825</v>
      </c>
      <c r="C1733" s="2" t="s">
        <v>2137</v>
      </c>
      <c r="D1733" s="2" t="s">
        <v>2138</v>
      </c>
      <c r="E1733" s="2" t="s">
        <v>2139</v>
      </c>
      <c r="F1733" s="3">
        <v>32.92</v>
      </c>
      <c r="G1733" s="3">
        <v>38.159999999999997</v>
      </c>
      <c r="H1733" s="2" t="s">
        <v>1127</v>
      </c>
      <c r="I1733" s="19">
        <v>20</v>
      </c>
      <c r="J1733" s="34">
        <f t="shared" ref="J1733:J1796" si="108">I1733*0.0087</f>
        <v>0.17399999999999999</v>
      </c>
      <c r="K1733" s="34">
        <f t="shared" ref="K1733:K1796" si="109">ROUND(J1733*1.5,2)</f>
        <v>0.26</v>
      </c>
      <c r="L1733" s="34">
        <f t="shared" ref="L1733:L1796" si="110">K1733*4</f>
        <v>1.04</v>
      </c>
      <c r="M1733" s="20" t="s">
        <v>4781</v>
      </c>
      <c r="N1733" s="20" t="s">
        <v>4597</v>
      </c>
      <c r="O1733" s="20" t="s">
        <v>3892</v>
      </c>
      <c r="P1733" s="20" t="s">
        <v>4598</v>
      </c>
      <c r="Q1733" s="21">
        <v>33</v>
      </c>
      <c r="R1733" s="21">
        <v>38</v>
      </c>
      <c r="S1733" s="21">
        <v>2.5</v>
      </c>
      <c r="T1733" s="22">
        <v>1.1599999999999999</v>
      </c>
      <c r="U1733" s="13">
        <f t="shared" ref="U1733:U1796" si="111">T1733-L1733</f>
        <v>0.11999999999999988</v>
      </c>
      <c r="V1733" s="23">
        <v>142.1</v>
      </c>
      <c r="W1733" s="23">
        <v>142.1</v>
      </c>
      <c r="X1733" s="20">
        <v>228</v>
      </c>
      <c r="Y1733" s="24" t="s">
        <v>3713</v>
      </c>
      <c r="Z1733" s="16">
        <v>122.1</v>
      </c>
      <c r="AA1733" s="17">
        <v>610.5</v>
      </c>
      <c r="AB1733" s="25" t="s">
        <v>4782</v>
      </c>
    </row>
    <row r="1734" spans="1:28" x14ac:dyDescent="0.45">
      <c r="A1734" s="4" t="s">
        <v>2331</v>
      </c>
      <c r="B1734" s="4" t="s">
        <v>6826</v>
      </c>
      <c r="C1734" s="4" t="s">
        <v>2137</v>
      </c>
      <c r="D1734" s="4" t="s">
        <v>2138</v>
      </c>
      <c r="E1734" s="4" t="s">
        <v>2139</v>
      </c>
      <c r="F1734" s="5">
        <v>32.92</v>
      </c>
      <c r="G1734" s="5">
        <v>39.979999999999997</v>
      </c>
      <c r="H1734" s="4" t="s">
        <v>1156</v>
      </c>
      <c r="I1734" s="10">
        <v>39</v>
      </c>
      <c r="J1734" s="34">
        <f t="shared" si="108"/>
        <v>0.33929999999999999</v>
      </c>
      <c r="K1734" s="34">
        <f t="shared" si="109"/>
        <v>0.51</v>
      </c>
      <c r="L1734" s="34">
        <f t="shared" si="110"/>
        <v>2.04</v>
      </c>
      <c r="M1734" s="11" t="s">
        <v>4779</v>
      </c>
      <c r="N1734" s="11" t="s">
        <v>4597</v>
      </c>
      <c r="O1734" s="11" t="s">
        <v>3892</v>
      </c>
      <c r="P1734" s="11" t="s">
        <v>4598</v>
      </c>
      <c r="Q1734" s="12">
        <v>33.020000000000003</v>
      </c>
      <c r="R1734" s="12">
        <v>39.878</v>
      </c>
      <c r="S1734" s="12">
        <v>3.556</v>
      </c>
      <c r="T1734" s="13">
        <v>1.27</v>
      </c>
      <c r="U1734" s="13">
        <f t="shared" si="111"/>
        <v>-0.77</v>
      </c>
      <c r="V1734" s="14">
        <v>155.57</v>
      </c>
      <c r="W1734" s="14">
        <v>155.57</v>
      </c>
      <c r="X1734" s="11">
        <v>437</v>
      </c>
      <c r="Y1734" s="15" t="s">
        <v>3737</v>
      </c>
      <c r="Z1734" s="16">
        <v>116.57</v>
      </c>
      <c r="AA1734" s="17">
        <v>298.89999999999998</v>
      </c>
      <c r="AB1734" s="18" t="s">
        <v>3999</v>
      </c>
    </row>
    <row r="1735" spans="1:28" x14ac:dyDescent="0.45">
      <c r="A1735" s="2" t="s">
        <v>2332</v>
      </c>
      <c r="B1735" s="2" t="s">
        <v>6827</v>
      </c>
      <c r="C1735" s="2" t="s">
        <v>2137</v>
      </c>
      <c r="D1735" s="2" t="s">
        <v>2138</v>
      </c>
      <c r="E1735" s="2" t="s">
        <v>2139</v>
      </c>
      <c r="F1735" s="3">
        <v>32</v>
      </c>
      <c r="G1735" s="3">
        <v>36</v>
      </c>
      <c r="H1735" s="2" t="s">
        <v>1122</v>
      </c>
      <c r="I1735" s="19">
        <v>18</v>
      </c>
      <c r="J1735" s="34">
        <f t="shared" si="108"/>
        <v>0.15659999999999999</v>
      </c>
      <c r="K1735" s="34">
        <f t="shared" si="109"/>
        <v>0.23</v>
      </c>
      <c r="L1735" s="34">
        <f t="shared" si="110"/>
        <v>0.92</v>
      </c>
      <c r="M1735" s="20" t="s">
        <v>4783</v>
      </c>
      <c r="N1735" s="20" t="s">
        <v>4597</v>
      </c>
      <c r="O1735" s="20" t="s">
        <v>3892</v>
      </c>
      <c r="P1735" s="20" t="s">
        <v>4598</v>
      </c>
      <c r="Q1735" s="21">
        <v>32</v>
      </c>
      <c r="R1735" s="21">
        <v>36</v>
      </c>
      <c r="S1735" s="21">
        <v>2</v>
      </c>
      <c r="T1735" s="22">
        <v>0.83</v>
      </c>
      <c r="U1735" s="13">
        <f t="shared" si="111"/>
        <v>-9.000000000000008E-2</v>
      </c>
      <c r="V1735" s="23">
        <v>101.68</v>
      </c>
      <c r="W1735" s="23">
        <v>101.68</v>
      </c>
      <c r="X1735" s="20">
        <v>3211</v>
      </c>
      <c r="Y1735" s="24" t="s">
        <v>3713</v>
      </c>
      <c r="Z1735" s="16">
        <v>83.68</v>
      </c>
      <c r="AA1735" s="17">
        <v>464.9</v>
      </c>
      <c r="AB1735" s="25" t="s">
        <v>3714</v>
      </c>
    </row>
    <row r="1736" spans="1:28" x14ac:dyDescent="0.45">
      <c r="A1736" s="4" t="s">
        <v>2333</v>
      </c>
      <c r="B1736" s="4" t="s">
        <v>6828</v>
      </c>
      <c r="C1736" s="4" t="s">
        <v>2137</v>
      </c>
      <c r="D1736" s="4" t="s">
        <v>2138</v>
      </c>
      <c r="E1736" s="4" t="s">
        <v>2139</v>
      </c>
      <c r="F1736" s="5">
        <v>32</v>
      </c>
      <c r="G1736" s="5">
        <v>37</v>
      </c>
      <c r="H1736" s="4" t="s">
        <v>1135</v>
      </c>
      <c r="I1736" s="10">
        <v>20</v>
      </c>
      <c r="J1736" s="34">
        <f t="shared" si="108"/>
        <v>0.17399999999999999</v>
      </c>
      <c r="K1736" s="34">
        <f t="shared" si="109"/>
        <v>0.26</v>
      </c>
      <c r="L1736" s="34">
        <f t="shared" si="110"/>
        <v>1.04</v>
      </c>
      <c r="M1736" s="11" t="s">
        <v>4784</v>
      </c>
      <c r="N1736" s="11" t="s">
        <v>4597</v>
      </c>
      <c r="O1736" s="11" t="s">
        <v>3892</v>
      </c>
      <c r="P1736" s="11" t="s">
        <v>4598</v>
      </c>
      <c r="Q1736" s="12">
        <v>32</v>
      </c>
      <c r="R1736" s="12">
        <v>37</v>
      </c>
      <c r="S1736" s="12">
        <v>2.5</v>
      </c>
      <c r="T1736" s="13">
        <v>1.1299999999999999</v>
      </c>
      <c r="U1736" s="13">
        <f t="shared" si="111"/>
        <v>8.9999999999999858E-2</v>
      </c>
      <c r="V1736" s="14">
        <v>138.41999999999999</v>
      </c>
      <c r="W1736" s="14">
        <v>138.41999999999999</v>
      </c>
      <c r="X1736" s="11">
        <v>102</v>
      </c>
      <c r="Y1736" s="15" t="s">
        <v>3713</v>
      </c>
      <c r="Z1736" s="16">
        <v>118.42</v>
      </c>
      <c r="AA1736" s="17">
        <v>592.1</v>
      </c>
      <c r="AB1736" s="18" t="s">
        <v>3714</v>
      </c>
    </row>
    <row r="1737" spans="1:28" x14ac:dyDescent="0.45">
      <c r="A1737" s="2" t="s">
        <v>2334</v>
      </c>
      <c r="B1737" s="2" t="s">
        <v>6829</v>
      </c>
      <c r="C1737" s="2" t="s">
        <v>2137</v>
      </c>
      <c r="D1737" s="2" t="s">
        <v>2138</v>
      </c>
      <c r="E1737" s="2" t="s">
        <v>2139</v>
      </c>
      <c r="F1737" s="3">
        <v>32</v>
      </c>
      <c r="G1737" s="3">
        <v>38</v>
      </c>
      <c r="H1737" s="2" t="s">
        <v>1149</v>
      </c>
      <c r="I1737" s="19">
        <v>37</v>
      </c>
      <c r="J1737" s="34">
        <f t="shared" si="108"/>
        <v>0.32189999999999996</v>
      </c>
      <c r="K1737" s="34">
        <f t="shared" si="109"/>
        <v>0.48</v>
      </c>
      <c r="L1737" s="34">
        <f t="shared" si="110"/>
        <v>1.92</v>
      </c>
      <c r="M1737" s="20" t="s">
        <v>4785</v>
      </c>
      <c r="N1737" s="20" t="s">
        <v>4597</v>
      </c>
      <c r="O1737" s="20" t="s">
        <v>3892</v>
      </c>
      <c r="P1737" s="20" t="s">
        <v>4598</v>
      </c>
      <c r="Q1737" s="21">
        <v>32</v>
      </c>
      <c r="R1737" s="21">
        <v>38</v>
      </c>
      <c r="S1737" s="21">
        <v>3</v>
      </c>
      <c r="T1737" s="22">
        <v>1.18</v>
      </c>
      <c r="U1737" s="13">
        <f t="shared" si="111"/>
        <v>-0.74</v>
      </c>
      <c r="V1737" s="23">
        <v>144.55000000000001</v>
      </c>
      <c r="W1737" s="23">
        <v>144.55000000000001</v>
      </c>
      <c r="X1737" s="20">
        <v>493</v>
      </c>
      <c r="Y1737" s="24" t="s">
        <v>3713</v>
      </c>
      <c r="Z1737" s="16">
        <v>107.55</v>
      </c>
      <c r="AA1737" s="17">
        <v>290.7</v>
      </c>
      <c r="AB1737" s="25" t="s">
        <v>3714</v>
      </c>
    </row>
    <row r="1738" spans="1:28" x14ac:dyDescent="0.45">
      <c r="A1738" s="4" t="s">
        <v>2335</v>
      </c>
      <c r="B1738" s="4" t="s">
        <v>6830</v>
      </c>
      <c r="C1738" s="4" t="s">
        <v>2137</v>
      </c>
      <c r="D1738" s="4" t="s">
        <v>2138</v>
      </c>
      <c r="E1738" s="4" t="s">
        <v>2139</v>
      </c>
      <c r="F1738" s="5">
        <v>33.049999999999997</v>
      </c>
      <c r="G1738" s="5">
        <v>36.61</v>
      </c>
      <c r="H1738" s="4" t="s">
        <v>1114</v>
      </c>
      <c r="I1738" s="10">
        <v>15</v>
      </c>
      <c r="J1738" s="34">
        <f t="shared" si="108"/>
        <v>0.1305</v>
      </c>
      <c r="K1738" s="34">
        <f t="shared" si="109"/>
        <v>0.2</v>
      </c>
      <c r="L1738" s="34">
        <f t="shared" si="110"/>
        <v>0.8</v>
      </c>
      <c r="M1738" s="11" t="s">
        <v>4786</v>
      </c>
      <c r="N1738" s="11" t="s">
        <v>4597</v>
      </c>
      <c r="O1738" s="11" t="s">
        <v>3892</v>
      </c>
      <c r="P1738" s="11" t="s">
        <v>4598</v>
      </c>
      <c r="Q1738" s="12">
        <v>33.020000000000003</v>
      </c>
      <c r="R1738" s="12">
        <v>36.576000000000001</v>
      </c>
      <c r="S1738" s="12">
        <v>1.778</v>
      </c>
      <c r="T1738" s="13">
        <v>0.8</v>
      </c>
      <c r="U1738" s="13">
        <f t="shared" si="111"/>
        <v>0</v>
      </c>
      <c r="V1738" s="14">
        <v>98</v>
      </c>
      <c r="W1738" s="14">
        <v>98</v>
      </c>
      <c r="X1738" s="11">
        <v>18</v>
      </c>
      <c r="Y1738" s="15" t="s">
        <v>3737</v>
      </c>
      <c r="Z1738" s="16">
        <v>83</v>
      </c>
      <c r="AA1738" s="17">
        <v>553.29999999999995</v>
      </c>
      <c r="AB1738" s="18" t="s">
        <v>3973</v>
      </c>
    </row>
    <row r="1739" spans="1:28" x14ac:dyDescent="0.45">
      <c r="A1739" s="2" t="s">
        <v>2336</v>
      </c>
      <c r="B1739" s="2" t="s">
        <v>6831</v>
      </c>
      <c r="C1739" s="2" t="s">
        <v>2137</v>
      </c>
      <c r="D1739" s="2" t="s">
        <v>2138</v>
      </c>
      <c r="E1739" s="2" t="s">
        <v>2139</v>
      </c>
      <c r="F1739" s="3">
        <v>33.299999999999997</v>
      </c>
      <c r="G1739" s="3">
        <v>38.099999999999987</v>
      </c>
      <c r="H1739" s="2" t="s">
        <v>1140</v>
      </c>
      <c r="I1739" s="19">
        <v>20</v>
      </c>
      <c r="J1739" s="34">
        <f t="shared" si="108"/>
        <v>0.17399999999999999</v>
      </c>
      <c r="K1739" s="34">
        <f t="shared" si="109"/>
        <v>0.26</v>
      </c>
      <c r="L1739" s="34">
        <f t="shared" si="110"/>
        <v>1.04</v>
      </c>
      <c r="M1739" s="20" t="s">
        <v>4781</v>
      </c>
      <c r="N1739" s="20" t="s">
        <v>4597</v>
      </c>
      <c r="O1739" s="20" t="s">
        <v>3892</v>
      </c>
      <c r="P1739" s="20" t="s">
        <v>4598</v>
      </c>
      <c r="Q1739" s="21">
        <v>33</v>
      </c>
      <c r="R1739" s="21">
        <v>38</v>
      </c>
      <c r="S1739" s="21">
        <v>2.5</v>
      </c>
      <c r="T1739" s="22">
        <v>1.1599999999999999</v>
      </c>
      <c r="U1739" s="13">
        <f t="shared" si="111"/>
        <v>0.11999999999999988</v>
      </c>
      <c r="V1739" s="23">
        <v>142.1</v>
      </c>
      <c r="W1739" s="23">
        <v>142.1</v>
      </c>
      <c r="X1739" s="20">
        <v>228</v>
      </c>
      <c r="Y1739" s="24" t="s">
        <v>3713</v>
      </c>
      <c r="Z1739" s="16">
        <v>122.1</v>
      </c>
      <c r="AA1739" s="17">
        <v>610.5</v>
      </c>
      <c r="AB1739" s="25" t="s">
        <v>4343</v>
      </c>
    </row>
    <row r="1740" spans="1:28" x14ac:dyDescent="0.45">
      <c r="A1740" s="4" t="s">
        <v>2337</v>
      </c>
      <c r="B1740" s="4" t="s">
        <v>6832</v>
      </c>
      <c r="C1740" s="4" t="s">
        <v>2137</v>
      </c>
      <c r="D1740" s="4" t="s">
        <v>2138</v>
      </c>
      <c r="E1740" s="4" t="s">
        <v>2139</v>
      </c>
      <c r="F1740" s="5">
        <v>33.700000000000003</v>
      </c>
      <c r="G1740" s="5">
        <v>40.700000000000003</v>
      </c>
      <c r="H1740" s="4" t="s">
        <v>1187</v>
      </c>
      <c r="I1740" s="10">
        <v>39</v>
      </c>
      <c r="J1740" s="34">
        <f t="shared" si="108"/>
        <v>0.33929999999999999</v>
      </c>
      <c r="K1740" s="34">
        <f t="shared" si="109"/>
        <v>0.51</v>
      </c>
      <c r="L1740" s="34">
        <f t="shared" si="110"/>
        <v>2.04</v>
      </c>
      <c r="M1740" s="11" t="s">
        <v>4787</v>
      </c>
      <c r="N1740" s="11" t="s">
        <v>4597</v>
      </c>
      <c r="O1740" s="11" t="s">
        <v>3892</v>
      </c>
      <c r="P1740" s="11" t="s">
        <v>4598</v>
      </c>
      <c r="Q1740" s="12">
        <v>33</v>
      </c>
      <c r="R1740" s="12">
        <v>41</v>
      </c>
      <c r="S1740" s="12">
        <v>4</v>
      </c>
      <c r="T1740" s="13">
        <v>1.76</v>
      </c>
      <c r="U1740" s="13">
        <f t="shared" si="111"/>
        <v>-0.28000000000000003</v>
      </c>
      <c r="V1740" s="14">
        <v>215.6</v>
      </c>
      <c r="W1740" s="14">
        <v>215.6</v>
      </c>
      <c r="X1740" s="11">
        <v>6</v>
      </c>
      <c r="Y1740" s="15" t="s">
        <v>3713</v>
      </c>
      <c r="Z1740" s="16">
        <v>176.6</v>
      </c>
      <c r="AA1740" s="17">
        <v>452.8</v>
      </c>
      <c r="AB1740" s="18" t="s">
        <v>4683</v>
      </c>
    </row>
    <row r="1741" spans="1:28" x14ac:dyDescent="0.45">
      <c r="A1741" s="2" t="s">
        <v>2338</v>
      </c>
      <c r="B1741" s="2" t="s">
        <v>6833</v>
      </c>
      <c r="C1741" s="2" t="s">
        <v>2137</v>
      </c>
      <c r="D1741" s="2" t="s">
        <v>2138</v>
      </c>
      <c r="E1741" s="2" t="s">
        <v>2139</v>
      </c>
      <c r="F1741" s="3">
        <v>33</v>
      </c>
      <c r="G1741" s="3">
        <v>39</v>
      </c>
      <c r="H1741" s="2" t="s">
        <v>1149</v>
      </c>
      <c r="I1741" s="19">
        <v>39</v>
      </c>
      <c r="J1741" s="34">
        <f t="shared" si="108"/>
        <v>0.33929999999999999</v>
      </c>
      <c r="K1741" s="34">
        <f t="shared" si="109"/>
        <v>0.51</v>
      </c>
      <c r="L1741" s="34">
        <f t="shared" si="110"/>
        <v>2.04</v>
      </c>
      <c r="M1741" s="20" t="s">
        <v>4788</v>
      </c>
      <c r="N1741" s="20" t="s">
        <v>4597</v>
      </c>
      <c r="O1741" s="20" t="s">
        <v>3892</v>
      </c>
      <c r="P1741" s="20" t="s">
        <v>4598</v>
      </c>
      <c r="Q1741" s="21">
        <v>33</v>
      </c>
      <c r="R1741" s="21">
        <v>39</v>
      </c>
      <c r="S1741" s="21">
        <v>3</v>
      </c>
      <c r="T1741" s="22">
        <v>0.89</v>
      </c>
      <c r="U1741" s="13">
        <f t="shared" si="111"/>
        <v>-1.1499999999999999</v>
      </c>
      <c r="V1741" s="23">
        <v>109.02</v>
      </c>
      <c r="W1741" s="23">
        <v>109.02</v>
      </c>
      <c r="X1741" s="20">
        <v>885</v>
      </c>
      <c r="Y1741" s="24" t="s">
        <v>3713</v>
      </c>
      <c r="Z1741" s="16">
        <v>70.02</v>
      </c>
      <c r="AA1741" s="17">
        <v>179.5</v>
      </c>
      <c r="AB1741" s="25" t="s">
        <v>3714</v>
      </c>
    </row>
    <row r="1742" spans="1:28" x14ac:dyDescent="0.45">
      <c r="A1742" s="4" t="s">
        <v>2339</v>
      </c>
      <c r="B1742" s="4" t="s">
        <v>6834</v>
      </c>
      <c r="C1742" s="4" t="s">
        <v>2137</v>
      </c>
      <c r="D1742" s="4" t="s">
        <v>2138</v>
      </c>
      <c r="E1742" s="4" t="s">
        <v>2139</v>
      </c>
      <c r="F1742" s="5">
        <v>34.29</v>
      </c>
      <c r="G1742" s="5">
        <v>44.95</v>
      </c>
      <c r="H1742" s="4" t="s">
        <v>1201</v>
      </c>
      <c r="I1742" s="10">
        <v>79</v>
      </c>
      <c r="J1742" s="34">
        <f t="shared" si="108"/>
        <v>0.68729999999999991</v>
      </c>
      <c r="K1742" s="34">
        <f t="shared" si="109"/>
        <v>1.03</v>
      </c>
      <c r="L1742" s="34">
        <f t="shared" si="110"/>
        <v>4.12</v>
      </c>
      <c r="M1742" s="11" t="s">
        <v>4789</v>
      </c>
      <c r="N1742" s="11" t="s">
        <v>4597</v>
      </c>
      <c r="O1742" s="11" t="s">
        <v>3892</v>
      </c>
      <c r="P1742" s="11" t="s">
        <v>4598</v>
      </c>
      <c r="Q1742" s="12">
        <v>34.29</v>
      </c>
      <c r="R1742" s="12">
        <v>44.957999999999998</v>
      </c>
      <c r="S1742" s="12">
        <v>5.3339999999999996</v>
      </c>
      <c r="T1742" s="13">
        <v>2.37</v>
      </c>
      <c r="U1742" s="13">
        <f t="shared" si="111"/>
        <v>-1.75</v>
      </c>
      <c r="V1742" s="14">
        <v>290.32</v>
      </c>
      <c r="W1742" s="14">
        <v>290.32</v>
      </c>
      <c r="X1742" s="11">
        <v>30</v>
      </c>
      <c r="Y1742" s="15" t="s">
        <v>3737</v>
      </c>
      <c r="Z1742" s="16">
        <v>211.32</v>
      </c>
      <c r="AA1742" s="17">
        <v>267.5</v>
      </c>
      <c r="AB1742" s="18" t="s">
        <v>4032</v>
      </c>
    </row>
    <row r="1743" spans="1:28" x14ac:dyDescent="0.45">
      <c r="A1743" s="2" t="s">
        <v>2340</v>
      </c>
      <c r="B1743" s="2" t="s">
        <v>6835</v>
      </c>
      <c r="C1743" s="2" t="s">
        <v>2137</v>
      </c>
      <c r="D1743" s="2" t="s">
        <v>2138</v>
      </c>
      <c r="E1743" s="2" t="s">
        <v>2139</v>
      </c>
      <c r="F1743" s="3">
        <v>34.4</v>
      </c>
      <c r="G1743" s="3">
        <v>40.6</v>
      </c>
      <c r="H1743" s="2" t="s">
        <v>1221</v>
      </c>
      <c r="I1743" s="19">
        <v>40</v>
      </c>
      <c r="J1743" s="34">
        <f t="shared" si="108"/>
        <v>0.34799999999999998</v>
      </c>
      <c r="K1743" s="34">
        <f t="shared" si="109"/>
        <v>0.52</v>
      </c>
      <c r="L1743" s="34">
        <f t="shared" si="110"/>
        <v>2.08</v>
      </c>
      <c r="M1743" s="20" t="s">
        <v>4790</v>
      </c>
      <c r="N1743" s="20" t="s">
        <v>4597</v>
      </c>
      <c r="O1743" s="20" t="s">
        <v>3892</v>
      </c>
      <c r="P1743" s="20" t="s">
        <v>4598</v>
      </c>
      <c r="Q1743" s="21">
        <v>34.5</v>
      </c>
      <c r="R1743" s="21">
        <v>40.5</v>
      </c>
      <c r="S1743" s="21">
        <v>3</v>
      </c>
      <c r="T1743" s="22">
        <v>1.76</v>
      </c>
      <c r="U1743" s="13">
        <f t="shared" si="111"/>
        <v>-0.32000000000000006</v>
      </c>
      <c r="V1743" s="23">
        <v>215.6</v>
      </c>
      <c r="W1743" s="23">
        <v>215.6</v>
      </c>
      <c r="X1743" s="20">
        <v>52</v>
      </c>
      <c r="Y1743" s="24" t="s">
        <v>3713</v>
      </c>
      <c r="Z1743" s="16">
        <v>175.6</v>
      </c>
      <c r="AA1743" s="17">
        <v>439</v>
      </c>
      <c r="AB1743" s="25" t="s">
        <v>4119</v>
      </c>
    </row>
    <row r="1744" spans="1:28" x14ac:dyDescent="0.45">
      <c r="A1744" s="4" t="s">
        <v>2341</v>
      </c>
      <c r="B1744" s="4" t="s">
        <v>6836</v>
      </c>
      <c r="C1744" s="4" t="s">
        <v>2137</v>
      </c>
      <c r="D1744" s="4" t="s">
        <v>2138</v>
      </c>
      <c r="E1744" s="4" t="s">
        <v>2139</v>
      </c>
      <c r="F1744" s="5">
        <v>34.520000000000003</v>
      </c>
      <c r="G1744" s="5">
        <v>41.580000000000013</v>
      </c>
      <c r="H1744" s="4" t="s">
        <v>1156</v>
      </c>
      <c r="I1744" s="10">
        <v>40</v>
      </c>
      <c r="J1744" s="34">
        <f t="shared" si="108"/>
        <v>0.34799999999999998</v>
      </c>
      <c r="K1744" s="34">
        <f t="shared" si="109"/>
        <v>0.52</v>
      </c>
      <c r="L1744" s="34">
        <f t="shared" si="110"/>
        <v>2.08</v>
      </c>
      <c r="M1744" s="11" t="s">
        <v>4791</v>
      </c>
      <c r="N1744" s="11" t="s">
        <v>4597</v>
      </c>
      <c r="O1744" s="11" t="s">
        <v>3892</v>
      </c>
      <c r="P1744" s="11" t="s">
        <v>4598</v>
      </c>
      <c r="Q1744" s="12">
        <v>34.543999999999997</v>
      </c>
      <c r="R1744" s="12">
        <v>41.655999999999999</v>
      </c>
      <c r="S1744" s="12">
        <v>3.556</v>
      </c>
      <c r="T1744" s="13">
        <v>1.21</v>
      </c>
      <c r="U1744" s="13">
        <f t="shared" si="111"/>
        <v>-0.87000000000000011</v>
      </c>
      <c r="V1744" s="14">
        <v>148.22</v>
      </c>
      <c r="W1744" s="14">
        <v>148.22</v>
      </c>
      <c r="X1744" s="11">
        <v>114</v>
      </c>
      <c r="Y1744" s="15" t="s">
        <v>3737</v>
      </c>
      <c r="Z1744" s="16">
        <v>108.22</v>
      </c>
      <c r="AA1744" s="17">
        <v>270.5</v>
      </c>
      <c r="AB1744" s="18" t="s">
        <v>3945</v>
      </c>
    </row>
    <row r="1745" spans="1:28" x14ac:dyDescent="0.45">
      <c r="A1745" s="2" t="s">
        <v>2342</v>
      </c>
      <c r="B1745" s="2" t="s">
        <v>6837</v>
      </c>
      <c r="C1745" s="2" t="s">
        <v>2137</v>
      </c>
      <c r="D1745" s="2" t="s">
        <v>2138</v>
      </c>
      <c r="E1745" s="2" t="s">
        <v>2139</v>
      </c>
      <c r="F1745" s="3">
        <v>34.590000000000003</v>
      </c>
      <c r="G1745" s="3">
        <v>39.830000000000013</v>
      </c>
      <c r="H1745" s="2" t="s">
        <v>1127</v>
      </c>
      <c r="I1745" s="19">
        <v>22</v>
      </c>
      <c r="J1745" s="34">
        <f t="shared" si="108"/>
        <v>0.19139999999999999</v>
      </c>
      <c r="K1745" s="34">
        <f t="shared" si="109"/>
        <v>0.28999999999999998</v>
      </c>
      <c r="L1745" s="34">
        <f t="shared" si="110"/>
        <v>1.1599999999999999</v>
      </c>
      <c r="M1745" s="20" t="s">
        <v>4792</v>
      </c>
      <c r="N1745" s="20" t="s">
        <v>4597</v>
      </c>
      <c r="O1745" s="20" t="s">
        <v>3892</v>
      </c>
      <c r="P1745" s="20" t="s">
        <v>4598</v>
      </c>
      <c r="Q1745" s="21">
        <v>34.543999999999997</v>
      </c>
      <c r="R1745" s="21">
        <v>39.878</v>
      </c>
      <c r="S1745" s="21">
        <v>2.54</v>
      </c>
      <c r="T1745" s="22">
        <v>0.68</v>
      </c>
      <c r="U1745" s="13">
        <f t="shared" si="111"/>
        <v>-0.47999999999999987</v>
      </c>
      <c r="V1745" s="23">
        <v>83.3</v>
      </c>
      <c r="W1745" s="23">
        <v>83.3</v>
      </c>
      <c r="X1745" s="20">
        <v>298</v>
      </c>
      <c r="Y1745" s="24" t="s">
        <v>3737</v>
      </c>
      <c r="Z1745" s="16">
        <v>61.3</v>
      </c>
      <c r="AA1745" s="17">
        <v>278.60000000000002</v>
      </c>
      <c r="AB1745" s="25" t="s">
        <v>3920</v>
      </c>
    </row>
    <row r="1746" spans="1:28" x14ac:dyDescent="0.45">
      <c r="A1746" s="4" t="s">
        <v>2343</v>
      </c>
      <c r="B1746" s="4" t="s">
        <v>6838</v>
      </c>
      <c r="C1746" s="4" t="s">
        <v>2137</v>
      </c>
      <c r="D1746" s="4" t="s">
        <v>2138</v>
      </c>
      <c r="E1746" s="4" t="s">
        <v>2139</v>
      </c>
      <c r="F1746" s="5">
        <v>34.65</v>
      </c>
      <c r="G1746" s="5">
        <v>38.21</v>
      </c>
      <c r="H1746" s="4" t="s">
        <v>1114</v>
      </c>
      <c r="I1746" s="10">
        <v>17</v>
      </c>
      <c r="J1746" s="34">
        <f t="shared" si="108"/>
        <v>0.14789999999999998</v>
      </c>
      <c r="K1746" s="34">
        <f t="shared" si="109"/>
        <v>0.22</v>
      </c>
      <c r="L1746" s="34">
        <f t="shared" si="110"/>
        <v>0.88</v>
      </c>
      <c r="M1746" s="11" t="s">
        <v>4793</v>
      </c>
      <c r="N1746" s="11" t="s">
        <v>4597</v>
      </c>
      <c r="O1746" s="11" t="s">
        <v>3892</v>
      </c>
      <c r="P1746" s="11" t="s">
        <v>4598</v>
      </c>
      <c r="Q1746" s="12">
        <v>34.543999999999997</v>
      </c>
      <c r="R1746" s="12">
        <v>38.1</v>
      </c>
      <c r="S1746" s="12">
        <v>1.778</v>
      </c>
      <c r="T1746" s="13">
        <v>0.82</v>
      </c>
      <c r="U1746" s="13">
        <f t="shared" si="111"/>
        <v>-6.0000000000000053E-2</v>
      </c>
      <c r="V1746" s="14">
        <v>100.45</v>
      </c>
      <c r="W1746" s="14">
        <v>100.45</v>
      </c>
      <c r="X1746" s="11">
        <v>1</v>
      </c>
      <c r="Y1746" s="15" t="s">
        <v>3737</v>
      </c>
      <c r="Z1746" s="16">
        <v>83.45</v>
      </c>
      <c r="AA1746" s="17">
        <v>490.9</v>
      </c>
      <c r="AB1746" s="18" t="s">
        <v>4037</v>
      </c>
    </row>
    <row r="1747" spans="1:28" x14ac:dyDescent="0.45">
      <c r="A1747" s="2" t="s">
        <v>2344</v>
      </c>
      <c r="B1747" s="2" t="s">
        <v>6839</v>
      </c>
      <c r="C1747" s="2" t="s">
        <v>2137</v>
      </c>
      <c r="D1747" s="2" t="s">
        <v>2138</v>
      </c>
      <c r="E1747" s="2" t="s">
        <v>2139</v>
      </c>
      <c r="F1747" s="3">
        <v>34</v>
      </c>
      <c r="G1747" s="3">
        <v>38</v>
      </c>
      <c r="H1747" s="2" t="s">
        <v>1122</v>
      </c>
      <c r="I1747" s="19">
        <v>18</v>
      </c>
      <c r="J1747" s="34">
        <f t="shared" si="108"/>
        <v>0.15659999999999999</v>
      </c>
      <c r="K1747" s="34">
        <f t="shared" si="109"/>
        <v>0.23</v>
      </c>
      <c r="L1747" s="34">
        <f t="shared" si="110"/>
        <v>0.92</v>
      </c>
      <c r="M1747" s="20" t="s">
        <v>4794</v>
      </c>
      <c r="N1747" s="20" t="s">
        <v>4597</v>
      </c>
      <c r="O1747" s="20" t="s">
        <v>3892</v>
      </c>
      <c r="P1747" s="20" t="s">
        <v>4598</v>
      </c>
      <c r="Q1747" s="21">
        <v>34</v>
      </c>
      <c r="R1747" s="21">
        <v>38</v>
      </c>
      <c r="S1747" s="21">
        <v>2</v>
      </c>
      <c r="T1747" s="22">
        <v>0.89</v>
      </c>
      <c r="U1747" s="13">
        <f t="shared" si="111"/>
        <v>-3.0000000000000027E-2</v>
      </c>
      <c r="V1747" s="23">
        <v>109.02</v>
      </c>
      <c r="W1747" s="23">
        <v>109.02</v>
      </c>
      <c r="X1747" s="20" t="s">
        <v>3722</v>
      </c>
      <c r="Y1747" s="24" t="s">
        <v>3713</v>
      </c>
      <c r="Z1747" s="16">
        <v>91.02</v>
      </c>
      <c r="AA1747" s="17">
        <v>505.7</v>
      </c>
      <c r="AB1747" s="25" t="s">
        <v>3714</v>
      </c>
    </row>
    <row r="1748" spans="1:28" x14ac:dyDescent="0.45">
      <c r="A1748" s="4" t="s">
        <v>2345</v>
      </c>
      <c r="B1748" s="4" t="s">
        <v>6840</v>
      </c>
      <c r="C1748" s="4" t="s">
        <v>2137</v>
      </c>
      <c r="D1748" s="4" t="s">
        <v>2138</v>
      </c>
      <c r="E1748" s="4" t="s">
        <v>2139</v>
      </c>
      <c r="F1748" s="5">
        <v>34</v>
      </c>
      <c r="G1748" s="5">
        <v>40</v>
      </c>
      <c r="H1748" s="4" t="s">
        <v>1149</v>
      </c>
      <c r="I1748" s="10">
        <v>39</v>
      </c>
      <c r="J1748" s="34">
        <f t="shared" si="108"/>
        <v>0.33929999999999999</v>
      </c>
      <c r="K1748" s="34">
        <f t="shared" si="109"/>
        <v>0.51</v>
      </c>
      <c r="L1748" s="34">
        <f t="shared" si="110"/>
        <v>2.04</v>
      </c>
      <c r="M1748" s="11" t="s">
        <v>4795</v>
      </c>
      <c r="N1748" s="11" t="s">
        <v>4597</v>
      </c>
      <c r="O1748" s="11" t="s">
        <v>3892</v>
      </c>
      <c r="P1748" s="11" t="s">
        <v>4598</v>
      </c>
      <c r="Q1748" s="12">
        <v>34</v>
      </c>
      <c r="R1748" s="12">
        <v>40</v>
      </c>
      <c r="S1748" s="12">
        <v>3</v>
      </c>
      <c r="T1748" s="13">
        <v>1.19</v>
      </c>
      <c r="U1748" s="13">
        <f t="shared" si="111"/>
        <v>-0.85000000000000009</v>
      </c>
      <c r="V1748" s="14">
        <v>145.78</v>
      </c>
      <c r="W1748" s="14">
        <v>145.78</v>
      </c>
      <c r="X1748" s="11">
        <v>98</v>
      </c>
      <c r="Y1748" s="15" t="s">
        <v>3713</v>
      </c>
      <c r="Z1748" s="16">
        <v>106.78</v>
      </c>
      <c r="AA1748" s="17">
        <v>273.8</v>
      </c>
      <c r="AB1748" s="18" t="s">
        <v>3714</v>
      </c>
    </row>
    <row r="1749" spans="1:28" x14ac:dyDescent="0.45">
      <c r="A1749" s="2" t="s">
        <v>2346</v>
      </c>
      <c r="B1749" s="2" t="s">
        <v>6841</v>
      </c>
      <c r="C1749" s="2" t="s">
        <v>2137</v>
      </c>
      <c r="D1749" s="2" t="s">
        <v>2138</v>
      </c>
      <c r="E1749" s="2" t="s">
        <v>2139</v>
      </c>
      <c r="F1749" s="3">
        <v>35.5</v>
      </c>
      <c r="G1749" s="3">
        <v>39.06</v>
      </c>
      <c r="H1749" s="2" t="s">
        <v>1114</v>
      </c>
      <c r="I1749" s="19">
        <v>17</v>
      </c>
      <c r="J1749" s="34">
        <f t="shared" si="108"/>
        <v>0.14789999999999998</v>
      </c>
      <c r="K1749" s="34">
        <f t="shared" si="109"/>
        <v>0.22</v>
      </c>
      <c r="L1749" s="34">
        <f t="shared" si="110"/>
        <v>0.88</v>
      </c>
      <c r="M1749" s="20" t="s">
        <v>4796</v>
      </c>
      <c r="N1749" s="20" t="s">
        <v>4597</v>
      </c>
      <c r="O1749" s="20" t="s">
        <v>3892</v>
      </c>
      <c r="P1749" s="20" t="s">
        <v>4598</v>
      </c>
      <c r="Q1749" s="21">
        <v>35</v>
      </c>
      <c r="R1749" s="21">
        <v>39</v>
      </c>
      <c r="S1749" s="21">
        <v>2</v>
      </c>
      <c r="T1749" s="22">
        <v>0.97</v>
      </c>
      <c r="U1749" s="13">
        <f t="shared" si="111"/>
        <v>8.9999999999999969E-2</v>
      </c>
      <c r="V1749" s="23">
        <v>118.82</v>
      </c>
      <c r="W1749" s="23">
        <v>118.82</v>
      </c>
      <c r="X1749" s="20">
        <v>2960</v>
      </c>
      <c r="Y1749" s="24" t="s">
        <v>3713</v>
      </c>
      <c r="Z1749" s="16">
        <v>101.82</v>
      </c>
      <c r="AA1749" s="17">
        <v>598.9</v>
      </c>
      <c r="AB1749" s="25" t="s">
        <v>4797</v>
      </c>
    </row>
    <row r="1750" spans="1:28" x14ac:dyDescent="0.45">
      <c r="A1750" s="4" t="s">
        <v>2347</v>
      </c>
      <c r="B1750" s="4" t="s">
        <v>6842</v>
      </c>
      <c r="C1750" s="4" t="s">
        <v>2137</v>
      </c>
      <c r="D1750" s="4" t="s">
        <v>2138</v>
      </c>
      <c r="E1750" s="4" t="s">
        <v>2139</v>
      </c>
      <c r="F1750" s="5">
        <v>35.700000000000003</v>
      </c>
      <c r="G1750" s="5">
        <v>42.7</v>
      </c>
      <c r="H1750" s="4" t="s">
        <v>1187</v>
      </c>
      <c r="I1750" s="10">
        <v>42</v>
      </c>
      <c r="J1750" s="34">
        <f t="shared" si="108"/>
        <v>0.36539999999999995</v>
      </c>
      <c r="K1750" s="34">
        <f t="shared" si="109"/>
        <v>0.55000000000000004</v>
      </c>
      <c r="L1750" s="34">
        <f t="shared" si="110"/>
        <v>2.2000000000000002</v>
      </c>
      <c r="M1750" s="11" t="s">
        <v>4798</v>
      </c>
      <c r="N1750" s="11" t="s">
        <v>4597</v>
      </c>
      <c r="O1750" s="11" t="s">
        <v>3892</v>
      </c>
      <c r="P1750" s="11" t="s">
        <v>4598</v>
      </c>
      <c r="Q1750" s="12">
        <v>35</v>
      </c>
      <c r="R1750" s="12">
        <v>43</v>
      </c>
      <c r="S1750" s="12">
        <v>4</v>
      </c>
      <c r="T1750" s="13">
        <v>2.39</v>
      </c>
      <c r="U1750" s="13">
        <f t="shared" si="111"/>
        <v>0.18999999999999995</v>
      </c>
      <c r="V1750" s="14">
        <v>292.77999999999997</v>
      </c>
      <c r="W1750" s="14">
        <v>292.77999999999997</v>
      </c>
      <c r="X1750" s="11" t="s">
        <v>3722</v>
      </c>
      <c r="Y1750" s="15" t="s">
        <v>3713</v>
      </c>
      <c r="Z1750" s="16">
        <v>250.78</v>
      </c>
      <c r="AA1750" s="17">
        <v>597.1</v>
      </c>
      <c r="AB1750" s="18" t="s">
        <v>4683</v>
      </c>
    </row>
    <row r="1751" spans="1:28" x14ac:dyDescent="0.45">
      <c r="A1751" s="2" t="s">
        <v>2348</v>
      </c>
      <c r="B1751" s="2" t="s">
        <v>6843</v>
      </c>
      <c r="C1751" s="2" t="s">
        <v>2137</v>
      </c>
      <c r="D1751" s="2" t="s">
        <v>2138</v>
      </c>
      <c r="E1751" s="2" t="s">
        <v>2139</v>
      </c>
      <c r="F1751" s="3">
        <v>35</v>
      </c>
      <c r="G1751" s="3">
        <v>40</v>
      </c>
      <c r="H1751" s="2" t="s">
        <v>1135</v>
      </c>
      <c r="I1751" s="19">
        <v>22</v>
      </c>
      <c r="J1751" s="34">
        <f t="shared" si="108"/>
        <v>0.19139999999999999</v>
      </c>
      <c r="K1751" s="34">
        <f t="shared" si="109"/>
        <v>0.28999999999999998</v>
      </c>
      <c r="L1751" s="34">
        <f t="shared" si="110"/>
        <v>1.1599999999999999</v>
      </c>
      <c r="M1751" s="20" t="s">
        <v>4799</v>
      </c>
      <c r="N1751" s="20" t="s">
        <v>4597</v>
      </c>
      <c r="O1751" s="20" t="s">
        <v>3892</v>
      </c>
      <c r="P1751" s="20" t="s">
        <v>4598</v>
      </c>
      <c r="Q1751" s="21">
        <v>35</v>
      </c>
      <c r="R1751" s="21">
        <v>40</v>
      </c>
      <c r="S1751" s="21">
        <v>2.5</v>
      </c>
      <c r="T1751" s="22">
        <v>1.24</v>
      </c>
      <c r="U1751" s="13">
        <f t="shared" si="111"/>
        <v>8.0000000000000071E-2</v>
      </c>
      <c r="V1751" s="23">
        <v>151.9</v>
      </c>
      <c r="W1751" s="23">
        <v>151.9</v>
      </c>
      <c r="X1751" s="20">
        <v>2019</v>
      </c>
      <c r="Y1751" s="24" t="s">
        <v>3713</v>
      </c>
      <c r="Z1751" s="16">
        <v>129.9</v>
      </c>
      <c r="AA1751" s="17">
        <v>590.5</v>
      </c>
      <c r="AB1751" s="25" t="s">
        <v>3714</v>
      </c>
    </row>
    <row r="1752" spans="1:28" x14ac:dyDescent="0.45">
      <c r="A1752" s="4" t="s">
        <v>2349</v>
      </c>
      <c r="B1752" s="4" t="s">
        <v>6844</v>
      </c>
      <c r="C1752" s="4" t="s">
        <v>2137</v>
      </c>
      <c r="D1752" s="4" t="s">
        <v>2138</v>
      </c>
      <c r="E1752" s="4" t="s">
        <v>2139</v>
      </c>
      <c r="F1752" s="5">
        <v>35</v>
      </c>
      <c r="G1752" s="5">
        <v>41</v>
      </c>
      <c r="H1752" s="4" t="s">
        <v>1149</v>
      </c>
      <c r="I1752" s="10">
        <v>40</v>
      </c>
      <c r="J1752" s="34">
        <f t="shared" si="108"/>
        <v>0.34799999999999998</v>
      </c>
      <c r="K1752" s="34">
        <f t="shared" si="109"/>
        <v>0.52</v>
      </c>
      <c r="L1752" s="34">
        <f t="shared" si="110"/>
        <v>2.08</v>
      </c>
      <c r="M1752" s="11" t="s">
        <v>4800</v>
      </c>
      <c r="N1752" s="11" t="s">
        <v>4597</v>
      </c>
      <c r="O1752" s="11" t="s">
        <v>3892</v>
      </c>
      <c r="P1752" s="11" t="s">
        <v>4598</v>
      </c>
      <c r="Q1752" s="12">
        <v>35</v>
      </c>
      <c r="R1752" s="12">
        <v>41</v>
      </c>
      <c r="S1752" s="12">
        <v>3</v>
      </c>
      <c r="T1752" s="13">
        <v>1.32</v>
      </c>
      <c r="U1752" s="13">
        <f t="shared" si="111"/>
        <v>-0.76</v>
      </c>
      <c r="V1752" s="14">
        <v>161.69999999999999</v>
      </c>
      <c r="W1752" s="14">
        <v>161.69999999999999</v>
      </c>
      <c r="X1752" s="11">
        <v>130</v>
      </c>
      <c r="Y1752" s="15" t="s">
        <v>3713</v>
      </c>
      <c r="Z1752" s="16">
        <v>121.7</v>
      </c>
      <c r="AA1752" s="17">
        <v>304.2</v>
      </c>
      <c r="AB1752" s="18" t="s">
        <v>3714</v>
      </c>
    </row>
    <row r="1753" spans="1:28" x14ac:dyDescent="0.45">
      <c r="A1753" s="2" t="s">
        <v>2350</v>
      </c>
      <c r="B1753" s="2" t="s">
        <v>6845</v>
      </c>
      <c r="C1753" s="2" t="s">
        <v>2137</v>
      </c>
      <c r="D1753" s="2" t="s">
        <v>2138</v>
      </c>
      <c r="E1753" s="2" t="s">
        <v>2139</v>
      </c>
      <c r="F1753" s="3">
        <v>35</v>
      </c>
      <c r="G1753" s="3">
        <v>43</v>
      </c>
      <c r="H1753" s="2" t="s">
        <v>1216</v>
      </c>
      <c r="I1753" s="19">
        <v>67</v>
      </c>
      <c r="J1753" s="34">
        <f t="shared" si="108"/>
        <v>0.58289999999999997</v>
      </c>
      <c r="K1753" s="34">
        <f t="shared" si="109"/>
        <v>0.87</v>
      </c>
      <c r="L1753" s="34">
        <f t="shared" si="110"/>
        <v>3.48</v>
      </c>
      <c r="M1753" s="20" t="s">
        <v>4798</v>
      </c>
      <c r="N1753" s="20" t="s">
        <v>4597</v>
      </c>
      <c r="O1753" s="20" t="s">
        <v>3892</v>
      </c>
      <c r="P1753" s="20" t="s">
        <v>4598</v>
      </c>
      <c r="Q1753" s="21">
        <v>35</v>
      </c>
      <c r="R1753" s="21">
        <v>43</v>
      </c>
      <c r="S1753" s="21">
        <v>4</v>
      </c>
      <c r="T1753" s="22">
        <v>2.39</v>
      </c>
      <c r="U1753" s="13">
        <f t="shared" si="111"/>
        <v>-1.0899999999999999</v>
      </c>
      <c r="V1753" s="23">
        <v>292.77999999999997</v>
      </c>
      <c r="W1753" s="23">
        <v>292.77999999999997</v>
      </c>
      <c r="X1753" s="20" t="s">
        <v>3722</v>
      </c>
      <c r="Y1753" s="24" t="s">
        <v>3713</v>
      </c>
      <c r="Z1753" s="16">
        <v>225.78</v>
      </c>
      <c r="AA1753" s="17">
        <v>337</v>
      </c>
      <c r="AB1753" s="25" t="s">
        <v>3714</v>
      </c>
    </row>
    <row r="1754" spans="1:28" x14ac:dyDescent="0.45">
      <c r="A1754" s="4" t="s">
        <v>2351</v>
      </c>
      <c r="B1754" s="4" t="s">
        <v>6846</v>
      </c>
      <c r="C1754" s="4" t="s">
        <v>2137</v>
      </c>
      <c r="D1754" s="4" t="s">
        <v>2138</v>
      </c>
      <c r="E1754" s="4" t="s">
        <v>2139</v>
      </c>
      <c r="F1754" s="5">
        <v>35</v>
      </c>
      <c r="G1754" s="5">
        <v>45</v>
      </c>
      <c r="H1754" s="4" t="s">
        <v>1245</v>
      </c>
      <c r="I1754" s="10">
        <v>81</v>
      </c>
      <c r="J1754" s="34">
        <f t="shared" si="108"/>
        <v>0.70469999999999999</v>
      </c>
      <c r="K1754" s="34">
        <f t="shared" si="109"/>
        <v>1.06</v>
      </c>
      <c r="L1754" s="34">
        <f t="shared" si="110"/>
        <v>4.24</v>
      </c>
      <c r="M1754" s="11" t="s">
        <v>4801</v>
      </c>
      <c r="N1754" s="11" t="s">
        <v>4597</v>
      </c>
      <c r="O1754" s="11" t="s">
        <v>3892</v>
      </c>
      <c r="P1754" s="11" t="s">
        <v>4598</v>
      </c>
      <c r="Q1754" s="12">
        <v>35</v>
      </c>
      <c r="R1754" s="12">
        <v>45</v>
      </c>
      <c r="S1754" s="12">
        <v>5</v>
      </c>
      <c r="T1754" s="13">
        <v>3.49</v>
      </c>
      <c r="U1754" s="13">
        <f t="shared" si="111"/>
        <v>-0.75</v>
      </c>
      <c r="V1754" s="14">
        <v>427.52</v>
      </c>
      <c r="W1754" s="14">
        <v>427.52</v>
      </c>
      <c r="X1754" s="11">
        <v>43</v>
      </c>
      <c r="Y1754" s="15" t="s">
        <v>3713</v>
      </c>
      <c r="Z1754" s="16">
        <v>346.52</v>
      </c>
      <c r="AA1754" s="17">
        <v>427.8</v>
      </c>
      <c r="AB1754" s="18" t="s">
        <v>3714</v>
      </c>
    </row>
    <row r="1755" spans="1:28" x14ac:dyDescent="0.45">
      <c r="A1755" s="2" t="s">
        <v>2352</v>
      </c>
      <c r="B1755" s="2" t="s">
        <v>6847</v>
      </c>
      <c r="C1755" s="2" t="s">
        <v>2137</v>
      </c>
      <c r="D1755" s="2" t="s">
        <v>2138</v>
      </c>
      <c r="E1755" s="2" t="s">
        <v>2139</v>
      </c>
      <c r="F1755" s="3">
        <v>36.090000000000003</v>
      </c>
      <c r="G1755" s="3">
        <v>43.150000000000013</v>
      </c>
      <c r="H1755" s="2" t="s">
        <v>1156</v>
      </c>
      <c r="I1755" s="19">
        <v>42</v>
      </c>
      <c r="J1755" s="34">
        <f t="shared" si="108"/>
        <v>0.36539999999999995</v>
      </c>
      <c r="K1755" s="34">
        <f t="shared" si="109"/>
        <v>0.55000000000000004</v>
      </c>
      <c r="L1755" s="34">
        <f t="shared" si="110"/>
        <v>2.2000000000000002</v>
      </c>
      <c r="M1755" s="20" t="s">
        <v>4802</v>
      </c>
      <c r="N1755" s="20" t="s">
        <v>4597</v>
      </c>
      <c r="O1755" s="20" t="s">
        <v>3892</v>
      </c>
      <c r="P1755" s="20" t="s">
        <v>4598</v>
      </c>
      <c r="Q1755" s="21">
        <v>36.067999999999998</v>
      </c>
      <c r="R1755" s="21">
        <v>43.18</v>
      </c>
      <c r="S1755" s="21">
        <v>3.556</v>
      </c>
      <c r="T1755" s="22">
        <v>1.1499999999999999</v>
      </c>
      <c r="U1755" s="13">
        <f t="shared" si="111"/>
        <v>-1.0500000000000003</v>
      </c>
      <c r="V1755" s="23">
        <v>140.88</v>
      </c>
      <c r="W1755" s="23">
        <v>140.88</v>
      </c>
      <c r="X1755" s="20">
        <v>171</v>
      </c>
      <c r="Y1755" s="24" t="s">
        <v>3737</v>
      </c>
      <c r="Z1755" s="16">
        <v>98.88</v>
      </c>
      <c r="AA1755" s="17">
        <v>235.4</v>
      </c>
      <c r="AB1755" s="25" t="s">
        <v>3983</v>
      </c>
    </row>
    <row r="1756" spans="1:28" x14ac:dyDescent="0.45">
      <c r="A1756" s="4" t="s">
        <v>2353</v>
      </c>
      <c r="B1756" s="4" t="s">
        <v>6848</v>
      </c>
      <c r="C1756" s="4" t="s">
        <v>2137</v>
      </c>
      <c r="D1756" s="4" t="s">
        <v>2138</v>
      </c>
      <c r="E1756" s="4" t="s">
        <v>2139</v>
      </c>
      <c r="F1756" s="5">
        <v>36.17</v>
      </c>
      <c r="G1756" s="5">
        <v>41.41</v>
      </c>
      <c r="H1756" s="4" t="s">
        <v>1127</v>
      </c>
      <c r="I1756" s="10">
        <v>23</v>
      </c>
      <c r="J1756" s="34">
        <f t="shared" si="108"/>
        <v>0.2001</v>
      </c>
      <c r="K1756" s="34">
        <f t="shared" si="109"/>
        <v>0.3</v>
      </c>
      <c r="L1756" s="34">
        <f t="shared" si="110"/>
        <v>1.2</v>
      </c>
      <c r="M1756" s="11" t="s">
        <v>4803</v>
      </c>
      <c r="N1756" s="11" t="s">
        <v>4597</v>
      </c>
      <c r="O1756" s="11" t="s">
        <v>3892</v>
      </c>
      <c r="P1756" s="11" t="s">
        <v>4598</v>
      </c>
      <c r="Q1756" s="12">
        <v>36.067999999999998</v>
      </c>
      <c r="R1756" s="12">
        <v>41.402000000000001</v>
      </c>
      <c r="S1756" s="12">
        <v>2.54</v>
      </c>
      <c r="T1756" s="13">
        <v>0.56999999999999995</v>
      </c>
      <c r="U1756" s="13">
        <f t="shared" si="111"/>
        <v>-0.63</v>
      </c>
      <c r="V1756" s="14">
        <v>69.819999999999993</v>
      </c>
      <c r="W1756" s="14">
        <v>69.819999999999993</v>
      </c>
      <c r="X1756" s="11">
        <v>166</v>
      </c>
      <c r="Y1756" s="15" t="s">
        <v>3737</v>
      </c>
      <c r="Z1756" s="16">
        <v>46.819999999999993</v>
      </c>
      <c r="AA1756" s="17">
        <v>203.6</v>
      </c>
      <c r="AB1756" s="18" t="s">
        <v>3985</v>
      </c>
    </row>
    <row r="1757" spans="1:28" x14ac:dyDescent="0.45">
      <c r="A1757" s="2" t="s">
        <v>2354</v>
      </c>
      <c r="B1757" s="2" t="s">
        <v>6849</v>
      </c>
      <c r="C1757" s="2" t="s">
        <v>2137</v>
      </c>
      <c r="D1757" s="2" t="s">
        <v>2138</v>
      </c>
      <c r="E1757" s="2" t="s">
        <v>2139</v>
      </c>
      <c r="F1757" s="3">
        <v>36.200000000000003</v>
      </c>
      <c r="G1757" s="3">
        <v>41</v>
      </c>
      <c r="H1757" s="2" t="s">
        <v>1140</v>
      </c>
      <c r="I1757" s="19">
        <v>23</v>
      </c>
      <c r="J1757" s="34">
        <f t="shared" si="108"/>
        <v>0.2001</v>
      </c>
      <c r="K1757" s="34">
        <f t="shared" si="109"/>
        <v>0.3</v>
      </c>
      <c r="L1757" s="34">
        <f t="shared" si="110"/>
        <v>1.2</v>
      </c>
      <c r="M1757" s="20" t="s">
        <v>4804</v>
      </c>
      <c r="N1757" s="20" t="s">
        <v>4597</v>
      </c>
      <c r="O1757" s="20" t="s">
        <v>3892</v>
      </c>
      <c r="P1757" s="20" t="s">
        <v>4598</v>
      </c>
      <c r="Q1757" s="21">
        <v>36</v>
      </c>
      <c r="R1757" s="21">
        <v>41</v>
      </c>
      <c r="S1757" s="21">
        <v>2.5</v>
      </c>
      <c r="T1757" s="22">
        <v>1.07</v>
      </c>
      <c r="U1757" s="13">
        <f t="shared" si="111"/>
        <v>-0.12999999999999989</v>
      </c>
      <c r="V1757" s="23">
        <v>131.08000000000001</v>
      </c>
      <c r="W1757" s="23">
        <v>131.08000000000001</v>
      </c>
      <c r="X1757" s="20">
        <v>86</v>
      </c>
      <c r="Y1757" s="24" t="s">
        <v>3713</v>
      </c>
      <c r="Z1757" s="16">
        <v>108.08</v>
      </c>
      <c r="AA1757" s="17">
        <v>469.9</v>
      </c>
      <c r="AB1757" s="25" t="s">
        <v>4377</v>
      </c>
    </row>
    <row r="1758" spans="1:28" x14ac:dyDescent="0.45">
      <c r="A1758" s="4" t="s">
        <v>2355</v>
      </c>
      <c r="B1758" s="4" t="s">
        <v>6850</v>
      </c>
      <c r="C1758" s="4" t="s">
        <v>2137</v>
      </c>
      <c r="D1758" s="4" t="s">
        <v>2138</v>
      </c>
      <c r="E1758" s="4" t="s">
        <v>2139</v>
      </c>
      <c r="F1758" s="5">
        <v>36.5</v>
      </c>
      <c r="G1758" s="5">
        <v>42.5</v>
      </c>
      <c r="H1758" s="4" t="s">
        <v>1149</v>
      </c>
      <c r="I1758" s="10">
        <v>42</v>
      </c>
      <c r="J1758" s="34">
        <f t="shared" si="108"/>
        <v>0.36539999999999995</v>
      </c>
      <c r="K1758" s="34">
        <f t="shared" si="109"/>
        <v>0.55000000000000004</v>
      </c>
      <c r="L1758" s="34">
        <f t="shared" si="110"/>
        <v>2.2000000000000002</v>
      </c>
      <c r="M1758" s="11" t="s">
        <v>4805</v>
      </c>
      <c r="N1758" s="11" t="s">
        <v>4597</v>
      </c>
      <c r="O1758" s="11" t="s">
        <v>3892</v>
      </c>
      <c r="P1758" s="11" t="s">
        <v>4598</v>
      </c>
      <c r="Q1758" s="12">
        <v>36</v>
      </c>
      <c r="R1758" s="12">
        <v>42</v>
      </c>
      <c r="S1758" s="12">
        <v>3</v>
      </c>
      <c r="T1758" s="13">
        <v>1.36</v>
      </c>
      <c r="U1758" s="13">
        <f t="shared" si="111"/>
        <v>-0.84000000000000008</v>
      </c>
      <c r="V1758" s="14">
        <v>166.6</v>
      </c>
      <c r="W1758" s="14">
        <v>166.6</v>
      </c>
      <c r="X1758" s="11">
        <v>284</v>
      </c>
      <c r="Y1758" s="15" t="s">
        <v>3713</v>
      </c>
      <c r="Z1758" s="16">
        <v>124.6</v>
      </c>
      <c r="AA1758" s="17">
        <v>296.7</v>
      </c>
      <c r="AB1758" s="18" t="s">
        <v>4441</v>
      </c>
    </row>
    <row r="1759" spans="1:28" x14ac:dyDescent="0.45">
      <c r="A1759" s="2" t="s">
        <v>2356</v>
      </c>
      <c r="B1759" s="2" t="s">
        <v>6851</v>
      </c>
      <c r="C1759" s="2" t="s">
        <v>2137</v>
      </c>
      <c r="D1759" s="2" t="s">
        <v>2138</v>
      </c>
      <c r="E1759" s="2" t="s">
        <v>2139</v>
      </c>
      <c r="F1759" s="3">
        <v>36.5</v>
      </c>
      <c r="G1759" s="3">
        <v>43.56</v>
      </c>
      <c r="H1759" s="2" t="s">
        <v>1156</v>
      </c>
      <c r="I1759" s="19">
        <v>42</v>
      </c>
      <c r="J1759" s="34">
        <f t="shared" si="108"/>
        <v>0.36539999999999995</v>
      </c>
      <c r="K1759" s="34">
        <f t="shared" si="109"/>
        <v>0.55000000000000004</v>
      </c>
      <c r="L1759" s="34">
        <f t="shared" si="110"/>
        <v>2.2000000000000002</v>
      </c>
      <c r="M1759" s="20" t="s">
        <v>4806</v>
      </c>
      <c r="N1759" s="20" t="s">
        <v>4597</v>
      </c>
      <c r="O1759" s="20" t="s">
        <v>3892</v>
      </c>
      <c r="P1759" s="20" t="s">
        <v>4598</v>
      </c>
      <c r="Q1759" s="21">
        <v>36</v>
      </c>
      <c r="R1759" s="21">
        <v>44</v>
      </c>
      <c r="S1759" s="21">
        <v>4</v>
      </c>
      <c r="T1759" s="22">
        <v>2.36</v>
      </c>
      <c r="U1759" s="13">
        <f t="shared" si="111"/>
        <v>0.1599999999999997</v>
      </c>
      <c r="V1759" s="23">
        <v>289.10000000000002</v>
      </c>
      <c r="W1759" s="23">
        <v>289.10000000000002</v>
      </c>
      <c r="X1759" s="20" t="s">
        <v>3722</v>
      </c>
      <c r="Y1759" s="24" t="s">
        <v>3713</v>
      </c>
      <c r="Z1759" s="16">
        <v>247.1</v>
      </c>
      <c r="AA1759" s="17">
        <v>588.29999999999995</v>
      </c>
      <c r="AB1759" s="25" t="s">
        <v>4807</v>
      </c>
    </row>
    <row r="1760" spans="1:28" x14ac:dyDescent="0.45">
      <c r="A1760" s="4" t="s">
        <v>2357</v>
      </c>
      <c r="B1760" s="4" t="s">
        <v>6852</v>
      </c>
      <c r="C1760" s="4" t="s">
        <v>2137</v>
      </c>
      <c r="D1760" s="4" t="s">
        <v>2138</v>
      </c>
      <c r="E1760" s="4" t="s">
        <v>2139</v>
      </c>
      <c r="F1760" s="5">
        <v>36</v>
      </c>
      <c r="G1760" s="5">
        <v>40</v>
      </c>
      <c r="H1760" s="4" t="s">
        <v>1122</v>
      </c>
      <c r="I1760" s="10">
        <v>20</v>
      </c>
      <c r="J1760" s="34">
        <f t="shared" si="108"/>
        <v>0.17399999999999999</v>
      </c>
      <c r="K1760" s="34">
        <f t="shared" si="109"/>
        <v>0.26</v>
      </c>
      <c r="L1760" s="34">
        <f t="shared" si="110"/>
        <v>1.04</v>
      </c>
      <c r="M1760" s="11" t="s">
        <v>4808</v>
      </c>
      <c r="N1760" s="11" t="s">
        <v>4597</v>
      </c>
      <c r="O1760" s="11" t="s">
        <v>3892</v>
      </c>
      <c r="P1760" s="11" t="s">
        <v>4598</v>
      </c>
      <c r="Q1760" s="12">
        <v>36</v>
      </c>
      <c r="R1760" s="12">
        <v>40</v>
      </c>
      <c r="S1760" s="12">
        <v>2</v>
      </c>
      <c r="T1760" s="13">
        <v>1.17</v>
      </c>
      <c r="U1760" s="13">
        <f t="shared" si="111"/>
        <v>0.12999999999999989</v>
      </c>
      <c r="V1760" s="14">
        <v>143.32</v>
      </c>
      <c r="W1760" s="14">
        <v>143.32</v>
      </c>
      <c r="X1760" s="11">
        <v>65</v>
      </c>
      <c r="Y1760" s="15" t="s">
        <v>3713</v>
      </c>
      <c r="Z1760" s="16">
        <v>123.32</v>
      </c>
      <c r="AA1760" s="17">
        <v>616.6</v>
      </c>
      <c r="AB1760" s="18" t="s">
        <v>3714</v>
      </c>
    </row>
    <row r="1761" spans="1:28" x14ac:dyDescent="0.45">
      <c r="A1761" s="2" t="s">
        <v>2358</v>
      </c>
      <c r="B1761" s="2" t="s">
        <v>6853</v>
      </c>
      <c r="C1761" s="2" t="s">
        <v>2137</v>
      </c>
      <c r="D1761" s="2" t="s">
        <v>2138</v>
      </c>
      <c r="E1761" s="2" t="s">
        <v>2139</v>
      </c>
      <c r="F1761" s="3">
        <v>36</v>
      </c>
      <c r="G1761" s="3">
        <v>41</v>
      </c>
      <c r="H1761" s="2" t="s">
        <v>1135</v>
      </c>
      <c r="I1761" s="19">
        <v>22</v>
      </c>
      <c r="J1761" s="34">
        <f t="shared" si="108"/>
        <v>0.19139999999999999</v>
      </c>
      <c r="K1761" s="34">
        <f t="shared" si="109"/>
        <v>0.28999999999999998</v>
      </c>
      <c r="L1761" s="34">
        <f t="shared" si="110"/>
        <v>1.1599999999999999</v>
      </c>
      <c r="M1761" s="20" t="s">
        <v>4804</v>
      </c>
      <c r="N1761" s="20" t="s">
        <v>4597</v>
      </c>
      <c r="O1761" s="20" t="s">
        <v>3892</v>
      </c>
      <c r="P1761" s="20" t="s">
        <v>4598</v>
      </c>
      <c r="Q1761" s="21">
        <v>36</v>
      </c>
      <c r="R1761" s="21">
        <v>41</v>
      </c>
      <c r="S1761" s="21">
        <v>2.5</v>
      </c>
      <c r="T1761" s="22">
        <v>1.07</v>
      </c>
      <c r="U1761" s="13">
        <f t="shared" si="111"/>
        <v>-8.9999999999999858E-2</v>
      </c>
      <c r="V1761" s="23">
        <v>131.08000000000001</v>
      </c>
      <c r="W1761" s="23">
        <v>131.08000000000001</v>
      </c>
      <c r="X1761" s="20">
        <v>86</v>
      </c>
      <c r="Y1761" s="24" t="s">
        <v>3713</v>
      </c>
      <c r="Z1761" s="16">
        <v>109.08</v>
      </c>
      <c r="AA1761" s="17">
        <v>495.8</v>
      </c>
      <c r="AB1761" s="25" t="s">
        <v>3714</v>
      </c>
    </row>
    <row r="1762" spans="1:28" x14ac:dyDescent="0.45">
      <c r="A1762" s="4" t="s">
        <v>2359</v>
      </c>
      <c r="B1762" s="4" t="s">
        <v>6854</v>
      </c>
      <c r="C1762" s="4" t="s">
        <v>2137</v>
      </c>
      <c r="D1762" s="4" t="s">
        <v>2138</v>
      </c>
      <c r="E1762" s="4" t="s">
        <v>2139</v>
      </c>
      <c r="F1762" s="5">
        <v>36</v>
      </c>
      <c r="G1762" s="5">
        <v>42</v>
      </c>
      <c r="H1762" s="4" t="s">
        <v>1149</v>
      </c>
      <c r="I1762" s="10">
        <v>42</v>
      </c>
      <c r="J1762" s="34">
        <f t="shared" si="108"/>
        <v>0.36539999999999995</v>
      </c>
      <c r="K1762" s="34">
        <f t="shared" si="109"/>
        <v>0.55000000000000004</v>
      </c>
      <c r="L1762" s="34">
        <f t="shared" si="110"/>
        <v>2.2000000000000002</v>
      </c>
      <c r="M1762" s="36" t="s">
        <v>4805</v>
      </c>
      <c r="N1762" s="11" t="s">
        <v>4597</v>
      </c>
      <c r="O1762" s="11" t="s">
        <v>3892</v>
      </c>
      <c r="P1762" s="11" t="s">
        <v>4598</v>
      </c>
      <c r="Q1762" s="12">
        <v>36</v>
      </c>
      <c r="R1762" s="12">
        <v>42</v>
      </c>
      <c r="S1762" s="12">
        <v>3</v>
      </c>
      <c r="T1762" s="13">
        <v>1.36</v>
      </c>
      <c r="U1762" s="13">
        <f t="shared" si="111"/>
        <v>-0.84000000000000008</v>
      </c>
      <c r="V1762" s="14">
        <v>166.6</v>
      </c>
      <c r="W1762" s="14">
        <v>166.6</v>
      </c>
      <c r="X1762" s="11">
        <v>284</v>
      </c>
      <c r="Y1762" s="15" t="s">
        <v>3713</v>
      </c>
      <c r="Z1762" s="16">
        <v>124.6</v>
      </c>
      <c r="AA1762" s="17">
        <v>296.7</v>
      </c>
      <c r="AB1762" s="18" t="s">
        <v>3714</v>
      </c>
    </row>
    <row r="1763" spans="1:28" x14ac:dyDescent="0.45">
      <c r="A1763" s="2" t="s">
        <v>2360</v>
      </c>
      <c r="B1763" s="2" t="s">
        <v>6855</v>
      </c>
      <c r="C1763" s="2" t="s">
        <v>2137</v>
      </c>
      <c r="D1763" s="2" t="s">
        <v>2138</v>
      </c>
      <c r="E1763" s="2" t="s">
        <v>2139</v>
      </c>
      <c r="F1763" s="3">
        <v>36</v>
      </c>
      <c r="G1763" s="3">
        <v>43</v>
      </c>
      <c r="H1763" s="2" t="s">
        <v>1187</v>
      </c>
      <c r="I1763" s="19">
        <v>42</v>
      </c>
      <c r="J1763" s="34">
        <f t="shared" si="108"/>
        <v>0.36539999999999995</v>
      </c>
      <c r="K1763" s="34">
        <f t="shared" si="109"/>
        <v>0.55000000000000004</v>
      </c>
      <c r="L1763" s="34">
        <f t="shared" si="110"/>
        <v>2.2000000000000002</v>
      </c>
      <c r="M1763" s="20" t="s">
        <v>4802</v>
      </c>
      <c r="N1763" s="20" t="s">
        <v>4597</v>
      </c>
      <c r="O1763" s="20" t="s">
        <v>3892</v>
      </c>
      <c r="P1763" s="20" t="s">
        <v>4598</v>
      </c>
      <c r="Q1763" s="21">
        <v>36.067999999999998</v>
      </c>
      <c r="R1763" s="21">
        <v>43.18</v>
      </c>
      <c r="S1763" s="21">
        <v>3.556</v>
      </c>
      <c r="T1763" s="22">
        <v>1.1499999999999999</v>
      </c>
      <c r="U1763" s="13">
        <f t="shared" si="111"/>
        <v>-1.0500000000000003</v>
      </c>
      <c r="V1763" s="23">
        <v>140.88</v>
      </c>
      <c r="W1763" s="23">
        <v>140.88</v>
      </c>
      <c r="X1763" s="20">
        <v>171</v>
      </c>
      <c r="Y1763" s="24" t="s">
        <v>3737</v>
      </c>
      <c r="Z1763" s="16">
        <v>98.88</v>
      </c>
      <c r="AA1763" s="17">
        <v>235.4</v>
      </c>
      <c r="AB1763" s="25" t="s">
        <v>4809</v>
      </c>
    </row>
    <row r="1764" spans="1:28" x14ac:dyDescent="0.45">
      <c r="A1764" s="4" t="s">
        <v>2361</v>
      </c>
      <c r="B1764" s="4" t="s">
        <v>6856</v>
      </c>
      <c r="C1764" s="4" t="s">
        <v>2137</v>
      </c>
      <c r="D1764" s="4" t="s">
        <v>2138</v>
      </c>
      <c r="E1764" s="4" t="s">
        <v>2139</v>
      </c>
      <c r="F1764" s="5">
        <v>37.1</v>
      </c>
      <c r="G1764" s="5">
        <v>40.299999999999997</v>
      </c>
      <c r="H1764" s="4" t="s">
        <v>1514</v>
      </c>
      <c r="I1764" s="10">
        <v>18</v>
      </c>
      <c r="J1764" s="34">
        <f t="shared" si="108"/>
        <v>0.15659999999999999</v>
      </c>
      <c r="K1764" s="34">
        <f t="shared" si="109"/>
        <v>0.23</v>
      </c>
      <c r="L1764" s="34">
        <f t="shared" si="110"/>
        <v>0.92</v>
      </c>
      <c r="M1764" s="11" t="s">
        <v>4810</v>
      </c>
      <c r="N1764" s="11" t="s">
        <v>4597</v>
      </c>
      <c r="O1764" s="11" t="s">
        <v>3892</v>
      </c>
      <c r="P1764" s="11" t="s">
        <v>4598</v>
      </c>
      <c r="Q1764" s="12">
        <v>37.1</v>
      </c>
      <c r="R1764" s="12">
        <v>40.299999999999997</v>
      </c>
      <c r="S1764" s="12">
        <v>1.6</v>
      </c>
      <c r="T1764" s="13">
        <v>0.39</v>
      </c>
      <c r="U1764" s="13">
        <f t="shared" si="111"/>
        <v>-0.53</v>
      </c>
      <c r="V1764" s="14">
        <v>47.78</v>
      </c>
      <c r="W1764" s="14">
        <v>47.78</v>
      </c>
      <c r="X1764" s="11">
        <v>105</v>
      </c>
      <c r="Y1764" s="15" t="s">
        <v>3713</v>
      </c>
      <c r="Z1764" s="16">
        <v>29.78</v>
      </c>
      <c r="AA1764" s="17">
        <v>165.4</v>
      </c>
      <c r="AB1764" s="18" t="s">
        <v>3714</v>
      </c>
    </row>
    <row r="1765" spans="1:28" x14ac:dyDescent="0.45">
      <c r="A1765" s="2" t="s">
        <v>2362</v>
      </c>
      <c r="B1765" s="2" t="s">
        <v>6857</v>
      </c>
      <c r="C1765" s="2" t="s">
        <v>2137</v>
      </c>
      <c r="D1765" s="2" t="s">
        <v>2138</v>
      </c>
      <c r="E1765" s="2" t="s">
        <v>2139</v>
      </c>
      <c r="F1765" s="3">
        <v>37.47</v>
      </c>
      <c r="G1765" s="3">
        <v>48.13</v>
      </c>
      <c r="H1765" s="2" t="s">
        <v>1201</v>
      </c>
      <c r="I1765" s="19">
        <v>86</v>
      </c>
      <c r="J1765" s="34">
        <f t="shared" si="108"/>
        <v>0.74819999999999998</v>
      </c>
      <c r="K1765" s="34">
        <f t="shared" si="109"/>
        <v>1.1200000000000001</v>
      </c>
      <c r="L1765" s="34">
        <f t="shared" si="110"/>
        <v>4.4800000000000004</v>
      </c>
      <c r="M1765" s="20" t="s">
        <v>4811</v>
      </c>
      <c r="N1765" s="20" t="s">
        <v>4597</v>
      </c>
      <c r="O1765" s="20" t="s">
        <v>3892</v>
      </c>
      <c r="P1765" s="20" t="s">
        <v>4598</v>
      </c>
      <c r="Q1765" s="21">
        <v>37.591999999999999</v>
      </c>
      <c r="R1765" s="21">
        <v>48.26</v>
      </c>
      <c r="S1765" s="21">
        <v>5.3339999999999996</v>
      </c>
      <c r="T1765" s="22">
        <v>2.48</v>
      </c>
      <c r="U1765" s="13">
        <f t="shared" si="111"/>
        <v>-2.0000000000000004</v>
      </c>
      <c r="V1765" s="23">
        <v>303.8</v>
      </c>
      <c r="W1765" s="23">
        <v>303.8</v>
      </c>
      <c r="X1765" s="20">
        <v>32</v>
      </c>
      <c r="Y1765" s="24" t="s">
        <v>3737</v>
      </c>
      <c r="Z1765" s="16">
        <v>217.8</v>
      </c>
      <c r="AA1765" s="17">
        <v>253.3</v>
      </c>
      <c r="AB1765" s="25" t="s">
        <v>4016</v>
      </c>
    </row>
    <row r="1766" spans="1:28" x14ac:dyDescent="0.45">
      <c r="A1766" s="4" t="s">
        <v>2363</v>
      </c>
      <c r="B1766" s="4" t="s">
        <v>6858</v>
      </c>
      <c r="C1766" s="4" t="s">
        <v>2137</v>
      </c>
      <c r="D1766" s="4" t="s">
        <v>2138</v>
      </c>
      <c r="E1766" s="4" t="s">
        <v>2139</v>
      </c>
      <c r="F1766" s="5">
        <v>37.4</v>
      </c>
      <c r="G1766" s="5">
        <v>43.6</v>
      </c>
      <c r="H1766" s="4" t="s">
        <v>1221</v>
      </c>
      <c r="I1766" s="10">
        <v>44</v>
      </c>
      <c r="J1766" s="34">
        <f t="shared" si="108"/>
        <v>0.38279999999999997</v>
      </c>
      <c r="K1766" s="34">
        <f t="shared" si="109"/>
        <v>0.56999999999999995</v>
      </c>
      <c r="L1766" s="34">
        <f t="shared" si="110"/>
        <v>2.2799999999999998</v>
      </c>
      <c r="M1766" s="11" t="s">
        <v>4812</v>
      </c>
      <c r="N1766" s="11" t="s">
        <v>4597</v>
      </c>
      <c r="O1766" s="11" t="s">
        <v>3892</v>
      </c>
      <c r="P1766" s="11" t="s">
        <v>4598</v>
      </c>
      <c r="Q1766" s="12">
        <v>37</v>
      </c>
      <c r="R1766" s="12">
        <v>43</v>
      </c>
      <c r="S1766" s="12">
        <v>3</v>
      </c>
      <c r="T1766" s="13">
        <v>1.66</v>
      </c>
      <c r="U1766" s="13">
        <f t="shared" si="111"/>
        <v>-0.61999999999999988</v>
      </c>
      <c r="V1766" s="14">
        <v>203.35</v>
      </c>
      <c r="W1766" s="14">
        <v>203.35</v>
      </c>
      <c r="X1766" s="11">
        <v>207</v>
      </c>
      <c r="Y1766" s="15" t="s">
        <v>3713</v>
      </c>
      <c r="Z1766" s="16">
        <v>159.35</v>
      </c>
      <c r="AA1766" s="17">
        <v>362.2</v>
      </c>
      <c r="AB1766" s="18" t="s">
        <v>4813</v>
      </c>
    </row>
    <row r="1767" spans="1:28" x14ac:dyDescent="0.45">
      <c r="A1767" s="2" t="s">
        <v>2364</v>
      </c>
      <c r="B1767" s="2" t="s">
        <v>6859</v>
      </c>
      <c r="C1767" s="2" t="s">
        <v>2137</v>
      </c>
      <c r="D1767" s="2" t="s">
        <v>2138</v>
      </c>
      <c r="E1767" s="2" t="s">
        <v>2139</v>
      </c>
      <c r="F1767" s="3">
        <v>37.5</v>
      </c>
      <c r="G1767" s="3">
        <v>43.5</v>
      </c>
      <c r="H1767" s="2" t="s">
        <v>1149</v>
      </c>
      <c r="I1767" s="19">
        <v>44</v>
      </c>
      <c r="J1767" s="34">
        <f t="shared" si="108"/>
        <v>0.38279999999999997</v>
      </c>
      <c r="K1767" s="34">
        <f t="shared" si="109"/>
        <v>0.56999999999999995</v>
      </c>
      <c r="L1767" s="34">
        <f t="shared" si="110"/>
        <v>2.2799999999999998</v>
      </c>
      <c r="M1767" s="20" t="s">
        <v>4812</v>
      </c>
      <c r="N1767" s="20" t="s">
        <v>4597</v>
      </c>
      <c r="O1767" s="20" t="s">
        <v>3892</v>
      </c>
      <c r="P1767" s="20" t="s">
        <v>4598</v>
      </c>
      <c r="Q1767" s="21">
        <v>37</v>
      </c>
      <c r="R1767" s="21">
        <v>43</v>
      </c>
      <c r="S1767" s="21">
        <v>3</v>
      </c>
      <c r="T1767" s="22">
        <v>1.66</v>
      </c>
      <c r="U1767" s="13">
        <f t="shared" si="111"/>
        <v>-0.61999999999999988</v>
      </c>
      <c r="V1767" s="23">
        <v>203.35</v>
      </c>
      <c r="W1767" s="23">
        <v>203.35</v>
      </c>
      <c r="X1767" s="20">
        <v>207</v>
      </c>
      <c r="Y1767" s="24" t="s">
        <v>3713</v>
      </c>
      <c r="Z1767" s="16">
        <v>159.35</v>
      </c>
      <c r="AA1767" s="17">
        <v>362.2</v>
      </c>
      <c r="AB1767" s="25" t="s">
        <v>4441</v>
      </c>
    </row>
    <row r="1768" spans="1:28" x14ac:dyDescent="0.45">
      <c r="A1768" s="4" t="s">
        <v>2365</v>
      </c>
      <c r="B1768" s="4" t="s">
        <v>6860</v>
      </c>
      <c r="C1768" s="4" t="s">
        <v>2137</v>
      </c>
      <c r="D1768" s="4" t="s">
        <v>2138</v>
      </c>
      <c r="E1768" s="4" t="s">
        <v>2139</v>
      </c>
      <c r="F1768" s="5">
        <v>37.69</v>
      </c>
      <c r="G1768" s="5">
        <v>44.75</v>
      </c>
      <c r="H1768" s="4" t="s">
        <v>1156</v>
      </c>
      <c r="I1768" s="10">
        <v>44</v>
      </c>
      <c r="J1768" s="34">
        <f t="shared" si="108"/>
        <v>0.38279999999999997</v>
      </c>
      <c r="K1768" s="34">
        <f t="shared" si="109"/>
        <v>0.56999999999999995</v>
      </c>
      <c r="L1768" s="34">
        <f t="shared" si="110"/>
        <v>2.2799999999999998</v>
      </c>
      <c r="M1768" s="11" t="s">
        <v>4814</v>
      </c>
      <c r="N1768" s="11" t="s">
        <v>4597</v>
      </c>
      <c r="O1768" s="11" t="s">
        <v>3892</v>
      </c>
      <c r="P1768" s="11" t="s">
        <v>4598</v>
      </c>
      <c r="Q1768" s="12">
        <v>38</v>
      </c>
      <c r="R1768" s="12">
        <v>44</v>
      </c>
      <c r="S1768" s="12">
        <v>3</v>
      </c>
      <c r="T1768" s="13">
        <v>1.42</v>
      </c>
      <c r="U1768" s="13">
        <f t="shared" si="111"/>
        <v>-0.85999999999999988</v>
      </c>
      <c r="V1768" s="14">
        <v>173.95</v>
      </c>
      <c r="W1768" s="14">
        <v>173.95</v>
      </c>
      <c r="X1768" s="11">
        <v>95</v>
      </c>
      <c r="Y1768" s="15" t="s">
        <v>3713</v>
      </c>
      <c r="Z1768" s="16">
        <v>129.94999999999999</v>
      </c>
      <c r="AA1768" s="17">
        <v>295.3</v>
      </c>
      <c r="AB1768" s="18" t="s">
        <v>4815</v>
      </c>
    </row>
    <row r="1769" spans="1:28" x14ac:dyDescent="0.45">
      <c r="A1769" s="2" t="s">
        <v>2366</v>
      </c>
      <c r="B1769" s="2" t="s">
        <v>6861</v>
      </c>
      <c r="C1769" s="2" t="s">
        <v>2137</v>
      </c>
      <c r="D1769" s="2" t="s">
        <v>2138</v>
      </c>
      <c r="E1769" s="2" t="s">
        <v>2139</v>
      </c>
      <c r="F1769" s="3">
        <v>37.770000000000003</v>
      </c>
      <c r="G1769" s="3">
        <v>43.010000000000012</v>
      </c>
      <c r="H1769" s="2" t="s">
        <v>1127</v>
      </c>
      <c r="I1769" s="19">
        <v>23</v>
      </c>
      <c r="J1769" s="34">
        <f t="shared" si="108"/>
        <v>0.2001</v>
      </c>
      <c r="K1769" s="34">
        <f t="shared" si="109"/>
        <v>0.3</v>
      </c>
      <c r="L1769" s="34">
        <f t="shared" si="110"/>
        <v>1.2</v>
      </c>
      <c r="M1769" s="20" t="s">
        <v>4816</v>
      </c>
      <c r="N1769" s="20" t="s">
        <v>4597</v>
      </c>
      <c r="O1769" s="20" t="s">
        <v>3892</v>
      </c>
      <c r="P1769" s="20" t="s">
        <v>4598</v>
      </c>
      <c r="Q1769" s="21">
        <v>38</v>
      </c>
      <c r="R1769" s="21">
        <v>43</v>
      </c>
      <c r="S1769" s="21">
        <v>2.5</v>
      </c>
      <c r="T1769" s="22">
        <v>1.27</v>
      </c>
      <c r="U1769" s="13">
        <f t="shared" si="111"/>
        <v>7.0000000000000062E-2</v>
      </c>
      <c r="V1769" s="23">
        <v>155.57</v>
      </c>
      <c r="W1769" s="23">
        <v>155.57</v>
      </c>
      <c r="X1769" s="20">
        <v>1775</v>
      </c>
      <c r="Y1769" s="24" t="s">
        <v>3713</v>
      </c>
      <c r="Z1769" s="16">
        <v>132.57</v>
      </c>
      <c r="AA1769" s="17">
        <v>576.4</v>
      </c>
      <c r="AB1769" s="25" t="s">
        <v>3928</v>
      </c>
    </row>
    <row r="1770" spans="1:28" x14ac:dyDescent="0.45">
      <c r="A1770" s="4" t="s">
        <v>2367</v>
      </c>
      <c r="B1770" s="4" t="s">
        <v>6862</v>
      </c>
      <c r="C1770" s="4" t="s">
        <v>2137</v>
      </c>
      <c r="D1770" s="4" t="s">
        <v>2138</v>
      </c>
      <c r="E1770" s="4" t="s">
        <v>2139</v>
      </c>
      <c r="F1770" s="5">
        <v>37.700000000000003</v>
      </c>
      <c r="G1770" s="5">
        <v>44.7</v>
      </c>
      <c r="H1770" s="4" t="s">
        <v>1187</v>
      </c>
      <c r="I1770" s="10">
        <v>44</v>
      </c>
      <c r="J1770" s="34">
        <f t="shared" si="108"/>
        <v>0.38279999999999997</v>
      </c>
      <c r="K1770" s="34">
        <f t="shared" si="109"/>
        <v>0.56999999999999995</v>
      </c>
      <c r="L1770" s="34">
        <f t="shared" si="110"/>
        <v>2.2799999999999998</v>
      </c>
      <c r="M1770" s="11" t="s">
        <v>4814</v>
      </c>
      <c r="N1770" s="11" t="s">
        <v>4597</v>
      </c>
      <c r="O1770" s="11" t="s">
        <v>3892</v>
      </c>
      <c r="P1770" s="11" t="s">
        <v>4598</v>
      </c>
      <c r="Q1770" s="12">
        <v>38</v>
      </c>
      <c r="R1770" s="12">
        <v>44</v>
      </c>
      <c r="S1770" s="12">
        <v>3</v>
      </c>
      <c r="T1770" s="13">
        <v>1.42</v>
      </c>
      <c r="U1770" s="13">
        <f t="shared" si="111"/>
        <v>-0.85999999999999988</v>
      </c>
      <c r="V1770" s="14">
        <v>173.95</v>
      </c>
      <c r="W1770" s="14">
        <v>173.95</v>
      </c>
      <c r="X1770" s="11">
        <v>95</v>
      </c>
      <c r="Y1770" s="15" t="s">
        <v>3713</v>
      </c>
      <c r="Z1770" s="16">
        <v>129.94999999999999</v>
      </c>
      <c r="AA1770" s="17">
        <v>295.3</v>
      </c>
      <c r="AB1770" s="18" t="s">
        <v>4817</v>
      </c>
    </row>
    <row r="1771" spans="1:28" x14ac:dyDescent="0.45">
      <c r="A1771" s="2" t="s">
        <v>2368</v>
      </c>
      <c r="B1771" s="2" t="s">
        <v>6863</v>
      </c>
      <c r="C1771" s="2" t="s">
        <v>2137</v>
      </c>
      <c r="D1771" s="2" t="s">
        <v>2138</v>
      </c>
      <c r="E1771" s="2" t="s">
        <v>2139</v>
      </c>
      <c r="F1771" s="3">
        <v>37.82</v>
      </c>
      <c r="G1771" s="3">
        <v>41.38</v>
      </c>
      <c r="H1771" s="2" t="s">
        <v>1114</v>
      </c>
      <c r="I1771" s="19">
        <v>18</v>
      </c>
      <c r="J1771" s="34">
        <f t="shared" si="108"/>
        <v>0.15659999999999999</v>
      </c>
      <c r="K1771" s="34">
        <f t="shared" si="109"/>
        <v>0.23</v>
      </c>
      <c r="L1771" s="34">
        <f t="shared" si="110"/>
        <v>0.92</v>
      </c>
      <c r="M1771" s="20" t="s">
        <v>4818</v>
      </c>
      <c r="N1771" s="20" t="s">
        <v>4597</v>
      </c>
      <c r="O1771" s="20" t="s">
        <v>3892</v>
      </c>
      <c r="P1771" s="20" t="s">
        <v>4598</v>
      </c>
      <c r="Q1771" s="21">
        <v>37.845999999999997</v>
      </c>
      <c r="R1771" s="21">
        <v>41.402000000000001</v>
      </c>
      <c r="S1771" s="21">
        <v>1.778</v>
      </c>
      <c r="T1771" s="22">
        <v>0.64</v>
      </c>
      <c r="U1771" s="13">
        <f t="shared" si="111"/>
        <v>-0.28000000000000003</v>
      </c>
      <c r="V1771" s="23">
        <v>78.400000000000006</v>
      </c>
      <c r="W1771" s="23">
        <v>78.400000000000006</v>
      </c>
      <c r="X1771" s="20">
        <v>591</v>
      </c>
      <c r="Y1771" s="24" t="s">
        <v>3737</v>
      </c>
      <c r="Z1771" s="16">
        <v>60.400000000000013</v>
      </c>
      <c r="AA1771" s="17">
        <v>335.6</v>
      </c>
      <c r="AB1771" s="25" t="s">
        <v>3967</v>
      </c>
    </row>
    <row r="1772" spans="1:28" x14ac:dyDescent="0.45">
      <c r="A1772" s="4" t="s">
        <v>2369</v>
      </c>
      <c r="B1772" s="4" t="s">
        <v>6864</v>
      </c>
      <c r="C1772" s="4" t="s">
        <v>2137</v>
      </c>
      <c r="D1772" s="4" t="s">
        <v>2138</v>
      </c>
      <c r="E1772" s="4" t="s">
        <v>2139</v>
      </c>
      <c r="F1772" s="5">
        <v>37</v>
      </c>
      <c r="G1772" s="5">
        <v>42</v>
      </c>
      <c r="H1772" s="4" t="s">
        <v>1135</v>
      </c>
      <c r="I1772" s="10">
        <v>23</v>
      </c>
      <c r="J1772" s="34">
        <f t="shared" si="108"/>
        <v>0.2001</v>
      </c>
      <c r="K1772" s="34">
        <f t="shared" si="109"/>
        <v>0.3</v>
      </c>
      <c r="L1772" s="34">
        <f t="shared" si="110"/>
        <v>1.2</v>
      </c>
      <c r="M1772" s="11" t="s">
        <v>4805</v>
      </c>
      <c r="N1772" s="11" t="s">
        <v>4597</v>
      </c>
      <c r="O1772" s="11" t="s">
        <v>3892</v>
      </c>
      <c r="P1772" s="11" t="s">
        <v>4598</v>
      </c>
      <c r="Q1772" s="12">
        <v>36</v>
      </c>
      <c r="R1772" s="12">
        <v>42</v>
      </c>
      <c r="S1772" s="12">
        <v>3</v>
      </c>
      <c r="T1772" s="13">
        <v>1.36</v>
      </c>
      <c r="U1772" s="13">
        <f t="shared" si="111"/>
        <v>0.16000000000000014</v>
      </c>
      <c r="V1772" s="14">
        <v>166.6</v>
      </c>
      <c r="W1772" s="14">
        <v>166.6</v>
      </c>
      <c r="X1772" s="11">
        <v>284</v>
      </c>
      <c r="Y1772" s="15" t="s">
        <v>3713</v>
      </c>
      <c r="Z1772" s="16">
        <v>143.6</v>
      </c>
      <c r="AA1772" s="17">
        <v>624.29999999999995</v>
      </c>
      <c r="AB1772" s="18" t="s">
        <v>3819</v>
      </c>
    </row>
    <row r="1773" spans="1:28" x14ac:dyDescent="0.45">
      <c r="A1773" s="2" t="s">
        <v>2370</v>
      </c>
      <c r="B1773" s="2" t="s">
        <v>6865</v>
      </c>
      <c r="C1773" s="2" t="s">
        <v>2137</v>
      </c>
      <c r="D1773" s="2" t="s">
        <v>2138</v>
      </c>
      <c r="E1773" s="2" t="s">
        <v>2139</v>
      </c>
      <c r="F1773" s="3">
        <v>38.700000000000003</v>
      </c>
      <c r="G1773" s="3">
        <v>45.7</v>
      </c>
      <c r="H1773" s="2" t="s">
        <v>1187</v>
      </c>
      <c r="I1773" s="19">
        <v>45</v>
      </c>
      <c r="J1773" s="34">
        <f t="shared" si="108"/>
        <v>0.39149999999999996</v>
      </c>
      <c r="K1773" s="34">
        <f t="shared" si="109"/>
        <v>0.59</v>
      </c>
      <c r="L1773" s="34">
        <f t="shared" si="110"/>
        <v>2.36</v>
      </c>
      <c r="M1773" s="20" t="s">
        <v>4819</v>
      </c>
      <c r="N1773" s="20" t="s">
        <v>4597</v>
      </c>
      <c r="O1773" s="20" t="s">
        <v>3892</v>
      </c>
      <c r="P1773" s="20" t="s">
        <v>4598</v>
      </c>
      <c r="Q1773" s="21">
        <v>38</v>
      </c>
      <c r="R1773" s="21">
        <v>46</v>
      </c>
      <c r="S1773" s="21">
        <v>4</v>
      </c>
      <c r="T1773" s="22">
        <v>1.1100000000000001</v>
      </c>
      <c r="U1773" s="13">
        <f t="shared" si="111"/>
        <v>-1.2499999999999998</v>
      </c>
      <c r="V1773" s="23">
        <v>135.97999999999999</v>
      </c>
      <c r="W1773" s="23">
        <v>135.97999999999999</v>
      </c>
      <c r="X1773" s="20">
        <v>21</v>
      </c>
      <c r="Y1773" s="24" t="s">
        <v>3713</v>
      </c>
      <c r="Z1773" s="16">
        <v>90.97999999999999</v>
      </c>
      <c r="AA1773" s="17">
        <v>202.2</v>
      </c>
      <c r="AB1773" s="25" t="s">
        <v>4683</v>
      </c>
    </row>
    <row r="1774" spans="1:28" x14ac:dyDescent="0.45">
      <c r="A1774" s="4" t="s">
        <v>2371</v>
      </c>
      <c r="B1774" s="4" t="s">
        <v>6866</v>
      </c>
      <c r="C1774" s="4" t="s">
        <v>2137</v>
      </c>
      <c r="D1774" s="4" t="s">
        <v>2138</v>
      </c>
      <c r="E1774" s="4" t="s">
        <v>2139</v>
      </c>
      <c r="F1774" s="5">
        <v>38</v>
      </c>
      <c r="G1774" s="5">
        <v>42</v>
      </c>
      <c r="H1774" s="4" t="s">
        <v>1122</v>
      </c>
      <c r="I1774" s="10">
        <v>20</v>
      </c>
      <c r="J1774" s="34">
        <f t="shared" si="108"/>
        <v>0.17399999999999999</v>
      </c>
      <c r="K1774" s="34">
        <f t="shared" si="109"/>
        <v>0.26</v>
      </c>
      <c r="L1774" s="34">
        <f t="shared" si="110"/>
        <v>1.04</v>
      </c>
      <c r="M1774" s="11" t="s">
        <v>4820</v>
      </c>
      <c r="N1774" s="11" t="s">
        <v>4597</v>
      </c>
      <c r="O1774" s="11" t="s">
        <v>3892</v>
      </c>
      <c r="P1774" s="11" t="s">
        <v>4598</v>
      </c>
      <c r="Q1774" s="12">
        <v>38</v>
      </c>
      <c r="R1774" s="12">
        <v>42</v>
      </c>
      <c r="S1774" s="12">
        <v>2</v>
      </c>
      <c r="T1774" s="13">
        <v>1.02</v>
      </c>
      <c r="U1774" s="13">
        <f t="shared" si="111"/>
        <v>-2.0000000000000018E-2</v>
      </c>
      <c r="V1774" s="14">
        <v>124.95</v>
      </c>
      <c r="W1774" s="14">
        <v>124.95</v>
      </c>
      <c r="X1774" s="11">
        <v>159</v>
      </c>
      <c r="Y1774" s="15" t="s">
        <v>3713</v>
      </c>
      <c r="Z1774" s="16">
        <v>104.95</v>
      </c>
      <c r="AA1774" s="17">
        <v>524.79999999999995</v>
      </c>
      <c r="AB1774" s="18" t="s">
        <v>3714</v>
      </c>
    </row>
    <row r="1775" spans="1:28" x14ac:dyDescent="0.45">
      <c r="A1775" s="2" t="s">
        <v>2372</v>
      </c>
      <c r="B1775" s="2" t="s">
        <v>6867</v>
      </c>
      <c r="C1775" s="2" t="s">
        <v>2137</v>
      </c>
      <c r="D1775" s="2" t="s">
        <v>2138</v>
      </c>
      <c r="E1775" s="2" t="s">
        <v>2139</v>
      </c>
      <c r="F1775" s="3">
        <v>38</v>
      </c>
      <c r="G1775" s="3">
        <v>42.8</v>
      </c>
      <c r="H1775" s="2" t="s">
        <v>1140</v>
      </c>
      <c r="I1775" s="19">
        <v>23</v>
      </c>
      <c r="J1775" s="34">
        <f t="shared" si="108"/>
        <v>0.2001</v>
      </c>
      <c r="K1775" s="34">
        <f t="shared" si="109"/>
        <v>0.3</v>
      </c>
      <c r="L1775" s="34">
        <f t="shared" si="110"/>
        <v>1.2</v>
      </c>
      <c r="M1775" s="20" t="s">
        <v>4816</v>
      </c>
      <c r="N1775" s="20" t="s">
        <v>4597</v>
      </c>
      <c r="O1775" s="20" t="s">
        <v>3892</v>
      </c>
      <c r="P1775" s="20" t="s">
        <v>4598</v>
      </c>
      <c r="Q1775" s="21">
        <v>38</v>
      </c>
      <c r="R1775" s="21">
        <v>43</v>
      </c>
      <c r="S1775" s="21">
        <v>2.5</v>
      </c>
      <c r="T1775" s="22">
        <v>1.27</v>
      </c>
      <c r="U1775" s="13">
        <f t="shared" si="111"/>
        <v>7.0000000000000062E-2</v>
      </c>
      <c r="V1775" s="23">
        <v>155.57</v>
      </c>
      <c r="W1775" s="23">
        <v>155.57</v>
      </c>
      <c r="X1775" s="20">
        <v>1775</v>
      </c>
      <c r="Y1775" s="24" t="s">
        <v>3713</v>
      </c>
      <c r="Z1775" s="16">
        <v>132.57</v>
      </c>
      <c r="AA1775" s="17">
        <v>576.4</v>
      </c>
      <c r="AB1775" s="25" t="s">
        <v>3793</v>
      </c>
    </row>
    <row r="1776" spans="1:28" x14ac:dyDescent="0.45">
      <c r="A1776" s="4" t="s">
        <v>2373</v>
      </c>
      <c r="B1776" s="4" t="s">
        <v>6868</v>
      </c>
      <c r="C1776" s="4" t="s">
        <v>2137</v>
      </c>
      <c r="D1776" s="4" t="s">
        <v>2138</v>
      </c>
      <c r="E1776" s="4" t="s">
        <v>2139</v>
      </c>
      <c r="F1776" s="5">
        <v>38</v>
      </c>
      <c r="G1776" s="5">
        <v>45</v>
      </c>
      <c r="H1776" s="4" t="s">
        <v>1187</v>
      </c>
      <c r="I1776" s="10">
        <v>44</v>
      </c>
      <c r="J1776" s="34">
        <f t="shared" si="108"/>
        <v>0.38279999999999997</v>
      </c>
      <c r="K1776" s="34">
        <f t="shared" si="109"/>
        <v>0.56999999999999995</v>
      </c>
      <c r="L1776" s="34">
        <f t="shared" si="110"/>
        <v>2.2799999999999998</v>
      </c>
      <c r="M1776" s="11" t="s">
        <v>4814</v>
      </c>
      <c r="N1776" s="11" t="s">
        <v>4597</v>
      </c>
      <c r="O1776" s="11" t="s">
        <v>3892</v>
      </c>
      <c r="P1776" s="11" t="s">
        <v>4598</v>
      </c>
      <c r="Q1776" s="12">
        <v>38</v>
      </c>
      <c r="R1776" s="12">
        <v>44</v>
      </c>
      <c r="S1776" s="12">
        <v>3</v>
      </c>
      <c r="T1776" s="13">
        <v>1.42</v>
      </c>
      <c r="U1776" s="13">
        <f t="shared" si="111"/>
        <v>-0.85999999999999988</v>
      </c>
      <c r="V1776" s="14">
        <v>173.95</v>
      </c>
      <c r="W1776" s="14">
        <v>173.95</v>
      </c>
      <c r="X1776" s="11">
        <v>95</v>
      </c>
      <c r="Y1776" s="15" t="s">
        <v>3713</v>
      </c>
      <c r="Z1776" s="16">
        <v>129.94999999999999</v>
      </c>
      <c r="AA1776" s="17">
        <v>295.3</v>
      </c>
      <c r="AB1776" s="18" t="s">
        <v>3786</v>
      </c>
    </row>
    <row r="1777" spans="1:28" x14ac:dyDescent="0.45">
      <c r="A1777" s="2" t="s">
        <v>2374</v>
      </c>
      <c r="B1777" s="2" t="s">
        <v>6869</v>
      </c>
      <c r="C1777" s="2" t="s">
        <v>2137</v>
      </c>
      <c r="D1777" s="2" t="s">
        <v>2138</v>
      </c>
      <c r="E1777" s="2" t="s">
        <v>2139</v>
      </c>
      <c r="F1777" s="3">
        <v>38</v>
      </c>
      <c r="G1777" s="3">
        <v>46</v>
      </c>
      <c r="H1777" s="2" t="s">
        <v>1216</v>
      </c>
      <c r="I1777" s="19">
        <v>72</v>
      </c>
      <c r="J1777" s="34">
        <f t="shared" si="108"/>
        <v>0.62639999999999996</v>
      </c>
      <c r="K1777" s="34">
        <f t="shared" si="109"/>
        <v>0.94</v>
      </c>
      <c r="L1777" s="34">
        <f t="shared" si="110"/>
        <v>3.76</v>
      </c>
      <c r="M1777" s="20" t="s">
        <v>4819</v>
      </c>
      <c r="N1777" s="20" t="s">
        <v>4597</v>
      </c>
      <c r="O1777" s="20" t="s">
        <v>3892</v>
      </c>
      <c r="P1777" s="20" t="s">
        <v>4598</v>
      </c>
      <c r="Q1777" s="21">
        <v>38</v>
      </c>
      <c r="R1777" s="21">
        <v>46</v>
      </c>
      <c r="S1777" s="21">
        <v>4</v>
      </c>
      <c r="T1777" s="22">
        <v>1.1100000000000001</v>
      </c>
      <c r="U1777" s="13">
        <f t="shared" si="111"/>
        <v>-2.6499999999999995</v>
      </c>
      <c r="V1777" s="23">
        <v>135.97999999999999</v>
      </c>
      <c r="W1777" s="23">
        <v>135.97999999999999</v>
      </c>
      <c r="X1777" s="20">
        <v>21</v>
      </c>
      <c r="Y1777" s="24" t="s">
        <v>3713</v>
      </c>
      <c r="Z1777" s="16">
        <v>63.97999999999999</v>
      </c>
      <c r="AA1777" s="17">
        <v>88.9</v>
      </c>
      <c r="AB1777" s="25" t="s">
        <v>3714</v>
      </c>
    </row>
    <row r="1778" spans="1:28" x14ac:dyDescent="0.45">
      <c r="A1778" s="4" t="s">
        <v>2375</v>
      </c>
      <c r="B1778" s="4" t="s">
        <v>6870</v>
      </c>
      <c r="C1778" s="4" t="s">
        <v>2137</v>
      </c>
      <c r="D1778" s="4" t="s">
        <v>2138</v>
      </c>
      <c r="E1778" s="4" t="s">
        <v>2139</v>
      </c>
      <c r="F1778" s="5">
        <v>39.340000000000003</v>
      </c>
      <c r="G1778" s="5">
        <v>44.580000000000013</v>
      </c>
      <c r="H1778" s="4" t="s">
        <v>1127</v>
      </c>
      <c r="I1778" s="10">
        <v>25</v>
      </c>
      <c r="J1778" s="34">
        <f t="shared" si="108"/>
        <v>0.21749999999999997</v>
      </c>
      <c r="K1778" s="34">
        <f t="shared" si="109"/>
        <v>0.33</v>
      </c>
      <c r="L1778" s="34">
        <f t="shared" si="110"/>
        <v>1.32</v>
      </c>
      <c r="M1778" s="11" t="s">
        <v>4821</v>
      </c>
      <c r="N1778" s="11" t="s">
        <v>4597</v>
      </c>
      <c r="O1778" s="11" t="s">
        <v>3892</v>
      </c>
      <c r="P1778" s="11" t="s">
        <v>4598</v>
      </c>
      <c r="Q1778" s="12">
        <v>39.369999999999997</v>
      </c>
      <c r="R1778" s="12">
        <v>44.45</v>
      </c>
      <c r="S1778" s="12">
        <v>2.54</v>
      </c>
      <c r="T1778" s="13">
        <v>1.08</v>
      </c>
      <c r="U1778" s="13">
        <f t="shared" si="111"/>
        <v>-0.24</v>
      </c>
      <c r="V1778" s="14">
        <v>132.30000000000001</v>
      </c>
      <c r="W1778" s="14">
        <v>132.30000000000001</v>
      </c>
      <c r="X1778" s="11">
        <v>279</v>
      </c>
      <c r="Y1778" s="15" t="s">
        <v>3737</v>
      </c>
      <c r="Z1778" s="16">
        <v>107.3</v>
      </c>
      <c r="AA1778" s="17">
        <v>429.2</v>
      </c>
      <c r="AB1778" s="18" t="s">
        <v>4001</v>
      </c>
    </row>
    <row r="1779" spans="1:28" x14ac:dyDescent="0.45">
      <c r="A1779" s="2" t="s">
        <v>2376</v>
      </c>
      <c r="B1779" s="2" t="s">
        <v>6871</v>
      </c>
      <c r="C1779" s="2" t="s">
        <v>2137</v>
      </c>
      <c r="D1779" s="2" t="s">
        <v>2138</v>
      </c>
      <c r="E1779" s="2" t="s">
        <v>2139</v>
      </c>
      <c r="F1779" s="3">
        <v>39.450000000000003</v>
      </c>
      <c r="G1779" s="3">
        <v>43.010000000000012</v>
      </c>
      <c r="H1779" s="2" t="s">
        <v>1114</v>
      </c>
      <c r="I1779" s="19">
        <v>18</v>
      </c>
      <c r="J1779" s="34">
        <f t="shared" si="108"/>
        <v>0.15659999999999999</v>
      </c>
      <c r="K1779" s="34">
        <f t="shared" si="109"/>
        <v>0.23</v>
      </c>
      <c r="L1779" s="34">
        <f t="shared" si="110"/>
        <v>0.92</v>
      </c>
      <c r="M1779" s="20" t="s">
        <v>4822</v>
      </c>
      <c r="N1779" s="20" t="s">
        <v>4597</v>
      </c>
      <c r="O1779" s="20" t="s">
        <v>3892</v>
      </c>
      <c r="P1779" s="20" t="s">
        <v>4598</v>
      </c>
      <c r="Q1779" s="21">
        <v>39</v>
      </c>
      <c r="R1779" s="21">
        <v>43</v>
      </c>
      <c r="S1779" s="21">
        <v>2</v>
      </c>
      <c r="T1779" s="22">
        <v>0.48</v>
      </c>
      <c r="U1779" s="13">
        <f t="shared" si="111"/>
        <v>-0.44000000000000006</v>
      </c>
      <c r="V1779" s="23">
        <v>58.8</v>
      </c>
      <c r="W1779" s="23">
        <v>58.8</v>
      </c>
      <c r="X1779" s="20">
        <v>26</v>
      </c>
      <c r="Y1779" s="24" t="s">
        <v>3713</v>
      </c>
      <c r="Z1779" s="16">
        <v>40.799999999999997</v>
      </c>
      <c r="AA1779" s="17">
        <v>226.7</v>
      </c>
      <c r="AB1779" s="25" t="s">
        <v>4823</v>
      </c>
    </row>
    <row r="1780" spans="1:28" x14ac:dyDescent="0.45">
      <c r="A1780" s="4" t="s">
        <v>2377</v>
      </c>
      <c r="B1780" s="4" t="s">
        <v>6872</v>
      </c>
      <c r="C1780" s="4" t="s">
        <v>2137</v>
      </c>
      <c r="D1780" s="4" t="s">
        <v>2138</v>
      </c>
      <c r="E1780" s="4" t="s">
        <v>2139</v>
      </c>
      <c r="F1780" s="5">
        <v>39.4</v>
      </c>
      <c r="G1780" s="5">
        <v>45.6</v>
      </c>
      <c r="H1780" s="4" t="s">
        <v>1221</v>
      </c>
      <c r="I1780" s="10">
        <v>45</v>
      </c>
      <c r="J1780" s="34">
        <f t="shared" si="108"/>
        <v>0.39149999999999996</v>
      </c>
      <c r="K1780" s="34">
        <f t="shared" si="109"/>
        <v>0.59</v>
      </c>
      <c r="L1780" s="34">
        <f t="shared" si="110"/>
        <v>2.36</v>
      </c>
      <c r="M1780" s="11" t="s">
        <v>4824</v>
      </c>
      <c r="N1780" s="11" t="s">
        <v>4597</v>
      </c>
      <c r="O1780" s="11" t="s">
        <v>3892</v>
      </c>
      <c r="P1780" s="11" t="s">
        <v>4598</v>
      </c>
      <c r="Q1780" s="12">
        <v>39.5</v>
      </c>
      <c r="R1780" s="12">
        <v>45.5</v>
      </c>
      <c r="S1780" s="12">
        <v>3</v>
      </c>
      <c r="T1780" s="13">
        <v>1.45</v>
      </c>
      <c r="U1780" s="13">
        <f t="shared" si="111"/>
        <v>-0.90999999999999992</v>
      </c>
      <c r="V1780" s="14">
        <v>177.62</v>
      </c>
      <c r="W1780" s="14">
        <v>177.62</v>
      </c>
      <c r="X1780" s="11">
        <v>50</v>
      </c>
      <c r="Y1780" s="15" t="s">
        <v>3713</v>
      </c>
      <c r="Z1780" s="16">
        <v>132.62</v>
      </c>
      <c r="AA1780" s="17">
        <v>294.7</v>
      </c>
      <c r="AB1780" s="18" t="s">
        <v>4119</v>
      </c>
    </row>
    <row r="1781" spans="1:28" x14ac:dyDescent="0.45">
      <c r="A1781" s="2" t="s">
        <v>2378</v>
      </c>
      <c r="B1781" s="2" t="s">
        <v>6873</v>
      </c>
      <c r="C1781" s="2" t="s">
        <v>2137</v>
      </c>
      <c r="D1781" s="2" t="s">
        <v>2138</v>
      </c>
      <c r="E1781" s="2" t="s">
        <v>2139</v>
      </c>
      <c r="F1781" s="3">
        <v>39.700000000000003</v>
      </c>
      <c r="G1781" s="3">
        <v>46.7</v>
      </c>
      <c r="H1781" s="2" t="s">
        <v>1187</v>
      </c>
      <c r="I1781" s="19">
        <v>45</v>
      </c>
      <c r="J1781" s="34">
        <f t="shared" si="108"/>
        <v>0.39149999999999996</v>
      </c>
      <c r="K1781" s="34">
        <f t="shared" si="109"/>
        <v>0.59</v>
      </c>
      <c r="L1781" s="34">
        <f t="shared" si="110"/>
        <v>2.36</v>
      </c>
      <c r="M1781" s="20" t="s">
        <v>4825</v>
      </c>
      <c r="N1781" s="20" t="s">
        <v>4597</v>
      </c>
      <c r="O1781" s="20" t="s">
        <v>3892</v>
      </c>
      <c r="P1781" s="20" t="s">
        <v>4598</v>
      </c>
      <c r="Q1781" s="21">
        <v>39.624000000000002</v>
      </c>
      <c r="R1781" s="21">
        <v>46.735999999999997</v>
      </c>
      <c r="S1781" s="21">
        <v>3.556</v>
      </c>
      <c r="T1781" s="22">
        <v>2.04</v>
      </c>
      <c r="U1781" s="13">
        <f t="shared" si="111"/>
        <v>-0.31999999999999984</v>
      </c>
      <c r="V1781" s="23">
        <v>249.9</v>
      </c>
      <c r="W1781" s="23">
        <v>249.9</v>
      </c>
      <c r="X1781" s="20">
        <v>58</v>
      </c>
      <c r="Y1781" s="24" t="s">
        <v>3737</v>
      </c>
      <c r="Z1781" s="16">
        <v>204.9</v>
      </c>
      <c r="AA1781" s="17">
        <v>455.3</v>
      </c>
      <c r="AB1781" s="25" t="s">
        <v>4826</v>
      </c>
    </row>
    <row r="1782" spans="1:28" x14ac:dyDescent="0.45">
      <c r="A1782" s="4" t="s">
        <v>2379</v>
      </c>
      <c r="B1782" s="4" t="s">
        <v>6874</v>
      </c>
      <c r="C1782" s="4" t="s">
        <v>2137</v>
      </c>
      <c r="D1782" s="4" t="s">
        <v>2138</v>
      </c>
      <c r="E1782" s="4" t="s">
        <v>2139</v>
      </c>
      <c r="F1782" s="5">
        <v>39</v>
      </c>
      <c r="G1782" s="5">
        <v>44</v>
      </c>
      <c r="H1782" s="4" t="s">
        <v>1135</v>
      </c>
      <c r="I1782" s="10">
        <v>25</v>
      </c>
      <c r="J1782" s="34">
        <f t="shared" si="108"/>
        <v>0.21749999999999997</v>
      </c>
      <c r="K1782" s="34">
        <f t="shared" si="109"/>
        <v>0.33</v>
      </c>
      <c r="L1782" s="34">
        <f t="shared" si="110"/>
        <v>1.32</v>
      </c>
      <c r="M1782" s="11" t="s">
        <v>4814</v>
      </c>
      <c r="N1782" s="11" t="s">
        <v>4597</v>
      </c>
      <c r="O1782" s="11" t="s">
        <v>3892</v>
      </c>
      <c r="P1782" s="11" t="s">
        <v>4598</v>
      </c>
      <c r="Q1782" s="12">
        <v>38</v>
      </c>
      <c r="R1782" s="12">
        <v>44</v>
      </c>
      <c r="S1782" s="12">
        <v>3</v>
      </c>
      <c r="T1782" s="13">
        <v>1.42</v>
      </c>
      <c r="U1782" s="13">
        <f t="shared" si="111"/>
        <v>9.9999999999999867E-2</v>
      </c>
      <c r="V1782" s="14">
        <v>173.95</v>
      </c>
      <c r="W1782" s="14">
        <v>173.95</v>
      </c>
      <c r="X1782" s="11">
        <v>95</v>
      </c>
      <c r="Y1782" s="15" t="s">
        <v>3713</v>
      </c>
      <c r="Z1782" s="16">
        <v>148.94999999999999</v>
      </c>
      <c r="AA1782" s="17">
        <v>595.79999999999995</v>
      </c>
      <c r="AB1782" s="18" t="s">
        <v>3819</v>
      </c>
    </row>
    <row r="1783" spans="1:28" x14ac:dyDescent="0.45">
      <c r="A1783" s="2" t="s">
        <v>2380</v>
      </c>
      <c r="B1783" s="2" t="s">
        <v>6875</v>
      </c>
      <c r="C1783" s="2" t="s">
        <v>2137</v>
      </c>
      <c r="D1783" s="2" t="s">
        <v>2138</v>
      </c>
      <c r="E1783" s="2" t="s">
        <v>2139</v>
      </c>
      <c r="F1783" s="3">
        <v>40.64</v>
      </c>
      <c r="G1783" s="3">
        <v>51.3</v>
      </c>
      <c r="H1783" s="2" t="s">
        <v>1201</v>
      </c>
      <c r="I1783" s="19">
        <v>93</v>
      </c>
      <c r="J1783" s="34">
        <f t="shared" si="108"/>
        <v>0.80909999999999993</v>
      </c>
      <c r="K1783" s="34">
        <f t="shared" si="109"/>
        <v>1.21</v>
      </c>
      <c r="L1783" s="34">
        <f t="shared" si="110"/>
        <v>4.84</v>
      </c>
      <c r="M1783" s="20" t="s">
        <v>4827</v>
      </c>
      <c r="N1783" s="20" t="s">
        <v>4597</v>
      </c>
      <c r="O1783" s="20" t="s">
        <v>3892</v>
      </c>
      <c r="P1783" s="20" t="s">
        <v>4598</v>
      </c>
      <c r="Q1783" s="21">
        <v>40.64</v>
      </c>
      <c r="R1783" s="21">
        <v>51.308</v>
      </c>
      <c r="S1783" s="21">
        <v>5.3339999999999996</v>
      </c>
      <c r="T1783" s="22">
        <v>5.8</v>
      </c>
      <c r="U1783" s="13">
        <f t="shared" si="111"/>
        <v>0.96</v>
      </c>
      <c r="V1783" s="23">
        <v>710.5</v>
      </c>
      <c r="W1783" s="23">
        <v>710.5</v>
      </c>
      <c r="X1783" s="20">
        <v>26</v>
      </c>
      <c r="Y1783" s="24" t="s">
        <v>3737</v>
      </c>
      <c r="Z1783" s="16">
        <v>617.5</v>
      </c>
      <c r="AA1783" s="17">
        <v>664</v>
      </c>
      <c r="AB1783" s="25" t="s">
        <v>4032</v>
      </c>
    </row>
    <row r="1784" spans="1:28" x14ac:dyDescent="0.45">
      <c r="A1784" s="4" t="s">
        <v>2381</v>
      </c>
      <c r="B1784" s="4" t="s">
        <v>6876</v>
      </c>
      <c r="C1784" s="4" t="s">
        <v>2137</v>
      </c>
      <c r="D1784" s="4" t="s">
        <v>2138</v>
      </c>
      <c r="E1784" s="4" t="s">
        <v>2139</v>
      </c>
      <c r="F1784" s="5">
        <v>40.700000000000003</v>
      </c>
      <c r="G1784" s="5">
        <v>47.7</v>
      </c>
      <c r="H1784" s="4" t="s">
        <v>1187</v>
      </c>
      <c r="I1784" s="10">
        <v>47</v>
      </c>
      <c r="J1784" s="34">
        <f t="shared" si="108"/>
        <v>0.40889999999999999</v>
      </c>
      <c r="K1784" s="34">
        <f t="shared" si="109"/>
        <v>0.61</v>
      </c>
      <c r="L1784" s="34">
        <f t="shared" si="110"/>
        <v>2.44</v>
      </c>
      <c r="M1784" s="11" t="s">
        <v>4828</v>
      </c>
      <c r="N1784" s="11" t="s">
        <v>4597</v>
      </c>
      <c r="O1784" s="11" t="s">
        <v>3892</v>
      </c>
      <c r="P1784" s="11" t="s">
        <v>4598</v>
      </c>
      <c r="Q1784" s="12">
        <v>40.893999999999998</v>
      </c>
      <c r="R1784" s="12">
        <v>48.006</v>
      </c>
      <c r="S1784" s="12">
        <v>3.556</v>
      </c>
      <c r="T1784" s="13">
        <v>2.02</v>
      </c>
      <c r="U1784" s="13">
        <f t="shared" si="111"/>
        <v>-0.41999999999999993</v>
      </c>
      <c r="V1784" s="14">
        <v>247.45</v>
      </c>
      <c r="W1784" s="14">
        <v>247.45</v>
      </c>
      <c r="X1784" s="11">
        <v>269</v>
      </c>
      <c r="Y1784" s="15" t="s">
        <v>3737</v>
      </c>
      <c r="Z1784" s="16">
        <v>200.45</v>
      </c>
      <c r="AA1784" s="17">
        <v>426.5</v>
      </c>
      <c r="AB1784" s="18" t="s">
        <v>4829</v>
      </c>
    </row>
    <row r="1785" spans="1:28" x14ac:dyDescent="0.45">
      <c r="A1785" s="2" t="s">
        <v>2382</v>
      </c>
      <c r="B1785" s="2" t="s">
        <v>6877</v>
      </c>
      <c r="C1785" s="2" t="s">
        <v>2137</v>
      </c>
      <c r="D1785" s="2" t="s">
        <v>2138</v>
      </c>
      <c r="E1785" s="2" t="s">
        <v>2139</v>
      </c>
      <c r="F1785" s="3">
        <v>40.869999999999997</v>
      </c>
      <c r="G1785" s="3">
        <v>47.93</v>
      </c>
      <c r="H1785" s="2" t="s">
        <v>1156</v>
      </c>
      <c r="I1785" s="19">
        <v>47</v>
      </c>
      <c r="J1785" s="34">
        <f t="shared" si="108"/>
        <v>0.40889999999999999</v>
      </c>
      <c r="K1785" s="34">
        <f t="shared" si="109"/>
        <v>0.61</v>
      </c>
      <c r="L1785" s="34">
        <f t="shared" si="110"/>
        <v>2.44</v>
      </c>
      <c r="M1785" s="20" t="s">
        <v>4828</v>
      </c>
      <c r="N1785" s="20" t="s">
        <v>4597</v>
      </c>
      <c r="O1785" s="20" t="s">
        <v>3892</v>
      </c>
      <c r="P1785" s="20" t="s">
        <v>4598</v>
      </c>
      <c r="Q1785" s="21">
        <v>40.893999999999998</v>
      </c>
      <c r="R1785" s="21">
        <v>48.006</v>
      </c>
      <c r="S1785" s="21">
        <v>3.556</v>
      </c>
      <c r="T1785" s="22">
        <v>2.02</v>
      </c>
      <c r="U1785" s="13">
        <f t="shared" si="111"/>
        <v>-0.41999999999999993</v>
      </c>
      <c r="V1785" s="23">
        <v>247.45</v>
      </c>
      <c r="W1785" s="23">
        <v>247.45</v>
      </c>
      <c r="X1785" s="20">
        <v>269</v>
      </c>
      <c r="Y1785" s="24" t="s">
        <v>3737</v>
      </c>
      <c r="Z1785" s="16">
        <v>200.45</v>
      </c>
      <c r="AA1785" s="17">
        <v>426.5</v>
      </c>
      <c r="AB1785" s="25" t="s">
        <v>3945</v>
      </c>
    </row>
    <row r="1786" spans="1:28" x14ac:dyDescent="0.45">
      <c r="A1786" s="4" t="s">
        <v>2383</v>
      </c>
      <c r="B1786" s="4" t="s">
        <v>6878</v>
      </c>
      <c r="C1786" s="4" t="s">
        <v>2137</v>
      </c>
      <c r="D1786" s="4" t="s">
        <v>2138</v>
      </c>
      <c r="E1786" s="4" t="s">
        <v>2139</v>
      </c>
      <c r="F1786" s="5">
        <v>40.94</v>
      </c>
      <c r="G1786" s="5">
        <v>46.18</v>
      </c>
      <c r="H1786" s="4" t="s">
        <v>1127</v>
      </c>
      <c r="I1786" s="10">
        <v>25</v>
      </c>
      <c r="J1786" s="34">
        <f t="shared" si="108"/>
        <v>0.21749999999999997</v>
      </c>
      <c r="K1786" s="34">
        <f t="shared" si="109"/>
        <v>0.33</v>
      </c>
      <c r="L1786" s="34">
        <f t="shared" si="110"/>
        <v>1.32</v>
      </c>
      <c r="M1786" s="11" t="s">
        <v>4830</v>
      </c>
      <c r="N1786" s="11" t="s">
        <v>4597</v>
      </c>
      <c r="O1786" s="11" t="s">
        <v>3892</v>
      </c>
      <c r="P1786" s="11" t="s">
        <v>4598</v>
      </c>
      <c r="Q1786" s="12">
        <v>40.893999999999998</v>
      </c>
      <c r="R1786" s="12">
        <v>46.228000000000002</v>
      </c>
      <c r="S1786" s="12">
        <v>2.54</v>
      </c>
      <c r="T1786" s="13">
        <v>0.68</v>
      </c>
      <c r="U1786" s="13">
        <f t="shared" si="111"/>
        <v>-0.64</v>
      </c>
      <c r="V1786" s="14">
        <v>83.3</v>
      </c>
      <c r="W1786" s="14">
        <v>83.3</v>
      </c>
      <c r="X1786" s="11">
        <v>41</v>
      </c>
      <c r="Y1786" s="15" t="s">
        <v>3737</v>
      </c>
      <c r="Z1786" s="16">
        <v>58.3</v>
      </c>
      <c r="AA1786" s="17">
        <v>233.2</v>
      </c>
      <c r="AB1786" s="18" t="s">
        <v>3920</v>
      </c>
    </row>
    <row r="1787" spans="1:28" x14ac:dyDescent="0.45">
      <c r="A1787" s="2" t="s">
        <v>2384</v>
      </c>
      <c r="B1787" s="2" t="s">
        <v>6879</v>
      </c>
      <c r="C1787" s="2" t="s">
        <v>2137</v>
      </c>
      <c r="D1787" s="2" t="s">
        <v>2138</v>
      </c>
      <c r="E1787" s="2" t="s">
        <v>2139</v>
      </c>
      <c r="F1787" s="3">
        <v>40</v>
      </c>
      <c r="G1787" s="3">
        <v>45</v>
      </c>
      <c r="H1787" s="2" t="s">
        <v>1135</v>
      </c>
      <c r="I1787" s="19">
        <v>25</v>
      </c>
      <c r="J1787" s="34">
        <f t="shared" si="108"/>
        <v>0.21749999999999997</v>
      </c>
      <c r="K1787" s="34">
        <f t="shared" si="109"/>
        <v>0.33</v>
      </c>
      <c r="L1787" s="34">
        <f t="shared" si="110"/>
        <v>1.32</v>
      </c>
      <c r="M1787" s="20" t="s">
        <v>4831</v>
      </c>
      <c r="N1787" s="20" t="s">
        <v>4597</v>
      </c>
      <c r="O1787" s="20" t="s">
        <v>3892</v>
      </c>
      <c r="P1787" s="20" t="s">
        <v>4598</v>
      </c>
      <c r="Q1787" s="21">
        <v>40</v>
      </c>
      <c r="R1787" s="21">
        <v>45</v>
      </c>
      <c r="S1787" s="21">
        <v>2.5</v>
      </c>
      <c r="T1787" s="22">
        <v>1.32</v>
      </c>
      <c r="U1787" s="13">
        <f t="shared" si="111"/>
        <v>0</v>
      </c>
      <c r="V1787" s="23">
        <v>161.69999999999999</v>
      </c>
      <c r="W1787" s="23">
        <v>161.69999999999999</v>
      </c>
      <c r="X1787" s="20">
        <v>50</v>
      </c>
      <c r="Y1787" s="24" t="s">
        <v>3713</v>
      </c>
      <c r="Z1787" s="16">
        <v>136.69999999999999</v>
      </c>
      <c r="AA1787" s="17">
        <v>546.79999999999995</v>
      </c>
      <c r="AB1787" s="25" t="s">
        <v>3714</v>
      </c>
    </row>
    <row r="1788" spans="1:28" x14ac:dyDescent="0.45">
      <c r="A1788" s="4" t="s">
        <v>2385</v>
      </c>
      <c r="B1788" s="4" t="s">
        <v>6880</v>
      </c>
      <c r="C1788" s="4" t="s">
        <v>2137</v>
      </c>
      <c r="D1788" s="4" t="s">
        <v>2138</v>
      </c>
      <c r="E1788" s="4" t="s">
        <v>2139</v>
      </c>
      <c r="F1788" s="5">
        <v>40</v>
      </c>
      <c r="G1788" s="5">
        <v>46</v>
      </c>
      <c r="H1788" s="4" t="s">
        <v>1149</v>
      </c>
      <c r="I1788" s="10">
        <v>45</v>
      </c>
      <c r="J1788" s="34">
        <f t="shared" si="108"/>
        <v>0.39149999999999996</v>
      </c>
      <c r="K1788" s="34">
        <f t="shared" si="109"/>
        <v>0.59</v>
      </c>
      <c r="L1788" s="34">
        <f t="shared" si="110"/>
        <v>2.36</v>
      </c>
      <c r="M1788" s="11" t="s">
        <v>4832</v>
      </c>
      <c r="N1788" s="11" t="s">
        <v>4597</v>
      </c>
      <c r="O1788" s="11" t="s">
        <v>3892</v>
      </c>
      <c r="P1788" s="11" t="s">
        <v>4598</v>
      </c>
      <c r="Q1788" s="12">
        <v>40</v>
      </c>
      <c r="R1788" s="12">
        <v>46</v>
      </c>
      <c r="S1788" s="12">
        <v>3</v>
      </c>
      <c r="T1788" s="13">
        <v>1.5</v>
      </c>
      <c r="U1788" s="13">
        <f t="shared" si="111"/>
        <v>-0.85999999999999988</v>
      </c>
      <c r="V1788" s="14">
        <v>183.75</v>
      </c>
      <c r="W1788" s="14">
        <v>183.75</v>
      </c>
      <c r="X1788" s="11">
        <v>1574</v>
      </c>
      <c r="Y1788" s="15" t="s">
        <v>3713</v>
      </c>
      <c r="Z1788" s="16">
        <v>138.75</v>
      </c>
      <c r="AA1788" s="17">
        <v>308.3</v>
      </c>
      <c r="AB1788" s="18" t="s">
        <v>3714</v>
      </c>
    </row>
    <row r="1789" spans="1:28" x14ac:dyDescent="0.45">
      <c r="A1789" s="2" t="s">
        <v>2386</v>
      </c>
      <c r="B1789" s="2" t="s">
        <v>6881</v>
      </c>
      <c r="C1789" s="2" t="s">
        <v>2137</v>
      </c>
      <c r="D1789" s="2" t="s">
        <v>2138</v>
      </c>
      <c r="E1789" s="2" t="s">
        <v>2139</v>
      </c>
      <c r="F1789" s="3">
        <v>40</v>
      </c>
      <c r="G1789" s="3">
        <v>50</v>
      </c>
      <c r="H1789" s="2" t="s">
        <v>1245</v>
      </c>
      <c r="I1789" s="19">
        <v>91</v>
      </c>
      <c r="J1789" s="34">
        <f t="shared" si="108"/>
        <v>0.79169999999999996</v>
      </c>
      <c r="K1789" s="34">
        <f t="shared" si="109"/>
        <v>1.19</v>
      </c>
      <c r="L1789" s="34">
        <f t="shared" si="110"/>
        <v>4.76</v>
      </c>
      <c r="M1789" s="20" t="s">
        <v>4833</v>
      </c>
      <c r="N1789" s="20" t="s">
        <v>4597</v>
      </c>
      <c r="O1789" s="20" t="s">
        <v>3892</v>
      </c>
      <c r="P1789" s="20" t="s">
        <v>4598</v>
      </c>
      <c r="Q1789" s="21">
        <v>41</v>
      </c>
      <c r="R1789" s="21">
        <v>49</v>
      </c>
      <c r="S1789" s="21">
        <v>4</v>
      </c>
      <c r="T1789" s="22">
        <v>2.77</v>
      </c>
      <c r="U1789" s="13">
        <f t="shared" si="111"/>
        <v>-1.9899999999999998</v>
      </c>
      <c r="V1789" s="23">
        <v>339.32</v>
      </c>
      <c r="W1789" s="23">
        <v>339.32</v>
      </c>
      <c r="X1789" s="20">
        <v>52</v>
      </c>
      <c r="Y1789" s="24" t="s">
        <v>3713</v>
      </c>
      <c r="Z1789" s="16">
        <v>248.32</v>
      </c>
      <c r="AA1789" s="17">
        <v>272.89999999999998</v>
      </c>
      <c r="AB1789" s="25" t="s">
        <v>3783</v>
      </c>
    </row>
    <row r="1790" spans="1:28" x14ac:dyDescent="0.45">
      <c r="A1790" s="4" t="s">
        <v>2387</v>
      </c>
      <c r="B1790" s="4" t="s">
        <v>6882</v>
      </c>
      <c r="C1790" s="4" t="s">
        <v>2137</v>
      </c>
      <c r="D1790" s="4" t="s">
        <v>2138</v>
      </c>
      <c r="E1790" s="4" t="s">
        <v>2139</v>
      </c>
      <c r="F1790" s="5">
        <v>41.2</v>
      </c>
      <c r="G1790" s="5">
        <v>47.2</v>
      </c>
      <c r="H1790" s="4" t="s">
        <v>1149</v>
      </c>
      <c r="I1790" s="10">
        <v>47</v>
      </c>
      <c r="J1790" s="34">
        <f t="shared" si="108"/>
        <v>0.40889999999999999</v>
      </c>
      <c r="K1790" s="34">
        <f t="shared" si="109"/>
        <v>0.61</v>
      </c>
      <c r="L1790" s="34">
        <f t="shared" si="110"/>
        <v>2.44</v>
      </c>
      <c r="M1790" s="11" t="s">
        <v>4834</v>
      </c>
      <c r="N1790" s="11" t="s">
        <v>4597</v>
      </c>
      <c r="O1790" s="11" t="s">
        <v>3892</v>
      </c>
      <c r="P1790" s="11" t="s">
        <v>4598</v>
      </c>
      <c r="Q1790" s="12">
        <v>41</v>
      </c>
      <c r="R1790" s="12">
        <v>47</v>
      </c>
      <c r="S1790" s="12">
        <v>3</v>
      </c>
      <c r="T1790" s="13">
        <v>1.46</v>
      </c>
      <c r="U1790" s="13">
        <f t="shared" si="111"/>
        <v>-0.98</v>
      </c>
      <c r="V1790" s="14">
        <v>178.85</v>
      </c>
      <c r="W1790" s="14">
        <v>178.85</v>
      </c>
      <c r="X1790" s="11">
        <v>77</v>
      </c>
      <c r="Y1790" s="15" t="s">
        <v>3713</v>
      </c>
      <c r="Z1790" s="16">
        <v>131.85</v>
      </c>
      <c r="AA1790" s="17">
        <v>280.5</v>
      </c>
      <c r="AB1790" s="18" t="s">
        <v>4435</v>
      </c>
    </row>
    <row r="1791" spans="1:28" x14ac:dyDescent="0.45">
      <c r="A1791" s="2" t="s">
        <v>2388</v>
      </c>
      <c r="B1791" s="2" t="s">
        <v>6883</v>
      </c>
      <c r="C1791" s="2" t="s">
        <v>2137</v>
      </c>
      <c r="D1791" s="2" t="s">
        <v>2138</v>
      </c>
      <c r="E1791" s="2" t="s">
        <v>2139</v>
      </c>
      <c r="F1791" s="3">
        <v>41.7</v>
      </c>
      <c r="G1791" s="3">
        <v>47.900000000000013</v>
      </c>
      <c r="H1791" s="2" t="s">
        <v>1221</v>
      </c>
      <c r="I1791" s="19">
        <v>49</v>
      </c>
      <c r="J1791" s="34">
        <f t="shared" si="108"/>
        <v>0.42629999999999996</v>
      </c>
      <c r="K1791" s="34">
        <f t="shared" si="109"/>
        <v>0.64</v>
      </c>
      <c r="L1791" s="34">
        <f t="shared" si="110"/>
        <v>2.56</v>
      </c>
      <c r="M1791" s="20" t="s">
        <v>4835</v>
      </c>
      <c r="N1791" s="20" t="s">
        <v>4597</v>
      </c>
      <c r="O1791" s="20" t="s">
        <v>3892</v>
      </c>
      <c r="P1791" s="20" t="s">
        <v>4598</v>
      </c>
      <c r="Q1791" s="21">
        <v>42</v>
      </c>
      <c r="R1791" s="21">
        <v>48</v>
      </c>
      <c r="S1791" s="21">
        <v>3</v>
      </c>
      <c r="T1791" s="22">
        <v>1.61</v>
      </c>
      <c r="U1791" s="13">
        <f t="shared" si="111"/>
        <v>-0.95</v>
      </c>
      <c r="V1791" s="23">
        <v>197.23</v>
      </c>
      <c r="W1791" s="23">
        <v>197.23</v>
      </c>
      <c r="X1791" s="20">
        <v>110</v>
      </c>
      <c r="Y1791" s="24" t="s">
        <v>3713</v>
      </c>
      <c r="Z1791" s="16">
        <v>148.22999999999999</v>
      </c>
      <c r="AA1791" s="17">
        <v>302.5</v>
      </c>
      <c r="AB1791" s="25" t="s">
        <v>4343</v>
      </c>
    </row>
    <row r="1792" spans="1:28" x14ac:dyDescent="0.45">
      <c r="A1792" s="4" t="s">
        <v>2389</v>
      </c>
      <c r="B1792" s="4" t="s">
        <v>6884</v>
      </c>
      <c r="C1792" s="4" t="s">
        <v>2137</v>
      </c>
      <c r="D1792" s="4" t="s">
        <v>2138</v>
      </c>
      <c r="E1792" s="4" t="s">
        <v>2139</v>
      </c>
      <c r="F1792" s="5">
        <v>41.7</v>
      </c>
      <c r="G1792" s="5">
        <v>48.7</v>
      </c>
      <c r="H1792" s="4" t="s">
        <v>1187</v>
      </c>
      <c r="I1792" s="10">
        <v>49</v>
      </c>
      <c r="J1792" s="34">
        <f t="shared" si="108"/>
        <v>0.42629999999999996</v>
      </c>
      <c r="K1792" s="34">
        <f t="shared" si="109"/>
        <v>0.64</v>
      </c>
      <c r="L1792" s="34">
        <f t="shared" si="110"/>
        <v>2.56</v>
      </c>
      <c r="M1792" s="11" t="s">
        <v>4833</v>
      </c>
      <c r="N1792" s="11" t="s">
        <v>4597</v>
      </c>
      <c r="O1792" s="11" t="s">
        <v>3892</v>
      </c>
      <c r="P1792" s="11" t="s">
        <v>4598</v>
      </c>
      <c r="Q1792" s="12">
        <v>41</v>
      </c>
      <c r="R1792" s="12">
        <v>49</v>
      </c>
      <c r="S1792" s="12">
        <v>4</v>
      </c>
      <c r="T1792" s="13">
        <v>2.77</v>
      </c>
      <c r="U1792" s="13">
        <f t="shared" si="111"/>
        <v>0.20999999999999996</v>
      </c>
      <c r="V1792" s="14">
        <v>339.32</v>
      </c>
      <c r="W1792" s="14">
        <v>339.32</v>
      </c>
      <c r="X1792" s="11">
        <v>52</v>
      </c>
      <c r="Y1792" s="15" t="s">
        <v>3713</v>
      </c>
      <c r="Z1792" s="16">
        <v>290.32</v>
      </c>
      <c r="AA1792" s="17">
        <v>592.5</v>
      </c>
      <c r="AB1792" s="18" t="s">
        <v>4683</v>
      </c>
    </row>
    <row r="1793" spans="1:28" x14ac:dyDescent="0.45">
      <c r="A1793" s="2" t="s">
        <v>2390</v>
      </c>
      <c r="B1793" s="2" t="s">
        <v>6885</v>
      </c>
      <c r="C1793" s="2" t="s">
        <v>2137</v>
      </c>
      <c r="D1793" s="2" t="s">
        <v>2138</v>
      </c>
      <c r="E1793" s="2" t="s">
        <v>2139</v>
      </c>
      <c r="F1793" s="3">
        <v>41</v>
      </c>
      <c r="G1793" s="3">
        <v>44.56</v>
      </c>
      <c r="H1793" s="2" t="s">
        <v>1114</v>
      </c>
      <c r="I1793" s="19">
        <v>20</v>
      </c>
      <c r="J1793" s="34">
        <f t="shared" si="108"/>
        <v>0.17399999999999999</v>
      </c>
      <c r="K1793" s="34">
        <f t="shared" si="109"/>
        <v>0.26</v>
      </c>
      <c r="L1793" s="34">
        <f t="shared" si="110"/>
        <v>1.04</v>
      </c>
      <c r="M1793" s="20" t="s">
        <v>4836</v>
      </c>
      <c r="N1793" s="20" t="s">
        <v>4597</v>
      </c>
      <c r="O1793" s="20" t="s">
        <v>3892</v>
      </c>
      <c r="P1793" s="20" t="s">
        <v>4598</v>
      </c>
      <c r="Q1793" s="21">
        <v>41</v>
      </c>
      <c r="R1793" s="21">
        <v>45</v>
      </c>
      <c r="S1793" s="21">
        <v>2</v>
      </c>
      <c r="T1793" s="22">
        <v>0.5</v>
      </c>
      <c r="U1793" s="13">
        <f t="shared" si="111"/>
        <v>-0.54</v>
      </c>
      <c r="V1793" s="23">
        <v>61.25</v>
      </c>
      <c r="W1793" s="23">
        <v>61.25</v>
      </c>
      <c r="X1793" s="20">
        <v>68</v>
      </c>
      <c r="Y1793" s="24" t="s">
        <v>3713</v>
      </c>
      <c r="Z1793" s="16">
        <v>41.25</v>
      </c>
      <c r="AA1793" s="17">
        <v>206.2</v>
      </c>
      <c r="AB1793" s="25" t="s">
        <v>4062</v>
      </c>
    </row>
    <row r="1794" spans="1:28" x14ac:dyDescent="0.45">
      <c r="A1794" s="4" t="s">
        <v>2391</v>
      </c>
      <c r="B1794" s="4" t="s">
        <v>6886</v>
      </c>
      <c r="C1794" s="4" t="s">
        <v>2137</v>
      </c>
      <c r="D1794" s="4" t="s">
        <v>2138</v>
      </c>
      <c r="E1794" s="4" t="s">
        <v>2139</v>
      </c>
      <c r="F1794" s="5">
        <v>42.52</v>
      </c>
      <c r="G1794" s="5">
        <v>47.760000000000012</v>
      </c>
      <c r="H1794" s="4" t="s">
        <v>1127</v>
      </c>
      <c r="I1794" s="10">
        <v>27</v>
      </c>
      <c r="J1794" s="34">
        <f t="shared" si="108"/>
        <v>0.2349</v>
      </c>
      <c r="K1794" s="34">
        <f t="shared" si="109"/>
        <v>0.35</v>
      </c>
      <c r="L1794" s="34">
        <f t="shared" si="110"/>
        <v>1.4</v>
      </c>
      <c r="M1794" s="11" t="s">
        <v>4837</v>
      </c>
      <c r="N1794" s="11" t="s">
        <v>4597</v>
      </c>
      <c r="O1794" s="11" t="s">
        <v>3892</v>
      </c>
      <c r="P1794" s="11" t="s">
        <v>4598</v>
      </c>
      <c r="Q1794" s="12">
        <v>42.417999999999999</v>
      </c>
      <c r="R1794" s="12">
        <v>47.752000000000002</v>
      </c>
      <c r="S1794" s="12">
        <v>2.54</v>
      </c>
      <c r="T1794" s="13">
        <v>0.65</v>
      </c>
      <c r="U1794" s="13">
        <f t="shared" si="111"/>
        <v>-0.74999999999999989</v>
      </c>
      <c r="V1794" s="14">
        <v>79.62</v>
      </c>
      <c r="W1794" s="14">
        <v>79.62</v>
      </c>
      <c r="X1794" s="11">
        <v>285</v>
      </c>
      <c r="Y1794" s="15" t="s">
        <v>3737</v>
      </c>
      <c r="Z1794" s="16">
        <v>52.62</v>
      </c>
      <c r="AA1794" s="17">
        <v>194.9</v>
      </c>
      <c r="AB1794" s="18" t="s">
        <v>3985</v>
      </c>
    </row>
    <row r="1795" spans="1:28" x14ac:dyDescent="0.45">
      <c r="A1795" s="2" t="s">
        <v>2392</v>
      </c>
      <c r="B1795" s="2" t="s">
        <v>6887</v>
      </c>
      <c r="C1795" s="2" t="s">
        <v>2137</v>
      </c>
      <c r="D1795" s="2" t="s">
        <v>2138</v>
      </c>
      <c r="E1795" s="2" t="s">
        <v>2139</v>
      </c>
      <c r="F1795" s="3">
        <v>42.7</v>
      </c>
      <c r="G1795" s="3">
        <v>49.7</v>
      </c>
      <c r="H1795" s="2" t="s">
        <v>1187</v>
      </c>
      <c r="I1795" s="19">
        <v>49</v>
      </c>
      <c r="J1795" s="34">
        <f t="shared" si="108"/>
        <v>0.42629999999999996</v>
      </c>
      <c r="K1795" s="34">
        <f t="shared" si="109"/>
        <v>0.64</v>
      </c>
      <c r="L1795" s="34">
        <f t="shared" si="110"/>
        <v>2.56</v>
      </c>
      <c r="M1795" s="20" t="s">
        <v>4838</v>
      </c>
      <c r="N1795" s="20" t="s">
        <v>4597</v>
      </c>
      <c r="O1795" s="20" t="s">
        <v>3892</v>
      </c>
      <c r="P1795" s="20" t="s">
        <v>4598</v>
      </c>
      <c r="Q1795" s="21">
        <v>42.926000000000002</v>
      </c>
      <c r="R1795" s="21">
        <v>50.037999999999997</v>
      </c>
      <c r="S1795" s="21">
        <v>3.556</v>
      </c>
      <c r="T1795" s="22">
        <v>1.97</v>
      </c>
      <c r="U1795" s="13">
        <f t="shared" si="111"/>
        <v>-0.59000000000000008</v>
      </c>
      <c r="V1795" s="23">
        <v>241.32</v>
      </c>
      <c r="W1795" s="23">
        <v>241.32</v>
      </c>
      <c r="X1795" s="20">
        <v>93</v>
      </c>
      <c r="Y1795" s="24" t="s">
        <v>3737</v>
      </c>
      <c r="Z1795" s="16">
        <v>192.32</v>
      </c>
      <c r="AA1795" s="17">
        <v>392.5</v>
      </c>
      <c r="AB1795" s="25" t="s">
        <v>4839</v>
      </c>
    </row>
    <row r="1796" spans="1:28" x14ac:dyDescent="0.45">
      <c r="A1796" s="4" t="s">
        <v>2393</v>
      </c>
      <c r="B1796" s="4" t="s">
        <v>6888</v>
      </c>
      <c r="C1796" s="4" t="s">
        <v>2137</v>
      </c>
      <c r="D1796" s="4" t="s">
        <v>2138</v>
      </c>
      <c r="E1796" s="4" t="s">
        <v>2139</v>
      </c>
      <c r="F1796" s="5">
        <v>42</v>
      </c>
      <c r="G1796" s="5">
        <v>50</v>
      </c>
      <c r="H1796" s="4" t="s">
        <v>1216</v>
      </c>
      <c r="I1796" s="10">
        <v>81</v>
      </c>
      <c r="J1796" s="34">
        <f t="shared" si="108"/>
        <v>0.70469999999999999</v>
      </c>
      <c r="K1796" s="34">
        <f t="shared" si="109"/>
        <v>1.06</v>
      </c>
      <c r="L1796" s="34">
        <f t="shared" si="110"/>
        <v>4.24</v>
      </c>
      <c r="M1796" s="11" t="s">
        <v>4840</v>
      </c>
      <c r="N1796" s="11" t="s">
        <v>4597</v>
      </c>
      <c r="O1796" s="11" t="s">
        <v>3892</v>
      </c>
      <c r="P1796" s="11" t="s">
        <v>4598</v>
      </c>
      <c r="Q1796" s="12">
        <v>42</v>
      </c>
      <c r="R1796" s="12">
        <v>50</v>
      </c>
      <c r="S1796" s="12">
        <v>4</v>
      </c>
      <c r="T1796" s="13">
        <v>1.25</v>
      </c>
      <c r="U1796" s="13">
        <f t="shared" si="111"/>
        <v>-2.99</v>
      </c>
      <c r="V1796" s="14">
        <v>153.12</v>
      </c>
      <c r="W1796" s="14">
        <v>153.12</v>
      </c>
      <c r="X1796" s="11">
        <v>1</v>
      </c>
      <c r="Y1796" s="15" t="s">
        <v>3713</v>
      </c>
      <c r="Z1796" s="16">
        <v>72.12</v>
      </c>
      <c r="AA1796" s="17">
        <v>89</v>
      </c>
      <c r="AB1796" s="18" t="s">
        <v>3714</v>
      </c>
    </row>
    <row r="1797" spans="1:28" x14ac:dyDescent="0.45">
      <c r="A1797" s="2" t="s">
        <v>2394</v>
      </c>
      <c r="B1797" s="2" t="s">
        <v>6889</v>
      </c>
      <c r="C1797" s="2" t="s">
        <v>2137</v>
      </c>
      <c r="D1797" s="2" t="s">
        <v>2138</v>
      </c>
      <c r="E1797" s="2" t="s">
        <v>2139</v>
      </c>
      <c r="F1797" s="3">
        <v>43.87</v>
      </c>
      <c r="G1797" s="3">
        <v>54.53</v>
      </c>
      <c r="H1797" s="2" t="s">
        <v>1201</v>
      </c>
      <c r="I1797" s="19">
        <v>101</v>
      </c>
      <c r="J1797" s="34">
        <f t="shared" ref="J1797:J1860" si="112">I1797*0.0087</f>
        <v>0.87869999999999993</v>
      </c>
      <c r="K1797" s="34">
        <f t="shared" ref="K1797:K1860" si="113">ROUND(J1797*1.5,2)</f>
        <v>1.32</v>
      </c>
      <c r="L1797" s="34">
        <f t="shared" ref="L1797:L1860" si="114">K1797*4</f>
        <v>5.28</v>
      </c>
      <c r="M1797" s="20" t="s">
        <v>4841</v>
      </c>
      <c r="N1797" s="20" t="s">
        <v>4597</v>
      </c>
      <c r="O1797" s="20" t="s">
        <v>3892</v>
      </c>
      <c r="P1797" s="20" t="s">
        <v>4598</v>
      </c>
      <c r="Q1797" s="21">
        <v>43.942</v>
      </c>
      <c r="R1797" s="21">
        <v>54.61</v>
      </c>
      <c r="S1797" s="21">
        <v>5.3339999999999996</v>
      </c>
      <c r="T1797" s="22">
        <v>5.71</v>
      </c>
      <c r="U1797" s="13">
        <f t="shared" ref="U1797:U1860" si="115">T1797-L1797</f>
        <v>0.42999999999999972</v>
      </c>
      <c r="V1797" s="23">
        <v>699.48</v>
      </c>
      <c r="W1797" s="23">
        <v>699.48</v>
      </c>
      <c r="X1797" s="20">
        <v>68</v>
      </c>
      <c r="Y1797" s="24" t="s">
        <v>3737</v>
      </c>
      <c r="Z1797" s="16">
        <v>598.48</v>
      </c>
      <c r="AA1797" s="17">
        <v>592.6</v>
      </c>
      <c r="AB1797" s="25" t="s">
        <v>4842</v>
      </c>
    </row>
    <row r="1798" spans="1:28" x14ac:dyDescent="0.45">
      <c r="A1798" s="4" t="s">
        <v>2395</v>
      </c>
      <c r="B1798" s="4" t="s">
        <v>6890</v>
      </c>
      <c r="C1798" s="4" t="s">
        <v>2137</v>
      </c>
      <c r="D1798" s="4" t="s">
        <v>2138</v>
      </c>
      <c r="E1798" s="4" t="s">
        <v>2139</v>
      </c>
      <c r="F1798" s="5">
        <v>43</v>
      </c>
      <c r="G1798" s="5">
        <v>49</v>
      </c>
      <c r="H1798" s="4" t="s">
        <v>1149</v>
      </c>
      <c r="I1798" s="10">
        <v>50</v>
      </c>
      <c r="J1798" s="34">
        <f t="shared" si="112"/>
        <v>0.43499999999999994</v>
      </c>
      <c r="K1798" s="34">
        <f t="shared" si="113"/>
        <v>0.65</v>
      </c>
      <c r="L1798" s="34">
        <f t="shared" si="114"/>
        <v>2.6</v>
      </c>
      <c r="M1798" s="11" t="s">
        <v>4843</v>
      </c>
      <c r="N1798" s="11" t="s">
        <v>4597</v>
      </c>
      <c r="O1798" s="11" t="s">
        <v>3892</v>
      </c>
      <c r="P1798" s="11" t="s">
        <v>4598</v>
      </c>
      <c r="Q1798" s="12">
        <v>43</v>
      </c>
      <c r="R1798" s="12">
        <v>49</v>
      </c>
      <c r="S1798" s="12">
        <v>3</v>
      </c>
      <c r="T1798" s="13">
        <v>1.62</v>
      </c>
      <c r="U1798" s="13">
        <f t="shared" si="115"/>
        <v>-0.98</v>
      </c>
      <c r="V1798" s="14">
        <v>198.45</v>
      </c>
      <c r="W1798" s="14">
        <v>198.45</v>
      </c>
      <c r="X1798" s="11">
        <v>60</v>
      </c>
      <c r="Y1798" s="15" t="s">
        <v>3713</v>
      </c>
      <c r="Z1798" s="16">
        <v>148.44999999999999</v>
      </c>
      <c r="AA1798" s="17">
        <v>296.89999999999998</v>
      </c>
      <c r="AB1798" s="18" t="s">
        <v>3714</v>
      </c>
    </row>
    <row r="1799" spans="1:28" x14ac:dyDescent="0.45">
      <c r="A1799" s="2" t="s">
        <v>2396</v>
      </c>
      <c r="B1799" s="2" t="s">
        <v>6891</v>
      </c>
      <c r="C1799" s="2" t="s">
        <v>2137</v>
      </c>
      <c r="D1799" s="2" t="s">
        <v>2138</v>
      </c>
      <c r="E1799" s="2" t="s">
        <v>2139</v>
      </c>
      <c r="F1799" s="3">
        <v>44.04</v>
      </c>
      <c r="G1799" s="3">
        <v>51.1</v>
      </c>
      <c r="H1799" s="2" t="s">
        <v>1156</v>
      </c>
      <c r="I1799" s="19">
        <v>50</v>
      </c>
      <c r="J1799" s="34">
        <f t="shared" si="112"/>
        <v>0.43499999999999994</v>
      </c>
      <c r="K1799" s="34">
        <f t="shared" si="113"/>
        <v>0.65</v>
      </c>
      <c r="L1799" s="34">
        <f t="shared" si="114"/>
        <v>2.6</v>
      </c>
      <c r="M1799" s="20" t="s">
        <v>4844</v>
      </c>
      <c r="N1799" s="20" t="s">
        <v>4597</v>
      </c>
      <c r="O1799" s="20" t="s">
        <v>3892</v>
      </c>
      <c r="P1799" s="20" t="s">
        <v>4598</v>
      </c>
      <c r="Q1799" s="21">
        <v>43.942</v>
      </c>
      <c r="R1799" s="21">
        <v>51.054000000000002</v>
      </c>
      <c r="S1799" s="21">
        <v>3.556</v>
      </c>
      <c r="T1799" s="22">
        <v>3.33</v>
      </c>
      <c r="U1799" s="13">
        <f t="shared" si="115"/>
        <v>0.73</v>
      </c>
      <c r="V1799" s="23">
        <v>407.92</v>
      </c>
      <c r="W1799" s="23">
        <v>407.92</v>
      </c>
      <c r="X1799" s="20">
        <v>316</v>
      </c>
      <c r="Y1799" s="24" t="s">
        <v>3737</v>
      </c>
      <c r="Z1799" s="16">
        <v>357.92</v>
      </c>
      <c r="AA1799" s="17">
        <v>715.8</v>
      </c>
      <c r="AB1799" s="25" t="s">
        <v>3963</v>
      </c>
    </row>
    <row r="1800" spans="1:28" x14ac:dyDescent="0.45">
      <c r="A1800" s="4" t="s">
        <v>2397</v>
      </c>
      <c r="B1800" s="4" t="s">
        <v>6892</v>
      </c>
      <c r="C1800" s="4" t="s">
        <v>2137</v>
      </c>
      <c r="D1800" s="4" t="s">
        <v>2138</v>
      </c>
      <c r="E1800" s="4" t="s">
        <v>2139</v>
      </c>
      <c r="F1800" s="5">
        <v>44.12</v>
      </c>
      <c r="G1800" s="5">
        <v>49.36</v>
      </c>
      <c r="H1800" s="4" t="s">
        <v>1127</v>
      </c>
      <c r="I1800" s="10">
        <v>27</v>
      </c>
      <c r="J1800" s="34">
        <f t="shared" si="112"/>
        <v>0.2349</v>
      </c>
      <c r="K1800" s="34">
        <f t="shared" si="113"/>
        <v>0.35</v>
      </c>
      <c r="L1800" s="34">
        <f t="shared" si="114"/>
        <v>1.4</v>
      </c>
      <c r="M1800" s="11" t="s">
        <v>4845</v>
      </c>
      <c r="N1800" s="11" t="s">
        <v>4597</v>
      </c>
      <c r="O1800" s="11" t="s">
        <v>3892</v>
      </c>
      <c r="P1800" s="11" t="s">
        <v>4598</v>
      </c>
      <c r="Q1800" s="12">
        <v>44.195999999999998</v>
      </c>
      <c r="R1800" s="12">
        <v>49.276000000000003</v>
      </c>
      <c r="S1800" s="12">
        <v>2.54</v>
      </c>
      <c r="T1800" s="13">
        <v>0.91</v>
      </c>
      <c r="U1800" s="13">
        <f t="shared" si="115"/>
        <v>-0.48999999999999988</v>
      </c>
      <c r="V1800" s="14">
        <v>111.48</v>
      </c>
      <c r="W1800" s="14">
        <v>111.48</v>
      </c>
      <c r="X1800" s="11">
        <v>641</v>
      </c>
      <c r="Y1800" s="15" t="s">
        <v>3737</v>
      </c>
      <c r="Z1800" s="16">
        <v>84.48</v>
      </c>
      <c r="AA1800" s="17">
        <v>312.89999999999998</v>
      </c>
      <c r="AB1800" s="18" t="s">
        <v>4022</v>
      </c>
    </row>
    <row r="1801" spans="1:28" x14ac:dyDescent="0.45">
      <c r="A1801" s="2" t="s">
        <v>2398</v>
      </c>
      <c r="B1801" s="2" t="s">
        <v>6893</v>
      </c>
      <c r="C1801" s="2" t="s">
        <v>2137</v>
      </c>
      <c r="D1801" s="2" t="s">
        <v>2138</v>
      </c>
      <c r="E1801" s="2" t="s">
        <v>2139</v>
      </c>
      <c r="F1801" s="3">
        <v>44.17</v>
      </c>
      <c r="G1801" s="3">
        <v>47.73</v>
      </c>
      <c r="H1801" s="2" t="s">
        <v>1114</v>
      </c>
      <c r="I1801" s="19">
        <v>20</v>
      </c>
      <c r="J1801" s="34">
        <f t="shared" si="112"/>
        <v>0.17399999999999999</v>
      </c>
      <c r="K1801" s="34">
        <f t="shared" si="113"/>
        <v>0.26</v>
      </c>
      <c r="L1801" s="34">
        <f t="shared" si="114"/>
        <v>1.04</v>
      </c>
      <c r="M1801" s="20" t="s">
        <v>4846</v>
      </c>
      <c r="N1801" s="20" t="s">
        <v>4597</v>
      </c>
      <c r="O1801" s="20" t="s">
        <v>3892</v>
      </c>
      <c r="P1801" s="20" t="s">
        <v>4598</v>
      </c>
      <c r="Q1801" s="21">
        <v>44.195999999999998</v>
      </c>
      <c r="R1801" s="21">
        <v>47.752000000000002</v>
      </c>
      <c r="S1801" s="21">
        <v>1.778</v>
      </c>
      <c r="T1801" s="22">
        <v>1</v>
      </c>
      <c r="U1801" s="13">
        <f t="shared" si="115"/>
        <v>-4.0000000000000036E-2</v>
      </c>
      <c r="V1801" s="23">
        <v>122.5</v>
      </c>
      <c r="W1801" s="23">
        <v>122.5</v>
      </c>
      <c r="X1801" s="20">
        <v>26</v>
      </c>
      <c r="Y1801" s="24" t="s">
        <v>3737</v>
      </c>
      <c r="Z1801" s="16">
        <v>102.5</v>
      </c>
      <c r="AA1801" s="17">
        <v>512.5</v>
      </c>
      <c r="AB1801" s="25" t="s">
        <v>3967</v>
      </c>
    </row>
    <row r="1802" spans="1:28" x14ac:dyDescent="0.45">
      <c r="A1802" s="4" t="s">
        <v>2399</v>
      </c>
      <c r="B1802" s="4" t="s">
        <v>6894</v>
      </c>
      <c r="C1802" s="4" t="s">
        <v>2137</v>
      </c>
      <c r="D1802" s="4" t="s">
        <v>2138</v>
      </c>
      <c r="E1802" s="4" t="s">
        <v>2139</v>
      </c>
      <c r="F1802" s="5">
        <v>44.4</v>
      </c>
      <c r="G1802" s="5">
        <v>50.6</v>
      </c>
      <c r="H1802" s="4" t="s">
        <v>1221</v>
      </c>
      <c r="I1802" s="10">
        <v>50</v>
      </c>
      <c r="J1802" s="34">
        <f t="shared" si="112"/>
        <v>0.43499999999999994</v>
      </c>
      <c r="K1802" s="34">
        <f t="shared" si="113"/>
        <v>0.65</v>
      </c>
      <c r="L1802" s="34">
        <f t="shared" si="114"/>
        <v>2.6</v>
      </c>
      <c r="M1802" s="11" t="s">
        <v>4847</v>
      </c>
      <c r="N1802" s="11" t="s">
        <v>4597</v>
      </c>
      <c r="O1802" s="11" t="s">
        <v>3892</v>
      </c>
      <c r="P1802" s="11" t="s">
        <v>4598</v>
      </c>
      <c r="Q1802" s="12">
        <v>44.5</v>
      </c>
      <c r="R1802" s="12">
        <v>50.5</v>
      </c>
      <c r="S1802" s="12">
        <v>3</v>
      </c>
      <c r="T1802" s="13">
        <v>0.89</v>
      </c>
      <c r="U1802" s="13">
        <f t="shared" si="115"/>
        <v>-1.71</v>
      </c>
      <c r="V1802" s="14">
        <v>109.02</v>
      </c>
      <c r="W1802" s="14">
        <v>109.02</v>
      </c>
      <c r="X1802" s="11">
        <v>41</v>
      </c>
      <c r="Y1802" s="15" t="s">
        <v>3713</v>
      </c>
      <c r="Z1802" s="16">
        <v>59.02</v>
      </c>
      <c r="AA1802" s="17">
        <v>118</v>
      </c>
      <c r="AB1802" s="18" t="s">
        <v>4119</v>
      </c>
    </row>
    <row r="1803" spans="1:28" x14ac:dyDescent="0.45">
      <c r="A1803" s="2" t="s">
        <v>2400</v>
      </c>
      <c r="B1803" s="2" t="s">
        <v>6895</v>
      </c>
      <c r="C1803" s="2" t="s">
        <v>2137</v>
      </c>
      <c r="D1803" s="2" t="s">
        <v>2138</v>
      </c>
      <c r="E1803" s="2" t="s">
        <v>2139</v>
      </c>
      <c r="F1803" s="3">
        <v>44.7</v>
      </c>
      <c r="G1803" s="3">
        <v>51.7</v>
      </c>
      <c r="H1803" s="2" t="s">
        <v>1187</v>
      </c>
      <c r="I1803" s="19">
        <v>52</v>
      </c>
      <c r="J1803" s="34">
        <f t="shared" si="112"/>
        <v>0.45239999999999997</v>
      </c>
      <c r="K1803" s="34">
        <f t="shared" si="113"/>
        <v>0.68</v>
      </c>
      <c r="L1803" s="34">
        <f t="shared" si="114"/>
        <v>2.72</v>
      </c>
      <c r="M1803" s="20" t="s">
        <v>4848</v>
      </c>
      <c r="N1803" s="20" t="s">
        <v>4597</v>
      </c>
      <c r="O1803" s="20" t="s">
        <v>3892</v>
      </c>
      <c r="P1803" s="20" t="s">
        <v>4598</v>
      </c>
      <c r="Q1803" s="21">
        <v>45</v>
      </c>
      <c r="R1803" s="21">
        <v>52</v>
      </c>
      <c r="S1803" s="21">
        <v>3.5</v>
      </c>
      <c r="T1803" s="22">
        <v>1.46</v>
      </c>
      <c r="U1803" s="13">
        <f t="shared" si="115"/>
        <v>-1.2600000000000002</v>
      </c>
      <c r="V1803" s="23">
        <v>178.85</v>
      </c>
      <c r="W1803" s="23">
        <v>178.85</v>
      </c>
      <c r="X1803" s="20" t="s">
        <v>3722</v>
      </c>
      <c r="Y1803" s="24" t="s">
        <v>3713</v>
      </c>
      <c r="Z1803" s="16">
        <v>126.85</v>
      </c>
      <c r="AA1803" s="17">
        <v>243.9</v>
      </c>
      <c r="AB1803" s="25" t="s">
        <v>4718</v>
      </c>
    </row>
    <row r="1804" spans="1:28" x14ac:dyDescent="0.45">
      <c r="A1804" s="4" t="s">
        <v>2401</v>
      </c>
      <c r="B1804" s="4" t="s">
        <v>6896</v>
      </c>
      <c r="C1804" s="4" t="s">
        <v>2137</v>
      </c>
      <c r="D1804" s="4" t="s">
        <v>2138</v>
      </c>
      <c r="E1804" s="4" t="s">
        <v>2139</v>
      </c>
      <c r="F1804" s="5">
        <v>44</v>
      </c>
      <c r="G1804" s="5">
        <v>48</v>
      </c>
      <c r="H1804" s="4" t="s">
        <v>1122</v>
      </c>
      <c r="I1804" s="10">
        <v>23</v>
      </c>
      <c r="J1804" s="34">
        <f t="shared" si="112"/>
        <v>0.2001</v>
      </c>
      <c r="K1804" s="34">
        <f t="shared" si="113"/>
        <v>0.3</v>
      </c>
      <c r="L1804" s="34">
        <f t="shared" si="114"/>
        <v>1.2</v>
      </c>
      <c r="M1804" s="11" t="s">
        <v>4849</v>
      </c>
      <c r="N1804" s="11" t="s">
        <v>4597</v>
      </c>
      <c r="O1804" s="11" t="s">
        <v>3892</v>
      </c>
      <c r="P1804" s="11" t="s">
        <v>4598</v>
      </c>
      <c r="Q1804" s="12">
        <v>44</v>
      </c>
      <c r="R1804" s="12">
        <v>48</v>
      </c>
      <c r="S1804" s="12">
        <v>2</v>
      </c>
      <c r="T1804" s="13">
        <v>1.17</v>
      </c>
      <c r="U1804" s="13">
        <f t="shared" si="115"/>
        <v>-3.0000000000000027E-2</v>
      </c>
      <c r="V1804" s="14">
        <v>143.32</v>
      </c>
      <c r="W1804" s="14">
        <v>143.32</v>
      </c>
      <c r="X1804" s="11">
        <v>86</v>
      </c>
      <c r="Y1804" s="15" t="s">
        <v>3713</v>
      </c>
      <c r="Z1804" s="16">
        <v>120.32</v>
      </c>
      <c r="AA1804" s="17">
        <v>523.1</v>
      </c>
      <c r="AB1804" s="18" t="s">
        <v>3714</v>
      </c>
    </row>
    <row r="1805" spans="1:28" x14ac:dyDescent="0.45">
      <c r="A1805" s="2" t="s">
        <v>2402</v>
      </c>
      <c r="B1805" s="2" t="s">
        <v>6897</v>
      </c>
      <c r="C1805" s="2" t="s">
        <v>2137</v>
      </c>
      <c r="D1805" s="2" t="s">
        <v>2138</v>
      </c>
      <c r="E1805" s="2" t="s">
        <v>2139</v>
      </c>
      <c r="F1805" s="3">
        <v>44</v>
      </c>
      <c r="G1805" s="3">
        <v>50</v>
      </c>
      <c r="H1805" s="2" t="s">
        <v>1149</v>
      </c>
      <c r="I1805" s="19">
        <v>50</v>
      </c>
      <c r="J1805" s="34">
        <f t="shared" si="112"/>
        <v>0.43499999999999994</v>
      </c>
      <c r="K1805" s="34">
        <f t="shared" si="113"/>
        <v>0.65</v>
      </c>
      <c r="L1805" s="34">
        <f t="shared" si="114"/>
        <v>2.6</v>
      </c>
      <c r="M1805" s="20" t="s">
        <v>4850</v>
      </c>
      <c r="N1805" s="20" t="s">
        <v>4597</v>
      </c>
      <c r="O1805" s="20" t="s">
        <v>3892</v>
      </c>
      <c r="P1805" s="20" t="s">
        <v>4598</v>
      </c>
      <c r="Q1805" s="21">
        <v>44</v>
      </c>
      <c r="R1805" s="21">
        <v>50</v>
      </c>
      <c r="S1805" s="21">
        <v>3</v>
      </c>
      <c r="T1805" s="22">
        <v>1.7</v>
      </c>
      <c r="U1805" s="13">
        <f t="shared" si="115"/>
        <v>-0.90000000000000013</v>
      </c>
      <c r="V1805" s="23">
        <v>208.25</v>
      </c>
      <c r="W1805" s="23">
        <v>208.25</v>
      </c>
      <c r="X1805" s="20">
        <v>742</v>
      </c>
      <c r="Y1805" s="24" t="s">
        <v>3713</v>
      </c>
      <c r="Z1805" s="16">
        <v>158.25</v>
      </c>
      <c r="AA1805" s="17">
        <v>316.5</v>
      </c>
      <c r="AB1805" s="25" t="s">
        <v>3714</v>
      </c>
    </row>
    <row r="1806" spans="1:28" x14ac:dyDescent="0.45">
      <c r="A1806" s="4" t="s">
        <v>2403</v>
      </c>
      <c r="B1806" s="4" t="s">
        <v>6898</v>
      </c>
      <c r="C1806" s="4" t="s">
        <v>2137</v>
      </c>
      <c r="D1806" s="4" t="s">
        <v>2138</v>
      </c>
      <c r="E1806" s="4" t="s">
        <v>2139</v>
      </c>
      <c r="F1806" s="5">
        <v>45.69</v>
      </c>
      <c r="G1806" s="5">
        <v>50.93</v>
      </c>
      <c r="H1806" s="4" t="s">
        <v>1127</v>
      </c>
      <c r="I1806" s="10">
        <v>29</v>
      </c>
      <c r="J1806" s="34">
        <f t="shared" si="112"/>
        <v>0.25229999999999997</v>
      </c>
      <c r="K1806" s="34">
        <f t="shared" si="113"/>
        <v>0.38</v>
      </c>
      <c r="L1806" s="34">
        <f t="shared" si="114"/>
        <v>1.52</v>
      </c>
      <c r="M1806" s="11" t="s">
        <v>4851</v>
      </c>
      <c r="N1806" s="11" t="s">
        <v>4597</v>
      </c>
      <c r="O1806" s="11" t="s">
        <v>3892</v>
      </c>
      <c r="P1806" s="11" t="s">
        <v>4598</v>
      </c>
      <c r="Q1806" s="12">
        <v>46</v>
      </c>
      <c r="R1806" s="12">
        <v>51</v>
      </c>
      <c r="S1806" s="12">
        <v>2.5</v>
      </c>
      <c r="T1806" s="13">
        <v>1.46</v>
      </c>
      <c r="U1806" s="13">
        <f t="shared" si="115"/>
        <v>-6.0000000000000053E-2</v>
      </c>
      <c r="V1806" s="14">
        <v>178.85</v>
      </c>
      <c r="W1806" s="14">
        <v>178.85</v>
      </c>
      <c r="X1806" s="11">
        <v>1314</v>
      </c>
      <c r="Y1806" s="15" t="s">
        <v>3713</v>
      </c>
      <c r="Z1806" s="16">
        <v>149.85</v>
      </c>
      <c r="AA1806" s="17">
        <v>516.70000000000005</v>
      </c>
      <c r="AB1806" s="18" t="s">
        <v>4073</v>
      </c>
    </row>
    <row r="1807" spans="1:28" x14ac:dyDescent="0.45">
      <c r="A1807" s="2" t="s">
        <v>2404</v>
      </c>
      <c r="B1807" s="2" t="s">
        <v>6899</v>
      </c>
      <c r="C1807" s="2" t="s">
        <v>2137</v>
      </c>
      <c r="D1807" s="2" t="s">
        <v>2138</v>
      </c>
      <c r="E1807" s="2" t="s">
        <v>2139</v>
      </c>
      <c r="F1807" s="3">
        <v>45.7</v>
      </c>
      <c r="G1807" s="3">
        <v>52.7</v>
      </c>
      <c r="H1807" s="2" t="s">
        <v>1187</v>
      </c>
      <c r="I1807" s="19">
        <v>52</v>
      </c>
      <c r="J1807" s="34">
        <f t="shared" si="112"/>
        <v>0.45239999999999997</v>
      </c>
      <c r="K1807" s="34">
        <f t="shared" si="113"/>
        <v>0.68</v>
      </c>
      <c r="L1807" s="34">
        <f t="shared" si="114"/>
        <v>2.72</v>
      </c>
      <c r="M1807" s="20" t="s">
        <v>4852</v>
      </c>
      <c r="N1807" s="20" t="s">
        <v>4597</v>
      </c>
      <c r="O1807" s="20" t="s">
        <v>3892</v>
      </c>
      <c r="P1807" s="20" t="s">
        <v>4598</v>
      </c>
      <c r="Q1807" s="21">
        <v>45.973999999999997</v>
      </c>
      <c r="R1807" s="21">
        <v>53.085999999999999</v>
      </c>
      <c r="S1807" s="21">
        <v>3.556</v>
      </c>
      <c r="T1807" s="22">
        <v>1.61</v>
      </c>
      <c r="U1807" s="13">
        <f t="shared" si="115"/>
        <v>-1.1100000000000001</v>
      </c>
      <c r="V1807" s="23">
        <v>197.23</v>
      </c>
      <c r="W1807" s="23">
        <v>197.23</v>
      </c>
      <c r="X1807" s="20">
        <v>32</v>
      </c>
      <c r="Y1807" s="24" t="s">
        <v>3737</v>
      </c>
      <c r="Z1807" s="16">
        <v>145.22999999999999</v>
      </c>
      <c r="AA1807" s="17">
        <v>279.3</v>
      </c>
      <c r="AB1807" s="25" t="s">
        <v>4853</v>
      </c>
    </row>
    <row r="1808" spans="1:28" x14ac:dyDescent="0.45">
      <c r="A1808" s="4" t="s">
        <v>2405</v>
      </c>
      <c r="B1808" s="4" t="s">
        <v>6900</v>
      </c>
      <c r="C1808" s="4" t="s">
        <v>2137</v>
      </c>
      <c r="D1808" s="4" t="s">
        <v>2138</v>
      </c>
      <c r="E1808" s="4" t="s">
        <v>2139</v>
      </c>
      <c r="F1808" s="5">
        <v>45.7</v>
      </c>
      <c r="G1808" s="5">
        <v>56.36</v>
      </c>
      <c r="H1808" s="4" t="s">
        <v>1201</v>
      </c>
      <c r="I1808" s="10">
        <v>104</v>
      </c>
      <c r="J1808" s="34">
        <f t="shared" si="112"/>
        <v>0.90479999999999994</v>
      </c>
      <c r="K1808" s="34">
        <f t="shared" si="113"/>
        <v>1.36</v>
      </c>
      <c r="L1808" s="34">
        <f t="shared" si="114"/>
        <v>5.44</v>
      </c>
      <c r="M1808" s="11" t="s">
        <v>4854</v>
      </c>
      <c r="N1808" s="11" t="s">
        <v>4597</v>
      </c>
      <c r="O1808" s="11" t="s">
        <v>3892</v>
      </c>
      <c r="P1808" s="11" t="s">
        <v>4598</v>
      </c>
      <c r="Q1808" s="12">
        <v>47</v>
      </c>
      <c r="R1808" s="12">
        <v>57</v>
      </c>
      <c r="S1808" s="12">
        <v>5</v>
      </c>
      <c r="T1808" s="13">
        <v>4.3</v>
      </c>
      <c r="U1808" s="13">
        <f t="shared" si="115"/>
        <v>-1.1400000000000006</v>
      </c>
      <c r="V1808" s="14">
        <v>526.75</v>
      </c>
      <c r="W1808" s="14">
        <v>526.75</v>
      </c>
      <c r="X1808" s="11">
        <v>30</v>
      </c>
      <c r="Y1808" s="15" t="s">
        <v>3713</v>
      </c>
      <c r="Z1808" s="16">
        <v>422.75</v>
      </c>
      <c r="AA1808" s="17">
        <v>406.5</v>
      </c>
      <c r="AB1808" s="18" t="s">
        <v>4855</v>
      </c>
    </row>
    <row r="1809" spans="1:28" x14ac:dyDescent="0.45">
      <c r="A1809" s="2" t="s">
        <v>2406</v>
      </c>
      <c r="B1809" s="2" t="s">
        <v>6901</v>
      </c>
      <c r="C1809" s="2" t="s">
        <v>2137</v>
      </c>
      <c r="D1809" s="2" t="s">
        <v>2138</v>
      </c>
      <c r="E1809" s="2" t="s">
        <v>2139</v>
      </c>
      <c r="F1809" s="3">
        <v>45</v>
      </c>
      <c r="G1809" s="3">
        <v>50</v>
      </c>
      <c r="H1809" s="2" t="s">
        <v>1135</v>
      </c>
      <c r="I1809" s="19">
        <v>29</v>
      </c>
      <c r="J1809" s="34">
        <f t="shared" si="112"/>
        <v>0.25229999999999997</v>
      </c>
      <c r="K1809" s="34">
        <f t="shared" si="113"/>
        <v>0.38</v>
      </c>
      <c r="L1809" s="34">
        <f t="shared" si="114"/>
        <v>1.52</v>
      </c>
      <c r="M1809" s="20" t="s">
        <v>4856</v>
      </c>
      <c r="N1809" s="20" t="s">
        <v>4597</v>
      </c>
      <c r="O1809" s="20" t="s">
        <v>3892</v>
      </c>
      <c r="P1809" s="20" t="s">
        <v>4598</v>
      </c>
      <c r="Q1809" s="21">
        <v>45</v>
      </c>
      <c r="R1809" s="21">
        <v>50</v>
      </c>
      <c r="S1809" s="21">
        <v>2.5</v>
      </c>
      <c r="T1809" s="22">
        <v>1.5</v>
      </c>
      <c r="U1809" s="13">
        <f t="shared" si="115"/>
        <v>-2.0000000000000018E-2</v>
      </c>
      <c r="V1809" s="23">
        <v>183.75</v>
      </c>
      <c r="W1809" s="23">
        <v>183.75</v>
      </c>
      <c r="X1809" s="20">
        <v>24</v>
      </c>
      <c r="Y1809" s="24" t="s">
        <v>3713</v>
      </c>
      <c r="Z1809" s="16">
        <v>154.75</v>
      </c>
      <c r="AA1809" s="17">
        <v>533.6</v>
      </c>
      <c r="AB1809" s="25" t="s">
        <v>3714</v>
      </c>
    </row>
    <row r="1810" spans="1:28" x14ac:dyDescent="0.45">
      <c r="A1810" s="4" t="s">
        <v>2407</v>
      </c>
      <c r="B1810" s="4" t="s">
        <v>6902</v>
      </c>
      <c r="C1810" s="4" t="s">
        <v>2137</v>
      </c>
      <c r="D1810" s="4" t="s">
        <v>2138</v>
      </c>
      <c r="E1810" s="4" t="s">
        <v>2139</v>
      </c>
      <c r="F1810" s="5">
        <v>45</v>
      </c>
      <c r="G1810" s="5">
        <v>53</v>
      </c>
      <c r="H1810" s="4" t="s">
        <v>1216</v>
      </c>
      <c r="I1810" s="10">
        <v>86</v>
      </c>
      <c r="J1810" s="34">
        <f t="shared" si="112"/>
        <v>0.74819999999999998</v>
      </c>
      <c r="K1810" s="34">
        <f t="shared" si="113"/>
        <v>1.1200000000000001</v>
      </c>
      <c r="L1810" s="34">
        <f t="shared" si="114"/>
        <v>4.4800000000000004</v>
      </c>
      <c r="M1810" s="11" t="s">
        <v>4857</v>
      </c>
      <c r="N1810" s="11" t="s">
        <v>4597</v>
      </c>
      <c r="O1810" s="11" t="s">
        <v>3892</v>
      </c>
      <c r="P1810" s="11" t="s">
        <v>4598</v>
      </c>
      <c r="Q1810" s="12">
        <v>45</v>
      </c>
      <c r="R1810" s="12">
        <v>53</v>
      </c>
      <c r="S1810" s="12">
        <v>4</v>
      </c>
      <c r="T1810" s="13">
        <v>1.56</v>
      </c>
      <c r="U1810" s="13">
        <f t="shared" si="115"/>
        <v>-2.9200000000000004</v>
      </c>
      <c r="V1810" s="14">
        <v>191.1</v>
      </c>
      <c r="W1810" s="14">
        <v>191.1</v>
      </c>
      <c r="X1810" s="11">
        <v>17</v>
      </c>
      <c r="Y1810" s="15" t="s">
        <v>3713</v>
      </c>
      <c r="Z1810" s="16">
        <v>105.1</v>
      </c>
      <c r="AA1810" s="17">
        <v>122.2</v>
      </c>
      <c r="AB1810" s="18" t="s">
        <v>3714</v>
      </c>
    </row>
    <row r="1811" spans="1:28" x14ac:dyDescent="0.45">
      <c r="A1811" s="2" t="s">
        <v>2408</v>
      </c>
      <c r="B1811" s="2" t="s">
        <v>6903</v>
      </c>
      <c r="C1811" s="2" t="s">
        <v>2137</v>
      </c>
      <c r="D1811" s="2" t="s">
        <v>2138</v>
      </c>
      <c r="E1811" s="2" t="s">
        <v>2139</v>
      </c>
      <c r="F1811" s="3">
        <v>45</v>
      </c>
      <c r="G1811" s="3">
        <v>55</v>
      </c>
      <c r="H1811" s="2" t="s">
        <v>1245</v>
      </c>
      <c r="I1811" s="19">
        <v>103</v>
      </c>
      <c r="J1811" s="34">
        <f t="shared" si="112"/>
        <v>0.8960999999999999</v>
      </c>
      <c r="K1811" s="34">
        <f t="shared" si="113"/>
        <v>1.34</v>
      </c>
      <c r="L1811" s="34">
        <f t="shared" si="114"/>
        <v>5.36</v>
      </c>
      <c r="M1811" s="20" t="s">
        <v>4858</v>
      </c>
      <c r="N1811" s="20" t="s">
        <v>4597</v>
      </c>
      <c r="O1811" s="20" t="s">
        <v>3892</v>
      </c>
      <c r="P1811" s="20" t="s">
        <v>4598</v>
      </c>
      <c r="Q1811" s="21">
        <v>45</v>
      </c>
      <c r="R1811" s="21">
        <v>55</v>
      </c>
      <c r="S1811" s="21">
        <v>5</v>
      </c>
      <c r="T1811" s="22">
        <v>3.14</v>
      </c>
      <c r="U1811" s="13">
        <f t="shared" si="115"/>
        <v>-2.2200000000000002</v>
      </c>
      <c r="V1811" s="23">
        <v>384.65</v>
      </c>
      <c r="W1811" s="23">
        <v>384.65</v>
      </c>
      <c r="X1811" s="20" t="s">
        <v>3722</v>
      </c>
      <c r="Y1811" s="24" t="s">
        <v>3713</v>
      </c>
      <c r="Z1811" s="16">
        <v>281.64999999999998</v>
      </c>
      <c r="AA1811" s="17">
        <v>273.39999999999998</v>
      </c>
      <c r="AB1811" s="25" t="s">
        <v>3714</v>
      </c>
    </row>
    <row r="1812" spans="1:28" x14ac:dyDescent="0.45">
      <c r="A1812" s="4" t="s">
        <v>2409</v>
      </c>
      <c r="B1812" s="4" t="s">
        <v>6904</v>
      </c>
      <c r="C1812" s="4" t="s">
        <v>2137</v>
      </c>
      <c r="D1812" s="4" t="s">
        <v>2138</v>
      </c>
      <c r="E1812" s="4" t="s">
        <v>2139</v>
      </c>
      <c r="F1812" s="5">
        <v>46.99</v>
      </c>
      <c r="G1812" s="5">
        <v>57.650000000000013</v>
      </c>
      <c r="H1812" s="4" t="s">
        <v>1201</v>
      </c>
      <c r="I1812" s="10">
        <v>108</v>
      </c>
      <c r="J1812" s="34">
        <f t="shared" si="112"/>
        <v>0.93959999999999999</v>
      </c>
      <c r="K1812" s="34">
        <f t="shared" si="113"/>
        <v>1.41</v>
      </c>
      <c r="L1812" s="34">
        <f t="shared" si="114"/>
        <v>5.64</v>
      </c>
      <c r="M1812" s="11" t="s">
        <v>4859</v>
      </c>
      <c r="N1812" s="11" t="s">
        <v>4597</v>
      </c>
      <c r="O1812" s="11" t="s">
        <v>3892</v>
      </c>
      <c r="P1812" s="11" t="s">
        <v>4598</v>
      </c>
      <c r="Q1812" s="12">
        <v>46.99</v>
      </c>
      <c r="R1812" s="12">
        <v>57.658000000000001</v>
      </c>
      <c r="S1812" s="12">
        <v>5.3339999999999996</v>
      </c>
      <c r="T1812" s="13">
        <v>2.96</v>
      </c>
      <c r="U1812" s="13">
        <f t="shared" si="115"/>
        <v>-2.6799999999999997</v>
      </c>
      <c r="V1812" s="14">
        <v>362.6</v>
      </c>
      <c r="W1812" s="14">
        <v>362.6</v>
      </c>
      <c r="X1812" s="11">
        <v>96</v>
      </c>
      <c r="Y1812" s="15" t="s">
        <v>3737</v>
      </c>
      <c r="Z1812" s="16">
        <v>254.6</v>
      </c>
      <c r="AA1812" s="17">
        <v>235.7</v>
      </c>
      <c r="AB1812" s="18" t="s">
        <v>4032</v>
      </c>
    </row>
    <row r="1813" spans="1:28" x14ac:dyDescent="0.45">
      <c r="A1813" s="2" t="s">
        <v>2410</v>
      </c>
      <c r="B1813" s="2" t="s">
        <v>6905</v>
      </c>
      <c r="C1813" s="2" t="s">
        <v>2137</v>
      </c>
      <c r="D1813" s="2" t="s">
        <v>2138</v>
      </c>
      <c r="E1813" s="2" t="s">
        <v>2139</v>
      </c>
      <c r="F1813" s="3">
        <v>46</v>
      </c>
      <c r="G1813" s="3">
        <v>49.56</v>
      </c>
      <c r="H1813" s="2" t="s">
        <v>1114</v>
      </c>
      <c r="I1813" s="19">
        <v>22</v>
      </c>
      <c r="J1813" s="34">
        <f t="shared" si="112"/>
        <v>0.19139999999999999</v>
      </c>
      <c r="K1813" s="34">
        <f t="shared" si="113"/>
        <v>0.28999999999999998</v>
      </c>
      <c r="L1813" s="34">
        <f t="shared" si="114"/>
        <v>1.1599999999999999</v>
      </c>
      <c r="M1813" s="20" t="s">
        <v>4860</v>
      </c>
      <c r="N1813" s="20" t="s">
        <v>4597</v>
      </c>
      <c r="O1813" s="20" t="s">
        <v>3892</v>
      </c>
      <c r="P1813" s="20" t="s">
        <v>4598</v>
      </c>
      <c r="Q1813" s="21">
        <v>46</v>
      </c>
      <c r="R1813" s="21">
        <v>50</v>
      </c>
      <c r="S1813" s="21">
        <v>2</v>
      </c>
      <c r="T1813" s="22">
        <v>0.93</v>
      </c>
      <c r="U1813" s="13">
        <f t="shared" si="115"/>
        <v>-0.22999999999999987</v>
      </c>
      <c r="V1813" s="23">
        <v>113.93</v>
      </c>
      <c r="W1813" s="23">
        <v>113.93</v>
      </c>
      <c r="X1813" s="20" t="s">
        <v>3722</v>
      </c>
      <c r="Y1813" s="24" t="s">
        <v>3713</v>
      </c>
      <c r="Z1813" s="16">
        <v>91.93</v>
      </c>
      <c r="AA1813" s="17">
        <v>417.9</v>
      </c>
      <c r="AB1813" s="25" t="s">
        <v>4062</v>
      </c>
    </row>
    <row r="1814" spans="1:28" x14ac:dyDescent="0.45">
      <c r="A1814" s="4" t="s">
        <v>2411</v>
      </c>
      <c r="B1814" s="4" t="s">
        <v>6906</v>
      </c>
      <c r="C1814" s="4" t="s">
        <v>2137</v>
      </c>
      <c r="D1814" s="4" t="s">
        <v>2138</v>
      </c>
      <c r="E1814" s="4" t="s">
        <v>2139</v>
      </c>
      <c r="F1814" s="5">
        <v>46</v>
      </c>
      <c r="G1814" s="5">
        <v>52</v>
      </c>
      <c r="H1814" s="4" t="s">
        <v>1149</v>
      </c>
      <c r="I1814" s="10">
        <v>54</v>
      </c>
      <c r="J1814" s="34">
        <f t="shared" si="112"/>
        <v>0.4698</v>
      </c>
      <c r="K1814" s="34">
        <f t="shared" si="113"/>
        <v>0.7</v>
      </c>
      <c r="L1814" s="34">
        <f t="shared" si="114"/>
        <v>2.8</v>
      </c>
      <c r="M1814" s="11" t="s">
        <v>4861</v>
      </c>
      <c r="N1814" s="11" t="s">
        <v>4597</v>
      </c>
      <c r="O1814" s="11" t="s">
        <v>3892</v>
      </c>
      <c r="P1814" s="11" t="s">
        <v>4598</v>
      </c>
      <c r="Q1814" s="12">
        <v>46</v>
      </c>
      <c r="R1814" s="12">
        <v>52</v>
      </c>
      <c r="S1814" s="12">
        <v>3</v>
      </c>
      <c r="T1814" s="13">
        <v>0.92</v>
      </c>
      <c r="U1814" s="13">
        <f t="shared" si="115"/>
        <v>-1.88</v>
      </c>
      <c r="V1814" s="14">
        <v>112.7</v>
      </c>
      <c r="W1814" s="14">
        <v>112.7</v>
      </c>
      <c r="X1814" s="11">
        <v>53</v>
      </c>
      <c r="Y1814" s="15" t="s">
        <v>3713</v>
      </c>
      <c r="Z1814" s="16">
        <v>58.7</v>
      </c>
      <c r="AA1814" s="17">
        <v>108.7</v>
      </c>
      <c r="AB1814" s="18" t="s">
        <v>3714</v>
      </c>
    </row>
    <row r="1815" spans="1:28" x14ac:dyDescent="0.45">
      <c r="A1815" s="2" t="s">
        <v>2412</v>
      </c>
      <c r="B1815" s="2" t="s">
        <v>6907</v>
      </c>
      <c r="C1815" s="2" t="s">
        <v>2137</v>
      </c>
      <c r="D1815" s="2" t="s">
        <v>2138</v>
      </c>
      <c r="E1815" s="2" t="s">
        <v>2139</v>
      </c>
      <c r="F1815" s="3">
        <v>46</v>
      </c>
      <c r="G1815" s="3">
        <v>53</v>
      </c>
      <c r="H1815" s="2" t="s">
        <v>1187</v>
      </c>
      <c r="I1815" s="19">
        <v>54</v>
      </c>
      <c r="J1815" s="34">
        <f t="shared" si="112"/>
        <v>0.4698</v>
      </c>
      <c r="K1815" s="34">
        <f t="shared" si="113"/>
        <v>0.7</v>
      </c>
      <c r="L1815" s="34">
        <f t="shared" si="114"/>
        <v>2.8</v>
      </c>
      <c r="M1815" s="20" t="s">
        <v>4852</v>
      </c>
      <c r="N1815" s="20" t="s">
        <v>4597</v>
      </c>
      <c r="O1815" s="20" t="s">
        <v>3892</v>
      </c>
      <c r="P1815" s="20" t="s">
        <v>4598</v>
      </c>
      <c r="Q1815" s="21">
        <v>45.973999999999997</v>
      </c>
      <c r="R1815" s="21">
        <v>53.085999999999999</v>
      </c>
      <c r="S1815" s="21">
        <v>3.556</v>
      </c>
      <c r="T1815" s="22">
        <v>1.61</v>
      </c>
      <c r="U1815" s="13">
        <f t="shared" si="115"/>
        <v>-1.1899999999999997</v>
      </c>
      <c r="V1815" s="23">
        <v>197.23</v>
      </c>
      <c r="W1815" s="23">
        <v>197.23</v>
      </c>
      <c r="X1815" s="20">
        <v>32</v>
      </c>
      <c r="Y1815" s="24" t="s">
        <v>3737</v>
      </c>
      <c r="Z1815" s="16">
        <v>143.22999999999999</v>
      </c>
      <c r="AA1815" s="17">
        <v>265.2</v>
      </c>
      <c r="AB1815" s="25" t="s">
        <v>4862</v>
      </c>
    </row>
    <row r="1816" spans="1:28" x14ac:dyDescent="0.45">
      <c r="A1816" s="4" t="s">
        <v>2413</v>
      </c>
      <c r="B1816" s="4" t="s">
        <v>6908</v>
      </c>
      <c r="C1816" s="4" t="s">
        <v>2137</v>
      </c>
      <c r="D1816" s="4" t="s">
        <v>2138</v>
      </c>
      <c r="E1816" s="4" t="s">
        <v>2139</v>
      </c>
      <c r="F1816" s="5">
        <v>47.22</v>
      </c>
      <c r="G1816" s="5">
        <v>54.28</v>
      </c>
      <c r="H1816" s="4" t="s">
        <v>1156</v>
      </c>
      <c r="I1816" s="10">
        <v>54</v>
      </c>
      <c r="J1816" s="34">
        <f t="shared" si="112"/>
        <v>0.4698</v>
      </c>
      <c r="K1816" s="34">
        <f t="shared" si="113"/>
        <v>0.7</v>
      </c>
      <c r="L1816" s="34">
        <f t="shared" si="114"/>
        <v>2.8</v>
      </c>
      <c r="M1816" s="11" t="s">
        <v>4863</v>
      </c>
      <c r="N1816" s="11" t="s">
        <v>4597</v>
      </c>
      <c r="O1816" s="11" t="s">
        <v>3892</v>
      </c>
      <c r="P1816" s="11" t="s">
        <v>4598</v>
      </c>
      <c r="Q1816" s="12">
        <v>47.244</v>
      </c>
      <c r="R1816" s="12">
        <v>54.356000000000002</v>
      </c>
      <c r="S1816" s="12">
        <v>3.556</v>
      </c>
      <c r="T1816" s="13">
        <v>1.47</v>
      </c>
      <c r="U1816" s="13">
        <f t="shared" si="115"/>
        <v>-1.3299999999999998</v>
      </c>
      <c r="V1816" s="14">
        <v>180.08</v>
      </c>
      <c r="W1816" s="14">
        <v>180.08</v>
      </c>
      <c r="X1816" s="11">
        <v>203</v>
      </c>
      <c r="Y1816" s="15" t="s">
        <v>3737</v>
      </c>
      <c r="Z1816" s="16">
        <v>126.08</v>
      </c>
      <c r="AA1816" s="17">
        <v>233.5</v>
      </c>
      <c r="AB1816" s="18" t="s">
        <v>3945</v>
      </c>
    </row>
    <row r="1817" spans="1:28" x14ac:dyDescent="0.45">
      <c r="A1817" s="2" t="s">
        <v>2414</v>
      </c>
      <c r="B1817" s="2" t="s">
        <v>6909</v>
      </c>
      <c r="C1817" s="2" t="s">
        <v>2137</v>
      </c>
      <c r="D1817" s="2" t="s">
        <v>2138</v>
      </c>
      <c r="E1817" s="2" t="s">
        <v>2139</v>
      </c>
      <c r="F1817" s="3">
        <v>47.29</v>
      </c>
      <c r="G1817" s="3">
        <v>52.53</v>
      </c>
      <c r="H1817" s="2" t="s">
        <v>1127</v>
      </c>
      <c r="I1817" s="19">
        <v>30</v>
      </c>
      <c r="J1817" s="34">
        <f t="shared" si="112"/>
        <v>0.26100000000000001</v>
      </c>
      <c r="K1817" s="34">
        <f t="shared" si="113"/>
        <v>0.39</v>
      </c>
      <c r="L1817" s="34">
        <f t="shared" si="114"/>
        <v>1.56</v>
      </c>
      <c r="M1817" s="20" t="s">
        <v>4864</v>
      </c>
      <c r="N1817" s="20" t="s">
        <v>4597</v>
      </c>
      <c r="O1817" s="20" t="s">
        <v>3892</v>
      </c>
      <c r="P1817" s="20" t="s">
        <v>4598</v>
      </c>
      <c r="Q1817" s="21">
        <v>47.244</v>
      </c>
      <c r="R1817" s="21">
        <v>52.578000000000003</v>
      </c>
      <c r="S1817" s="21">
        <v>2.54</v>
      </c>
      <c r="T1817" s="22">
        <v>0.99</v>
      </c>
      <c r="U1817" s="13">
        <f t="shared" si="115"/>
        <v>-0.57000000000000006</v>
      </c>
      <c r="V1817" s="23">
        <v>121.28</v>
      </c>
      <c r="W1817" s="23">
        <v>121.28</v>
      </c>
      <c r="X1817" s="20">
        <v>314</v>
      </c>
      <c r="Y1817" s="24" t="s">
        <v>3737</v>
      </c>
      <c r="Z1817" s="16">
        <v>91.28</v>
      </c>
      <c r="AA1817" s="17">
        <v>304.3</v>
      </c>
      <c r="AB1817" s="25" t="s">
        <v>3920</v>
      </c>
    </row>
    <row r="1818" spans="1:28" x14ac:dyDescent="0.45">
      <c r="A1818" s="4" t="s">
        <v>2415</v>
      </c>
      <c r="B1818" s="4" t="s">
        <v>6910</v>
      </c>
      <c r="C1818" s="4" t="s">
        <v>2137</v>
      </c>
      <c r="D1818" s="4" t="s">
        <v>2138</v>
      </c>
      <c r="E1818" s="4" t="s">
        <v>2139</v>
      </c>
      <c r="F1818" s="5">
        <v>47.35</v>
      </c>
      <c r="G1818" s="5">
        <v>50.91</v>
      </c>
      <c r="H1818" s="4" t="s">
        <v>1114</v>
      </c>
      <c r="I1818" s="10">
        <v>22</v>
      </c>
      <c r="J1818" s="34">
        <f t="shared" si="112"/>
        <v>0.19139999999999999</v>
      </c>
      <c r="K1818" s="34">
        <f t="shared" si="113"/>
        <v>0.28999999999999998</v>
      </c>
      <c r="L1818" s="34">
        <f t="shared" si="114"/>
        <v>1.1599999999999999</v>
      </c>
      <c r="M1818" s="11" t="s">
        <v>4865</v>
      </c>
      <c r="N1818" s="11" t="s">
        <v>4597</v>
      </c>
      <c r="O1818" s="11" t="s">
        <v>3892</v>
      </c>
      <c r="P1818" s="11" t="s">
        <v>4598</v>
      </c>
      <c r="Q1818" s="12">
        <v>47</v>
      </c>
      <c r="R1818" s="12">
        <v>51</v>
      </c>
      <c r="S1818" s="12">
        <v>2</v>
      </c>
      <c r="T1818" s="13">
        <v>1.3</v>
      </c>
      <c r="U1818" s="13">
        <f t="shared" si="115"/>
        <v>0.14000000000000012</v>
      </c>
      <c r="V1818" s="14">
        <v>159.25</v>
      </c>
      <c r="W1818" s="14">
        <v>159.25</v>
      </c>
      <c r="X1818" s="11">
        <v>100</v>
      </c>
      <c r="Y1818" s="15" t="s">
        <v>3713</v>
      </c>
      <c r="Z1818" s="16">
        <v>137.25</v>
      </c>
      <c r="AA1818" s="17">
        <v>623.9</v>
      </c>
      <c r="AB1818" s="18" t="s">
        <v>4081</v>
      </c>
    </row>
    <row r="1819" spans="1:28" x14ac:dyDescent="0.45">
      <c r="A1819" s="2" t="s">
        <v>2416</v>
      </c>
      <c r="B1819" s="2" t="s">
        <v>6911</v>
      </c>
      <c r="C1819" s="2" t="s">
        <v>2137</v>
      </c>
      <c r="D1819" s="2" t="s">
        <v>2138</v>
      </c>
      <c r="E1819" s="2" t="s">
        <v>2139</v>
      </c>
      <c r="F1819" s="3">
        <v>47.7</v>
      </c>
      <c r="G1819" s="3">
        <v>54.7</v>
      </c>
      <c r="H1819" s="2" t="s">
        <v>1187</v>
      </c>
      <c r="I1819" s="19">
        <v>56</v>
      </c>
      <c r="J1819" s="34">
        <f t="shared" si="112"/>
        <v>0.48719999999999997</v>
      </c>
      <c r="K1819" s="34">
        <f t="shared" si="113"/>
        <v>0.73</v>
      </c>
      <c r="L1819" s="34">
        <f t="shared" si="114"/>
        <v>2.92</v>
      </c>
      <c r="M1819" s="20" t="s">
        <v>4866</v>
      </c>
      <c r="N1819" s="20" t="s">
        <v>4597</v>
      </c>
      <c r="O1819" s="20" t="s">
        <v>3892</v>
      </c>
      <c r="P1819" s="20" t="s">
        <v>4598</v>
      </c>
      <c r="Q1819" s="21">
        <v>47.752000000000002</v>
      </c>
      <c r="R1819" s="21">
        <v>54.61</v>
      </c>
      <c r="S1819" s="21">
        <v>3.556</v>
      </c>
      <c r="T1819" s="22">
        <v>2.14</v>
      </c>
      <c r="U1819" s="13">
        <f t="shared" si="115"/>
        <v>-0.7799999999999998</v>
      </c>
      <c r="V1819" s="23">
        <v>262.14999999999998</v>
      </c>
      <c r="W1819" s="23">
        <v>262.14999999999998</v>
      </c>
      <c r="X1819" s="20">
        <v>41</v>
      </c>
      <c r="Y1819" s="24" t="s">
        <v>3737</v>
      </c>
      <c r="Z1819" s="16">
        <v>206.15</v>
      </c>
      <c r="AA1819" s="17">
        <v>368.1</v>
      </c>
      <c r="AB1819" s="25" t="s">
        <v>4867</v>
      </c>
    </row>
    <row r="1820" spans="1:28" x14ac:dyDescent="0.45">
      <c r="A1820" s="4" t="s">
        <v>2417</v>
      </c>
      <c r="B1820" s="4" t="s">
        <v>6912</v>
      </c>
      <c r="C1820" s="4" t="s">
        <v>2137</v>
      </c>
      <c r="D1820" s="4" t="s">
        <v>2138</v>
      </c>
      <c r="E1820" s="4" t="s">
        <v>2139</v>
      </c>
      <c r="F1820" s="5">
        <v>47</v>
      </c>
      <c r="G1820" s="5">
        <v>53</v>
      </c>
      <c r="H1820" s="4" t="s">
        <v>1149</v>
      </c>
      <c r="I1820" s="10">
        <v>54</v>
      </c>
      <c r="J1820" s="34">
        <f t="shared" si="112"/>
        <v>0.4698</v>
      </c>
      <c r="K1820" s="34">
        <f t="shared" si="113"/>
        <v>0.7</v>
      </c>
      <c r="L1820" s="34">
        <f t="shared" si="114"/>
        <v>2.8</v>
      </c>
      <c r="M1820" s="11" t="s">
        <v>4868</v>
      </c>
      <c r="N1820" s="11" t="s">
        <v>4597</v>
      </c>
      <c r="O1820" s="11" t="s">
        <v>3892</v>
      </c>
      <c r="P1820" s="11" t="s">
        <v>4598</v>
      </c>
      <c r="Q1820" s="12">
        <v>47</v>
      </c>
      <c r="R1820" s="12">
        <v>53</v>
      </c>
      <c r="S1820" s="12">
        <v>3</v>
      </c>
      <c r="T1820" s="13">
        <v>1.7</v>
      </c>
      <c r="U1820" s="13">
        <f t="shared" si="115"/>
        <v>-1.0999999999999999</v>
      </c>
      <c r="V1820" s="14">
        <v>208.25</v>
      </c>
      <c r="W1820" s="14">
        <v>208.25</v>
      </c>
      <c r="X1820" s="11">
        <v>82</v>
      </c>
      <c r="Y1820" s="15" t="s">
        <v>3713</v>
      </c>
      <c r="Z1820" s="16">
        <v>154.25</v>
      </c>
      <c r="AA1820" s="17">
        <v>285.60000000000002</v>
      </c>
      <c r="AB1820" s="18" t="s">
        <v>3714</v>
      </c>
    </row>
    <row r="1821" spans="1:28" x14ac:dyDescent="0.45">
      <c r="A1821" s="2" t="s">
        <v>2418</v>
      </c>
      <c r="B1821" s="2" t="s">
        <v>6913</v>
      </c>
      <c r="C1821" s="2" t="s">
        <v>2137</v>
      </c>
      <c r="D1821" s="2" t="s">
        <v>2138</v>
      </c>
      <c r="E1821" s="2" t="s">
        <v>2139</v>
      </c>
      <c r="F1821" s="3">
        <v>47</v>
      </c>
      <c r="G1821" s="3">
        <v>55</v>
      </c>
      <c r="H1821" s="2" t="s">
        <v>1216</v>
      </c>
      <c r="I1821" s="19">
        <v>89</v>
      </c>
      <c r="J1821" s="34">
        <f t="shared" si="112"/>
        <v>0.77429999999999999</v>
      </c>
      <c r="K1821" s="34">
        <f t="shared" si="113"/>
        <v>1.1599999999999999</v>
      </c>
      <c r="L1821" s="34">
        <f t="shared" si="114"/>
        <v>4.6399999999999997</v>
      </c>
      <c r="M1821" s="20" t="s">
        <v>4869</v>
      </c>
      <c r="N1821" s="20" t="s">
        <v>4597</v>
      </c>
      <c r="O1821" s="20" t="s">
        <v>3892</v>
      </c>
      <c r="P1821" s="20" t="s">
        <v>4598</v>
      </c>
      <c r="Q1821" s="21">
        <v>48</v>
      </c>
      <c r="R1821" s="21">
        <v>55</v>
      </c>
      <c r="S1821" s="21">
        <v>3.5</v>
      </c>
      <c r="T1821" s="22">
        <v>2.66</v>
      </c>
      <c r="U1821" s="13">
        <f t="shared" si="115"/>
        <v>-1.9799999999999995</v>
      </c>
      <c r="V1821" s="23">
        <v>325.85000000000002</v>
      </c>
      <c r="W1821" s="23">
        <v>325.85000000000002</v>
      </c>
      <c r="X1821" s="20" t="s">
        <v>3722</v>
      </c>
      <c r="Y1821" s="24" t="s">
        <v>3713</v>
      </c>
      <c r="Z1821" s="16">
        <v>236.85</v>
      </c>
      <c r="AA1821" s="17">
        <v>266.10000000000002</v>
      </c>
      <c r="AB1821" s="25" t="s">
        <v>3819</v>
      </c>
    </row>
    <row r="1822" spans="1:28" x14ac:dyDescent="0.45">
      <c r="A1822" s="4" t="s">
        <v>2419</v>
      </c>
      <c r="B1822" s="4" t="s">
        <v>6914</v>
      </c>
      <c r="C1822" s="4" t="s">
        <v>2137</v>
      </c>
      <c r="D1822" s="4" t="s">
        <v>2138</v>
      </c>
      <c r="E1822" s="4" t="s">
        <v>2139</v>
      </c>
      <c r="F1822" s="5">
        <v>48.7</v>
      </c>
      <c r="G1822" s="5">
        <v>55.7</v>
      </c>
      <c r="H1822" s="4" t="s">
        <v>1187</v>
      </c>
      <c r="I1822" s="10">
        <v>56</v>
      </c>
      <c r="J1822" s="34">
        <f t="shared" si="112"/>
        <v>0.48719999999999997</v>
      </c>
      <c r="K1822" s="34">
        <f t="shared" si="113"/>
        <v>0.73</v>
      </c>
      <c r="L1822" s="34">
        <f t="shared" si="114"/>
        <v>2.92</v>
      </c>
      <c r="M1822" s="11" t="s">
        <v>4870</v>
      </c>
      <c r="N1822" s="11" t="s">
        <v>4597</v>
      </c>
      <c r="O1822" s="11" t="s">
        <v>3892</v>
      </c>
      <c r="P1822" s="11" t="s">
        <v>4598</v>
      </c>
      <c r="Q1822" s="12">
        <v>48</v>
      </c>
      <c r="R1822" s="12">
        <v>56</v>
      </c>
      <c r="S1822" s="12">
        <v>4</v>
      </c>
      <c r="T1822" s="13">
        <v>1.69</v>
      </c>
      <c r="U1822" s="13">
        <f t="shared" si="115"/>
        <v>-1.23</v>
      </c>
      <c r="V1822" s="14">
        <v>207.02</v>
      </c>
      <c r="W1822" s="14">
        <v>207.02</v>
      </c>
      <c r="X1822" s="11">
        <v>41</v>
      </c>
      <c r="Y1822" s="15" t="s">
        <v>3713</v>
      </c>
      <c r="Z1822" s="16">
        <v>151.02000000000001</v>
      </c>
      <c r="AA1822" s="17">
        <v>269.7</v>
      </c>
      <c r="AB1822" s="18" t="s">
        <v>4683</v>
      </c>
    </row>
    <row r="1823" spans="1:28" x14ac:dyDescent="0.45">
      <c r="A1823" s="2" t="s">
        <v>2420</v>
      </c>
      <c r="B1823" s="2" t="s">
        <v>6915</v>
      </c>
      <c r="C1823" s="2" t="s">
        <v>2137</v>
      </c>
      <c r="D1823" s="2" t="s">
        <v>2138</v>
      </c>
      <c r="E1823" s="2" t="s">
        <v>2139</v>
      </c>
      <c r="F1823" s="3">
        <v>48.9</v>
      </c>
      <c r="G1823" s="3">
        <v>54.14</v>
      </c>
      <c r="H1823" s="2" t="s">
        <v>1127</v>
      </c>
      <c r="I1823" s="19">
        <v>30</v>
      </c>
      <c r="J1823" s="34">
        <f t="shared" si="112"/>
        <v>0.26100000000000001</v>
      </c>
      <c r="K1823" s="34">
        <f t="shared" si="113"/>
        <v>0.39</v>
      </c>
      <c r="L1823" s="34">
        <f t="shared" si="114"/>
        <v>1.56</v>
      </c>
      <c r="M1823" s="20" t="s">
        <v>4871</v>
      </c>
      <c r="N1823" s="20" t="s">
        <v>4597</v>
      </c>
      <c r="O1823" s="20" t="s">
        <v>3892</v>
      </c>
      <c r="P1823" s="20" t="s">
        <v>4598</v>
      </c>
      <c r="Q1823" s="21">
        <v>49</v>
      </c>
      <c r="R1823" s="21">
        <v>54</v>
      </c>
      <c r="S1823" s="21">
        <v>2.5</v>
      </c>
      <c r="T1823" s="22">
        <v>2.2000000000000002</v>
      </c>
      <c r="U1823" s="13">
        <f t="shared" si="115"/>
        <v>0.64000000000000012</v>
      </c>
      <c r="V1823" s="23">
        <v>269.5</v>
      </c>
      <c r="W1823" s="23">
        <v>269.5</v>
      </c>
      <c r="X1823" s="20">
        <v>46</v>
      </c>
      <c r="Y1823" s="24" t="s">
        <v>3713</v>
      </c>
      <c r="Z1823" s="16">
        <v>239.5</v>
      </c>
      <c r="AA1823" s="17">
        <v>798.3</v>
      </c>
      <c r="AB1823" s="25" t="s">
        <v>4085</v>
      </c>
    </row>
    <row r="1824" spans="1:28" x14ac:dyDescent="0.45">
      <c r="A1824" s="4" t="s">
        <v>2421</v>
      </c>
      <c r="B1824" s="4" t="s">
        <v>6916</v>
      </c>
      <c r="C1824" s="4" t="s">
        <v>2137</v>
      </c>
      <c r="D1824" s="4" t="s">
        <v>2138</v>
      </c>
      <c r="E1824" s="4" t="s">
        <v>2139</v>
      </c>
      <c r="F1824" s="5">
        <v>48</v>
      </c>
      <c r="G1824" s="5">
        <v>52</v>
      </c>
      <c r="H1824" s="4" t="s">
        <v>1122</v>
      </c>
      <c r="I1824" s="10">
        <v>27</v>
      </c>
      <c r="J1824" s="34">
        <f t="shared" si="112"/>
        <v>0.2349</v>
      </c>
      <c r="K1824" s="34">
        <f t="shared" si="113"/>
        <v>0.35</v>
      </c>
      <c r="L1824" s="34">
        <f t="shared" si="114"/>
        <v>1.4</v>
      </c>
      <c r="M1824" s="11" t="s">
        <v>4872</v>
      </c>
      <c r="N1824" s="11" t="s">
        <v>4597</v>
      </c>
      <c r="O1824" s="11" t="s">
        <v>3892</v>
      </c>
      <c r="P1824" s="11" t="s">
        <v>4598</v>
      </c>
      <c r="Q1824" s="12">
        <v>48</v>
      </c>
      <c r="R1824" s="12">
        <v>52</v>
      </c>
      <c r="S1824" s="12">
        <v>2</v>
      </c>
      <c r="T1824" s="13">
        <v>0.68</v>
      </c>
      <c r="U1824" s="13">
        <f t="shared" si="115"/>
        <v>-0.71999999999999986</v>
      </c>
      <c r="V1824" s="14">
        <v>83.3</v>
      </c>
      <c r="W1824" s="14">
        <v>83.3</v>
      </c>
      <c r="X1824" s="11" t="s">
        <v>3722</v>
      </c>
      <c r="Y1824" s="15" t="s">
        <v>3713</v>
      </c>
      <c r="Z1824" s="16">
        <v>56.3</v>
      </c>
      <c r="AA1824" s="17">
        <v>208.5</v>
      </c>
      <c r="AB1824" s="18" t="s">
        <v>3714</v>
      </c>
    </row>
    <row r="1825" spans="1:28" x14ac:dyDescent="0.45">
      <c r="A1825" s="2" t="s">
        <v>2422</v>
      </c>
      <c r="B1825" s="2" t="s">
        <v>6917</v>
      </c>
      <c r="C1825" s="2" t="s">
        <v>2137</v>
      </c>
      <c r="D1825" s="2" t="s">
        <v>2138</v>
      </c>
      <c r="E1825" s="2" t="s">
        <v>2139</v>
      </c>
      <c r="F1825" s="3">
        <v>48</v>
      </c>
      <c r="G1825" s="3">
        <v>54</v>
      </c>
      <c r="H1825" s="2" t="s">
        <v>1149</v>
      </c>
      <c r="I1825" s="19">
        <v>56</v>
      </c>
      <c r="J1825" s="34">
        <f t="shared" si="112"/>
        <v>0.48719999999999997</v>
      </c>
      <c r="K1825" s="34">
        <f t="shared" si="113"/>
        <v>0.73</v>
      </c>
      <c r="L1825" s="34">
        <f t="shared" si="114"/>
        <v>2.92</v>
      </c>
      <c r="M1825" s="20" t="s">
        <v>4873</v>
      </c>
      <c r="N1825" s="20" t="s">
        <v>4597</v>
      </c>
      <c r="O1825" s="20" t="s">
        <v>3892</v>
      </c>
      <c r="P1825" s="20" t="s">
        <v>4598</v>
      </c>
      <c r="Q1825" s="21">
        <v>48</v>
      </c>
      <c r="R1825" s="21">
        <v>54</v>
      </c>
      <c r="S1825" s="21">
        <v>3</v>
      </c>
      <c r="T1825" s="22">
        <v>1.19</v>
      </c>
      <c r="U1825" s="13">
        <f t="shared" si="115"/>
        <v>-1.73</v>
      </c>
      <c r="V1825" s="23">
        <v>145.78</v>
      </c>
      <c r="W1825" s="23">
        <v>145.78</v>
      </c>
      <c r="X1825" s="20">
        <v>25</v>
      </c>
      <c r="Y1825" s="24" t="s">
        <v>3713</v>
      </c>
      <c r="Z1825" s="16">
        <v>89.78</v>
      </c>
      <c r="AA1825" s="17">
        <v>160.30000000000001</v>
      </c>
      <c r="AB1825" s="25" t="s">
        <v>3714</v>
      </c>
    </row>
    <row r="1826" spans="1:28" x14ac:dyDescent="0.45">
      <c r="A1826" s="4" t="s">
        <v>2423</v>
      </c>
      <c r="B1826" s="4" t="s">
        <v>6918</v>
      </c>
      <c r="C1826" s="4" t="s">
        <v>2137</v>
      </c>
      <c r="D1826" s="4" t="s">
        <v>2138</v>
      </c>
      <c r="E1826" s="4" t="s">
        <v>2139</v>
      </c>
      <c r="F1826" s="5">
        <v>48</v>
      </c>
      <c r="G1826" s="5">
        <v>56</v>
      </c>
      <c r="H1826" s="4" t="s">
        <v>1216</v>
      </c>
      <c r="I1826" s="10">
        <v>91</v>
      </c>
      <c r="J1826" s="34">
        <f t="shared" si="112"/>
        <v>0.79169999999999996</v>
      </c>
      <c r="K1826" s="34">
        <f t="shared" si="113"/>
        <v>1.19</v>
      </c>
      <c r="L1826" s="34">
        <f t="shared" si="114"/>
        <v>4.76</v>
      </c>
      <c r="M1826" s="11" t="s">
        <v>4870</v>
      </c>
      <c r="N1826" s="11" t="s">
        <v>4597</v>
      </c>
      <c r="O1826" s="11" t="s">
        <v>3892</v>
      </c>
      <c r="P1826" s="11" t="s">
        <v>4598</v>
      </c>
      <c r="Q1826" s="12">
        <v>48</v>
      </c>
      <c r="R1826" s="12">
        <v>56</v>
      </c>
      <c r="S1826" s="12">
        <v>4</v>
      </c>
      <c r="T1826" s="13">
        <v>1.69</v>
      </c>
      <c r="U1826" s="13">
        <f t="shared" si="115"/>
        <v>-3.07</v>
      </c>
      <c r="V1826" s="14">
        <v>207.02</v>
      </c>
      <c r="W1826" s="14">
        <v>207.02</v>
      </c>
      <c r="X1826" s="11">
        <v>41</v>
      </c>
      <c r="Y1826" s="15" t="s">
        <v>3713</v>
      </c>
      <c r="Z1826" s="16">
        <v>116.02</v>
      </c>
      <c r="AA1826" s="17">
        <v>127.5</v>
      </c>
      <c r="AB1826" s="18" t="s">
        <v>3714</v>
      </c>
    </row>
    <row r="1827" spans="1:28" x14ac:dyDescent="0.45">
      <c r="A1827" s="2" t="s">
        <v>2424</v>
      </c>
      <c r="B1827" s="2" t="s">
        <v>6919</v>
      </c>
      <c r="C1827" s="2" t="s">
        <v>2137</v>
      </c>
      <c r="D1827" s="2" t="s">
        <v>2138</v>
      </c>
      <c r="E1827" s="2" t="s">
        <v>2139</v>
      </c>
      <c r="F1827" s="3">
        <v>49.2</v>
      </c>
      <c r="G1827" s="3">
        <v>60.6</v>
      </c>
      <c r="H1827" s="2" t="s">
        <v>1297</v>
      </c>
      <c r="I1827" s="19">
        <v>224</v>
      </c>
      <c r="J1827" s="34">
        <f t="shared" si="112"/>
        <v>1.9487999999999999</v>
      </c>
      <c r="K1827" s="34">
        <f t="shared" si="113"/>
        <v>2.92</v>
      </c>
      <c r="L1827" s="34">
        <f t="shared" si="114"/>
        <v>11.68</v>
      </c>
      <c r="M1827" s="20" t="s">
        <v>4874</v>
      </c>
      <c r="N1827" s="20" t="s">
        <v>4597</v>
      </c>
      <c r="O1827" s="20" t="s">
        <v>3892</v>
      </c>
      <c r="P1827" s="20" t="s">
        <v>4598</v>
      </c>
      <c r="Q1827" s="21">
        <v>50</v>
      </c>
      <c r="R1827" s="21">
        <v>60</v>
      </c>
      <c r="S1827" s="21">
        <v>5</v>
      </c>
      <c r="T1827" s="22">
        <v>4.66</v>
      </c>
      <c r="U1827" s="13">
        <f t="shared" si="115"/>
        <v>-7.02</v>
      </c>
      <c r="V1827" s="23">
        <v>570.85</v>
      </c>
      <c r="W1827" s="23">
        <v>570.85</v>
      </c>
      <c r="X1827" s="20">
        <v>125</v>
      </c>
      <c r="Y1827" s="24" t="s">
        <v>3713</v>
      </c>
      <c r="Z1827" s="16">
        <v>346.85</v>
      </c>
      <c r="AA1827" s="17">
        <v>154.80000000000001</v>
      </c>
      <c r="AB1827" s="25" t="s">
        <v>4566</v>
      </c>
    </row>
    <row r="1828" spans="1:28" x14ac:dyDescent="0.45">
      <c r="A1828" s="4" t="s">
        <v>2425</v>
      </c>
      <c r="B1828" s="4" t="s">
        <v>6920</v>
      </c>
      <c r="C1828" s="4" t="s">
        <v>2137</v>
      </c>
      <c r="D1828" s="4" t="s">
        <v>2138</v>
      </c>
      <c r="E1828" s="4" t="s">
        <v>2139</v>
      </c>
      <c r="F1828" s="5">
        <v>49.4</v>
      </c>
      <c r="G1828" s="5">
        <v>54.2</v>
      </c>
      <c r="H1828" s="4" t="s">
        <v>1140</v>
      </c>
      <c r="I1828" s="10">
        <v>30</v>
      </c>
      <c r="J1828" s="34">
        <f t="shared" si="112"/>
        <v>0.26100000000000001</v>
      </c>
      <c r="K1828" s="34">
        <f t="shared" si="113"/>
        <v>0.39</v>
      </c>
      <c r="L1828" s="34">
        <f t="shared" si="114"/>
        <v>1.56</v>
      </c>
      <c r="M1828" s="11" t="s">
        <v>4871</v>
      </c>
      <c r="N1828" s="11" t="s">
        <v>4597</v>
      </c>
      <c r="O1828" s="11" t="s">
        <v>3892</v>
      </c>
      <c r="P1828" s="11" t="s">
        <v>4598</v>
      </c>
      <c r="Q1828" s="12">
        <v>49</v>
      </c>
      <c r="R1828" s="12">
        <v>54</v>
      </c>
      <c r="S1828" s="12">
        <v>2.5</v>
      </c>
      <c r="T1828" s="13">
        <v>2.2000000000000002</v>
      </c>
      <c r="U1828" s="13">
        <f t="shared" si="115"/>
        <v>0.64000000000000012</v>
      </c>
      <c r="V1828" s="14">
        <v>269.5</v>
      </c>
      <c r="W1828" s="14">
        <v>269.5</v>
      </c>
      <c r="X1828" s="11">
        <v>46</v>
      </c>
      <c r="Y1828" s="15" t="s">
        <v>3713</v>
      </c>
      <c r="Z1828" s="16">
        <v>239.5</v>
      </c>
      <c r="AA1828" s="17">
        <v>798.3</v>
      </c>
      <c r="AB1828" s="18" t="s">
        <v>4875</v>
      </c>
    </row>
    <row r="1829" spans="1:28" x14ac:dyDescent="0.45">
      <c r="A1829" s="2" t="s">
        <v>2426</v>
      </c>
      <c r="B1829" s="2" t="s">
        <v>6921</v>
      </c>
      <c r="C1829" s="2" t="s">
        <v>2137</v>
      </c>
      <c r="D1829" s="2" t="s">
        <v>2138</v>
      </c>
      <c r="E1829" s="2" t="s">
        <v>2139</v>
      </c>
      <c r="F1829" s="3">
        <v>49.4</v>
      </c>
      <c r="G1829" s="3">
        <v>55.6</v>
      </c>
      <c r="H1829" s="2" t="s">
        <v>1221</v>
      </c>
      <c r="I1829" s="19">
        <v>57</v>
      </c>
      <c r="J1829" s="34">
        <f t="shared" si="112"/>
        <v>0.49589999999999995</v>
      </c>
      <c r="K1829" s="34">
        <f t="shared" si="113"/>
        <v>0.74</v>
      </c>
      <c r="L1829" s="34">
        <f t="shared" si="114"/>
        <v>2.96</v>
      </c>
      <c r="M1829" s="20" t="s">
        <v>4876</v>
      </c>
      <c r="N1829" s="20" t="s">
        <v>4597</v>
      </c>
      <c r="O1829" s="20" t="s">
        <v>3892</v>
      </c>
      <c r="P1829" s="20" t="s">
        <v>4598</v>
      </c>
      <c r="Q1829" s="21">
        <v>49.5</v>
      </c>
      <c r="R1829" s="21">
        <v>55.5</v>
      </c>
      <c r="S1829" s="21">
        <v>3</v>
      </c>
      <c r="T1829" s="22">
        <v>2.4900000000000002</v>
      </c>
      <c r="U1829" s="13">
        <f t="shared" si="115"/>
        <v>-0.46999999999999975</v>
      </c>
      <c r="V1829" s="23">
        <v>305.02999999999997</v>
      </c>
      <c r="W1829" s="23">
        <v>305.02999999999997</v>
      </c>
      <c r="X1829" s="20">
        <v>1509</v>
      </c>
      <c r="Y1829" s="24" t="s">
        <v>3713</v>
      </c>
      <c r="Z1829" s="16">
        <v>248.03</v>
      </c>
      <c r="AA1829" s="17">
        <v>435.1</v>
      </c>
      <c r="AB1829" s="25" t="s">
        <v>4119</v>
      </c>
    </row>
    <row r="1830" spans="1:28" x14ac:dyDescent="0.45">
      <c r="A1830" s="4" t="s">
        <v>2427</v>
      </c>
      <c r="B1830" s="4" t="s">
        <v>6922</v>
      </c>
      <c r="C1830" s="4" t="s">
        <v>2137</v>
      </c>
      <c r="D1830" s="4" t="s">
        <v>2138</v>
      </c>
      <c r="E1830" s="4" t="s">
        <v>2139</v>
      </c>
      <c r="F1830" s="5">
        <v>49.7</v>
      </c>
      <c r="G1830" s="5">
        <v>56.7</v>
      </c>
      <c r="H1830" s="4" t="s">
        <v>1187</v>
      </c>
      <c r="I1830" s="10">
        <v>57</v>
      </c>
      <c r="J1830" s="34">
        <f t="shared" si="112"/>
        <v>0.49589999999999995</v>
      </c>
      <c r="K1830" s="34">
        <f t="shared" si="113"/>
        <v>0.74</v>
      </c>
      <c r="L1830" s="34">
        <f t="shared" si="114"/>
        <v>2.96</v>
      </c>
      <c r="M1830" s="11" t="s">
        <v>4877</v>
      </c>
      <c r="N1830" s="11" t="s">
        <v>4597</v>
      </c>
      <c r="O1830" s="11" t="s">
        <v>3892</v>
      </c>
      <c r="P1830" s="11" t="s">
        <v>4598</v>
      </c>
      <c r="Q1830" s="12">
        <v>50</v>
      </c>
      <c r="R1830" s="12">
        <v>56</v>
      </c>
      <c r="S1830" s="12">
        <v>3</v>
      </c>
      <c r="T1830" s="13">
        <v>1.76</v>
      </c>
      <c r="U1830" s="13">
        <f t="shared" si="115"/>
        <v>-1.2</v>
      </c>
      <c r="V1830" s="14">
        <v>215.6</v>
      </c>
      <c r="W1830" s="14">
        <v>215.6</v>
      </c>
      <c r="X1830" s="11">
        <v>437</v>
      </c>
      <c r="Y1830" s="15" t="s">
        <v>3713</v>
      </c>
      <c r="Z1830" s="16">
        <v>158.6</v>
      </c>
      <c r="AA1830" s="17">
        <v>278.2</v>
      </c>
      <c r="AB1830" s="18" t="s">
        <v>4817</v>
      </c>
    </row>
    <row r="1831" spans="1:28" x14ac:dyDescent="0.45">
      <c r="A1831" s="2" t="s">
        <v>2428</v>
      </c>
      <c r="B1831" s="2" t="s">
        <v>6923</v>
      </c>
      <c r="C1831" s="2" t="s">
        <v>2137</v>
      </c>
      <c r="D1831" s="2" t="s">
        <v>2138</v>
      </c>
      <c r="E1831" s="2" t="s">
        <v>2139</v>
      </c>
      <c r="F1831" s="3">
        <v>50.17</v>
      </c>
      <c r="G1831" s="3">
        <v>60.83</v>
      </c>
      <c r="H1831" s="2" t="s">
        <v>1201</v>
      </c>
      <c r="I1831" s="19">
        <v>114</v>
      </c>
      <c r="J1831" s="34">
        <f t="shared" si="112"/>
        <v>0.9917999999999999</v>
      </c>
      <c r="K1831" s="34">
        <f t="shared" si="113"/>
        <v>1.49</v>
      </c>
      <c r="L1831" s="34">
        <f t="shared" si="114"/>
        <v>5.96</v>
      </c>
      <c r="M1831" s="20" t="s">
        <v>4878</v>
      </c>
      <c r="N1831" s="20" t="s">
        <v>4597</v>
      </c>
      <c r="O1831" s="20" t="s">
        <v>3892</v>
      </c>
      <c r="P1831" s="20" t="s">
        <v>4598</v>
      </c>
      <c r="Q1831" s="21">
        <v>50.292000000000002</v>
      </c>
      <c r="R1831" s="21">
        <v>60.96</v>
      </c>
      <c r="S1831" s="21">
        <v>5.3339999999999996</v>
      </c>
      <c r="T1831" s="22">
        <v>6.47</v>
      </c>
      <c r="U1831" s="13">
        <f t="shared" si="115"/>
        <v>0.50999999999999979</v>
      </c>
      <c r="V1831" s="23">
        <v>792.58</v>
      </c>
      <c r="W1831" s="23">
        <v>792.58</v>
      </c>
      <c r="X1831" s="20">
        <v>233</v>
      </c>
      <c r="Y1831" s="24" t="s">
        <v>3737</v>
      </c>
      <c r="Z1831" s="16">
        <v>678.58</v>
      </c>
      <c r="AA1831" s="17">
        <v>595.20000000000005</v>
      </c>
      <c r="AB1831" s="25" t="s">
        <v>4016</v>
      </c>
    </row>
    <row r="1832" spans="1:28" x14ac:dyDescent="0.45">
      <c r="A1832" s="4" t="s">
        <v>2429</v>
      </c>
      <c r="B1832" s="4" t="s">
        <v>6924</v>
      </c>
      <c r="C1832" s="4" t="s">
        <v>2137</v>
      </c>
      <c r="D1832" s="4" t="s">
        <v>2138</v>
      </c>
      <c r="E1832" s="4" t="s">
        <v>2139</v>
      </c>
      <c r="F1832" s="5">
        <v>50.39</v>
      </c>
      <c r="G1832" s="5">
        <v>57.45</v>
      </c>
      <c r="H1832" s="4" t="s">
        <v>1156</v>
      </c>
      <c r="I1832" s="10">
        <v>59</v>
      </c>
      <c r="J1832" s="34">
        <f t="shared" si="112"/>
        <v>0.51329999999999998</v>
      </c>
      <c r="K1832" s="34">
        <f t="shared" si="113"/>
        <v>0.77</v>
      </c>
      <c r="L1832" s="34">
        <f t="shared" si="114"/>
        <v>3.08</v>
      </c>
      <c r="M1832" s="11" t="s">
        <v>4879</v>
      </c>
      <c r="N1832" s="11" t="s">
        <v>4597</v>
      </c>
      <c r="O1832" s="11" t="s">
        <v>3892</v>
      </c>
      <c r="P1832" s="11" t="s">
        <v>4598</v>
      </c>
      <c r="Q1832" s="12">
        <v>50.292000000000002</v>
      </c>
      <c r="R1832" s="12">
        <v>57.404000000000003</v>
      </c>
      <c r="S1832" s="12">
        <v>3.556</v>
      </c>
      <c r="T1832" s="13">
        <v>1.52</v>
      </c>
      <c r="U1832" s="13">
        <f t="shared" si="115"/>
        <v>-1.56</v>
      </c>
      <c r="V1832" s="14">
        <v>186.2</v>
      </c>
      <c r="W1832" s="14">
        <v>186.2</v>
      </c>
      <c r="X1832" s="11">
        <v>272</v>
      </c>
      <c r="Y1832" s="15" t="s">
        <v>3737</v>
      </c>
      <c r="Z1832" s="16">
        <v>127.2</v>
      </c>
      <c r="AA1832" s="17">
        <v>215.6</v>
      </c>
      <c r="AB1832" s="18" t="s">
        <v>3963</v>
      </c>
    </row>
    <row r="1833" spans="1:28" x14ac:dyDescent="0.45">
      <c r="A1833" s="2" t="s">
        <v>2430</v>
      </c>
      <c r="B1833" s="2" t="s">
        <v>6925</v>
      </c>
      <c r="C1833" s="2" t="s">
        <v>2137</v>
      </c>
      <c r="D1833" s="2" t="s">
        <v>2138</v>
      </c>
      <c r="E1833" s="2" t="s">
        <v>2139</v>
      </c>
      <c r="F1833" s="3">
        <v>50.47</v>
      </c>
      <c r="G1833" s="3">
        <v>55.71</v>
      </c>
      <c r="H1833" s="2" t="s">
        <v>1127</v>
      </c>
      <c r="I1833" s="19">
        <v>32</v>
      </c>
      <c r="J1833" s="34">
        <f t="shared" si="112"/>
        <v>0.27839999999999998</v>
      </c>
      <c r="K1833" s="34">
        <f t="shared" si="113"/>
        <v>0.42</v>
      </c>
      <c r="L1833" s="34">
        <f t="shared" si="114"/>
        <v>1.68</v>
      </c>
      <c r="M1833" s="20" t="s">
        <v>4880</v>
      </c>
      <c r="N1833" s="20" t="s">
        <v>4597</v>
      </c>
      <c r="O1833" s="20" t="s">
        <v>3892</v>
      </c>
      <c r="P1833" s="20" t="s">
        <v>4598</v>
      </c>
      <c r="Q1833" s="21">
        <v>50.545999999999999</v>
      </c>
      <c r="R1833" s="21">
        <v>55.625999999999998</v>
      </c>
      <c r="S1833" s="21">
        <v>2.54</v>
      </c>
      <c r="T1833" s="22">
        <v>2.21</v>
      </c>
      <c r="U1833" s="13">
        <f t="shared" si="115"/>
        <v>0.53</v>
      </c>
      <c r="V1833" s="23">
        <v>270.73</v>
      </c>
      <c r="W1833" s="23">
        <v>270.73</v>
      </c>
      <c r="X1833" s="20">
        <v>76</v>
      </c>
      <c r="Y1833" s="24" t="s">
        <v>3737</v>
      </c>
      <c r="Z1833" s="16">
        <v>238.73</v>
      </c>
      <c r="AA1833" s="17">
        <v>746</v>
      </c>
      <c r="AB1833" s="25" t="s">
        <v>4022</v>
      </c>
    </row>
    <row r="1834" spans="1:28" x14ac:dyDescent="0.45">
      <c r="A1834" s="4" t="s">
        <v>2431</v>
      </c>
      <c r="B1834" s="4" t="s">
        <v>6926</v>
      </c>
      <c r="C1834" s="4" t="s">
        <v>2137</v>
      </c>
      <c r="D1834" s="4" t="s">
        <v>2138</v>
      </c>
      <c r="E1834" s="4" t="s">
        <v>2139</v>
      </c>
      <c r="F1834" s="5">
        <v>50.52</v>
      </c>
      <c r="G1834" s="5">
        <v>54.080000000000013</v>
      </c>
      <c r="H1834" s="4" t="s">
        <v>1114</v>
      </c>
      <c r="I1834" s="10">
        <v>23</v>
      </c>
      <c r="J1834" s="34">
        <f t="shared" si="112"/>
        <v>0.2001</v>
      </c>
      <c r="K1834" s="34">
        <f t="shared" si="113"/>
        <v>0.3</v>
      </c>
      <c r="L1834" s="34">
        <f t="shared" si="114"/>
        <v>1.2</v>
      </c>
      <c r="M1834" s="11" t="s">
        <v>4881</v>
      </c>
      <c r="N1834" s="11" t="s">
        <v>4597</v>
      </c>
      <c r="O1834" s="11" t="s">
        <v>3892</v>
      </c>
      <c r="P1834" s="11" t="s">
        <v>4598</v>
      </c>
      <c r="Q1834" s="12">
        <v>50.545999999999999</v>
      </c>
      <c r="R1834" s="12">
        <v>54.101999999999997</v>
      </c>
      <c r="S1834" s="12">
        <v>1.778</v>
      </c>
      <c r="T1834" s="13">
        <v>0.68</v>
      </c>
      <c r="U1834" s="13">
        <f t="shared" si="115"/>
        <v>-0.51999999999999991</v>
      </c>
      <c r="V1834" s="14">
        <v>83.3</v>
      </c>
      <c r="W1834" s="14">
        <v>83.3</v>
      </c>
      <c r="X1834" s="11">
        <v>363</v>
      </c>
      <c r="Y1834" s="15" t="s">
        <v>3737</v>
      </c>
      <c r="Z1834" s="16">
        <v>60.3</v>
      </c>
      <c r="AA1834" s="17">
        <v>262.2</v>
      </c>
      <c r="AB1834" s="18" t="s">
        <v>3967</v>
      </c>
    </row>
    <row r="1835" spans="1:28" x14ac:dyDescent="0.45">
      <c r="A1835" s="2" t="s">
        <v>2432</v>
      </c>
      <c r="B1835" s="2" t="s">
        <v>6927</v>
      </c>
      <c r="C1835" s="2" t="s">
        <v>2137</v>
      </c>
      <c r="D1835" s="2" t="s">
        <v>2138</v>
      </c>
      <c r="E1835" s="2" t="s">
        <v>2139</v>
      </c>
      <c r="F1835" s="3">
        <v>50</v>
      </c>
      <c r="G1835" s="3">
        <v>55</v>
      </c>
      <c r="H1835" s="2" t="s">
        <v>1135</v>
      </c>
      <c r="I1835" s="19">
        <v>30</v>
      </c>
      <c r="J1835" s="34">
        <f t="shared" si="112"/>
        <v>0.26100000000000001</v>
      </c>
      <c r="K1835" s="34">
        <f t="shared" si="113"/>
        <v>0.39</v>
      </c>
      <c r="L1835" s="34">
        <f t="shared" si="114"/>
        <v>1.56</v>
      </c>
      <c r="M1835" s="20" t="s">
        <v>4882</v>
      </c>
      <c r="N1835" s="20" t="s">
        <v>4597</v>
      </c>
      <c r="O1835" s="20" t="s">
        <v>3892</v>
      </c>
      <c r="P1835" s="20" t="s">
        <v>4598</v>
      </c>
      <c r="Q1835" s="21">
        <v>50</v>
      </c>
      <c r="R1835" s="21">
        <v>55</v>
      </c>
      <c r="S1835" s="21">
        <v>2.5</v>
      </c>
      <c r="T1835" s="22">
        <v>4.7699999999999996</v>
      </c>
      <c r="U1835" s="13">
        <f t="shared" si="115"/>
        <v>3.2099999999999995</v>
      </c>
      <c r="V1835" s="23">
        <v>584.32000000000005</v>
      </c>
      <c r="W1835" s="23">
        <v>584.32000000000005</v>
      </c>
      <c r="X1835" s="20">
        <v>20</v>
      </c>
      <c r="Y1835" s="24" t="s">
        <v>3713</v>
      </c>
      <c r="Z1835" s="16">
        <v>554.32000000000005</v>
      </c>
      <c r="AA1835" s="17">
        <v>1847.7</v>
      </c>
      <c r="AB1835" s="25" t="s">
        <v>3714</v>
      </c>
    </row>
    <row r="1836" spans="1:28" x14ac:dyDescent="0.45">
      <c r="A1836" s="4" t="s">
        <v>2433</v>
      </c>
      <c r="B1836" s="4" t="s">
        <v>6928</v>
      </c>
      <c r="C1836" s="4" t="s">
        <v>2137</v>
      </c>
      <c r="D1836" s="4" t="s">
        <v>2138</v>
      </c>
      <c r="E1836" s="4" t="s">
        <v>2139</v>
      </c>
      <c r="F1836" s="5">
        <v>50</v>
      </c>
      <c r="G1836" s="5">
        <v>58</v>
      </c>
      <c r="H1836" s="4" t="s">
        <v>1216</v>
      </c>
      <c r="I1836" s="10">
        <v>96</v>
      </c>
      <c r="J1836" s="34">
        <f t="shared" si="112"/>
        <v>0.83519999999999994</v>
      </c>
      <c r="K1836" s="34">
        <f t="shared" si="113"/>
        <v>1.25</v>
      </c>
      <c r="L1836" s="34">
        <f t="shared" si="114"/>
        <v>5</v>
      </c>
      <c r="M1836" s="11" t="s">
        <v>4883</v>
      </c>
      <c r="N1836" s="11" t="s">
        <v>4597</v>
      </c>
      <c r="O1836" s="11" t="s">
        <v>3892</v>
      </c>
      <c r="P1836" s="11" t="s">
        <v>4598</v>
      </c>
      <c r="Q1836" s="12">
        <v>50</v>
      </c>
      <c r="R1836" s="12">
        <v>58</v>
      </c>
      <c r="S1836" s="12">
        <v>4</v>
      </c>
      <c r="T1836" s="13">
        <v>3.24</v>
      </c>
      <c r="U1836" s="13">
        <f t="shared" si="115"/>
        <v>-1.7599999999999998</v>
      </c>
      <c r="V1836" s="14">
        <v>396.9</v>
      </c>
      <c r="W1836" s="14">
        <v>396.9</v>
      </c>
      <c r="X1836" s="11">
        <v>4</v>
      </c>
      <c r="Y1836" s="15" t="s">
        <v>3713</v>
      </c>
      <c r="Z1836" s="16">
        <v>300.89999999999998</v>
      </c>
      <c r="AA1836" s="17">
        <v>313.39999999999998</v>
      </c>
      <c r="AB1836" s="18" t="s">
        <v>3714</v>
      </c>
    </row>
    <row r="1837" spans="1:28" x14ac:dyDescent="0.45">
      <c r="A1837" s="2" t="s">
        <v>2434</v>
      </c>
      <c r="B1837" s="2" t="s">
        <v>6929</v>
      </c>
      <c r="C1837" s="2" t="s">
        <v>2137</v>
      </c>
      <c r="D1837" s="2" t="s">
        <v>2138</v>
      </c>
      <c r="E1837" s="2" t="s">
        <v>2139</v>
      </c>
      <c r="F1837" s="3">
        <v>50</v>
      </c>
      <c r="G1837" s="3">
        <v>60</v>
      </c>
      <c r="H1837" s="2" t="s">
        <v>1245</v>
      </c>
      <c r="I1837" s="19">
        <v>114</v>
      </c>
      <c r="J1837" s="34">
        <f t="shared" si="112"/>
        <v>0.9917999999999999</v>
      </c>
      <c r="K1837" s="34">
        <f t="shared" si="113"/>
        <v>1.49</v>
      </c>
      <c r="L1837" s="34">
        <f t="shared" si="114"/>
        <v>5.96</v>
      </c>
      <c r="M1837" s="20" t="s">
        <v>4874</v>
      </c>
      <c r="N1837" s="20" t="s">
        <v>4597</v>
      </c>
      <c r="O1837" s="20" t="s">
        <v>3892</v>
      </c>
      <c r="P1837" s="20" t="s">
        <v>4598</v>
      </c>
      <c r="Q1837" s="21">
        <v>50</v>
      </c>
      <c r="R1837" s="21">
        <v>60</v>
      </c>
      <c r="S1837" s="21">
        <v>5</v>
      </c>
      <c r="T1837" s="22">
        <v>4.66</v>
      </c>
      <c r="U1837" s="13">
        <f t="shared" si="115"/>
        <v>-1.2999999999999998</v>
      </c>
      <c r="V1837" s="23">
        <v>570.85</v>
      </c>
      <c r="W1837" s="23">
        <v>570.85</v>
      </c>
      <c r="X1837" s="20">
        <v>125</v>
      </c>
      <c r="Y1837" s="24" t="s">
        <v>3713</v>
      </c>
      <c r="Z1837" s="16">
        <v>456.85</v>
      </c>
      <c r="AA1837" s="17">
        <v>400.7</v>
      </c>
      <c r="AB1837" s="25" t="s">
        <v>3714</v>
      </c>
    </row>
    <row r="1838" spans="1:28" x14ac:dyDescent="0.45">
      <c r="A1838" s="4" t="s">
        <v>2435</v>
      </c>
      <c r="B1838" s="4" t="s">
        <v>6930</v>
      </c>
      <c r="C1838" s="4" t="s">
        <v>2137</v>
      </c>
      <c r="D1838" s="4" t="s">
        <v>2138</v>
      </c>
      <c r="E1838" s="4" t="s">
        <v>2139</v>
      </c>
      <c r="F1838" s="5">
        <v>52.07</v>
      </c>
      <c r="G1838" s="5">
        <v>57.31</v>
      </c>
      <c r="H1838" s="4" t="s">
        <v>1127</v>
      </c>
      <c r="I1838" s="10">
        <v>32</v>
      </c>
      <c r="J1838" s="34">
        <f t="shared" si="112"/>
        <v>0.27839999999999998</v>
      </c>
      <c r="K1838" s="34">
        <f t="shared" si="113"/>
        <v>0.42</v>
      </c>
      <c r="L1838" s="34">
        <f t="shared" si="114"/>
        <v>1.68</v>
      </c>
      <c r="M1838" s="11" t="s">
        <v>4884</v>
      </c>
      <c r="N1838" s="11" t="s">
        <v>4597</v>
      </c>
      <c r="O1838" s="11" t="s">
        <v>3892</v>
      </c>
      <c r="P1838" s="11" t="s">
        <v>4598</v>
      </c>
      <c r="Q1838" s="12">
        <v>52</v>
      </c>
      <c r="R1838" s="12">
        <v>57</v>
      </c>
      <c r="S1838" s="12">
        <v>2.5</v>
      </c>
      <c r="T1838" s="13">
        <v>1.51</v>
      </c>
      <c r="U1838" s="13">
        <f t="shared" si="115"/>
        <v>-0.16999999999999993</v>
      </c>
      <c r="V1838" s="14">
        <v>184.98</v>
      </c>
      <c r="W1838" s="14">
        <v>184.98</v>
      </c>
      <c r="X1838" s="11" t="s">
        <v>3722</v>
      </c>
      <c r="Y1838" s="15" t="s">
        <v>3713</v>
      </c>
      <c r="Z1838" s="16">
        <v>152.97999999999999</v>
      </c>
      <c r="AA1838" s="17">
        <v>478.1</v>
      </c>
      <c r="AB1838" s="18" t="s">
        <v>3994</v>
      </c>
    </row>
    <row r="1839" spans="1:28" x14ac:dyDescent="0.45">
      <c r="A1839" s="2" t="s">
        <v>2436</v>
      </c>
      <c r="B1839" s="2" t="s">
        <v>6931</v>
      </c>
      <c r="C1839" s="2" t="s">
        <v>2137</v>
      </c>
      <c r="D1839" s="2" t="s">
        <v>2138</v>
      </c>
      <c r="E1839" s="2" t="s">
        <v>2139</v>
      </c>
      <c r="F1839" s="3">
        <v>52</v>
      </c>
      <c r="G1839" s="3">
        <v>56</v>
      </c>
      <c r="H1839" s="2" t="s">
        <v>1122</v>
      </c>
      <c r="I1839" s="19">
        <v>29</v>
      </c>
      <c r="J1839" s="34">
        <f t="shared" si="112"/>
        <v>0.25229999999999997</v>
      </c>
      <c r="K1839" s="34">
        <f t="shared" si="113"/>
        <v>0.38</v>
      </c>
      <c r="L1839" s="34">
        <f t="shared" si="114"/>
        <v>1.52</v>
      </c>
      <c r="M1839" s="20" t="s">
        <v>4885</v>
      </c>
      <c r="N1839" s="20" t="s">
        <v>4597</v>
      </c>
      <c r="O1839" s="20" t="s">
        <v>3892</v>
      </c>
      <c r="P1839" s="20" t="s">
        <v>4598</v>
      </c>
      <c r="Q1839" s="21">
        <v>52</v>
      </c>
      <c r="R1839" s="21">
        <v>56</v>
      </c>
      <c r="S1839" s="21">
        <v>2</v>
      </c>
      <c r="T1839" s="22">
        <v>1.36</v>
      </c>
      <c r="U1839" s="13">
        <f t="shared" si="115"/>
        <v>-0.15999999999999992</v>
      </c>
      <c r="V1839" s="23">
        <v>166.6</v>
      </c>
      <c r="W1839" s="23">
        <v>166.6</v>
      </c>
      <c r="X1839" s="20">
        <v>13</v>
      </c>
      <c r="Y1839" s="24" t="s">
        <v>3713</v>
      </c>
      <c r="Z1839" s="16">
        <v>137.6</v>
      </c>
      <c r="AA1839" s="17">
        <v>474.5</v>
      </c>
      <c r="AB1839" s="25" t="s">
        <v>3714</v>
      </c>
    </row>
    <row r="1840" spans="1:28" x14ac:dyDescent="0.45">
      <c r="A1840" s="4" t="s">
        <v>2437</v>
      </c>
      <c r="B1840" s="4" t="s">
        <v>6932</v>
      </c>
      <c r="C1840" s="4" t="s">
        <v>2137</v>
      </c>
      <c r="D1840" s="4" t="s">
        <v>2138</v>
      </c>
      <c r="E1840" s="4" t="s">
        <v>2139</v>
      </c>
      <c r="F1840" s="5">
        <v>52</v>
      </c>
      <c r="G1840" s="5">
        <v>58</v>
      </c>
      <c r="H1840" s="4" t="s">
        <v>1149</v>
      </c>
      <c r="I1840" s="10">
        <v>61</v>
      </c>
      <c r="J1840" s="34">
        <f t="shared" si="112"/>
        <v>0.53069999999999995</v>
      </c>
      <c r="K1840" s="34">
        <f t="shared" si="113"/>
        <v>0.8</v>
      </c>
      <c r="L1840" s="34">
        <f t="shared" si="114"/>
        <v>3.2</v>
      </c>
      <c r="M1840" s="11" t="s">
        <v>4886</v>
      </c>
      <c r="N1840" s="11" t="s">
        <v>4597</v>
      </c>
      <c r="O1840" s="11" t="s">
        <v>3892</v>
      </c>
      <c r="P1840" s="11" t="s">
        <v>4598</v>
      </c>
      <c r="Q1840" s="12">
        <v>52</v>
      </c>
      <c r="R1840" s="12">
        <v>58</v>
      </c>
      <c r="S1840" s="12">
        <v>3</v>
      </c>
      <c r="T1840" s="13">
        <v>2.0099999999999998</v>
      </c>
      <c r="U1840" s="13">
        <f t="shared" si="115"/>
        <v>-1.1900000000000004</v>
      </c>
      <c r="V1840" s="14">
        <v>246.22</v>
      </c>
      <c r="W1840" s="14">
        <v>246.22</v>
      </c>
      <c r="X1840" s="11">
        <v>29</v>
      </c>
      <c r="Y1840" s="15" t="s">
        <v>3713</v>
      </c>
      <c r="Z1840" s="16">
        <v>185.22</v>
      </c>
      <c r="AA1840" s="17">
        <v>303.60000000000002</v>
      </c>
      <c r="AB1840" s="18" t="s">
        <v>3714</v>
      </c>
    </row>
    <row r="1841" spans="1:28" x14ac:dyDescent="0.45">
      <c r="A1841" s="2" t="s">
        <v>2438</v>
      </c>
      <c r="B1841" s="2" t="s">
        <v>6933</v>
      </c>
      <c r="C1841" s="2" t="s">
        <v>2137</v>
      </c>
      <c r="D1841" s="2" t="s">
        <v>2138</v>
      </c>
      <c r="E1841" s="2" t="s">
        <v>2139</v>
      </c>
      <c r="F1841" s="3">
        <v>53.34</v>
      </c>
      <c r="G1841" s="3">
        <v>64</v>
      </c>
      <c r="H1841" s="2" t="s">
        <v>1201</v>
      </c>
      <c r="I1841" s="19">
        <v>123</v>
      </c>
      <c r="J1841" s="34">
        <f t="shared" si="112"/>
        <v>1.0700999999999998</v>
      </c>
      <c r="K1841" s="34">
        <f t="shared" si="113"/>
        <v>1.61</v>
      </c>
      <c r="L1841" s="34">
        <f t="shared" si="114"/>
        <v>6.44</v>
      </c>
      <c r="M1841" s="20" t="s">
        <v>4887</v>
      </c>
      <c r="N1841" s="20" t="s">
        <v>4597</v>
      </c>
      <c r="O1841" s="20" t="s">
        <v>3892</v>
      </c>
      <c r="P1841" s="20" t="s">
        <v>4598</v>
      </c>
      <c r="Q1841" s="21">
        <v>53.34</v>
      </c>
      <c r="R1841" s="21">
        <v>64.007999999999996</v>
      </c>
      <c r="S1841" s="21">
        <v>5.3339999999999996</v>
      </c>
      <c r="T1841" s="22">
        <v>2.27</v>
      </c>
      <c r="U1841" s="13">
        <f t="shared" si="115"/>
        <v>-4.17</v>
      </c>
      <c r="V1841" s="23">
        <v>278.08</v>
      </c>
      <c r="W1841" s="23">
        <v>278.08</v>
      </c>
      <c r="X1841" s="20">
        <v>293</v>
      </c>
      <c r="Y1841" s="24" t="s">
        <v>3737</v>
      </c>
      <c r="Z1841" s="16">
        <v>155.08000000000001</v>
      </c>
      <c r="AA1841" s="17">
        <v>126.1</v>
      </c>
      <c r="AB1841" s="25" t="s">
        <v>4032</v>
      </c>
    </row>
    <row r="1842" spans="1:28" x14ac:dyDescent="0.45">
      <c r="A1842" s="4" t="s">
        <v>2439</v>
      </c>
      <c r="B1842" s="4" t="s">
        <v>6934</v>
      </c>
      <c r="C1842" s="4" t="s">
        <v>2137</v>
      </c>
      <c r="D1842" s="4" t="s">
        <v>2138</v>
      </c>
      <c r="E1842" s="4" t="s">
        <v>2139</v>
      </c>
      <c r="F1842" s="5">
        <v>53.37</v>
      </c>
      <c r="G1842" s="5">
        <v>60.43</v>
      </c>
      <c r="H1842" s="4" t="s">
        <v>1156</v>
      </c>
      <c r="I1842" s="10">
        <v>62</v>
      </c>
      <c r="J1842" s="34">
        <f t="shared" si="112"/>
        <v>0.53939999999999999</v>
      </c>
      <c r="K1842" s="34">
        <f t="shared" si="113"/>
        <v>0.81</v>
      </c>
      <c r="L1842" s="34">
        <f t="shared" si="114"/>
        <v>3.24</v>
      </c>
      <c r="M1842" s="11" t="s">
        <v>4888</v>
      </c>
      <c r="N1842" s="11" t="s">
        <v>4597</v>
      </c>
      <c r="O1842" s="11" t="s">
        <v>3892</v>
      </c>
      <c r="P1842" s="11" t="s">
        <v>4598</v>
      </c>
      <c r="Q1842" s="12">
        <v>53.594000000000001</v>
      </c>
      <c r="R1842" s="12">
        <v>60.706000000000003</v>
      </c>
      <c r="S1842" s="12">
        <v>3.556</v>
      </c>
      <c r="T1842" s="13">
        <v>3.43</v>
      </c>
      <c r="U1842" s="13">
        <f t="shared" si="115"/>
        <v>0.18999999999999995</v>
      </c>
      <c r="V1842" s="14">
        <v>420.18</v>
      </c>
      <c r="W1842" s="14">
        <v>420.18</v>
      </c>
      <c r="X1842" s="11">
        <v>227</v>
      </c>
      <c r="Y1842" s="15" t="s">
        <v>3737</v>
      </c>
      <c r="Z1842" s="16">
        <v>358.18</v>
      </c>
      <c r="AA1842" s="17">
        <v>577.70000000000005</v>
      </c>
      <c r="AB1842" s="18" t="s">
        <v>4889</v>
      </c>
    </row>
    <row r="1843" spans="1:28" x14ac:dyDescent="0.45">
      <c r="A1843" s="2" t="s">
        <v>2440</v>
      </c>
      <c r="B1843" s="2" t="s">
        <v>6935</v>
      </c>
      <c r="C1843" s="2" t="s">
        <v>2137</v>
      </c>
      <c r="D1843" s="2" t="s">
        <v>2138</v>
      </c>
      <c r="E1843" s="2" t="s">
        <v>2139</v>
      </c>
      <c r="F1843" s="3">
        <v>53.4</v>
      </c>
      <c r="G1843" s="3">
        <v>59.6</v>
      </c>
      <c r="H1843" s="2" t="s">
        <v>1221</v>
      </c>
      <c r="I1843" s="19">
        <v>62</v>
      </c>
      <c r="J1843" s="34">
        <f t="shared" si="112"/>
        <v>0.53939999999999999</v>
      </c>
      <c r="K1843" s="34">
        <f t="shared" si="113"/>
        <v>0.81</v>
      </c>
      <c r="L1843" s="34">
        <f t="shared" si="114"/>
        <v>3.24</v>
      </c>
      <c r="M1843" s="20" t="s">
        <v>4890</v>
      </c>
      <c r="N1843" s="20" t="s">
        <v>4597</v>
      </c>
      <c r="O1843" s="20" t="s">
        <v>3892</v>
      </c>
      <c r="P1843" s="20" t="s">
        <v>4598</v>
      </c>
      <c r="Q1843" s="21">
        <v>54</v>
      </c>
      <c r="R1843" s="21">
        <v>60</v>
      </c>
      <c r="S1843" s="21">
        <v>3</v>
      </c>
      <c r="T1843" s="22">
        <v>1.49</v>
      </c>
      <c r="U1843" s="13">
        <f t="shared" si="115"/>
        <v>-1.7500000000000002</v>
      </c>
      <c r="V1843" s="23">
        <v>182.52</v>
      </c>
      <c r="W1843" s="23">
        <v>182.52</v>
      </c>
      <c r="X1843" s="20">
        <v>16</v>
      </c>
      <c r="Y1843" s="24" t="s">
        <v>3713</v>
      </c>
      <c r="Z1843" s="16">
        <v>120.52</v>
      </c>
      <c r="AA1843" s="17">
        <v>194.4</v>
      </c>
      <c r="AB1843" s="25" t="s">
        <v>4604</v>
      </c>
    </row>
    <row r="1844" spans="1:28" x14ac:dyDescent="0.45">
      <c r="A1844" s="4" t="s">
        <v>2441</v>
      </c>
      <c r="B1844" s="4" t="s">
        <v>6936</v>
      </c>
      <c r="C1844" s="4" t="s">
        <v>2137</v>
      </c>
      <c r="D1844" s="4" t="s">
        <v>2138</v>
      </c>
      <c r="E1844" s="4" t="s">
        <v>2139</v>
      </c>
      <c r="F1844" s="5">
        <v>53.64</v>
      </c>
      <c r="G1844" s="5">
        <v>58.88</v>
      </c>
      <c r="H1844" s="4" t="s">
        <v>1127</v>
      </c>
      <c r="I1844" s="10">
        <v>34</v>
      </c>
      <c r="J1844" s="34">
        <f t="shared" si="112"/>
        <v>0.29579999999999995</v>
      </c>
      <c r="K1844" s="34">
        <f t="shared" si="113"/>
        <v>0.44</v>
      </c>
      <c r="L1844" s="34">
        <f t="shared" si="114"/>
        <v>1.76</v>
      </c>
      <c r="M1844" s="11" t="s">
        <v>4891</v>
      </c>
      <c r="N1844" s="11" t="s">
        <v>4597</v>
      </c>
      <c r="O1844" s="11" t="s">
        <v>3892</v>
      </c>
      <c r="P1844" s="11" t="s">
        <v>4598</v>
      </c>
      <c r="Q1844" s="12">
        <v>53.594000000000001</v>
      </c>
      <c r="R1844" s="12">
        <v>58.927999999999997</v>
      </c>
      <c r="S1844" s="12">
        <v>2.54</v>
      </c>
      <c r="T1844" s="13">
        <v>3.22</v>
      </c>
      <c r="U1844" s="13">
        <f t="shared" si="115"/>
        <v>1.4600000000000002</v>
      </c>
      <c r="V1844" s="14">
        <v>394.45</v>
      </c>
      <c r="W1844" s="14">
        <v>394.45</v>
      </c>
      <c r="X1844" s="11">
        <v>14</v>
      </c>
      <c r="Y1844" s="15" t="s">
        <v>3737</v>
      </c>
      <c r="Z1844" s="16">
        <v>360.45</v>
      </c>
      <c r="AA1844" s="17">
        <v>1060.0999999999999</v>
      </c>
      <c r="AB1844" s="18" t="s">
        <v>3920</v>
      </c>
    </row>
    <row r="1845" spans="1:28" x14ac:dyDescent="0.45">
      <c r="A1845" s="2" t="s">
        <v>2442</v>
      </c>
      <c r="B1845" s="2" t="s">
        <v>6937</v>
      </c>
      <c r="C1845" s="2" t="s">
        <v>2137</v>
      </c>
      <c r="D1845" s="2" t="s">
        <v>2138</v>
      </c>
      <c r="E1845" s="2" t="s">
        <v>2139</v>
      </c>
      <c r="F1845" s="3">
        <v>54.2</v>
      </c>
      <c r="G1845" s="3">
        <v>65.600000000000009</v>
      </c>
      <c r="H1845" s="2" t="s">
        <v>1297</v>
      </c>
      <c r="I1845" s="19">
        <v>247</v>
      </c>
      <c r="J1845" s="34">
        <f t="shared" si="112"/>
        <v>2.1488999999999998</v>
      </c>
      <c r="K1845" s="34">
        <f t="shared" si="113"/>
        <v>3.22</v>
      </c>
      <c r="L1845" s="34">
        <f t="shared" si="114"/>
        <v>12.88</v>
      </c>
      <c r="M1845" s="20" t="s">
        <v>4892</v>
      </c>
      <c r="N1845" s="20" t="s">
        <v>4597</v>
      </c>
      <c r="O1845" s="20" t="s">
        <v>3892</v>
      </c>
      <c r="P1845" s="20" t="s">
        <v>4598</v>
      </c>
      <c r="Q1845" s="21">
        <v>54.3</v>
      </c>
      <c r="R1845" s="21">
        <v>65.7</v>
      </c>
      <c r="S1845" s="21">
        <v>5.7</v>
      </c>
      <c r="T1845" s="22">
        <v>3.67</v>
      </c>
      <c r="U1845" s="13">
        <f t="shared" si="115"/>
        <v>-9.2100000000000009</v>
      </c>
      <c r="V1845" s="23">
        <v>449.58</v>
      </c>
      <c r="W1845" s="23">
        <v>449.58</v>
      </c>
      <c r="X1845" s="20">
        <v>40</v>
      </c>
      <c r="Y1845" s="24" t="s">
        <v>3713</v>
      </c>
      <c r="Z1845" s="16">
        <v>202.58</v>
      </c>
      <c r="AA1845" s="17">
        <v>82</v>
      </c>
      <c r="AB1845" s="25" t="s">
        <v>4119</v>
      </c>
    </row>
    <row r="1846" spans="1:28" x14ac:dyDescent="0.45">
      <c r="A1846" s="4" t="s">
        <v>2443</v>
      </c>
      <c r="B1846" s="4" t="s">
        <v>6938</v>
      </c>
      <c r="C1846" s="4" t="s">
        <v>2137</v>
      </c>
      <c r="D1846" s="4" t="s">
        <v>2138</v>
      </c>
      <c r="E1846" s="4" t="s">
        <v>2139</v>
      </c>
      <c r="F1846" s="5">
        <v>54.4</v>
      </c>
      <c r="G1846" s="5">
        <v>60.6</v>
      </c>
      <c r="H1846" s="4" t="s">
        <v>1221</v>
      </c>
      <c r="I1846" s="10">
        <v>62</v>
      </c>
      <c r="J1846" s="34">
        <f t="shared" si="112"/>
        <v>0.53939999999999999</v>
      </c>
      <c r="K1846" s="34">
        <f t="shared" si="113"/>
        <v>0.81</v>
      </c>
      <c r="L1846" s="34">
        <f t="shared" si="114"/>
        <v>3.24</v>
      </c>
      <c r="M1846" s="11" t="s">
        <v>4893</v>
      </c>
      <c r="N1846" s="11" t="s">
        <v>4597</v>
      </c>
      <c r="O1846" s="11" t="s">
        <v>3892</v>
      </c>
      <c r="P1846" s="11" t="s">
        <v>4598</v>
      </c>
      <c r="Q1846" s="12">
        <v>54.4</v>
      </c>
      <c r="R1846" s="12">
        <v>60.6</v>
      </c>
      <c r="S1846" s="12">
        <v>3.1</v>
      </c>
      <c r="T1846" s="13">
        <v>3.14</v>
      </c>
      <c r="U1846" s="13">
        <f t="shared" si="115"/>
        <v>-0.10000000000000009</v>
      </c>
      <c r="V1846" s="14">
        <v>384.65</v>
      </c>
      <c r="W1846" s="14">
        <v>384.65</v>
      </c>
      <c r="X1846" s="11" t="s">
        <v>3722</v>
      </c>
      <c r="Y1846" s="15" t="s">
        <v>3713</v>
      </c>
      <c r="Z1846" s="16">
        <v>322.64999999999998</v>
      </c>
      <c r="AA1846" s="17">
        <v>520.4</v>
      </c>
      <c r="AB1846" s="18" t="s">
        <v>3714</v>
      </c>
    </row>
    <row r="1847" spans="1:28" x14ac:dyDescent="0.45">
      <c r="A1847" s="2" t="s">
        <v>2444</v>
      </c>
      <c r="B1847" s="2" t="s">
        <v>6939</v>
      </c>
      <c r="C1847" s="2" t="s">
        <v>2137</v>
      </c>
      <c r="D1847" s="2" t="s">
        <v>2138</v>
      </c>
      <c r="E1847" s="2" t="s">
        <v>2139</v>
      </c>
      <c r="F1847" s="3">
        <v>54.7</v>
      </c>
      <c r="G1847" s="3">
        <v>61.7</v>
      </c>
      <c r="H1847" s="2" t="s">
        <v>1187</v>
      </c>
      <c r="I1847" s="19">
        <v>62</v>
      </c>
      <c r="J1847" s="34">
        <f t="shared" si="112"/>
        <v>0.53939999999999999</v>
      </c>
      <c r="K1847" s="34">
        <f t="shared" si="113"/>
        <v>0.81</v>
      </c>
      <c r="L1847" s="34">
        <f t="shared" si="114"/>
        <v>3.24</v>
      </c>
      <c r="M1847" s="20" t="s">
        <v>4893</v>
      </c>
      <c r="N1847" s="20" t="s">
        <v>4597</v>
      </c>
      <c r="O1847" s="20" t="s">
        <v>3892</v>
      </c>
      <c r="P1847" s="20" t="s">
        <v>4598</v>
      </c>
      <c r="Q1847" s="21">
        <v>54.4</v>
      </c>
      <c r="R1847" s="21">
        <v>60.6</v>
      </c>
      <c r="S1847" s="21">
        <v>3.1</v>
      </c>
      <c r="T1847" s="22">
        <v>3.14</v>
      </c>
      <c r="U1847" s="13">
        <f t="shared" si="115"/>
        <v>-0.10000000000000009</v>
      </c>
      <c r="V1847" s="23">
        <v>384.65</v>
      </c>
      <c r="W1847" s="23">
        <v>384.65</v>
      </c>
      <c r="X1847" s="20" t="s">
        <v>3722</v>
      </c>
      <c r="Y1847" s="24" t="s">
        <v>3713</v>
      </c>
      <c r="Z1847" s="16">
        <v>322.64999999999998</v>
      </c>
      <c r="AA1847" s="17">
        <v>520.4</v>
      </c>
      <c r="AB1847" s="25" t="s">
        <v>4894</v>
      </c>
    </row>
    <row r="1848" spans="1:28" x14ac:dyDescent="0.45">
      <c r="A1848" s="4" t="s">
        <v>2445</v>
      </c>
      <c r="B1848" s="4" t="s">
        <v>6940</v>
      </c>
      <c r="C1848" s="4" t="s">
        <v>2137</v>
      </c>
      <c r="D1848" s="4" t="s">
        <v>2138</v>
      </c>
      <c r="E1848" s="4" t="s">
        <v>2139</v>
      </c>
      <c r="F1848" s="5">
        <v>54</v>
      </c>
      <c r="G1848" s="5">
        <v>60</v>
      </c>
      <c r="H1848" s="4" t="s">
        <v>1149</v>
      </c>
      <c r="I1848" s="10">
        <v>62</v>
      </c>
      <c r="J1848" s="34">
        <f t="shared" si="112"/>
        <v>0.53939999999999999</v>
      </c>
      <c r="K1848" s="34">
        <f t="shared" si="113"/>
        <v>0.81</v>
      </c>
      <c r="L1848" s="34">
        <f t="shared" si="114"/>
        <v>3.24</v>
      </c>
      <c r="M1848" s="11" t="s">
        <v>4890</v>
      </c>
      <c r="N1848" s="11" t="s">
        <v>4597</v>
      </c>
      <c r="O1848" s="11" t="s">
        <v>3892</v>
      </c>
      <c r="P1848" s="11" t="s">
        <v>4598</v>
      </c>
      <c r="Q1848" s="12">
        <v>54</v>
      </c>
      <c r="R1848" s="12">
        <v>60</v>
      </c>
      <c r="S1848" s="12">
        <v>3</v>
      </c>
      <c r="T1848" s="13">
        <v>1.49</v>
      </c>
      <c r="U1848" s="13">
        <f t="shared" si="115"/>
        <v>-1.7500000000000002</v>
      </c>
      <c r="V1848" s="14">
        <v>182.52</v>
      </c>
      <c r="W1848" s="14">
        <v>182.52</v>
      </c>
      <c r="X1848" s="11">
        <v>16</v>
      </c>
      <c r="Y1848" s="15" t="s">
        <v>3713</v>
      </c>
      <c r="Z1848" s="16">
        <v>120.52</v>
      </c>
      <c r="AA1848" s="17">
        <v>194.4</v>
      </c>
      <c r="AB1848" s="18" t="s">
        <v>3714</v>
      </c>
    </row>
    <row r="1849" spans="1:28" x14ac:dyDescent="0.45">
      <c r="A1849" s="2" t="s">
        <v>2446</v>
      </c>
      <c r="B1849" s="2" t="s">
        <v>6941</v>
      </c>
      <c r="C1849" s="2" t="s">
        <v>2137</v>
      </c>
      <c r="D1849" s="2" t="s">
        <v>2138</v>
      </c>
      <c r="E1849" s="2" t="s">
        <v>2139</v>
      </c>
      <c r="F1849" s="3">
        <v>55.25</v>
      </c>
      <c r="G1849" s="3">
        <v>60.49</v>
      </c>
      <c r="H1849" s="2" t="s">
        <v>1127</v>
      </c>
      <c r="I1849" s="19">
        <v>34</v>
      </c>
      <c r="J1849" s="34">
        <f t="shared" si="112"/>
        <v>0.29579999999999995</v>
      </c>
      <c r="K1849" s="34">
        <f t="shared" si="113"/>
        <v>0.44</v>
      </c>
      <c r="L1849" s="34">
        <f t="shared" si="114"/>
        <v>1.76</v>
      </c>
      <c r="M1849" s="20" t="s">
        <v>4895</v>
      </c>
      <c r="N1849" s="20" t="s">
        <v>4597</v>
      </c>
      <c r="O1849" s="20" t="s">
        <v>3892</v>
      </c>
      <c r="P1849" s="20" t="s">
        <v>4598</v>
      </c>
      <c r="Q1849" s="21">
        <v>55.118000000000002</v>
      </c>
      <c r="R1849" s="21">
        <v>60.451999999999998</v>
      </c>
      <c r="S1849" s="21">
        <v>2.54</v>
      </c>
      <c r="T1849" s="22">
        <v>2.29</v>
      </c>
      <c r="U1849" s="13">
        <f t="shared" si="115"/>
        <v>0.53</v>
      </c>
      <c r="V1849" s="23">
        <v>280.52</v>
      </c>
      <c r="W1849" s="23">
        <v>280.52</v>
      </c>
      <c r="X1849" s="20">
        <v>18</v>
      </c>
      <c r="Y1849" s="24" t="s">
        <v>3737</v>
      </c>
      <c r="Z1849" s="16">
        <v>246.52</v>
      </c>
      <c r="AA1849" s="17">
        <v>725.1</v>
      </c>
      <c r="AB1849" s="25" t="s">
        <v>4100</v>
      </c>
    </row>
    <row r="1850" spans="1:28" x14ac:dyDescent="0.45">
      <c r="A1850" s="4" t="s">
        <v>2447</v>
      </c>
      <c r="B1850" s="4" t="s">
        <v>6942</v>
      </c>
      <c r="C1850" s="4" t="s">
        <v>2137</v>
      </c>
      <c r="D1850" s="4" t="s">
        <v>2138</v>
      </c>
      <c r="E1850" s="4" t="s">
        <v>2139</v>
      </c>
      <c r="F1850" s="5">
        <v>55.8</v>
      </c>
      <c r="G1850" s="5">
        <v>62.8</v>
      </c>
      <c r="H1850" s="4" t="s">
        <v>1187</v>
      </c>
      <c r="I1850" s="10">
        <v>64</v>
      </c>
      <c r="J1850" s="34">
        <f t="shared" si="112"/>
        <v>0.55679999999999996</v>
      </c>
      <c r="K1850" s="34">
        <f t="shared" si="113"/>
        <v>0.84</v>
      </c>
      <c r="L1850" s="34">
        <f t="shared" si="114"/>
        <v>3.36</v>
      </c>
      <c r="M1850" s="11" t="s">
        <v>4896</v>
      </c>
      <c r="N1850" s="11" t="s">
        <v>4597</v>
      </c>
      <c r="O1850" s="11" t="s">
        <v>3892</v>
      </c>
      <c r="P1850" s="11" t="s">
        <v>4598</v>
      </c>
      <c r="Q1850" s="12">
        <v>55.625999999999998</v>
      </c>
      <c r="R1850" s="12">
        <v>62.484000000000002</v>
      </c>
      <c r="S1850" s="12">
        <v>3.556</v>
      </c>
      <c r="T1850" s="13">
        <v>1.69</v>
      </c>
      <c r="U1850" s="13">
        <f t="shared" si="115"/>
        <v>-1.67</v>
      </c>
      <c r="V1850" s="14">
        <v>207.02</v>
      </c>
      <c r="W1850" s="14">
        <v>207.02</v>
      </c>
      <c r="X1850" s="11">
        <v>31</v>
      </c>
      <c r="Y1850" s="15" t="s">
        <v>3737</v>
      </c>
      <c r="Z1850" s="16">
        <v>143.02000000000001</v>
      </c>
      <c r="AA1850" s="17">
        <v>223.5</v>
      </c>
      <c r="AB1850" s="18" t="s">
        <v>4897</v>
      </c>
    </row>
    <row r="1851" spans="1:28" x14ac:dyDescent="0.45">
      <c r="A1851" s="2" t="s">
        <v>2448</v>
      </c>
      <c r="B1851" s="2" t="s">
        <v>6943</v>
      </c>
      <c r="C1851" s="2" t="s">
        <v>2137</v>
      </c>
      <c r="D1851" s="2" t="s">
        <v>2138</v>
      </c>
      <c r="E1851" s="2" t="s">
        <v>2139</v>
      </c>
      <c r="F1851" s="3">
        <v>55</v>
      </c>
      <c r="G1851" s="3">
        <v>63</v>
      </c>
      <c r="H1851" s="2" t="s">
        <v>1216</v>
      </c>
      <c r="I1851" s="19">
        <v>104</v>
      </c>
      <c r="J1851" s="34">
        <f t="shared" si="112"/>
        <v>0.90479999999999994</v>
      </c>
      <c r="K1851" s="34">
        <f t="shared" si="113"/>
        <v>1.36</v>
      </c>
      <c r="L1851" s="34">
        <f t="shared" si="114"/>
        <v>5.44</v>
      </c>
      <c r="M1851" s="20" t="s">
        <v>4898</v>
      </c>
      <c r="N1851" s="20" t="s">
        <v>4597</v>
      </c>
      <c r="O1851" s="20" t="s">
        <v>3892</v>
      </c>
      <c r="P1851" s="20" t="s">
        <v>4598</v>
      </c>
      <c r="Q1851" s="21">
        <v>55</v>
      </c>
      <c r="R1851" s="21">
        <v>63</v>
      </c>
      <c r="S1851" s="21">
        <v>4</v>
      </c>
      <c r="T1851" s="22">
        <v>3.53</v>
      </c>
      <c r="U1851" s="13">
        <f t="shared" si="115"/>
        <v>-1.9100000000000006</v>
      </c>
      <c r="V1851" s="23">
        <v>432.42</v>
      </c>
      <c r="W1851" s="23">
        <v>432.42</v>
      </c>
      <c r="X1851" s="20">
        <v>26</v>
      </c>
      <c r="Y1851" s="24" t="s">
        <v>3713</v>
      </c>
      <c r="Z1851" s="16">
        <v>328.42</v>
      </c>
      <c r="AA1851" s="17">
        <v>315.8</v>
      </c>
      <c r="AB1851" s="25" t="s">
        <v>3714</v>
      </c>
    </row>
    <row r="1852" spans="1:28" x14ac:dyDescent="0.45">
      <c r="A1852" s="4" t="s">
        <v>2449</v>
      </c>
      <c r="B1852" s="4" t="s">
        <v>6944</v>
      </c>
      <c r="C1852" s="4" t="s">
        <v>2137</v>
      </c>
      <c r="D1852" s="4" t="s">
        <v>2138</v>
      </c>
      <c r="E1852" s="4" t="s">
        <v>2139</v>
      </c>
      <c r="F1852" s="5">
        <v>55</v>
      </c>
      <c r="G1852" s="5">
        <v>65</v>
      </c>
      <c r="H1852" s="4" t="s">
        <v>1245</v>
      </c>
      <c r="I1852" s="10">
        <v>126</v>
      </c>
      <c r="J1852" s="34">
        <f t="shared" si="112"/>
        <v>1.0961999999999998</v>
      </c>
      <c r="K1852" s="34">
        <f t="shared" si="113"/>
        <v>1.64</v>
      </c>
      <c r="L1852" s="34">
        <f t="shared" si="114"/>
        <v>6.56</v>
      </c>
      <c r="M1852" s="11" t="s">
        <v>4892</v>
      </c>
      <c r="N1852" s="11" t="s">
        <v>4597</v>
      </c>
      <c r="O1852" s="11" t="s">
        <v>3892</v>
      </c>
      <c r="P1852" s="11" t="s">
        <v>4598</v>
      </c>
      <c r="Q1852" s="12">
        <v>54.3</v>
      </c>
      <c r="R1852" s="12">
        <v>65.7</v>
      </c>
      <c r="S1852" s="12">
        <v>5.7</v>
      </c>
      <c r="T1852" s="13">
        <v>3.67</v>
      </c>
      <c r="U1852" s="13">
        <f t="shared" si="115"/>
        <v>-2.8899999999999997</v>
      </c>
      <c r="V1852" s="14">
        <v>449.58</v>
      </c>
      <c r="W1852" s="14">
        <v>449.58</v>
      </c>
      <c r="X1852" s="11">
        <v>40</v>
      </c>
      <c r="Y1852" s="15" t="s">
        <v>3713</v>
      </c>
      <c r="Z1852" s="16">
        <v>323.58</v>
      </c>
      <c r="AA1852" s="17">
        <v>256.8</v>
      </c>
      <c r="AB1852" s="18" t="s">
        <v>4899</v>
      </c>
    </row>
    <row r="1853" spans="1:28" x14ac:dyDescent="0.45">
      <c r="A1853" s="2" t="s">
        <v>2450</v>
      </c>
      <c r="B1853" s="2" t="s">
        <v>6945</v>
      </c>
      <c r="C1853" s="2" t="s">
        <v>2137</v>
      </c>
      <c r="D1853" s="2" t="s">
        <v>2138</v>
      </c>
      <c r="E1853" s="2" t="s">
        <v>2139</v>
      </c>
      <c r="F1853" s="3">
        <v>56.52</v>
      </c>
      <c r="G1853" s="3">
        <v>67.180000000000007</v>
      </c>
      <c r="H1853" s="2" t="s">
        <v>1201</v>
      </c>
      <c r="I1853" s="19">
        <v>130</v>
      </c>
      <c r="J1853" s="34">
        <f t="shared" si="112"/>
        <v>1.131</v>
      </c>
      <c r="K1853" s="34">
        <f t="shared" si="113"/>
        <v>1.7</v>
      </c>
      <c r="L1853" s="34">
        <f t="shared" si="114"/>
        <v>6.8</v>
      </c>
      <c r="M1853" s="20" t="s">
        <v>4900</v>
      </c>
      <c r="N1853" s="20" t="s">
        <v>4597</v>
      </c>
      <c r="O1853" s="20" t="s">
        <v>3892</v>
      </c>
      <c r="P1853" s="20" t="s">
        <v>4598</v>
      </c>
      <c r="Q1853" s="21">
        <v>56.642000000000003</v>
      </c>
      <c r="R1853" s="21">
        <v>67.31</v>
      </c>
      <c r="S1853" s="21">
        <v>5.3339999999999996</v>
      </c>
      <c r="T1853" s="22">
        <v>3.44</v>
      </c>
      <c r="U1853" s="13">
        <f t="shared" si="115"/>
        <v>-3.36</v>
      </c>
      <c r="V1853" s="23">
        <v>421.4</v>
      </c>
      <c r="W1853" s="23">
        <v>421.4</v>
      </c>
      <c r="X1853" s="20">
        <v>109</v>
      </c>
      <c r="Y1853" s="24" t="s">
        <v>3737</v>
      </c>
      <c r="Z1853" s="16">
        <v>291.39999999999998</v>
      </c>
      <c r="AA1853" s="17">
        <v>224.2</v>
      </c>
      <c r="AB1853" s="25" t="s">
        <v>4016</v>
      </c>
    </row>
    <row r="1854" spans="1:28" x14ac:dyDescent="0.45">
      <c r="A1854" s="4" t="s">
        <v>2451</v>
      </c>
      <c r="B1854" s="4" t="s">
        <v>6946</v>
      </c>
      <c r="C1854" s="4" t="s">
        <v>2137</v>
      </c>
      <c r="D1854" s="4" t="s">
        <v>2138</v>
      </c>
      <c r="E1854" s="4" t="s">
        <v>2139</v>
      </c>
      <c r="F1854" s="5">
        <v>56.74</v>
      </c>
      <c r="G1854" s="5">
        <v>63.8</v>
      </c>
      <c r="H1854" s="4" t="s">
        <v>1156</v>
      </c>
      <c r="I1854" s="10">
        <v>66</v>
      </c>
      <c r="J1854" s="34">
        <f t="shared" si="112"/>
        <v>0.57419999999999993</v>
      </c>
      <c r="K1854" s="34">
        <f t="shared" si="113"/>
        <v>0.86</v>
      </c>
      <c r="L1854" s="34">
        <f t="shared" si="114"/>
        <v>3.44</v>
      </c>
      <c r="M1854" s="11" t="s">
        <v>4901</v>
      </c>
      <c r="N1854" s="11" t="s">
        <v>4597</v>
      </c>
      <c r="O1854" s="11" t="s">
        <v>3892</v>
      </c>
      <c r="P1854" s="11" t="s">
        <v>4598</v>
      </c>
      <c r="Q1854" s="12">
        <v>56.642000000000003</v>
      </c>
      <c r="R1854" s="12">
        <v>63.753999999999998</v>
      </c>
      <c r="S1854" s="12">
        <v>3.556</v>
      </c>
      <c r="T1854" s="13">
        <v>1.85</v>
      </c>
      <c r="U1854" s="13">
        <f t="shared" si="115"/>
        <v>-1.5899999999999999</v>
      </c>
      <c r="V1854" s="14">
        <v>226.62</v>
      </c>
      <c r="W1854" s="14">
        <v>226.62</v>
      </c>
      <c r="X1854" s="11">
        <v>519</v>
      </c>
      <c r="Y1854" s="15" t="s">
        <v>3737</v>
      </c>
      <c r="Z1854" s="16">
        <v>160.62</v>
      </c>
      <c r="AA1854" s="17">
        <v>243.4</v>
      </c>
      <c r="AB1854" s="18" t="s">
        <v>3963</v>
      </c>
    </row>
    <row r="1855" spans="1:28" x14ac:dyDescent="0.45">
      <c r="A1855" s="2" t="s">
        <v>2452</v>
      </c>
      <c r="B1855" s="2" t="s">
        <v>6947</v>
      </c>
      <c r="C1855" s="2" t="s">
        <v>2137</v>
      </c>
      <c r="D1855" s="2" t="s">
        <v>2138</v>
      </c>
      <c r="E1855" s="2" t="s">
        <v>2139</v>
      </c>
      <c r="F1855" s="3">
        <v>56.82</v>
      </c>
      <c r="G1855" s="3">
        <v>62.06</v>
      </c>
      <c r="H1855" s="2" t="s">
        <v>1127</v>
      </c>
      <c r="I1855" s="19">
        <v>35</v>
      </c>
      <c r="J1855" s="34">
        <f t="shared" si="112"/>
        <v>0.30449999999999999</v>
      </c>
      <c r="K1855" s="34">
        <f t="shared" si="113"/>
        <v>0.46</v>
      </c>
      <c r="L1855" s="34">
        <f t="shared" si="114"/>
        <v>1.84</v>
      </c>
      <c r="M1855" s="20" t="s">
        <v>4902</v>
      </c>
      <c r="N1855" s="20" t="s">
        <v>4597</v>
      </c>
      <c r="O1855" s="20" t="s">
        <v>3892</v>
      </c>
      <c r="P1855" s="20" t="s">
        <v>4598</v>
      </c>
      <c r="Q1855" s="21">
        <v>56.896000000000001</v>
      </c>
      <c r="R1855" s="21">
        <v>61.975999999999999</v>
      </c>
      <c r="S1855" s="21">
        <v>2.54</v>
      </c>
      <c r="T1855" s="22">
        <v>1.07</v>
      </c>
      <c r="U1855" s="13">
        <f t="shared" si="115"/>
        <v>-0.77</v>
      </c>
      <c r="V1855" s="23">
        <v>131.08000000000001</v>
      </c>
      <c r="W1855" s="23">
        <v>131.08000000000001</v>
      </c>
      <c r="X1855" s="20">
        <v>63</v>
      </c>
      <c r="Y1855" s="24" t="s">
        <v>3737</v>
      </c>
      <c r="Z1855" s="16">
        <v>96.080000000000013</v>
      </c>
      <c r="AA1855" s="17">
        <v>274.5</v>
      </c>
      <c r="AB1855" s="25" t="s">
        <v>4022</v>
      </c>
    </row>
    <row r="1856" spans="1:28" x14ac:dyDescent="0.45">
      <c r="A1856" s="4" t="s">
        <v>2453</v>
      </c>
      <c r="B1856" s="4" t="s">
        <v>6948</v>
      </c>
      <c r="C1856" s="4" t="s">
        <v>2137</v>
      </c>
      <c r="D1856" s="4" t="s">
        <v>2138</v>
      </c>
      <c r="E1856" s="4" t="s">
        <v>2139</v>
      </c>
      <c r="F1856" s="5">
        <v>56.87</v>
      </c>
      <c r="G1856" s="5">
        <v>60.43</v>
      </c>
      <c r="H1856" s="4" t="s">
        <v>1114</v>
      </c>
      <c r="I1856" s="10">
        <v>27</v>
      </c>
      <c r="J1856" s="34">
        <f t="shared" si="112"/>
        <v>0.2349</v>
      </c>
      <c r="K1856" s="34">
        <f t="shared" si="113"/>
        <v>0.35</v>
      </c>
      <c r="L1856" s="34">
        <f t="shared" si="114"/>
        <v>1.4</v>
      </c>
      <c r="M1856" s="11" t="s">
        <v>4903</v>
      </c>
      <c r="N1856" s="11" t="s">
        <v>4597</v>
      </c>
      <c r="O1856" s="11" t="s">
        <v>3892</v>
      </c>
      <c r="P1856" s="11" t="s">
        <v>4598</v>
      </c>
      <c r="Q1856" s="12">
        <v>56.896000000000001</v>
      </c>
      <c r="R1856" s="12">
        <v>60.451999999999998</v>
      </c>
      <c r="S1856" s="12">
        <v>1.778</v>
      </c>
      <c r="T1856" s="13">
        <v>0.39</v>
      </c>
      <c r="U1856" s="13">
        <f t="shared" si="115"/>
        <v>-1.0099999999999998</v>
      </c>
      <c r="V1856" s="14">
        <v>47.78</v>
      </c>
      <c r="W1856" s="14">
        <v>47.78</v>
      </c>
      <c r="X1856" s="11" t="s">
        <v>3722</v>
      </c>
      <c r="Y1856" s="15" t="s">
        <v>3737</v>
      </c>
      <c r="Z1856" s="16">
        <v>20.78</v>
      </c>
      <c r="AA1856" s="17">
        <v>77</v>
      </c>
      <c r="AB1856" s="18" t="s">
        <v>3967</v>
      </c>
    </row>
    <row r="1857" spans="1:28" x14ac:dyDescent="0.45">
      <c r="A1857" s="2" t="s">
        <v>2454</v>
      </c>
      <c r="B1857" s="2" t="s">
        <v>6949</v>
      </c>
      <c r="C1857" s="2" t="s">
        <v>2137</v>
      </c>
      <c r="D1857" s="2" t="s">
        <v>2138</v>
      </c>
      <c r="E1857" s="2" t="s">
        <v>2139</v>
      </c>
      <c r="F1857" s="3">
        <v>56</v>
      </c>
      <c r="G1857" s="3">
        <v>63</v>
      </c>
      <c r="H1857" s="2" t="s">
        <v>1187</v>
      </c>
      <c r="I1857" s="19">
        <v>64</v>
      </c>
      <c r="J1857" s="34">
        <f t="shared" si="112"/>
        <v>0.55679999999999996</v>
      </c>
      <c r="K1857" s="34">
        <f t="shared" si="113"/>
        <v>0.84</v>
      </c>
      <c r="L1857" s="34">
        <f t="shared" si="114"/>
        <v>3.36</v>
      </c>
      <c r="M1857" s="20" t="s">
        <v>4898</v>
      </c>
      <c r="N1857" s="20" t="s">
        <v>4597</v>
      </c>
      <c r="O1857" s="20" t="s">
        <v>3892</v>
      </c>
      <c r="P1857" s="20" t="s">
        <v>4598</v>
      </c>
      <c r="Q1857" s="21">
        <v>55</v>
      </c>
      <c r="R1857" s="21">
        <v>63</v>
      </c>
      <c r="S1857" s="21">
        <v>4</v>
      </c>
      <c r="T1857" s="22">
        <v>3.53</v>
      </c>
      <c r="U1857" s="13">
        <f t="shared" si="115"/>
        <v>0.16999999999999993</v>
      </c>
      <c r="V1857" s="23">
        <v>432.42</v>
      </c>
      <c r="W1857" s="23">
        <v>432.42</v>
      </c>
      <c r="X1857" s="20">
        <v>26</v>
      </c>
      <c r="Y1857" s="24" t="s">
        <v>3713</v>
      </c>
      <c r="Z1857" s="16">
        <v>368.42</v>
      </c>
      <c r="AA1857" s="17">
        <v>575.70000000000005</v>
      </c>
      <c r="AB1857" s="25" t="s">
        <v>3819</v>
      </c>
    </row>
    <row r="1858" spans="1:28" x14ac:dyDescent="0.45">
      <c r="A1858" s="4" t="s">
        <v>2455</v>
      </c>
      <c r="B1858" s="4" t="s">
        <v>6950</v>
      </c>
      <c r="C1858" s="4" t="s">
        <v>2137</v>
      </c>
      <c r="D1858" s="4" t="s">
        <v>2138</v>
      </c>
      <c r="E1858" s="4" t="s">
        <v>2139</v>
      </c>
      <c r="F1858" s="5">
        <v>57.4</v>
      </c>
      <c r="G1858" s="5">
        <v>63.6</v>
      </c>
      <c r="H1858" s="4" t="s">
        <v>1221</v>
      </c>
      <c r="I1858" s="10">
        <v>66</v>
      </c>
      <c r="J1858" s="34">
        <f t="shared" si="112"/>
        <v>0.57419999999999993</v>
      </c>
      <c r="K1858" s="34">
        <f t="shared" si="113"/>
        <v>0.86</v>
      </c>
      <c r="L1858" s="34">
        <f t="shared" si="114"/>
        <v>3.44</v>
      </c>
      <c r="M1858" s="11" t="s">
        <v>4904</v>
      </c>
      <c r="N1858" s="11" t="s">
        <v>4597</v>
      </c>
      <c r="O1858" s="11" t="s">
        <v>3892</v>
      </c>
      <c r="P1858" s="11" t="s">
        <v>4598</v>
      </c>
      <c r="Q1858" s="12">
        <v>57</v>
      </c>
      <c r="R1858" s="12">
        <v>63</v>
      </c>
      <c r="S1858" s="12">
        <v>3</v>
      </c>
      <c r="T1858" s="13">
        <v>1.88</v>
      </c>
      <c r="U1858" s="13">
        <f t="shared" si="115"/>
        <v>-1.56</v>
      </c>
      <c r="V1858" s="14">
        <v>230.3</v>
      </c>
      <c r="W1858" s="14">
        <v>230.3</v>
      </c>
      <c r="X1858" s="11">
        <v>277</v>
      </c>
      <c r="Y1858" s="15" t="s">
        <v>3713</v>
      </c>
      <c r="Z1858" s="16">
        <v>164.3</v>
      </c>
      <c r="AA1858" s="17">
        <v>248.9</v>
      </c>
      <c r="AB1858" s="18" t="s">
        <v>4813</v>
      </c>
    </row>
    <row r="1859" spans="1:28" x14ac:dyDescent="0.45">
      <c r="A1859" s="2" t="s">
        <v>2456</v>
      </c>
      <c r="B1859" s="2" t="s">
        <v>6951</v>
      </c>
      <c r="C1859" s="2" t="s">
        <v>2137</v>
      </c>
      <c r="D1859" s="2" t="s">
        <v>2138</v>
      </c>
      <c r="E1859" s="2" t="s">
        <v>2139</v>
      </c>
      <c r="F1859" s="3">
        <v>57.6</v>
      </c>
      <c r="G1859" s="3">
        <v>69</v>
      </c>
      <c r="H1859" s="2" t="s">
        <v>1297</v>
      </c>
      <c r="I1859" s="19">
        <v>263</v>
      </c>
      <c r="J1859" s="34">
        <f t="shared" si="112"/>
        <v>2.2881</v>
      </c>
      <c r="K1859" s="34">
        <f t="shared" si="113"/>
        <v>3.43</v>
      </c>
      <c r="L1859" s="34">
        <f t="shared" si="114"/>
        <v>13.72</v>
      </c>
      <c r="M1859" s="20" t="s">
        <v>4905</v>
      </c>
      <c r="N1859" s="20" t="s">
        <v>4597</v>
      </c>
      <c r="O1859" s="20" t="s">
        <v>3892</v>
      </c>
      <c r="P1859" s="20" t="s">
        <v>4598</v>
      </c>
      <c r="Q1859" s="21">
        <v>58</v>
      </c>
      <c r="R1859" s="21">
        <v>68</v>
      </c>
      <c r="S1859" s="21">
        <v>5</v>
      </c>
      <c r="T1859" s="22">
        <v>5.1100000000000003</v>
      </c>
      <c r="U1859" s="13">
        <f t="shared" si="115"/>
        <v>-8.61</v>
      </c>
      <c r="V1859" s="23">
        <v>625.98</v>
      </c>
      <c r="W1859" s="23">
        <v>625.98</v>
      </c>
      <c r="X1859" s="20" t="s">
        <v>3722</v>
      </c>
      <c r="Y1859" s="24" t="s">
        <v>3713</v>
      </c>
      <c r="Z1859" s="16">
        <v>362.98</v>
      </c>
      <c r="AA1859" s="17">
        <v>138</v>
      </c>
      <c r="AB1859" s="25" t="s">
        <v>4906</v>
      </c>
    </row>
    <row r="1860" spans="1:28" x14ac:dyDescent="0.45">
      <c r="A1860" s="4" t="s">
        <v>2457</v>
      </c>
      <c r="B1860" s="4" t="s">
        <v>6952</v>
      </c>
      <c r="C1860" s="4" t="s">
        <v>2137</v>
      </c>
      <c r="D1860" s="4" t="s">
        <v>2138</v>
      </c>
      <c r="E1860" s="4" t="s">
        <v>2139</v>
      </c>
      <c r="F1860" s="5">
        <v>57</v>
      </c>
      <c r="G1860" s="5">
        <v>63</v>
      </c>
      <c r="H1860" s="4" t="s">
        <v>1149</v>
      </c>
      <c r="I1860" s="10">
        <v>66</v>
      </c>
      <c r="J1860" s="34">
        <f t="shared" si="112"/>
        <v>0.57419999999999993</v>
      </c>
      <c r="K1860" s="34">
        <f t="shared" si="113"/>
        <v>0.86</v>
      </c>
      <c r="L1860" s="34">
        <f t="shared" si="114"/>
        <v>3.44</v>
      </c>
      <c r="M1860" s="11" t="s">
        <v>4904</v>
      </c>
      <c r="N1860" s="11" t="s">
        <v>4597</v>
      </c>
      <c r="O1860" s="11" t="s">
        <v>3892</v>
      </c>
      <c r="P1860" s="11" t="s">
        <v>4598</v>
      </c>
      <c r="Q1860" s="12">
        <v>57</v>
      </c>
      <c r="R1860" s="12">
        <v>63</v>
      </c>
      <c r="S1860" s="12">
        <v>3</v>
      </c>
      <c r="T1860" s="13">
        <v>1.88</v>
      </c>
      <c r="U1860" s="13">
        <f t="shared" si="115"/>
        <v>-1.56</v>
      </c>
      <c r="V1860" s="14">
        <v>230.3</v>
      </c>
      <c r="W1860" s="14">
        <v>230.3</v>
      </c>
      <c r="X1860" s="11">
        <v>277</v>
      </c>
      <c r="Y1860" s="15" t="s">
        <v>3713</v>
      </c>
      <c r="Z1860" s="16">
        <v>164.3</v>
      </c>
      <c r="AA1860" s="17">
        <v>248.9</v>
      </c>
      <c r="AB1860" s="18" t="s">
        <v>3714</v>
      </c>
    </row>
    <row r="1861" spans="1:28" x14ac:dyDescent="0.45">
      <c r="A1861" s="2" t="s">
        <v>2458</v>
      </c>
      <c r="B1861" s="2" t="s">
        <v>6953</v>
      </c>
      <c r="C1861" s="2" t="s">
        <v>2137</v>
      </c>
      <c r="D1861" s="2" t="s">
        <v>2138</v>
      </c>
      <c r="E1861" s="2" t="s">
        <v>2139</v>
      </c>
      <c r="F1861" s="3">
        <v>58.42</v>
      </c>
      <c r="G1861" s="3">
        <v>63.66</v>
      </c>
      <c r="H1861" s="2" t="s">
        <v>1127</v>
      </c>
      <c r="I1861" s="19">
        <v>37</v>
      </c>
      <c r="J1861" s="34">
        <f t="shared" ref="J1861:J1924" si="116">I1861*0.0087</f>
        <v>0.32189999999999996</v>
      </c>
      <c r="K1861" s="34">
        <f t="shared" ref="K1861:K1924" si="117">ROUND(J1861*1.5,2)</f>
        <v>0.48</v>
      </c>
      <c r="L1861" s="34">
        <f t="shared" ref="L1861:L1924" si="118">K1861*4</f>
        <v>1.92</v>
      </c>
      <c r="M1861" s="20" t="s">
        <v>4907</v>
      </c>
      <c r="N1861" s="20" t="s">
        <v>4597</v>
      </c>
      <c r="O1861" s="20" t="s">
        <v>3892</v>
      </c>
      <c r="P1861" s="20" t="s">
        <v>4598</v>
      </c>
      <c r="Q1861" s="21">
        <v>58.42</v>
      </c>
      <c r="R1861" s="21">
        <v>63.753999999999998</v>
      </c>
      <c r="S1861" s="21">
        <v>2.54</v>
      </c>
      <c r="T1861" s="22">
        <v>1.34</v>
      </c>
      <c r="U1861" s="13">
        <f t="shared" ref="U1861:U1924" si="119">T1861-L1861</f>
        <v>-0.57999999999999985</v>
      </c>
      <c r="V1861" s="23">
        <v>164.15</v>
      </c>
      <c r="W1861" s="23">
        <v>164.15</v>
      </c>
      <c r="X1861" s="20">
        <v>181</v>
      </c>
      <c r="Y1861" s="24" t="s">
        <v>3737</v>
      </c>
      <c r="Z1861" s="16">
        <v>127.15</v>
      </c>
      <c r="AA1861" s="17">
        <v>343.6</v>
      </c>
      <c r="AB1861" s="25" t="s">
        <v>4108</v>
      </c>
    </row>
    <row r="1862" spans="1:28" x14ac:dyDescent="0.45">
      <c r="A1862" s="4" t="s">
        <v>2459</v>
      </c>
      <c r="B1862" s="4" t="s">
        <v>6954</v>
      </c>
      <c r="C1862" s="4" t="s">
        <v>2137</v>
      </c>
      <c r="D1862" s="4" t="s">
        <v>2138</v>
      </c>
      <c r="E1862" s="4" t="s">
        <v>2139</v>
      </c>
      <c r="F1862" s="5">
        <v>58.74</v>
      </c>
      <c r="G1862" s="5">
        <v>65.8</v>
      </c>
      <c r="H1862" s="4" t="s">
        <v>1156</v>
      </c>
      <c r="I1862" s="10">
        <v>67</v>
      </c>
      <c r="J1862" s="34">
        <f t="shared" si="116"/>
        <v>0.58289999999999997</v>
      </c>
      <c r="K1862" s="34">
        <f t="shared" si="117"/>
        <v>0.87</v>
      </c>
      <c r="L1862" s="34">
        <f t="shared" si="118"/>
        <v>3.48</v>
      </c>
      <c r="M1862" s="11" t="s">
        <v>4908</v>
      </c>
      <c r="N1862" s="11" t="s">
        <v>4597</v>
      </c>
      <c r="O1862" s="11" t="s">
        <v>3892</v>
      </c>
      <c r="P1862" s="11" t="s">
        <v>4598</v>
      </c>
      <c r="Q1862" s="12">
        <v>58.673999999999999</v>
      </c>
      <c r="R1862" s="12">
        <v>65.786000000000001</v>
      </c>
      <c r="S1862" s="12">
        <v>3.556</v>
      </c>
      <c r="T1862" s="13">
        <v>2.11</v>
      </c>
      <c r="U1862" s="13">
        <f t="shared" si="119"/>
        <v>-1.37</v>
      </c>
      <c r="V1862" s="14">
        <v>258.47000000000003</v>
      </c>
      <c r="W1862" s="14">
        <v>258.47000000000003</v>
      </c>
      <c r="X1862" s="11">
        <v>17</v>
      </c>
      <c r="Y1862" s="15" t="s">
        <v>3737</v>
      </c>
      <c r="Z1862" s="16">
        <v>191.47</v>
      </c>
      <c r="AA1862" s="17">
        <v>285.8</v>
      </c>
      <c r="AB1862" s="18" t="s">
        <v>4909</v>
      </c>
    </row>
    <row r="1863" spans="1:28" x14ac:dyDescent="0.45">
      <c r="A1863" s="2" t="s">
        <v>2460</v>
      </c>
      <c r="B1863" s="2" t="s">
        <v>6955</v>
      </c>
      <c r="C1863" s="2" t="s">
        <v>2137</v>
      </c>
      <c r="D1863" s="2" t="s">
        <v>2138</v>
      </c>
      <c r="E1863" s="2" t="s">
        <v>2139</v>
      </c>
      <c r="F1863" s="3">
        <v>58</v>
      </c>
      <c r="G1863" s="3">
        <v>66</v>
      </c>
      <c r="H1863" s="2" t="s">
        <v>1216</v>
      </c>
      <c r="I1863" s="19">
        <v>111</v>
      </c>
      <c r="J1863" s="34">
        <f t="shared" si="116"/>
        <v>0.96569999999999989</v>
      </c>
      <c r="K1863" s="34">
        <f t="shared" si="117"/>
        <v>1.45</v>
      </c>
      <c r="L1863" s="34">
        <f t="shared" si="118"/>
        <v>5.8</v>
      </c>
      <c r="M1863" s="20" t="s">
        <v>4908</v>
      </c>
      <c r="N1863" s="20" t="s">
        <v>4597</v>
      </c>
      <c r="O1863" s="20" t="s">
        <v>3892</v>
      </c>
      <c r="P1863" s="20" t="s">
        <v>4598</v>
      </c>
      <c r="Q1863" s="21">
        <v>58.673999999999999</v>
      </c>
      <c r="R1863" s="21">
        <v>65.786000000000001</v>
      </c>
      <c r="S1863" s="21">
        <v>3.556</v>
      </c>
      <c r="T1863" s="22">
        <v>2.11</v>
      </c>
      <c r="U1863" s="13">
        <f t="shared" si="119"/>
        <v>-3.69</v>
      </c>
      <c r="V1863" s="23">
        <v>258.47000000000003</v>
      </c>
      <c r="W1863" s="23">
        <v>258.47000000000003</v>
      </c>
      <c r="X1863" s="20">
        <v>17</v>
      </c>
      <c r="Y1863" s="24" t="s">
        <v>3737</v>
      </c>
      <c r="Z1863" s="16">
        <v>147.47</v>
      </c>
      <c r="AA1863" s="17">
        <v>132.9</v>
      </c>
      <c r="AB1863" s="25" t="s">
        <v>4910</v>
      </c>
    </row>
    <row r="1864" spans="1:28" x14ac:dyDescent="0.45">
      <c r="A1864" s="4" t="s">
        <v>2461</v>
      </c>
      <c r="B1864" s="4" t="s">
        <v>6956</v>
      </c>
      <c r="C1864" s="4" t="s">
        <v>2137</v>
      </c>
      <c r="D1864" s="4" t="s">
        <v>2138</v>
      </c>
      <c r="E1864" s="4" t="s">
        <v>2139</v>
      </c>
      <c r="F1864" s="5">
        <v>58</v>
      </c>
      <c r="G1864" s="5">
        <v>72</v>
      </c>
      <c r="H1864" s="4" t="s">
        <v>2462</v>
      </c>
      <c r="I1864" s="10">
        <v>264</v>
      </c>
      <c r="J1864" s="34">
        <f t="shared" si="116"/>
        <v>2.2967999999999997</v>
      </c>
      <c r="K1864" s="34">
        <f t="shared" si="117"/>
        <v>3.45</v>
      </c>
      <c r="L1864" s="34">
        <f t="shared" si="118"/>
        <v>13.8</v>
      </c>
      <c r="M1864" s="11" t="s">
        <v>4911</v>
      </c>
      <c r="N1864" s="11" t="s">
        <v>4597</v>
      </c>
      <c r="O1864" s="11" t="s">
        <v>3892</v>
      </c>
      <c r="P1864" s="11" t="s">
        <v>4598</v>
      </c>
      <c r="Q1864" s="12">
        <v>59.3</v>
      </c>
      <c r="R1864" s="12">
        <v>70.7</v>
      </c>
      <c r="S1864" s="12">
        <v>5.7</v>
      </c>
      <c r="T1864" s="13">
        <v>4.51</v>
      </c>
      <c r="U1864" s="13">
        <f t="shared" si="119"/>
        <v>-9.2900000000000009</v>
      </c>
      <c r="V1864" s="14">
        <v>552.48</v>
      </c>
      <c r="W1864" s="14">
        <v>552.48</v>
      </c>
      <c r="X1864" s="11">
        <v>3</v>
      </c>
      <c r="Y1864" s="15" t="s">
        <v>3713</v>
      </c>
      <c r="Z1864" s="16">
        <v>288.48</v>
      </c>
      <c r="AA1864" s="17">
        <v>109.3</v>
      </c>
      <c r="AB1864" s="18" t="s">
        <v>4912</v>
      </c>
    </row>
    <row r="1865" spans="1:28" x14ac:dyDescent="0.45">
      <c r="A1865" s="2" t="s">
        <v>2463</v>
      </c>
      <c r="B1865" s="2" t="s">
        <v>6957</v>
      </c>
      <c r="C1865" s="2" t="s">
        <v>2137</v>
      </c>
      <c r="D1865" s="2" t="s">
        <v>2138</v>
      </c>
      <c r="E1865" s="2" t="s">
        <v>2139</v>
      </c>
      <c r="F1865" s="3">
        <v>59.2</v>
      </c>
      <c r="G1865" s="3">
        <v>70.600000000000009</v>
      </c>
      <c r="H1865" s="2" t="s">
        <v>1297</v>
      </c>
      <c r="I1865" s="19">
        <v>269</v>
      </c>
      <c r="J1865" s="34">
        <f t="shared" si="116"/>
        <v>2.3403</v>
      </c>
      <c r="K1865" s="34">
        <f t="shared" si="117"/>
        <v>3.51</v>
      </c>
      <c r="L1865" s="34">
        <f t="shared" si="118"/>
        <v>14.04</v>
      </c>
      <c r="M1865" s="20" t="s">
        <v>4911</v>
      </c>
      <c r="N1865" s="20" t="s">
        <v>4597</v>
      </c>
      <c r="O1865" s="20" t="s">
        <v>3892</v>
      </c>
      <c r="P1865" s="20" t="s">
        <v>4598</v>
      </c>
      <c r="Q1865" s="21">
        <v>59.3</v>
      </c>
      <c r="R1865" s="21">
        <v>70.7</v>
      </c>
      <c r="S1865" s="21">
        <v>5.7</v>
      </c>
      <c r="T1865" s="22">
        <v>4.51</v>
      </c>
      <c r="U1865" s="13">
        <f t="shared" si="119"/>
        <v>-9.5299999999999994</v>
      </c>
      <c r="V1865" s="23">
        <v>552.48</v>
      </c>
      <c r="W1865" s="23">
        <v>552.48</v>
      </c>
      <c r="X1865" s="20">
        <v>3</v>
      </c>
      <c r="Y1865" s="24" t="s">
        <v>3713</v>
      </c>
      <c r="Z1865" s="16">
        <v>283.48</v>
      </c>
      <c r="AA1865" s="17">
        <v>105.4</v>
      </c>
      <c r="AB1865" s="25" t="s">
        <v>4119</v>
      </c>
    </row>
    <row r="1866" spans="1:28" x14ac:dyDescent="0.45">
      <c r="A1866" s="4" t="s">
        <v>2464</v>
      </c>
      <c r="B1866" s="4" t="s">
        <v>6958</v>
      </c>
      <c r="C1866" s="4" t="s">
        <v>2137</v>
      </c>
      <c r="D1866" s="4" t="s">
        <v>2138</v>
      </c>
      <c r="E1866" s="4" t="s">
        <v>2139</v>
      </c>
      <c r="F1866" s="5">
        <v>59.4</v>
      </c>
      <c r="G1866" s="5">
        <v>65.599999999999994</v>
      </c>
      <c r="H1866" s="4" t="s">
        <v>1221</v>
      </c>
      <c r="I1866" s="10">
        <v>69</v>
      </c>
      <c r="J1866" s="34">
        <f t="shared" si="116"/>
        <v>0.60029999999999994</v>
      </c>
      <c r="K1866" s="34">
        <f t="shared" si="117"/>
        <v>0.9</v>
      </c>
      <c r="L1866" s="34">
        <f t="shared" si="118"/>
        <v>3.6</v>
      </c>
      <c r="M1866" s="11" t="s">
        <v>4913</v>
      </c>
      <c r="N1866" s="11" t="s">
        <v>4597</v>
      </c>
      <c r="O1866" s="11" t="s">
        <v>3892</v>
      </c>
      <c r="P1866" s="11" t="s">
        <v>4598</v>
      </c>
      <c r="Q1866" s="12">
        <v>59.5</v>
      </c>
      <c r="R1866" s="12">
        <v>65.5</v>
      </c>
      <c r="S1866" s="12">
        <v>3</v>
      </c>
      <c r="T1866" s="13">
        <v>1.39</v>
      </c>
      <c r="U1866" s="13">
        <f t="shared" si="119"/>
        <v>-2.21</v>
      </c>
      <c r="V1866" s="14">
        <v>170.27</v>
      </c>
      <c r="W1866" s="14">
        <v>170.27</v>
      </c>
      <c r="X1866" s="11" t="s">
        <v>3722</v>
      </c>
      <c r="Y1866" s="15" t="s">
        <v>3713</v>
      </c>
      <c r="Z1866" s="16">
        <v>101.27</v>
      </c>
      <c r="AA1866" s="17">
        <v>146.80000000000001</v>
      </c>
      <c r="AB1866" s="18" t="s">
        <v>4119</v>
      </c>
    </row>
    <row r="1867" spans="1:28" x14ac:dyDescent="0.45">
      <c r="A1867" s="2" t="s">
        <v>2465</v>
      </c>
      <c r="B1867" s="2" t="s">
        <v>6959</v>
      </c>
      <c r="C1867" s="2" t="s">
        <v>2137</v>
      </c>
      <c r="D1867" s="2" t="s">
        <v>2138</v>
      </c>
      <c r="E1867" s="2" t="s">
        <v>2139</v>
      </c>
      <c r="F1867" s="3">
        <v>59.69</v>
      </c>
      <c r="G1867" s="3">
        <v>70.349999999999994</v>
      </c>
      <c r="H1867" s="2" t="s">
        <v>1201</v>
      </c>
      <c r="I1867" s="19">
        <v>136</v>
      </c>
      <c r="J1867" s="34">
        <f t="shared" si="116"/>
        <v>1.1831999999999998</v>
      </c>
      <c r="K1867" s="34">
        <f t="shared" si="117"/>
        <v>1.77</v>
      </c>
      <c r="L1867" s="34">
        <f t="shared" si="118"/>
        <v>7.08</v>
      </c>
      <c r="M1867" s="20" t="s">
        <v>4914</v>
      </c>
      <c r="N1867" s="20" t="s">
        <v>4597</v>
      </c>
      <c r="O1867" s="20" t="s">
        <v>3892</v>
      </c>
      <c r="P1867" s="20" t="s">
        <v>4598</v>
      </c>
      <c r="Q1867" s="21">
        <v>59.69</v>
      </c>
      <c r="R1867" s="21">
        <v>70.358000000000004</v>
      </c>
      <c r="S1867" s="21">
        <v>5.3339999999999996</v>
      </c>
      <c r="T1867" s="22">
        <v>3.05</v>
      </c>
      <c r="U1867" s="13">
        <f t="shared" si="119"/>
        <v>-4.03</v>
      </c>
      <c r="V1867" s="23">
        <v>373.62</v>
      </c>
      <c r="W1867" s="23">
        <v>373.62</v>
      </c>
      <c r="X1867" s="20">
        <v>491</v>
      </c>
      <c r="Y1867" s="24" t="s">
        <v>3737</v>
      </c>
      <c r="Z1867" s="16">
        <v>237.62</v>
      </c>
      <c r="AA1867" s="17">
        <v>174.7</v>
      </c>
      <c r="AB1867" s="25" t="s">
        <v>4032</v>
      </c>
    </row>
    <row r="1868" spans="1:28" x14ac:dyDescent="0.45">
      <c r="A1868" s="4" t="s">
        <v>2466</v>
      </c>
      <c r="B1868" s="4" t="s">
        <v>6960</v>
      </c>
      <c r="C1868" s="4" t="s">
        <v>2137</v>
      </c>
      <c r="D1868" s="4" t="s">
        <v>2138</v>
      </c>
      <c r="E1868" s="4" t="s">
        <v>2139</v>
      </c>
      <c r="F1868" s="5">
        <v>59.92</v>
      </c>
      <c r="G1868" s="5">
        <v>66.98</v>
      </c>
      <c r="H1868" s="4" t="s">
        <v>1156</v>
      </c>
      <c r="I1868" s="10">
        <v>69</v>
      </c>
      <c r="J1868" s="34">
        <f t="shared" si="116"/>
        <v>0.60029999999999994</v>
      </c>
      <c r="K1868" s="34">
        <f t="shared" si="117"/>
        <v>0.9</v>
      </c>
      <c r="L1868" s="34">
        <f t="shared" si="118"/>
        <v>3.6</v>
      </c>
      <c r="M1868" s="11" t="s">
        <v>4915</v>
      </c>
      <c r="N1868" s="11" t="s">
        <v>4597</v>
      </c>
      <c r="O1868" s="11" t="s">
        <v>3892</v>
      </c>
      <c r="P1868" s="11" t="s">
        <v>4598</v>
      </c>
      <c r="Q1868" s="12">
        <v>60</v>
      </c>
      <c r="R1868" s="12">
        <v>67</v>
      </c>
      <c r="S1868" s="12">
        <v>3.5</v>
      </c>
      <c r="T1868" s="13">
        <v>3.03</v>
      </c>
      <c r="U1868" s="13">
        <f t="shared" si="119"/>
        <v>-0.57000000000000028</v>
      </c>
      <c r="V1868" s="14">
        <v>371.17</v>
      </c>
      <c r="W1868" s="14">
        <v>371.17</v>
      </c>
      <c r="X1868" s="11">
        <v>2</v>
      </c>
      <c r="Y1868" s="15" t="s">
        <v>3713</v>
      </c>
      <c r="Z1868" s="16">
        <v>302.17</v>
      </c>
      <c r="AA1868" s="17">
        <v>437.9</v>
      </c>
      <c r="AB1868" s="18" t="s">
        <v>4024</v>
      </c>
    </row>
    <row r="1869" spans="1:28" x14ac:dyDescent="0.45">
      <c r="A1869" s="2" t="s">
        <v>2467</v>
      </c>
      <c r="B1869" s="2" t="s">
        <v>6961</v>
      </c>
      <c r="C1869" s="2" t="s">
        <v>2137</v>
      </c>
      <c r="D1869" s="2" t="s">
        <v>2138</v>
      </c>
      <c r="E1869" s="2" t="s">
        <v>2139</v>
      </c>
      <c r="F1869" s="3">
        <v>59.99</v>
      </c>
      <c r="G1869" s="3">
        <v>65.23</v>
      </c>
      <c r="H1869" s="2" t="s">
        <v>1127</v>
      </c>
      <c r="I1869" s="19">
        <v>37</v>
      </c>
      <c r="J1869" s="34">
        <f t="shared" si="116"/>
        <v>0.32189999999999996</v>
      </c>
      <c r="K1869" s="34">
        <f t="shared" si="117"/>
        <v>0.48</v>
      </c>
      <c r="L1869" s="34">
        <f t="shared" si="118"/>
        <v>1.92</v>
      </c>
      <c r="M1869" s="20" t="s">
        <v>4916</v>
      </c>
      <c r="N1869" s="20" t="s">
        <v>4597</v>
      </c>
      <c r="O1869" s="20" t="s">
        <v>3892</v>
      </c>
      <c r="P1869" s="20" t="s">
        <v>4598</v>
      </c>
      <c r="Q1869" s="21">
        <v>59.944000000000003</v>
      </c>
      <c r="R1869" s="21">
        <v>65.278000000000006</v>
      </c>
      <c r="S1869" s="21">
        <v>2.54</v>
      </c>
      <c r="T1869" s="22">
        <v>1.39</v>
      </c>
      <c r="U1869" s="13">
        <f t="shared" si="119"/>
        <v>-0.53</v>
      </c>
      <c r="V1869" s="23">
        <v>170.27</v>
      </c>
      <c r="W1869" s="23">
        <v>170.27</v>
      </c>
      <c r="X1869" s="20">
        <v>224</v>
      </c>
      <c r="Y1869" s="24" t="s">
        <v>3737</v>
      </c>
      <c r="Z1869" s="16">
        <v>133.27000000000001</v>
      </c>
      <c r="AA1869" s="17">
        <v>360.2</v>
      </c>
      <c r="AB1869" s="25" t="s">
        <v>3920</v>
      </c>
    </row>
    <row r="1870" spans="1:28" x14ac:dyDescent="0.45">
      <c r="A1870" s="4" t="s">
        <v>2468</v>
      </c>
      <c r="B1870" s="4" t="s">
        <v>6962</v>
      </c>
      <c r="C1870" s="4" t="s">
        <v>2137</v>
      </c>
      <c r="D1870" s="4" t="s">
        <v>2138</v>
      </c>
      <c r="E1870" s="4" t="s">
        <v>2139</v>
      </c>
      <c r="F1870" s="5">
        <v>60.05</v>
      </c>
      <c r="G1870" s="5">
        <v>63.61</v>
      </c>
      <c r="H1870" s="4" t="s">
        <v>1114</v>
      </c>
      <c r="I1870" s="10">
        <v>29</v>
      </c>
      <c r="J1870" s="34">
        <f t="shared" si="116"/>
        <v>0.25229999999999997</v>
      </c>
      <c r="K1870" s="34">
        <f t="shared" si="117"/>
        <v>0.38</v>
      </c>
      <c r="L1870" s="34">
        <f t="shared" si="118"/>
        <v>1.52</v>
      </c>
      <c r="M1870" s="11" t="s">
        <v>4917</v>
      </c>
      <c r="N1870" s="11" t="s">
        <v>4597</v>
      </c>
      <c r="O1870" s="11" t="s">
        <v>3892</v>
      </c>
      <c r="P1870" s="11" t="s">
        <v>4598</v>
      </c>
      <c r="Q1870" s="12">
        <v>60</v>
      </c>
      <c r="R1870" s="12">
        <v>64</v>
      </c>
      <c r="S1870" s="12">
        <v>2</v>
      </c>
      <c r="T1870" s="13">
        <v>2.0299999999999998</v>
      </c>
      <c r="U1870" s="13">
        <f t="shared" si="119"/>
        <v>0.50999999999999979</v>
      </c>
      <c r="V1870" s="14">
        <v>248.68</v>
      </c>
      <c r="W1870" s="14">
        <v>248.68</v>
      </c>
      <c r="X1870" s="11">
        <v>70</v>
      </c>
      <c r="Y1870" s="15" t="s">
        <v>3713</v>
      </c>
      <c r="Z1870" s="16">
        <v>219.68</v>
      </c>
      <c r="AA1870" s="17">
        <v>757.5</v>
      </c>
      <c r="AB1870" s="18" t="s">
        <v>4918</v>
      </c>
    </row>
    <row r="1871" spans="1:28" x14ac:dyDescent="0.45">
      <c r="A1871" s="2" t="s">
        <v>2469</v>
      </c>
      <c r="B1871" s="2" t="s">
        <v>6963</v>
      </c>
      <c r="C1871" s="2" t="s">
        <v>2137</v>
      </c>
      <c r="D1871" s="2" t="s">
        <v>2138</v>
      </c>
      <c r="E1871" s="2" t="s">
        <v>2139</v>
      </c>
      <c r="F1871" s="3">
        <v>60.07</v>
      </c>
      <c r="G1871" s="3">
        <v>63.27</v>
      </c>
      <c r="H1871" s="2" t="s">
        <v>1514</v>
      </c>
      <c r="I1871" s="19">
        <v>29</v>
      </c>
      <c r="J1871" s="34">
        <f t="shared" si="116"/>
        <v>0.25229999999999997</v>
      </c>
      <c r="K1871" s="34">
        <f t="shared" si="117"/>
        <v>0.38</v>
      </c>
      <c r="L1871" s="34">
        <f t="shared" si="118"/>
        <v>1.52</v>
      </c>
      <c r="M1871" s="20" t="s">
        <v>4919</v>
      </c>
      <c r="N1871" s="20" t="s">
        <v>4597</v>
      </c>
      <c r="O1871" s="20" t="s">
        <v>3892</v>
      </c>
      <c r="P1871" s="20" t="s">
        <v>4598</v>
      </c>
      <c r="Q1871" s="21">
        <v>59.944000000000003</v>
      </c>
      <c r="R1871" s="21">
        <v>63.5</v>
      </c>
      <c r="S1871" s="21">
        <v>1.778</v>
      </c>
      <c r="T1871" s="22">
        <v>0.85</v>
      </c>
      <c r="U1871" s="13">
        <f t="shared" si="119"/>
        <v>-0.67</v>
      </c>
      <c r="V1871" s="23">
        <v>104.12</v>
      </c>
      <c r="W1871" s="23">
        <v>104.12</v>
      </c>
      <c r="X1871" s="20">
        <v>651</v>
      </c>
      <c r="Y1871" s="24" t="s">
        <v>3737</v>
      </c>
      <c r="Z1871" s="16">
        <v>75.12</v>
      </c>
      <c r="AA1871" s="17">
        <v>259</v>
      </c>
      <c r="AB1871" s="25" t="s">
        <v>4920</v>
      </c>
    </row>
    <row r="1872" spans="1:28" x14ac:dyDescent="0.45">
      <c r="A1872" s="4" t="s">
        <v>2470</v>
      </c>
      <c r="B1872" s="4" t="s">
        <v>6964</v>
      </c>
      <c r="C1872" s="4" t="s">
        <v>2137</v>
      </c>
      <c r="D1872" s="4" t="s">
        <v>2138</v>
      </c>
      <c r="E1872" s="4" t="s">
        <v>2139</v>
      </c>
      <c r="F1872" s="5">
        <v>60</v>
      </c>
      <c r="G1872" s="5">
        <v>64</v>
      </c>
      <c r="H1872" s="4" t="s">
        <v>1122</v>
      </c>
      <c r="I1872" s="10">
        <v>32</v>
      </c>
      <c r="J1872" s="34">
        <f t="shared" si="116"/>
        <v>0.27839999999999998</v>
      </c>
      <c r="K1872" s="34">
        <f t="shared" si="117"/>
        <v>0.42</v>
      </c>
      <c r="L1872" s="34">
        <f t="shared" si="118"/>
        <v>1.68</v>
      </c>
      <c r="M1872" s="11" t="s">
        <v>4917</v>
      </c>
      <c r="N1872" s="11" t="s">
        <v>4597</v>
      </c>
      <c r="O1872" s="11" t="s">
        <v>3892</v>
      </c>
      <c r="P1872" s="11" t="s">
        <v>4598</v>
      </c>
      <c r="Q1872" s="12">
        <v>60</v>
      </c>
      <c r="R1872" s="12">
        <v>64</v>
      </c>
      <c r="S1872" s="12">
        <v>2</v>
      </c>
      <c r="T1872" s="13">
        <v>2.0299999999999998</v>
      </c>
      <c r="U1872" s="13">
        <f t="shared" si="119"/>
        <v>0.34999999999999987</v>
      </c>
      <c r="V1872" s="14">
        <v>248.68</v>
      </c>
      <c r="W1872" s="14">
        <v>248.68</v>
      </c>
      <c r="X1872" s="11">
        <v>70</v>
      </c>
      <c r="Y1872" s="15" t="s">
        <v>3713</v>
      </c>
      <c r="Z1872" s="16">
        <v>216.68</v>
      </c>
      <c r="AA1872" s="17">
        <v>677.1</v>
      </c>
      <c r="AB1872" s="18" t="s">
        <v>3714</v>
      </c>
    </row>
    <row r="1873" spans="1:28" x14ac:dyDescent="0.45">
      <c r="A1873" s="2" t="s">
        <v>2471</v>
      </c>
      <c r="B1873" s="2" t="s">
        <v>6965</v>
      </c>
      <c r="C1873" s="2" t="s">
        <v>2137</v>
      </c>
      <c r="D1873" s="2" t="s">
        <v>2138</v>
      </c>
      <c r="E1873" s="2" t="s">
        <v>2139</v>
      </c>
      <c r="F1873" s="3">
        <v>60</v>
      </c>
      <c r="G1873" s="3">
        <v>68</v>
      </c>
      <c r="H1873" s="2" t="s">
        <v>1216</v>
      </c>
      <c r="I1873" s="19">
        <v>114</v>
      </c>
      <c r="J1873" s="34">
        <f t="shared" si="116"/>
        <v>0.9917999999999999</v>
      </c>
      <c r="K1873" s="34">
        <f t="shared" si="117"/>
        <v>1.49</v>
      </c>
      <c r="L1873" s="34">
        <f t="shared" si="118"/>
        <v>5.96</v>
      </c>
      <c r="M1873" s="20" t="s">
        <v>4921</v>
      </c>
      <c r="N1873" s="20" t="s">
        <v>4597</v>
      </c>
      <c r="O1873" s="20" t="s">
        <v>3892</v>
      </c>
      <c r="P1873" s="20" t="s">
        <v>4598</v>
      </c>
      <c r="Q1873" s="21">
        <v>60</v>
      </c>
      <c r="R1873" s="21">
        <v>68</v>
      </c>
      <c r="S1873" s="21">
        <v>4</v>
      </c>
      <c r="T1873" s="22">
        <v>1.89</v>
      </c>
      <c r="U1873" s="13">
        <f t="shared" si="119"/>
        <v>-4.07</v>
      </c>
      <c r="V1873" s="23">
        <v>231.52</v>
      </c>
      <c r="W1873" s="23">
        <v>231.52</v>
      </c>
      <c r="X1873" s="20" t="s">
        <v>3722</v>
      </c>
      <c r="Y1873" s="24" t="s">
        <v>3713</v>
      </c>
      <c r="Z1873" s="16">
        <v>117.52</v>
      </c>
      <c r="AA1873" s="17">
        <v>103.1</v>
      </c>
      <c r="AB1873" s="25" t="s">
        <v>3714</v>
      </c>
    </row>
    <row r="1874" spans="1:28" x14ac:dyDescent="0.45">
      <c r="A1874" s="4" t="s">
        <v>2472</v>
      </c>
      <c r="B1874" s="4" t="s">
        <v>6966</v>
      </c>
      <c r="C1874" s="4" t="s">
        <v>2137</v>
      </c>
      <c r="D1874" s="4" t="s">
        <v>2138</v>
      </c>
      <c r="E1874" s="4" t="s">
        <v>2139</v>
      </c>
      <c r="F1874" s="5">
        <v>60</v>
      </c>
      <c r="G1874" s="5">
        <v>70</v>
      </c>
      <c r="H1874" s="4" t="s">
        <v>1245</v>
      </c>
      <c r="I1874" s="10">
        <v>136</v>
      </c>
      <c r="J1874" s="34">
        <f t="shared" si="116"/>
        <v>1.1831999999999998</v>
      </c>
      <c r="K1874" s="34">
        <f t="shared" si="117"/>
        <v>1.77</v>
      </c>
      <c r="L1874" s="34">
        <f t="shared" si="118"/>
        <v>7.08</v>
      </c>
      <c r="M1874" s="11" t="s">
        <v>4914</v>
      </c>
      <c r="N1874" s="11" t="s">
        <v>4597</v>
      </c>
      <c r="O1874" s="11" t="s">
        <v>3892</v>
      </c>
      <c r="P1874" s="11" t="s">
        <v>4598</v>
      </c>
      <c r="Q1874" s="12">
        <v>59.69</v>
      </c>
      <c r="R1874" s="12">
        <v>70.358000000000004</v>
      </c>
      <c r="S1874" s="12">
        <v>5.3339999999999996</v>
      </c>
      <c r="T1874" s="13">
        <v>3.05</v>
      </c>
      <c r="U1874" s="13">
        <f t="shared" si="119"/>
        <v>-4.03</v>
      </c>
      <c r="V1874" s="14">
        <v>373.62</v>
      </c>
      <c r="W1874" s="14">
        <v>373.62</v>
      </c>
      <c r="X1874" s="11">
        <v>491</v>
      </c>
      <c r="Y1874" s="15" t="s">
        <v>3737</v>
      </c>
      <c r="Z1874" s="16">
        <v>237.62</v>
      </c>
      <c r="AA1874" s="17">
        <v>174.7</v>
      </c>
      <c r="AB1874" s="18" t="s">
        <v>4922</v>
      </c>
    </row>
    <row r="1875" spans="1:28" x14ac:dyDescent="0.45">
      <c r="A1875" s="2" t="s">
        <v>2473</v>
      </c>
      <c r="B1875" s="2" t="s">
        <v>6967</v>
      </c>
      <c r="C1875" s="2" t="s">
        <v>2137</v>
      </c>
      <c r="D1875" s="2" t="s">
        <v>2138</v>
      </c>
      <c r="E1875" s="2" t="s">
        <v>2139</v>
      </c>
      <c r="F1875" s="3">
        <v>61.6</v>
      </c>
      <c r="G1875" s="3">
        <v>65.16</v>
      </c>
      <c r="H1875" s="2" t="s">
        <v>1114</v>
      </c>
      <c r="I1875" s="19">
        <v>29</v>
      </c>
      <c r="J1875" s="34">
        <f t="shared" si="116"/>
        <v>0.25229999999999997</v>
      </c>
      <c r="K1875" s="34">
        <f t="shared" si="117"/>
        <v>0.38</v>
      </c>
      <c r="L1875" s="34">
        <f t="shared" si="118"/>
        <v>1.52</v>
      </c>
      <c r="M1875" s="20" t="s">
        <v>4916</v>
      </c>
      <c r="N1875" s="20" t="s">
        <v>4597</v>
      </c>
      <c r="O1875" s="20" t="s">
        <v>3892</v>
      </c>
      <c r="P1875" s="20" t="s">
        <v>4598</v>
      </c>
      <c r="Q1875" s="21">
        <v>59.944000000000003</v>
      </c>
      <c r="R1875" s="21">
        <v>65.278000000000006</v>
      </c>
      <c r="S1875" s="21">
        <v>2.54</v>
      </c>
      <c r="T1875" s="22">
        <v>1.39</v>
      </c>
      <c r="U1875" s="13">
        <f t="shared" si="119"/>
        <v>-0.13000000000000012</v>
      </c>
      <c r="V1875" s="23">
        <v>170.27</v>
      </c>
      <c r="W1875" s="23">
        <v>170.27</v>
      </c>
      <c r="X1875" s="20">
        <v>224</v>
      </c>
      <c r="Y1875" s="24" t="s">
        <v>3737</v>
      </c>
      <c r="Z1875" s="16">
        <v>141.27000000000001</v>
      </c>
      <c r="AA1875" s="17">
        <v>487.1</v>
      </c>
      <c r="AB1875" s="25" t="s">
        <v>4923</v>
      </c>
    </row>
    <row r="1876" spans="1:28" x14ac:dyDescent="0.45">
      <c r="A1876" s="4" t="s">
        <v>2474</v>
      </c>
      <c r="B1876" s="4" t="s">
        <v>6968</v>
      </c>
      <c r="C1876" s="4" t="s">
        <v>2137</v>
      </c>
      <c r="D1876" s="4" t="s">
        <v>2138</v>
      </c>
      <c r="E1876" s="4" t="s">
        <v>2139</v>
      </c>
      <c r="F1876" s="5">
        <v>61.6</v>
      </c>
      <c r="G1876" s="5">
        <v>66.84</v>
      </c>
      <c r="H1876" s="4" t="s">
        <v>1127</v>
      </c>
      <c r="I1876" s="10">
        <v>39</v>
      </c>
      <c r="J1876" s="34">
        <f t="shared" si="116"/>
        <v>0.33929999999999999</v>
      </c>
      <c r="K1876" s="34">
        <f t="shared" si="117"/>
        <v>0.51</v>
      </c>
      <c r="L1876" s="34">
        <f t="shared" si="118"/>
        <v>2.04</v>
      </c>
      <c r="M1876" s="11" t="s">
        <v>4924</v>
      </c>
      <c r="N1876" s="11" t="s">
        <v>4597</v>
      </c>
      <c r="O1876" s="11" t="s">
        <v>3892</v>
      </c>
      <c r="P1876" s="11" t="s">
        <v>4598</v>
      </c>
      <c r="Q1876" s="12">
        <v>61.468000000000004</v>
      </c>
      <c r="R1876" s="12">
        <v>66.802000000000007</v>
      </c>
      <c r="S1876" s="12">
        <v>2.54</v>
      </c>
      <c r="T1876" s="13">
        <v>3.87</v>
      </c>
      <c r="U1876" s="13">
        <f t="shared" si="119"/>
        <v>1.83</v>
      </c>
      <c r="V1876" s="14">
        <v>474.08</v>
      </c>
      <c r="W1876" s="14">
        <v>474.08</v>
      </c>
      <c r="X1876" s="11">
        <v>452</v>
      </c>
      <c r="Y1876" s="15" t="s">
        <v>3737</v>
      </c>
      <c r="Z1876" s="16">
        <v>435.08</v>
      </c>
      <c r="AA1876" s="17">
        <v>1115.5999999999999</v>
      </c>
      <c r="AB1876" s="18" t="s">
        <v>4100</v>
      </c>
    </row>
    <row r="1877" spans="1:28" x14ac:dyDescent="0.45">
      <c r="A1877" s="2" t="s">
        <v>2475</v>
      </c>
      <c r="B1877" s="2" t="s">
        <v>6969</v>
      </c>
      <c r="C1877" s="2" t="s">
        <v>2137</v>
      </c>
      <c r="D1877" s="2" t="s">
        <v>2138</v>
      </c>
      <c r="E1877" s="2" t="s">
        <v>2139</v>
      </c>
      <c r="F1877" s="3">
        <v>61.8</v>
      </c>
      <c r="G1877" s="3">
        <v>68.8</v>
      </c>
      <c r="H1877" s="2" t="s">
        <v>1187</v>
      </c>
      <c r="I1877" s="19">
        <v>71</v>
      </c>
      <c r="J1877" s="34">
        <f t="shared" si="116"/>
        <v>0.61769999999999992</v>
      </c>
      <c r="K1877" s="34">
        <f t="shared" si="117"/>
        <v>0.93</v>
      </c>
      <c r="L1877" s="34">
        <f t="shared" si="118"/>
        <v>3.72</v>
      </c>
      <c r="M1877" s="20" t="s">
        <v>4925</v>
      </c>
      <c r="N1877" s="20" t="s">
        <v>4597</v>
      </c>
      <c r="O1877" s="20" t="s">
        <v>3892</v>
      </c>
      <c r="P1877" s="20" t="s">
        <v>4598</v>
      </c>
      <c r="Q1877" s="21">
        <v>61.975999999999999</v>
      </c>
      <c r="R1877" s="21">
        <v>68.834000000000003</v>
      </c>
      <c r="S1877" s="21">
        <v>3.556</v>
      </c>
      <c r="T1877" s="22">
        <v>2.85</v>
      </c>
      <c r="U1877" s="13">
        <f t="shared" si="119"/>
        <v>-0.87000000000000011</v>
      </c>
      <c r="V1877" s="23">
        <v>349.12</v>
      </c>
      <c r="W1877" s="23">
        <v>349.12</v>
      </c>
      <c r="X1877" s="20" t="s">
        <v>3722</v>
      </c>
      <c r="Y1877" s="24" t="s">
        <v>3737</v>
      </c>
      <c r="Z1877" s="16">
        <v>278.12</v>
      </c>
      <c r="AA1877" s="17">
        <v>391.7</v>
      </c>
      <c r="AB1877" s="25" t="s">
        <v>4926</v>
      </c>
    </row>
    <row r="1878" spans="1:28" x14ac:dyDescent="0.45">
      <c r="A1878" s="4" t="s">
        <v>2476</v>
      </c>
      <c r="B1878" s="4" t="s">
        <v>6970</v>
      </c>
      <c r="C1878" s="4" t="s">
        <v>2137</v>
      </c>
      <c r="D1878" s="4" t="s">
        <v>2138</v>
      </c>
      <c r="E1878" s="4" t="s">
        <v>2139</v>
      </c>
      <c r="F1878" s="5">
        <v>62.4</v>
      </c>
      <c r="G1878" s="5">
        <v>68.599999999999994</v>
      </c>
      <c r="H1878" s="4" t="s">
        <v>1221</v>
      </c>
      <c r="I1878" s="10">
        <v>72</v>
      </c>
      <c r="J1878" s="34">
        <f t="shared" si="116"/>
        <v>0.62639999999999996</v>
      </c>
      <c r="K1878" s="34">
        <f t="shared" si="117"/>
        <v>0.94</v>
      </c>
      <c r="L1878" s="34">
        <f t="shared" si="118"/>
        <v>3.76</v>
      </c>
      <c r="M1878" s="11" t="s">
        <v>4925</v>
      </c>
      <c r="N1878" s="11" t="s">
        <v>4597</v>
      </c>
      <c r="O1878" s="11" t="s">
        <v>3892</v>
      </c>
      <c r="P1878" s="11" t="s">
        <v>4598</v>
      </c>
      <c r="Q1878" s="12">
        <v>61.975999999999999</v>
      </c>
      <c r="R1878" s="12">
        <v>68.834000000000003</v>
      </c>
      <c r="S1878" s="12">
        <v>3.556</v>
      </c>
      <c r="T1878" s="13">
        <v>2.85</v>
      </c>
      <c r="U1878" s="13">
        <f t="shared" si="119"/>
        <v>-0.9099999999999997</v>
      </c>
      <c r="V1878" s="14">
        <v>349.12</v>
      </c>
      <c r="W1878" s="14">
        <v>349.12</v>
      </c>
      <c r="X1878" s="11" t="s">
        <v>3722</v>
      </c>
      <c r="Y1878" s="15" t="s">
        <v>3737</v>
      </c>
      <c r="Z1878" s="16">
        <v>277.12</v>
      </c>
      <c r="AA1878" s="17">
        <v>384.9</v>
      </c>
      <c r="AB1878" s="18" t="s">
        <v>4927</v>
      </c>
    </row>
    <row r="1879" spans="1:28" x14ac:dyDescent="0.45">
      <c r="A1879" s="2" t="s">
        <v>2477</v>
      </c>
      <c r="B1879" s="2" t="s">
        <v>6971</v>
      </c>
      <c r="C1879" s="2" t="s">
        <v>2137</v>
      </c>
      <c r="D1879" s="2" t="s">
        <v>2138</v>
      </c>
      <c r="E1879" s="2" t="s">
        <v>2139</v>
      </c>
      <c r="F1879" s="3">
        <v>62.87</v>
      </c>
      <c r="G1879" s="3">
        <v>73.53</v>
      </c>
      <c r="H1879" s="2" t="s">
        <v>1201</v>
      </c>
      <c r="I1879" s="19">
        <v>143</v>
      </c>
      <c r="J1879" s="34">
        <f t="shared" si="116"/>
        <v>1.2441</v>
      </c>
      <c r="K1879" s="34">
        <f t="shared" si="117"/>
        <v>1.87</v>
      </c>
      <c r="L1879" s="34">
        <f t="shared" si="118"/>
        <v>7.48</v>
      </c>
      <c r="M1879" s="20" t="s">
        <v>4928</v>
      </c>
      <c r="N1879" s="20" t="s">
        <v>4597</v>
      </c>
      <c r="O1879" s="20" t="s">
        <v>3892</v>
      </c>
      <c r="P1879" s="20" t="s">
        <v>4598</v>
      </c>
      <c r="Q1879" s="21">
        <v>62.991999999999997</v>
      </c>
      <c r="R1879" s="21">
        <v>73.66</v>
      </c>
      <c r="S1879" s="21">
        <v>5.3339999999999996</v>
      </c>
      <c r="T1879" s="22">
        <v>3.76</v>
      </c>
      <c r="U1879" s="13">
        <f t="shared" si="119"/>
        <v>-3.7200000000000006</v>
      </c>
      <c r="V1879" s="23">
        <v>460.6</v>
      </c>
      <c r="W1879" s="23">
        <v>460.6</v>
      </c>
      <c r="X1879" s="20">
        <v>207</v>
      </c>
      <c r="Y1879" s="24" t="s">
        <v>3737</v>
      </c>
      <c r="Z1879" s="16">
        <v>317.60000000000002</v>
      </c>
      <c r="AA1879" s="17">
        <v>222.1</v>
      </c>
      <c r="AB1879" s="25" t="s">
        <v>4016</v>
      </c>
    </row>
    <row r="1880" spans="1:28" x14ac:dyDescent="0.45">
      <c r="A1880" s="4" t="s">
        <v>2478</v>
      </c>
      <c r="B1880" s="4" t="s">
        <v>6972</v>
      </c>
      <c r="C1880" s="4" t="s">
        <v>2137</v>
      </c>
      <c r="D1880" s="4" t="s">
        <v>2138</v>
      </c>
      <c r="E1880" s="4" t="s">
        <v>2139</v>
      </c>
      <c r="F1880" s="5">
        <v>63.09</v>
      </c>
      <c r="G1880" s="5">
        <v>70.150000000000006</v>
      </c>
      <c r="H1880" s="4" t="s">
        <v>1156</v>
      </c>
      <c r="I1880" s="10">
        <v>72</v>
      </c>
      <c r="J1880" s="34">
        <f t="shared" si="116"/>
        <v>0.62639999999999996</v>
      </c>
      <c r="K1880" s="34">
        <f t="shared" si="117"/>
        <v>0.94</v>
      </c>
      <c r="L1880" s="34">
        <f t="shared" si="118"/>
        <v>3.76</v>
      </c>
      <c r="M1880" s="11" t="s">
        <v>4929</v>
      </c>
      <c r="N1880" s="11" t="s">
        <v>4597</v>
      </c>
      <c r="O1880" s="11" t="s">
        <v>3892</v>
      </c>
      <c r="P1880" s="11" t="s">
        <v>4598</v>
      </c>
      <c r="Q1880" s="12">
        <v>62.991999999999997</v>
      </c>
      <c r="R1880" s="12">
        <v>70.103999999999999</v>
      </c>
      <c r="S1880" s="12">
        <v>3.556</v>
      </c>
      <c r="T1880" s="13">
        <v>2.23</v>
      </c>
      <c r="U1880" s="13">
        <f t="shared" si="119"/>
        <v>-1.5299999999999998</v>
      </c>
      <c r="V1880" s="14">
        <v>273.18</v>
      </c>
      <c r="W1880" s="14">
        <v>273.18</v>
      </c>
      <c r="X1880" s="11">
        <v>140</v>
      </c>
      <c r="Y1880" s="15" t="s">
        <v>3737</v>
      </c>
      <c r="Z1880" s="16">
        <v>201.18</v>
      </c>
      <c r="AA1880" s="17">
        <v>279.39999999999998</v>
      </c>
      <c r="AB1880" s="18" t="s">
        <v>3963</v>
      </c>
    </row>
    <row r="1881" spans="1:28" x14ac:dyDescent="0.45">
      <c r="A1881" s="2" t="s">
        <v>2479</v>
      </c>
      <c r="B1881" s="2" t="s">
        <v>6973</v>
      </c>
      <c r="C1881" s="2" t="s">
        <v>2137</v>
      </c>
      <c r="D1881" s="2" t="s">
        <v>2138</v>
      </c>
      <c r="E1881" s="2" t="s">
        <v>2139</v>
      </c>
      <c r="F1881" s="3">
        <v>63.17</v>
      </c>
      <c r="G1881" s="3">
        <v>68.41</v>
      </c>
      <c r="H1881" s="2" t="s">
        <v>1127</v>
      </c>
      <c r="I1881" s="19">
        <v>39</v>
      </c>
      <c r="J1881" s="34">
        <f t="shared" si="116"/>
        <v>0.33929999999999999</v>
      </c>
      <c r="K1881" s="34">
        <f t="shared" si="117"/>
        <v>0.51</v>
      </c>
      <c r="L1881" s="34">
        <f t="shared" si="118"/>
        <v>2.04</v>
      </c>
      <c r="M1881" s="20" t="s">
        <v>4930</v>
      </c>
      <c r="N1881" s="20" t="s">
        <v>4597</v>
      </c>
      <c r="O1881" s="20" t="s">
        <v>3892</v>
      </c>
      <c r="P1881" s="20" t="s">
        <v>4598</v>
      </c>
      <c r="Q1881" s="21">
        <v>63.246000000000002</v>
      </c>
      <c r="R1881" s="21">
        <v>68.325999999999993</v>
      </c>
      <c r="S1881" s="21">
        <v>2.54</v>
      </c>
      <c r="T1881" s="22">
        <v>2.73</v>
      </c>
      <c r="U1881" s="13">
        <f t="shared" si="119"/>
        <v>0.69</v>
      </c>
      <c r="V1881" s="23">
        <v>334.42</v>
      </c>
      <c r="W1881" s="23">
        <v>334.42</v>
      </c>
      <c r="X1881" s="20">
        <v>11</v>
      </c>
      <c r="Y1881" s="24" t="s">
        <v>3737</v>
      </c>
      <c r="Z1881" s="16">
        <v>295.42</v>
      </c>
      <c r="AA1881" s="17">
        <v>757.5</v>
      </c>
      <c r="AB1881" s="25" t="s">
        <v>4022</v>
      </c>
    </row>
    <row r="1882" spans="1:28" x14ac:dyDescent="0.45">
      <c r="A1882" s="4" t="s">
        <v>2480</v>
      </c>
      <c r="B1882" s="4" t="s">
        <v>6974</v>
      </c>
      <c r="C1882" s="4" t="s">
        <v>2137</v>
      </c>
      <c r="D1882" s="4" t="s">
        <v>2138</v>
      </c>
      <c r="E1882" s="4" t="s">
        <v>2139</v>
      </c>
      <c r="F1882" s="5">
        <v>63</v>
      </c>
      <c r="G1882" s="5">
        <v>69</v>
      </c>
      <c r="H1882" s="4" t="s">
        <v>1149</v>
      </c>
      <c r="I1882" s="10">
        <v>72</v>
      </c>
      <c r="J1882" s="34">
        <f t="shared" si="116"/>
        <v>0.62639999999999996</v>
      </c>
      <c r="K1882" s="34">
        <f t="shared" si="117"/>
        <v>0.94</v>
      </c>
      <c r="L1882" s="34">
        <f t="shared" si="118"/>
        <v>3.76</v>
      </c>
      <c r="M1882" s="11" t="s">
        <v>4931</v>
      </c>
      <c r="N1882" s="11" t="s">
        <v>4597</v>
      </c>
      <c r="O1882" s="11" t="s">
        <v>3892</v>
      </c>
      <c r="P1882" s="11" t="s">
        <v>4598</v>
      </c>
      <c r="Q1882" s="12">
        <v>63</v>
      </c>
      <c r="R1882" s="12">
        <v>69</v>
      </c>
      <c r="S1882" s="12">
        <v>3</v>
      </c>
      <c r="T1882" s="13">
        <v>2.09</v>
      </c>
      <c r="U1882" s="13">
        <f t="shared" si="119"/>
        <v>-1.67</v>
      </c>
      <c r="V1882" s="14">
        <v>256.02</v>
      </c>
      <c r="W1882" s="14">
        <v>256.02</v>
      </c>
      <c r="X1882" s="11">
        <v>121</v>
      </c>
      <c r="Y1882" s="15" t="s">
        <v>3713</v>
      </c>
      <c r="Z1882" s="16">
        <v>184.02</v>
      </c>
      <c r="AA1882" s="17">
        <v>255.6</v>
      </c>
      <c r="AB1882" s="18" t="s">
        <v>3714</v>
      </c>
    </row>
    <row r="1883" spans="1:28" x14ac:dyDescent="0.45">
      <c r="A1883" s="2" t="s">
        <v>2481</v>
      </c>
      <c r="B1883" s="2" t="s">
        <v>6975</v>
      </c>
      <c r="C1883" s="2" t="s">
        <v>2137</v>
      </c>
      <c r="D1883" s="2" t="s">
        <v>2138</v>
      </c>
      <c r="E1883" s="2" t="s">
        <v>2139</v>
      </c>
      <c r="F1883" s="3">
        <v>64.2</v>
      </c>
      <c r="G1883" s="3">
        <v>75.600000000000009</v>
      </c>
      <c r="H1883" s="2" t="s">
        <v>1297</v>
      </c>
      <c r="I1883" s="19">
        <v>293</v>
      </c>
      <c r="J1883" s="34">
        <f t="shared" si="116"/>
        <v>2.5490999999999997</v>
      </c>
      <c r="K1883" s="34">
        <f t="shared" si="117"/>
        <v>3.82</v>
      </c>
      <c r="L1883" s="34">
        <f t="shared" si="118"/>
        <v>15.28</v>
      </c>
      <c r="M1883" s="20" t="s">
        <v>4932</v>
      </c>
      <c r="N1883" s="20" t="s">
        <v>4597</v>
      </c>
      <c r="O1883" s="20" t="s">
        <v>3892</v>
      </c>
      <c r="P1883" s="20" t="s">
        <v>4598</v>
      </c>
      <c r="Q1883" s="21">
        <v>64.3</v>
      </c>
      <c r="R1883" s="21">
        <v>75.7</v>
      </c>
      <c r="S1883" s="21">
        <v>5.7</v>
      </c>
      <c r="T1883" s="22">
        <v>8.56</v>
      </c>
      <c r="U1883" s="13">
        <f t="shared" si="119"/>
        <v>-6.7199999999999989</v>
      </c>
      <c r="V1883" s="23">
        <v>1048.5999999999999</v>
      </c>
      <c r="W1883" s="23">
        <v>1048.5999999999999</v>
      </c>
      <c r="X1883" s="20">
        <v>56</v>
      </c>
      <c r="Y1883" s="24" t="s">
        <v>3713</v>
      </c>
      <c r="Z1883" s="16">
        <v>755.59999999999991</v>
      </c>
      <c r="AA1883" s="17">
        <v>257.89999999999998</v>
      </c>
      <c r="AB1883" s="25" t="s">
        <v>4119</v>
      </c>
    </row>
    <row r="1884" spans="1:28" x14ac:dyDescent="0.45">
      <c r="A1884" s="4" t="s">
        <v>2482</v>
      </c>
      <c r="B1884" s="4" t="s">
        <v>6976</v>
      </c>
      <c r="C1884" s="4" t="s">
        <v>2137</v>
      </c>
      <c r="D1884" s="4" t="s">
        <v>2138</v>
      </c>
      <c r="E1884" s="4" t="s">
        <v>2139</v>
      </c>
      <c r="F1884" s="5">
        <v>64.400000000000006</v>
      </c>
      <c r="G1884" s="5">
        <v>70.600000000000009</v>
      </c>
      <c r="H1884" s="4" t="s">
        <v>1221</v>
      </c>
      <c r="I1884" s="10">
        <v>74</v>
      </c>
      <c r="J1884" s="34">
        <f t="shared" si="116"/>
        <v>0.64379999999999993</v>
      </c>
      <c r="K1884" s="34">
        <f t="shared" si="117"/>
        <v>0.97</v>
      </c>
      <c r="L1884" s="34">
        <f t="shared" si="118"/>
        <v>3.88</v>
      </c>
      <c r="M1884" s="11" t="s">
        <v>4933</v>
      </c>
      <c r="N1884" s="11" t="s">
        <v>4597</v>
      </c>
      <c r="O1884" s="11" t="s">
        <v>3892</v>
      </c>
      <c r="P1884" s="11" t="s">
        <v>4598</v>
      </c>
      <c r="Q1884" s="12">
        <v>64.5</v>
      </c>
      <c r="R1884" s="12">
        <v>70.5</v>
      </c>
      <c r="S1884" s="12">
        <v>3</v>
      </c>
      <c r="T1884" s="13">
        <v>3.68</v>
      </c>
      <c r="U1884" s="13">
        <f t="shared" si="119"/>
        <v>-0.19999999999999973</v>
      </c>
      <c r="V1884" s="14">
        <v>450.8</v>
      </c>
      <c r="W1884" s="14">
        <v>450.8</v>
      </c>
      <c r="X1884" s="11">
        <v>26</v>
      </c>
      <c r="Y1884" s="15" t="s">
        <v>3713</v>
      </c>
      <c r="Z1884" s="16">
        <v>376.8</v>
      </c>
      <c r="AA1884" s="17">
        <v>509.2</v>
      </c>
      <c r="AB1884" s="18" t="s">
        <v>4119</v>
      </c>
    </row>
    <row r="1885" spans="1:28" x14ac:dyDescent="0.45">
      <c r="A1885" s="2" t="s">
        <v>2483</v>
      </c>
      <c r="B1885" s="2" t="s">
        <v>6977</v>
      </c>
      <c r="C1885" s="2" t="s">
        <v>2137</v>
      </c>
      <c r="D1885" s="2" t="s">
        <v>2138</v>
      </c>
      <c r="E1885" s="2" t="s">
        <v>2139</v>
      </c>
      <c r="F1885" s="3">
        <v>64.77</v>
      </c>
      <c r="G1885" s="3">
        <v>70.009999999999991</v>
      </c>
      <c r="H1885" s="2" t="s">
        <v>1127</v>
      </c>
      <c r="I1885" s="19">
        <v>40</v>
      </c>
      <c r="J1885" s="34">
        <f t="shared" si="116"/>
        <v>0.34799999999999998</v>
      </c>
      <c r="K1885" s="34">
        <f t="shared" si="117"/>
        <v>0.52</v>
      </c>
      <c r="L1885" s="34">
        <f t="shared" si="118"/>
        <v>2.08</v>
      </c>
      <c r="M1885" s="20" t="s">
        <v>4934</v>
      </c>
      <c r="N1885" s="20" t="s">
        <v>4597</v>
      </c>
      <c r="O1885" s="20" t="s">
        <v>3892</v>
      </c>
      <c r="P1885" s="20" t="s">
        <v>4598</v>
      </c>
      <c r="Q1885" s="21">
        <v>65</v>
      </c>
      <c r="R1885" s="21">
        <v>70</v>
      </c>
      <c r="S1885" s="21">
        <v>2.5</v>
      </c>
      <c r="T1885" s="22">
        <v>2.63</v>
      </c>
      <c r="U1885" s="13">
        <f t="shared" si="119"/>
        <v>0.54999999999999982</v>
      </c>
      <c r="V1885" s="23">
        <v>322.18</v>
      </c>
      <c r="W1885" s="23">
        <v>322.18</v>
      </c>
      <c r="X1885" s="20" t="s">
        <v>3722</v>
      </c>
      <c r="Y1885" s="24" t="s">
        <v>3713</v>
      </c>
      <c r="Z1885" s="16">
        <v>282.18</v>
      </c>
      <c r="AA1885" s="17">
        <v>705.4</v>
      </c>
      <c r="AB1885" s="25" t="s">
        <v>3928</v>
      </c>
    </row>
    <row r="1886" spans="1:28" x14ac:dyDescent="0.45">
      <c r="A1886" s="4" t="s">
        <v>2484</v>
      </c>
      <c r="B1886" s="4" t="s">
        <v>6978</v>
      </c>
      <c r="C1886" s="4" t="s">
        <v>2137</v>
      </c>
      <c r="D1886" s="4" t="s">
        <v>2138</v>
      </c>
      <c r="E1886" s="4" t="s">
        <v>2139</v>
      </c>
      <c r="F1886" s="5">
        <v>64</v>
      </c>
      <c r="G1886" s="5">
        <v>76</v>
      </c>
      <c r="H1886" s="4" t="s">
        <v>1635</v>
      </c>
      <c r="I1886" s="10">
        <v>291</v>
      </c>
      <c r="J1886" s="34">
        <f t="shared" si="116"/>
        <v>2.5316999999999998</v>
      </c>
      <c r="K1886" s="34">
        <f t="shared" si="117"/>
        <v>3.8</v>
      </c>
      <c r="L1886" s="34">
        <f t="shared" si="118"/>
        <v>15.2</v>
      </c>
      <c r="M1886" s="11" t="s">
        <v>4932</v>
      </c>
      <c r="N1886" s="11" t="s">
        <v>4597</v>
      </c>
      <c r="O1886" s="11" t="s">
        <v>3892</v>
      </c>
      <c r="P1886" s="11" t="s">
        <v>4598</v>
      </c>
      <c r="Q1886" s="12">
        <v>64.3</v>
      </c>
      <c r="R1886" s="12">
        <v>75.7</v>
      </c>
      <c r="S1886" s="12">
        <v>5.7</v>
      </c>
      <c r="T1886" s="13">
        <v>8.56</v>
      </c>
      <c r="U1886" s="13">
        <f t="shared" si="119"/>
        <v>-6.6399999999999988</v>
      </c>
      <c r="V1886" s="14">
        <v>1048.5999999999999</v>
      </c>
      <c r="W1886" s="14">
        <v>1048.5999999999999</v>
      </c>
      <c r="X1886" s="11">
        <v>56</v>
      </c>
      <c r="Y1886" s="15" t="s">
        <v>3713</v>
      </c>
      <c r="Z1886" s="16">
        <v>757.59999999999991</v>
      </c>
      <c r="AA1886" s="17">
        <v>260.3</v>
      </c>
      <c r="AB1886" s="18" t="s">
        <v>4718</v>
      </c>
    </row>
    <row r="1887" spans="1:28" x14ac:dyDescent="0.45">
      <c r="A1887" s="2" t="s">
        <v>2485</v>
      </c>
      <c r="B1887" s="2" t="s">
        <v>6979</v>
      </c>
      <c r="C1887" s="2" t="s">
        <v>2137</v>
      </c>
      <c r="D1887" s="2" t="s">
        <v>2138</v>
      </c>
      <c r="E1887" s="2" t="s">
        <v>2139</v>
      </c>
      <c r="F1887" s="3">
        <v>65</v>
      </c>
      <c r="G1887" s="3">
        <v>73</v>
      </c>
      <c r="H1887" s="2" t="s">
        <v>1216</v>
      </c>
      <c r="I1887" s="19">
        <v>124</v>
      </c>
      <c r="J1887" s="34">
        <f t="shared" si="116"/>
        <v>1.0788</v>
      </c>
      <c r="K1887" s="34">
        <f t="shared" si="117"/>
        <v>1.62</v>
      </c>
      <c r="L1887" s="34">
        <f t="shared" si="118"/>
        <v>6.48</v>
      </c>
      <c r="M1887" s="20" t="s">
        <v>4935</v>
      </c>
      <c r="N1887" s="20" t="s">
        <v>4597</v>
      </c>
      <c r="O1887" s="20" t="s">
        <v>3892</v>
      </c>
      <c r="P1887" s="20" t="s">
        <v>4598</v>
      </c>
      <c r="Q1887" s="21">
        <v>65</v>
      </c>
      <c r="R1887" s="21">
        <v>73</v>
      </c>
      <c r="S1887" s="21">
        <v>4</v>
      </c>
      <c r="T1887" s="22">
        <v>3.96</v>
      </c>
      <c r="U1887" s="13">
        <f t="shared" si="119"/>
        <v>-2.5200000000000005</v>
      </c>
      <c r="V1887" s="23">
        <v>485.1</v>
      </c>
      <c r="W1887" s="23">
        <v>485.1</v>
      </c>
      <c r="X1887" s="20" t="s">
        <v>3722</v>
      </c>
      <c r="Y1887" s="24" t="s">
        <v>3713</v>
      </c>
      <c r="Z1887" s="16">
        <v>361.1</v>
      </c>
      <c r="AA1887" s="17">
        <v>291.2</v>
      </c>
      <c r="AB1887" s="25" t="s">
        <v>3714</v>
      </c>
    </row>
    <row r="1888" spans="1:28" x14ac:dyDescent="0.45">
      <c r="A1888" s="4" t="s">
        <v>2486</v>
      </c>
      <c r="B1888" s="4" t="s">
        <v>6980</v>
      </c>
      <c r="C1888" s="4" t="s">
        <v>2137</v>
      </c>
      <c r="D1888" s="4" t="s">
        <v>2138</v>
      </c>
      <c r="E1888" s="4" t="s">
        <v>2139</v>
      </c>
      <c r="F1888" s="5">
        <v>65</v>
      </c>
      <c r="G1888" s="5">
        <v>75</v>
      </c>
      <c r="H1888" s="4" t="s">
        <v>1245</v>
      </c>
      <c r="I1888" s="10">
        <v>148</v>
      </c>
      <c r="J1888" s="34">
        <f t="shared" si="116"/>
        <v>1.2875999999999999</v>
      </c>
      <c r="K1888" s="34">
        <f t="shared" si="117"/>
        <v>1.93</v>
      </c>
      <c r="L1888" s="34">
        <f t="shared" si="118"/>
        <v>7.72</v>
      </c>
      <c r="M1888" s="11" t="s">
        <v>4936</v>
      </c>
      <c r="N1888" s="11" t="s">
        <v>4597</v>
      </c>
      <c r="O1888" s="11" t="s">
        <v>3892</v>
      </c>
      <c r="P1888" s="11" t="s">
        <v>4598</v>
      </c>
      <c r="Q1888" s="12">
        <v>65</v>
      </c>
      <c r="R1888" s="12">
        <v>74</v>
      </c>
      <c r="S1888" s="12">
        <v>4.5</v>
      </c>
      <c r="T1888" s="13">
        <v>6.66</v>
      </c>
      <c r="U1888" s="13">
        <f t="shared" si="119"/>
        <v>-1.0599999999999996</v>
      </c>
      <c r="V1888" s="14">
        <v>815.85</v>
      </c>
      <c r="W1888" s="14">
        <v>815.85</v>
      </c>
      <c r="X1888" s="11" t="s">
        <v>3722</v>
      </c>
      <c r="Y1888" s="15" t="s">
        <v>3713</v>
      </c>
      <c r="Z1888" s="16">
        <v>667.85</v>
      </c>
      <c r="AA1888" s="17">
        <v>451.2</v>
      </c>
      <c r="AB1888" s="18" t="s">
        <v>3786</v>
      </c>
    </row>
    <row r="1889" spans="1:28" x14ac:dyDescent="0.45">
      <c r="A1889" s="2" t="s">
        <v>2487</v>
      </c>
      <c r="B1889" s="2" t="s">
        <v>6981</v>
      </c>
      <c r="C1889" s="2" t="s">
        <v>2137</v>
      </c>
      <c r="D1889" s="2" t="s">
        <v>2138</v>
      </c>
      <c r="E1889" s="2" t="s">
        <v>2139</v>
      </c>
      <c r="F1889" s="3">
        <v>66.040000000000006</v>
      </c>
      <c r="G1889" s="3">
        <v>76.7</v>
      </c>
      <c r="H1889" s="2" t="s">
        <v>1201</v>
      </c>
      <c r="I1889" s="19">
        <v>151</v>
      </c>
      <c r="J1889" s="34">
        <f t="shared" si="116"/>
        <v>1.3136999999999999</v>
      </c>
      <c r="K1889" s="34">
        <f t="shared" si="117"/>
        <v>1.97</v>
      </c>
      <c r="L1889" s="34">
        <f t="shared" si="118"/>
        <v>7.88</v>
      </c>
      <c r="M1889" s="20" t="s">
        <v>4937</v>
      </c>
      <c r="N1889" s="20" t="s">
        <v>4597</v>
      </c>
      <c r="O1889" s="20" t="s">
        <v>3892</v>
      </c>
      <c r="P1889" s="20" t="s">
        <v>4598</v>
      </c>
      <c r="Q1889" s="21">
        <v>66.040000000000006</v>
      </c>
      <c r="R1889" s="21">
        <v>76.707999999999998</v>
      </c>
      <c r="S1889" s="21">
        <v>5.3339999999999996</v>
      </c>
      <c r="T1889" s="22">
        <v>3.92</v>
      </c>
      <c r="U1889" s="13">
        <f t="shared" si="119"/>
        <v>-3.96</v>
      </c>
      <c r="V1889" s="23">
        <v>480.2</v>
      </c>
      <c r="W1889" s="23">
        <v>480.2</v>
      </c>
      <c r="X1889" s="20">
        <v>74</v>
      </c>
      <c r="Y1889" s="24" t="s">
        <v>3737</v>
      </c>
      <c r="Z1889" s="16">
        <v>329.2</v>
      </c>
      <c r="AA1889" s="17">
        <v>218</v>
      </c>
      <c r="AB1889" s="25" t="s">
        <v>4032</v>
      </c>
    </row>
    <row r="1890" spans="1:28" x14ac:dyDescent="0.45">
      <c r="A1890" s="4" t="s">
        <v>2488</v>
      </c>
      <c r="B1890" s="4" t="s">
        <v>6982</v>
      </c>
      <c r="C1890" s="4" t="s">
        <v>2137</v>
      </c>
      <c r="D1890" s="4" t="s">
        <v>2138</v>
      </c>
      <c r="E1890" s="4" t="s">
        <v>2139</v>
      </c>
      <c r="F1890" s="5">
        <v>66.27</v>
      </c>
      <c r="G1890" s="5">
        <v>73.33</v>
      </c>
      <c r="H1890" s="4" t="s">
        <v>1156</v>
      </c>
      <c r="I1890" s="10">
        <v>76</v>
      </c>
      <c r="J1890" s="34">
        <f t="shared" si="116"/>
        <v>0.66120000000000001</v>
      </c>
      <c r="K1890" s="34">
        <f t="shared" si="117"/>
        <v>0.99</v>
      </c>
      <c r="L1890" s="34">
        <f t="shared" si="118"/>
        <v>3.96</v>
      </c>
      <c r="M1890" s="11" t="s">
        <v>4938</v>
      </c>
      <c r="N1890" s="11" t="s">
        <v>4597</v>
      </c>
      <c r="O1890" s="11" t="s">
        <v>3892</v>
      </c>
      <c r="P1890" s="11" t="s">
        <v>4598</v>
      </c>
      <c r="Q1890" s="12">
        <v>66.293999999999997</v>
      </c>
      <c r="R1890" s="12">
        <v>73.406000000000006</v>
      </c>
      <c r="S1890" s="12">
        <v>3.556</v>
      </c>
      <c r="T1890" s="13">
        <v>3.63</v>
      </c>
      <c r="U1890" s="13">
        <f t="shared" si="119"/>
        <v>-0.33000000000000007</v>
      </c>
      <c r="V1890" s="14">
        <v>444.68</v>
      </c>
      <c r="W1890" s="14">
        <v>444.68</v>
      </c>
      <c r="X1890" s="11">
        <v>166</v>
      </c>
      <c r="Y1890" s="15" t="s">
        <v>3737</v>
      </c>
      <c r="Z1890" s="16">
        <v>368.68</v>
      </c>
      <c r="AA1890" s="17">
        <v>485.1</v>
      </c>
      <c r="AB1890" s="18" t="s">
        <v>3945</v>
      </c>
    </row>
    <row r="1891" spans="1:28" x14ac:dyDescent="0.45">
      <c r="A1891" s="2" t="s">
        <v>2489</v>
      </c>
      <c r="B1891" s="2" t="s">
        <v>6983</v>
      </c>
      <c r="C1891" s="2" t="s">
        <v>2137</v>
      </c>
      <c r="D1891" s="2" t="s">
        <v>2138</v>
      </c>
      <c r="E1891" s="2" t="s">
        <v>2139</v>
      </c>
      <c r="F1891" s="3">
        <v>66.34</v>
      </c>
      <c r="G1891" s="3">
        <v>71.58</v>
      </c>
      <c r="H1891" s="2" t="s">
        <v>1127</v>
      </c>
      <c r="I1891" s="19">
        <v>40</v>
      </c>
      <c r="J1891" s="34">
        <f t="shared" si="116"/>
        <v>0.34799999999999998</v>
      </c>
      <c r="K1891" s="34">
        <f t="shared" si="117"/>
        <v>0.52</v>
      </c>
      <c r="L1891" s="34">
        <f t="shared" si="118"/>
        <v>2.08</v>
      </c>
      <c r="M1891" s="20" t="s">
        <v>4939</v>
      </c>
      <c r="N1891" s="20" t="s">
        <v>4597</v>
      </c>
      <c r="O1891" s="20" t="s">
        <v>3892</v>
      </c>
      <c r="P1891" s="20" t="s">
        <v>4598</v>
      </c>
      <c r="Q1891" s="21">
        <v>66.293999999999997</v>
      </c>
      <c r="R1891" s="21">
        <v>71.628</v>
      </c>
      <c r="S1891" s="21">
        <v>2.54</v>
      </c>
      <c r="T1891" s="22">
        <v>1.53</v>
      </c>
      <c r="U1891" s="13">
        <f t="shared" si="119"/>
        <v>-0.55000000000000004</v>
      </c>
      <c r="V1891" s="23">
        <v>187.42</v>
      </c>
      <c r="W1891" s="23">
        <v>187.42</v>
      </c>
      <c r="X1891" s="20">
        <v>85</v>
      </c>
      <c r="Y1891" s="24" t="s">
        <v>3737</v>
      </c>
      <c r="Z1891" s="16">
        <v>147.41999999999999</v>
      </c>
      <c r="AA1891" s="17">
        <v>368.5</v>
      </c>
      <c r="AB1891" s="25" t="s">
        <v>3920</v>
      </c>
    </row>
    <row r="1892" spans="1:28" x14ac:dyDescent="0.45">
      <c r="A1892" s="4" t="s">
        <v>2490</v>
      </c>
      <c r="B1892" s="4" t="s">
        <v>6984</v>
      </c>
      <c r="C1892" s="4" t="s">
        <v>2137</v>
      </c>
      <c r="D1892" s="4" t="s">
        <v>2138</v>
      </c>
      <c r="E1892" s="4" t="s">
        <v>2139</v>
      </c>
      <c r="F1892" s="5">
        <v>66</v>
      </c>
      <c r="G1892" s="5">
        <v>72</v>
      </c>
      <c r="H1892" s="4" t="s">
        <v>1149</v>
      </c>
      <c r="I1892" s="10">
        <v>76</v>
      </c>
      <c r="J1892" s="34">
        <f t="shared" si="116"/>
        <v>0.66120000000000001</v>
      </c>
      <c r="K1892" s="34">
        <f t="shared" si="117"/>
        <v>0.99</v>
      </c>
      <c r="L1892" s="34">
        <f t="shared" si="118"/>
        <v>3.96</v>
      </c>
      <c r="M1892" s="11" t="s">
        <v>4939</v>
      </c>
      <c r="N1892" s="11" t="s">
        <v>4597</v>
      </c>
      <c r="O1892" s="11" t="s">
        <v>3892</v>
      </c>
      <c r="P1892" s="11" t="s">
        <v>4598</v>
      </c>
      <c r="Q1892" s="12">
        <v>66.293999999999997</v>
      </c>
      <c r="R1892" s="12">
        <v>71.628</v>
      </c>
      <c r="S1892" s="12">
        <v>2.54</v>
      </c>
      <c r="T1892" s="13">
        <v>1.53</v>
      </c>
      <c r="U1892" s="13">
        <f t="shared" si="119"/>
        <v>-2.4299999999999997</v>
      </c>
      <c r="V1892" s="14">
        <v>187.42</v>
      </c>
      <c r="W1892" s="14">
        <v>187.42</v>
      </c>
      <c r="X1892" s="11">
        <v>85</v>
      </c>
      <c r="Y1892" s="15" t="s">
        <v>3737</v>
      </c>
      <c r="Z1892" s="16">
        <v>111.42</v>
      </c>
      <c r="AA1892" s="17">
        <v>146.6</v>
      </c>
      <c r="AB1892" s="18" t="s">
        <v>4940</v>
      </c>
    </row>
    <row r="1893" spans="1:28" x14ac:dyDescent="0.45">
      <c r="A1893" s="2" t="s">
        <v>2491</v>
      </c>
      <c r="B1893" s="2" t="s">
        <v>6985</v>
      </c>
      <c r="C1893" s="2" t="s">
        <v>2137</v>
      </c>
      <c r="D1893" s="2" t="s">
        <v>2138</v>
      </c>
      <c r="E1893" s="2" t="s">
        <v>2139</v>
      </c>
      <c r="F1893" s="3">
        <v>67.95</v>
      </c>
      <c r="G1893" s="3">
        <v>73.19</v>
      </c>
      <c r="H1893" s="2" t="s">
        <v>1127</v>
      </c>
      <c r="I1893" s="19">
        <v>42</v>
      </c>
      <c r="J1893" s="34">
        <f t="shared" si="116"/>
        <v>0.36539999999999995</v>
      </c>
      <c r="K1893" s="34">
        <f t="shared" si="117"/>
        <v>0.55000000000000004</v>
      </c>
      <c r="L1893" s="34">
        <f t="shared" si="118"/>
        <v>2.2000000000000002</v>
      </c>
      <c r="M1893" s="20" t="s">
        <v>4941</v>
      </c>
      <c r="N1893" s="20" t="s">
        <v>4597</v>
      </c>
      <c r="O1893" s="20" t="s">
        <v>3892</v>
      </c>
      <c r="P1893" s="20" t="s">
        <v>4598</v>
      </c>
      <c r="Q1893" s="21">
        <v>67.817999999999998</v>
      </c>
      <c r="R1893" s="21">
        <v>73.152000000000001</v>
      </c>
      <c r="S1893" s="21">
        <v>2.54</v>
      </c>
      <c r="T1893" s="22">
        <v>2.84</v>
      </c>
      <c r="U1893" s="13">
        <f t="shared" si="119"/>
        <v>0.63999999999999968</v>
      </c>
      <c r="V1893" s="23">
        <v>347.9</v>
      </c>
      <c r="W1893" s="23">
        <v>347.9</v>
      </c>
      <c r="X1893" s="20">
        <v>221</v>
      </c>
      <c r="Y1893" s="24" t="s">
        <v>3737</v>
      </c>
      <c r="Z1893" s="16">
        <v>305.89999999999998</v>
      </c>
      <c r="AA1893" s="17">
        <v>728.3</v>
      </c>
      <c r="AB1893" s="25" t="s">
        <v>4100</v>
      </c>
    </row>
    <row r="1894" spans="1:28" x14ac:dyDescent="0.45">
      <c r="A1894" s="4" t="s">
        <v>2492</v>
      </c>
      <c r="B1894" s="4" t="s">
        <v>6986</v>
      </c>
      <c r="C1894" s="4" t="s">
        <v>2137</v>
      </c>
      <c r="D1894" s="4" t="s">
        <v>2138</v>
      </c>
      <c r="E1894" s="4" t="s">
        <v>2139</v>
      </c>
      <c r="F1894" s="5">
        <v>68</v>
      </c>
      <c r="G1894" s="5">
        <v>75.06</v>
      </c>
      <c r="H1894" s="4" t="s">
        <v>1156</v>
      </c>
      <c r="I1894" s="10">
        <v>77</v>
      </c>
      <c r="J1894" s="34">
        <f t="shared" si="116"/>
        <v>0.66989999999999994</v>
      </c>
      <c r="K1894" s="34">
        <f t="shared" si="117"/>
        <v>1</v>
      </c>
      <c r="L1894" s="34">
        <f t="shared" si="118"/>
        <v>4</v>
      </c>
      <c r="M1894" s="11" t="s">
        <v>4942</v>
      </c>
      <c r="N1894" s="11" t="s">
        <v>4597</v>
      </c>
      <c r="O1894" s="11" t="s">
        <v>3892</v>
      </c>
      <c r="P1894" s="11" t="s">
        <v>4598</v>
      </c>
      <c r="Q1894" s="12">
        <v>68</v>
      </c>
      <c r="R1894" s="12">
        <v>75</v>
      </c>
      <c r="S1894" s="12">
        <v>3.5</v>
      </c>
      <c r="T1894" s="13">
        <v>4.08</v>
      </c>
      <c r="U1894" s="13">
        <f t="shared" si="119"/>
        <v>8.0000000000000071E-2</v>
      </c>
      <c r="V1894" s="14">
        <v>499.8</v>
      </c>
      <c r="W1894" s="14">
        <v>499.8</v>
      </c>
      <c r="X1894" s="11">
        <v>3</v>
      </c>
      <c r="Y1894" s="15" t="s">
        <v>3713</v>
      </c>
      <c r="Z1894" s="16">
        <v>422.8</v>
      </c>
      <c r="AA1894" s="17">
        <v>549.1</v>
      </c>
      <c r="AB1894" s="18" t="s">
        <v>4943</v>
      </c>
    </row>
    <row r="1895" spans="1:28" x14ac:dyDescent="0.45">
      <c r="A1895" s="2" t="s">
        <v>2493</v>
      </c>
      <c r="B1895" s="2" t="s">
        <v>6987</v>
      </c>
      <c r="C1895" s="2" t="s">
        <v>2137</v>
      </c>
      <c r="D1895" s="2" t="s">
        <v>2138</v>
      </c>
      <c r="E1895" s="2" t="s">
        <v>2139</v>
      </c>
      <c r="F1895" s="3">
        <v>68</v>
      </c>
      <c r="G1895" s="3">
        <v>82</v>
      </c>
      <c r="H1895" s="2" t="s">
        <v>2462</v>
      </c>
      <c r="I1895" s="19">
        <v>310</v>
      </c>
      <c r="J1895" s="34">
        <f t="shared" si="116"/>
        <v>2.6969999999999996</v>
      </c>
      <c r="K1895" s="34">
        <f t="shared" si="117"/>
        <v>4.05</v>
      </c>
      <c r="L1895" s="34">
        <f t="shared" si="118"/>
        <v>16.2</v>
      </c>
      <c r="M1895" s="20" t="s">
        <v>4944</v>
      </c>
      <c r="N1895" s="20" t="s">
        <v>4597</v>
      </c>
      <c r="O1895" s="20" t="s">
        <v>3892</v>
      </c>
      <c r="P1895" s="20" t="s">
        <v>4598</v>
      </c>
      <c r="Q1895" s="21">
        <v>69.3</v>
      </c>
      <c r="R1895" s="21">
        <v>80.7</v>
      </c>
      <c r="S1895" s="21">
        <v>5.7</v>
      </c>
      <c r="T1895" s="22">
        <v>9.32</v>
      </c>
      <c r="U1895" s="13">
        <f t="shared" si="119"/>
        <v>-6.879999999999999</v>
      </c>
      <c r="V1895" s="23">
        <v>1141.7</v>
      </c>
      <c r="W1895" s="23">
        <v>1141.7</v>
      </c>
      <c r="X1895" s="20">
        <v>21</v>
      </c>
      <c r="Y1895" s="24" t="s">
        <v>3713</v>
      </c>
      <c r="Z1895" s="16">
        <v>831.7</v>
      </c>
      <c r="AA1895" s="17">
        <v>268.3</v>
      </c>
      <c r="AB1895" s="25" t="s">
        <v>4912</v>
      </c>
    </row>
    <row r="1896" spans="1:28" x14ac:dyDescent="0.45">
      <c r="A1896" s="4" t="s">
        <v>2494</v>
      </c>
      <c r="B1896" s="4" t="s">
        <v>6988</v>
      </c>
      <c r="C1896" s="4" t="s">
        <v>2137</v>
      </c>
      <c r="D1896" s="4" t="s">
        <v>2138</v>
      </c>
      <c r="E1896" s="4" t="s">
        <v>2139</v>
      </c>
      <c r="F1896" s="5">
        <v>69.22</v>
      </c>
      <c r="G1896" s="5">
        <v>74.459999999999994</v>
      </c>
      <c r="H1896" s="4" t="s">
        <v>1127</v>
      </c>
      <c r="I1896" s="10">
        <v>42</v>
      </c>
      <c r="J1896" s="34">
        <f t="shared" si="116"/>
        <v>0.36539999999999995</v>
      </c>
      <c r="K1896" s="34">
        <f t="shared" si="117"/>
        <v>0.55000000000000004</v>
      </c>
      <c r="L1896" s="34">
        <f t="shared" si="118"/>
        <v>2.2000000000000002</v>
      </c>
      <c r="M1896" s="11" t="s">
        <v>4945</v>
      </c>
      <c r="N1896" s="11" t="s">
        <v>4597</v>
      </c>
      <c r="O1896" s="11" t="s">
        <v>3892</v>
      </c>
      <c r="P1896" s="11" t="s">
        <v>4598</v>
      </c>
      <c r="Q1896" s="12">
        <v>69.596000000000004</v>
      </c>
      <c r="R1896" s="12">
        <v>74.676000000000002</v>
      </c>
      <c r="S1896" s="12">
        <v>2.54</v>
      </c>
      <c r="T1896" s="13">
        <v>1.66</v>
      </c>
      <c r="U1896" s="13">
        <f t="shared" si="119"/>
        <v>-0.54000000000000026</v>
      </c>
      <c r="V1896" s="14">
        <v>203.35</v>
      </c>
      <c r="W1896" s="14">
        <v>203.35</v>
      </c>
      <c r="X1896" s="11">
        <v>237</v>
      </c>
      <c r="Y1896" s="15" t="s">
        <v>3737</v>
      </c>
      <c r="Z1896" s="16">
        <v>161.35</v>
      </c>
      <c r="AA1896" s="17">
        <v>384.2</v>
      </c>
      <c r="AB1896" s="18" t="s">
        <v>4946</v>
      </c>
    </row>
    <row r="1897" spans="1:28" x14ac:dyDescent="0.45">
      <c r="A1897" s="2" t="s">
        <v>2495</v>
      </c>
      <c r="B1897" s="2" t="s">
        <v>6989</v>
      </c>
      <c r="C1897" s="2" t="s">
        <v>2137</v>
      </c>
      <c r="D1897" s="2" t="s">
        <v>2138</v>
      </c>
      <c r="E1897" s="2" t="s">
        <v>2139</v>
      </c>
      <c r="F1897" s="3">
        <v>69.22</v>
      </c>
      <c r="G1897" s="3">
        <v>79.88</v>
      </c>
      <c r="H1897" s="2" t="s">
        <v>1201</v>
      </c>
      <c r="I1897" s="19">
        <v>158</v>
      </c>
      <c r="J1897" s="34">
        <f t="shared" si="116"/>
        <v>1.3745999999999998</v>
      </c>
      <c r="K1897" s="34">
        <f t="shared" si="117"/>
        <v>2.06</v>
      </c>
      <c r="L1897" s="34">
        <f t="shared" si="118"/>
        <v>8.24</v>
      </c>
      <c r="M1897" s="20" t="s">
        <v>4947</v>
      </c>
      <c r="N1897" s="20" t="s">
        <v>4597</v>
      </c>
      <c r="O1897" s="20" t="s">
        <v>3892</v>
      </c>
      <c r="P1897" s="20" t="s">
        <v>4598</v>
      </c>
      <c r="Q1897" s="21">
        <v>69.341999999999999</v>
      </c>
      <c r="R1897" s="21">
        <v>80.010000000000005</v>
      </c>
      <c r="S1897" s="21">
        <v>5.3339999999999996</v>
      </c>
      <c r="T1897" s="22">
        <v>3.02</v>
      </c>
      <c r="U1897" s="13">
        <f t="shared" si="119"/>
        <v>-5.2200000000000006</v>
      </c>
      <c r="V1897" s="23">
        <v>369.95</v>
      </c>
      <c r="W1897" s="23">
        <v>369.95</v>
      </c>
      <c r="X1897" s="20">
        <v>34</v>
      </c>
      <c r="Y1897" s="24" t="s">
        <v>3737</v>
      </c>
      <c r="Z1897" s="16">
        <v>211.95</v>
      </c>
      <c r="AA1897" s="17">
        <v>134.1</v>
      </c>
      <c r="AB1897" s="25" t="s">
        <v>4016</v>
      </c>
    </row>
    <row r="1898" spans="1:28" x14ac:dyDescent="0.45">
      <c r="A1898" s="4" t="s">
        <v>2496</v>
      </c>
      <c r="B1898" s="4" t="s">
        <v>6990</v>
      </c>
      <c r="C1898" s="4" t="s">
        <v>2137</v>
      </c>
      <c r="D1898" s="4" t="s">
        <v>2138</v>
      </c>
      <c r="E1898" s="4" t="s">
        <v>2139</v>
      </c>
      <c r="F1898" s="5">
        <v>69.2</v>
      </c>
      <c r="G1898" s="5">
        <v>80.600000000000009</v>
      </c>
      <c r="H1898" s="4" t="s">
        <v>1297</v>
      </c>
      <c r="I1898" s="10">
        <v>315</v>
      </c>
      <c r="J1898" s="34">
        <f t="shared" si="116"/>
        <v>2.7404999999999999</v>
      </c>
      <c r="K1898" s="34">
        <f t="shared" si="117"/>
        <v>4.1100000000000003</v>
      </c>
      <c r="L1898" s="34">
        <f t="shared" si="118"/>
        <v>16.440000000000001</v>
      </c>
      <c r="M1898" s="11" t="s">
        <v>4944</v>
      </c>
      <c r="N1898" s="11" t="s">
        <v>4597</v>
      </c>
      <c r="O1898" s="11" t="s">
        <v>3892</v>
      </c>
      <c r="P1898" s="11" t="s">
        <v>4598</v>
      </c>
      <c r="Q1898" s="12">
        <v>69.3</v>
      </c>
      <c r="R1898" s="12">
        <v>80.7</v>
      </c>
      <c r="S1898" s="12">
        <v>5.7</v>
      </c>
      <c r="T1898" s="13">
        <v>9.32</v>
      </c>
      <c r="U1898" s="13">
        <f t="shared" si="119"/>
        <v>-7.120000000000001</v>
      </c>
      <c r="V1898" s="14">
        <v>1141.7</v>
      </c>
      <c r="W1898" s="14">
        <v>1141.7</v>
      </c>
      <c r="X1898" s="11">
        <v>21</v>
      </c>
      <c r="Y1898" s="15" t="s">
        <v>3713</v>
      </c>
      <c r="Z1898" s="16">
        <v>826.7</v>
      </c>
      <c r="AA1898" s="17">
        <v>262.39999999999998</v>
      </c>
      <c r="AB1898" s="18" t="s">
        <v>4119</v>
      </c>
    </row>
    <row r="1899" spans="1:28" x14ac:dyDescent="0.45">
      <c r="A1899" s="2" t="s">
        <v>2497</v>
      </c>
      <c r="B1899" s="2" t="s">
        <v>6991</v>
      </c>
      <c r="C1899" s="2" t="s">
        <v>2137</v>
      </c>
      <c r="D1899" s="2" t="s">
        <v>2138</v>
      </c>
      <c r="E1899" s="2" t="s">
        <v>2139</v>
      </c>
      <c r="F1899" s="3">
        <v>69.44</v>
      </c>
      <c r="G1899" s="3">
        <v>76.5</v>
      </c>
      <c r="H1899" s="2" t="s">
        <v>1156</v>
      </c>
      <c r="I1899" s="19">
        <v>79</v>
      </c>
      <c r="J1899" s="34">
        <f t="shared" si="116"/>
        <v>0.68729999999999991</v>
      </c>
      <c r="K1899" s="34">
        <f t="shared" si="117"/>
        <v>1.03</v>
      </c>
      <c r="L1899" s="34">
        <f t="shared" si="118"/>
        <v>4.12</v>
      </c>
      <c r="M1899" s="20" t="s">
        <v>4948</v>
      </c>
      <c r="N1899" s="20" t="s">
        <v>4597</v>
      </c>
      <c r="O1899" s="20" t="s">
        <v>3892</v>
      </c>
      <c r="P1899" s="20" t="s">
        <v>4598</v>
      </c>
      <c r="Q1899" s="21">
        <v>69.341999999999999</v>
      </c>
      <c r="R1899" s="21">
        <v>76.453999999999994</v>
      </c>
      <c r="S1899" s="21">
        <v>3.556</v>
      </c>
      <c r="T1899" s="22">
        <v>3.23</v>
      </c>
      <c r="U1899" s="13">
        <f t="shared" si="119"/>
        <v>-0.89000000000000012</v>
      </c>
      <c r="V1899" s="23">
        <v>395.68</v>
      </c>
      <c r="W1899" s="23">
        <v>395.68</v>
      </c>
      <c r="X1899" s="20">
        <v>176</v>
      </c>
      <c r="Y1899" s="24" t="s">
        <v>3737</v>
      </c>
      <c r="Z1899" s="16">
        <v>316.68</v>
      </c>
      <c r="AA1899" s="17">
        <v>400.9</v>
      </c>
      <c r="AB1899" s="25" t="s">
        <v>3963</v>
      </c>
    </row>
    <row r="1900" spans="1:28" x14ac:dyDescent="0.45">
      <c r="A1900" s="4" t="s">
        <v>2498</v>
      </c>
      <c r="B1900" s="4" t="s">
        <v>6992</v>
      </c>
      <c r="C1900" s="4" t="s">
        <v>2137</v>
      </c>
      <c r="D1900" s="4" t="s">
        <v>2138</v>
      </c>
      <c r="E1900" s="4" t="s">
        <v>2139</v>
      </c>
      <c r="F1900" s="5">
        <v>69.400000000000006</v>
      </c>
      <c r="G1900" s="5">
        <v>75.600000000000009</v>
      </c>
      <c r="H1900" s="4" t="s">
        <v>1221</v>
      </c>
      <c r="I1900" s="10">
        <v>79</v>
      </c>
      <c r="J1900" s="34">
        <f t="shared" si="116"/>
        <v>0.68729999999999991</v>
      </c>
      <c r="K1900" s="34">
        <f t="shared" si="117"/>
        <v>1.03</v>
      </c>
      <c r="L1900" s="34">
        <f t="shared" si="118"/>
        <v>4.12</v>
      </c>
      <c r="M1900" s="11" t="s">
        <v>4949</v>
      </c>
      <c r="N1900" s="11" t="s">
        <v>4597</v>
      </c>
      <c r="O1900" s="11" t="s">
        <v>3892</v>
      </c>
      <c r="P1900" s="11" t="s">
        <v>4598</v>
      </c>
      <c r="Q1900" s="12">
        <v>69.5</v>
      </c>
      <c r="R1900" s="12">
        <v>75.5</v>
      </c>
      <c r="S1900" s="12">
        <v>3</v>
      </c>
      <c r="T1900" s="13">
        <v>3.42</v>
      </c>
      <c r="U1900" s="13">
        <f t="shared" si="119"/>
        <v>-0.70000000000000018</v>
      </c>
      <c r="V1900" s="14">
        <v>418.95</v>
      </c>
      <c r="W1900" s="14">
        <v>418.95</v>
      </c>
      <c r="X1900" s="11">
        <v>20</v>
      </c>
      <c r="Y1900" s="15" t="s">
        <v>3713</v>
      </c>
      <c r="Z1900" s="16">
        <v>339.95</v>
      </c>
      <c r="AA1900" s="17">
        <v>430.3</v>
      </c>
      <c r="AB1900" s="18" t="s">
        <v>4119</v>
      </c>
    </row>
    <row r="1901" spans="1:28" x14ac:dyDescent="0.45">
      <c r="A1901" s="2" t="s">
        <v>2499</v>
      </c>
      <c r="B1901" s="2" t="s">
        <v>6993</v>
      </c>
      <c r="C1901" s="2" t="s">
        <v>2137</v>
      </c>
      <c r="D1901" s="2" t="s">
        <v>2138</v>
      </c>
      <c r="E1901" s="2" t="s">
        <v>2139</v>
      </c>
      <c r="F1901" s="3">
        <v>70</v>
      </c>
      <c r="G1901" s="3">
        <v>74</v>
      </c>
      <c r="H1901" s="2" t="s">
        <v>1122</v>
      </c>
      <c r="I1901" s="19">
        <v>39</v>
      </c>
      <c r="J1901" s="34">
        <f t="shared" si="116"/>
        <v>0.33929999999999999</v>
      </c>
      <c r="K1901" s="34">
        <f t="shared" si="117"/>
        <v>0.51</v>
      </c>
      <c r="L1901" s="34">
        <f t="shared" si="118"/>
        <v>2.04</v>
      </c>
      <c r="M1901" s="20" t="s">
        <v>4950</v>
      </c>
      <c r="N1901" s="20" t="s">
        <v>4597</v>
      </c>
      <c r="O1901" s="20" t="s">
        <v>3892</v>
      </c>
      <c r="P1901" s="20" t="s">
        <v>4598</v>
      </c>
      <c r="Q1901" s="21">
        <v>70</v>
      </c>
      <c r="R1901" s="21">
        <v>74</v>
      </c>
      <c r="S1901" s="21">
        <v>2</v>
      </c>
      <c r="T1901" s="22">
        <v>1.72</v>
      </c>
      <c r="U1901" s="13">
        <f t="shared" si="119"/>
        <v>-0.32000000000000006</v>
      </c>
      <c r="V1901" s="23">
        <v>210.7</v>
      </c>
      <c r="W1901" s="23">
        <v>210.7</v>
      </c>
      <c r="X1901" s="20" t="s">
        <v>3722</v>
      </c>
      <c r="Y1901" s="24" t="s">
        <v>3713</v>
      </c>
      <c r="Z1901" s="16">
        <v>171.7</v>
      </c>
      <c r="AA1901" s="17">
        <v>440.3</v>
      </c>
      <c r="AB1901" s="25" t="s">
        <v>3714</v>
      </c>
    </row>
    <row r="1902" spans="1:28" x14ac:dyDescent="0.45">
      <c r="A1902" s="4" t="s">
        <v>2500</v>
      </c>
      <c r="B1902" s="4" t="s">
        <v>6994</v>
      </c>
      <c r="C1902" s="4" t="s">
        <v>2137</v>
      </c>
      <c r="D1902" s="4" t="s">
        <v>2138</v>
      </c>
      <c r="E1902" s="4" t="s">
        <v>2139</v>
      </c>
      <c r="F1902" s="5">
        <v>70</v>
      </c>
      <c r="G1902" s="5">
        <v>75</v>
      </c>
      <c r="H1902" s="4" t="s">
        <v>1135</v>
      </c>
      <c r="I1902" s="10">
        <v>44</v>
      </c>
      <c r="J1902" s="34">
        <f t="shared" si="116"/>
        <v>0.38279999999999997</v>
      </c>
      <c r="K1902" s="34">
        <f t="shared" si="117"/>
        <v>0.56999999999999995</v>
      </c>
      <c r="L1902" s="34">
        <f t="shared" si="118"/>
        <v>2.2799999999999998</v>
      </c>
      <c r="M1902" s="11" t="s">
        <v>4949</v>
      </c>
      <c r="N1902" s="11" t="s">
        <v>4597</v>
      </c>
      <c r="O1902" s="11" t="s">
        <v>3892</v>
      </c>
      <c r="P1902" s="11" t="s">
        <v>4598</v>
      </c>
      <c r="Q1902" s="12">
        <v>69.5</v>
      </c>
      <c r="R1902" s="12">
        <v>75.5</v>
      </c>
      <c r="S1902" s="12">
        <v>3</v>
      </c>
      <c r="T1902" s="13">
        <v>3.42</v>
      </c>
      <c r="U1902" s="13">
        <f t="shared" si="119"/>
        <v>1.1400000000000001</v>
      </c>
      <c r="V1902" s="14">
        <v>418.95</v>
      </c>
      <c r="W1902" s="14">
        <v>418.95</v>
      </c>
      <c r="X1902" s="11">
        <v>20</v>
      </c>
      <c r="Y1902" s="15" t="s">
        <v>3713</v>
      </c>
      <c r="Z1902" s="16">
        <v>374.95</v>
      </c>
      <c r="AA1902" s="17">
        <v>852.2</v>
      </c>
      <c r="AB1902" s="18" t="s">
        <v>4441</v>
      </c>
    </row>
    <row r="1903" spans="1:28" x14ac:dyDescent="0.45">
      <c r="A1903" s="2" t="s">
        <v>2501</v>
      </c>
      <c r="B1903" s="2" t="s">
        <v>6995</v>
      </c>
      <c r="C1903" s="2" t="s">
        <v>2137</v>
      </c>
      <c r="D1903" s="2" t="s">
        <v>2138</v>
      </c>
      <c r="E1903" s="2" t="s">
        <v>2139</v>
      </c>
      <c r="F1903" s="3">
        <v>70</v>
      </c>
      <c r="G1903" s="3">
        <v>78</v>
      </c>
      <c r="H1903" s="2" t="s">
        <v>1216</v>
      </c>
      <c r="I1903" s="19">
        <v>133</v>
      </c>
      <c r="J1903" s="34">
        <f t="shared" si="116"/>
        <v>1.1571</v>
      </c>
      <c r="K1903" s="34">
        <f t="shared" si="117"/>
        <v>1.74</v>
      </c>
      <c r="L1903" s="34">
        <f t="shared" si="118"/>
        <v>6.96</v>
      </c>
      <c r="M1903" s="20" t="s">
        <v>4951</v>
      </c>
      <c r="N1903" s="20" t="s">
        <v>4597</v>
      </c>
      <c r="O1903" s="20" t="s">
        <v>3892</v>
      </c>
      <c r="P1903" s="20" t="s">
        <v>4598</v>
      </c>
      <c r="Q1903" s="21">
        <v>70</v>
      </c>
      <c r="R1903" s="21">
        <v>78</v>
      </c>
      <c r="S1903" s="21">
        <v>4</v>
      </c>
      <c r="T1903" s="22">
        <v>4.68</v>
      </c>
      <c r="U1903" s="13">
        <f t="shared" si="119"/>
        <v>-2.2800000000000002</v>
      </c>
      <c r="V1903" s="23">
        <v>573.29999999999995</v>
      </c>
      <c r="W1903" s="23">
        <v>573.29999999999995</v>
      </c>
      <c r="X1903" s="20">
        <v>55</v>
      </c>
      <c r="Y1903" s="24" t="s">
        <v>3713</v>
      </c>
      <c r="Z1903" s="16">
        <v>440.3</v>
      </c>
      <c r="AA1903" s="17">
        <v>331.1</v>
      </c>
      <c r="AB1903" s="25" t="s">
        <v>3714</v>
      </c>
    </row>
    <row r="1904" spans="1:28" x14ac:dyDescent="0.45">
      <c r="A1904" s="4" t="s">
        <v>2502</v>
      </c>
      <c r="B1904" s="4" t="s">
        <v>6996</v>
      </c>
      <c r="C1904" s="4" t="s">
        <v>2137</v>
      </c>
      <c r="D1904" s="4" t="s">
        <v>2138</v>
      </c>
      <c r="E1904" s="4" t="s">
        <v>2139</v>
      </c>
      <c r="F1904" s="5">
        <v>70</v>
      </c>
      <c r="G1904" s="5">
        <v>80</v>
      </c>
      <c r="H1904" s="4" t="s">
        <v>1245</v>
      </c>
      <c r="I1904" s="10">
        <v>160</v>
      </c>
      <c r="J1904" s="34">
        <f t="shared" si="116"/>
        <v>1.3919999999999999</v>
      </c>
      <c r="K1904" s="34">
        <f t="shared" si="117"/>
        <v>2.09</v>
      </c>
      <c r="L1904" s="34">
        <f t="shared" si="118"/>
        <v>8.36</v>
      </c>
      <c r="M1904" s="11" t="s">
        <v>4952</v>
      </c>
      <c r="N1904" s="11" t="s">
        <v>4597</v>
      </c>
      <c r="O1904" s="11" t="s">
        <v>3892</v>
      </c>
      <c r="P1904" s="11" t="s">
        <v>4598</v>
      </c>
      <c r="Q1904" s="12">
        <v>70</v>
      </c>
      <c r="R1904" s="12">
        <v>80</v>
      </c>
      <c r="S1904" s="12">
        <v>5</v>
      </c>
      <c r="T1904" s="13">
        <v>6.37</v>
      </c>
      <c r="U1904" s="13">
        <f t="shared" si="119"/>
        <v>-1.9899999999999993</v>
      </c>
      <c r="V1904" s="14">
        <v>780.32</v>
      </c>
      <c r="W1904" s="14">
        <v>780.32</v>
      </c>
      <c r="X1904" s="11">
        <v>16</v>
      </c>
      <c r="Y1904" s="15" t="s">
        <v>3713</v>
      </c>
      <c r="Z1904" s="16">
        <v>620.32000000000005</v>
      </c>
      <c r="AA1904" s="17">
        <v>387.7</v>
      </c>
      <c r="AB1904" s="18" t="s">
        <v>3714</v>
      </c>
    </row>
    <row r="1905" spans="1:28" x14ac:dyDescent="0.45">
      <c r="A1905" s="2" t="s">
        <v>2503</v>
      </c>
      <c r="B1905" s="2" t="s">
        <v>6997</v>
      </c>
      <c r="C1905" s="2" t="s">
        <v>2137</v>
      </c>
      <c r="D1905" s="2" t="s">
        <v>2138</v>
      </c>
      <c r="E1905" s="2" t="s">
        <v>2139</v>
      </c>
      <c r="F1905" s="3">
        <v>71.12</v>
      </c>
      <c r="G1905" s="3">
        <v>76.36</v>
      </c>
      <c r="H1905" s="2" t="s">
        <v>1127</v>
      </c>
      <c r="I1905" s="19">
        <v>44</v>
      </c>
      <c r="J1905" s="34">
        <f t="shared" si="116"/>
        <v>0.38279999999999997</v>
      </c>
      <c r="K1905" s="34">
        <f t="shared" si="117"/>
        <v>0.56999999999999995</v>
      </c>
      <c r="L1905" s="34">
        <f t="shared" si="118"/>
        <v>2.2799999999999998</v>
      </c>
      <c r="M1905" s="20" t="s">
        <v>4953</v>
      </c>
      <c r="N1905" s="20" t="s">
        <v>4597</v>
      </c>
      <c r="O1905" s="20" t="s">
        <v>3892</v>
      </c>
      <c r="P1905" s="20" t="s">
        <v>4598</v>
      </c>
      <c r="Q1905" s="21">
        <v>71.12</v>
      </c>
      <c r="R1905" s="21">
        <v>76.453999999999994</v>
      </c>
      <c r="S1905" s="21">
        <v>2.54</v>
      </c>
      <c r="T1905" s="22">
        <v>1.06</v>
      </c>
      <c r="U1905" s="13">
        <f t="shared" si="119"/>
        <v>-1.2199999999999998</v>
      </c>
      <c r="V1905" s="23">
        <v>129.85</v>
      </c>
      <c r="W1905" s="23">
        <v>129.85</v>
      </c>
      <c r="X1905" s="20">
        <v>33</v>
      </c>
      <c r="Y1905" s="24" t="s">
        <v>3737</v>
      </c>
      <c r="Z1905" s="16">
        <v>85.85</v>
      </c>
      <c r="AA1905" s="17">
        <v>195.1</v>
      </c>
      <c r="AB1905" s="25" t="s">
        <v>4108</v>
      </c>
    </row>
    <row r="1906" spans="1:28" x14ac:dyDescent="0.45">
      <c r="A1906" s="4" t="s">
        <v>2504</v>
      </c>
      <c r="B1906" s="4" t="s">
        <v>6998</v>
      </c>
      <c r="C1906" s="4" t="s">
        <v>2137</v>
      </c>
      <c r="D1906" s="4" t="s">
        <v>2138</v>
      </c>
      <c r="E1906" s="4" t="s">
        <v>2139</v>
      </c>
      <c r="F1906" s="5">
        <v>72.39</v>
      </c>
      <c r="G1906" s="5">
        <v>83.05</v>
      </c>
      <c r="H1906" s="4" t="s">
        <v>1201</v>
      </c>
      <c r="I1906" s="10">
        <v>165</v>
      </c>
      <c r="J1906" s="34">
        <f t="shared" si="116"/>
        <v>1.4355</v>
      </c>
      <c r="K1906" s="34">
        <f t="shared" si="117"/>
        <v>2.15</v>
      </c>
      <c r="L1906" s="34">
        <f t="shared" si="118"/>
        <v>8.6</v>
      </c>
      <c r="M1906" s="11" t="s">
        <v>4954</v>
      </c>
      <c r="N1906" s="11" t="s">
        <v>4597</v>
      </c>
      <c r="O1906" s="11" t="s">
        <v>3892</v>
      </c>
      <c r="P1906" s="11" t="s">
        <v>4598</v>
      </c>
      <c r="Q1906" s="12">
        <v>72.39</v>
      </c>
      <c r="R1906" s="12">
        <v>83.058000000000007</v>
      </c>
      <c r="S1906" s="12">
        <v>5.3339999999999996</v>
      </c>
      <c r="T1906" s="13">
        <v>3.56</v>
      </c>
      <c r="U1906" s="13">
        <f t="shared" si="119"/>
        <v>-5.0399999999999991</v>
      </c>
      <c r="V1906" s="14">
        <v>436.1</v>
      </c>
      <c r="W1906" s="14">
        <v>436.1</v>
      </c>
      <c r="X1906" s="11">
        <v>26</v>
      </c>
      <c r="Y1906" s="15" t="s">
        <v>3737</v>
      </c>
      <c r="Z1906" s="16">
        <v>271.10000000000002</v>
      </c>
      <c r="AA1906" s="17">
        <v>164.3</v>
      </c>
      <c r="AB1906" s="18" t="s">
        <v>4032</v>
      </c>
    </row>
    <row r="1907" spans="1:28" x14ac:dyDescent="0.45">
      <c r="A1907" s="2" t="s">
        <v>2505</v>
      </c>
      <c r="B1907" s="2" t="s">
        <v>6999</v>
      </c>
      <c r="C1907" s="2" t="s">
        <v>2137</v>
      </c>
      <c r="D1907" s="2" t="s">
        <v>2138</v>
      </c>
      <c r="E1907" s="2" t="s">
        <v>2139</v>
      </c>
      <c r="F1907" s="3">
        <v>72.62</v>
      </c>
      <c r="G1907" s="3">
        <v>79.680000000000007</v>
      </c>
      <c r="H1907" s="2" t="s">
        <v>1156</v>
      </c>
      <c r="I1907" s="19">
        <v>84</v>
      </c>
      <c r="J1907" s="34">
        <f t="shared" si="116"/>
        <v>0.73079999999999989</v>
      </c>
      <c r="K1907" s="34">
        <f t="shared" si="117"/>
        <v>1.1000000000000001</v>
      </c>
      <c r="L1907" s="34">
        <f t="shared" si="118"/>
        <v>4.4000000000000004</v>
      </c>
      <c r="M1907" s="20" t="s">
        <v>4955</v>
      </c>
      <c r="N1907" s="20" t="s">
        <v>4597</v>
      </c>
      <c r="O1907" s="20" t="s">
        <v>3892</v>
      </c>
      <c r="P1907" s="20" t="s">
        <v>4598</v>
      </c>
      <c r="Q1907" s="21">
        <v>72.644000000000005</v>
      </c>
      <c r="R1907" s="21">
        <v>79.756</v>
      </c>
      <c r="S1907" s="21">
        <v>3.556</v>
      </c>
      <c r="T1907" s="22">
        <v>4.5999999999999996</v>
      </c>
      <c r="U1907" s="13">
        <f t="shared" si="119"/>
        <v>0.19999999999999929</v>
      </c>
      <c r="V1907" s="23">
        <v>563.5</v>
      </c>
      <c r="W1907" s="23">
        <v>563.5</v>
      </c>
      <c r="X1907" s="20">
        <v>43</v>
      </c>
      <c r="Y1907" s="24" t="s">
        <v>3737</v>
      </c>
      <c r="Z1907" s="16">
        <v>479.5</v>
      </c>
      <c r="AA1907" s="17">
        <v>570.79999999999995</v>
      </c>
      <c r="AB1907" s="25" t="s">
        <v>3945</v>
      </c>
    </row>
    <row r="1908" spans="1:28" x14ac:dyDescent="0.45">
      <c r="A1908" s="4" t="s">
        <v>2506</v>
      </c>
      <c r="B1908" s="4" t="s">
        <v>7000</v>
      </c>
      <c r="C1908" s="4" t="s">
        <v>2137</v>
      </c>
      <c r="D1908" s="4" t="s">
        <v>2138</v>
      </c>
      <c r="E1908" s="4" t="s">
        <v>2139</v>
      </c>
      <c r="F1908" s="5">
        <v>72.69</v>
      </c>
      <c r="G1908" s="5">
        <v>77.929999999999993</v>
      </c>
      <c r="H1908" s="4" t="s">
        <v>1127</v>
      </c>
      <c r="I1908" s="10">
        <v>45</v>
      </c>
      <c r="J1908" s="34">
        <f t="shared" si="116"/>
        <v>0.39149999999999996</v>
      </c>
      <c r="K1908" s="34">
        <f t="shared" si="117"/>
        <v>0.59</v>
      </c>
      <c r="L1908" s="34">
        <f t="shared" si="118"/>
        <v>2.36</v>
      </c>
      <c r="M1908" s="11" t="s">
        <v>4956</v>
      </c>
      <c r="N1908" s="11" t="s">
        <v>4597</v>
      </c>
      <c r="O1908" s="11" t="s">
        <v>3892</v>
      </c>
      <c r="P1908" s="11" t="s">
        <v>4598</v>
      </c>
      <c r="Q1908" s="12">
        <v>72.644000000000005</v>
      </c>
      <c r="R1908" s="12">
        <v>77.977999999999994</v>
      </c>
      <c r="S1908" s="12">
        <v>2.54</v>
      </c>
      <c r="T1908" s="13">
        <v>1.79</v>
      </c>
      <c r="U1908" s="13">
        <f t="shared" si="119"/>
        <v>-0.56999999999999984</v>
      </c>
      <c r="V1908" s="14">
        <v>219.28</v>
      </c>
      <c r="W1908" s="14">
        <v>219.28</v>
      </c>
      <c r="X1908" s="11">
        <v>92</v>
      </c>
      <c r="Y1908" s="15" t="s">
        <v>3737</v>
      </c>
      <c r="Z1908" s="16">
        <v>174.28</v>
      </c>
      <c r="AA1908" s="17">
        <v>387.3</v>
      </c>
      <c r="AB1908" s="18" t="s">
        <v>3920</v>
      </c>
    </row>
    <row r="1909" spans="1:28" x14ac:dyDescent="0.45">
      <c r="A1909" s="2" t="s">
        <v>2507</v>
      </c>
      <c r="B1909" s="2" t="s">
        <v>7001</v>
      </c>
      <c r="C1909" s="2" t="s">
        <v>2137</v>
      </c>
      <c r="D1909" s="2" t="s">
        <v>2138</v>
      </c>
      <c r="E1909" s="2" t="s">
        <v>2139</v>
      </c>
      <c r="F1909" s="3">
        <v>72</v>
      </c>
      <c r="G1909" s="3">
        <v>78</v>
      </c>
      <c r="H1909" s="2" t="s">
        <v>1149</v>
      </c>
      <c r="I1909" s="19">
        <v>82</v>
      </c>
      <c r="J1909" s="34">
        <f t="shared" si="116"/>
        <v>0.71339999999999992</v>
      </c>
      <c r="K1909" s="34">
        <f t="shared" si="117"/>
        <v>1.07</v>
      </c>
      <c r="L1909" s="34">
        <f t="shared" si="118"/>
        <v>4.28</v>
      </c>
      <c r="M1909" s="20" t="s">
        <v>4957</v>
      </c>
      <c r="N1909" s="20" t="s">
        <v>4597</v>
      </c>
      <c r="O1909" s="20" t="s">
        <v>3892</v>
      </c>
      <c r="P1909" s="20" t="s">
        <v>4598</v>
      </c>
      <c r="Q1909" s="21">
        <v>72</v>
      </c>
      <c r="R1909" s="21">
        <v>78</v>
      </c>
      <c r="S1909" s="21">
        <v>3</v>
      </c>
      <c r="T1909" s="22">
        <v>1.85</v>
      </c>
      <c r="U1909" s="13">
        <f t="shared" si="119"/>
        <v>-2.4300000000000002</v>
      </c>
      <c r="V1909" s="23">
        <v>226.62</v>
      </c>
      <c r="W1909" s="23">
        <v>226.62</v>
      </c>
      <c r="X1909" s="20">
        <v>67</v>
      </c>
      <c r="Y1909" s="24" t="s">
        <v>3713</v>
      </c>
      <c r="Z1909" s="16">
        <v>144.62</v>
      </c>
      <c r="AA1909" s="17">
        <v>176.4</v>
      </c>
      <c r="AB1909" s="25" t="s">
        <v>3714</v>
      </c>
    </row>
    <row r="1910" spans="1:28" x14ac:dyDescent="0.45">
      <c r="A1910" s="4" t="s">
        <v>2508</v>
      </c>
      <c r="B1910" s="4" t="s">
        <v>7002</v>
      </c>
      <c r="C1910" s="4" t="s">
        <v>2137</v>
      </c>
      <c r="D1910" s="4" t="s">
        <v>2138</v>
      </c>
      <c r="E1910" s="4" t="s">
        <v>2139</v>
      </c>
      <c r="F1910" s="5">
        <v>72</v>
      </c>
      <c r="G1910" s="5">
        <v>80</v>
      </c>
      <c r="H1910" s="4" t="s">
        <v>1216</v>
      </c>
      <c r="I1910" s="10">
        <v>136</v>
      </c>
      <c r="J1910" s="34">
        <f t="shared" si="116"/>
        <v>1.1831999999999998</v>
      </c>
      <c r="K1910" s="34">
        <f t="shared" si="117"/>
        <v>1.77</v>
      </c>
      <c r="L1910" s="34">
        <f t="shared" si="118"/>
        <v>7.08</v>
      </c>
      <c r="M1910" s="11" t="s">
        <v>4958</v>
      </c>
      <c r="N1910" s="11" t="s">
        <v>4597</v>
      </c>
      <c r="O1910" s="11" t="s">
        <v>3892</v>
      </c>
      <c r="P1910" s="11" t="s">
        <v>4598</v>
      </c>
      <c r="Q1910" s="12">
        <v>72</v>
      </c>
      <c r="R1910" s="12">
        <v>80</v>
      </c>
      <c r="S1910" s="12">
        <v>4</v>
      </c>
      <c r="T1910" s="13">
        <v>2.59</v>
      </c>
      <c r="U1910" s="13">
        <f t="shared" si="119"/>
        <v>-4.49</v>
      </c>
      <c r="V1910" s="14">
        <v>317.27</v>
      </c>
      <c r="W1910" s="14">
        <v>317.27</v>
      </c>
      <c r="X1910" s="11">
        <v>31</v>
      </c>
      <c r="Y1910" s="15" t="s">
        <v>3713</v>
      </c>
      <c r="Z1910" s="16">
        <v>181.27</v>
      </c>
      <c r="AA1910" s="17">
        <v>133.30000000000001</v>
      </c>
      <c r="AB1910" s="18" t="s">
        <v>3714</v>
      </c>
    </row>
    <row r="1911" spans="1:28" x14ac:dyDescent="0.45">
      <c r="A1911" s="2" t="s">
        <v>2509</v>
      </c>
      <c r="B1911" s="2" t="s">
        <v>7003</v>
      </c>
      <c r="C1911" s="2" t="s">
        <v>2137</v>
      </c>
      <c r="D1911" s="2" t="s">
        <v>2138</v>
      </c>
      <c r="E1911" s="2" t="s">
        <v>2139</v>
      </c>
      <c r="F1911" s="3">
        <v>73</v>
      </c>
      <c r="G1911" s="3">
        <v>79</v>
      </c>
      <c r="H1911" s="2" t="s">
        <v>1149</v>
      </c>
      <c r="I1911" s="19">
        <v>84</v>
      </c>
      <c r="J1911" s="34">
        <f t="shared" si="116"/>
        <v>0.73079999999999989</v>
      </c>
      <c r="K1911" s="34">
        <f t="shared" si="117"/>
        <v>1.1000000000000001</v>
      </c>
      <c r="L1911" s="34">
        <f t="shared" si="118"/>
        <v>4.4000000000000004</v>
      </c>
      <c r="M1911" s="20" t="s">
        <v>4959</v>
      </c>
      <c r="N1911" s="20" t="s">
        <v>4597</v>
      </c>
      <c r="O1911" s="20" t="s">
        <v>3892</v>
      </c>
      <c r="P1911" s="20" t="s">
        <v>4598</v>
      </c>
      <c r="Q1911" s="21">
        <v>73</v>
      </c>
      <c r="R1911" s="21">
        <v>79</v>
      </c>
      <c r="S1911" s="21">
        <v>3</v>
      </c>
      <c r="T1911" s="22">
        <v>1.88</v>
      </c>
      <c r="U1911" s="13">
        <f t="shared" si="119"/>
        <v>-2.5200000000000005</v>
      </c>
      <c r="V1911" s="23">
        <v>230.3</v>
      </c>
      <c r="W1911" s="23">
        <v>230.3</v>
      </c>
      <c r="X1911" s="20">
        <v>22</v>
      </c>
      <c r="Y1911" s="24" t="s">
        <v>3713</v>
      </c>
      <c r="Z1911" s="16">
        <v>146.30000000000001</v>
      </c>
      <c r="AA1911" s="17">
        <v>174.2</v>
      </c>
      <c r="AB1911" s="25" t="s">
        <v>3714</v>
      </c>
    </row>
    <row r="1912" spans="1:28" x14ac:dyDescent="0.45">
      <c r="A1912" s="4" t="s">
        <v>2510</v>
      </c>
      <c r="B1912" s="4" t="s">
        <v>7004</v>
      </c>
      <c r="C1912" s="4" t="s">
        <v>2137</v>
      </c>
      <c r="D1912" s="4" t="s">
        <v>2138</v>
      </c>
      <c r="E1912" s="4" t="s">
        <v>2139</v>
      </c>
      <c r="F1912" s="5">
        <v>74.2</v>
      </c>
      <c r="G1912" s="5">
        <v>85.600000000000009</v>
      </c>
      <c r="H1912" s="4" t="s">
        <v>1297</v>
      </c>
      <c r="I1912" s="10">
        <v>338</v>
      </c>
      <c r="J1912" s="34">
        <f t="shared" si="116"/>
        <v>2.9405999999999999</v>
      </c>
      <c r="K1912" s="34">
        <f t="shared" si="117"/>
        <v>4.41</v>
      </c>
      <c r="L1912" s="34">
        <f t="shared" si="118"/>
        <v>17.64</v>
      </c>
      <c r="M1912" s="11" t="s">
        <v>4960</v>
      </c>
      <c r="N1912" s="11" t="s">
        <v>4597</v>
      </c>
      <c r="O1912" s="11" t="s">
        <v>3892</v>
      </c>
      <c r="P1912" s="11" t="s">
        <v>4598</v>
      </c>
      <c r="Q1912" s="12">
        <v>74.3</v>
      </c>
      <c r="R1912" s="12">
        <v>85.7</v>
      </c>
      <c r="S1912" s="12">
        <v>5.7</v>
      </c>
      <c r="T1912" s="13">
        <v>10.34</v>
      </c>
      <c r="U1912" s="13">
        <f t="shared" si="119"/>
        <v>-7.3000000000000007</v>
      </c>
      <c r="V1912" s="14">
        <v>1266.6500000000001</v>
      </c>
      <c r="W1912" s="14">
        <v>1266.6500000000001</v>
      </c>
      <c r="X1912" s="11">
        <v>140</v>
      </c>
      <c r="Y1912" s="15" t="s">
        <v>3713</v>
      </c>
      <c r="Z1912" s="16">
        <v>928.65000000000009</v>
      </c>
      <c r="AA1912" s="17">
        <v>274.7</v>
      </c>
      <c r="AB1912" s="18" t="s">
        <v>4119</v>
      </c>
    </row>
    <row r="1913" spans="1:28" x14ac:dyDescent="0.45">
      <c r="A1913" s="2" t="s">
        <v>2511</v>
      </c>
      <c r="B1913" s="2" t="s">
        <v>7005</v>
      </c>
      <c r="C1913" s="2" t="s">
        <v>2137</v>
      </c>
      <c r="D1913" s="2" t="s">
        <v>2138</v>
      </c>
      <c r="E1913" s="2" t="s">
        <v>2139</v>
      </c>
      <c r="F1913" s="3">
        <v>74.400000000000006</v>
      </c>
      <c r="G1913" s="3">
        <v>80.600000000000009</v>
      </c>
      <c r="H1913" s="2" t="s">
        <v>1221</v>
      </c>
      <c r="I1913" s="19">
        <v>86</v>
      </c>
      <c r="J1913" s="34">
        <f t="shared" si="116"/>
        <v>0.74819999999999998</v>
      </c>
      <c r="K1913" s="34">
        <f t="shared" si="117"/>
        <v>1.1200000000000001</v>
      </c>
      <c r="L1913" s="34">
        <f t="shared" si="118"/>
        <v>4.4800000000000004</v>
      </c>
      <c r="M1913" s="20" t="s">
        <v>4961</v>
      </c>
      <c r="N1913" s="20" t="s">
        <v>4597</v>
      </c>
      <c r="O1913" s="20" t="s">
        <v>3892</v>
      </c>
      <c r="P1913" s="20" t="s">
        <v>4598</v>
      </c>
      <c r="Q1913" s="21">
        <v>74.5</v>
      </c>
      <c r="R1913" s="21">
        <v>80.5</v>
      </c>
      <c r="S1913" s="21">
        <v>3</v>
      </c>
      <c r="T1913" s="22">
        <v>2.85</v>
      </c>
      <c r="U1913" s="13">
        <f t="shared" si="119"/>
        <v>-1.6300000000000003</v>
      </c>
      <c r="V1913" s="23">
        <v>349.12</v>
      </c>
      <c r="W1913" s="23">
        <v>349.12</v>
      </c>
      <c r="X1913" s="20">
        <v>621</v>
      </c>
      <c r="Y1913" s="24" t="s">
        <v>3713</v>
      </c>
      <c r="Z1913" s="16">
        <v>263.12</v>
      </c>
      <c r="AA1913" s="17">
        <v>306</v>
      </c>
      <c r="AB1913" s="25" t="s">
        <v>4119</v>
      </c>
    </row>
    <row r="1914" spans="1:28" x14ac:dyDescent="0.45">
      <c r="A1914" s="4" t="s">
        <v>2512</v>
      </c>
      <c r="B1914" s="4" t="s">
        <v>7006</v>
      </c>
      <c r="C1914" s="4" t="s">
        <v>2137</v>
      </c>
      <c r="D1914" s="4" t="s">
        <v>2138</v>
      </c>
      <c r="E1914" s="4" t="s">
        <v>2139</v>
      </c>
      <c r="F1914" s="5">
        <v>74</v>
      </c>
      <c r="G1914" s="5">
        <v>82</v>
      </c>
      <c r="H1914" s="4" t="s">
        <v>1216</v>
      </c>
      <c r="I1914" s="10">
        <v>141</v>
      </c>
      <c r="J1914" s="34">
        <f t="shared" si="116"/>
        <v>1.2266999999999999</v>
      </c>
      <c r="K1914" s="34">
        <f t="shared" si="117"/>
        <v>1.84</v>
      </c>
      <c r="L1914" s="34">
        <f t="shared" si="118"/>
        <v>7.36</v>
      </c>
      <c r="M1914" s="11" t="s">
        <v>4962</v>
      </c>
      <c r="N1914" s="11" t="s">
        <v>4597</v>
      </c>
      <c r="O1914" s="11" t="s">
        <v>3892</v>
      </c>
      <c r="P1914" s="11" t="s">
        <v>4598</v>
      </c>
      <c r="Q1914" s="12">
        <v>74.676000000000002</v>
      </c>
      <c r="R1914" s="12">
        <v>81.534000000000006</v>
      </c>
      <c r="S1914" s="12">
        <v>3.556</v>
      </c>
      <c r="T1914" s="13">
        <v>2.6</v>
      </c>
      <c r="U1914" s="13">
        <f t="shared" si="119"/>
        <v>-4.76</v>
      </c>
      <c r="V1914" s="14">
        <v>318.5</v>
      </c>
      <c r="W1914" s="14">
        <v>318.5</v>
      </c>
      <c r="X1914" s="11">
        <v>142</v>
      </c>
      <c r="Y1914" s="15" t="s">
        <v>3737</v>
      </c>
      <c r="Z1914" s="16">
        <v>177.5</v>
      </c>
      <c r="AA1914" s="17">
        <v>125.9</v>
      </c>
      <c r="AB1914" s="18" t="s">
        <v>4963</v>
      </c>
    </row>
    <row r="1915" spans="1:28" x14ac:dyDescent="0.45">
      <c r="A1915" s="2" t="s">
        <v>2513</v>
      </c>
      <c r="B1915" s="2" t="s">
        <v>7007</v>
      </c>
      <c r="C1915" s="2" t="s">
        <v>2137</v>
      </c>
      <c r="D1915" s="2" t="s">
        <v>2138</v>
      </c>
      <c r="E1915" s="2" t="s">
        <v>2139</v>
      </c>
      <c r="F1915" s="3">
        <v>75.569999999999993</v>
      </c>
      <c r="G1915" s="3">
        <v>86.22999999999999</v>
      </c>
      <c r="H1915" s="2" t="s">
        <v>1201</v>
      </c>
      <c r="I1915" s="19">
        <v>173</v>
      </c>
      <c r="J1915" s="34">
        <f t="shared" si="116"/>
        <v>1.5050999999999999</v>
      </c>
      <c r="K1915" s="34">
        <f t="shared" si="117"/>
        <v>2.2599999999999998</v>
      </c>
      <c r="L1915" s="34">
        <f t="shared" si="118"/>
        <v>9.0399999999999991</v>
      </c>
      <c r="M1915" s="20" t="s">
        <v>4964</v>
      </c>
      <c r="N1915" s="20" t="s">
        <v>4597</v>
      </c>
      <c r="O1915" s="20" t="s">
        <v>3892</v>
      </c>
      <c r="P1915" s="20" t="s">
        <v>4598</v>
      </c>
      <c r="Q1915" s="21">
        <v>75.691999999999993</v>
      </c>
      <c r="R1915" s="21">
        <v>86.36</v>
      </c>
      <c r="S1915" s="21">
        <v>5.3339999999999996</v>
      </c>
      <c r="T1915" s="22">
        <v>5.96</v>
      </c>
      <c r="U1915" s="13">
        <f t="shared" si="119"/>
        <v>-3.0799999999999992</v>
      </c>
      <c r="V1915" s="23">
        <v>730.1</v>
      </c>
      <c r="W1915" s="23">
        <v>730.1</v>
      </c>
      <c r="X1915" s="20">
        <v>12</v>
      </c>
      <c r="Y1915" s="24" t="s">
        <v>3737</v>
      </c>
      <c r="Z1915" s="16">
        <v>557.1</v>
      </c>
      <c r="AA1915" s="17">
        <v>322</v>
      </c>
      <c r="AB1915" s="25" t="s">
        <v>4016</v>
      </c>
    </row>
    <row r="1916" spans="1:28" x14ac:dyDescent="0.45">
      <c r="A1916" s="4" t="s">
        <v>2514</v>
      </c>
      <c r="B1916" s="4" t="s">
        <v>7008</v>
      </c>
      <c r="C1916" s="4" t="s">
        <v>2137</v>
      </c>
      <c r="D1916" s="4" t="s">
        <v>2138</v>
      </c>
      <c r="E1916" s="4" t="s">
        <v>2139</v>
      </c>
      <c r="F1916" s="5">
        <v>75.790000000000006</v>
      </c>
      <c r="G1916" s="5">
        <v>82.850000000000009</v>
      </c>
      <c r="H1916" s="4" t="s">
        <v>1156</v>
      </c>
      <c r="I1916" s="10">
        <v>87</v>
      </c>
      <c r="J1916" s="34">
        <f t="shared" si="116"/>
        <v>0.75689999999999991</v>
      </c>
      <c r="K1916" s="34">
        <f t="shared" si="117"/>
        <v>1.1399999999999999</v>
      </c>
      <c r="L1916" s="34">
        <f t="shared" si="118"/>
        <v>4.5599999999999996</v>
      </c>
      <c r="M1916" s="11" t="s">
        <v>4965</v>
      </c>
      <c r="N1916" s="11" t="s">
        <v>4597</v>
      </c>
      <c r="O1916" s="11" t="s">
        <v>3892</v>
      </c>
      <c r="P1916" s="11" t="s">
        <v>4598</v>
      </c>
      <c r="Q1916" s="12">
        <v>75.691999999999993</v>
      </c>
      <c r="R1916" s="12">
        <v>82.804000000000002</v>
      </c>
      <c r="S1916" s="12">
        <v>3.556</v>
      </c>
      <c r="T1916" s="13">
        <v>4.7699999999999996</v>
      </c>
      <c r="U1916" s="13">
        <f t="shared" si="119"/>
        <v>0.20999999999999996</v>
      </c>
      <c r="V1916" s="14">
        <v>584.32000000000005</v>
      </c>
      <c r="W1916" s="14">
        <v>584.32000000000005</v>
      </c>
      <c r="X1916" s="11">
        <v>127</v>
      </c>
      <c r="Y1916" s="15" t="s">
        <v>3737</v>
      </c>
      <c r="Z1916" s="16">
        <v>497.32000000000011</v>
      </c>
      <c r="AA1916" s="17">
        <v>571.6</v>
      </c>
      <c r="AB1916" s="18" t="s">
        <v>3963</v>
      </c>
    </row>
    <row r="1917" spans="1:28" x14ac:dyDescent="0.45">
      <c r="A1917" s="2" t="s">
        <v>2515</v>
      </c>
      <c r="B1917" s="2" t="s">
        <v>7009</v>
      </c>
      <c r="C1917" s="2" t="s">
        <v>2137</v>
      </c>
      <c r="D1917" s="2" t="s">
        <v>2138</v>
      </c>
      <c r="E1917" s="2" t="s">
        <v>2139</v>
      </c>
      <c r="F1917" s="3">
        <v>75.87</v>
      </c>
      <c r="G1917" s="3">
        <v>81.11</v>
      </c>
      <c r="H1917" s="2" t="s">
        <v>1127</v>
      </c>
      <c r="I1917" s="19">
        <v>47</v>
      </c>
      <c r="J1917" s="34">
        <f t="shared" si="116"/>
        <v>0.40889999999999999</v>
      </c>
      <c r="K1917" s="34">
        <f t="shared" si="117"/>
        <v>0.61</v>
      </c>
      <c r="L1917" s="34">
        <f t="shared" si="118"/>
        <v>2.44</v>
      </c>
      <c r="M1917" s="20" t="s">
        <v>4966</v>
      </c>
      <c r="N1917" s="20" t="s">
        <v>4597</v>
      </c>
      <c r="O1917" s="20" t="s">
        <v>3892</v>
      </c>
      <c r="P1917" s="20" t="s">
        <v>4598</v>
      </c>
      <c r="Q1917" s="21">
        <v>75.945999999999998</v>
      </c>
      <c r="R1917" s="21">
        <v>81.025999999999996</v>
      </c>
      <c r="S1917" s="21">
        <v>2.54</v>
      </c>
      <c r="T1917" s="22">
        <v>1.58</v>
      </c>
      <c r="U1917" s="13">
        <f t="shared" si="119"/>
        <v>-0.85999999999999988</v>
      </c>
      <c r="V1917" s="23">
        <v>193.55</v>
      </c>
      <c r="W1917" s="23">
        <v>193.55</v>
      </c>
      <c r="X1917" s="20">
        <v>59</v>
      </c>
      <c r="Y1917" s="24" t="s">
        <v>3737</v>
      </c>
      <c r="Z1917" s="16">
        <v>146.55000000000001</v>
      </c>
      <c r="AA1917" s="17">
        <v>311.8</v>
      </c>
      <c r="AB1917" s="25" t="s">
        <v>4022</v>
      </c>
    </row>
    <row r="1918" spans="1:28" x14ac:dyDescent="0.45">
      <c r="A1918" s="4" t="s">
        <v>2516</v>
      </c>
      <c r="B1918" s="4" t="s">
        <v>7010</v>
      </c>
      <c r="C1918" s="4" t="s">
        <v>2137</v>
      </c>
      <c r="D1918" s="4" t="s">
        <v>2138</v>
      </c>
      <c r="E1918" s="4" t="s">
        <v>2139</v>
      </c>
      <c r="F1918" s="5">
        <v>75.92</v>
      </c>
      <c r="G1918" s="5">
        <v>79.48</v>
      </c>
      <c r="H1918" s="4" t="s">
        <v>1114</v>
      </c>
      <c r="I1918" s="10">
        <v>35</v>
      </c>
      <c r="J1918" s="34">
        <f t="shared" si="116"/>
        <v>0.30449999999999999</v>
      </c>
      <c r="K1918" s="34">
        <f t="shared" si="117"/>
        <v>0.46</v>
      </c>
      <c r="L1918" s="34">
        <f t="shared" si="118"/>
        <v>1.84</v>
      </c>
      <c r="M1918" s="11" t="s">
        <v>4967</v>
      </c>
      <c r="N1918" s="11" t="s">
        <v>4597</v>
      </c>
      <c r="O1918" s="11" t="s">
        <v>3892</v>
      </c>
      <c r="P1918" s="11" t="s">
        <v>4598</v>
      </c>
      <c r="Q1918" s="12">
        <v>75.945999999999998</v>
      </c>
      <c r="R1918" s="12">
        <v>79.501999999999995</v>
      </c>
      <c r="S1918" s="12">
        <v>1.778</v>
      </c>
      <c r="T1918" s="13">
        <v>2.25</v>
      </c>
      <c r="U1918" s="13">
        <f t="shared" si="119"/>
        <v>0.40999999999999992</v>
      </c>
      <c r="V1918" s="14">
        <v>275.62</v>
      </c>
      <c r="W1918" s="14">
        <v>275.62</v>
      </c>
      <c r="X1918" s="11">
        <v>7</v>
      </c>
      <c r="Y1918" s="15" t="s">
        <v>3737</v>
      </c>
      <c r="Z1918" s="16">
        <v>240.62</v>
      </c>
      <c r="AA1918" s="17">
        <v>687.5</v>
      </c>
      <c r="AB1918" s="18" t="s">
        <v>3967</v>
      </c>
    </row>
    <row r="1919" spans="1:28" x14ac:dyDescent="0.45">
      <c r="A1919" s="2" t="s">
        <v>2517</v>
      </c>
      <c r="B1919" s="2" t="s">
        <v>7011</v>
      </c>
      <c r="C1919" s="2" t="s">
        <v>2137</v>
      </c>
      <c r="D1919" s="2" t="s">
        <v>2138</v>
      </c>
      <c r="E1919" s="2" t="s">
        <v>2139</v>
      </c>
      <c r="F1919" s="3">
        <v>75</v>
      </c>
      <c r="G1919" s="3">
        <v>80</v>
      </c>
      <c r="H1919" s="2" t="s">
        <v>1135</v>
      </c>
      <c r="I1919" s="19">
        <v>45</v>
      </c>
      <c r="J1919" s="34">
        <f t="shared" si="116"/>
        <v>0.39149999999999996</v>
      </c>
      <c r="K1919" s="34">
        <f t="shared" si="117"/>
        <v>0.59</v>
      </c>
      <c r="L1919" s="34">
        <f t="shared" si="118"/>
        <v>2.36</v>
      </c>
      <c r="M1919" s="20" t="s">
        <v>4968</v>
      </c>
      <c r="N1919" s="20" t="s">
        <v>4597</v>
      </c>
      <c r="O1919" s="20" t="s">
        <v>3892</v>
      </c>
      <c r="P1919" s="20" t="s">
        <v>4598</v>
      </c>
      <c r="Q1919" s="21">
        <v>75</v>
      </c>
      <c r="R1919" s="21">
        <v>80</v>
      </c>
      <c r="S1919" s="21">
        <v>2.5</v>
      </c>
      <c r="T1919" s="22">
        <v>3.37</v>
      </c>
      <c r="U1919" s="13">
        <f t="shared" si="119"/>
        <v>1.0100000000000002</v>
      </c>
      <c r="V1919" s="23">
        <v>412.82</v>
      </c>
      <c r="W1919" s="23">
        <v>412.82</v>
      </c>
      <c r="X1919" s="20">
        <v>14</v>
      </c>
      <c r="Y1919" s="24" t="s">
        <v>3713</v>
      </c>
      <c r="Z1919" s="16">
        <v>367.82</v>
      </c>
      <c r="AA1919" s="17">
        <v>817.4</v>
      </c>
      <c r="AB1919" s="25" t="s">
        <v>3714</v>
      </c>
    </row>
    <row r="1920" spans="1:28" x14ac:dyDescent="0.45">
      <c r="A1920" s="4" t="s">
        <v>2518</v>
      </c>
      <c r="B1920" s="4" t="s">
        <v>7012</v>
      </c>
      <c r="C1920" s="4" t="s">
        <v>2137</v>
      </c>
      <c r="D1920" s="4" t="s">
        <v>2138</v>
      </c>
      <c r="E1920" s="4" t="s">
        <v>2139</v>
      </c>
      <c r="F1920" s="5">
        <v>75</v>
      </c>
      <c r="G1920" s="5">
        <v>85</v>
      </c>
      <c r="H1920" s="4" t="s">
        <v>1245</v>
      </c>
      <c r="I1920" s="10">
        <v>172</v>
      </c>
      <c r="J1920" s="34">
        <f t="shared" si="116"/>
        <v>1.4964</v>
      </c>
      <c r="K1920" s="34">
        <f t="shared" si="117"/>
        <v>2.2400000000000002</v>
      </c>
      <c r="L1920" s="34">
        <f t="shared" si="118"/>
        <v>8.9600000000000009</v>
      </c>
      <c r="M1920" s="11" t="s">
        <v>4960</v>
      </c>
      <c r="N1920" s="11" t="s">
        <v>4597</v>
      </c>
      <c r="O1920" s="11" t="s">
        <v>3892</v>
      </c>
      <c r="P1920" s="11" t="s">
        <v>4598</v>
      </c>
      <c r="Q1920" s="12">
        <v>74.3</v>
      </c>
      <c r="R1920" s="12">
        <v>85.7</v>
      </c>
      <c r="S1920" s="12">
        <v>5.7</v>
      </c>
      <c r="T1920" s="13">
        <v>10.34</v>
      </c>
      <c r="U1920" s="13">
        <f t="shared" si="119"/>
        <v>1.379999999999999</v>
      </c>
      <c r="V1920" s="14">
        <v>1266.6500000000001</v>
      </c>
      <c r="W1920" s="14">
        <v>1266.6500000000001</v>
      </c>
      <c r="X1920" s="11">
        <v>140</v>
      </c>
      <c r="Y1920" s="15" t="s">
        <v>3713</v>
      </c>
      <c r="Z1920" s="16">
        <v>1094.6500000000001</v>
      </c>
      <c r="AA1920" s="17">
        <v>636.4</v>
      </c>
      <c r="AB1920" s="18" t="s">
        <v>4899</v>
      </c>
    </row>
    <row r="1921" spans="1:28" x14ac:dyDescent="0.45">
      <c r="A1921" s="2" t="s">
        <v>2519</v>
      </c>
      <c r="B1921" s="2" t="s">
        <v>7013</v>
      </c>
      <c r="C1921" s="2" t="s">
        <v>2137</v>
      </c>
      <c r="D1921" s="2" t="s">
        <v>2138</v>
      </c>
      <c r="E1921" s="2" t="s">
        <v>2139</v>
      </c>
      <c r="F1921" s="3">
        <v>76.2</v>
      </c>
      <c r="G1921" s="3">
        <v>80</v>
      </c>
      <c r="H1921" s="2" t="s">
        <v>1112</v>
      </c>
      <c r="I1921" s="19">
        <v>42</v>
      </c>
      <c r="J1921" s="34">
        <f t="shared" si="116"/>
        <v>0.36539999999999995</v>
      </c>
      <c r="K1921" s="34">
        <f t="shared" si="117"/>
        <v>0.55000000000000004</v>
      </c>
      <c r="L1921" s="34">
        <f t="shared" si="118"/>
        <v>2.2000000000000002</v>
      </c>
      <c r="M1921" s="20" t="s">
        <v>4967</v>
      </c>
      <c r="N1921" s="20" t="s">
        <v>4597</v>
      </c>
      <c r="O1921" s="20" t="s">
        <v>3892</v>
      </c>
      <c r="P1921" s="20" t="s">
        <v>4598</v>
      </c>
      <c r="Q1921" s="21">
        <v>75.945999999999998</v>
      </c>
      <c r="R1921" s="21">
        <v>79.501999999999995</v>
      </c>
      <c r="S1921" s="21">
        <v>1.778</v>
      </c>
      <c r="T1921" s="22">
        <v>2.25</v>
      </c>
      <c r="U1921" s="13">
        <f t="shared" si="119"/>
        <v>4.9999999999999822E-2</v>
      </c>
      <c r="V1921" s="23">
        <v>275.62</v>
      </c>
      <c r="W1921" s="23">
        <v>275.62</v>
      </c>
      <c r="X1921" s="20">
        <v>7</v>
      </c>
      <c r="Y1921" s="24" t="s">
        <v>3737</v>
      </c>
      <c r="Z1921" s="16">
        <v>233.62</v>
      </c>
      <c r="AA1921" s="17">
        <v>556.20000000000005</v>
      </c>
      <c r="AB1921" s="25" t="s">
        <v>4969</v>
      </c>
    </row>
    <row r="1922" spans="1:28" x14ac:dyDescent="0.45">
      <c r="A1922" s="4" t="s">
        <v>2520</v>
      </c>
      <c r="B1922" s="4" t="s">
        <v>7014</v>
      </c>
      <c r="C1922" s="4" t="s">
        <v>2137</v>
      </c>
      <c r="D1922" s="4" t="s">
        <v>2138</v>
      </c>
      <c r="E1922" s="4" t="s">
        <v>2139</v>
      </c>
      <c r="F1922" s="5">
        <v>77</v>
      </c>
      <c r="G1922" s="5">
        <v>85</v>
      </c>
      <c r="H1922" s="4" t="s">
        <v>1216</v>
      </c>
      <c r="I1922" s="10">
        <v>146</v>
      </c>
      <c r="J1922" s="34">
        <f t="shared" si="116"/>
        <v>1.2702</v>
      </c>
      <c r="K1922" s="34">
        <f t="shared" si="117"/>
        <v>1.91</v>
      </c>
      <c r="L1922" s="34">
        <f t="shared" si="118"/>
        <v>7.64</v>
      </c>
      <c r="M1922" s="11" t="s">
        <v>4970</v>
      </c>
      <c r="N1922" s="11" t="s">
        <v>4597</v>
      </c>
      <c r="O1922" s="11" t="s">
        <v>3892</v>
      </c>
      <c r="P1922" s="11" t="s">
        <v>4598</v>
      </c>
      <c r="Q1922" s="12">
        <v>76</v>
      </c>
      <c r="R1922" s="12">
        <v>84</v>
      </c>
      <c r="S1922" s="12">
        <v>4</v>
      </c>
      <c r="T1922" s="13">
        <v>5.15</v>
      </c>
      <c r="U1922" s="13">
        <f t="shared" si="119"/>
        <v>-2.4899999999999993</v>
      </c>
      <c r="V1922" s="14">
        <v>630.88</v>
      </c>
      <c r="W1922" s="14">
        <v>630.88</v>
      </c>
      <c r="X1922" s="11">
        <v>12</v>
      </c>
      <c r="Y1922" s="15" t="s">
        <v>3713</v>
      </c>
      <c r="Z1922" s="16">
        <v>484.88</v>
      </c>
      <c r="AA1922" s="17">
        <v>332.1</v>
      </c>
      <c r="AB1922" s="18" t="s">
        <v>3783</v>
      </c>
    </row>
    <row r="1923" spans="1:28" x14ac:dyDescent="0.45">
      <c r="A1923" s="2" t="s">
        <v>2521</v>
      </c>
      <c r="B1923" s="2" t="s">
        <v>7015</v>
      </c>
      <c r="C1923" s="2" t="s">
        <v>2137</v>
      </c>
      <c r="D1923" s="2" t="s">
        <v>2138</v>
      </c>
      <c r="E1923" s="2" t="s">
        <v>2139</v>
      </c>
      <c r="F1923" s="3">
        <v>78.739999999999995</v>
      </c>
      <c r="G1923" s="3">
        <v>89.399999999999991</v>
      </c>
      <c r="H1923" s="2" t="s">
        <v>1201</v>
      </c>
      <c r="I1923" s="19">
        <v>180</v>
      </c>
      <c r="J1923" s="34">
        <f t="shared" si="116"/>
        <v>1.5659999999999998</v>
      </c>
      <c r="K1923" s="34">
        <f t="shared" si="117"/>
        <v>2.35</v>
      </c>
      <c r="L1923" s="34">
        <f t="shared" si="118"/>
        <v>9.4</v>
      </c>
      <c r="M1923" s="20" t="s">
        <v>4971</v>
      </c>
      <c r="N1923" s="20" t="s">
        <v>4597</v>
      </c>
      <c r="O1923" s="20" t="s">
        <v>3892</v>
      </c>
      <c r="P1923" s="20" t="s">
        <v>4598</v>
      </c>
      <c r="Q1923" s="21">
        <v>78.739999999999995</v>
      </c>
      <c r="R1923" s="21">
        <v>89.408000000000001</v>
      </c>
      <c r="S1923" s="21">
        <v>5.3339999999999996</v>
      </c>
      <c r="T1923" s="22">
        <v>5.08</v>
      </c>
      <c r="U1923" s="13">
        <f t="shared" si="119"/>
        <v>-4.32</v>
      </c>
      <c r="V1923" s="23">
        <v>622.29999999999995</v>
      </c>
      <c r="W1923" s="23">
        <v>622.29999999999995</v>
      </c>
      <c r="X1923" s="20">
        <v>38</v>
      </c>
      <c r="Y1923" s="24" t="s">
        <v>3737</v>
      </c>
      <c r="Z1923" s="16">
        <v>442.3</v>
      </c>
      <c r="AA1923" s="17">
        <v>245.7</v>
      </c>
      <c r="AB1923" s="25" t="s">
        <v>4032</v>
      </c>
    </row>
    <row r="1924" spans="1:28" x14ac:dyDescent="0.45">
      <c r="A1924" s="4" t="s">
        <v>2522</v>
      </c>
      <c r="B1924" s="4" t="s">
        <v>7016</v>
      </c>
      <c r="C1924" s="4" t="s">
        <v>2137</v>
      </c>
      <c r="D1924" s="4" t="s">
        <v>2138</v>
      </c>
      <c r="E1924" s="4" t="s">
        <v>2139</v>
      </c>
      <c r="F1924" s="5">
        <v>78.97</v>
      </c>
      <c r="G1924" s="5">
        <v>86.03</v>
      </c>
      <c r="H1924" s="4" t="s">
        <v>1156</v>
      </c>
      <c r="I1924" s="10">
        <v>91</v>
      </c>
      <c r="J1924" s="34">
        <f t="shared" si="116"/>
        <v>0.79169999999999996</v>
      </c>
      <c r="K1924" s="34">
        <f t="shared" si="117"/>
        <v>1.19</v>
      </c>
      <c r="L1924" s="34">
        <f t="shared" si="118"/>
        <v>4.76</v>
      </c>
      <c r="M1924" s="11" t="s">
        <v>4972</v>
      </c>
      <c r="N1924" s="11" t="s">
        <v>4597</v>
      </c>
      <c r="O1924" s="11" t="s">
        <v>3892</v>
      </c>
      <c r="P1924" s="11" t="s">
        <v>4598</v>
      </c>
      <c r="Q1924" s="12">
        <v>78.994</v>
      </c>
      <c r="R1924" s="12">
        <v>86.105999999999995</v>
      </c>
      <c r="S1924" s="12">
        <v>3.556</v>
      </c>
      <c r="T1924" s="13">
        <v>2.85</v>
      </c>
      <c r="U1924" s="13">
        <f t="shared" si="119"/>
        <v>-1.9099999999999997</v>
      </c>
      <c r="V1924" s="14">
        <v>349.12</v>
      </c>
      <c r="W1924" s="14">
        <v>349.12</v>
      </c>
      <c r="X1924" s="11">
        <v>98</v>
      </c>
      <c r="Y1924" s="15" t="s">
        <v>3737</v>
      </c>
      <c r="Z1924" s="16">
        <v>258.12</v>
      </c>
      <c r="AA1924" s="17">
        <v>283.60000000000002</v>
      </c>
      <c r="AB1924" s="18" t="s">
        <v>3945</v>
      </c>
    </row>
    <row r="1925" spans="1:28" x14ac:dyDescent="0.45">
      <c r="A1925" s="2" t="s">
        <v>2523</v>
      </c>
      <c r="B1925" s="2" t="s">
        <v>7017</v>
      </c>
      <c r="C1925" s="2" t="s">
        <v>2137</v>
      </c>
      <c r="D1925" s="2" t="s">
        <v>2138</v>
      </c>
      <c r="E1925" s="2" t="s">
        <v>2139</v>
      </c>
      <c r="F1925" s="3">
        <v>78</v>
      </c>
      <c r="G1925" s="3">
        <v>92</v>
      </c>
      <c r="H1925" s="2" t="s">
        <v>2462</v>
      </c>
      <c r="I1925" s="19">
        <v>355</v>
      </c>
      <c r="J1925" s="34">
        <f t="shared" ref="J1925:J1988" si="120">I1925*0.0087</f>
        <v>3.0884999999999998</v>
      </c>
      <c r="K1925" s="34">
        <f t="shared" ref="K1925:K1988" si="121">ROUND(J1925*1.5,2)</f>
        <v>4.63</v>
      </c>
      <c r="L1925" s="34">
        <f t="shared" ref="L1925:L1988" si="122">K1925*4</f>
        <v>18.52</v>
      </c>
      <c r="M1925" s="20" t="s">
        <v>4973</v>
      </c>
      <c r="N1925" s="20" t="s">
        <v>4597</v>
      </c>
      <c r="O1925" s="20" t="s">
        <v>3892</v>
      </c>
      <c r="P1925" s="20" t="s">
        <v>4598</v>
      </c>
      <c r="Q1925" s="21">
        <v>79</v>
      </c>
      <c r="R1925" s="21">
        <v>93</v>
      </c>
      <c r="S1925" s="21">
        <v>7</v>
      </c>
      <c r="T1925" s="22">
        <v>24.6</v>
      </c>
      <c r="U1925" s="13">
        <f t="shared" ref="U1925:U1988" si="123">T1925-L1925</f>
        <v>6.0800000000000018</v>
      </c>
      <c r="V1925" s="23">
        <v>3013.5</v>
      </c>
      <c r="W1925" s="23">
        <v>3013.5</v>
      </c>
      <c r="X1925" s="20">
        <v>7</v>
      </c>
      <c r="Y1925" s="24" t="s">
        <v>3713</v>
      </c>
      <c r="Z1925" s="16">
        <v>2658.5</v>
      </c>
      <c r="AA1925" s="17">
        <v>748.9</v>
      </c>
      <c r="AB1925" s="25" t="s">
        <v>3783</v>
      </c>
    </row>
    <row r="1926" spans="1:28" x14ac:dyDescent="0.45">
      <c r="A1926" s="4" t="s">
        <v>2524</v>
      </c>
      <c r="B1926" s="4" t="s">
        <v>7018</v>
      </c>
      <c r="C1926" s="4" t="s">
        <v>2137</v>
      </c>
      <c r="D1926" s="4" t="s">
        <v>2138</v>
      </c>
      <c r="E1926" s="4" t="s">
        <v>2139</v>
      </c>
      <c r="F1926" s="5">
        <v>79.2</v>
      </c>
      <c r="G1926" s="5">
        <v>90.600000000000009</v>
      </c>
      <c r="H1926" s="4" t="s">
        <v>1297</v>
      </c>
      <c r="I1926" s="10">
        <v>360</v>
      </c>
      <c r="J1926" s="34">
        <f t="shared" si="120"/>
        <v>3.1319999999999997</v>
      </c>
      <c r="K1926" s="34">
        <f t="shared" si="121"/>
        <v>4.7</v>
      </c>
      <c r="L1926" s="34">
        <f t="shared" si="122"/>
        <v>18.8</v>
      </c>
      <c r="M1926" s="11" t="s">
        <v>4974</v>
      </c>
      <c r="N1926" s="11" t="s">
        <v>4597</v>
      </c>
      <c r="O1926" s="11" t="s">
        <v>3892</v>
      </c>
      <c r="P1926" s="11" t="s">
        <v>4598</v>
      </c>
      <c r="Q1926" s="12">
        <v>79.756</v>
      </c>
      <c r="R1926" s="12">
        <v>90.424000000000007</v>
      </c>
      <c r="S1926" s="12">
        <v>5.3339999999999996</v>
      </c>
      <c r="T1926" s="13">
        <v>7.39</v>
      </c>
      <c r="U1926" s="13">
        <f t="shared" si="123"/>
        <v>-11.41</v>
      </c>
      <c r="V1926" s="14">
        <v>905.28</v>
      </c>
      <c r="W1926" s="14">
        <v>905.28</v>
      </c>
      <c r="X1926" s="11">
        <v>13</v>
      </c>
      <c r="Y1926" s="15" t="s">
        <v>3737</v>
      </c>
      <c r="Z1926" s="16">
        <v>545.28</v>
      </c>
      <c r="AA1926" s="17">
        <v>151.5</v>
      </c>
      <c r="AB1926" s="18" t="s">
        <v>4975</v>
      </c>
    </row>
    <row r="1927" spans="1:28" x14ac:dyDescent="0.45">
      <c r="A1927" s="2" t="s">
        <v>2525</v>
      </c>
      <c r="B1927" s="2" t="s">
        <v>7019</v>
      </c>
      <c r="C1927" s="2" t="s">
        <v>2137</v>
      </c>
      <c r="D1927" s="2" t="s">
        <v>2138</v>
      </c>
      <c r="E1927" s="2" t="s">
        <v>2139</v>
      </c>
      <c r="F1927" s="3">
        <v>79.400000000000006</v>
      </c>
      <c r="G1927" s="3">
        <v>85.600000000000009</v>
      </c>
      <c r="H1927" s="2" t="s">
        <v>1221</v>
      </c>
      <c r="I1927" s="19">
        <v>91</v>
      </c>
      <c r="J1927" s="34">
        <f t="shared" si="120"/>
        <v>0.79169999999999996</v>
      </c>
      <c r="K1927" s="34">
        <f t="shared" si="121"/>
        <v>1.19</v>
      </c>
      <c r="L1927" s="34">
        <f t="shared" si="122"/>
        <v>4.76</v>
      </c>
      <c r="M1927" s="20" t="s">
        <v>4976</v>
      </c>
      <c r="N1927" s="20" t="s">
        <v>4597</v>
      </c>
      <c r="O1927" s="20" t="s">
        <v>3892</v>
      </c>
      <c r="P1927" s="20" t="s">
        <v>4598</v>
      </c>
      <c r="Q1927" s="21">
        <v>79.5</v>
      </c>
      <c r="R1927" s="21">
        <v>85.5</v>
      </c>
      <c r="S1927" s="21">
        <v>3</v>
      </c>
      <c r="T1927" s="22">
        <v>1.89</v>
      </c>
      <c r="U1927" s="13">
        <f t="shared" si="123"/>
        <v>-2.87</v>
      </c>
      <c r="V1927" s="23">
        <v>231.52</v>
      </c>
      <c r="W1927" s="23">
        <v>231.52</v>
      </c>
      <c r="X1927" s="20">
        <v>639</v>
      </c>
      <c r="Y1927" s="24" t="s">
        <v>3713</v>
      </c>
      <c r="Z1927" s="16">
        <v>140.52000000000001</v>
      </c>
      <c r="AA1927" s="17">
        <v>154.4</v>
      </c>
      <c r="AB1927" s="25" t="s">
        <v>4119</v>
      </c>
    </row>
    <row r="1928" spans="1:28" x14ac:dyDescent="0.45">
      <c r="A1928" s="4" t="s">
        <v>2526</v>
      </c>
      <c r="B1928" s="4" t="s">
        <v>7020</v>
      </c>
      <c r="C1928" s="4" t="s">
        <v>2137</v>
      </c>
      <c r="D1928" s="4" t="s">
        <v>2138</v>
      </c>
      <c r="E1928" s="4" t="s">
        <v>2139</v>
      </c>
      <c r="F1928" s="5">
        <v>80</v>
      </c>
      <c r="G1928" s="5">
        <v>85</v>
      </c>
      <c r="H1928" s="4" t="s">
        <v>1135</v>
      </c>
      <c r="I1928" s="10">
        <v>49</v>
      </c>
      <c r="J1928" s="34">
        <f t="shared" si="120"/>
        <v>0.42629999999999996</v>
      </c>
      <c r="K1928" s="34">
        <f t="shared" si="121"/>
        <v>0.64</v>
      </c>
      <c r="L1928" s="34">
        <f t="shared" si="122"/>
        <v>2.56</v>
      </c>
      <c r="M1928" s="11" t="s">
        <v>4977</v>
      </c>
      <c r="N1928" s="11" t="s">
        <v>4597</v>
      </c>
      <c r="O1928" s="11" t="s">
        <v>3892</v>
      </c>
      <c r="P1928" s="11" t="s">
        <v>4598</v>
      </c>
      <c r="Q1928" s="12">
        <v>80</v>
      </c>
      <c r="R1928" s="12">
        <v>85</v>
      </c>
      <c r="S1928" s="12">
        <v>2.5</v>
      </c>
      <c r="T1928" s="13">
        <v>2.5499999999999998</v>
      </c>
      <c r="U1928" s="13">
        <f t="shared" si="123"/>
        <v>-1.0000000000000231E-2</v>
      </c>
      <c r="V1928" s="14">
        <v>312.38</v>
      </c>
      <c r="W1928" s="14">
        <v>312.38</v>
      </c>
      <c r="X1928" s="11">
        <v>283</v>
      </c>
      <c r="Y1928" s="15" t="s">
        <v>3713</v>
      </c>
      <c r="Z1928" s="16">
        <v>263.38</v>
      </c>
      <c r="AA1928" s="17">
        <v>537.5</v>
      </c>
      <c r="AB1928" s="18" t="s">
        <v>3714</v>
      </c>
    </row>
    <row r="1929" spans="1:28" x14ac:dyDescent="0.45">
      <c r="A1929" s="2" t="s">
        <v>2527</v>
      </c>
      <c r="B1929" s="2" t="s">
        <v>7021</v>
      </c>
      <c r="C1929" s="2" t="s">
        <v>2137</v>
      </c>
      <c r="D1929" s="2" t="s">
        <v>2138</v>
      </c>
      <c r="E1929" s="2" t="s">
        <v>2139</v>
      </c>
      <c r="F1929" s="3">
        <v>80</v>
      </c>
      <c r="G1929" s="3">
        <v>90</v>
      </c>
      <c r="H1929" s="2" t="s">
        <v>1245</v>
      </c>
      <c r="I1929" s="19">
        <v>182</v>
      </c>
      <c r="J1929" s="34">
        <f t="shared" si="120"/>
        <v>1.5833999999999999</v>
      </c>
      <c r="K1929" s="34">
        <f t="shared" si="121"/>
        <v>2.38</v>
      </c>
      <c r="L1929" s="34">
        <f t="shared" si="122"/>
        <v>9.52</v>
      </c>
      <c r="M1929" s="20" t="s">
        <v>4974</v>
      </c>
      <c r="N1929" s="20" t="s">
        <v>4597</v>
      </c>
      <c r="O1929" s="20" t="s">
        <v>3892</v>
      </c>
      <c r="P1929" s="20" t="s">
        <v>4598</v>
      </c>
      <c r="Q1929" s="21">
        <v>79.756</v>
      </c>
      <c r="R1929" s="21">
        <v>90.424000000000007</v>
      </c>
      <c r="S1929" s="21">
        <v>5.3339999999999996</v>
      </c>
      <c r="T1929" s="22">
        <v>7.39</v>
      </c>
      <c r="U1929" s="13">
        <f t="shared" si="123"/>
        <v>-2.13</v>
      </c>
      <c r="V1929" s="23">
        <v>905.28</v>
      </c>
      <c r="W1929" s="23">
        <v>905.28</v>
      </c>
      <c r="X1929" s="20">
        <v>13</v>
      </c>
      <c r="Y1929" s="24" t="s">
        <v>3737</v>
      </c>
      <c r="Z1929" s="16">
        <v>723.28</v>
      </c>
      <c r="AA1929" s="17">
        <v>397.4</v>
      </c>
      <c r="AB1929" s="25" t="s">
        <v>4978</v>
      </c>
    </row>
    <row r="1930" spans="1:28" x14ac:dyDescent="0.45">
      <c r="A1930" s="4" t="s">
        <v>2528</v>
      </c>
      <c r="B1930" s="4" t="s">
        <v>7022</v>
      </c>
      <c r="C1930" s="4" t="s">
        <v>2137</v>
      </c>
      <c r="D1930" s="4" t="s">
        <v>2138</v>
      </c>
      <c r="E1930" s="4" t="s">
        <v>2139</v>
      </c>
      <c r="F1930" s="5">
        <v>81.91</v>
      </c>
      <c r="G1930" s="5">
        <v>92.57</v>
      </c>
      <c r="H1930" s="4" t="s">
        <v>1201</v>
      </c>
      <c r="I1930" s="10">
        <v>187</v>
      </c>
      <c r="J1930" s="34">
        <f t="shared" si="120"/>
        <v>1.6268999999999998</v>
      </c>
      <c r="K1930" s="34">
        <f t="shared" si="121"/>
        <v>2.44</v>
      </c>
      <c r="L1930" s="34">
        <f t="shared" si="122"/>
        <v>9.76</v>
      </c>
      <c r="M1930" s="11" t="s">
        <v>4979</v>
      </c>
      <c r="N1930" s="11" t="s">
        <v>4597</v>
      </c>
      <c r="O1930" s="11" t="s">
        <v>3892</v>
      </c>
      <c r="P1930" s="11" t="s">
        <v>4598</v>
      </c>
      <c r="Q1930" s="12">
        <v>82.042000000000002</v>
      </c>
      <c r="R1930" s="12">
        <v>92.71</v>
      </c>
      <c r="S1930" s="12">
        <v>5.3339999999999996</v>
      </c>
      <c r="T1930" s="13">
        <v>3.25</v>
      </c>
      <c r="U1930" s="13">
        <f t="shared" si="123"/>
        <v>-6.51</v>
      </c>
      <c r="V1930" s="14">
        <v>398.12</v>
      </c>
      <c r="W1930" s="14">
        <v>398.12</v>
      </c>
      <c r="X1930" s="11">
        <v>306</v>
      </c>
      <c r="Y1930" s="15" t="s">
        <v>3737</v>
      </c>
      <c r="Z1930" s="16">
        <v>211.12</v>
      </c>
      <c r="AA1930" s="17">
        <v>112.9</v>
      </c>
      <c r="AB1930" s="18" t="s">
        <v>4152</v>
      </c>
    </row>
    <row r="1931" spans="1:28" x14ac:dyDescent="0.45">
      <c r="A1931" s="2" t="s">
        <v>2529</v>
      </c>
      <c r="B1931" s="2" t="s">
        <v>7023</v>
      </c>
      <c r="C1931" s="2" t="s">
        <v>2137</v>
      </c>
      <c r="D1931" s="2" t="s">
        <v>2138</v>
      </c>
      <c r="E1931" s="2" t="s">
        <v>2139</v>
      </c>
      <c r="F1931" s="3">
        <v>82.15</v>
      </c>
      <c r="G1931" s="3">
        <v>89.210000000000008</v>
      </c>
      <c r="H1931" s="2" t="s">
        <v>1156</v>
      </c>
      <c r="I1931" s="19">
        <v>94</v>
      </c>
      <c r="J1931" s="34">
        <f t="shared" si="120"/>
        <v>0.81779999999999997</v>
      </c>
      <c r="K1931" s="34">
        <f t="shared" si="121"/>
        <v>1.23</v>
      </c>
      <c r="L1931" s="34">
        <f t="shared" si="122"/>
        <v>4.92</v>
      </c>
      <c r="M1931" s="20" t="s">
        <v>4980</v>
      </c>
      <c r="N1931" s="20" t="s">
        <v>4597</v>
      </c>
      <c r="O1931" s="20" t="s">
        <v>3892</v>
      </c>
      <c r="P1931" s="20" t="s">
        <v>4598</v>
      </c>
      <c r="Q1931" s="21">
        <v>82.042000000000002</v>
      </c>
      <c r="R1931" s="21">
        <v>89.153999999999996</v>
      </c>
      <c r="S1931" s="21">
        <v>3.556</v>
      </c>
      <c r="T1931" s="22">
        <v>2.4900000000000002</v>
      </c>
      <c r="U1931" s="13">
        <f t="shared" si="123"/>
        <v>-2.4299999999999997</v>
      </c>
      <c r="V1931" s="23">
        <v>305.02999999999997</v>
      </c>
      <c r="W1931" s="23">
        <v>305.02999999999997</v>
      </c>
      <c r="X1931" s="20">
        <v>292</v>
      </c>
      <c r="Y1931" s="24" t="s">
        <v>3737</v>
      </c>
      <c r="Z1931" s="16">
        <v>211.03</v>
      </c>
      <c r="AA1931" s="17">
        <v>224.5</v>
      </c>
      <c r="AB1931" s="25" t="s">
        <v>4981</v>
      </c>
    </row>
    <row r="1932" spans="1:28" x14ac:dyDescent="0.45">
      <c r="A1932" s="4" t="s">
        <v>2530</v>
      </c>
      <c r="B1932" s="4" t="s">
        <v>7024</v>
      </c>
      <c r="C1932" s="4" t="s">
        <v>2137</v>
      </c>
      <c r="D1932" s="4" t="s">
        <v>2138</v>
      </c>
      <c r="E1932" s="4" t="s">
        <v>2139</v>
      </c>
      <c r="F1932" s="5">
        <v>82.22</v>
      </c>
      <c r="G1932" s="5">
        <v>87.46</v>
      </c>
      <c r="H1932" s="4" t="s">
        <v>1127</v>
      </c>
      <c r="I1932" s="10">
        <v>50</v>
      </c>
      <c r="J1932" s="34">
        <f t="shared" si="120"/>
        <v>0.43499999999999994</v>
      </c>
      <c r="K1932" s="34">
        <f t="shared" si="121"/>
        <v>0.65</v>
      </c>
      <c r="L1932" s="34">
        <f t="shared" si="122"/>
        <v>2.6</v>
      </c>
      <c r="M1932" s="11" t="s">
        <v>4982</v>
      </c>
      <c r="N1932" s="11" t="s">
        <v>4597</v>
      </c>
      <c r="O1932" s="11" t="s">
        <v>3892</v>
      </c>
      <c r="P1932" s="11" t="s">
        <v>4598</v>
      </c>
      <c r="Q1932" s="12">
        <v>82.296000000000006</v>
      </c>
      <c r="R1932" s="12">
        <v>87.376000000000005</v>
      </c>
      <c r="S1932" s="12">
        <v>2.54</v>
      </c>
      <c r="T1932" s="13">
        <v>1.76</v>
      </c>
      <c r="U1932" s="13">
        <f t="shared" si="123"/>
        <v>-0.84000000000000008</v>
      </c>
      <c r="V1932" s="14">
        <v>215.6</v>
      </c>
      <c r="W1932" s="14">
        <v>215.6</v>
      </c>
      <c r="X1932" s="11">
        <v>12</v>
      </c>
      <c r="Y1932" s="15" t="s">
        <v>3737</v>
      </c>
      <c r="Z1932" s="16">
        <v>165.6</v>
      </c>
      <c r="AA1932" s="17">
        <v>331.2</v>
      </c>
      <c r="AB1932" s="18" t="s">
        <v>4022</v>
      </c>
    </row>
    <row r="1933" spans="1:28" x14ac:dyDescent="0.45">
      <c r="A1933" s="2" t="s">
        <v>2531</v>
      </c>
      <c r="B1933" s="2" t="s">
        <v>7025</v>
      </c>
      <c r="C1933" s="2" t="s">
        <v>2137</v>
      </c>
      <c r="D1933" s="2" t="s">
        <v>2138</v>
      </c>
      <c r="E1933" s="2" t="s">
        <v>2139</v>
      </c>
      <c r="F1933" s="3">
        <v>82</v>
      </c>
      <c r="G1933" s="3">
        <v>90</v>
      </c>
      <c r="H1933" s="2" t="s">
        <v>1216</v>
      </c>
      <c r="I1933" s="19">
        <v>157</v>
      </c>
      <c r="J1933" s="34">
        <f t="shared" si="120"/>
        <v>1.3658999999999999</v>
      </c>
      <c r="K1933" s="34">
        <f t="shared" si="121"/>
        <v>2.0499999999999998</v>
      </c>
      <c r="L1933" s="34">
        <f t="shared" si="122"/>
        <v>8.1999999999999993</v>
      </c>
      <c r="M1933" s="20" t="s">
        <v>4983</v>
      </c>
      <c r="N1933" s="20" t="s">
        <v>4597</v>
      </c>
      <c r="O1933" s="20" t="s">
        <v>3892</v>
      </c>
      <c r="P1933" s="20" t="s">
        <v>4598</v>
      </c>
      <c r="Q1933" s="21">
        <v>82</v>
      </c>
      <c r="R1933" s="21">
        <v>90</v>
      </c>
      <c r="S1933" s="21">
        <v>4</v>
      </c>
      <c r="T1933" s="22">
        <v>6.53</v>
      </c>
      <c r="U1933" s="13">
        <f t="shared" si="123"/>
        <v>-1.669999999999999</v>
      </c>
      <c r="V1933" s="23">
        <v>799.92</v>
      </c>
      <c r="W1933" s="23">
        <v>799.92</v>
      </c>
      <c r="X1933" s="20">
        <v>10</v>
      </c>
      <c r="Y1933" s="24" t="s">
        <v>3713</v>
      </c>
      <c r="Z1933" s="16">
        <v>642.91999999999996</v>
      </c>
      <c r="AA1933" s="17">
        <v>409.5</v>
      </c>
      <c r="AB1933" s="25" t="s">
        <v>3714</v>
      </c>
    </row>
    <row r="1934" spans="1:28" x14ac:dyDescent="0.45">
      <c r="A1934" s="4" t="s">
        <v>2532</v>
      </c>
      <c r="B1934" s="4" t="s">
        <v>7026</v>
      </c>
      <c r="C1934" s="4" t="s">
        <v>2137</v>
      </c>
      <c r="D1934" s="4" t="s">
        <v>2138</v>
      </c>
      <c r="E1934" s="4" t="s">
        <v>2139</v>
      </c>
      <c r="F1934" s="5">
        <v>84.2</v>
      </c>
      <c r="G1934" s="5">
        <v>95.600000000000009</v>
      </c>
      <c r="H1934" s="4" t="s">
        <v>1297</v>
      </c>
      <c r="I1934" s="10">
        <v>384</v>
      </c>
      <c r="J1934" s="34">
        <f t="shared" si="120"/>
        <v>3.3407999999999998</v>
      </c>
      <c r="K1934" s="34">
        <f t="shared" si="121"/>
        <v>5.01</v>
      </c>
      <c r="L1934" s="34">
        <f t="shared" si="122"/>
        <v>20.04</v>
      </c>
      <c r="M1934" s="11" t="s">
        <v>4984</v>
      </c>
      <c r="N1934" s="11" t="s">
        <v>4597</v>
      </c>
      <c r="O1934" s="11" t="s">
        <v>3892</v>
      </c>
      <c r="P1934" s="11" t="s">
        <v>4598</v>
      </c>
      <c r="Q1934" s="12">
        <v>85.09</v>
      </c>
      <c r="R1934" s="12">
        <v>95.757999999999996</v>
      </c>
      <c r="S1934" s="12">
        <v>5.3339999999999996</v>
      </c>
      <c r="T1934" s="13">
        <v>5.22</v>
      </c>
      <c r="U1934" s="13">
        <f t="shared" si="123"/>
        <v>-14.82</v>
      </c>
      <c r="V1934" s="14">
        <v>639.45000000000005</v>
      </c>
      <c r="W1934" s="14">
        <v>639.45000000000005</v>
      </c>
      <c r="X1934" s="11">
        <v>30</v>
      </c>
      <c r="Y1934" s="15" t="s">
        <v>3737</v>
      </c>
      <c r="Z1934" s="16">
        <v>255.45</v>
      </c>
      <c r="AA1934" s="17">
        <v>66.5</v>
      </c>
      <c r="AB1934" s="18" t="s">
        <v>4985</v>
      </c>
    </row>
    <row r="1935" spans="1:28" x14ac:dyDescent="0.45">
      <c r="A1935" s="2" t="s">
        <v>2533</v>
      </c>
      <c r="B1935" s="2" t="s">
        <v>7027</v>
      </c>
      <c r="C1935" s="2" t="s">
        <v>2137</v>
      </c>
      <c r="D1935" s="2" t="s">
        <v>2138</v>
      </c>
      <c r="E1935" s="2" t="s">
        <v>2139</v>
      </c>
      <c r="F1935" s="3">
        <v>84.4</v>
      </c>
      <c r="G1935" s="3">
        <v>90.600000000000009</v>
      </c>
      <c r="H1935" s="2" t="s">
        <v>1221</v>
      </c>
      <c r="I1935" s="19">
        <v>96</v>
      </c>
      <c r="J1935" s="34">
        <f t="shared" si="120"/>
        <v>0.83519999999999994</v>
      </c>
      <c r="K1935" s="34">
        <f t="shared" si="121"/>
        <v>1.25</v>
      </c>
      <c r="L1935" s="34">
        <f t="shared" si="122"/>
        <v>5</v>
      </c>
      <c r="M1935" s="20" t="s">
        <v>4986</v>
      </c>
      <c r="N1935" s="20" t="s">
        <v>4597</v>
      </c>
      <c r="O1935" s="20" t="s">
        <v>3892</v>
      </c>
      <c r="P1935" s="20" t="s">
        <v>4598</v>
      </c>
      <c r="Q1935" s="21">
        <v>84.5</v>
      </c>
      <c r="R1935" s="21">
        <v>90.5</v>
      </c>
      <c r="S1935" s="21">
        <v>3</v>
      </c>
      <c r="T1935" s="22">
        <v>2.38</v>
      </c>
      <c r="U1935" s="13">
        <f t="shared" si="123"/>
        <v>-2.62</v>
      </c>
      <c r="V1935" s="23">
        <v>291.55</v>
      </c>
      <c r="W1935" s="23">
        <v>291.55</v>
      </c>
      <c r="X1935" s="20">
        <v>67</v>
      </c>
      <c r="Y1935" s="24" t="s">
        <v>3713</v>
      </c>
      <c r="Z1935" s="16">
        <v>195.55</v>
      </c>
      <c r="AA1935" s="17">
        <v>203.7</v>
      </c>
      <c r="AB1935" s="25" t="s">
        <v>4119</v>
      </c>
    </row>
    <row r="1936" spans="1:28" x14ac:dyDescent="0.45">
      <c r="A1936" s="4" t="s">
        <v>2534</v>
      </c>
      <c r="B1936" s="4" t="s">
        <v>7028</v>
      </c>
      <c r="C1936" s="4" t="s">
        <v>2137</v>
      </c>
      <c r="D1936" s="4" t="s">
        <v>2138</v>
      </c>
      <c r="E1936" s="4" t="s">
        <v>2139</v>
      </c>
      <c r="F1936" s="5">
        <v>85.09</v>
      </c>
      <c r="G1936" s="5">
        <v>95.75</v>
      </c>
      <c r="H1936" s="4" t="s">
        <v>1201</v>
      </c>
      <c r="I1936" s="10">
        <v>194</v>
      </c>
      <c r="J1936" s="34">
        <f t="shared" si="120"/>
        <v>1.6878</v>
      </c>
      <c r="K1936" s="34">
        <f t="shared" si="121"/>
        <v>2.5299999999999998</v>
      </c>
      <c r="L1936" s="34">
        <f t="shared" si="122"/>
        <v>10.119999999999999</v>
      </c>
      <c r="M1936" s="11" t="s">
        <v>4984</v>
      </c>
      <c r="N1936" s="11" t="s">
        <v>4597</v>
      </c>
      <c r="O1936" s="11" t="s">
        <v>3892</v>
      </c>
      <c r="P1936" s="11" t="s">
        <v>4598</v>
      </c>
      <c r="Q1936" s="12">
        <v>85.09</v>
      </c>
      <c r="R1936" s="12">
        <v>95.757999999999996</v>
      </c>
      <c r="S1936" s="12">
        <v>5.3339999999999996</v>
      </c>
      <c r="T1936" s="13">
        <v>5.22</v>
      </c>
      <c r="U1936" s="13">
        <f t="shared" si="123"/>
        <v>-4.8999999999999995</v>
      </c>
      <c r="V1936" s="14">
        <v>639.45000000000005</v>
      </c>
      <c r="W1936" s="14">
        <v>639.45000000000005</v>
      </c>
      <c r="X1936" s="11">
        <v>30</v>
      </c>
      <c r="Y1936" s="15" t="s">
        <v>3737</v>
      </c>
      <c r="Z1936" s="16">
        <v>445.45</v>
      </c>
      <c r="AA1936" s="17">
        <v>229.6</v>
      </c>
      <c r="AB1936" s="18" t="s">
        <v>4032</v>
      </c>
    </row>
    <row r="1937" spans="1:28" x14ac:dyDescent="0.45">
      <c r="A1937" s="2" t="s">
        <v>2535</v>
      </c>
      <c r="B1937" s="2" t="s">
        <v>7029</v>
      </c>
      <c r="C1937" s="2" t="s">
        <v>2137</v>
      </c>
      <c r="D1937" s="2" t="s">
        <v>2138</v>
      </c>
      <c r="E1937" s="2" t="s">
        <v>2139</v>
      </c>
      <c r="F1937" s="3">
        <v>85.32</v>
      </c>
      <c r="G1937" s="3">
        <v>92.38</v>
      </c>
      <c r="H1937" s="2" t="s">
        <v>1156</v>
      </c>
      <c r="I1937" s="19">
        <v>98</v>
      </c>
      <c r="J1937" s="34">
        <f t="shared" si="120"/>
        <v>0.85259999999999991</v>
      </c>
      <c r="K1937" s="34">
        <f t="shared" si="121"/>
        <v>1.28</v>
      </c>
      <c r="L1937" s="34">
        <f t="shared" si="122"/>
        <v>5.12</v>
      </c>
      <c r="M1937" s="20" t="s">
        <v>4987</v>
      </c>
      <c r="N1937" s="20" t="s">
        <v>4597</v>
      </c>
      <c r="O1937" s="20" t="s">
        <v>3892</v>
      </c>
      <c r="P1937" s="20" t="s">
        <v>4598</v>
      </c>
      <c r="Q1937" s="21">
        <v>85.343999999999994</v>
      </c>
      <c r="R1937" s="21">
        <v>92.456000000000003</v>
      </c>
      <c r="S1937" s="21">
        <v>3.556</v>
      </c>
      <c r="T1937" s="22">
        <v>2.75</v>
      </c>
      <c r="U1937" s="13">
        <f t="shared" si="123"/>
        <v>-2.37</v>
      </c>
      <c r="V1937" s="23">
        <v>336.88</v>
      </c>
      <c r="W1937" s="23">
        <v>336.88</v>
      </c>
      <c r="X1937" s="20">
        <v>37</v>
      </c>
      <c r="Y1937" s="24" t="s">
        <v>3737</v>
      </c>
      <c r="Z1937" s="16">
        <v>238.88</v>
      </c>
      <c r="AA1937" s="17">
        <v>243.8</v>
      </c>
      <c r="AB1937" s="25" t="s">
        <v>3945</v>
      </c>
    </row>
    <row r="1938" spans="1:28" x14ac:dyDescent="0.45">
      <c r="A1938" s="4" t="s">
        <v>2536</v>
      </c>
      <c r="B1938" s="4" t="s">
        <v>7030</v>
      </c>
      <c r="C1938" s="4" t="s">
        <v>2137</v>
      </c>
      <c r="D1938" s="4" t="s">
        <v>2138</v>
      </c>
      <c r="E1938" s="4" t="s">
        <v>2139</v>
      </c>
      <c r="F1938" s="5">
        <v>85</v>
      </c>
      <c r="G1938" s="5">
        <v>89</v>
      </c>
      <c r="H1938" s="4" t="s">
        <v>1122</v>
      </c>
      <c r="I1938" s="10">
        <v>45</v>
      </c>
      <c r="J1938" s="34">
        <f t="shared" si="120"/>
        <v>0.39149999999999996</v>
      </c>
      <c r="K1938" s="34">
        <f t="shared" si="121"/>
        <v>0.59</v>
      </c>
      <c r="L1938" s="34">
        <f t="shared" si="122"/>
        <v>2.36</v>
      </c>
      <c r="M1938" s="11" t="s">
        <v>4988</v>
      </c>
      <c r="N1938" s="11" t="s">
        <v>4597</v>
      </c>
      <c r="O1938" s="11" t="s">
        <v>3892</v>
      </c>
      <c r="P1938" s="11" t="s">
        <v>4598</v>
      </c>
      <c r="Q1938" s="12">
        <v>85.343999999999994</v>
      </c>
      <c r="R1938" s="12">
        <v>88.9</v>
      </c>
      <c r="S1938" s="12">
        <v>1.778</v>
      </c>
      <c r="T1938" s="13">
        <v>2</v>
      </c>
      <c r="U1938" s="13">
        <f t="shared" si="123"/>
        <v>-0.35999999999999988</v>
      </c>
      <c r="V1938" s="14">
        <v>245</v>
      </c>
      <c r="W1938" s="14">
        <v>245</v>
      </c>
      <c r="X1938" s="11">
        <v>49</v>
      </c>
      <c r="Y1938" s="15" t="s">
        <v>3737</v>
      </c>
      <c r="Z1938" s="16">
        <v>200</v>
      </c>
      <c r="AA1938" s="17">
        <v>444.4</v>
      </c>
      <c r="AB1938" s="18" t="s">
        <v>4989</v>
      </c>
    </row>
    <row r="1939" spans="1:28" x14ac:dyDescent="0.45">
      <c r="A1939" s="2" t="s">
        <v>2537</v>
      </c>
      <c r="B1939" s="2" t="s">
        <v>7031</v>
      </c>
      <c r="C1939" s="2" t="s">
        <v>2137</v>
      </c>
      <c r="D1939" s="2" t="s">
        <v>2138</v>
      </c>
      <c r="E1939" s="2" t="s">
        <v>2139</v>
      </c>
      <c r="F1939" s="3">
        <v>85</v>
      </c>
      <c r="G1939" s="3">
        <v>95</v>
      </c>
      <c r="H1939" s="2" t="s">
        <v>1245</v>
      </c>
      <c r="I1939" s="19">
        <v>194</v>
      </c>
      <c r="J1939" s="34">
        <f t="shared" si="120"/>
        <v>1.6878</v>
      </c>
      <c r="K1939" s="34">
        <f t="shared" si="121"/>
        <v>2.5299999999999998</v>
      </c>
      <c r="L1939" s="34">
        <f t="shared" si="122"/>
        <v>10.119999999999999</v>
      </c>
      <c r="M1939" s="20" t="s">
        <v>4990</v>
      </c>
      <c r="N1939" s="20" t="s">
        <v>4597</v>
      </c>
      <c r="O1939" s="20" t="s">
        <v>3892</v>
      </c>
      <c r="P1939" s="20" t="s">
        <v>4598</v>
      </c>
      <c r="Q1939" s="21">
        <v>85</v>
      </c>
      <c r="R1939" s="21">
        <v>95</v>
      </c>
      <c r="S1939" s="21">
        <v>5</v>
      </c>
      <c r="T1939" s="22">
        <v>4.1500000000000004</v>
      </c>
      <c r="U1939" s="13">
        <f t="shared" si="123"/>
        <v>-5.9699999999999989</v>
      </c>
      <c r="V1939" s="23">
        <v>508.38</v>
      </c>
      <c r="W1939" s="23">
        <v>508.38</v>
      </c>
      <c r="X1939" s="20">
        <v>28</v>
      </c>
      <c r="Y1939" s="24" t="s">
        <v>3713</v>
      </c>
      <c r="Z1939" s="16">
        <v>314.38</v>
      </c>
      <c r="AA1939" s="17">
        <v>162.1</v>
      </c>
      <c r="AB1939" s="25" t="s">
        <v>3714</v>
      </c>
    </row>
    <row r="1940" spans="1:28" x14ac:dyDescent="0.45">
      <c r="A1940" s="4" t="s">
        <v>2538</v>
      </c>
      <c r="B1940" s="4" t="s">
        <v>7032</v>
      </c>
      <c r="C1940" s="4" t="s">
        <v>2137</v>
      </c>
      <c r="D1940" s="4" t="s">
        <v>2138</v>
      </c>
      <c r="E1940" s="4" t="s">
        <v>2139</v>
      </c>
      <c r="F1940" s="5">
        <v>88.27</v>
      </c>
      <c r="G1940" s="5">
        <v>98.929999999999993</v>
      </c>
      <c r="H1940" s="4" t="s">
        <v>1201</v>
      </c>
      <c r="I1940" s="10">
        <v>202</v>
      </c>
      <c r="J1940" s="34">
        <f t="shared" si="120"/>
        <v>1.7573999999999999</v>
      </c>
      <c r="K1940" s="34">
        <f t="shared" si="121"/>
        <v>2.64</v>
      </c>
      <c r="L1940" s="34">
        <f t="shared" si="122"/>
        <v>10.56</v>
      </c>
      <c r="M1940" s="11" t="s">
        <v>4991</v>
      </c>
      <c r="N1940" s="11" t="s">
        <v>4597</v>
      </c>
      <c r="O1940" s="11" t="s">
        <v>3892</v>
      </c>
      <c r="P1940" s="11" t="s">
        <v>4598</v>
      </c>
      <c r="Q1940" s="12">
        <v>88.391999999999996</v>
      </c>
      <c r="R1940" s="12">
        <v>99.06</v>
      </c>
      <c r="S1940" s="12">
        <v>5.3339999999999996</v>
      </c>
      <c r="T1940" s="13">
        <v>11.88</v>
      </c>
      <c r="U1940" s="13">
        <f t="shared" si="123"/>
        <v>1.3200000000000003</v>
      </c>
      <c r="V1940" s="14">
        <v>1455.3</v>
      </c>
      <c r="W1940" s="14">
        <v>1455.3</v>
      </c>
      <c r="X1940" s="11">
        <v>6</v>
      </c>
      <c r="Y1940" s="15" t="s">
        <v>3737</v>
      </c>
      <c r="Z1940" s="16">
        <v>1253.3</v>
      </c>
      <c r="AA1940" s="17">
        <v>620.4</v>
      </c>
      <c r="AB1940" s="18" t="s">
        <v>4016</v>
      </c>
    </row>
    <row r="1941" spans="1:28" x14ac:dyDescent="0.45">
      <c r="A1941" s="2" t="s">
        <v>2539</v>
      </c>
      <c r="B1941" s="2" t="s">
        <v>7033</v>
      </c>
      <c r="C1941" s="2" t="s">
        <v>2137</v>
      </c>
      <c r="D1941" s="2" t="s">
        <v>2138</v>
      </c>
      <c r="E1941" s="2" t="s">
        <v>2139</v>
      </c>
      <c r="F1941" s="3">
        <v>88.49</v>
      </c>
      <c r="G1941" s="3">
        <v>95.55</v>
      </c>
      <c r="H1941" s="2" t="s">
        <v>1156</v>
      </c>
      <c r="I1941" s="19">
        <v>101</v>
      </c>
      <c r="J1941" s="34">
        <f t="shared" si="120"/>
        <v>0.87869999999999993</v>
      </c>
      <c r="K1941" s="34">
        <f t="shared" si="121"/>
        <v>1.32</v>
      </c>
      <c r="L1941" s="34">
        <f t="shared" si="122"/>
        <v>5.28</v>
      </c>
      <c r="M1941" s="20" t="s">
        <v>4992</v>
      </c>
      <c r="N1941" s="20" t="s">
        <v>4597</v>
      </c>
      <c r="O1941" s="20" t="s">
        <v>3892</v>
      </c>
      <c r="P1941" s="20" t="s">
        <v>4598</v>
      </c>
      <c r="Q1941" s="21">
        <v>88.391999999999996</v>
      </c>
      <c r="R1941" s="21">
        <v>95.504000000000005</v>
      </c>
      <c r="S1941" s="21">
        <v>3.556</v>
      </c>
      <c r="T1941" s="22">
        <v>3.74</v>
      </c>
      <c r="U1941" s="13">
        <f t="shared" si="123"/>
        <v>-1.54</v>
      </c>
      <c r="V1941" s="23">
        <v>458.15</v>
      </c>
      <c r="W1941" s="23">
        <v>458.15</v>
      </c>
      <c r="X1941" s="20">
        <v>168</v>
      </c>
      <c r="Y1941" s="24" t="s">
        <v>3737</v>
      </c>
      <c r="Z1941" s="16">
        <v>357.15</v>
      </c>
      <c r="AA1941" s="17">
        <v>353.6</v>
      </c>
      <c r="AB1941" s="25" t="s">
        <v>3963</v>
      </c>
    </row>
    <row r="1942" spans="1:28" x14ac:dyDescent="0.45">
      <c r="A1942" s="4" t="s">
        <v>2540</v>
      </c>
      <c r="B1942" s="4" t="s">
        <v>7034</v>
      </c>
      <c r="C1942" s="4" t="s">
        <v>2137</v>
      </c>
      <c r="D1942" s="4" t="s">
        <v>2138</v>
      </c>
      <c r="E1942" s="4" t="s">
        <v>2139</v>
      </c>
      <c r="F1942" s="5">
        <v>88.57</v>
      </c>
      <c r="G1942" s="5">
        <v>93.809999999999988</v>
      </c>
      <c r="H1942" s="4" t="s">
        <v>1127</v>
      </c>
      <c r="I1942" s="10">
        <v>54</v>
      </c>
      <c r="J1942" s="34">
        <f t="shared" si="120"/>
        <v>0.4698</v>
      </c>
      <c r="K1942" s="34">
        <f t="shared" si="121"/>
        <v>0.7</v>
      </c>
      <c r="L1942" s="34">
        <f t="shared" si="122"/>
        <v>2.8</v>
      </c>
      <c r="M1942" s="11" t="s">
        <v>4993</v>
      </c>
      <c r="N1942" s="11" t="s">
        <v>4597</v>
      </c>
      <c r="O1942" s="11" t="s">
        <v>3892</v>
      </c>
      <c r="P1942" s="11" t="s">
        <v>4598</v>
      </c>
      <c r="Q1942" s="12">
        <v>88.646000000000001</v>
      </c>
      <c r="R1942" s="12">
        <v>93.725999999999999</v>
      </c>
      <c r="S1942" s="12">
        <v>2.54</v>
      </c>
      <c r="T1942" s="13">
        <v>2.15</v>
      </c>
      <c r="U1942" s="13">
        <f t="shared" si="123"/>
        <v>-0.64999999999999991</v>
      </c>
      <c r="V1942" s="14">
        <v>263.38</v>
      </c>
      <c r="W1942" s="14">
        <v>263.38</v>
      </c>
      <c r="X1942" s="11">
        <v>59</v>
      </c>
      <c r="Y1942" s="15" t="s">
        <v>3737</v>
      </c>
      <c r="Z1942" s="16">
        <v>209.38</v>
      </c>
      <c r="AA1942" s="17">
        <v>387.7</v>
      </c>
      <c r="AB1942" s="18" t="s">
        <v>4022</v>
      </c>
    </row>
    <row r="1943" spans="1:28" x14ac:dyDescent="0.45">
      <c r="A1943" s="2" t="s">
        <v>2541</v>
      </c>
      <c r="B1943" s="2" t="s">
        <v>7035</v>
      </c>
      <c r="C1943" s="2" t="s">
        <v>2137</v>
      </c>
      <c r="D1943" s="2" t="s">
        <v>2138</v>
      </c>
      <c r="E1943" s="2" t="s">
        <v>2139</v>
      </c>
      <c r="F1943" s="3">
        <v>88</v>
      </c>
      <c r="G1943" s="3">
        <v>92</v>
      </c>
      <c r="H1943" s="2" t="s">
        <v>1122</v>
      </c>
      <c r="I1943" s="19">
        <v>47</v>
      </c>
      <c r="J1943" s="34">
        <f t="shared" si="120"/>
        <v>0.40889999999999999</v>
      </c>
      <c r="K1943" s="34">
        <f t="shared" si="121"/>
        <v>0.61</v>
      </c>
      <c r="L1943" s="34">
        <f t="shared" si="122"/>
        <v>2.44</v>
      </c>
      <c r="M1943" s="20" t="s">
        <v>4994</v>
      </c>
      <c r="N1943" s="20" t="s">
        <v>4597</v>
      </c>
      <c r="O1943" s="20" t="s">
        <v>3892</v>
      </c>
      <c r="P1943" s="20" t="s">
        <v>4598</v>
      </c>
      <c r="Q1943" s="21">
        <v>88.646000000000001</v>
      </c>
      <c r="R1943" s="21">
        <v>92.201999999999998</v>
      </c>
      <c r="S1943" s="21">
        <v>1.778</v>
      </c>
      <c r="T1943" s="22">
        <v>1.94</v>
      </c>
      <c r="U1943" s="13">
        <f t="shared" si="123"/>
        <v>-0.5</v>
      </c>
      <c r="V1943" s="23">
        <v>237.65</v>
      </c>
      <c r="W1943" s="23">
        <v>237.65</v>
      </c>
      <c r="X1943" s="20">
        <v>11</v>
      </c>
      <c r="Y1943" s="24" t="s">
        <v>3737</v>
      </c>
      <c r="Z1943" s="16">
        <v>190.65</v>
      </c>
      <c r="AA1943" s="17">
        <v>405.6</v>
      </c>
      <c r="AB1943" s="25" t="s">
        <v>4995</v>
      </c>
    </row>
    <row r="1944" spans="1:28" x14ac:dyDescent="0.45">
      <c r="A1944" s="4" t="s">
        <v>2542</v>
      </c>
      <c r="B1944" s="4" t="s">
        <v>7036</v>
      </c>
      <c r="C1944" s="4" t="s">
        <v>2137</v>
      </c>
      <c r="D1944" s="4" t="s">
        <v>2138</v>
      </c>
      <c r="E1944" s="4" t="s">
        <v>2139</v>
      </c>
      <c r="F1944" s="5">
        <v>88</v>
      </c>
      <c r="G1944" s="5">
        <v>102</v>
      </c>
      <c r="H1944" s="4" t="s">
        <v>2462</v>
      </c>
      <c r="I1944" s="10">
        <v>401</v>
      </c>
      <c r="J1944" s="34">
        <f t="shared" si="120"/>
        <v>3.4886999999999997</v>
      </c>
      <c r="K1944" s="34">
        <f t="shared" si="121"/>
        <v>5.23</v>
      </c>
      <c r="L1944" s="34">
        <f t="shared" si="122"/>
        <v>20.92</v>
      </c>
      <c r="M1944" s="11" t="s">
        <v>4996</v>
      </c>
      <c r="N1944" s="11" t="s">
        <v>4597</v>
      </c>
      <c r="O1944" s="11" t="s">
        <v>3892</v>
      </c>
      <c r="P1944" s="11" t="s">
        <v>4598</v>
      </c>
      <c r="Q1944" s="12">
        <v>89.3</v>
      </c>
      <c r="R1944" s="12">
        <v>100.7</v>
      </c>
      <c r="S1944" s="12">
        <v>5.7</v>
      </c>
      <c r="T1944" s="13">
        <v>7.39</v>
      </c>
      <c r="U1944" s="13">
        <f t="shared" si="123"/>
        <v>-13.530000000000001</v>
      </c>
      <c r="V1944" s="14">
        <v>905.28</v>
      </c>
      <c r="W1944" s="14">
        <v>905.28</v>
      </c>
      <c r="X1944" s="11">
        <v>123</v>
      </c>
      <c r="Y1944" s="15" t="s">
        <v>3713</v>
      </c>
      <c r="Z1944" s="16">
        <v>504.28</v>
      </c>
      <c r="AA1944" s="17">
        <v>125.8</v>
      </c>
      <c r="AB1944" s="18" t="s">
        <v>4912</v>
      </c>
    </row>
    <row r="1945" spans="1:28" x14ac:dyDescent="0.45">
      <c r="A1945" s="2" t="s">
        <v>2543</v>
      </c>
      <c r="B1945" s="38" t="s">
        <v>7349</v>
      </c>
      <c r="C1945" s="2" t="s">
        <v>2137</v>
      </c>
      <c r="D1945" s="2" t="s">
        <v>2138</v>
      </c>
      <c r="E1945" s="2" t="s">
        <v>2139</v>
      </c>
      <c r="F1945" s="3">
        <v>89.2</v>
      </c>
      <c r="G1945" s="3">
        <v>100.6</v>
      </c>
      <c r="H1945" s="2" t="s">
        <v>1297</v>
      </c>
      <c r="I1945" s="19">
        <v>406</v>
      </c>
      <c r="J1945" s="34">
        <f t="shared" si="120"/>
        <v>3.5321999999999996</v>
      </c>
      <c r="K1945" s="34">
        <f t="shared" si="121"/>
        <v>5.3</v>
      </c>
      <c r="L1945" s="34">
        <f t="shared" si="122"/>
        <v>21.2</v>
      </c>
      <c r="M1945" s="20" t="s">
        <v>4996</v>
      </c>
      <c r="N1945" s="20" t="s">
        <v>4597</v>
      </c>
      <c r="O1945" s="20" t="s">
        <v>3892</v>
      </c>
      <c r="P1945" s="20" t="s">
        <v>4598</v>
      </c>
      <c r="Q1945" s="21">
        <v>89.3</v>
      </c>
      <c r="R1945" s="21">
        <v>100.7</v>
      </c>
      <c r="S1945" s="21">
        <v>5.7</v>
      </c>
      <c r="T1945" s="22">
        <v>7.39</v>
      </c>
      <c r="U1945" s="13">
        <f t="shared" si="123"/>
        <v>-13.809999999999999</v>
      </c>
      <c r="V1945" s="23">
        <v>905.28</v>
      </c>
      <c r="W1945" s="23">
        <v>905.28</v>
      </c>
      <c r="X1945" s="20">
        <v>123</v>
      </c>
      <c r="Y1945" s="24" t="s">
        <v>3713</v>
      </c>
      <c r="Z1945" s="16">
        <v>499.28</v>
      </c>
      <c r="AA1945" s="17">
        <v>123</v>
      </c>
      <c r="AB1945" s="25" t="s">
        <v>4119</v>
      </c>
    </row>
    <row r="1946" spans="1:28" x14ac:dyDescent="0.45">
      <c r="A1946" s="4" t="s">
        <v>2544</v>
      </c>
      <c r="B1946" s="37" t="s">
        <v>7350</v>
      </c>
      <c r="C1946" s="4" t="s">
        <v>2137</v>
      </c>
      <c r="D1946" s="4" t="s">
        <v>2138</v>
      </c>
      <c r="E1946" s="4" t="s">
        <v>2139</v>
      </c>
      <c r="F1946" s="5">
        <v>89.4</v>
      </c>
      <c r="G1946" s="5">
        <v>95.600000000000009</v>
      </c>
      <c r="H1946" s="4" t="s">
        <v>1221</v>
      </c>
      <c r="I1946" s="10">
        <v>103</v>
      </c>
      <c r="J1946" s="34">
        <f t="shared" si="120"/>
        <v>0.8960999999999999</v>
      </c>
      <c r="K1946" s="34">
        <f t="shared" si="121"/>
        <v>1.34</v>
      </c>
      <c r="L1946" s="34">
        <f t="shared" si="122"/>
        <v>5.36</v>
      </c>
      <c r="M1946" s="11" t="s">
        <v>4997</v>
      </c>
      <c r="N1946" s="11" t="s">
        <v>4597</v>
      </c>
      <c r="O1946" s="11" t="s">
        <v>3892</v>
      </c>
      <c r="P1946" s="11" t="s">
        <v>4598</v>
      </c>
      <c r="Q1946" s="12">
        <v>89.5</v>
      </c>
      <c r="R1946" s="12">
        <v>95.5</v>
      </c>
      <c r="S1946" s="12">
        <v>3</v>
      </c>
      <c r="T1946" s="13">
        <v>4.8</v>
      </c>
      <c r="U1946" s="13">
        <f t="shared" si="123"/>
        <v>-0.5600000000000005</v>
      </c>
      <c r="V1946" s="14">
        <v>588</v>
      </c>
      <c r="W1946" s="14">
        <v>588</v>
      </c>
      <c r="X1946" s="11">
        <v>24</v>
      </c>
      <c r="Y1946" s="15" t="s">
        <v>3713</v>
      </c>
      <c r="Z1946" s="16">
        <v>485</v>
      </c>
      <c r="AA1946" s="17">
        <v>470.9</v>
      </c>
      <c r="AB1946" s="18" t="s">
        <v>4119</v>
      </c>
    </row>
    <row r="1947" spans="1:28" x14ac:dyDescent="0.45">
      <c r="A1947" s="2" t="s">
        <v>2545</v>
      </c>
      <c r="B1947" s="2" t="s">
        <v>7037</v>
      </c>
      <c r="C1947" s="2" t="s">
        <v>2137</v>
      </c>
      <c r="D1947" s="2" t="s">
        <v>2138</v>
      </c>
      <c r="E1947" s="2" t="s">
        <v>2139</v>
      </c>
      <c r="F1947" s="3">
        <v>90</v>
      </c>
      <c r="G1947" s="3">
        <v>98</v>
      </c>
      <c r="H1947" s="2" t="s">
        <v>1216</v>
      </c>
      <c r="I1947" s="19">
        <v>172</v>
      </c>
      <c r="J1947" s="34">
        <f t="shared" si="120"/>
        <v>1.4964</v>
      </c>
      <c r="K1947" s="34">
        <f t="shared" si="121"/>
        <v>2.2400000000000002</v>
      </c>
      <c r="L1947" s="34">
        <f t="shared" si="122"/>
        <v>8.9600000000000009</v>
      </c>
      <c r="M1947" s="20" t="s">
        <v>4998</v>
      </c>
      <c r="N1947" s="20" t="s">
        <v>4597</v>
      </c>
      <c r="O1947" s="20" t="s">
        <v>3892</v>
      </c>
      <c r="P1947" s="20" t="s">
        <v>4598</v>
      </c>
      <c r="Q1947" s="21">
        <v>90</v>
      </c>
      <c r="R1947" s="21">
        <v>98</v>
      </c>
      <c r="S1947" s="21">
        <v>4</v>
      </c>
      <c r="T1947" s="22">
        <v>3.66</v>
      </c>
      <c r="U1947" s="13">
        <f t="shared" si="123"/>
        <v>-5.3000000000000007</v>
      </c>
      <c r="V1947" s="23">
        <v>448.35</v>
      </c>
      <c r="W1947" s="23">
        <v>448.35</v>
      </c>
      <c r="X1947" s="20">
        <v>14</v>
      </c>
      <c r="Y1947" s="24" t="s">
        <v>3713</v>
      </c>
      <c r="Z1947" s="16">
        <v>276.35000000000002</v>
      </c>
      <c r="AA1947" s="17">
        <v>160.69999999999999</v>
      </c>
      <c r="AB1947" s="25" t="s">
        <v>3714</v>
      </c>
    </row>
    <row r="1948" spans="1:28" x14ac:dyDescent="0.45">
      <c r="A1948" s="4" t="s">
        <v>2546</v>
      </c>
      <c r="B1948" s="4" t="s">
        <v>7038</v>
      </c>
      <c r="C1948" s="4" t="s">
        <v>2137</v>
      </c>
      <c r="D1948" s="4" t="s">
        <v>2138</v>
      </c>
      <c r="E1948" s="4" t="s">
        <v>2139</v>
      </c>
      <c r="F1948" s="5">
        <v>90</v>
      </c>
      <c r="G1948" s="5">
        <v>100</v>
      </c>
      <c r="H1948" s="4" t="s">
        <v>1245</v>
      </c>
      <c r="I1948" s="10">
        <v>205</v>
      </c>
      <c r="J1948" s="34">
        <f t="shared" si="120"/>
        <v>1.7834999999999999</v>
      </c>
      <c r="K1948" s="34">
        <f t="shared" si="121"/>
        <v>2.68</v>
      </c>
      <c r="L1948" s="34">
        <f t="shared" si="122"/>
        <v>10.72</v>
      </c>
      <c r="M1948" s="11" t="s">
        <v>4999</v>
      </c>
      <c r="N1948" s="11" t="s">
        <v>4597</v>
      </c>
      <c r="O1948" s="11" t="s">
        <v>3892</v>
      </c>
      <c r="P1948" s="11" t="s">
        <v>4598</v>
      </c>
      <c r="Q1948" s="12">
        <v>90</v>
      </c>
      <c r="R1948" s="12">
        <v>100</v>
      </c>
      <c r="S1948" s="12">
        <v>5</v>
      </c>
      <c r="T1948" s="13">
        <v>8.8800000000000008</v>
      </c>
      <c r="U1948" s="13">
        <f t="shared" si="123"/>
        <v>-1.8399999999999999</v>
      </c>
      <c r="V1948" s="14">
        <v>1087.8</v>
      </c>
      <c r="W1948" s="14">
        <v>1087.8</v>
      </c>
      <c r="X1948" s="11">
        <v>257</v>
      </c>
      <c r="Y1948" s="15" t="s">
        <v>3713</v>
      </c>
      <c r="Z1948" s="16">
        <v>882.8</v>
      </c>
      <c r="AA1948" s="17">
        <v>430.6</v>
      </c>
      <c r="AB1948" s="18" t="s">
        <v>3714</v>
      </c>
    </row>
    <row r="1949" spans="1:28" x14ac:dyDescent="0.45">
      <c r="A1949" s="2" t="s">
        <v>2547</v>
      </c>
      <c r="B1949" s="2" t="s">
        <v>7039</v>
      </c>
      <c r="C1949" s="2" t="s">
        <v>2137</v>
      </c>
      <c r="D1949" s="2" t="s">
        <v>2138</v>
      </c>
      <c r="E1949" s="2" t="s">
        <v>2139</v>
      </c>
      <c r="F1949" s="3">
        <v>91.44</v>
      </c>
      <c r="G1949" s="3">
        <v>102.1</v>
      </c>
      <c r="H1949" s="2" t="s">
        <v>1201</v>
      </c>
      <c r="I1949" s="19">
        <v>209</v>
      </c>
      <c r="J1949" s="34">
        <f t="shared" si="120"/>
        <v>1.8182999999999998</v>
      </c>
      <c r="K1949" s="34">
        <f t="shared" si="121"/>
        <v>2.73</v>
      </c>
      <c r="L1949" s="34">
        <f t="shared" si="122"/>
        <v>10.92</v>
      </c>
      <c r="M1949" s="20" t="s">
        <v>5000</v>
      </c>
      <c r="N1949" s="20" t="s">
        <v>4597</v>
      </c>
      <c r="O1949" s="20" t="s">
        <v>3892</v>
      </c>
      <c r="P1949" s="20" t="s">
        <v>4598</v>
      </c>
      <c r="Q1949" s="21">
        <v>91.44</v>
      </c>
      <c r="R1949" s="21">
        <v>102.108</v>
      </c>
      <c r="S1949" s="21">
        <v>5.3339999999999996</v>
      </c>
      <c r="T1949" s="22">
        <v>5.59</v>
      </c>
      <c r="U1949" s="13">
        <f t="shared" si="123"/>
        <v>-5.33</v>
      </c>
      <c r="V1949" s="23">
        <v>684.78</v>
      </c>
      <c r="W1949" s="23">
        <v>684.78</v>
      </c>
      <c r="X1949" s="20">
        <v>73</v>
      </c>
      <c r="Y1949" s="24" t="s">
        <v>3737</v>
      </c>
      <c r="Z1949" s="16">
        <v>475.78</v>
      </c>
      <c r="AA1949" s="17">
        <v>227.6</v>
      </c>
      <c r="AB1949" s="25" t="s">
        <v>4032</v>
      </c>
    </row>
    <row r="1950" spans="1:28" x14ac:dyDescent="0.45">
      <c r="A1950" s="4" t="s">
        <v>2548</v>
      </c>
      <c r="B1950" s="4" t="s">
        <v>7040</v>
      </c>
      <c r="C1950" s="4" t="s">
        <v>2137</v>
      </c>
      <c r="D1950" s="4" t="s">
        <v>2138</v>
      </c>
      <c r="E1950" s="4" t="s">
        <v>2139</v>
      </c>
      <c r="F1950" s="5">
        <v>91.67</v>
      </c>
      <c r="G1950" s="5">
        <v>98.73</v>
      </c>
      <c r="H1950" s="4" t="s">
        <v>1156</v>
      </c>
      <c r="I1950" s="10">
        <v>104</v>
      </c>
      <c r="J1950" s="34">
        <f t="shared" si="120"/>
        <v>0.90479999999999994</v>
      </c>
      <c r="K1950" s="34">
        <f t="shared" si="121"/>
        <v>1.36</v>
      </c>
      <c r="L1950" s="34">
        <f t="shared" si="122"/>
        <v>5.44</v>
      </c>
      <c r="M1950" s="11" t="s">
        <v>5001</v>
      </c>
      <c r="N1950" s="11" t="s">
        <v>4597</v>
      </c>
      <c r="O1950" s="11" t="s">
        <v>3892</v>
      </c>
      <c r="P1950" s="11" t="s">
        <v>4598</v>
      </c>
      <c r="Q1950" s="12">
        <v>91.694000000000003</v>
      </c>
      <c r="R1950" s="12">
        <v>98.805999999999997</v>
      </c>
      <c r="S1950" s="12">
        <v>3.556</v>
      </c>
      <c r="T1950" s="13">
        <v>2.9</v>
      </c>
      <c r="U1950" s="13">
        <f t="shared" si="123"/>
        <v>-2.5400000000000005</v>
      </c>
      <c r="V1950" s="14">
        <v>355.25</v>
      </c>
      <c r="W1950" s="14">
        <v>355.25</v>
      </c>
      <c r="X1950" s="11">
        <v>220</v>
      </c>
      <c r="Y1950" s="15" t="s">
        <v>3737</v>
      </c>
      <c r="Z1950" s="16">
        <v>251.25</v>
      </c>
      <c r="AA1950" s="17">
        <v>241.6</v>
      </c>
      <c r="AB1950" s="18" t="s">
        <v>3945</v>
      </c>
    </row>
    <row r="1951" spans="1:28" x14ac:dyDescent="0.45">
      <c r="A1951" s="2" t="s">
        <v>2549</v>
      </c>
      <c r="B1951" s="2" t="s">
        <v>7041</v>
      </c>
      <c r="C1951" s="2" t="s">
        <v>2137</v>
      </c>
      <c r="D1951" s="2" t="s">
        <v>2138</v>
      </c>
      <c r="E1951" s="2" t="s">
        <v>2139</v>
      </c>
      <c r="F1951" s="3">
        <v>92</v>
      </c>
      <c r="G1951" s="3">
        <v>100</v>
      </c>
      <c r="H1951" s="2" t="s">
        <v>1216</v>
      </c>
      <c r="I1951" s="19">
        <v>175</v>
      </c>
      <c r="J1951" s="34">
        <f t="shared" si="120"/>
        <v>1.5225</v>
      </c>
      <c r="K1951" s="34">
        <f t="shared" si="121"/>
        <v>2.2799999999999998</v>
      </c>
      <c r="L1951" s="34">
        <f t="shared" si="122"/>
        <v>9.1199999999999992</v>
      </c>
      <c r="M1951" s="20" t="s">
        <v>5002</v>
      </c>
      <c r="N1951" s="20" t="s">
        <v>4597</v>
      </c>
      <c r="O1951" s="20" t="s">
        <v>3892</v>
      </c>
      <c r="P1951" s="20" t="s">
        <v>4598</v>
      </c>
      <c r="Q1951" s="21">
        <v>92</v>
      </c>
      <c r="R1951" s="21">
        <v>100</v>
      </c>
      <c r="S1951" s="21">
        <v>4</v>
      </c>
      <c r="T1951" s="22">
        <v>3.25</v>
      </c>
      <c r="U1951" s="13">
        <f t="shared" si="123"/>
        <v>-5.8699999999999992</v>
      </c>
      <c r="V1951" s="23">
        <v>398.12</v>
      </c>
      <c r="W1951" s="23">
        <v>398.12</v>
      </c>
      <c r="X1951" s="20" t="s">
        <v>3722</v>
      </c>
      <c r="Y1951" s="24" t="s">
        <v>3713</v>
      </c>
      <c r="Z1951" s="16">
        <v>223.12</v>
      </c>
      <c r="AA1951" s="17">
        <v>127.5</v>
      </c>
      <c r="AB1951" s="25" t="s">
        <v>3714</v>
      </c>
    </row>
    <row r="1952" spans="1:28" x14ac:dyDescent="0.45">
      <c r="A1952" s="4" t="s">
        <v>2550</v>
      </c>
      <c r="B1952" s="4" t="s">
        <v>7042</v>
      </c>
      <c r="C1952" s="4" t="s">
        <v>2137</v>
      </c>
      <c r="D1952" s="4" t="s">
        <v>2138</v>
      </c>
      <c r="E1952" s="4" t="s">
        <v>2139</v>
      </c>
      <c r="F1952" s="5">
        <v>94.2</v>
      </c>
      <c r="G1952" s="5">
        <v>105.6</v>
      </c>
      <c r="H1952" s="4" t="s">
        <v>1297</v>
      </c>
      <c r="I1952" s="10">
        <v>429</v>
      </c>
      <c r="J1952" s="34">
        <f t="shared" si="120"/>
        <v>3.7323</v>
      </c>
      <c r="K1952" s="34">
        <f t="shared" si="121"/>
        <v>5.6</v>
      </c>
      <c r="L1952" s="34">
        <f t="shared" si="122"/>
        <v>22.4</v>
      </c>
      <c r="M1952" s="11" t="s">
        <v>5003</v>
      </c>
      <c r="N1952" s="11" t="s">
        <v>4597</v>
      </c>
      <c r="O1952" s="11" t="s">
        <v>3892</v>
      </c>
      <c r="P1952" s="11" t="s">
        <v>4598</v>
      </c>
      <c r="Q1952" s="12">
        <v>94.742000000000004</v>
      </c>
      <c r="R1952" s="12">
        <v>105.15600000000001</v>
      </c>
      <c r="S1952" s="12">
        <v>5.3339999999999996</v>
      </c>
      <c r="T1952" s="13">
        <v>5.42</v>
      </c>
      <c r="U1952" s="13">
        <f t="shared" si="123"/>
        <v>-16.979999999999997</v>
      </c>
      <c r="V1952" s="14">
        <v>663.95</v>
      </c>
      <c r="W1952" s="14">
        <v>663.95</v>
      </c>
      <c r="X1952" s="11">
        <v>312</v>
      </c>
      <c r="Y1952" s="15" t="s">
        <v>3737</v>
      </c>
      <c r="Z1952" s="16">
        <v>234.95</v>
      </c>
      <c r="AA1952" s="17">
        <v>54.8</v>
      </c>
      <c r="AB1952" s="18" t="s">
        <v>5004</v>
      </c>
    </row>
    <row r="1953" spans="1:28" x14ac:dyDescent="0.45">
      <c r="A1953" s="2" t="s">
        <v>2551</v>
      </c>
      <c r="B1953" s="2" t="s">
        <v>7043</v>
      </c>
      <c r="C1953" s="2" t="s">
        <v>2137</v>
      </c>
      <c r="D1953" s="2" t="s">
        <v>2138</v>
      </c>
      <c r="E1953" s="2" t="s">
        <v>2139</v>
      </c>
      <c r="F1953" s="3">
        <v>94.4</v>
      </c>
      <c r="G1953" s="3">
        <v>100.6</v>
      </c>
      <c r="H1953" s="2" t="s">
        <v>1221</v>
      </c>
      <c r="I1953" s="19">
        <v>108</v>
      </c>
      <c r="J1953" s="34">
        <f t="shared" si="120"/>
        <v>0.93959999999999999</v>
      </c>
      <c r="K1953" s="34">
        <f t="shared" si="121"/>
        <v>1.41</v>
      </c>
      <c r="L1953" s="34">
        <f t="shared" si="122"/>
        <v>5.64</v>
      </c>
      <c r="M1953" s="20" t="s">
        <v>5005</v>
      </c>
      <c r="N1953" s="20" t="s">
        <v>4597</v>
      </c>
      <c r="O1953" s="20" t="s">
        <v>3892</v>
      </c>
      <c r="P1953" s="20" t="s">
        <v>4598</v>
      </c>
      <c r="Q1953" s="21">
        <v>94.5</v>
      </c>
      <c r="R1953" s="21">
        <v>100.5</v>
      </c>
      <c r="S1953" s="21">
        <v>3</v>
      </c>
      <c r="T1953" s="22">
        <v>4.75</v>
      </c>
      <c r="U1953" s="13">
        <f t="shared" si="123"/>
        <v>-0.88999999999999968</v>
      </c>
      <c r="V1953" s="23">
        <v>581.88</v>
      </c>
      <c r="W1953" s="23">
        <v>581.88</v>
      </c>
      <c r="X1953" s="20">
        <v>434</v>
      </c>
      <c r="Y1953" s="24" t="s">
        <v>3713</v>
      </c>
      <c r="Z1953" s="16">
        <v>473.88</v>
      </c>
      <c r="AA1953" s="17">
        <v>438.8</v>
      </c>
      <c r="AB1953" s="25" t="s">
        <v>4119</v>
      </c>
    </row>
    <row r="1954" spans="1:28" x14ac:dyDescent="0.45">
      <c r="A1954" s="4" t="s">
        <v>2552</v>
      </c>
      <c r="B1954" s="4" t="s">
        <v>7044</v>
      </c>
      <c r="C1954" s="4" t="s">
        <v>2137</v>
      </c>
      <c r="D1954" s="4" t="s">
        <v>2138</v>
      </c>
      <c r="E1954" s="4" t="s">
        <v>2139</v>
      </c>
      <c r="F1954" s="5">
        <v>94.62</v>
      </c>
      <c r="G1954" s="5">
        <v>105.28</v>
      </c>
      <c r="H1954" s="4" t="s">
        <v>1201</v>
      </c>
      <c r="I1954" s="10">
        <v>215</v>
      </c>
      <c r="J1954" s="34">
        <f t="shared" si="120"/>
        <v>1.8704999999999998</v>
      </c>
      <c r="K1954" s="34">
        <f t="shared" si="121"/>
        <v>2.81</v>
      </c>
      <c r="L1954" s="34">
        <f t="shared" si="122"/>
        <v>11.24</v>
      </c>
      <c r="M1954" s="11" t="s">
        <v>5003</v>
      </c>
      <c r="N1954" s="11" t="s">
        <v>4597</v>
      </c>
      <c r="O1954" s="11" t="s">
        <v>3892</v>
      </c>
      <c r="P1954" s="11" t="s">
        <v>4598</v>
      </c>
      <c r="Q1954" s="12">
        <v>94.742000000000004</v>
      </c>
      <c r="R1954" s="12">
        <v>105.15600000000001</v>
      </c>
      <c r="S1954" s="12">
        <v>5.3339999999999996</v>
      </c>
      <c r="T1954" s="13">
        <v>5.42</v>
      </c>
      <c r="U1954" s="13">
        <f t="shared" si="123"/>
        <v>-5.82</v>
      </c>
      <c r="V1954" s="14">
        <v>663.95</v>
      </c>
      <c r="W1954" s="14">
        <v>663.95</v>
      </c>
      <c r="X1954" s="11">
        <v>312</v>
      </c>
      <c r="Y1954" s="15" t="s">
        <v>3737</v>
      </c>
      <c r="Z1954" s="16">
        <v>448.95</v>
      </c>
      <c r="AA1954" s="17">
        <v>208.8</v>
      </c>
      <c r="AB1954" s="18" t="s">
        <v>4169</v>
      </c>
    </row>
    <row r="1955" spans="1:28" x14ac:dyDescent="0.45">
      <c r="A1955" s="2" t="s">
        <v>2553</v>
      </c>
      <c r="B1955" s="2" t="s">
        <v>7045</v>
      </c>
      <c r="C1955" s="2" t="s">
        <v>2137</v>
      </c>
      <c r="D1955" s="2" t="s">
        <v>2138</v>
      </c>
      <c r="E1955" s="2" t="s">
        <v>2139</v>
      </c>
      <c r="F1955" s="3">
        <v>94.84</v>
      </c>
      <c r="G1955" s="3">
        <v>101.9</v>
      </c>
      <c r="H1955" s="2" t="s">
        <v>1156</v>
      </c>
      <c r="I1955" s="19">
        <v>109</v>
      </c>
      <c r="J1955" s="34">
        <f t="shared" si="120"/>
        <v>0.94829999999999992</v>
      </c>
      <c r="K1955" s="34">
        <f t="shared" si="121"/>
        <v>1.42</v>
      </c>
      <c r="L1955" s="34">
        <f t="shared" si="122"/>
        <v>5.68</v>
      </c>
      <c r="M1955" s="20" t="s">
        <v>5006</v>
      </c>
      <c r="N1955" s="20" t="s">
        <v>4597</v>
      </c>
      <c r="O1955" s="20" t="s">
        <v>3892</v>
      </c>
      <c r="P1955" s="20" t="s">
        <v>4598</v>
      </c>
      <c r="Q1955" s="21">
        <v>94.742000000000004</v>
      </c>
      <c r="R1955" s="21">
        <v>101.854</v>
      </c>
      <c r="S1955" s="21">
        <v>3.556</v>
      </c>
      <c r="T1955" s="22">
        <v>2.42</v>
      </c>
      <c r="U1955" s="13">
        <f t="shared" si="123"/>
        <v>-3.26</v>
      </c>
      <c r="V1955" s="23">
        <v>296.45</v>
      </c>
      <c r="W1955" s="23">
        <v>296.45</v>
      </c>
      <c r="X1955" s="20">
        <v>138</v>
      </c>
      <c r="Y1955" s="24" t="s">
        <v>3737</v>
      </c>
      <c r="Z1955" s="16">
        <v>187.45</v>
      </c>
      <c r="AA1955" s="17">
        <v>172</v>
      </c>
      <c r="AB1955" s="25" t="s">
        <v>3963</v>
      </c>
    </row>
    <row r="1956" spans="1:28" x14ac:dyDescent="0.45">
      <c r="A1956" s="4" t="s">
        <v>2554</v>
      </c>
      <c r="B1956" s="4" t="s">
        <v>7046</v>
      </c>
      <c r="C1956" s="4" t="s">
        <v>2137</v>
      </c>
      <c r="D1956" s="4" t="s">
        <v>2138</v>
      </c>
      <c r="E1956" s="4" t="s">
        <v>2139</v>
      </c>
      <c r="F1956" s="5">
        <v>94.92</v>
      </c>
      <c r="G1956" s="5">
        <v>100.16</v>
      </c>
      <c r="H1956" s="4" t="s">
        <v>1127</v>
      </c>
      <c r="I1956" s="10">
        <v>59</v>
      </c>
      <c r="J1956" s="34">
        <f t="shared" si="120"/>
        <v>0.51329999999999998</v>
      </c>
      <c r="K1956" s="34">
        <f t="shared" si="121"/>
        <v>0.77</v>
      </c>
      <c r="L1956" s="34">
        <f t="shared" si="122"/>
        <v>3.08</v>
      </c>
      <c r="M1956" s="11" t="s">
        <v>5007</v>
      </c>
      <c r="N1956" s="11" t="s">
        <v>4597</v>
      </c>
      <c r="O1956" s="11" t="s">
        <v>3892</v>
      </c>
      <c r="P1956" s="11" t="s">
        <v>4598</v>
      </c>
      <c r="Q1956" s="12">
        <v>95</v>
      </c>
      <c r="R1956" s="12">
        <v>100</v>
      </c>
      <c r="S1956" s="12">
        <v>2.5</v>
      </c>
      <c r="T1956" s="13">
        <v>3.16</v>
      </c>
      <c r="U1956" s="13">
        <f t="shared" si="123"/>
        <v>8.0000000000000071E-2</v>
      </c>
      <c r="V1956" s="14">
        <v>387.1</v>
      </c>
      <c r="W1956" s="14">
        <v>387.1</v>
      </c>
      <c r="X1956" s="11">
        <v>49</v>
      </c>
      <c r="Y1956" s="15" t="s">
        <v>3713</v>
      </c>
      <c r="Z1956" s="16">
        <v>328.1</v>
      </c>
      <c r="AA1956" s="17">
        <v>556.1</v>
      </c>
      <c r="AB1956" s="18" t="s">
        <v>4782</v>
      </c>
    </row>
    <row r="1957" spans="1:28" x14ac:dyDescent="0.45">
      <c r="A1957" s="2" t="s">
        <v>2555</v>
      </c>
      <c r="B1957" s="2" t="s">
        <v>7047</v>
      </c>
      <c r="C1957" s="2" t="s">
        <v>2137</v>
      </c>
      <c r="D1957" s="2" t="s">
        <v>2138</v>
      </c>
      <c r="E1957" s="2" t="s">
        <v>2139</v>
      </c>
      <c r="F1957" s="3">
        <v>94.99</v>
      </c>
      <c r="G1957" s="3">
        <v>98.55</v>
      </c>
      <c r="H1957" s="2" t="s">
        <v>1114</v>
      </c>
      <c r="I1957" s="19">
        <v>44</v>
      </c>
      <c r="J1957" s="34">
        <f t="shared" si="120"/>
        <v>0.38279999999999997</v>
      </c>
      <c r="K1957" s="34">
        <f t="shared" si="121"/>
        <v>0.56999999999999995</v>
      </c>
      <c r="L1957" s="34">
        <f t="shared" si="122"/>
        <v>2.2799999999999998</v>
      </c>
      <c r="M1957" s="20" t="s">
        <v>5008</v>
      </c>
      <c r="N1957" s="20" t="s">
        <v>4597</v>
      </c>
      <c r="O1957" s="20" t="s">
        <v>3892</v>
      </c>
      <c r="P1957" s="20" t="s">
        <v>4598</v>
      </c>
      <c r="Q1957" s="21">
        <v>94.995999999999995</v>
      </c>
      <c r="R1957" s="21">
        <v>98.552000000000007</v>
      </c>
      <c r="S1957" s="21">
        <v>1.778</v>
      </c>
      <c r="T1957" s="22">
        <v>2.6</v>
      </c>
      <c r="U1957" s="13">
        <f t="shared" si="123"/>
        <v>0.32000000000000028</v>
      </c>
      <c r="V1957" s="23">
        <v>318.5</v>
      </c>
      <c r="W1957" s="23">
        <v>318.5</v>
      </c>
      <c r="X1957" s="20">
        <v>480</v>
      </c>
      <c r="Y1957" s="24" t="s">
        <v>3737</v>
      </c>
      <c r="Z1957" s="16">
        <v>274.5</v>
      </c>
      <c r="AA1957" s="17">
        <v>623.9</v>
      </c>
      <c r="AB1957" s="25" t="s">
        <v>4174</v>
      </c>
    </row>
    <row r="1958" spans="1:28" x14ac:dyDescent="0.45">
      <c r="A1958" s="4" t="s">
        <v>2556</v>
      </c>
      <c r="B1958" s="4" t="s">
        <v>7048</v>
      </c>
      <c r="C1958" s="4" t="s">
        <v>2137</v>
      </c>
      <c r="D1958" s="4" t="s">
        <v>2138</v>
      </c>
      <c r="E1958" s="4" t="s">
        <v>2139</v>
      </c>
      <c r="F1958" s="5">
        <v>94</v>
      </c>
      <c r="G1958" s="5">
        <v>101</v>
      </c>
      <c r="H1958" s="4" t="s">
        <v>1187</v>
      </c>
      <c r="I1958" s="10">
        <v>108</v>
      </c>
      <c r="J1958" s="34">
        <f t="shared" si="120"/>
        <v>0.93959999999999999</v>
      </c>
      <c r="K1958" s="34">
        <f t="shared" si="121"/>
        <v>1.41</v>
      </c>
      <c r="L1958" s="34">
        <f t="shared" si="122"/>
        <v>5.64</v>
      </c>
      <c r="M1958" s="11" t="s">
        <v>5009</v>
      </c>
      <c r="N1958" s="11" t="s">
        <v>4597</v>
      </c>
      <c r="O1958" s="11" t="s">
        <v>3892</v>
      </c>
      <c r="P1958" s="11" t="s">
        <v>4598</v>
      </c>
      <c r="Q1958" s="12">
        <v>94</v>
      </c>
      <c r="R1958" s="12">
        <v>101</v>
      </c>
      <c r="S1958" s="12">
        <v>3.5</v>
      </c>
      <c r="T1958" s="13">
        <v>5.59</v>
      </c>
      <c r="U1958" s="13">
        <f t="shared" si="123"/>
        <v>-4.9999999999999822E-2</v>
      </c>
      <c r="V1958" s="14">
        <v>684.78</v>
      </c>
      <c r="W1958" s="14">
        <v>684.78</v>
      </c>
      <c r="X1958" s="11">
        <v>42</v>
      </c>
      <c r="Y1958" s="15" t="s">
        <v>3713</v>
      </c>
      <c r="Z1958" s="16">
        <v>576.78</v>
      </c>
      <c r="AA1958" s="17">
        <v>534.1</v>
      </c>
      <c r="AB1958" s="18" t="s">
        <v>3714</v>
      </c>
    </row>
    <row r="1959" spans="1:28" x14ac:dyDescent="0.45">
      <c r="A1959" s="2" t="s">
        <v>2557</v>
      </c>
      <c r="B1959" s="2" t="s">
        <v>7049</v>
      </c>
      <c r="C1959" s="2" t="s">
        <v>2137</v>
      </c>
      <c r="D1959" s="2" t="s">
        <v>2138</v>
      </c>
      <c r="E1959" s="2" t="s">
        <v>2139</v>
      </c>
      <c r="F1959" s="3">
        <v>95</v>
      </c>
      <c r="G1959" s="3">
        <v>105</v>
      </c>
      <c r="H1959" s="2" t="s">
        <v>1245</v>
      </c>
      <c r="I1959" s="19">
        <v>217</v>
      </c>
      <c r="J1959" s="34">
        <f t="shared" si="120"/>
        <v>1.8878999999999999</v>
      </c>
      <c r="K1959" s="34">
        <f t="shared" si="121"/>
        <v>2.83</v>
      </c>
      <c r="L1959" s="34">
        <f t="shared" si="122"/>
        <v>11.32</v>
      </c>
      <c r="M1959" s="20" t="s">
        <v>5003</v>
      </c>
      <c r="N1959" s="20" t="s">
        <v>4597</v>
      </c>
      <c r="O1959" s="20" t="s">
        <v>3892</v>
      </c>
      <c r="P1959" s="20" t="s">
        <v>4598</v>
      </c>
      <c r="Q1959" s="21">
        <v>94.742000000000004</v>
      </c>
      <c r="R1959" s="21">
        <v>105.15600000000001</v>
      </c>
      <c r="S1959" s="21">
        <v>5.3339999999999996</v>
      </c>
      <c r="T1959" s="22">
        <v>5.42</v>
      </c>
      <c r="U1959" s="13">
        <f t="shared" si="123"/>
        <v>-5.9</v>
      </c>
      <c r="V1959" s="23">
        <v>663.95</v>
      </c>
      <c r="W1959" s="23">
        <v>663.95</v>
      </c>
      <c r="X1959" s="20">
        <v>312</v>
      </c>
      <c r="Y1959" s="24" t="s">
        <v>3737</v>
      </c>
      <c r="Z1959" s="16">
        <v>446.95</v>
      </c>
      <c r="AA1959" s="17">
        <v>206</v>
      </c>
      <c r="AB1959" s="25" t="s">
        <v>5010</v>
      </c>
    </row>
    <row r="1960" spans="1:28" x14ac:dyDescent="0.45">
      <c r="A1960" s="4" t="s">
        <v>2558</v>
      </c>
      <c r="B1960" s="4" t="s">
        <v>7050</v>
      </c>
      <c r="C1960" s="4" t="s">
        <v>2137</v>
      </c>
      <c r="D1960" s="4" t="s">
        <v>2138</v>
      </c>
      <c r="E1960" s="4" t="s">
        <v>2139</v>
      </c>
      <c r="F1960" s="5">
        <v>97.79</v>
      </c>
      <c r="G1960" s="5">
        <v>108.45</v>
      </c>
      <c r="H1960" s="4" t="s">
        <v>1201</v>
      </c>
      <c r="I1960" s="10">
        <v>224</v>
      </c>
      <c r="J1960" s="34">
        <f t="shared" si="120"/>
        <v>1.9487999999999999</v>
      </c>
      <c r="K1960" s="34">
        <f t="shared" si="121"/>
        <v>2.92</v>
      </c>
      <c r="L1960" s="34">
        <f t="shared" si="122"/>
        <v>11.68</v>
      </c>
      <c r="M1960" s="11" t="s">
        <v>5011</v>
      </c>
      <c r="N1960" s="11" t="s">
        <v>4597</v>
      </c>
      <c r="O1960" s="11" t="s">
        <v>3892</v>
      </c>
      <c r="P1960" s="11" t="s">
        <v>4598</v>
      </c>
      <c r="Q1960" s="12">
        <v>97.79</v>
      </c>
      <c r="R1960" s="12">
        <v>108.458</v>
      </c>
      <c r="S1960" s="12">
        <v>5.3339999999999996</v>
      </c>
      <c r="T1960" s="13">
        <v>5.91</v>
      </c>
      <c r="U1960" s="13">
        <f t="shared" si="123"/>
        <v>-5.77</v>
      </c>
      <c r="V1960" s="14">
        <v>723.98</v>
      </c>
      <c r="W1960" s="14">
        <v>723.98</v>
      </c>
      <c r="X1960" s="11">
        <v>3</v>
      </c>
      <c r="Y1960" s="15" t="s">
        <v>3737</v>
      </c>
      <c r="Z1960" s="16">
        <v>499.98</v>
      </c>
      <c r="AA1960" s="17">
        <v>223.2</v>
      </c>
      <c r="AB1960" s="18" t="s">
        <v>4032</v>
      </c>
    </row>
    <row r="1961" spans="1:28" x14ac:dyDescent="0.45">
      <c r="A1961" s="2" t="s">
        <v>2559</v>
      </c>
      <c r="B1961" s="2" t="s">
        <v>7051</v>
      </c>
      <c r="C1961" s="2" t="s">
        <v>2137</v>
      </c>
      <c r="D1961" s="2" t="s">
        <v>2138</v>
      </c>
      <c r="E1961" s="2" t="s">
        <v>2139</v>
      </c>
      <c r="F1961" s="3">
        <v>98.02</v>
      </c>
      <c r="G1961" s="3">
        <v>105.08</v>
      </c>
      <c r="H1961" s="2" t="s">
        <v>1156</v>
      </c>
      <c r="I1961" s="19">
        <v>113</v>
      </c>
      <c r="J1961" s="34">
        <f t="shared" si="120"/>
        <v>0.98309999999999997</v>
      </c>
      <c r="K1961" s="34">
        <f t="shared" si="121"/>
        <v>1.47</v>
      </c>
      <c r="L1961" s="34">
        <f t="shared" si="122"/>
        <v>5.88</v>
      </c>
      <c r="M1961" s="20" t="s">
        <v>5012</v>
      </c>
      <c r="N1961" s="20" t="s">
        <v>4597</v>
      </c>
      <c r="O1961" s="20" t="s">
        <v>3892</v>
      </c>
      <c r="P1961" s="20" t="s">
        <v>4598</v>
      </c>
      <c r="Q1961" s="21">
        <v>98.043999999999997</v>
      </c>
      <c r="R1961" s="21">
        <v>105.15600000000001</v>
      </c>
      <c r="S1961" s="21">
        <v>3.556</v>
      </c>
      <c r="T1961" s="22">
        <v>3.79</v>
      </c>
      <c r="U1961" s="13">
        <f t="shared" si="123"/>
        <v>-2.09</v>
      </c>
      <c r="V1961" s="23">
        <v>464.28</v>
      </c>
      <c r="W1961" s="23">
        <v>464.28</v>
      </c>
      <c r="X1961" s="20">
        <v>116</v>
      </c>
      <c r="Y1961" s="24" t="s">
        <v>3737</v>
      </c>
      <c r="Z1961" s="16">
        <v>351.28</v>
      </c>
      <c r="AA1961" s="17">
        <v>310.89999999999998</v>
      </c>
      <c r="AB1961" s="25" t="s">
        <v>3945</v>
      </c>
    </row>
    <row r="1962" spans="1:28" x14ac:dyDescent="0.45">
      <c r="A1962" s="4" t="s">
        <v>2560</v>
      </c>
      <c r="B1962" s="4" t="s">
        <v>7052</v>
      </c>
      <c r="C1962" s="4" t="s">
        <v>2137</v>
      </c>
      <c r="D1962" s="4" t="s">
        <v>2138</v>
      </c>
      <c r="E1962" s="4" t="s">
        <v>2139</v>
      </c>
      <c r="F1962" s="5">
        <v>99.2</v>
      </c>
      <c r="G1962" s="5">
        <v>110.6</v>
      </c>
      <c r="H1962" s="4" t="s">
        <v>1297</v>
      </c>
      <c r="I1962" s="10">
        <v>451</v>
      </c>
      <c r="J1962" s="34">
        <f t="shared" si="120"/>
        <v>3.9236999999999997</v>
      </c>
      <c r="K1962" s="34">
        <f t="shared" si="121"/>
        <v>5.89</v>
      </c>
      <c r="L1962" s="34">
        <f t="shared" si="122"/>
        <v>23.56</v>
      </c>
      <c r="M1962" s="11" t="s">
        <v>5013</v>
      </c>
      <c r="N1962" s="11" t="s">
        <v>4597</v>
      </c>
      <c r="O1962" s="11" t="s">
        <v>3892</v>
      </c>
      <c r="P1962" s="11" t="s">
        <v>4598</v>
      </c>
      <c r="Q1962" s="12">
        <v>99.3</v>
      </c>
      <c r="R1962" s="12">
        <v>110.7</v>
      </c>
      <c r="S1962" s="12">
        <v>5.7</v>
      </c>
      <c r="T1962" s="13">
        <v>12.82</v>
      </c>
      <c r="U1962" s="13">
        <f t="shared" si="123"/>
        <v>-10.739999999999998</v>
      </c>
      <c r="V1962" s="14">
        <v>1570.45</v>
      </c>
      <c r="W1962" s="14">
        <v>1570.45</v>
      </c>
      <c r="X1962" s="11" t="s">
        <v>3722</v>
      </c>
      <c r="Y1962" s="15" t="s">
        <v>3713</v>
      </c>
      <c r="Z1962" s="16">
        <v>1119.45</v>
      </c>
      <c r="AA1962" s="17">
        <v>248.2</v>
      </c>
      <c r="AB1962" s="18" t="s">
        <v>4119</v>
      </c>
    </row>
    <row r="1963" spans="1:28" x14ac:dyDescent="0.45">
      <c r="A1963" s="2" t="s">
        <v>2561</v>
      </c>
      <c r="B1963" s="2" t="s">
        <v>7053</v>
      </c>
      <c r="C1963" s="2" t="s">
        <v>2137</v>
      </c>
      <c r="D1963" s="2" t="s">
        <v>2138</v>
      </c>
      <c r="E1963" s="2" t="s">
        <v>2139</v>
      </c>
      <c r="F1963" s="3">
        <v>99.4</v>
      </c>
      <c r="G1963" s="3">
        <v>105.6</v>
      </c>
      <c r="H1963" s="2" t="s">
        <v>1221</v>
      </c>
      <c r="I1963" s="19">
        <v>114</v>
      </c>
      <c r="J1963" s="34">
        <f t="shared" si="120"/>
        <v>0.9917999999999999</v>
      </c>
      <c r="K1963" s="34">
        <f t="shared" si="121"/>
        <v>1.49</v>
      </c>
      <c r="L1963" s="34">
        <f t="shared" si="122"/>
        <v>5.96</v>
      </c>
      <c r="M1963" s="20" t="s">
        <v>5014</v>
      </c>
      <c r="N1963" s="20" t="s">
        <v>4597</v>
      </c>
      <c r="O1963" s="20" t="s">
        <v>3892</v>
      </c>
      <c r="P1963" s="20" t="s">
        <v>4598</v>
      </c>
      <c r="Q1963" s="21">
        <v>99.5</v>
      </c>
      <c r="R1963" s="21">
        <v>105.5</v>
      </c>
      <c r="S1963" s="21">
        <v>3</v>
      </c>
      <c r="T1963" s="22">
        <v>5.33</v>
      </c>
      <c r="U1963" s="13">
        <f t="shared" si="123"/>
        <v>-0.62999999999999989</v>
      </c>
      <c r="V1963" s="23">
        <v>652.91999999999996</v>
      </c>
      <c r="W1963" s="23">
        <v>652.91999999999996</v>
      </c>
      <c r="X1963" s="20">
        <v>12</v>
      </c>
      <c r="Y1963" s="24" t="s">
        <v>3713</v>
      </c>
      <c r="Z1963" s="16">
        <v>538.91999999999996</v>
      </c>
      <c r="AA1963" s="17">
        <v>472.7</v>
      </c>
      <c r="AB1963" s="25" t="s">
        <v>4119</v>
      </c>
    </row>
    <row r="1964" spans="1:28" x14ac:dyDescent="0.45">
      <c r="A1964" s="4" t="s">
        <v>2562</v>
      </c>
      <c r="B1964" s="4" t="s">
        <v>7054</v>
      </c>
      <c r="C1964" s="4" t="s">
        <v>2137</v>
      </c>
      <c r="D1964" s="4" t="s">
        <v>2138</v>
      </c>
      <c r="E1964" s="4" t="s">
        <v>2139</v>
      </c>
      <c r="F1964" s="5">
        <v>100.97</v>
      </c>
      <c r="G1964" s="5">
        <v>111.63</v>
      </c>
      <c r="H1964" s="4" t="s">
        <v>1201</v>
      </c>
      <c r="I1964" s="10">
        <v>230</v>
      </c>
      <c r="J1964" s="34">
        <f t="shared" si="120"/>
        <v>2.0009999999999999</v>
      </c>
      <c r="K1964" s="34">
        <f t="shared" si="121"/>
        <v>3</v>
      </c>
      <c r="L1964" s="34">
        <f t="shared" si="122"/>
        <v>12</v>
      </c>
      <c r="M1964" s="11" t="s">
        <v>5015</v>
      </c>
      <c r="N1964" s="11" t="s">
        <v>4597</v>
      </c>
      <c r="O1964" s="11" t="s">
        <v>3892</v>
      </c>
      <c r="P1964" s="11" t="s">
        <v>4598</v>
      </c>
      <c r="Q1964" s="12">
        <v>101.092</v>
      </c>
      <c r="R1964" s="12">
        <v>111.506</v>
      </c>
      <c r="S1964" s="12">
        <v>5.3339999999999996</v>
      </c>
      <c r="T1964" s="13">
        <v>6.09</v>
      </c>
      <c r="U1964" s="13">
        <f t="shared" si="123"/>
        <v>-5.91</v>
      </c>
      <c r="V1964" s="14">
        <v>746.02</v>
      </c>
      <c r="W1964" s="14">
        <v>746.02</v>
      </c>
      <c r="X1964" s="11">
        <v>12</v>
      </c>
      <c r="Y1964" s="15" t="s">
        <v>3737</v>
      </c>
      <c r="Z1964" s="16">
        <v>516.02</v>
      </c>
      <c r="AA1964" s="17">
        <v>224.4</v>
      </c>
      <c r="AB1964" s="18" t="s">
        <v>4169</v>
      </c>
    </row>
    <row r="1965" spans="1:28" x14ac:dyDescent="0.45">
      <c r="A1965" s="2" t="s">
        <v>2563</v>
      </c>
      <c r="B1965" s="2" t="s">
        <v>7055</v>
      </c>
      <c r="C1965" s="2" t="s">
        <v>2137</v>
      </c>
      <c r="D1965" s="2" t="s">
        <v>2138</v>
      </c>
      <c r="E1965" s="2" t="s">
        <v>2139</v>
      </c>
      <c r="F1965" s="3">
        <v>100</v>
      </c>
      <c r="G1965" s="3">
        <v>108</v>
      </c>
      <c r="H1965" s="2" t="s">
        <v>1216</v>
      </c>
      <c r="I1965" s="19">
        <v>190</v>
      </c>
      <c r="J1965" s="34">
        <f t="shared" si="120"/>
        <v>1.6529999999999998</v>
      </c>
      <c r="K1965" s="34">
        <f t="shared" si="121"/>
        <v>2.48</v>
      </c>
      <c r="L1965" s="34">
        <f t="shared" si="122"/>
        <v>9.92</v>
      </c>
      <c r="M1965" s="20" t="s">
        <v>5016</v>
      </c>
      <c r="N1965" s="20" t="s">
        <v>4597</v>
      </c>
      <c r="O1965" s="20" t="s">
        <v>3892</v>
      </c>
      <c r="P1965" s="20" t="s">
        <v>4598</v>
      </c>
      <c r="Q1965" s="21">
        <v>100</v>
      </c>
      <c r="R1965" s="21">
        <v>108</v>
      </c>
      <c r="S1965" s="21">
        <v>4</v>
      </c>
      <c r="T1965" s="22">
        <v>3.54</v>
      </c>
      <c r="U1965" s="13">
        <f t="shared" si="123"/>
        <v>-6.38</v>
      </c>
      <c r="V1965" s="23">
        <v>433.65</v>
      </c>
      <c r="W1965" s="23">
        <v>433.65</v>
      </c>
      <c r="X1965" s="20">
        <v>324</v>
      </c>
      <c r="Y1965" s="24" t="s">
        <v>3713</v>
      </c>
      <c r="Z1965" s="16">
        <v>243.65</v>
      </c>
      <c r="AA1965" s="17">
        <v>128.19999999999999</v>
      </c>
      <c r="AB1965" s="25" t="s">
        <v>3714</v>
      </c>
    </row>
    <row r="1966" spans="1:28" x14ac:dyDescent="0.45">
      <c r="A1966" s="4" t="s">
        <v>2564</v>
      </c>
      <c r="B1966" s="4" t="s">
        <v>7056</v>
      </c>
      <c r="C1966" s="4" t="s">
        <v>2137</v>
      </c>
      <c r="D1966" s="4" t="s">
        <v>2138</v>
      </c>
      <c r="E1966" s="4" t="s">
        <v>2139</v>
      </c>
      <c r="F1966" s="5">
        <v>100</v>
      </c>
      <c r="G1966" s="5">
        <v>110</v>
      </c>
      <c r="H1966" s="4" t="s">
        <v>1245</v>
      </c>
      <c r="I1966" s="10">
        <v>227</v>
      </c>
      <c r="J1966" s="34">
        <f t="shared" si="120"/>
        <v>1.9748999999999999</v>
      </c>
      <c r="K1966" s="34">
        <f t="shared" si="121"/>
        <v>2.96</v>
      </c>
      <c r="L1966" s="34">
        <f t="shared" si="122"/>
        <v>11.84</v>
      </c>
      <c r="M1966" s="11" t="s">
        <v>5017</v>
      </c>
      <c r="N1966" s="11" t="s">
        <v>4597</v>
      </c>
      <c r="O1966" s="11" t="s">
        <v>3892</v>
      </c>
      <c r="P1966" s="11" t="s">
        <v>4598</v>
      </c>
      <c r="Q1966" s="12">
        <v>100</v>
      </c>
      <c r="R1966" s="12">
        <v>110</v>
      </c>
      <c r="S1966" s="12">
        <v>5</v>
      </c>
      <c r="T1966" s="13">
        <v>9.15</v>
      </c>
      <c r="U1966" s="13">
        <f t="shared" si="123"/>
        <v>-2.6899999999999995</v>
      </c>
      <c r="V1966" s="14">
        <v>1120.8800000000001</v>
      </c>
      <c r="W1966" s="14">
        <v>1120.8800000000001</v>
      </c>
      <c r="X1966" s="11">
        <v>3</v>
      </c>
      <c r="Y1966" s="15" t="s">
        <v>3713</v>
      </c>
      <c r="Z1966" s="16">
        <v>893.88000000000011</v>
      </c>
      <c r="AA1966" s="17">
        <v>393.8</v>
      </c>
      <c r="AB1966" s="18" t="s">
        <v>3714</v>
      </c>
    </row>
    <row r="1967" spans="1:28" x14ac:dyDescent="0.45">
      <c r="A1967" s="2" t="s">
        <v>2565</v>
      </c>
      <c r="B1967" s="2" t="s">
        <v>7057</v>
      </c>
      <c r="C1967" s="2" t="s">
        <v>2137</v>
      </c>
      <c r="D1967" s="2" t="s">
        <v>2138</v>
      </c>
      <c r="E1967" s="2" t="s">
        <v>2139</v>
      </c>
      <c r="F1967" s="3">
        <v>100</v>
      </c>
      <c r="G1967" s="3">
        <v>112</v>
      </c>
      <c r="H1967" s="2" t="s">
        <v>1635</v>
      </c>
      <c r="I1967" s="19">
        <v>454</v>
      </c>
      <c r="J1967" s="34">
        <f t="shared" si="120"/>
        <v>3.9497999999999998</v>
      </c>
      <c r="K1967" s="34">
        <f t="shared" si="121"/>
        <v>5.92</v>
      </c>
      <c r="L1967" s="34">
        <f t="shared" si="122"/>
        <v>23.68</v>
      </c>
      <c r="M1967" s="20" t="s">
        <v>5015</v>
      </c>
      <c r="N1967" s="20" t="s">
        <v>4597</v>
      </c>
      <c r="O1967" s="20" t="s">
        <v>3892</v>
      </c>
      <c r="P1967" s="20" t="s">
        <v>4598</v>
      </c>
      <c r="Q1967" s="21">
        <v>101.092</v>
      </c>
      <c r="R1967" s="21">
        <v>111.506</v>
      </c>
      <c r="S1967" s="21">
        <v>5.3339999999999996</v>
      </c>
      <c r="T1967" s="22">
        <v>6.09</v>
      </c>
      <c r="U1967" s="13">
        <f t="shared" si="123"/>
        <v>-17.59</v>
      </c>
      <c r="V1967" s="23">
        <v>746.02</v>
      </c>
      <c r="W1967" s="23">
        <v>746.02</v>
      </c>
      <c r="X1967" s="20">
        <v>12</v>
      </c>
      <c r="Y1967" s="24" t="s">
        <v>3737</v>
      </c>
      <c r="Z1967" s="16">
        <v>292.02</v>
      </c>
      <c r="AA1967" s="17">
        <v>64.3</v>
      </c>
      <c r="AB1967" s="25" t="s">
        <v>5018</v>
      </c>
    </row>
    <row r="1968" spans="1:28" x14ac:dyDescent="0.45">
      <c r="A1968" s="4" t="s">
        <v>2566</v>
      </c>
      <c r="B1968" s="4" t="s">
        <v>7058</v>
      </c>
      <c r="C1968" s="4" t="s">
        <v>2137</v>
      </c>
      <c r="D1968" s="4" t="s">
        <v>2138</v>
      </c>
      <c r="E1968" s="4" t="s">
        <v>2139</v>
      </c>
      <c r="F1968" s="5">
        <v>101.19</v>
      </c>
      <c r="G1968" s="5">
        <v>108.25</v>
      </c>
      <c r="H1968" s="4" t="s">
        <v>1156</v>
      </c>
      <c r="I1968" s="10">
        <v>116</v>
      </c>
      <c r="J1968" s="34">
        <f t="shared" si="120"/>
        <v>1.0091999999999999</v>
      </c>
      <c r="K1968" s="34">
        <f t="shared" si="121"/>
        <v>1.51</v>
      </c>
      <c r="L1968" s="34">
        <f t="shared" si="122"/>
        <v>6.04</v>
      </c>
      <c r="M1968" s="11" t="s">
        <v>5019</v>
      </c>
      <c r="N1968" s="11" t="s">
        <v>4597</v>
      </c>
      <c r="O1968" s="11" t="s">
        <v>3892</v>
      </c>
      <c r="P1968" s="11" t="s">
        <v>4598</v>
      </c>
      <c r="Q1968" s="12">
        <v>101.092</v>
      </c>
      <c r="R1968" s="12">
        <v>108.20399999999999</v>
      </c>
      <c r="S1968" s="12">
        <v>3.556</v>
      </c>
      <c r="T1968" s="13">
        <v>3.26</v>
      </c>
      <c r="U1968" s="13">
        <f t="shared" si="123"/>
        <v>-2.7800000000000002</v>
      </c>
      <c r="V1968" s="14">
        <v>399.35</v>
      </c>
      <c r="W1968" s="14">
        <v>399.35</v>
      </c>
      <c r="X1968" s="11">
        <v>24</v>
      </c>
      <c r="Y1968" s="15" t="s">
        <v>3737</v>
      </c>
      <c r="Z1968" s="16">
        <v>283.35000000000002</v>
      </c>
      <c r="AA1968" s="17">
        <v>244.3</v>
      </c>
      <c r="AB1968" s="18" t="s">
        <v>3963</v>
      </c>
    </row>
    <row r="1969" spans="1:28" x14ac:dyDescent="0.45">
      <c r="A1969" s="2" t="s">
        <v>2567</v>
      </c>
      <c r="B1969" s="2" t="s">
        <v>7059</v>
      </c>
      <c r="C1969" s="2" t="s">
        <v>2137</v>
      </c>
      <c r="D1969" s="2" t="s">
        <v>2138</v>
      </c>
      <c r="E1969" s="2" t="s">
        <v>2139</v>
      </c>
      <c r="F1969" s="3">
        <v>101.27</v>
      </c>
      <c r="G1969" s="3">
        <v>106.51</v>
      </c>
      <c r="H1969" s="2" t="s">
        <v>1127</v>
      </c>
      <c r="I1969" s="19">
        <v>62</v>
      </c>
      <c r="J1969" s="34">
        <f t="shared" si="120"/>
        <v>0.53939999999999999</v>
      </c>
      <c r="K1969" s="34">
        <f t="shared" si="121"/>
        <v>0.81</v>
      </c>
      <c r="L1969" s="34">
        <f t="shared" si="122"/>
        <v>3.24</v>
      </c>
      <c r="M1969" s="20" t="s">
        <v>5020</v>
      </c>
      <c r="N1969" s="20" t="s">
        <v>4597</v>
      </c>
      <c r="O1969" s="20" t="s">
        <v>3892</v>
      </c>
      <c r="P1969" s="20" t="s">
        <v>4598</v>
      </c>
      <c r="Q1969" s="21">
        <v>101.346</v>
      </c>
      <c r="R1969" s="21">
        <v>106.426</v>
      </c>
      <c r="S1969" s="21">
        <v>2.54</v>
      </c>
      <c r="T1969" s="22">
        <v>2.34</v>
      </c>
      <c r="U1969" s="13">
        <f t="shared" si="123"/>
        <v>-0.90000000000000036</v>
      </c>
      <c r="V1969" s="23">
        <v>286.64999999999998</v>
      </c>
      <c r="W1969" s="23">
        <v>286.64999999999998</v>
      </c>
      <c r="X1969" s="20">
        <v>49</v>
      </c>
      <c r="Y1969" s="24" t="s">
        <v>3737</v>
      </c>
      <c r="Z1969" s="16">
        <v>224.65</v>
      </c>
      <c r="AA1969" s="17">
        <v>362.3</v>
      </c>
      <c r="AB1969" s="25" t="s">
        <v>4022</v>
      </c>
    </row>
    <row r="1970" spans="1:28" x14ac:dyDescent="0.45">
      <c r="A1970" s="4" t="s">
        <v>2568</v>
      </c>
      <c r="B1970" s="4" t="s">
        <v>7060</v>
      </c>
      <c r="C1970" s="4" t="s">
        <v>2137</v>
      </c>
      <c r="D1970" s="4" t="s">
        <v>2138</v>
      </c>
      <c r="E1970" s="4" t="s">
        <v>2139</v>
      </c>
      <c r="F1970" s="5">
        <v>101</v>
      </c>
      <c r="G1970" s="5">
        <v>114.98</v>
      </c>
      <c r="H1970" s="4" t="s">
        <v>1368</v>
      </c>
      <c r="I1970" s="10">
        <v>459</v>
      </c>
      <c r="J1970" s="34">
        <f t="shared" si="120"/>
        <v>3.9932999999999996</v>
      </c>
      <c r="K1970" s="34">
        <f t="shared" si="121"/>
        <v>5.99</v>
      </c>
      <c r="L1970" s="34">
        <f t="shared" si="122"/>
        <v>23.96</v>
      </c>
      <c r="M1970" s="11" t="s">
        <v>5021</v>
      </c>
      <c r="N1970" s="11" t="s">
        <v>4597</v>
      </c>
      <c r="O1970" s="11" t="s">
        <v>3892</v>
      </c>
      <c r="P1970" s="11" t="s">
        <v>4598</v>
      </c>
      <c r="Q1970" s="12">
        <v>101</v>
      </c>
      <c r="R1970" s="12">
        <v>115</v>
      </c>
      <c r="S1970" s="12">
        <v>7</v>
      </c>
      <c r="T1970" s="13">
        <v>24.07</v>
      </c>
      <c r="U1970" s="13">
        <f t="shared" si="123"/>
        <v>0.10999999999999943</v>
      </c>
      <c r="V1970" s="14">
        <v>2948.58</v>
      </c>
      <c r="W1970" s="14">
        <v>2948.58</v>
      </c>
      <c r="X1970" s="11">
        <v>14</v>
      </c>
      <c r="Y1970" s="15" t="s">
        <v>3713</v>
      </c>
      <c r="Z1970" s="16">
        <v>2489.58</v>
      </c>
      <c r="AA1970" s="17">
        <v>542.4</v>
      </c>
      <c r="AB1970" s="18" t="s">
        <v>5022</v>
      </c>
    </row>
    <row r="1971" spans="1:28" x14ac:dyDescent="0.45">
      <c r="A1971" s="2" t="s">
        <v>2569</v>
      </c>
      <c r="B1971" s="2" t="s">
        <v>7061</v>
      </c>
      <c r="C1971" s="2" t="s">
        <v>2137</v>
      </c>
      <c r="D1971" s="2" t="s">
        <v>2138</v>
      </c>
      <c r="E1971" s="2" t="s">
        <v>2139</v>
      </c>
      <c r="F1971" s="3">
        <v>102</v>
      </c>
      <c r="G1971" s="3">
        <v>110</v>
      </c>
      <c r="H1971" s="2" t="s">
        <v>1216</v>
      </c>
      <c r="I1971" s="19">
        <v>194</v>
      </c>
      <c r="J1971" s="34">
        <f t="shared" si="120"/>
        <v>1.6878</v>
      </c>
      <c r="K1971" s="34">
        <f t="shared" si="121"/>
        <v>2.5299999999999998</v>
      </c>
      <c r="L1971" s="34">
        <f t="shared" si="122"/>
        <v>10.119999999999999</v>
      </c>
      <c r="M1971" s="20" t="s">
        <v>5023</v>
      </c>
      <c r="N1971" s="20" t="s">
        <v>4597</v>
      </c>
      <c r="O1971" s="20" t="s">
        <v>3892</v>
      </c>
      <c r="P1971" s="20" t="s">
        <v>4598</v>
      </c>
      <c r="Q1971" s="21">
        <v>103</v>
      </c>
      <c r="R1971" s="21">
        <v>109</v>
      </c>
      <c r="S1971" s="21">
        <v>3</v>
      </c>
      <c r="T1971" s="22">
        <v>3.85</v>
      </c>
      <c r="U1971" s="13">
        <f t="shared" si="123"/>
        <v>-6.27</v>
      </c>
      <c r="V1971" s="23">
        <v>471.62</v>
      </c>
      <c r="W1971" s="23">
        <v>471.62</v>
      </c>
      <c r="X1971" s="20">
        <v>1</v>
      </c>
      <c r="Y1971" s="24" t="s">
        <v>3713</v>
      </c>
      <c r="Z1971" s="16">
        <v>277.62</v>
      </c>
      <c r="AA1971" s="17">
        <v>143.1</v>
      </c>
      <c r="AB1971" s="25" t="s">
        <v>3783</v>
      </c>
    </row>
    <row r="1972" spans="1:28" x14ac:dyDescent="0.45">
      <c r="A1972" s="4" t="s">
        <v>2570</v>
      </c>
      <c r="B1972" s="4" t="s">
        <v>7062</v>
      </c>
      <c r="C1972" s="4" t="s">
        <v>2137</v>
      </c>
      <c r="D1972" s="4" t="s">
        <v>2138</v>
      </c>
      <c r="E1972" s="4" t="s">
        <v>2139</v>
      </c>
      <c r="F1972" s="5">
        <v>104.14</v>
      </c>
      <c r="G1972" s="5">
        <v>111.2</v>
      </c>
      <c r="H1972" s="4" t="s">
        <v>1156</v>
      </c>
      <c r="I1972" s="10">
        <v>119</v>
      </c>
      <c r="J1972" s="34">
        <f t="shared" si="120"/>
        <v>1.0352999999999999</v>
      </c>
      <c r="K1972" s="34">
        <f t="shared" si="121"/>
        <v>1.55</v>
      </c>
      <c r="L1972" s="34">
        <f t="shared" si="122"/>
        <v>6.2</v>
      </c>
      <c r="M1972" s="11" t="s">
        <v>5024</v>
      </c>
      <c r="N1972" s="11" t="s">
        <v>4597</v>
      </c>
      <c r="O1972" s="11" t="s">
        <v>3892</v>
      </c>
      <c r="P1972" s="11" t="s">
        <v>4598</v>
      </c>
      <c r="Q1972" s="12">
        <v>104.39400000000001</v>
      </c>
      <c r="R1972" s="12">
        <v>111.506</v>
      </c>
      <c r="S1972" s="12">
        <v>3.556</v>
      </c>
      <c r="T1972" s="13">
        <v>3.26</v>
      </c>
      <c r="U1972" s="13">
        <f t="shared" si="123"/>
        <v>-2.9400000000000004</v>
      </c>
      <c r="V1972" s="14">
        <v>399.35</v>
      </c>
      <c r="W1972" s="14">
        <v>399.35</v>
      </c>
      <c r="X1972" s="11">
        <v>11</v>
      </c>
      <c r="Y1972" s="15" t="s">
        <v>3737</v>
      </c>
      <c r="Z1972" s="16">
        <v>280.35000000000002</v>
      </c>
      <c r="AA1972" s="17">
        <v>235.6</v>
      </c>
      <c r="AB1972" s="18" t="s">
        <v>5025</v>
      </c>
    </row>
    <row r="1973" spans="1:28" x14ac:dyDescent="0.45">
      <c r="A1973" s="2" t="s">
        <v>2571</v>
      </c>
      <c r="B1973" s="2" t="s">
        <v>7063</v>
      </c>
      <c r="C1973" s="2" t="s">
        <v>2137</v>
      </c>
      <c r="D1973" s="2" t="s">
        <v>2138</v>
      </c>
      <c r="E1973" s="2" t="s">
        <v>2139</v>
      </c>
      <c r="F1973" s="3">
        <v>104.14</v>
      </c>
      <c r="G1973" s="3">
        <v>114.8</v>
      </c>
      <c r="H1973" s="2" t="s">
        <v>1201</v>
      </c>
      <c r="I1973" s="19">
        <v>237</v>
      </c>
      <c r="J1973" s="34">
        <f t="shared" si="120"/>
        <v>2.0619000000000001</v>
      </c>
      <c r="K1973" s="34">
        <f t="shared" si="121"/>
        <v>3.09</v>
      </c>
      <c r="L1973" s="34">
        <f t="shared" si="122"/>
        <v>12.36</v>
      </c>
      <c r="M1973" s="20" t="s">
        <v>5026</v>
      </c>
      <c r="N1973" s="20" t="s">
        <v>4597</v>
      </c>
      <c r="O1973" s="20" t="s">
        <v>3892</v>
      </c>
      <c r="P1973" s="20" t="s">
        <v>4598</v>
      </c>
      <c r="Q1973" s="21">
        <v>104.14</v>
      </c>
      <c r="R1973" s="21">
        <v>114.80800000000001</v>
      </c>
      <c r="S1973" s="21">
        <v>5.3339999999999996</v>
      </c>
      <c r="T1973" s="22">
        <v>5.1100000000000003</v>
      </c>
      <c r="U1973" s="13">
        <f t="shared" si="123"/>
        <v>-7.2499999999999991</v>
      </c>
      <c r="V1973" s="23">
        <v>625.98</v>
      </c>
      <c r="W1973" s="23">
        <v>625.98</v>
      </c>
      <c r="X1973" s="20">
        <v>6</v>
      </c>
      <c r="Y1973" s="24" t="s">
        <v>3737</v>
      </c>
      <c r="Z1973" s="16">
        <v>388.98</v>
      </c>
      <c r="AA1973" s="17">
        <v>164.1</v>
      </c>
      <c r="AB1973" s="25" t="s">
        <v>4032</v>
      </c>
    </row>
    <row r="1974" spans="1:28" x14ac:dyDescent="0.45">
      <c r="A1974" s="4" t="s">
        <v>2572</v>
      </c>
      <c r="B1974" s="4" t="s">
        <v>7064</v>
      </c>
      <c r="C1974" s="4" t="s">
        <v>2137</v>
      </c>
      <c r="D1974" s="4" t="s">
        <v>2138</v>
      </c>
      <c r="E1974" s="4" t="s">
        <v>2139</v>
      </c>
      <c r="F1974" s="5">
        <v>104.2</v>
      </c>
      <c r="G1974" s="5">
        <v>115.6</v>
      </c>
      <c r="H1974" s="4" t="s">
        <v>1297</v>
      </c>
      <c r="I1974" s="10">
        <v>475</v>
      </c>
      <c r="J1974" s="34">
        <f t="shared" si="120"/>
        <v>4.1324999999999994</v>
      </c>
      <c r="K1974" s="34">
        <f t="shared" si="121"/>
        <v>6.2</v>
      </c>
      <c r="L1974" s="34">
        <f t="shared" si="122"/>
        <v>24.8</v>
      </c>
      <c r="M1974" s="11" t="s">
        <v>5027</v>
      </c>
      <c r="N1974" s="11" t="s">
        <v>4597</v>
      </c>
      <c r="O1974" s="11" t="s">
        <v>3892</v>
      </c>
      <c r="P1974" s="11" t="s">
        <v>4598</v>
      </c>
      <c r="Q1974" s="12">
        <v>104.3</v>
      </c>
      <c r="R1974" s="12">
        <v>115.7</v>
      </c>
      <c r="S1974" s="12">
        <v>5.7</v>
      </c>
      <c r="T1974" s="13">
        <v>13.51</v>
      </c>
      <c r="U1974" s="13">
        <f t="shared" si="123"/>
        <v>-11.290000000000001</v>
      </c>
      <c r="V1974" s="14">
        <v>1654.98</v>
      </c>
      <c r="W1974" s="14">
        <v>1654.98</v>
      </c>
      <c r="X1974" s="11">
        <v>63</v>
      </c>
      <c r="Y1974" s="15" t="s">
        <v>3713</v>
      </c>
      <c r="Z1974" s="16">
        <v>1179.98</v>
      </c>
      <c r="AA1974" s="17">
        <v>248.4</v>
      </c>
      <c r="AB1974" s="18" t="s">
        <v>4119</v>
      </c>
    </row>
    <row r="1975" spans="1:28" x14ac:dyDescent="0.45">
      <c r="A1975" s="2" t="s">
        <v>2573</v>
      </c>
      <c r="B1975" s="2" t="s">
        <v>7065</v>
      </c>
      <c r="C1975" s="2" t="s">
        <v>2137</v>
      </c>
      <c r="D1975" s="2" t="s">
        <v>2138</v>
      </c>
      <c r="E1975" s="2" t="s">
        <v>2139</v>
      </c>
      <c r="F1975" s="3">
        <v>104.4</v>
      </c>
      <c r="G1975" s="3">
        <v>110.6</v>
      </c>
      <c r="H1975" s="2" t="s">
        <v>1221</v>
      </c>
      <c r="I1975" s="19">
        <v>119</v>
      </c>
      <c r="J1975" s="34">
        <f t="shared" si="120"/>
        <v>1.0352999999999999</v>
      </c>
      <c r="K1975" s="34">
        <f t="shared" si="121"/>
        <v>1.55</v>
      </c>
      <c r="L1975" s="34">
        <f t="shared" si="122"/>
        <v>6.2</v>
      </c>
      <c r="M1975" s="20" t="s">
        <v>5028</v>
      </c>
      <c r="N1975" s="20" t="s">
        <v>4597</v>
      </c>
      <c r="O1975" s="20" t="s">
        <v>3892</v>
      </c>
      <c r="P1975" s="20" t="s">
        <v>4598</v>
      </c>
      <c r="Q1975" s="21">
        <v>104.5</v>
      </c>
      <c r="R1975" s="21">
        <v>110.5</v>
      </c>
      <c r="S1975" s="21">
        <v>3</v>
      </c>
      <c r="T1975" s="22">
        <v>5.22</v>
      </c>
      <c r="U1975" s="13">
        <f t="shared" si="123"/>
        <v>-0.98000000000000043</v>
      </c>
      <c r="V1975" s="23">
        <v>639.45000000000005</v>
      </c>
      <c r="W1975" s="23">
        <v>639.45000000000005</v>
      </c>
      <c r="X1975" s="20">
        <v>1</v>
      </c>
      <c r="Y1975" s="24" t="s">
        <v>3713</v>
      </c>
      <c r="Z1975" s="16">
        <v>520.45000000000005</v>
      </c>
      <c r="AA1975" s="17">
        <v>437.4</v>
      </c>
      <c r="AB1975" s="25" t="s">
        <v>4119</v>
      </c>
    </row>
    <row r="1976" spans="1:28" x14ac:dyDescent="0.45">
      <c r="A1976" s="4" t="s">
        <v>2574</v>
      </c>
      <c r="B1976" s="4" t="s">
        <v>7066</v>
      </c>
      <c r="C1976" s="4" t="s">
        <v>2137</v>
      </c>
      <c r="D1976" s="4" t="s">
        <v>2138</v>
      </c>
      <c r="E1976" s="4" t="s">
        <v>2139</v>
      </c>
      <c r="F1976" s="5">
        <v>107.32</v>
      </c>
      <c r="G1976" s="5">
        <v>114.38</v>
      </c>
      <c r="H1976" s="4" t="s">
        <v>1156</v>
      </c>
      <c r="I1976" s="10">
        <v>123</v>
      </c>
      <c r="J1976" s="34">
        <f t="shared" si="120"/>
        <v>1.0700999999999998</v>
      </c>
      <c r="K1976" s="34">
        <f t="shared" si="121"/>
        <v>1.61</v>
      </c>
      <c r="L1976" s="34">
        <f t="shared" si="122"/>
        <v>6.44</v>
      </c>
      <c r="M1976" s="11" t="s">
        <v>5029</v>
      </c>
      <c r="N1976" s="11" t="s">
        <v>4597</v>
      </c>
      <c r="O1976" s="11" t="s">
        <v>3892</v>
      </c>
      <c r="P1976" s="11" t="s">
        <v>4598</v>
      </c>
      <c r="Q1976" s="12">
        <v>107.44199999999999</v>
      </c>
      <c r="R1976" s="12">
        <v>114.554</v>
      </c>
      <c r="S1976" s="12">
        <v>3.556</v>
      </c>
      <c r="T1976" s="13">
        <v>6.8</v>
      </c>
      <c r="U1976" s="13">
        <f t="shared" si="123"/>
        <v>0.35999999999999943</v>
      </c>
      <c r="V1976" s="14">
        <v>833</v>
      </c>
      <c r="W1976" s="14">
        <v>833</v>
      </c>
      <c r="X1976" s="11">
        <v>6</v>
      </c>
      <c r="Y1976" s="15" t="s">
        <v>3737</v>
      </c>
      <c r="Z1976" s="16">
        <v>710</v>
      </c>
      <c r="AA1976" s="17">
        <v>577.20000000000005</v>
      </c>
      <c r="AB1976" s="18" t="s">
        <v>5030</v>
      </c>
    </row>
    <row r="1977" spans="1:28" x14ac:dyDescent="0.45">
      <c r="A1977" s="2" t="s">
        <v>2575</v>
      </c>
      <c r="B1977" s="2" t="s">
        <v>7067</v>
      </c>
      <c r="C1977" s="2" t="s">
        <v>2137</v>
      </c>
      <c r="D1977" s="2" t="s">
        <v>2138</v>
      </c>
      <c r="E1977" s="2" t="s">
        <v>2139</v>
      </c>
      <c r="F1977" s="3">
        <v>107.32</v>
      </c>
      <c r="G1977" s="3">
        <v>117.98</v>
      </c>
      <c r="H1977" s="2" t="s">
        <v>1201</v>
      </c>
      <c r="I1977" s="19">
        <v>244</v>
      </c>
      <c r="J1977" s="34">
        <f t="shared" si="120"/>
        <v>2.1227999999999998</v>
      </c>
      <c r="K1977" s="34">
        <f t="shared" si="121"/>
        <v>3.18</v>
      </c>
      <c r="L1977" s="34">
        <f t="shared" si="122"/>
        <v>12.72</v>
      </c>
      <c r="M1977" s="20" t="s">
        <v>5031</v>
      </c>
      <c r="N1977" s="20" t="s">
        <v>4597</v>
      </c>
      <c r="O1977" s="20" t="s">
        <v>3892</v>
      </c>
      <c r="P1977" s="20" t="s">
        <v>4598</v>
      </c>
      <c r="Q1977" s="21">
        <v>107.188</v>
      </c>
      <c r="R1977" s="21">
        <v>117.85599999999999</v>
      </c>
      <c r="S1977" s="21">
        <v>5.3339999999999996</v>
      </c>
      <c r="T1977" s="22">
        <v>6.4</v>
      </c>
      <c r="U1977" s="13">
        <f t="shared" si="123"/>
        <v>-6.32</v>
      </c>
      <c r="V1977" s="23">
        <v>784</v>
      </c>
      <c r="W1977" s="23">
        <v>784</v>
      </c>
      <c r="X1977" s="20">
        <v>223</v>
      </c>
      <c r="Y1977" s="24" t="s">
        <v>3737</v>
      </c>
      <c r="Z1977" s="16">
        <v>540</v>
      </c>
      <c r="AA1977" s="17">
        <v>221.3</v>
      </c>
      <c r="AB1977" s="25" t="s">
        <v>4189</v>
      </c>
    </row>
    <row r="1978" spans="1:28" x14ac:dyDescent="0.45">
      <c r="A1978" s="4" t="s">
        <v>2576</v>
      </c>
      <c r="B1978" s="4" t="s">
        <v>7068</v>
      </c>
      <c r="C1978" s="4" t="s">
        <v>2137</v>
      </c>
      <c r="D1978" s="4" t="s">
        <v>2138</v>
      </c>
      <c r="E1978" s="4" t="s">
        <v>2139</v>
      </c>
      <c r="F1978" s="5">
        <v>108</v>
      </c>
      <c r="G1978" s="5">
        <v>120</v>
      </c>
      <c r="H1978" s="4" t="s">
        <v>1635</v>
      </c>
      <c r="I1978" s="10">
        <v>491</v>
      </c>
      <c r="J1978" s="34">
        <f t="shared" si="120"/>
        <v>4.2717000000000001</v>
      </c>
      <c r="K1978" s="34">
        <f t="shared" si="121"/>
        <v>6.41</v>
      </c>
      <c r="L1978" s="34">
        <f t="shared" si="122"/>
        <v>25.64</v>
      </c>
      <c r="M1978" s="11" t="s">
        <v>5032</v>
      </c>
      <c r="N1978" s="11" t="s">
        <v>4597</v>
      </c>
      <c r="O1978" s="11" t="s">
        <v>3892</v>
      </c>
      <c r="P1978" s="11" t="s">
        <v>4598</v>
      </c>
      <c r="Q1978" s="12">
        <v>109.3</v>
      </c>
      <c r="R1978" s="12">
        <v>120.7</v>
      </c>
      <c r="S1978" s="12">
        <v>5.7</v>
      </c>
      <c r="T1978" s="13">
        <v>14.6</v>
      </c>
      <c r="U1978" s="13">
        <f t="shared" si="123"/>
        <v>-11.040000000000001</v>
      </c>
      <c r="V1978" s="14">
        <v>1788.5</v>
      </c>
      <c r="W1978" s="14">
        <v>1788.5</v>
      </c>
      <c r="X1978" s="11">
        <v>5</v>
      </c>
      <c r="Y1978" s="15" t="s">
        <v>3713</v>
      </c>
      <c r="Z1978" s="16">
        <v>1297.5</v>
      </c>
      <c r="AA1978" s="17">
        <v>264.3</v>
      </c>
      <c r="AB1978" s="18" t="s">
        <v>5033</v>
      </c>
    </row>
    <row r="1979" spans="1:28" x14ac:dyDescent="0.45">
      <c r="A1979" s="2" t="s">
        <v>2577</v>
      </c>
      <c r="B1979" s="2" t="s">
        <v>7069</v>
      </c>
      <c r="C1979" s="2" t="s">
        <v>2137</v>
      </c>
      <c r="D1979" s="2" t="s">
        <v>2138</v>
      </c>
      <c r="E1979" s="2" t="s">
        <v>2139</v>
      </c>
      <c r="F1979" s="3">
        <v>109.2</v>
      </c>
      <c r="G1979" s="3">
        <v>120.6</v>
      </c>
      <c r="H1979" s="2" t="s">
        <v>1297</v>
      </c>
      <c r="I1979" s="19">
        <v>496</v>
      </c>
      <c r="J1979" s="34">
        <f t="shared" si="120"/>
        <v>4.3151999999999999</v>
      </c>
      <c r="K1979" s="34">
        <f t="shared" si="121"/>
        <v>6.47</v>
      </c>
      <c r="L1979" s="34">
        <f t="shared" si="122"/>
        <v>25.88</v>
      </c>
      <c r="M1979" s="20" t="s">
        <v>5032</v>
      </c>
      <c r="N1979" s="20" t="s">
        <v>4597</v>
      </c>
      <c r="O1979" s="20" t="s">
        <v>3892</v>
      </c>
      <c r="P1979" s="20" t="s">
        <v>4598</v>
      </c>
      <c r="Q1979" s="21">
        <v>109.3</v>
      </c>
      <c r="R1979" s="21">
        <v>120.7</v>
      </c>
      <c r="S1979" s="21">
        <v>5.7</v>
      </c>
      <c r="T1979" s="22">
        <v>14.6</v>
      </c>
      <c r="U1979" s="13">
        <f t="shared" si="123"/>
        <v>-11.28</v>
      </c>
      <c r="V1979" s="23">
        <v>1788.5</v>
      </c>
      <c r="W1979" s="23">
        <v>1788.5</v>
      </c>
      <c r="X1979" s="20">
        <v>5</v>
      </c>
      <c r="Y1979" s="24" t="s">
        <v>3713</v>
      </c>
      <c r="Z1979" s="16">
        <v>1292.5</v>
      </c>
      <c r="AA1979" s="17">
        <v>260.60000000000002</v>
      </c>
      <c r="AB1979" s="25" t="s">
        <v>4119</v>
      </c>
    </row>
    <row r="1980" spans="1:28" x14ac:dyDescent="0.45">
      <c r="A1980" s="4" t="s">
        <v>2578</v>
      </c>
      <c r="B1980" s="4" t="s">
        <v>7070</v>
      </c>
      <c r="C1980" s="4" t="s">
        <v>2137</v>
      </c>
      <c r="D1980" s="4" t="s">
        <v>2138</v>
      </c>
      <c r="E1980" s="4" t="s">
        <v>2139</v>
      </c>
      <c r="F1980" s="5">
        <v>109.4</v>
      </c>
      <c r="G1980" s="5">
        <v>115.6</v>
      </c>
      <c r="H1980" s="4" t="s">
        <v>1221</v>
      </c>
      <c r="I1980" s="10">
        <v>124</v>
      </c>
      <c r="J1980" s="34">
        <f t="shared" si="120"/>
        <v>1.0788</v>
      </c>
      <c r="K1980" s="34">
        <f t="shared" si="121"/>
        <v>1.62</v>
      </c>
      <c r="L1980" s="34">
        <f t="shared" si="122"/>
        <v>6.48</v>
      </c>
      <c r="M1980" s="11" t="s">
        <v>5034</v>
      </c>
      <c r="N1980" s="11" t="s">
        <v>4597</v>
      </c>
      <c r="O1980" s="11" t="s">
        <v>3892</v>
      </c>
      <c r="P1980" s="11" t="s">
        <v>4598</v>
      </c>
      <c r="Q1980" s="12">
        <v>109.5</v>
      </c>
      <c r="R1980" s="12">
        <v>115.5</v>
      </c>
      <c r="S1980" s="12">
        <v>3</v>
      </c>
      <c r="T1980" s="13">
        <v>2.0099999999999998</v>
      </c>
      <c r="U1980" s="13">
        <f t="shared" si="123"/>
        <v>-4.4700000000000006</v>
      </c>
      <c r="V1980" s="14">
        <v>246.22</v>
      </c>
      <c r="W1980" s="14">
        <v>246.22</v>
      </c>
      <c r="X1980" s="11" t="s">
        <v>3722</v>
      </c>
      <c r="Y1980" s="15" t="s">
        <v>3713</v>
      </c>
      <c r="Z1980" s="16">
        <v>122.22</v>
      </c>
      <c r="AA1980" s="17">
        <v>98.6</v>
      </c>
      <c r="AB1980" s="18" t="s">
        <v>4119</v>
      </c>
    </row>
    <row r="1981" spans="1:28" x14ac:dyDescent="0.45">
      <c r="A1981" s="2" t="s">
        <v>2579</v>
      </c>
      <c r="B1981" s="2" t="s">
        <v>7071</v>
      </c>
      <c r="C1981" s="2" t="s">
        <v>2137</v>
      </c>
      <c r="D1981" s="2" t="s">
        <v>2138</v>
      </c>
      <c r="E1981" s="2" t="s">
        <v>2139</v>
      </c>
      <c r="F1981" s="3">
        <v>110.49</v>
      </c>
      <c r="G1981" s="3">
        <v>121.15</v>
      </c>
      <c r="H1981" s="2" t="s">
        <v>1201</v>
      </c>
      <c r="I1981" s="19">
        <v>252</v>
      </c>
      <c r="J1981" s="34">
        <f t="shared" si="120"/>
        <v>2.1923999999999997</v>
      </c>
      <c r="K1981" s="34">
        <f t="shared" si="121"/>
        <v>3.29</v>
      </c>
      <c r="L1981" s="34">
        <f t="shared" si="122"/>
        <v>13.16</v>
      </c>
      <c r="M1981" s="20" t="s">
        <v>5035</v>
      </c>
      <c r="N1981" s="20" t="s">
        <v>4597</v>
      </c>
      <c r="O1981" s="20" t="s">
        <v>3892</v>
      </c>
      <c r="P1981" s="20" t="s">
        <v>4598</v>
      </c>
      <c r="Q1981" s="21">
        <v>110.49</v>
      </c>
      <c r="R1981" s="21">
        <v>121.158</v>
      </c>
      <c r="S1981" s="21">
        <v>5.3339999999999996</v>
      </c>
      <c r="T1981" s="22">
        <v>6.58</v>
      </c>
      <c r="U1981" s="13">
        <f t="shared" si="123"/>
        <v>-6.58</v>
      </c>
      <c r="V1981" s="23">
        <v>806.05</v>
      </c>
      <c r="W1981" s="23">
        <v>806.05</v>
      </c>
      <c r="X1981" s="20">
        <v>22</v>
      </c>
      <c r="Y1981" s="24" t="s">
        <v>3737</v>
      </c>
      <c r="Z1981" s="16">
        <v>554.04999999999995</v>
      </c>
      <c r="AA1981" s="17">
        <v>219.9</v>
      </c>
      <c r="AB1981" s="25" t="s">
        <v>4032</v>
      </c>
    </row>
    <row r="1982" spans="1:28" x14ac:dyDescent="0.45">
      <c r="A1982" s="4" t="s">
        <v>2580</v>
      </c>
      <c r="B1982" s="4" t="s">
        <v>7072</v>
      </c>
      <c r="C1982" s="4" t="s">
        <v>2137</v>
      </c>
      <c r="D1982" s="4" t="s">
        <v>2138</v>
      </c>
      <c r="E1982" s="4" t="s">
        <v>2139</v>
      </c>
      <c r="F1982" s="5">
        <v>110.72</v>
      </c>
      <c r="G1982" s="5">
        <v>117.78</v>
      </c>
      <c r="H1982" s="4" t="s">
        <v>1156</v>
      </c>
      <c r="I1982" s="10">
        <v>126</v>
      </c>
      <c r="J1982" s="34">
        <f t="shared" si="120"/>
        <v>1.0961999999999998</v>
      </c>
      <c r="K1982" s="34">
        <f t="shared" si="121"/>
        <v>1.64</v>
      </c>
      <c r="L1982" s="34">
        <f t="shared" si="122"/>
        <v>6.56</v>
      </c>
      <c r="M1982" s="11" t="s">
        <v>5036</v>
      </c>
      <c r="N1982" s="11" t="s">
        <v>4597</v>
      </c>
      <c r="O1982" s="11" t="s">
        <v>3892</v>
      </c>
      <c r="P1982" s="11" t="s">
        <v>4598</v>
      </c>
      <c r="Q1982" s="12">
        <v>110.744</v>
      </c>
      <c r="R1982" s="12">
        <v>117.85599999999999</v>
      </c>
      <c r="S1982" s="12">
        <v>3.556</v>
      </c>
      <c r="T1982" s="13">
        <v>3.45</v>
      </c>
      <c r="U1982" s="13">
        <f t="shared" si="123"/>
        <v>-3.1099999999999994</v>
      </c>
      <c r="V1982" s="14">
        <v>422.62</v>
      </c>
      <c r="W1982" s="14">
        <v>422.62</v>
      </c>
      <c r="X1982" s="11">
        <v>10</v>
      </c>
      <c r="Y1982" s="15" t="s">
        <v>3737</v>
      </c>
      <c r="Z1982" s="16">
        <v>296.62</v>
      </c>
      <c r="AA1982" s="17">
        <v>235.4</v>
      </c>
      <c r="AB1982" s="18" t="s">
        <v>3945</v>
      </c>
    </row>
    <row r="1983" spans="1:28" x14ac:dyDescent="0.45">
      <c r="A1983" s="2" t="s">
        <v>2581</v>
      </c>
      <c r="B1983" s="2" t="s">
        <v>7073</v>
      </c>
      <c r="C1983" s="2" t="s">
        <v>2137</v>
      </c>
      <c r="D1983" s="2" t="s">
        <v>2138</v>
      </c>
      <c r="E1983" s="2" t="s">
        <v>2139</v>
      </c>
      <c r="F1983" s="3">
        <v>110</v>
      </c>
      <c r="G1983" s="3">
        <v>118</v>
      </c>
      <c r="H1983" s="2" t="s">
        <v>1216</v>
      </c>
      <c r="I1983" s="19">
        <v>209</v>
      </c>
      <c r="J1983" s="34">
        <f t="shared" si="120"/>
        <v>1.8182999999999998</v>
      </c>
      <c r="K1983" s="34">
        <f t="shared" si="121"/>
        <v>2.73</v>
      </c>
      <c r="L1983" s="34">
        <f t="shared" si="122"/>
        <v>10.92</v>
      </c>
      <c r="M1983" s="20" t="s">
        <v>5037</v>
      </c>
      <c r="N1983" s="20" t="s">
        <v>4597</v>
      </c>
      <c r="O1983" s="20" t="s">
        <v>3892</v>
      </c>
      <c r="P1983" s="20" t="s">
        <v>4598</v>
      </c>
      <c r="Q1983" s="21">
        <v>110</v>
      </c>
      <c r="R1983" s="21">
        <v>118</v>
      </c>
      <c r="S1983" s="21">
        <v>4</v>
      </c>
      <c r="T1983" s="22">
        <v>7.3</v>
      </c>
      <c r="U1983" s="13">
        <f t="shared" si="123"/>
        <v>-3.62</v>
      </c>
      <c r="V1983" s="23">
        <v>894.25</v>
      </c>
      <c r="W1983" s="23">
        <v>894.25</v>
      </c>
      <c r="X1983" s="20">
        <v>6</v>
      </c>
      <c r="Y1983" s="24" t="s">
        <v>3713</v>
      </c>
      <c r="Z1983" s="16">
        <v>685.25</v>
      </c>
      <c r="AA1983" s="17">
        <v>327.9</v>
      </c>
      <c r="AB1983" s="25" t="s">
        <v>3714</v>
      </c>
    </row>
    <row r="1984" spans="1:28" x14ac:dyDescent="0.45">
      <c r="A1984" s="4" t="s">
        <v>2582</v>
      </c>
      <c r="B1984" s="4" t="s">
        <v>7074</v>
      </c>
      <c r="C1984" s="4" t="s">
        <v>2137</v>
      </c>
      <c r="D1984" s="4" t="s">
        <v>2138</v>
      </c>
      <c r="E1984" s="4" t="s">
        <v>2139</v>
      </c>
      <c r="F1984" s="5">
        <v>110</v>
      </c>
      <c r="G1984" s="5">
        <v>120</v>
      </c>
      <c r="H1984" s="4" t="s">
        <v>1245</v>
      </c>
      <c r="I1984" s="10">
        <v>251</v>
      </c>
      <c r="J1984" s="34">
        <f t="shared" si="120"/>
        <v>2.1837</v>
      </c>
      <c r="K1984" s="34">
        <f t="shared" si="121"/>
        <v>3.28</v>
      </c>
      <c r="L1984" s="34">
        <f t="shared" si="122"/>
        <v>13.12</v>
      </c>
      <c r="M1984" s="11" t="s">
        <v>5038</v>
      </c>
      <c r="N1984" s="11" t="s">
        <v>4597</v>
      </c>
      <c r="O1984" s="11" t="s">
        <v>3892</v>
      </c>
      <c r="P1984" s="11" t="s">
        <v>4598</v>
      </c>
      <c r="Q1984" s="12">
        <v>110</v>
      </c>
      <c r="R1984" s="12">
        <v>120</v>
      </c>
      <c r="S1984" s="12">
        <v>5</v>
      </c>
      <c r="T1984" s="13">
        <v>10.49</v>
      </c>
      <c r="U1984" s="13">
        <f t="shared" si="123"/>
        <v>-2.629999999999999</v>
      </c>
      <c r="V1984" s="14">
        <v>1285.03</v>
      </c>
      <c r="W1984" s="14">
        <v>1285.03</v>
      </c>
      <c r="X1984" s="11">
        <v>7</v>
      </c>
      <c r="Y1984" s="15" t="s">
        <v>3713</v>
      </c>
      <c r="Z1984" s="16">
        <v>1034.03</v>
      </c>
      <c r="AA1984" s="17">
        <v>412</v>
      </c>
      <c r="AB1984" s="18" t="s">
        <v>3714</v>
      </c>
    </row>
    <row r="1985" spans="1:28" x14ac:dyDescent="0.45">
      <c r="A1985" s="2" t="s">
        <v>2583</v>
      </c>
      <c r="B1985" s="2" t="s">
        <v>7075</v>
      </c>
      <c r="C1985" s="2" t="s">
        <v>2137</v>
      </c>
      <c r="D1985" s="2" t="s">
        <v>2138</v>
      </c>
      <c r="E1985" s="2" t="s">
        <v>2139</v>
      </c>
      <c r="F1985" s="3">
        <v>113.67</v>
      </c>
      <c r="G1985" s="3">
        <v>124.33</v>
      </c>
      <c r="H1985" s="2" t="s">
        <v>1201</v>
      </c>
      <c r="I1985" s="19">
        <v>259</v>
      </c>
      <c r="J1985" s="34">
        <f t="shared" si="120"/>
        <v>2.2532999999999999</v>
      </c>
      <c r="K1985" s="34">
        <f t="shared" si="121"/>
        <v>3.38</v>
      </c>
      <c r="L1985" s="34">
        <f t="shared" si="122"/>
        <v>13.52</v>
      </c>
      <c r="M1985" s="20" t="s">
        <v>5039</v>
      </c>
      <c r="N1985" s="20" t="s">
        <v>4597</v>
      </c>
      <c r="O1985" s="20" t="s">
        <v>3892</v>
      </c>
      <c r="P1985" s="20" t="s">
        <v>4598</v>
      </c>
      <c r="Q1985" s="21">
        <v>113.538</v>
      </c>
      <c r="R1985" s="21">
        <v>124.206</v>
      </c>
      <c r="S1985" s="21">
        <v>5.3339999999999996</v>
      </c>
      <c r="T1985" s="22">
        <v>14.97</v>
      </c>
      <c r="U1985" s="13">
        <f t="shared" si="123"/>
        <v>1.4500000000000011</v>
      </c>
      <c r="V1985" s="23">
        <v>1833.82</v>
      </c>
      <c r="W1985" s="23">
        <v>1833.82</v>
      </c>
      <c r="X1985" s="20">
        <v>18</v>
      </c>
      <c r="Y1985" s="24" t="s">
        <v>3737</v>
      </c>
      <c r="Z1985" s="16">
        <v>1574.82</v>
      </c>
      <c r="AA1985" s="17">
        <v>608</v>
      </c>
      <c r="AB1985" s="25" t="s">
        <v>4189</v>
      </c>
    </row>
    <row r="1986" spans="1:28" x14ac:dyDescent="0.45">
      <c r="A1986" s="4" t="s">
        <v>2584</v>
      </c>
      <c r="B1986" s="4" t="s">
        <v>7076</v>
      </c>
      <c r="C1986" s="4" t="s">
        <v>2137</v>
      </c>
      <c r="D1986" s="4" t="s">
        <v>2138</v>
      </c>
      <c r="E1986" s="4" t="s">
        <v>2139</v>
      </c>
      <c r="F1986" s="5">
        <v>113.67</v>
      </c>
      <c r="G1986" s="5">
        <v>127.65</v>
      </c>
      <c r="H1986" s="4" t="s">
        <v>1368</v>
      </c>
      <c r="I1986" s="10">
        <v>517</v>
      </c>
      <c r="J1986" s="34">
        <f t="shared" si="120"/>
        <v>4.4978999999999996</v>
      </c>
      <c r="K1986" s="34">
        <f t="shared" si="121"/>
        <v>6.75</v>
      </c>
      <c r="L1986" s="34">
        <f t="shared" si="122"/>
        <v>27</v>
      </c>
      <c r="M1986" s="11" t="s">
        <v>5040</v>
      </c>
      <c r="N1986" s="11" t="s">
        <v>4597</v>
      </c>
      <c r="O1986" s="11" t="s">
        <v>3892</v>
      </c>
      <c r="P1986" s="11" t="s">
        <v>4598</v>
      </c>
      <c r="Q1986" s="12">
        <v>113.538</v>
      </c>
      <c r="R1986" s="12">
        <v>127.762</v>
      </c>
      <c r="S1986" s="12">
        <v>7.1120000000000001</v>
      </c>
      <c r="T1986" s="13">
        <v>25.79</v>
      </c>
      <c r="U1986" s="13">
        <f t="shared" si="123"/>
        <v>-1.2100000000000009</v>
      </c>
      <c r="V1986" s="14">
        <v>3159.28</v>
      </c>
      <c r="W1986" s="14">
        <v>3159.28</v>
      </c>
      <c r="X1986" s="11">
        <v>4</v>
      </c>
      <c r="Y1986" s="15" t="s">
        <v>3737</v>
      </c>
      <c r="Z1986" s="16">
        <v>2642.28</v>
      </c>
      <c r="AA1986" s="17">
        <v>511.1</v>
      </c>
      <c r="AB1986" s="18" t="s">
        <v>4199</v>
      </c>
    </row>
    <row r="1987" spans="1:28" x14ac:dyDescent="0.45">
      <c r="A1987" s="2" t="s">
        <v>2585</v>
      </c>
      <c r="B1987" s="2" t="s">
        <v>7077</v>
      </c>
      <c r="C1987" s="2" t="s">
        <v>2137</v>
      </c>
      <c r="D1987" s="2" t="s">
        <v>2138</v>
      </c>
      <c r="E1987" s="2" t="s">
        <v>2139</v>
      </c>
      <c r="F1987" s="3">
        <v>113.89</v>
      </c>
      <c r="G1987" s="3">
        <v>120.95</v>
      </c>
      <c r="H1987" s="2" t="s">
        <v>1156</v>
      </c>
      <c r="I1987" s="19">
        <v>130</v>
      </c>
      <c r="J1987" s="34">
        <f t="shared" si="120"/>
        <v>1.131</v>
      </c>
      <c r="K1987" s="34">
        <f t="shared" si="121"/>
        <v>1.7</v>
      </c>
      <c r="L1987" s="34">
        <f t="shared" si="122"/>
        <v>6.8</v>
      </c>
      <c r="M1987" s="20" t="s">
        <v>5041</v>
      </c>
      <c r="N1987" s="20" t="s">
        <v>4597</v>
      </c>
      <c r="O1987" s="20" t="s">
        <v>3892</v>
      </c>
      <c r="P1987" s="20" t="s">
        <v>4598</v>
      </c>
      <c r="Q1987" s="21">
        <v>113.792</v>
      </c>
      <c r="R1987" s="21">
        <v>120.904</v>
      </c>
      <c r="S1987" s="21">
        <v>3.556</v>
      </c>
      <c r="T1987" s="22">
        <v>6.2</v>
      </c>
      <c r="U1987" s="13">
        <f t="shared" si="123"/>
        <v>-0.59999999999999964</v>
      </c>
      <c r="V1987" s="23">
        <v>759.5</v>
      </c>
      <c r="W1987" s="23">
        <v>759.5</v>
      </c>
      <c r="X1987" s="20">
        <v>87</v>
      </c>
      <c r="Y1987" s="24" t="s">
        <v>3737</v>
      </c>
      <c r="Z1987" s="16">
        <v>629.5</v>
      </c>
      <c r="AA1987" s="17">
        <v>484.2</v>
      </c>
      <c r="AB1987" s="25" t="s">
        <v>3963</v>
      </c>
    </row>
    <row r="1988" spans="1:28" x14ac:dyDescent="0.45">
      <c r="A1988" s="4" t="s">
        <v>2586</v>
      </c>
      <c r="B1988" s="4" t="s">
        <v>7078</v>
      </c>
      <c r="C1988" s="4" t="s">
        <v>2137</v>
      </c>
      <c r="D1988" s="4" t="s">
        <v>2138</v>
      </c>
      <c r="E1988" s="4" t="s">
        <v>2139</v>
      </c>
      <c r="F1988" s="5">
        <v>113.97</v>
      </c>
      <c r="G1988" s="5">
        <v>119.21</v>
      </c>
      <c r="H1988" s="4" t="s">
        <v>1127</v>
      </c>
      <c r="I1988" s="10">
        <v>71</v>
      </c>
      <c r="J1988" s="34">
        <f t="shared" si="120"/>
        <v>0.61769999999999992</v>
      </c>
      <c r="K1988" s="34">
        <f t="shared" si="121"/>
        <v>0.93</v>
      </c>
      <c r="L1988" s="34">
        <f t="shared" si="122"/>
        <v>3.72</v>
      </c>
      <c r="M1988" s="11" t="s">
        <v>5042</v>
      </c>
      <c r="N1988" s="11" t="s">
        <v>4597</v>
      </c>
      <c r="O1988" s="11" t="s">
        <v>3892</v>
      </c>
      <c r="P1988" s="11" t="s">
        <v>4598</v>
      </c>
      <c r="Q1988" s="12">
        <v>114.04600000000001</v>
      </c>
      <c r="R1988" s="12">
        <v>119.126</v>
      </c>
      <c r="S1988" s="12">
        <v>2.54</v>
      </c>
      <c r="T1988" s="13">
        <v>2.94</v>
      </c>
      <c r="U1988" s="13">
        <f t="shared" si="123"/>
        <v>-0.78000000000000025</v>
      </c>
      <c r="V1988" s="14">
        <v>360.15</v>
      </c>
      <c r="W1988" s="14">
        <v>360.15</v>
      </c>
      <c r="X1988" s="11">
        <v>178</v>
      </c>
      <c r="Y1988" s="15" t="s">
        <v>3737</v>
      </c>
      <c r="Z1988" s="16">
        <v>289.14999999999998</v>
      </c>
      <c r="AA1988" s="17">
        <v>407.3</v>
      </c>
      <c r="AB1988" s="18" t="s">
        <v>4022</v>
      </c>
    </row>
    <row r="1989" spans="1:28" x14ac:dyDescent="0.45">
      <c r="A1989" s="2" t="s">
        <v>2587</v>
      </c>
      <c r="B1989" s="2" t="s">
        <v>7079</v>
      </c>
      <c r="C1989" s="2" t="s">
        <v>2137</v>
      </c>
      <c r="D1989" s="2" t="s">
        <v>2138</v>
      </c>
      <c r="E1989" s="2" t="s">
        <v>2139</v>
      </c>
      <c r="F1989" s="3">
        <v>114.2</v>
      </c>
      <c r="G1989" s="3">
        <v>125.6</v>
      </c>
      <c r="H1989" s="2" t="s">
        <v>1297</v>
      </c>
      <c r="I1989" s="19">
        <v>520</v>
      </c>
      <c r="J1989" s="34">
        <f t="shared" ref="J1989:J2052" si="124">I1989*0.0087</f>
        <v>4.524</v>
      </c>
      <c r="K1989" s="34">
        <f t="shared" ref="K1989:K2052" si="125">ROUND(J1989*1.5,2)</f>
        <v>6.79</v>
      </c>
      <c r="L1989" s="34">
        <f t="shared" ref="L1989:L2052" si="126">K1989*4</f>
        <v>27.16</v>
      </c>
      <c r="M1989" s="20" t="s">
        <v>5043</v>
      </c>
      <c r="N1989" s="20" t="s">
        <v>4597</v>
      </c>
      <c r="O1989" s="20" t="s">
        <v>3892</v>
      </c>
      <c r="P1989" s="20" t="s">
        <v>4598</v>
      </c>
      <c r="Q1989" s="21">
        <v>114.3</v>
      </c>
      <c r="R1989" s="21">
        <v>125.7</v>
      </c>
      <c r="S1989" s="21">
        <v>5.7</v>
      </c>
      <c r="T1989" s="22">
        <v>10.34</v>
      </c>
      <c r="U1989" s="13">
        <f t="shared" ref="U1989:U2052" si="127">T1989-L1989</f>
        <v>-16.82</v>
      </c>
      <c r="V1989" s="23">
        <v>1266.6500000000001</v>
      </c>
      <c r="W1989" s="23">
        <v>1266.6500000000001</v>
      </c>
      <c r="X1989" s="20">
        <v>14</v>
      </c>
      <c r="Y1989" s="24" t="s">
        <v>3713</v>
      </c>
      <c r="Z1989" s="16">
        <v>746.65000000000009</v>
      </c>
      <c r="AA1989" s="17">
        <v>143.6</v>
      </c>
      <c r="AB1989" s="25" t="s">
        <v>4119</v>
      </c>
    </row>
    <row r="1990" spans="1:28" x14ac:dyDescent="0.45">
      <c r="A1990" s="4" t="s">
        <v>2588</v>
      </c>
      <c r="B1990" s="4" t="s">
        <v>7080</v>
      </c>
      <c r="C1990" s="4" t="s">
        <v>2137</v>
      </c>
      <c r="D1990" s="4" t="s">
        <v>2138</v>
      </c>
      <c r="E1990" s="4" t="s">
        <v>2139</v>
      </c>
      <c r="F1990" s="5">
        <v>114.4</v>
      </c>
      <c r="G1990" s="5">
        <v>120.6</v>
      </c>
      <c r="H1990" s="4" t="s">
        <v>1221</v>
      </c>
      <c r="I1990" s="10">
        <v>131</v>
      </c>
      <c r="J1990" s="34">
        <f t="shared" si="124"/>
        <v>1.1396999999999999</v>
      </c>
      <c r="K1990" s="34">
        <f t="shared" si="125"/>
        <v>1.71</v>
      </c>
      <c r="L1990" s="34">
        <f t="shared" si="126"/>
        <v>6.84</v>
      </c>
      <c r="M1990" s="11" t="s">
        <v>5044</v>
      </c>
      <c r="N1990" s="11" t="s">
        <v>4597</v>
      </c>
      <c r="O1990" s="11" t="s">
        <v>3892</v>
      </c>
      <c r="P1990" s="11" t="s">
        <v>4598</v>
      </c>
      <c r="Q1990" s="12">
        <v>114.5</v>
      </c>
      <c r="R1990" s="12">
        <v>120.5</v>
      </c>
      <c r="S1990" s="12">
        <v>3</v>
      </c>
      <c r="T1990" s="13">
        <v>5.82</v>
      </c>
      <c r="U1990" s="13">
        <f t="shared" si="127"/>
        <v>-1.0199999999999996</v>
      </c>
      <c r="V1990" s="14">
        <v>712.95</v>
      </c>
      <c r="W1990" s="14">
        <v>712.95</v>
      </c>
      <c r="X1990" s="11">
        <v>10</v>
      </c>
      <c r="Y1990" s="15" t="s">
        <v>3713</v>
      </c>
      <c r="Z1990" s="16">
        <v>581.95000000000005</v>
      </c>
      <c r="AA1990" s="17">
        <v>444.2</v>
      </c>
      <c r="AB1990" s="18" t="s">
        <v>4119</v>
      </c>
    </row>
    <row r="1991" spans="1:28" x14ac:dyDescent="0.45">
      <c r="A1991" s="2" t="s">
        <v>2589</v>
      </c>
      <c r="B1991" s="2" t="s">
        <v>7081</v>
      </c>
      <c r="C1991" s="2" t="s">
        <v>2137</v>
      </c>
      <c r="D1991" s="2" t="s">
        <v>2138</v>
      </c>
      <c r="E1991" s="2" t="s">
        <v>2139</v>
      </c>
      <c r="F1991" s="3">
        <v>115</v>
      </c>
      <c r="G1991" s="3">
        <v>125</v>
      </c>
      <c r="H1991" s="2" t="s">
        <v>1245</v>
      </c>
      <c r="I1991" s="19">
        <v>263</v>
      </c>
      <c r="J1991" s="34">
        <f t="shared" si="124"/>
        <v>2.2881</v>
      </c>
      <c r="K1991" s="34">
        <f t="shared" si="125"/>
        <v>3.43</v>
      </c>
      <c r="L1991" s="34">
        <f t="shared" si="126"/>
        <v>13.72</v>
      </c>
      <c r="M1991" s="20" t="s">
        <v>5045</v>
      </c>
      <c r="N1991" s="20" t="s">
        <v>4597</v>
      </c>
      <c r="O1991" s="20" t="s">
        <v>3892</v>
      </c>
      <c r="P1991" s="20" t="s">
        <v>4598</v>
      </c>
      <c r="Q1991" s="21">
        <v>115</v>
      </c>
      <c r="R1991" s="21">
        <v>124</v>
      </c>
      <c r="S1991" s="21">
        <v>4.5</v>
      </c>
      <c r="T1991" s="22">
        <v>4.75</v>
      </c>
      <c r="U1991" s="13">
        <f t="shared" si="127"/>
        <v>-8.9700000000000006</v>
      </c>
      <c r="V1991" s="23">
        <v>581.88</v>
      </c>
      <c r="W1991" s="23">
        <v>581.88</v>
      </c>
      <c r="X1991" s="20">
        <v>3</v>
      </c>
      <c r="Y1991" s="24" t="s">
        <v>3713</v>
      </c>
      <c r="Z1991" s="16">
        <v>318.88</v>
      </c>
      <c r="AA1991" s="17">
        <v>121.2</v>
      </c>
      <c r="AB1991" s="25" t="s">
        <v>3786</v>
      </c>
    </row>
    <row r="1992" spans="1:28" x14ac:dyDescent="0.45">
      <c r="A1992" s="4" t="s">
        <v>2590</v>
      </c>
      <c r="B1992" s="4" t="s">
        <v>7082</v>
      </c>
      <c r="C1992" s="4" t="s">
        <v>2137</v>
      </c>
      <c r="D1992" s="4" t="s">
        <v>2138</v>
      </c>
      <c r="E1992" s="4" t="s">
        <v>2139</v>
      </c>
      <c r="F1992" s="5">
        <v>116.84</v>
      </c>
      <c r="G1992" s="5">
        <v>127.5</v>
      </c>
      <c r="H1992" s="4" t="s">
        <v>1201</v>
      </c>
      <c r="I1992" s="10">
        <v>266</v>
      </c>
      <c r="J1992" s="34">
        <f t="shared" si="124"/>
        <v>2.3142</v>
      </c>
      <c r="K1992" s="34">
        <f t="shared" si="125"/>
        <v>3.47</v>
      </c>
      <c r="L1992" s="34">
        <f t="shared" si="126"/>
        <v>13.88</v>
      </c>
      <c r="M1992" s="11" t="s">
        <v>5046</v>
      </c>
      <c r="N1992" s="11" t="s">
        <v>4597</v>
      </c>
      <c r="O1992" s="11" t="s">
        <v>3892</v>
      </c>
      <c r="P1992" s="11" t="s">
        <v>4598</v>
      </c>
      <c r="Q1992" s="12">
        <v>116.84</v>
      </c>
      <c r="R1992" s="12">
        <v>127.508</v>
      </c>
      <c r="S1992" s="12">
        <v>5.3339999999999996</v>
      </c>
      <c r="T1992" s="13">
        <v>9.86</v>
      </c>
      <c r="U1992" s="13">
        <f t="shared" si="127"/>
        <v>-4.0200000000000014</v>
      </c>
      <c r="V1992" s="14">
        <v>1207.8499999999999</v>
      </c>
      <c r="W1992" s="14">
        <v>1207.8499999999999</v>
      </c>
      <c r="X1992" s="11">
        <v>12</v>
      </c>
      <c r="Y1992" s="15" t="s">
        <v>3737</v>
      </c>
      <c r="Z1992" s="16">
        <v>941.84999999999991</v>
      </c>
      <c r="AA1992" s="17">
        <v>354.1</v>
      </c>
      <c r="AB1992" s="18" t="s">
        <v>4032</v>
      </c>
    </row>
    <row r="1993" spans="1:28" x14ac:dyDescent="0.45">
      <c r="A1993" s="2" t="s">
        <v>2591</v>
      </c>
      <c r="B1993" s="2" t="s">
        <v>7083</v>
      </c>
      <c r="C1993" s="2" t="s">
        <v>2137</v>
      </c>
      <c r="D1993" s="2" t="s">
        <v>2138</v>
      </c>
      <c r="E1993" s="2" t="s">
        <v>2139</v>
      </c>
      <c r="F1993" s="3">
        <v>116.84</v>
      </c>
      <c r="G1993" s="3">
        <v>130.82</v>
      </c>
      <c r="H1993" s="2" t="s">
        <v>1368</v>
      </c>
      <c r="I1993" s="19">
        <v>532</v>
      </c>
      <c r="J1993" s="34">
        <f t="shared" si="124"/>
        <v>4.6284000000000001</v>
      </c>
      <c r="K1993" s="34">
        <f t="shared" si="125"/>
        <v>6.94</v>
      </c>
      <c r="L1993" s="34">
        <f t="shared" si="126"/>
        <v>27.76</v>
      </c>
      <c r="M1993" s="20" t="s">
        <v>5047</v>
      </c>
      <c r="N1993" s="20" t="s">
        <v>4597</v>
      </c>
      <c r="O1993" s="20" t="s">
        <v>3892</v>
      </c>
      <c r="P1993" s="20" t="s">
        <v>4598</v>
      </c>
      <c r="Q1993" s="21">
        <v>116.84</v>
      </c>
      <c r="R1993" s="21">
        <v>130.81</v>
      </c>
      <c r="S1993" s="21">
        <v>7.1120000000000001</v>
      </c>
      <c r="T1993" s="22">
        <v>27.3</v>
      </c>
      <c r="U1993" s="13">
        <f t="shared" si="127"/>
        <v>-0.46000000000000085</v>
      </c>
      <c r="V1993" s="23">
        <v>3344.25</v>
      </c>
      <c r="W1993" s="23">
        <v>3344.25</v>
      </c>
      <c r="X1993" s="20">
        <v>5</v>
      </c>
      <c r="Y1993" s="24" t="s">
        <v>3737</v>
      </c>
      <c r="Z1993" s="16">
        <v>2812.25</v>
      </c>
      <c r="AA1993" s="17">
        <v>528.6</v>
      </c>
      <c r="AB1993" s="25" t="s">
        <v>4032</v>
      </c>
    </row>
    <row r="1994" spans="1:28" x14ac:dyDescent="0.45">
      <c r="A1994" s="4" t="s">
        <v>2592</v>
      </c>
      <c r="B1994" s="4" t="s">
        <v>7084</v>
      </c>
      <c r="C1994" s="4" t="s">
        <v>2137</v>
      </c>
      <c r="D1994" s="4" t="s">
        <v>2138</v>
      </c>
      <c r="E1994" s="4" t="s">
        <v>2139</v>
      </c>
      <c r="F1994" s="5">
        <v>117.07</v>
      </c>
      <c r="G1994" s="5">
        <v>124.13</v>
      </c>
      <c r="H1994" s="4" t="s">
        <v>1156</v>
      </c>
      <c r="I1994" s="10">
        <v>135</v>
      </c>
      <c r="J1994" s="34">
        <f t="shared" si="124"/>
        <v>1.1744999999999999</v>
      </c>
      <c r="K1994" s="34">
        <f t="shared" si="125"/>
        <v>1.76</v>
      </c>
      <c r="L1994" s="34">
        <f t="shared" si="126"/>
        <v>7.04</v>
      </c>
      <c r="M1994" s="11" t="s">
        <v>5048</v>
      </c>
      <c r="N1994" s="11" t="s">
        <v>4597</v>
      </c>
      <c r="O1994" s="11" t="s">
        <v>3892</v>
      </c>
      <c r="P1994" s="11" t="s">
        <v>4598</v>
      </c>
      <c r="Q1994" s="12">
        <v>117.09399999999999</v>
      </c>
      <c r="R1994" s="12">
        <v>124.206</v>
      </c>
      <c r="S1994" s="12">
        <v>3.556</v>
      </c>
      <c r="T1994" s="13">
        <v>4.3099999999999996</v>
      </c>
      <c r="U1994" s="13">
        <f t="shared" si="127"/>
        <v>-2.7300000000000004</v>
      </c>
      <c r="V1994" s="14">
        <v>527.97</v>
      </c>
      <c r="W1994" s="14">
        <v>527.97</v>
      </c>
      <c r="X1994" s="11">
        <v>9</v>
      </c>
      <c r="Y1994" s="15" t="s">
        <v>3737</v>
      </c>
      <c r="Z1994" s="16">
        <v>392.97</v>
      </c>
      <c r="AA1994" s="17">
        <v>291.10000000000002</v>
      </c>
      <c r="AB1994" s="18" t="s">
        <v>3945</v>
      </c>
    </row>
    <row r="1995" spans="1:28" x14ac:dyDescent="0.45">
      <c r="A1995" s="2" t="s">
        <v>2593</v>
      </c>
      <c r="B1995" s="2" t="s">
        <v>7085</v>
      </c>
      <c r="C1995" s="2" t="s">
        <v>2137</v>
      </c>
      <c r="D1995" s="2" t="s">
        <v>2138</v>
      </c>
      <c r="E1995" s="2" t="s">
        <v>2139</v>
      </c>
      <c r="F1995" s="3">
        <v>117</v>
      </c>
      <c r="G1995" s="3">
        <v>125</v>
      </c>
      <c r="H1995" s="2" t="s">
        <v>1216</v>
      </c>
      <c r="I1995" s="19">
        <v>222</v>
      </c>
      <c r="J1995" s="34">
        <f t="shared" si="124"/>
        <v>1.9313999999999998</v>
      </c>
      <c r="K1995" s="34">
        <f t="shared" si="125"/>
        <v>2.9</v>
      </c>
      <c r="L1995" s="34">
        <f t="shared" si="126"/>
        <v>11.6</v>
      </c>
      <c r="M1995" s="20" t="s">
        <v>5048</v>
      </c>
      <c r="N1995" s="20" t="s">
        <v>4597</v>
      </c>
      <c r="O1995" s="20" t="s">
        <v>3892</v>
      </c>
      <c r="P1995" s="20" t="s">
        <v>4598</v>
      </c>
      <c r="Q1995" s="21">
        <v>117.09399999999999</v>
      </c>
      <c r="R1995" s="21">
        <v>124.206</v>
      </c>
      <c r="S1995" s="21">
        <v>3.556</v>
      </c>
      <c r="T1995" s="22">
        <v>4.3099999999999996</v>
      </c>
      <c r="U1995" s="13">
        <f t="shared" si="127"/>
        <v>-7.29</v>
      </c>
      <c r="V1995" s="23">
        <v>527.97</v>
      </c>
      <c r="W1995" s="23">
        <v>527.97</v>
      </c>
      <c r="X1995" s="20">
        <v>9</v>
      </c>
      <c r="Y1995" s="24" t="s">
        <v>3737</v>
      </c>
      <c r="Z1995" s="16">
        <v>305.97000000000003</v>
      </c>
      <c r="AA1995" s="17">
        <v>137.80000000000001</v>
      </c>
      <c r="AB1995" s="25" t="s">
        <v>5049</v>
      </c>
    </row>
    <row r="1996" spans="1:28" x14ac:dyDescent="0.45">
      <c r="A1996" s="4" t="s">
        <v>2594</v>
      </c>
      <c r="B1996" s="4" t="s">
        <v>7086</v>
      </c>
      <c r="C1996" s="4" t="s">
        <v>2137</v>
      </c>
      <c r="D1996" s="4" t="s">
        <v>2138</v>
      </c>
      <c r="E1996" s="4" t="s">
        <v>2139</v>
      </c>
      <c r="F1996" s="5">
        <v>119.2</v>
      </c>
      <c r="G1996" s="5">
        <v>130.6</v>
      </c>
      <c r="H1996" s="4" t="s">
        <v>1297</v>
      </c>
      <c r="I1996" s="10">
        <v>542</v>
      </c>
      <c r="J1996" s="34">
        <f t="shared" si="124"/>
        <v>4.7153999999999998</v>
      </c>
      <c r="K1996" s="34">
        <f t="shared" si="125"/>
        <v>7.07</v>
      </c>
      <c r="L1996" s="34">
        <f t="shared" si="126"/>
        <v>28.28</v>
      </c>
      <c r="M1996" s="11" t="s">
        <v>5050</v>
      </c>
      <c r="N1996" s="11" t="s">
        <v>4597</v>
      </c>
      <c r="O1996" s="11" t="s">
        <v>3892</v>
      </c>
      <c r="P1996" s="11" t="s">
        <v>4598</v>
      </c>
      <c r="Q1996" s="12">
        <v>119.3</v>
      </c>
      <c r="R1996" s="12">
        <v>130.69999999999999</v>
      </c>
      <c r="S1996" s="12">
        <v>5.7</v>
      </c>
      <c r="T1996" s="13">
        <v>14.27</v>
      </c>
      <c r="U1996" s="13">
        <f t="shared" si="127"/>
        <v>-14.010000000000002</v>
      </c>
      <c r="V1996" s="14">
        <v>1748.08</v>
      </c>
      <c r="W1996" s="14">
        <v>1748.08</v>
      </c>
      <c r="X1996" s="11">
        <v>173</v>
      </c>
      <c r="Y1996" s="15" t="s">
        <v>3713</v>
      </c>
      <c r="Z1996" s="16">
        <v>1206.08</v>
      </c>
      <c r="AA1996" s="17">
        <v>222.5</v>
      </c>
      <c r="AB1996" s="18" t="s">
        <v>4119</v>
      </c>
    </row>
    <row r="1997" spans="1:28" x14ac:dyDescent="0.45">
      <c r="A1997" s="2" t="s">
        <v>2595</v>
      </c>
      <c r="B1997" s="2" t="s">
        <v>7087</v>
      </c>
      <c r="C1997" s="2" t="s">
        <v>2137</v>
      </c>
      <c r="D1997" s="2" t="s">
        <v>2138</v>
      </c>
      <c r="E1997" s="2" t="s">
        <v>2139</v>
      </c>
      <c r="F1997" s="3">
        <v>119.4</v>
      </c>
      <c r="G1997" s="3">
        <v>125.6</v>
      </c>
      <c r="H1997" s="2" t="s">
        <v>1221</v>
      </c>
      <c r="I1997" s="19">
        <v>136</v>
      </c>
      <c r="J1997" s="34">
        <f t="shared" si="124"/>
        <v>1.1831999999999998</v>
      </c>
      <c r="K1997" s="34">
        <f t="shared" si="125"/>
        <v>1.77</v>
      </c>
      <c r="L1997" s="34">
        <f t="shared" si="126"/>
        <v>7.08</v>
      </c>
      <c r="M1997" s="20" t="s">
        <v>5051</v>
      </c>
      <c r="N1997" s="20" t="s">
        <v>4597</v>
      </c>
      <c r="O1997" s="20" t="s">
        <v>3892</v>
      </c>
      <c r="P1997" s="20" t="s">
        <v>4598</v>
      </c>
      <c r="Q1997" s="21">
        <v>119.5</v>
      </c>
      <c r="R1997" s="21">
        <v>125.5</v>
      </c>
      <c r="S1997" s="21">
        <v>3</v>
      </c>
      <c r="T1997" s="22">
        <v>6.35</v>
      </c>
      <c r="U1997" s="13">
        <f t="shared" si="127"/>
        <v>-0.73000000000000043</v>
      </c>
      <c r="V1997" s="23">
        <v>777.88</v>
      </c>
      <c r="W1997" s="23">
        <v>777.88</v>
      </c>
      <c r="X1997" s="20">
        <v>10</v>
      </c>
      <c r="Y1997" s="24" t="s">
        <v>3713</v>
      </c>
      <c r="Z1997" s="16">
        <v>641.88</v>
      </c>
      <c r="AA1997" s="17">
        <v>472</v>
      </c>
      <c r="AB1997" s="25" t="s">
        <v>4119</v>
      </c>
    </row>
    <row r="1998" spans="1:28" x14ac:dyDescent="0.45">
      <c r="A1998" s="4" t="s">
        <v>2596</v>
      </c>
      <c r="B1998" s="4" t="s">
        <v>7088</v>
      </c>
      <c r="C1998" s="4" t="s">
        <v>2137</v>
      </c>
      <c r="D1998" s="4" t="s">
        <v>2138</v>
      </c>
      <c r="E1998" s="4" t="s">
        <v>2139</v>
      </c>
      <c r="F1998" s="5">
        <v>120.02</v>
      </c>
      <c r="G1998" s="5">
        <v>130.68</v>
      </c>
      <c r="H1998" s="4" t="s">
        <v>1201</v>
      </c>
      <c r="I1998" s="10">
        <v>274</v>
      </c>
      <c r="J1998" s="34">
        <f t="shared" si="124"/>
        <v>2.3837999999999999</v>
      </c>
      <c r="K1998" s="34">
        <f t="shared" si="125"/>
        <v>3.58</v>
      </c>
      <c r="L1998" s="34">
        <f t="shared" si="126"/>
        <v>14.32</v>
      </c>
      <c r="M1998" s="11" t="s">
        <v>5052</v>
      </c>
      <c r="N1998" s="11" t="s">
        <v>4597</v>
      </c>
      <c r="O1998" s="11" t="s">
        <v>3892</v>
      </c>
      <c r="P1998" s="11" t="s">
        <v>4598</v>
      </c>
      <c r="Q1998" s="12">
        <v>119.88800000000001</v>
      </c>
      <c r="R1998" s="12">
        <v>130.55600000000001</v>
      </c>
      <c r="S1998" s="12">
        <v>5.3339999999999996</v>
      </c>
      <c r="T1998" s="13">
        <v>15.65</v>
      </c>
      <c r="U1998" s="13">
        <f t="shared" si="127"/>
        <v>1.33</v>
      </c>
      <c r="V1998" s="14">
        <v>1917.12</v>
      </c>
      <c r="W1998" s="14">
        <v>1917.12</v>
      </c>
      <c r="X1998" s="11">
        <v>66</v>
      </c>
      <c r="Y1998" s="15" t="s">
        <v>3737</v>
      </c>
      <c r="Z1998" s="16">
        <v>1643.12</v>
      </c>
      <c r="AA1998" s="17">
        <v>599.70000000000005</v>
      </c>
      <c r="AB1998" s="18" t="s">
        <v>4189</v>
      </c>
    </row>
    <row r="1999" spans="1:28" x14ac:dyDescent="0.45">
      <c r="A1999" s="2" t="s">
        <v>2597</v>
      </c>
      <c r="B1999" s="2" t="s">
        <v>7089</v>
      </c>
      <c r="C1999" s="2" t="s">
        <v>2137</v>
      </c>
      <c r="D1999" s="2" t="s">
        <v>2138</v>
      </c>
      <c r="E1999" s="2" t="s">
        <v>2139</v>
      </c>
      <c r="F1999" s="3">
        <v>120.24</v>
      </c>
      <c r="G1999" s="3">
        <v>127.3</v>
      </c>
      <c r="H1999" s="2" t="s">
        <v>1156</v>
      </c>
      <c r="I1999" s="19">
        <v>138</v>
      </c>
      <c r="J1999" s="34">
        <f t="shared" si="124"/>
        <v>1.2005999999999999</v>
      </c>
      <c r="K1999" s="34">
        <f t="shared" si="125"/>
        <v>1.8</v>
      </c>
      <c r="L1999" s="34">
        <f t="shared" si="126"/>
        <v>7.2</v>
      </c>
      <c r="M1999" s="20" t="s">
        <v>5053</v>
      </c>
      <c r="N1999" s="20" t="s">
        <v>4597</v>
      </c>
      <c r="O1999" s="20" t="s">
        <v>3892</v>
      </c>
      <c r="P1999" s="20" t="s">
        <v>4598</v>
      </c>
      <c r="Q1999" s="21">
        <v>120.142</v>
      </c>
      <c r="R1999" s="21">
        <v>127.254</v>
      </c>
      <c r="S1999" s="21">
        <v>3.556</v>
      </c>
      <c r="T1999" s="22">
        <v>5.5</v>
      </c>
      <c r="U1999" s="13">
        <f t="shared" si="127"/>
        <v>-1.7000000000000002</v>
      </c>
      <c r="V1999" s="23">
        <v>673.75</v>
      </c>
      <c r="W1999" s="23">
        <v>673.75</v>
      </c>
      <c r="X1999" s="20">
        <v>33</v>
      </c>
      <c r="Y1999" s="24" t="s">
        <v>3737</v>
      </c>
      <c r="Z1999" s="16">
        <v>535.75</v>
      </c>
      <c r="AA1999" s="17">
        <v>388.2</v>
      </c>
      <c r="AB1999" s="25" t="s">
        <v>3963</v>
      </c>
    </row>
    <row r="2000" spans="1:28" x14ac:dyDescent="0.45">
      <c r="A2000" s="4" t="s">
        <v>2598</v>
      </c>
      <c r="B2000" s="4" t="s">
        <v>7090</v>
      </c>
      <c r="C2000" s="4" t="s">
        <v>2137</v>
      </c>
      <c r="D2000" s="4" t="s">
        <v>2138</v>
      </c>
      <c r="E2000" s="4" t="s">
        <v>2139</v>
      </c>
      <c r="F2000" s="5">
        <v>120.32</v>
      </c>
      <c r="G2000" s="5">
        <v>125.56</v>
      </c>
      <c r="H2000" s="4" t="s">
        <v>1127</v>
      </c>
      <c r="I2000" s="10">
        <v>74</v>
      </c>
      <c r="J2000" s="34">
        <f t="shared" si="124"/>
        <v>0.64379999999999993</v>
      </c>
      <c r="K2000" s="34">
        <f t="shared" si="125"/>
        <v>0.97</v>
      </c>
      <c r="L2000" s="34">
        <f t="shared" si="126"/>
        <v>3.88</v>
      </c>
      <c r="M2000" s="11" t="s">
        <v>5054</v>
      </c>
      <c r="N2000" s="11" t="s">
        <v>4597</v>
      </c>
      <c r="O2000" s="11" t="s">
        <v>3892</v>
      </c>
      <c r="P2000" s="11" t="s">
        <v>4598</v>
      </c>
      <c r="Q2000" s="12">
        <v>120.396</v>
      </c>
      <c r="R2000" s="12">
        <v>125.476</v>
      </c>
      <c r="S2000" s="12">
        <v>2.54</v>
      </c>
      <c r="T2000" s="13">
        <v>6.29</v>
      </c>
      <c r="U2000" s="13">
        <f t="shared" si="127"/>
        <v>2.41</v>
      </c>
      <c r="V2000" s="14">
        <v>770.52</v>
      </c>
      <c r="W2000" s="14">
        <v>770.52</v>
      </c>
      <c r="X2000" s="11">
        <v>18</v>
      </c>
      <c r="Y2000" s="15" t="s">
        <v>3737</v>
      </c>
      <c r="Z2000" s="16">
        <v>696.52</v>
      </c>
      <c r="AA2000" s="17">
        <v>941.2</v>
      </c>
      <c r="AB2000" s="18" t="s">
        <v>4022</v>
      </c>
    </row>
    <row r="2001" spans="1:28" x14ac:dyDescent="0.45">
      <c r="A2001" s="2" t="s">
        <v>2599</v>
      </c>
      <c r="B2001" s="2" t="s">
        <v>7091</v>
      </c>
      <c r="C2001" s="2" t="s">
        <v>2137</v>
      </c>
      <c r="D2001" s="2" t="s">
        <v>2138</v>
      </c>
      <c r="E2001" s="2" t="s">
        <v>2139</v>
      </c>
      <c r="F2001" s="3">
        <v>120</v>
      </c>
      <c r="G2001" s="3">
        <v>128</v>
      </c>
      <c r="H2001" s="2" t="s">
        <v>1216</v>
      </c>
      <c r="I2001" s="19">
        <v>227</v>
      </c>
      <c r="J2001" s="34">
        <f t="shared" si="124"/>
        <v>1.9748999999999999</v>
      </c>
      <c r="K2001" s="34">
        <f t="shared" si="125"/>
        <v>2.96</v>
      </c>
      <c r="L2001" s="34">
        <f t="shared" si="126"/>
        <v>11.84</v>
      </c>
      <c r="M2001" s="20" t="s">
        <v>5055</v>
      </c>
      <c r="N2001" s="20" t="s">
        <v>4597</v>
      </c>
      <c r="O2001" s="20" t="s">
        <v>3892</v>
      </c>
      <c r="P2001" s="20" t="s">
        <v>4598</v>
      </c>
      <c r="Q2001" s="21">
        <v>120</v>
      </c>
      <c r="R2001" s="21">
        <v>128</v>
      </c>
      <c r="S2001" s="21">
        <v>4</v>
      </c>
      <c r="T2001" s="22">
        <v>7.75</v>
      </c>
      <c r="U2001" s="13">
        <f t="shared" si="127"/>
        <v>-4.09</v>
      </c>
      <c r="V2001" s="23">
        <v>949.38</v>
      </c>
      <c r="W2001" s="23">
        <v>949.38</v>
      </c>
      <c r="X2001" s="20" t="s">
        <v>3722</v>
      </c>
      <c r="Y2001" s="24" t="s">
        <v>3713</v>
      </c>
      <c r="Z2001" s="16">
        <v>722.38</v>
      </c>
      <c r="AA2001" s="17">
        <v>318.2</v>
      </c>
      <c r="AB2001" s="25" t="s">
        <v>3714</v>
      </c>
    </row>
    <row r="2002" spans="1:28" x14ac:dyDescent="0.45">
      <c r="A2002" s="4" t="s">
        <v>2600</v>
      </c>
      <c r="B2002" s="4" t="s">
        <v>7092</v>
      </c>
      <c r="C2002" s="4" t="s">
        <v>2137</v>
      </c>
      <c r="D2002" s="4" t="s">
        <v>2138</v>
      </c>
      <c r="E2002" s="4" t="s">
        <v>2139</v>
      </c>
      <c r="F2002" s="5">
        <v>120</v>
      </c>
      <c r="G2002" s="5">
        <v>130</v>
      </c>
      <c r="H2002" s="4" t="s">
        <v>1245</v>
      </c>
      <c r="I2002" s="10">
        <v>273</v>
      </c>
      <c r="J2002" s="34">
        <f t="shared" si="124"/>
        <v>2.3750999999999998</v>
      </c>
      <c r="K2002" s="34">
        <f t="shared" si="125"/>
        <v>3.56</v>
      </c>
      <c r="L2002" s="34">
        <f t="shared" si="126"/>
        <v>14.24</v>
      </c>
      <c r="M2002" s="11" t="s">
        <v>5052</v>
      </c>
      <c r="N2002" s="11" t="s">
        <v>4597</v>
      </c>
      <c r="O2002" s="11" t="s">
        <v>3892</v>
      </c>
      <c r="P2002" s="11" t="s">
        <v>4598</v>
      </c>
      <c r="Q2002" s="12">
        <v>119.88800000000001</v>
      </c>
      <c r="R2002" s="12">
        <v>130.55600000000001</v>
      </c>
      <c r="S2002" s="12">
        <v>5.3339999999999996</v>
      </c>
      <c r="T2002" s="13">
        <v>15.65</v>
      </c>
      <c r="U2002" s="13">
        <f t="shared" si="127"/>
        <v>1.4100000000000001</v>
      </c>
      <c r="V2002" s="14">
        <v>1917.12</v>
      </c>
      <c r="W2002" s="14">
        <v>1917.12</v>
      </c>
      <c r="X2002" s="11">
        <v>66</v>
      </c>
      <c r="Y2002" s="15" t="s">
        <v>3737</v>
      </c>
      <c r="Z2002" s="16">
        <v>1644.12</v>
      </c>
      <c r="AA2002" s="17">
        <v>602.20000000000005</v>
      </c>
      <c r="AB2002" s="18" t="s">
        <v>5056</v>
      </c>
    </row>
    <row r="2003" spans="1:28" x14ac:dyDescent="0.45">
      <c r="A2003" s="2" t="s">
        <v>2601</v>
      </c>
      <c r="B2003" s="2" t="s">
        <v>7093</v>
      </c>
      <c r="C2003" s="2" t="s">
        <v>2137</v>
      </c>
      <c r="D2003" s="2" t="s">
        <v>2138</v>
      </c>
      <c r="E2003" s="2" t="s">
        <v>2139</v>
      </c>
      <c r="F2003" s="3">
        <v>123.19</v>
      </c>
      <c r="G2003" s="3">
        <v>133.85</v>
      </c>
      <c r="H2003" s="2" t="s">
        <v>1201</v>
      </c>
      <c r="I2003" s="19">
        <v>281</v>
      </c>
      <c r="J2003" s="34">
        <f t="shared" si="124"/>
        <v>2.4446999999999997</v>
      </c>
      <c r="K2003" s="34">
        <f t="shared" si="125"/>
        <v>3.67</v>
      </c>
      <c r="L2003" s="34">
        <f t="shared" si="126"/>
        <v>14.68</v>
      </c>
      <c r="M2003" s="20" t="s">
        <v>5057</v>
      </c>
      <c r="N2003" s="20" t="s">
        <v>4597</v>
      </c>
      <c r="O2003" s="20" t="s">
        <v>3892</v>
      </c>
      <c r="P2003" s="20" t="s">
        <v>4598</v>
      </c>
      <c r="Q2003" s="21">
        <v>123.19</v>
      </c>
      <c r="R2003" s="21">
        <v>133.858</v>
      </c>
      <c r="S2003" s="21">
        <v>5.3339999999999996</v>
      </c>
      <c r="T2003" s="22">
        <v>8.42</v>
      </c>
      <c r="U2003" s="13">
        <f t="shared" si="127"/>
        <v>-6.26</v>
      </c>
      <c r="V2003" s="23">
        <v>1031.45</v>
      </c>
      <c r="W2003" s="23">
        <v>1031.45</v>
      </c>
      <c r="X2003" s="20" t="s">
        <v>3722</v>
      </c>
      <c r="Y2003" s="24" t="s">
        <v>3737</v>
      </c>
      <c r="Z2003" s="16">
        <v>750.45</v>
      </c>
      <c r="AA2003" s="17">
        <v>267.10000000000002</v>
      </c>
      <c r="AB2003" s="25" t="s">
        <v>4032</v>
      </c>
    </row>
    <row r="2004" spans="1:28" x14ac:dyDescent="0.45">
      <c r="A2004" s="4" t="s">
        <v>2602</v>
      </c>
      <c r="B2004" s="4" t="s">
        <v>7094</v>
      </c>
      <c r="C2004" s="4" t="s">
        <v>2137</v>
      </c>
      <c r="D2004" s="4" t="s">
        <v>2138</v>
      </c>
      <c r="E2004" s="4" t="s">
        <v>2139</v>
      </c>
      <c r="F2004" s="5">
        <v>123.2</v>
      </c>
      <c r="G2004" s="5">
        <v>137.18</v>
      </c>
      <c r="H2004" s="4" t="s">
        <v>1368</v>
      </c>
      <c r="I2004" s="10">
        <v>560</v>
      </c>
      <c r="J2004" s="34">
        <f t="shared" si="124"/>
        <v>4.8719999999999999</v>
      </c>
      <c r="K2004" s="34">
        <f t="shared" si="125"/>
        <v>7.31</v>
      </c>
      <c r="L2004" s="34">
        <f t="shared" si="126"/>
        <v>29.24</v>
      </c>
      <c r="M2004" s="11" t="s">
        <v>5058</v>
      </c>
      <c r="N2004" s="11" t="s">
        <v>4597</v>
      </c>
      <c r="O2004" s="11" t="s">
        <v>3892</v>
      </c>
      <c r="P2004" s="11" t="s">
        <v>4598</v>
      </c>
      <c r="Q2004" s="12">
        <v>124.3</v>
      </c>
      <c r="R2004" s="12">
        <v>135.69999999999999</v>
      </c>
      <c r="S2004" s="12">
        <v>5.7</v>
      </c>
      <c r="T2004" s="13">
        <v>17.11</v>
      </c>
      <c r="U2004" s="13">
        <f t="shared" si="127"/>
        <v>-12.129999999999999</v>
      </c>
      <c r="V2004" s="14">
        <v>2095.98</v>
      </c>
      <c r="W2004" s="14">
        <v>2095.98</v>
      </c>
      <c r="X2004" s="11">
        <v>2</v>
      </c>
      <c r="Y2004" s="15" t="s">
        <v>3713</v>
      </c>
      <c r="Z2004" s="16">
        <v>1535.98</v>
      </c>
      <c r="AA2004" s="17">
        <v>274.3</v>
      </c>
      <c r="AB2004" s="18" t="s">
        <v>5059</v>
      </c>
    </row>
    <row r="2005" spans="1:28" x14ac:dyDescent="0.45">
      <c r="A2005" s="2" t="s">
        <v>2603</v>
      </c>
      <c r="B2005" s="2" t="s">
        <v>7095</v>
      </c>
      <c r="C2005" s="2" t="s">
        <v>2137</v>
      </c>
      <c r="D2005" s="2" t="s">
        <v>2138</v>
      </c>
      <c r="E2005" s="2" t="s">
        <v>2139</v>
      </c>
      <c r="F2005" s="3">
        <v>123.42</v>
      </c>
      <c r="G2005" s="3">
        <v>130.47999999999999</v>
      </c>
      <c r="H2005" s="2" t="s">
        <v>1156</v>
      </c>
      <c r="I2005" s="19">
        <v>141</v>
      </c>
      <c r="J2005" s="34">
        <f t="shared" si="124"/>
        <v>1.2266999999999999</v>
      </c>
      <c r="K2005" s="34">
        <f t="shared" si="125"/>
        <v>1.84</v>
      </c>
      <c r="L2005" s="34">
        <f t="shared" si="126"/>
        <v>7.36</v>
      </c>
      <c r="M2005" s="20" t="s">
        <v>5060</v>
      </c>
      <c r="N2005" s="20" t="s">
        <v>4597</v>
      </c>
      <c r="O2005" s="20" t="s">
        <v>3892</v>
      </c>
      <c r="P2005" s="20" t="s">
        <v>4598</v>
      </c>
      <c r="Q2005" s="21">
        <v>123.444</v>
      </c>
      <c r="R2005" s="21">
        <v>130.55600000000001</v>
      </c>
      <c r="S2005" s="21">
        <v>3.556</v>
      </c>
      <c r="T2005" s="22">
        <v>4.07</v>
      </c>
      <c r="U2005" s="13">
        <f t="shared" si="127"/>
        <v>-3.29</v>
      </c>
      <c r="V2005" s="23">
        <v>498.58</v>
      </c>
      <c r="W2005" s="23">
        <v>498.58</v>
      </c>
      <c r="X2005" s="20">
        <v>65</v>
      </c>
      <c r="Y2005" s="24" t="s">
        <v>3737</v>
      </c>
      <c r="Z2005" s="16">
        <v>357.58</v>
      </c>
      <c r="AA2005" s="17">
        <v>253.6</v>
      </c>
      <c r="AB2005" s="25" t="s">
        <v>3945</v>
      </c>
    </row>
    <row r="2006" spans="1:28" x14ac:dyDescent="0.45">
      <c r="A2006" s="4" t="s">
        <v>2604</v>
      </c>
      <c r="B2006" s="4" t="s">
        <v>7096</v>
      </c>
      <c r="C2006" s="4" t="s">
        <v>2137</v>
      </c>
      <c r="D2006" s="4" t="s">
        <v>2138</v>
      </c>
      <c r="E2006" s="4" t="s">
        <v>2139</v>
      </c>
      <c r="F2006" s="5">
        <v>124.2</v>
      </c>
      <c r="G2006" s="5">
        <v>135.6</v>
      </c>
      <c r="H2006" s="4" t="s">
        <v>1297</v>
      </c>
      <c r="I2006" s="10">
        <v>565</v>
      </c>
      <c r="J2006" s="34">
        <f t="shared" si="124"/>
        <v>4.9154999999999998</v>
      </c>
      <c r="K2006" s="34">
        <f t="shared" si="125"/>
        <v>7.37</v>
      </c>
      <c r="L2006" s="34">
        <f t="shared" si="126"/>
        <v>29.48</v>
      </c>
      <c r="M2006" s="11" t="s">
        <v>5058</v>
      </c>
      <c r="N2006" s="11" t="s">
        <v>4597</v>
      </c>
      <c r="O2006" s="11" t="s">
        <v>3892</v>
      </c>
      <c r="P2006" s="11" t="s">
        <v>4598</v>
      </c>
      <c r="Q2006" s="12">
        <v>124.3</v>
      </c>
      <c r="R2006" s="12">
        <v>135.69999999999999</v>
      </c>
      <c r="S2006" s="12">
        <v>5.7</v>
      </c>
      <c r="T2006" s="13">
        <v>17.11</v>
      </c>
      <c r="U2006" s="13">
        <f t="shared" si="127"/>
        <v>-12.370000000000001</v>
      </c>
      <c r="V2006" s="14">
        <v>2095.98</v>
      </c>
      <c r="W2006" s="14">
        <v>2095.98</v>
      </c>
      <c r="X2006" s="11">
        <v>2</v>
      </c>
      <c r="Y2006" s="15" t="s">
        <v>3713</v>
      </c>
      <c r="Z2006" s="16">
        <v>1530.98</v>
      </c>
      <c r="AA2006" s="17">
        <v>271</v>
      </c>
      <c r="AB2006" s="18" t="s">
        <v>4119</v>
      </c>
    </row>
    <row r="2007" spans="1:28" x14ac:dyDescent="0.45">
      <c r="A2007" s="2" t="s">
        <v>2605</v>
      </c>
      <c r="B2007" s="2" t="s">
        <v>7097</v>
      </c>
      <c r="C2007" s="2" t="s">
        <v>2137</v>
      </c>
      <c r="D2007" s="2" t="s">
        <v>2138</v>
      </c>
      <c r="E2007" s="2" t="s">
        <v>2139</v>
      </c>
      <c r="F2007" s="3">
        <v>124.4</v>
      </c>
      <c r="G2007" s="3">
        <v>130.6</v>
      </c>
      <c r="H2007" s="2" t="s">
        <v>1221</v>
      </c>
      <c r="I2007" s="19">
        <v>141</v>
      </c>
      <c r="J2007" s="34">
        <f t="shared" si="124"/>
        <v>1.2266999999999999</v>
      </c>
      <c r="K2007" s="34">
        <f t="shared" si="125"/>
        <v>1.84</v>
      </c>
      <c r="L2007" s="34">
        <f t="shared" si="126"/>
        <v>7.36</v>
      </c>
      <c r="M2007" s="20" t="s">
        <v>5061</v>
      </c>
      <c r="N2007" s="20" t="s">
        <v>4597</v>
      </c>
      <c r="O2007" s="20" t="s">
        <v>3892</v>
      </c>
      <c r="P2007" s="20" t="s">
        <v>4598</v>
      </c>
      <c r="Q2007" s="21">
        <v>124.5</v>
      </c>
      <c r="R2007" s="21">
        <v>130.5</v>
      </c>
      <c r="S2007" s="21">
        <v>3</v>
      </c>
      <c r="T2007" s="22">
        <v>7.65</v>
      </c>
      <c r="U2007" s="13">
        <f t="shared" si="127"/>
        <v>0.29000000000000004</v>
      </c>
      <c r="V2007" s="23">
        <v>937.12</v>
      </c>
      <c r="W2007" s="23">
        <v>937.12</v>
      </c>
      <c r="X2007" s="20">
        <v>14</v>
      </c>
      <c r="Y2007" s="24" t="s">
        <v>3713</v>
      </c>
      <c r="Z2007" s="16">
        <v>796.12</v>
      </c>
      <c r="AA2007" s="17">
        <v>564.6</v>
      </c>
      <c r="AB2007" s="25" t="s">
        <v>4119</v>
      </c>
    </row>
    <row r="2008" spans="1:28" x14ac:dyDescent="0.45">
      <c r="A2008" s="4" t="s">
        <v>2606</v>
      </c>
      <c r="B2008" s="4" t="s">
        <v>7098</v>
      </c>
      <c r="C2008" s="4" t="s">
        <v>2137</v>
      </c>
      <c r="D2008" s="4" t="s">
        <v>2138</v>
      </c>
      <c r="E2008" s="4" t="s">
        <v>2139</v>
      </c>
      <c r="F2008" s="5">
        <v>125</v>
      </c>
      <c r="G2008" s="5">
        <v>135</v>
      </c>
      <c r="H2008" s="4" t="s">
        <v>1245</v>
      </c>
      <c r="I2008" s="10">
        <v>284</v>
      </c>
      <c r="J2008" s="34">
        <f t="shared" si="124"/>
        <v>2.4707999999999997</v>
      </c>
      <c r="K2008" s="34">
        <f t="shared" si="125"/>
        <v>3.71</v>
      </c>
      <c r="L2008" s="34">
        <f t="shared" si="126"/>
        <v>14.84</v>
      </c>
      <c r="M2008" s="11" t="s">
        <v>5058</v>
      </c>
      <c r="N2008" s="11" t="s">
        <v>4597</v>
      </c>
      <c r="O2008" s="11" t="s">
        <v>3892</v>
      </c>
      <c r="P2008" s="11" t="s">
        <v>4598</v>
      </c>
      <c r="Q2008" s="12">
        <v>124.3</v>
      </c>
      <c r="R2008" s="12">
        <v>135.69999999999999</v>
      </c>
      <c r="S2008" s="12">
        <v>5.7</v>
      </c>
      <c r="T2008" s="13">
        <v>17.11</v>
      </c>
      <c r="U2008" s="13">
        <f t="shared" si="127"/>
        <v>2.2699999999999996</v>
      </c>
      <c r="V2008" s="14">
        <v>2095.98</v>
      </c>
      <c r="W2008" s="14">
        <v>2095.98</v>
      </c>
      <c r="X2008" s="11">
        <v>2</v>
      </c>
      <c r="Y2008" s="15" t="s">
        <v>3713</v>
      </c>
      <c r="Z2008" s="16">
        <v>1811.98</v>
      </c>
      <c r="AA2008" s="17">
        <v>638</v>
      </c>
      <c r="AB2008" s="18" t="s">
        <v>4899</v>
      </c>
    </row>
    <row r="2009" spans="1:28" x14ac:dyDescent="0.45">
      <c r="A2009" s="2" t="s">
        <v>2607</v>
      </c>
      <c r="B2009" s="2" t="s">
        <v>7099</v>
      </c>
      <c r="C2009" s="2" t="s">
        <v>2137</v>
      </c>
      <c r="D2009" s="2" t="s">
        <v>2138</v>
      </c>
      <c r="E2009" s="2" t="s">
        <v>2139</v>
      </c>
      <c r="F2009" s="3">
        <v>126.35</v>
      </c>
      <c r="G2009" s="3">
        <v>140.33000000000001</v>
      </c>
      <c r="H2009" s="2" t="s">
        <v>1368</v>
      </c>
      <c r="I2009" s="19">
        <v>576</v>
      </c>
      <c r="J2009" s="34">
        <f t="shared" si="124"/>
        <v>5.0111999999999997</v>
      </c>
      <c r="K2009" s="34">
        <f t="shared" si="125"/>
        <v>7.52</v>
      </c>
      <c r="L2009" s="34">
        <f t="shared" si="126"/>
        <v>30.08</v>
      </c>
      <c r="M2009" s="20" t="s">
        <v>5062</v>
      </c>
      <c r="N2009" s="20" t="s">
        <v>4597</v>
      </c>
      <c r="O2009" s="20" t="s">
        <v>3892</v>
      </c>
      <c r="P2009" s="20" t="s">
        <v>4598</v>
      </c>
      <c r="Q2009" s="21">
        <v>126.238</v>
      </c>
      <c r="R2009" s="21">
        <v>140.46199999999999</v>
      </c>
      <c r="S2009" s="21">
        <v>7.1120000000000001</v>
      </c>
      <c r="T2009" s="22">
        <v>16.489999999999998</v>
      </c>
      <c r="U2009" s="13">
        <f t="shared" si="127"/>
        <v>-13.59</v>
      </c>
      <c r="V2009" s="23">
        <v>2020.02</v>
      </c>
      <c r="W2009" s="23">
        <v>2020.02</v>
      </c>
      <c r="X2009" s="20">
        <v>13</v>
      </c>
      <c r="Y2009" s="24" t="s">
        <v>3737</v>
      </c>
      <c r="Z2009" s="16">
        <v>1444.02</v>
      </c>
      <c r="AA2009" s="17">
        <v>250.7</v>
      </c>
      <c r="AB2009" s="25" t="s">
        <v>5063</v>
      </c>
    </row>
    <row r="2010" spans="1:28" x14ac:dyDescent="0.45">
      <c r="A2010" s="4" t="s">
        <v>2608</v>
      </c>
      <c r="B2010" s="4" t="s">
        <v>7100</v>
      </c>
      <c r="C2010" s="4" t="s">
        <v>2137</v>
      </c>
      <c r="D2010" s="4" t="s">
        <v>2138</v>
      </c>
      <c r="E2010" s="4" t="s">
        <v>2139</v>
      </c>
      <c r="F2010" s="5">
        <v>126.37</v>
      </c>
      <c r="G2010" s="5">
        <v>137.03</v>
      </c>
      <c r="H2010" s="4" t="s">
        <v>1201</v>
      </c>
      <c r="I2010" s="10">
        <v>288</v>
      </c>
      <c r="J2010" s="34">
        <f t="shared" si="124"/>
        <v>2.5055999999999998</v>
      </c>
      <c r="K2010" s="34">
        <f t="shared" si="125"/>
        <v>3.76</v>
      </c>
      <c r="L2010" s="34">
        <f t="shared" si="126"/>
        <v>15.04</v>
      </c>
      <c r="M2010" s="11" t="s">
        <v>5064</v>
      </c>
      <c r="N2010" s="11" t="s">
        <v>4597</v>
      </c>
      <c r="O2010" s="11" t="s">
        <v>3892</v>
      </c>
      <c r="P2010" s="11" t="s">
        <v>4598</v>
      </c>
      <c r="Q2010" s="12">
        <v>126.238</v>
      </c>
      <c r="R2010" s="12">
        <v>136.90600000000001</v>
      </c>
      <c r="S2010" s="12">
        <v>5.3339999999999996</v>
      </c>
      <c r="T2010" s="13">
        <v>14.59</v>
      </c>
      <c r="U2010" s="13">
        <f t="shared" si="127"/>
        <v>-0.44999999999999929</v>
      </c>
      <c r="V2010" s="14">
        <v>1787.28</v>
      </c>
      <c r="W2010" s="14">
        <v>1787.28</v>
      </c>
      <c r="X2010" s="11" t="s">
        <v>3722</v>
      </c>
      <c r="Y2010" s="15" t="s">
        <v>3737</v>
      </c>
      <c r="Z2010" s="16">
        <v>1499.28</v>
      </c>
      <c r="AA2010" s="17">
        <v>520.6</v>
      </c>
      <c r="AB2010" s="18" t="s">
        <v>4189</v>
      </c>
    </row>
    <row r="2011" spans="1:28" x14ac:dyDescent="0.45">
      <c r="A2011" s="2" t="s">
        <v>2609</v>
      </c>
      <c r="B2011" s="2" t="s">
        <v>7101</v>
      </c>
      <c r="C2011" s="2" t="s">
        <v>2137</v>
      </c>
      <c r="D2011" s="2" t="s">
        <v>2138</v>
      </c>
      <c r="E2011" s="2" t="s">
        <v>2139</v>
      </c>
      <c r="F2011" s="3">
        <v>126.59</v>
      </c>
      <c r="G2011" s="3">
        <v>133.65</v>
      </c>
      <c r="H2011" s="2" t="s">
        <v>1156</v>
      </c>
      <c r="I2011" s="19">
        <v>145</v>
      </c>
      <c r="J2011" s="34">
        <f t="shared" si="124"/>
        <v>1.2614999999999998</v>
      </c>
      <c r="K2011" s="34">
        <f t="shared" si="125"/>
        <v>1.89</v>
      </c>
      <c r="L2011" s="34">
        <f t="shared" si="126"/>
        <v>7.56</v>
      </c>
      <c r="M2011" s="20" t="s">
        <v>5065</v>
      </c>
      <c r="N2011" s="20" t="s">
        <v>4597</v>
      </c>
      <c r="O2011" s="20" t="s">
        <v>3892</v>
      </c>
      <c r="P2011" s="20" t="s">
        <v>4598</v>
      </c>
      <c r="Q2011" s="21">
        <v>126.492</v>
      </c>
      <c r="R2011" s="21">
        <v>133.60400000000001</v>
      </c>
      <c r="S2011" s="21">
        <v>3.556</v>
      </c>
      <c r="T2011" s="22">
        <v>4.07</v>
      </c>
      <c r="U2011" s="13">
        <f t="shared" si="127"/>
        <v>-3.4899999999999993</v>
      </c>
      <c r="V2011" s="23">
        <v>498.58</v>
      </c>
      <c r="W2011" s="23">
        <v>498.58</v>
      </c>
      <c r="X2011" s="20">
        <v>58</v>
      </c>
      <c r="Y2011" s="24" t="s">
        <v>3737</v>
      </c>
      <c r="Z2011" s="16">
        <v>353.58</v>
      </c>
      <c r="AA2011" s="17">
        <v>243.8</v>
      </c>
      <c r="AB2011" s="25" t="s">
        <v>3963</v>
      </c>
    </row>
    <row r="2012" spans="1:28" x14ac:dyDescent="0.45">
      <c r="A2012" s="4" t="s">
        <v>2610</v>
      </c>
      <c r="B2012" s="4" t="s">
        <v>7102</v>
      </c>
      <c r="C2012" s="4" t="s">
        <v>2137</v>
      </c>
      <c r="D2012" s="4" t="s">
        <v>2138</v>
      </c>
      <c r="E2012" s="4" t="s">
        <v>2139</v>
      </c>
      <c r="F2012" s="5">
        <v>126.67</v>
      </c>
      <c r="G2012" s="5">
        <v>131.91</v>
      </c>
      <c r="H2012" s="4" t="s">
        <v>1127</v>
      </c>
      <c r="I2012" s="10">
        <v>77</v>
      </c>
      <c r="J2012" s="34">
        <f t="shared" si="124"/>
        <v>0.66989999999999994</v>
      </c>
      <c r="K2012" s="34">
        <f t="shared" si="125"/>
        <v>1</v>
      </c>
      <c r="L2012" s="34">
        <f t="shared" si="126"/>
        <v>4</v>
      </c>
      <c r="M2012" s="11" t="s">
        <v>5066</v>
      </c>
      <c r="N2012" s="11" t="s">
        <v>4597</v>
      </c>
      <c r="O2012" s="11" t="s">
        <v>3892</v>
      </c>
      <c r="P2012" s="11" t="s">
        <v>4598</v>
      </c>
      <c r="Q2012" s="12">
        <v>126.746</v>
      </c>
      <c r="R2012" s="12">
        <v>131.82599999999999</v>
      </c>
      <c r="S2012" s="12">
        <v>2.54</v>
      </c>
      <c r="T2012" s="13">
        <v>3.74</v>
      </c>
      <c r="U2012" s="13">
        <f t="shared" si="127"/>
        <v>-0.25999999999999979</v>
      </c>
      <c r="V2012" s="14">
        <v>458.15</v>
      </c>
      <c r="W2012" s="14">
        <v>458.15</v>
      </c>
      <c r="X2012" s="11">
        <v>5</v>
      </c>
      <c r="Y2012" s="15" t="s">
        <v>3737</v>
      </c>
      <c r="Z2012" s="16">
        <v>381.15</v>
      </c>
      <c r="AA2012" s="17">
        <v>495</v>
      </c>
      <c r="AB2012" s="18" t="s">
        <v>4022</v>
      </c>
    </row>
    <row r="2013" spans="1:28" x14ac:dyDescent="0.45">
      <c r="A2013" s="2" t="s">
        <v>2611</v>
      </c>
      <c r="B2013" s="2" t="s">
        <v>7103</v>
      </c>
      <c r="C2013" s="2" t="s">
        <v>2137</v>
      </c>
      <c r="D2013" s="2" t="s">
        <v>2138</v>
      </c>
      <c r="E2013" s="2" t="s">
        <v>2139</v>
      </c>
      <c r="F2013" s="3">
        <v>129.19999999999999</v>
      </c>
      <c r="G2013" s="3">
        <v>140.6</v>
      </c>
      <c r="H2013" s="2" t="s">
        <v>1297</v>
      </c>
      <c r="I2013" s="19">
        <v>587</v>
      </c>
      <c r="J2013" s="34">
        <f t="shared" si="124"/>
        <v>5.1068999999999996</v>
      </c>
      <c r="K2013" s="34">
        <f t="shared" si="125"/>
        <v>7.66</v>
      </c>
      <c r="L2013" s="34">
        <f t="shared" si="126"/>
        <v>30.64</v>
      </c>
      <c r="M2013" s="20" t="s">
        <v>5067</v>
      </c>
      <c r="N2013" s="20" t="s">
        <v>4597</v>
      </c>
      <c r="O2013" s="20" t="s">
        <v>3892</v>
      </c>
      <c r="P2013" s="20" t="s">
        <v>4598</v>
      </c>
      <c r="Q2013" s="21">
        <v>129.30000000000001</v>
      </c>
      <c r="R2013" s="21">
        <v>140.69999999999999</v>
      </c>
      <c r="S2013" s="21">
        <v>5.7</v>
      </c>
      <c r="T2013" s="22">
        <v>15.53</v>
      </c>
      <c r="U2013" s="13">
        <f t="shared" si="127"/>
        <v>-15.110000000000001</v>
      </c>
      <c r="V2013" s="23">
        <v>1902.42</v>
      </c>
      <c r="W2013" s="23">
        <v>1902.42</v>
      </c>
      <c r="X2013" s="20">
        <v>211</v>
      </c>
      <c r="Y2013" s="24" t="s">
        <v>3713</v>
      </c>
      <c r="Z2013" s="16">
        <v>1315.42</v>
      </c>
      <c r="AA2013" s="17">
        <v>224.1</v>
      </c>
      <c r="AB2013" s="25" t="s">
        <v>4119</v>
      </c>
    </row>
    <row r="2014" spans="1:28" x14ac:dyDescent="0.45">
      <c r="A2014" s="4" t="s">
        <v>2612</v>
      </c>
      <c r="B2014" s="4" t="s">
        <v>7104</v>
      </c>
      <c r="C2014" s="4" t="s">
        <v>2137</v>
      </c>
      <c r="D2014" s="4" t="s">
        <v>2138</v>
      </c>
      <c r="E2014" s="4" t="s">
        <v>2139</v>
      </c>
      <c r="F2014" s="5">
        <v>129.4</v>
      </c>
      <c r="G2014" s="5">
        <v>135.6</v>
      </c>
      <c r="H2014" s="4" t="s">
        <v>1221</v>
      </c>
      <c r="I2014" s="10">
        <v>148</v>
      </c>
      <c r="J2014" s="34">
        <f t="shared" si="124"/>
        <v>1.2875999999999999</v>
      </c>
      <c r="K2014" s="34">
        <f t="shared" si="125"/>
        <v>1.93</v>
      </c>
      <c r="L2014" s="34">
        <f t="shared" si="126"/>
        <v>7.72</v>
      </c>
      <c r="M2014" s="11" t="s">
        <v>5068</v>
      </c>
      <c r="N2014" s="11" t="s">
        <v>4597</v>
      </c>
      <c r="O2014" s="11" t="s">
        <v>3892</v>
      </c>
      <c r="P2014" s="11" t="s">
        <v>4598</v>
      </c>
      <c r="Q2014" s="12">
        <v>129.5</v>
      </c>
      <c r="R2014" s="12">
        <v>135.5</v>
      </c>
      <c r="S2014" s="12">
        <v>3</v>
      </c>
      <c r="T2014" s="13">
        <v>7.18</v>
      </c>
      <c r="U2014" s="13">
        <f t="shared" si="127"/>
        <v>-0.54</v>
      </c>
      <c r="V2014" s="14">
        <v>879.55</v>
      </c>
      <c r="W2014" s="14">
        <v>879.55</v>
      </c>
      <c r="X2014" s="11">
        <v>22</v>
      </c>
      <c r="Y2014" s="15" t="s">
        <v>3713</v>
      </c>
      <c r="Z2014" s="16">
        <v>731.55</v>
      </c>
      <c r="AA2014" s="17">
        <v>494.3</v>
      </c>
      <c r="AB2014" s="18" t="s">
        <v>4119</v>
      </c>
    </row>
    <row r="2015" spans="1:28" x14ac:dyDescent="0.45">
      <c r="A2015" s="2" t="s">
        <v>2613</v>
      </c>
      <c r="B2015" s="2" t="s">
        <v>7105</v>
      </c>
      <c r="C2015" s="2" t="s">
        <v>2137</v>
      </c>
      <c r="D2015" s="2" t="s">
        <v>2138</v>
      </c>
      <c r="E2015" s="2" t="s">
        <v>2139</v>
      </c>
      <c r="F2015" s="3">
        <v>129.54</v>
      </c>
      <c r="G2015" s="3">
        <v>140.19999999999999</v>
      </c>
      <c r="H2015" s="2" t="s">
        <v>1201</v>
      </c>
      <c r="I2015" s="19">
        <v>294</v>
      </c>
      <c r="J2015" s="34">
        <f t="shared" si="124"/>
        <v>2.5577999999999999</v>
      </c>
      <c r="K2015" s="34">
        <f t="shared" si="125"/>
        <v>3.84</v>
      </c>
      <c r="L2015" s="34">
        <f t="shared" si="126"/>
        <v>15.36</v>
      </c>
      <c r="M2015" s="20" t="s">
        <v>5069</v>
      </c>
      <c r="N2015" s="20" t="s">
        <v>4597</v>
      </c>
      <c r="O2015" s="20" t="s">
        <v>3892</v>
      </c>
      <c r="P2015" s="20" t="s">
        <v>4598</v>
      </c>
      <c r="Q2015" s="21">
        <v>129.54</v>
      </c>
      <c r="R2015" s="21">
        <v>140.208</v>
      </c>
      <c r="S2015" s="21">
        <v>5.3339999999999996</v>
      </c>
      <c r="T2015" s="22">
        <v>9.14</v>
      </c>
      <c r="U2015" s="13">
        <f t="shared" si="127"/>
        <v>-6.2199999999999989</v>
      </c>
      <c r="V2015" s="23">
        <v>1119.6500000000001</v>
      </c>
      <c r="W2015" s="23">
        <v>1119.6500000000001</v>
      </c>
      <c r="X2015" s="20">
        <v>327</v>
      </c>
      <c r="Y2015" s="24" t="s">
        <v>3737</v>
      </c>
      <c r="Z2015" s="16">
        <v>825.65000000000009</v>
      </c>
      <c r="AA2015" s="17">
        <v>280.8</v>
      </c>
      <c r="AB2015" s="25" t="s">
        <v>4032</v>
      </c>
    </row>
    <row r="2016" spans="1:28" x14ac:dyDescent="0.45">
      <c r="A2016" s="4" t="s">
        <v>2614</v>
      </c>
      <c r="B2016" s="4" t="s">
        <v>7106</v>
      </c>
      <c r="C2016" s="4" t="s">
        <v>2137</v>
      </c>
      <c r="D2016" s="4" t="s">
        <v>2138</v>
      </c>
      <c r="E2016" s="4" t="s">
        <v>2139</v>
      </c>
      <c r="F2016" s="5">
        <v>129.54</v>
      </c>
      <c r="G2016" s="5">
        <v>143.52000000000001</v>
      </c>
      <c r="H2016" s="4" t="s">
        <v>1368</v>
      </c>
      <c r="I2016" s="10">
        <v>589</v>
      </c>
      <c r="J2016" s="34">
        <f t="shared" si="124"/>
        <v>5.1242999999999999</v>
      </c>
      <c r="K2016" s="34">
        <f t="shared" si="125"/>
        <v>7.69</v>
      </c>
      <c r="L2016" s="34">
        <f t="shared" si="126"/>
        <v>30.76</v>
      </c>
      <c r="M2016" s="11" t="s">
        <v>5070</v>
      </c>
      <c r="N2016" s="11" t="s">
        <v>4597</v>
      </c>
      <c r="O2016" s="11" t="s">
        <v>3892</v>
      </c>
      <c r="P2016" s="11" t="s">
        <v>4598</v>
      </c>
      <c r="Q2016" s="12">
        <v>129.54</v>
      </c>
      <c r="R2016" s="12">
        <v>143.51</v>
      </c>
      <c r="S2016" s="12">
        <v>7.1120000000000001</v>
      </c>
      <c r="T2016" s="13">
        <v>27.4</v>
      </c>
      <c r="U2016" s="13">
        <f t="shared" si="127"/>
        <v>-3.360000000000003</v>
      </c>
      <c r="V2016" s="14">
        <v>3356.5</v>
      </c>
      <c r="W2016" s="14">
        <v>3356.5</v>
      </c>
      <c r="X2016" s="11" t="s">
        <v>3722</v>
      </c>
      <c r="Y2016" s="15" t="s">
        <v>3737</v>
      </c>
      <c r="Z2016" s="16">
        <v>2767.5</v>
      </c>
      <c r="AA2016" s="17">
        <v>469.9</v>
      </c>
      <c r="AB2016" s="18" t="s">
        <v>4032</v>
      </c>
    </row>
    <row r="2017" spans="1:28" x14ac:dyDescent="0.45">
      <c r="A2017" s="2" t="s">
        <v>2615</v>
      </c>
      <c r="B2017" s="2" t="s">
        <v>7107</v>
      </c>
      <c r="C2017" s="2" t="s">
        <v>2137</v>
      </c>
      <c r="D2017" s="2" t="s">
        <v>2138</v>
      </c>
      <c r="E2017" s="2" t="s">
        <v>2139</v>
      </c>
      <c r="F2017" s="3">
        <v>129.77000000000001</v>
      </c>
      <c r="G2017" s="3">
        <v>136.83000000000001</v>
      </c>
      <c r="H2017" s="2" t="s">
        <v>1156</v>
      </c>
      <c r="I2017" s="19">
        <v>148</v>
      </c>
      <c r="J2017" s="34">
        <f t="shared" si="124"/>
        <v>1.2875999999999999</v>
      </c>
      <c r="K2017" s="34">
        <f t="shared" si="125"/>
        <v>1.93</v>
      </c>
      <c r="L2017" s="34">
        <f t="shared" si="126"/>
        <v>7.72</v>
      </c>
      <c r="M2017" s="20" t="s">
        <v>5071</v>
      </c>
      <c r="N2017" s="20" t="s">
        <v>4597</v>
      </c>
      <c r="O2017" s="20" t="s">
        <v>3892</v>
      </c>
      <c r="P2017" s="20" t="s">
        <v>4598</v>
      </c>
      <c r="Q2017" s="21">
        <v>129.79400000000001</v>
      </c>
      <c r="R2017" s="21">
        <v>136.90600000000001</v>
      </c>
      <c r="S2017" s="21">
        <v>3.556</v>
      </c>
      <c r="T2017" s="22">
        <v>8.8699999999999992</v>
      </c>
      <c r="U2017" s="13">
        <f t="shared" si="127"/>
        <v>1.1499999999999995</v>
      </c>
      <c r="V2017" s="23">
        <v>1086.57</v>
      </c>
      <c r="W2017" s="23">
        <v>1086.57</v>
      </c>
      <c r="X2017" s="20">
        <v>214</v>
      </c>
      <c r="Y2017" s="24" t="s">
        <v>3737</v>
      </c>
      <c r="Z2017" s="16">
        <v>938.56999999999994</v>
      </c>
      <c r="AA2017" s="17">
        <v>634.20000000000005</v>
      </c>
      <c r="AB2017" s="25" t="s">
        <v>3945</v>
      </c>
    </row>
    <row r="2018" spans="1:28" x14ac:dyDescent="0.45">
      <c r="A2018" s="4" t="s">
        <v>2616</v>
      </c>
      <c r="B2018" s="4" t="s">
        <v>7108</v>
      </c>
      <c r="C2018" s="4" t="s">
        <v>2137</v>
      </c>
      <c r="D2018" s="4" t="s">
        <v>2138</v>
      </c>
      <c r="E2018" s="4" t="s">
        <v>2139</v>
      </c>
      <c r="F2018" s="5">
        <v>132.72</v>
      </c>
      <c r="G2018" s="5">
        <v>143.38</v>
      </c>
      <c r="H2018" s="4" t="s">
        <v>1201</v>
      </c>
      <c r="I2018" s="10">
        <v>303</v>
      </c>
      <c r="J2018" s="34">
        <f t="shared" si="124"/>
        <v>2.6360999999999999</v>
      </c>
      <c r="K2018" s="34">
        <f t="shared" si="125"/>
        <v>3.95</v>
      </c>
      <c r="L2018" s="34">
        <f t="shared" si="126"/>
        <v>15.8</v>
      </c>
      <c r="M2018" s="11" t="s">
        <v>5072</v>
      </c>
      <c r="N2018" s="11" t="s">
        <v>4597</v>
      </c>
      <c r="O2018" s="11" t="s">
        <v>3892</v>
      </c>
      <c r="P2018" s="11" t="s">
        <v>4598</v>
      </c>
      <c r="Q2018" s="12">
        <v>132.58799999999999</v>
      </c>
      <c r="R2018" s="12">
        <v>143.256</v>
      </c>
      <c r="S2018" s="12">
        <v>5.3339999999999996</v>
      </c>
      <c r="T2018" s="13">
        <v>8.5299999999999994</v>
      </c>
      <c r="U2018" s="13">
        <f t="shared" si="127"/>
        <v>-7.2700000000000014</v>
      </c>
      <c r="V2018" s="14">
        <v>1044.92</v>
      </c>
      <c r="W2018" s="14">
        <v>1044.92</v>
      </c>
      <c r="X2018" s="11">
        <v>15</v>
      </c>
      <c r="Y2018" s="15" t="s">
        <v>3737</v>
      </c>
      <c r="Z2018" s="16">
        <v>741.92000000000007</v>
      </c>
      <c r="AA2018" s="17">
        <v>244.9</v>
      </c>
      <c r="AB2018" s="18" t="s">
        <v>4189</v>
      </c>
    </row>
    <row r="2019" spans="1:28" x14ac:dyDescent="0.45">
      <c r="A2019" s="2" t="s">
        <v>2617</v>
      </c>
      <c r="B2019" s="2" t="s">
        <v>7109</v>
      </c>
      <c r="C2019" s="2" t="s">
        <v>2137</v>
      </c>
      <c r="D2019" s="2" t="s">
        <v>2138</v>
      </c>
      <c r="E2019" s="2" t="s">
        <v>2139</v>
      </c>
      <c r="F2019" s="3">
        <v>132.94</v>
      </c>
      <c r="G2019" s="3">
        <v>140</v>
      </c>
      <c r="H2019" s="2" t="s">
        <v>1156</v>
      </c>
      <c r="I2019" s="19">
        <v>151</v>
      </c>
      <c r="J2019" s="34">
        <f t="shared" si="124"/>
        <v>1.3136999999999999</v>
      </c>
      <c r="K2019" s="34">
        <f t="shared" si="125"/>
        <v>1.97</v>
      </c>
      <c r="L2019" s="34">
        <f t="shared" si="126"/>
        <v>7.88</v>
      </c>
      <c r="M2019" s="20" t="s">
        <v>5073</v>
      </c>
      <c r="N2019" s="20" t="s">
        <v>4597</v>
      </c>
      <c r="O2019" s="20" t="s">
        <v>3892</v>
      </c>
      <c r="P2019" s="20" t="s">
        <v>4598</v>
      </c>
      <c r="Q2019" s="21">
        <v>132.84200000000001</v>
      </c>
      <c r="R2019" s="21">
        <v>139.95400000000001</v>
      </c>
      <c r="S2019" s="21">
        <v>3.556</v>
      </c>
      <c r="T2019" s="22">
        <v>3.56</v>
      </c>
      <c r="U2019" s="13">
        <f t="shared" si="127"/>
        <v>-4.32</v>
      </c>
      <c r="V2019" s="23">
        <v>436.1</v>
      </c>
      <c r="W2019" s="23">
        <v>436.1</v>
      </c>
      <c r="X2019" s="20">
        <v>78</v>
      </c>
      <c r="Y2019" s="24" t="s">
        <v>3737</v>
      </c>
      <c r="Z2019" s="16">
        <v>285.10000000000002</v>
      </c>
      <c r="AA2019" s="17">
        <v>188.8</v>
      </c>
      <c r="AB2019" s="25" t="s">
        <v>3963</v>
      </c>
    </row>
    <row r="2020" spans="1:28" x14ac:dyDescent="0.45">
      <c r="A2020" s="4" t="s">
        <v>2618</v>
      </c>
      <c r="B2020" s="4" t="s">
        <v>7110</v>
      </c>
      <c r="C2020" s="4" t="s">
        <v>2137</v>
      </c>
      <c r="D2020" s="4" t="s">
        <v>2138</v>
      </c>
      <c r="E2020" s="4" t="s">
        <v>2139</v>
      </c>
      <c r="F2020" s="5">
        <v>132</v>
      </c>
      <c r="G2020" s="5">
        <v>140</v>
      </c>
      <c r="H2020" s="4" t="s">
        <v>1216</v>
      </c>
      <c r="I2020" s="10">
        <v>251</v>
      </c>
      <c r="J2020" s="34">
        <f t="shared" si="124"/>
        <v>2.1837</v>
      </c>
      <c r="K2020" s="34">
        <f t="shared" si="125"/>
        <v>3.28</v>
      </c>
      <c r="L2020" s="34">
        <f t="shared" si="126"/>
        <v>13.12</v>
      </c>
      <c r="M2020" s="11" t="s">
        <v>5074</v>
      </c>
      <c r="N2020" s="11" t="s">
        <v>4597</v>
      </c>
      <c r="O2020" s="11" t="s">
        <v>3892</v>
      </c>
      <c r="P2020" s="11" t="s">
        <v>4598</v>
      </c>
      <c r="Q2020" s="12">
        <v>132</v>
      </c>
      <c r="R2020" s="12">
        <v>140</v>
      </c>
      <c r="S2020" s="12">
        <v>4</v>
      </c>
      <c r="T2020" s="13">
        <v>9.5299999999999994</v>
      </c>
      <c r="U2020" s="13">
        <f t="shared" si="127"/>
        <v>-3.59</v>
      </c>
      <c r="V2020" s="14">
        <v>1167.42</v>
      </c>
      <c r="W2020" s="14">
        <v>1167.42</v>
      </c>
      <c r="X2020" s="11">
        <v>9</v>
      </c>
      <c r="Y2020" s="15" t="s">
        <v>3713</v>
      </c>
      <c r="Z2020" s="16">
        <v>916.42000000000007</v>
      </c>
      <c r="AA2020" s="17">
        <v>365.1</v>
      </c>
      <c r="AB2020" s="18" t="s">
        <v>3714</v>
      </c>
    </row>
    <row r="2021" spans="1:28" x14ac:dyDescent="0.45">
      <c r="A2021" s="2" t="s">
        <v>2619</v>
      </c>
      <c r="B2021" s="2" t="s">
        <v>7111</v>
      </c>
      <c r="C2021" s="2" t="s">
        <v>2137</v>
      </c>
      <c r="D2021" s="2" t="s">
        <v>2138</v>
      </c>
      <c r="E2021" s="2" t="s">
        <v>2139</v>
      </c>
      <c r="F2021" s="3">
        <v>132</v>
      </c>
      <c r="G2021" s="3">
        <v>142</v>
      </c>
      <c r="H2021" s="2" t="s">
        <v>1245</v>
      </c>
      <c r="I2021" s="19">
        <v>301</v>
      </c>
      <c r="J2021" s="34">
        <f t="shared" si="124"/>
        <v>2.6187</v>
      </c>
      <c r="K2021" s="34">
        <f t="shared" si="125"/>
        <v>3.93</v>
      </c>
      <c r="L2021" s="34">
        <f t="shared" si="126"/>
        <v>15.72</v>
      </c>
      <c r="M2021" s="20" t="s">
        <v>5075</v>
      </c>
      <c r="N2021" s="20" t="s">
        <v>4597</v>
      </c>
      <c r="O2021" s="20" t="s">
        <v>3892</v>
      </c>
      <c r="P2021" s="20" t="s">
        <v>4598</v>
      </c>
      <c r="Q2021" s="21">
        <v>133</v>
      </c>
      <c r="R2021" s="21">
        <v>141</v>
      </c>
      <c r="S2021" s="21">
        <v>4</v>
      </c>
      <c r="T2021" s="22">
        <v>9.56</v>
      </c>
      <c r="U2021" s="13">
        <f t="shared" si="127"/>
        <v>-6.16</v>
      </c>
      <c r="V2021" s="23">
        <v>1171.0999999999999</v>
      </c>
      <c r="W2021" s="23">
        <v>1171.0999999999999</v>
      </c>
      <c r="X2021" s="20">
        <v>4</v>
      </c>
      <c r="Y2021" s="24" t="s">
        <v>3713</v>
      </c>
      <c r="Z2021" s="16">
        <v>870.09999999999991</v>
      </c>
      <c r="AA2021" s="17">
        <v>289.10000000000002</v>
      </c>
      <c r="AB2021" s="25" t="s">
        <v>3783</v>
      </c>
    </row>
    <row r="2022" spans="1:28" x14ac:dyDescent="0.45">
      <c r="A2022" s="4" t="s">
        <v>2620</v>
      </c>
      <c r="B2022" s="4" t="s">
        <v>7112</v>
      </c>
      <c r="C2022" s="4" t="s">
        <v>2137</v>
      </c>
      <c r="D2022" s="4" t="s">
        <v>2138</v>
      </c>
      <c r="E2022" s="4" t="s">
        <v>2139</v>
      </c>
      <c r="F2022" s="5">
        <v>133.02000000000001</v>
      </c>
      <c r="G2022" s="5">
        <v>138.26</v>
      </c>
      <c r="H2022" s="4" t="s">
        <v>1127</v>
      </c>
      <c r="I2022" s="10">
        <v>81</v>
      </c>
      <c r="J2022" s="34">
        <f t="shared" si="124"/>
        <v>0.70469999999999999</v>
      </c>
      <c r="K2022" s="34">
        <f t="shared" si="125"/>
        <v>1.06</v>
      </c>
      <c r="L2022" s="34">
        <f t="shared" si="126"/>
        <v>4.24</v>
      </c>
      <c r="M2022" s="11" t="s">
        <v>5076</v>
      </c>
      <c r="N2022" s="11" t="s">
        <v>4597</v>
      </c>
      <c r="O2022" s="11" t="s">
        <v>3892</v>
      </c>
      <c r="P2022" s="11" t="s">
        <v>4598</v>
      </c>
      <c r="Q2022" s="12">
        <v>133.096</v>
      </c>
      <c r="R2022" s="12">
        <v>138.17599999999999</v>
      </c>
      <c r="S2022" s="12">
        <v>2.54</v>
      </c>
      <c r="T2022" s="13">
        <v>10.43</v>
      </c>
      <c r="U2022" s="13">
        <f t="shared" si="127"/>
        <v>6.1899999999999995</v>
      </c>
      <c r="V2022" s="14">
        <v>1277.68</v>
      </c>
      <c r="W2022" s="14">
        <v>1277.68</v>
      </c>
      <c r="X2022" s="11">
        <v>112</v>
      </c>
      <c r="Y2022" s="15" t="s">
        <v>3737</v>
      </c>
      <c r="Z2022" s="16">
        <v>1196.68</v>
      </c>
      <c r="AA2022" s="17">
        <v>1477.4</v>
      </c>
      <c r="AB2022" s="18" t="s">
        <v>4022</v>
      </c>
    </row>
    <row r="2023" spans="1:28" x14ac:dyDescent="0.45">
      <c r="A2023" s="2" t="s">
        <v>2621</v>
      </c>
      <c r="B2023" s="2" t="s">
        <v>7113</v>
      </c>
      <c r="C2023" s="2" t="s">
        <v>2137</v>
      </c>
      <c r="D2023" s="2" t="s">
        <v>2138</v>
      </c>
      <c r="E2023" s="2" t="s">
        <v>2139</v>
      </c>
      <c r="F2023" s="3">
        <v>133.07</v>
      </c>
      <c r="G2023" s="3">
        <v>136.63</v>
      </c>
      <c r="H2023" s="2" t="s">
        <v>1114</v>
      </c>
      <c r="I2023" s="19">
        <v>61</v>
      </c>
      <c r="J2023" s="34">
        <f t="shared" si="124"/>
        <v>0.53069999999999995</v>
      </c>
      <c r="K2023" s="34">
        <f t="shared" si="125"/>
        <v>0.8</v>
      </c>
      <c r="L2023" s="34">
        <f t="shared" si="126"/>
        <v>3.2</v>
      </c>
      <c r="M2023" s="20" t="s">
        <v>5077</v>
      </c>
      <c r="N2023" s="20" t="s">
        <v>4597</v>
      </c>
      <c r="O2023" s="20" t="s">
        <v>3892</v>
      </c>
      <c r="P2023" s="20" t="s">
        <v>4598</v>
      </c>
      <c r="Q2023" s="21">
        <v>133.096</v>
      </c>
      <c r="R2023" s="21">
        <v>136.65199999999999</v>
      </c>
      <c r="S2023" s="21">
        <v>1.778</v>
      </c>
      <c r="T2023" s="22">
        <v>4.42</v>
      </c>
      <c r="U2023" s="13">
        <f t="shared" si="127"/>
        <v>1.2199999999999998</v>
      </c>
      <c r="V2023" s="23">
        <v>541.45000000000005</v>
      </c>
      <c r="W2023" s="23">
        <v>541.45000000000005</v>
      </c>
      <c r="X2023" s="20">
        <v>5</v>
      </c>
      <c r="Y2023" s="24" t="s">
        <v>3737</v>
      </c>
      <c r="Z2023" s="16">
        <v>480.45</v>
      </c>
      <c r="AA2023" s="17">
        <v>787.6</v>
      </c>
      <c r="AB2023" s="25" t="s">
        <v>3967</v>
      </c>
    </row>
    <row r="2024" spans="1:28" x14ac:dyDescent="0.45">
      <c r="A2024" s="4" t="s">
        <v>2622</v>
      </c>
      <c r="B2024" s="4" t="s">
        <v>7114</v>
      </c>
      <c r="C2024" s="4" t="s">
        <v>2137</v>
      </c>
      <c r="D2024" s="4" t="s">
        <v>2138</v>
      </c>
      <c r="E2024" s="4" t="s">
        <v>2139</v>
      </c>
      <c r="F2024" s="5">
        <v>134.19999999999999</v>
      </c>
      <c r="G2024" s="5">
        <v>145.6</v>
      </c>
      <c r="H2024" s="4" t="s">
        <v>1297</v>
      </c>
      <c r="I2024" s="10">
        <v>611</v>
      </c>
      <c r="J2024" s="34">
        <f t="shared" si="124"/>
        <v>5.3156999999999996</v>
      </c>
      <c r="K2024" s="34">
        <f t="shared" si="125"/>
        <v>7.97</v>
      </c>
      <c r="L2024" s="34">
        <f t="shared" si="126"/>
        <v>31.88</v>
      </c>
      <c r="M2024" s="11" t="s">
        <v>5078</v>
      </c>
      <c r="N2024" s="11" t="s">
        <v>4597</v>
      </c>
      <c r="O2024" s="11" t="s">
        <v>3892</v>
      </c>
      <c r="P2024" s="11" t="s">
        <v>4598</v>
      </c>
      <c r="Q2024" s="12">
        <v>135.88999999999999</v>
      </c>
      <c r="R2024" s="12">
        <v>146.55799999999999</v>
      </c>
      <c r="S2024" s="12">
        <v>5.3339999999999996</v>
      </c>
      <c r="T2024" s="13">
        <v>18.260000000000002</v>
      </c>
      <c r="U2024" s="13">
        <f t="shared" si="127"/>
        <v>-13.619999999999997</v>
      </c>
      <c r="V2024" s="14">
        <v>2236.85</v>
      </c>
      <c r="W2024" s="14">
        <v>2236.85</v>
      </c>
      <c r="X2024" s="11" t="s">
        <v>3722</v>
      </c>
      <c r="Y2024" s="15" t="s">
        <v>3737</v>
      </c>
      <c r="Z2024" s="16">
        <v>1625.85</v>
      </c>
      <c r="AA2024" s="17">
        <v>266.10000000000002</v>
      </c>
      <c r="AB2024" s="18" t="s">
        <v>5079</v>
      </c>
    </row>
    <row r="2025" spans="1:28" x14ac:dyDescent="0.45">
      <c r="A2025" s="2" t="s">
        <v>2623</v>
      </c>
      <c r="B2025" s="2" t="s">
        <v>7115</v>
      </c>
      <c r="C2025" s="2" t="s">
        <v>2137</v>
      </c>
      <c r="D2025" s="2" t="s">
        <v>2138</v>
      </c>
      <c r="E2025" s="2" t="s">
        <v>2139</v>
      </c>
      <c r="F2025" s="3">
        <v>134.4</v>
      </c>
      <c r="G2025" s="3">
        <v>140.6</v>
      </c>
      <c r="H2025" s="2" t="s">
        <v>1221</v>
      </c>
      <c r="I2025" s="19">
        <v>153</v>
      </c>
      <c r="J2025" s="34">
        <f t="shared" si="124"/>
        <v>1.3310999999999999</v>
      </c>
      <c r="K2025" s="34">
        <f t="shared" si="125"/>
        <v>2</v>
      </c>
      <c r="L2025" s="34">
        <f t="shared" si="126"/>
        <v>8</v>
      </c>
      <c r="M2025" s="20" t="s">
        <v>5080</v>
      </c>
      <c r="N2025" s="20" t="s">
        <v>4597</v>
      </c>
      <c r="O2025" s="20" t="s">
        <v>3892</v>
      </c>
      <c r="P2025" s="20" t="s">
        <v>4598</v>
      </c>
      <c r="Q2025" s="21">
        <v>134</v>
      </c>
      <c r="R2025" s="21">
        <v>140</v>
      </c>
      <c r="S2025" s="21">
        <v>3</v>
      </c>
      <c r="T2025" s="22">
        <v>7.1</v>
      </c>
      <c r="U2025" s="13">
        <f t="shared" si="127"/>
        <v>-0.90000000000000036</v>
      </c>
      <c r="V2025" s="23">
        <v>869.75</v>
      </c>
      <c r="W2025" s="23">
        <v>869.75</v>
      </c>
      <c r="X2025" s="20" t="s">
        <v>3722</v>
      </c>
      <c r="Y2025" s="24" t="s">
        <v>3713</v>
      </c>
      <c r="Z2025" s="16">
        <v>716.75</v>
      </c>
      <c r="AA2025" s="17">
        <v>468.5</v>
      </c>
      <c r="AB2025" s="25" t="s">
        <v>4813</v>
      </c>
    </row>
    <row r="2026" spans="1:28" x14ac:dyDescent="0.45">
      <c r="A2026" s="4" t="s">
        <v>2624</v>
      </c>
      <c r="B2026" s="4" t="s">
        <v>7116</v>
      </c>
      <c r="C2026" s="4" t="s">
        <v>2137</v>
      </c>
      <c r="D2026" s="4" t="s">
        <v>2138</v>
      </c>
      <c r="E2026" s="4" t="s">
        <v>2139</v>
      </c>
      <c r="F2026" s="5">
        <v>135.88999999999999</v>
      </c>
      <c r="G2026" s="5">
        <v>146.55000000000001</v>
      </c>
      <c r="H2026" s="4" t="s">
        <v>1201</v>
      </c>
      <c r="I2026" s="10">
        <v>310</v>
      </c>
      <c r="J2026" s="34">
        <f t="shared" si="124"/>
        <v>2.6969999999999996</v>
      </c>
      <c r="K2026" s="34">
        <f t="shared" si="125"/>
        <v>4.05</v>
      </c>
      <c r="L2026" s="34">
        <f t="shared" si="126"/>
        <v>16.2</v>
      </c>
      <c r="M2026" s="11" t="s">
        <v>5078</v>
      </c>
      <c r="N2026" s="11" t="s">
        <v>4597</v>
      </c>
      <c r="O2026" s="11" t="s">
        <v>3892</v>
      </c>
      <c r="P2026" s="11" t="s">
        <v>4598</v>
      </c>
      <c r="Q2026" s="12">
        <v>135.88999999999999</v>
      </c>
      <c r="R2026" s="12">
        <v>146.55799999999999</v>
      </c>
      <c r="S2026" s="12">
        <v>5.3339999999999996</v>
      </c>
      <c r="T2026" s="13">
        <v>18.260000000000002</v>
      </c>
      <c r="U2026" s="13">
        <f t="shared" si="127"/>
        <v>2.0600000000000023</v>
      </c>
      <c r="V2026" s="14">
        <v>2236.85</v>
      </c>
      <c r="W2026" s="14">
        <v>2236.85</v>
      </c>
      <c r="X2026" s="11" t="s">
        <v>3722</v>
      </c>
      <c r="Y2026" s="15" t="s">
        <v>3737</v>
      </c>
      <c r="Z2026" s="16">
        <v>1926.85</v>
      </c>
      <c r="AA2026" s="17">
        <v>621.6</v>
      </c>
      <c r="AB2026" s="18" t="s">
        <v>4032</v>
      </c>
    </row>
    <row r="2027" spans="1:28" x14ac:dyDescent="0.45">
      <c r="A2027" s="2" t="s">
        <v>2625</v>
      </c>
      <c r="B2027" s="2" t="s">
        <v>7117</v>
      </c>
      <c r="C2027" s="2" t="s">
        <v>2137</v>
      </c>
      <c r="D2027" s="2" t="s">
        <v>2138</v>
      </c>
      <c r="E2027" s="2" t="s">
        <v>2139</v>
      </c>
      <c r="F2027" s="3">
        <v>135.88999999999999</v>
      </c>
      <c r="G2027" s="3">
        <v>149.87</v>
      </c>
      <c r="H2027" s="2" t="s">
        <v>1368</v>
      </c>
      <c r="I2027" s="19">
        <v>618</v>
      </c>
      <c r="J2027" s="34">
        <f t="shared" si="124"/>
        <v>5.3765999999999998</v>
      </c>
      <c r="K2027" s="34">
        <f t="shared" si="125"/>
        <v>8.06</v>
      </c>
      <c r="L2027" s="34">
        <f t="shared" si="126"/>
        <v>32.24</v>
      </c>
      <c r="M2027" s="20" t="s">
        <v>5081</v>
      </c>
      <c r="N2027" s="20" t="s">
        <v>4597</v>
      </c>
      <c r="O2027" s="20" t="s">
        <v>3892</v>
      </c>
      <c r="P2027" s="20" t="s">
        <v>4598</v>
      </c>
      <c r="Q2027" s="21">
        <v>135.88999999999999</v>
      </c>
      <c r="R2027" s="21">
        <v>149.86000000000001</v>
      </c>
      <c r="S2027" s="21">
        <v>7.1120000000000001</v>
      </c>
      <c r="T2027" s="22">
        <v>14.07</v>
      </c>
      <c r="U2027" s="13">
        <f t="shared" si="127"/>
        <v>-18.170000000000002</v>
      </c>
      <c r="V2027" s="23">
        <v>1723.58</v>
      </c>
      <c r="W2027" s="23">
        <v>1723.58</v>
      </c>
      <c r="X2027" s="20" t="s">
        <v>3722</v>
      </c>
      <c r="Y2027" s="24" t="s">
        <v>3737</v>
      </c>
      <c r="Z2027" s="16">
        <v>1105.58</v>
      </c>
      <c r="AA2027" s="17">
        <v>178.9</v>
      </c>
      <c r="AB2027" s="25" t="s">
        <v>4032</v>
      </c>
    </row>
    <row r="2028" spans="1:28" x14ac:dyDescent="0.45">
      <c r="A2028" s="4" t="s">
        <v>2626</v>
      </c>
      <c r="B2028" s="4" t="s">
        <v>7118</v>
      </c>
      <c r="C2028" s="4" t="s">
        <v>2137</v>
      </c>
      <c r="D2028" s="4" t="s">
        <v>2138</v>
      </c>
      <c r="E2028" s="4" t="s">
        <v>2139</v>
      </c>
      <c r="F2028" s="5">
        <v>135</v>
      </c>
      <c r="G2028" s="5">
        <v>145</v>
      </c>
      <c r="H2028" s="4" t="s">
        <v>1245</v>
      </c>
      <c r="I2028" s="10">
        <v>308</v>
      </c>
      <c r="J2028" s="34">
        <f t="shared" si="124"/>
        <v>2.6795999999999998</v>
      </c>
      <c r="K2028" s="34">
        <f t="shared" si="125"/>
        <v>4.0199999999999996</v>
      </c>
      <c r="L2028" s="34">
        <f t="shared" si="126"/>
        <v>16.079999999999998</v>
      </c>
      <c r="M2028" s="11" t="s">
        <v>5078</v>
      </c>
      <c r="N2028" s="11" t="s">
        <v>4597</v>
      </c>
      <c r="O2028" s="11" t="s">
        <v>3892</v>
      </c>
      <c r="P2028" s="11" t="s">
        <v>4598</v>
      </c>
      <c r="Q2028" s="12">
        <v>135.88999999999999</v>
      </c>
      <c r="R2028" s="12">
        <v>146.55799999999999</v>
      </c>
      <c r="S2028" s="12">
        <v>5.3339999999999996</v>
      </c>
      <c r="T2028" s="13">
        <v>18.260000000000002</v>
      </c>
      <c r="U2028" s="13">
        <f t="shared" si="127"/>
        <v>2.1800000000000033</v>
      </c>
      <c r="V2028" s="14">
        <v>2236.85</v>
      </c>
      <c r="W2028" s="14">
        <v>2236.85</v>
      </c>
      <c r="X2028" s="11" t="s">
        <v>3722</v>
      </c>
      <c r="Y2028" s="15" t="s">
        <v>3737</v>
      </c>
      <c r="Z2028" s="16">
        <v>1928.85</v>
      </c>
      <c r="AA2028" s="17">
        <v>626.20000000000005</v>
      </c>
      <c r="AB2028" s="18" t="s">
        <v>5082</v>
      </c>
    </row>
    <row r="2029" spans="1:28" x14ac:dyDescent="0.45">
      <c r="A2029" s="2" t="s">
        <v>2627</v>
      </c>
      <c r="B2029" s="2" t="s">
        <v>7119</v>
      </c>
      <c r="C2029" s="2" t="s">
        <v>2137</v>
      </c>
      <c r="D2029" s="2" t="s">
        <v>2138</v>
      </c>
      <c r="E2029" s="2" t="s">
        <v>2139</v>
      </c>
      <c r="F2029" s="3">
        <v>136.12</v>
      </c>
      <c r="G2029" s="3">
        <v>143.18</v>
      </c>
      <c r="H2029" s="2" t="s">
        <v>1156</v>
      </c>
      <c r="I2029" s="19">
        <v>155</v>
      </c>
      <c r="J2029" s="34">
        <f t="shared" si="124"/>
        <v>1.3484999999999998</v>
      </c>
      <c r="K2029" s="34">
        <f t="shared" si="125"/>
        <v>2.02</v>
      </c>
      <c r="L2029" s="34">
        <f t="shared" si="126"/>
        <v>8.08</v>
      </c>
      <c r="M2029" s="20" t="s">
        <v>5083</v>
      </c>
      <c r="N2029" s="20" t="s">
        <v>4597</v>
      </c>
      <c r="O2029" s="20" t="s">
        <v>3892</v>
      </c>
      <c r="P2029" s="20" t="s">
        <v>4598</v>
      </c>
      <c r="Q2029" s="21">
        <v>136.14400000000001</v>
      </c>
      <c r="R2029" s="21">
        <v>143.256</v>
      </c>
      <c r="S2029" s="21">
        <v>3.556</v>
      </c>
      <c r="T2029" s="22">
        <v>8.9499999999999993</v>
      </c>
      <c r="U2029" s="13">
        <f t="shared" si="127"/>
        <v>0.86999999999999922</v>
      </c>
      <c r="V2029" s="23">
        <v>1096.3800000000001</v>
      </c>
      <c r="W2029" s="23">
        <v>1096.3800000000001</v>
      </c>
      <c r="X2029" s="20">
        <v>3</v>
      </c>
      <c r="Y2029" s="24" t="s">
        <v>3737</v>
      </c>
      <c r="Z2029" s="16">
        <v>941.38000000000011</v>
      </c>
      <c r="AA2029" s="17">
        <v>607.29999999999995</v>
      </c>
      <c r="AB2029" s="25" t="s">
        <v>3945</v>
      </c>
    </row>
    <row r="2030" spans="1:28" x14ac:dyDescent="0.45">
      <c r="A2030" s="4" t="s">
        <v>2628</v>
      </c>
      <c r="B2030" s="4" t="s">
        <v>7120</v>
      </c>
      <c r="C2030" s="4" t="s">
        <v>2137</v>
      </c>
      <c r="D2030" s="4" t="s">
        <v>2138</v>
      </c>
      <c r="E2030" s="4" t="s">
        <v>2139</v>
      </c>
      <c r="F2030" s="5">
        <v>139.07</v>
      </c>
      <c r="G2030" s="5">
        <v>149.72999999999999</v>
      </c>
      <c r="H2030" s="4" t="s">
        <v>1201</v>
      </c>
      <c r="I2030" s="10">
        <v>316</v>
      </c>
      <c r="J2030" s="34">
        <f t="shared" si="124"/>
        <v>2.7491999999999996</v>
      </c>
      <c r="K2030" s="34">
        <f t="shared" si="125"/>
        <v>4.12</v>
      </c>
      <c r="L2030" s="34">
        <f t="shared" si="126"/>
        <v>16.48</v>
      </c>
      <c r="M2030" s="11" t="s">
        <v>5084</v>
      </c>
      <c r="N2030" s="11" t="s">
        <v>4597</v>
      </c>
      <c r="O2030" s="11" t="s">
        <v>3892</v>
      </c>
      <c r="P2030" s="11" t="s">
        <v>4598</v>
      </c>
      <c r="Q2030" s="12">
        <v>138.93799999999999</v>
      </c>
      <c r="R2030" s="12">
        <v>149.60599999999999</v>
      </c>
      <c r="S2030" s="12">
        <v>5.3339999999999996</v>
      </c>
      <c r="T2030" s="13">
        <v>9</v>
      </c>
      <c r="U2030" s="13">
        <f t="shared" si="127"/>
        <v>-7.48</v>
      </c>
      <c r="V2030" s="14">
        <v>1102.5</v>
      </c>
      <c r="W2030" s="14">
        <v>1102.5</v>
      </c>
      <c r="X2030" s="11">
        <v>5</v>
      </c>
      <c r="Y2030" s="15" t="s">
        <v>3737</v>
      </c>
      <c r="Z2030" s="16">
        <v>786.5</v>
      </c>
      <c r="AA2030" s="17">
        <v>248.9</v>
      </c>
      <c r="AB2030" s="18" t="s">
        <v>4189</v>
      </c>
    </row>
    <row r="2031" spans="1:28" x14ac:dyDescent="0.45">
      <c r="A2031" s="2" t="s">
        <v>2629</v>
      </c>
      <c r="B2031" s="2" t="s">
        <v>7121</v>
      </c>
      <c r="C2031" s="2" t="s">
        <v>2137</v>
      </c>
      <c r="D2031" s="2" t="s">
        <v>2138</v>
      </c>
      <c r="E2031" s="2" t="s">
        <v>2139</v>
      </c>
      <c r="F2031" s="3">
        <v>139.07</v>
      </c>
      <c r="G2031" s="3">
        <v>153.05000000000001</v>
      </c>
      <c r="H2031" s="2" t="s">
        <v>1368</v>
      </c>
      <c r="I2031" s="19">
        <v>633</v>
      </c>
      <c r="J2031" s="34">
        <f t="shared" si="124"/>
        <v>5.5070999999999994</v>
      </c>
      <c r="K2031" s="34">
        <f t="shared" si="125"/>
        <v>8.26</v>
      </c>
      <c r="L2031" s="34">
        <f t="shared" si="126"/>
        <v>33.04</v>
      </c>
      <c r="M2031" s="20" t="s">
        <v>5085</v>
      </c>
      <c r="N2031" s="20" t="s">
        <v>4597</v>
      </c>
      <c r="O2031" s="20" t="s">
        <v>3892</v>
      </c>
      <c r="P2031" s="20" t="s">
        <v>4598</v>
      </c>
      <c r="Q2031" s="21">
        <v>138.93799999999999</v>
      </c>
      <c r="R2031" s="21">
        <v>153.16200000000001</v>
      </c>
      <c r="S2031" s="21">
        <v>7.1120000000000001</v>
      </c>
      <c r="T2031" s="22">
        <v>16.57</v>
      </c>
      <c r="U2031" s="13">
        <f t="shared" si="127"/>
        <v>-16.47</v>
      </c>
      <c r="V2031" s="23">
        <v>2029.82</v>
      </c>
      <c r="W2031" s="23">
        <v>2029.82</v>
      </c>
      <c r="X2031" s="20">
        <v>4</v>
      </c>
      <c r="Y2031" s="24" t="s">
        <v>3737</v>
      </c>
      <c r="Z2031" s="16">
        <v>1396.82</v>
      </c>
      <c r="AA2031" s="17">
        <v>220.7</v>
      </c>
      <c r="AB2031" s="25" t="s">
        <v>4199</v>
      </c>
    </row>
    <row r="2032" spans="1:28" x14ac:dyDescent="0.45">
      <c r="A2032" s="4" t="s">
        <v>2630</v>
      </c>
      <c r="B2032" s="4" t="s">
        <v>7122</v>
      </c>
      <c r="C2032" s="4" t="s">
        <v>2137</v>
      </c>
      <c r="D2032" s="4" t="s">
        <v>2138</v>
      </c>
      <c r="E2032" s="4" t="s">
        <v>2139</v>
      </c>
      <c r="F2032" s="5">
        <v>139.29</v>
      </c>
      <c r="G2032" s="5">
        <v>146.35</v>
      </c>
      <c r="H2032" s="4" t="s">
        <v>1156</v>
      </c>
      <c r="I2032" s="10">
        <v>160</v>
      </c>
      <c r="J2032" s="34">
        <f t="shared" si="124"/>
        <v>1.3919999999999999</v>
      </c>
      <c r="K2032" s="34">
        <f t="shared" si="125"/>
        <v>2.09</v>
      </c>
      <c r="L2032" s="34">
        <f t="shared" si="126"/>
        <v>8.36</v>
      </c>
      <c r="M2032" s="11" t="s">
        <v>5086</v>
      </c>
      <c r="N2032" s="11" t="s">
        <v>4597</v>
      </c>
      <c r="O2032" s="11" t="s">
        <v>3892</v>
      </c>
      <c r="P2032" s="11" t="s">
        <v>4598</v>
      </c>
      <c r="Q2032" s="12">
        <v>139.19200000000001</v>
      </c>
      <c r="R2032" s="12">
        <v>146.304</v>
      </c>
      <c r="S2032" s="12">
        <v>3.556</v>
      </c>
      <c r="T2032" s="13">
        <v>2.79</v>
      </c>
      <c r="U2032" s="13">
        <f t="shared" si="127"/>
        <v>-5.5699999999999994</v>
      </c>
      <c r="V2032" s="14">
        <v>341.78</v>
      </c>
      <c r="W2032" s="14">
        <v>341.78</v>
      </c>
      <c r="X2032" s="11">
        <v>7</v>
      </c>
      <c r="Y2032" s="15" t="s">
        <v>3737</v>
      </c>
      <c r="Z2032" s="16">
        <v>181.78</v>
      </c>
      <c r="AA2032" s="17">
        <v>113.6</v>
      </c>
      <c r="AB2032" s="18" t="s">
        <v>3963</v>
      </c>
    </row>
    <row r="2033" spans="1:28" x14ac:dyDescent="0.45">
      <c r="A2033" s="2" t="s">
        <v>2631</v>
      </c>
      <c r="B2033" s="2" t="s">
        <v>7123</v>
      </c>
      <c r="C2033" s="2" t="s">
        <v>2137</v>
      </c>
      <c r="D2033" s="2" t="s">
        <v>2138</v>
      </c>
      <c r="E2033" s="2" t="s">
        <v>2139</v>
      </c>
      <c r="F2033" s="3">
        <v>139.19999999999999</v>
      </c>
      <c r="G2033" s="3">
        <v>150.6</v>
      </c>
      <c r="H2033" s="2" t="s">
        <v>1297</v>
      </c>
      <c r="I2033" s="19">
        <v>633</v>
      </c>
      <c r="J2033" s="34">
        <f t="shared" si="124"/>
        <v>5.5070999999999994</v>
      </c>
      <c r="K2033" s="34">
        <f t="shared" si="125"/>
        <v>8.26</v>
      </c>
      <c r="L2033" s="34">
        <f t="shared" si="126"/>
        <v>33.04</v>
      </c>
      <c r="M2033" s="20" t="s">
        <v>5087</v>
      </c>
      <c r="N2033" s="20" t="s">
        <v>4597</v>
      </c>
      <c r="O2033" s="20" t="s">
        <v>3892</v>
      </c>
      <c r="P2033" s="20" t="s">
        <v>4598</v>
      </c>
      <c r="Q2033" s="21">
        <v>139.30000000000001</v>
      </c>
      <c r="R2033" s="21">
        <v>150.69999999999999</v>
      </c>
      <c r="S2033" s="21">
        <v>5.7</v>
      </c>
      <c r="T2033" s="22">
        <v>18.07</v>
      </c>
      <c r="U2033" s="13">
        <f t="shared" si="127"/>
        <v>-14.969999999999999</v>
      </c>
      <c r="V2033" s="23">
        <v>2213.5700000000002</v>
      </c>
      <c r="W2033" s="23">
        <v>2213.5700000000002</v>
      </c>
      <c r="X2033" s="20">
        <v>31</v>
      </c>
      <c r="Y2033" s="24" t="s">
        <v>3713</v>
      </c>
      <c r="Z2033" s="16">
        <v>1580.57</v>
      </c>
      <c r="AA2033" s="17">
        <v>249.7</v>
      </c>
      <c r="AB2033" s="25" t="s">
        <v>4119</v>
      </c>
    </row>
    <row r="2034" spans="1:28" x14ac:dyDescent="0.45">
      <c r="A2034" s="4" t="s">
        <v>2632</v>
      </c>
      <c r="B2034" s="4" t="s">
        <v>7124</v>
      </c>
      <c r="C2034" s="4" t="s">
        <v>2137</v>
      </c>
      <c r="D2034" s="4" t="s">
        <v>2138</v>
      </c>
      <c r="E2034" s="4" t="s">
        <v>2139</v>
      </c>
      <c r="F2034" s="5">
        <v>139.4</v>
      </c>
      <c r="G2034" s="5">
        <v>145.6</v>
      </c>
      <c r="H2034" s="4" t="s">
        <v>1221</v>
      </c>
      <c r="I2034" s="10">
        <v>160</v>
      </c>
      <c r="J2034" s="34">
        <f t="shared" si="124"/>
        <v>1.3919999999999999</v>
      </c>
      <c r="K2034" s="34">
        <f t="shared" si="125"/>
        <v>2.09</v>
      </c>
      <c r="L2034" s="34">
        <f t="shared" si="126"/>
        <v>8.36</v>
      </c>
      <c r="M2034" s="11" t="s">
        <v>5088</v>
      </c>
      <c r="N2034" s="11" t="s">
        <v>4597</v>
      </c>
      <c r="O2034" s="11" t="s">
        <v>3892</v>
      </c>
      <c r="P2034" s="11" t="s">
        <v>4598</v>
      </c>
      <c r="Q2034" s="12">
        <v>139.5</v>
      </c>
      <c r="R2034" s="12">
        <v>145.5</v>
      </c>
      <c r="S2034" s="12">
        <v>3</v>
      </c>
      <c r="T2034" s="13">
        <v>5.85</v>
      </c>
      <c r="U2034" s="13">
        <f t="shared" si="127"/>
        <v>-2.5099999999999998</v>
      </c>
      <c r="V2034" s="14">
        <v>716.62</v>
      </c>
      <c r="W2034" s="14">
        <v>716.62</v>
      </c>
      <c r="X2034" s="11">
        <v>6</v>
      </c>
      <c r="Y2034" s="15" t="s">
        <v>3713</v>
      </c>
      <c r="Z2034" s="16">
        <v>556.62</v>
      </c>
      <c r="AA2034" s="17">
        <v>347.9</v>
      </c>
      <c r="AB2034" s="18" t="s">
        <v>4119</v>
      </c>
    </row>
    <row r="2035" spans="1:28" x14ac:dyDescent="0.45">
      <c r="A2035" s="2" t="s">
        <v>2633</v>
      </c>
      <c r="B2035" s="2" t="s">
        <v>7125</v>
      </c>
      <c r="C2035" s="2" t="s">
        <v>2137</v>
      </c>
      <c r="D2035" s="2" t="s">
        <v>2138</v>
      </c>
      <c r="E2035" s="2" t="s">
        <v>2139</v>
      </c>
      <c r="F2035" s="3">
        <v>140</v>
      </c>
      <c r="G2035" s="3">
        <v>150</v>
      </c>
      <c r="H2035" s="2" t="s">
        <v>1245</v>
      </c>
      <c r="I2035" s="19">
        <v>318</v>
      </c>
      <c r="J2035" s="34">
        <f t="shared" si="124"/>
        <v>2.7665999999999999</v>
      </c>
      <c r="K2035" s="34">
        <f t="shared" si="125"/>
        <v>4.1500000000000004</v>
      </c>
      <c r="L2035" s="34">
        <f t="shared" si="126"/>
        <v>16.600000000000001</v>
      </c>
      <c r="M2035" s="20" t="s">
        <v>5089</v>
      </c>
      <c r="N2035" s="20" t="s">
        <v>4597</v>
      </c>
      <c r="O2035" s="20" t="s">
        <v>3892</v>
      </c>
      <c r="P2035" s="20" t="s">
        <v>4598</v>
      </c>
      <c r="Q2035" s="21">
        <v>140.19999999999999</v>
      </c>
      <c r="R2035" s="21">
        <v>149</v>
      </c>
      <c r="S2035" s="21">
        <v>4.4000000000000004</v>
      </c>
      <c r="T2035" s="22">
        <v>6.79</v>
      </c>
      <c r="U2035" s="13">
        <f t="shared" si="127"/>
        <v>-9.8100000000000023</v>
      </c>
      <c r="V2035" s="23">
        <v>831.78</v>
      </c>
      <c r="W2035" s="23">
        <v>831.78</v>
      </c>
      <c r="X2035" s="20">
        <v>26</v>
      </c>
      <c r="Y2035" s="24" t="s">
        <v>3713</v>
      </c>
      <c r="Z2035" s="16">
        <v>513.78</v>
      </c>
      <c r="AA2035" s="17">
        <v>161.6</v>
      </c>
      <c r="AB2035" s="25" t="s">
        <v>5090</v>
      </c>
    </row>
    <row r="2036" spans="1:28" x14ac:dyDescent="0.45">
      <c r="A2036" s="4" t="s">
        <v>2634</v>
      </c>
      <c r="B2036" s="4" t="s">
        <v>7126</v>
      </c>
      <c r="C2036" s="4" t="s">
        <v>2137</v>
      </c>
      <c r="D2036" s="4" t="s">
        <v>2138</v>
      </c>
      <c r="E2036" s="4" t="s">
        <v>2139</v>
      </c>
      <c r="F2036" s="5">
        <v>142.24</v>
      </c>
      <c r="G2036" s="5">
        <v>152.9</v>
      </c>
      <c r="H2036" s="4" t="s">
        <v>1201</v>
      </c>
      <c r="I2036" s="10">
        <v>325</v>
      </c>
      <c r="J2036" s="34">
        <f t="shared" si="124"/>
        <v>2.8274999999999997</v>
      </c>
      <c r="K2036" s="34">
        <f t="shared" si="125"/>
        <v>4.24</v>
      </c>
      <c r="L2036" s="34">
        <f t="shared" si="126"/>
        <v>16.96</v>
      </c>
      <c r="M2036" s="11" t="s">
        <v>5091</v>
      </c>
      <c r="N2036" s="11" t="s">
        <v>4597</v>
      </c>
      <c r="O2036" s="11" t="s">
        <v>3892</v>
      </c>
      <c r="P2036" s="11" t="s">
        <v>4598</v>
      </c>
      <c r="Q2036" s="12">
        <v>142.24</v>
      </c>
      <c r="R2036" s="12">
        <v>152.90799999999999</v>
      </c>
      <c r="S2036" s="12">
        <v>5.3339999999999996</v>
      </c>
      <c r="T2036" s="13">
        <v>17.989999999999998</v>
      </c>
      <c r="U2036" s="13">
        <f t="shared" si="127"/>
        <v>1.0299999999999976</v>
      </c>
      <c r="V2036" s="14">
        <v>2203.77</v>
      </c>
      <c r="W2036" s="14">
        <v>2203.77</v>
      </c>
      <c r="X2036" s="11">
        <v>5</v>
      </c>
      <c r="Y2036" s="15" t="s">
        <v>3737</v>
      </c>
      <c r="Z2036" s="16">
        <v>1878.77</v>
      </c>
      <c r="AA2036" s="17">
        <v>578.1</v>
      </c>
      <c r="AB2036" s="18" t="s">
        <v>4032</v>
      </c>
    </row>
    <row r="2037" spans="1:28" x14ac:dyDescent="0.45">
      <c r="A2037" s="2" t="s">
        <v>2635</v>
      </c>
      <c r="B2037" s="2" t="s">
        <v>7127</v>
      </c>
      <c r="C2037" s="2" t="s">
        <v>2137</v>
      </c>
      <c r="D2037" s="2" t="s">
        <v>2138</v>
      </c>
      <c r="E2037" s="2" t="s">
        <v>2139</v>
      </c>
      <c r="F2037" s="3">
        <v>142.47</v>
      </c>
      <c r="G2037" s="3">
        <v>149.53</v>
      </c>
      <c r="H2037" s="2" t="s">
        <v>1156</v>
      </c>
      <c r="I2037" s="19">
        <v>163</v>
      </c>
      <c r="J2037" s="34">
        <f t="shared" si="124"/>
        <v>1.4180999999999999</v>
      </c>
      <c r="K2037" s="34">
        <f t="shared" si="125"/>
        <v>2.13</v>
      </c>
      <c r="L2037" s="34">
        <f t="shared" si="126"/>
        <v>8.52</v>
      </c>
      <c r="M2037" s="20" t="s">
        <v>5092</v>
      </c>
      <c r="N2037" s="20" t="s">
        <v>4597</v>
      </c>
      <c r="O2037" s="20" t="s">
        <v>3892</v>
      </c>
      <c r="P2037" s="20" t="s">
        <v>4598</v>
      </c>
      <c r="Q2037" s="21">
        <v>142.494</v>
      </c>
      <c r="R2037" s="21">
        <v>149.60599999999999</v>
      </c>
      <c r="S2037" s="21">
        <v>3.556</v>
      </c>
      <c r="T2037" s="22">
        <v>10.66</v>
      </c>
      <c r="U2037" s="13">
        <f t="shared" si="127"/>
        <v>2.1400000000000006</v>
      </c>
      <c r="V2037" s="23">
        <v>1305.8499999999999</v>
      </c>
      <c r="W2037" s="23">
        <v>1305.8499999999999</v>
      </c>
      <c r="X2037" s="20">
        <v>67</v>
      </c>
      <c r="Y2037" s="24" t="s">
        <v>3737</v>
      </c>
      <c r="Z2037" s="16">
        <v>1142.8499999999999</v>
      </c>
      <c r="AA2037" s="17">
        <v>701.1</v>
      </c>
      <c r="AB2037" s="25" t="s">
        <v>3945</v>
      </c>
    </row>
    <row r="2038" spans="1:28" x14ac:dyDescent="0.45">
      <c r="A2038" s="4" t="s">
        <v>2636</v>
      </c>
      <c r="B2038" s="4" t="s">
        <v>7128</v>
      </c>
      <c r="C2038" s="4" t="s">
        <v>2137</v>
      </c>
      <c r="D2038" s="4" t="s">
        <v>2138</v>
      </c>
      <c r="E2038" s="4" t="s">
        <v>2139</v>
      </c>
      <c r="F2038" s="5">
        <v>144.19999999999999</v>
      </c>
      <c r="G2038" s="5">
        <v>155.6</v>
      </c>
      <c r="H2038" s="4" t="s">
        <v>1297</v>
      </c>
      <c r="I2038" s="10">
        <v>656</v>
      </c>
      <c r="J2038" s="34">
        <f t="shared" si="124"/>
        <v>5.7071999999999994</v>
      </c>
      <c r="K2038" s="34">
        <f t="shared" si="125"/>
        <v>8.56</v>
      </c>
      <c r="L2038" s="34">
        <f t="shared" si="126"/>
        <v>34.24</v>
      </c>
      <c r="M2038" s="11" t="s">
        <v>5093</v>
      </c>
      <c r="N2038" s="11" t="s">
        <v>4597</v>
      </c>
      <c r="O2038" s="11" t="s">
        <v>3892</v>
      </c>
      <c r="P2038" s="11" t="s">
        <v>4598</v>
      </c>
      <c r="Q2038" s="12">
        <v>144.30000000000001</v>
      </c>
      <c r="R2038" s="12">
        <v>155.69999999999999</v>
      </c>
      <c r="S2038" s="12">
        <v>5.7</v>
      </c>
      <c r="T2038" s="13">
        <v>8.9700000000000006</v>
      </c>
      <c r="U2038" s="13">
        <f t="shared" si="127"/>
        <v>-25.270000000000003</v>
      </c>
      <c r="V2038" s="14">
        <v>1098.82</v>
      </c>
      <c r="W2038" s="14">
        <v>1098.82</v>
      </c>
      <c r="X2038" s="11">
        <v>16</v>
      </c>
      <c r="Y2038" s="15" t="s">
        <v>3713</v>
      </c>
      <c r="Z2038" s="16">
        <v>442.81999999999988</v>
      </c>
      <c r="AA2038" s="17">
        <v>67.5</v>
      </c>
      <c r="AB2038" s="18" t="s">
        <v>4119</v>
      </c>
    </row>
    <row r="2039" spans="1:28" x14ac:dyDescent="0.45">
      <c r="A2039" s="2" t="s">
        <v>2637</v>
      </c>
      <c r="B2039" s="2" t="s">
        <v>7129</v>
      </c>
      <c r="C2039" s="2" t="s">
        <v>2137</v>
      </c>
      <c r="D2039" s="2" t="s">
        <v>2138</v>
      </c>
      <c r="E2039" s="2" t="s">
        <v>2139</v>
      </c>
      <c r="F2039" s="3">
        <v>144.4</v>
      </c>
      <c r="G2039" s="3">
        <v>150.6</v>
      </c>
      <c r="H2039" s="2" t="s">
        <v>1221</v>
      </c>
      <c r="I2039" s="19">
        <v>165</v>
      </c>
      <c r="J2039" s="34">
        <f t="shared" si="124"/>
        <v>1.4355</v>
      </c>
      <c r="K2039" s="34">
        <f t="shared" si="125"/>
        <v>2.15</v>
      </c>
      <c r="L2039" s="34">
        <f t="shared" si="126"/>
        <v>8.6</v>
      </c>
      <c r="M2039" s="20" t="s">
        <v>5094</v>
      </c>
      <c r="N2039" s="20" t="s">
        <v>4597</v>
      </c>
      <c r="O2039" s="20" t="s">
        <v>3892</v>
      </c>
      <c r="P2039" s="20" t="s">
        <v>4598</v>
      </c>
      <c r="Q2039" s="21">
        <v>144.5</v>
      </c>
      <c r="R2039" s="21">
        <v>150.5</v>
      </c>
      <c r="S2039" s="21">
        <v>3</v>
      </c>
      <c r="T2039" s="22">
        <v>8.5299999999999994</v>
      </c>
      <c r="U2039" s="13">
        <f t="shared" si="127"/>
        <v>-7.0000000000000284E-2</v>
      </c>
      <c r="V2039" s="23">
        <v>1044.92</v>
      </c>
      <c r="W2039" s="23">
        <v>1044.92</v>
      </c>
      <c r="X2039" s="20">
        <v>6</v>
      </c>
      <c r="Y2039" s="24" t="s">
        <v>3713</v>
      </c>
      <c r="Z2039" s="16">
        <v>879.92000000000007</v>
      </c>
      <c r="AA2039" s="17">
        <v>533.29999999999995</v>
      </c>
      <c r="AB2039" s="25" t="s">
        <v>4119</v>
      </c>
    </row>
    <row r="2040" spans="1:28" x14ac:dyDescent="0.45">
      <c r="A2040" s="4" t="s">
        <v>2638</v>
      </c>
      <c r="B2040" s="4" t="s">
        <v>7130</v>
      </c>
      <c r="C2040" s="4" t="s">
        <v>2137</v>
      </c>
      <c r="D2040" s="4" t="s">
        <v>2138</v>
      </c>
      <c r="E2040" s="4" t="s">
        <v>2139</v>
      </c>
      <c r="F2040" s="5">
        <v>145.24</v>
      </c>
      <c r="G2040" s="5">
        <v>155.9</v>
      </c>
      <c r="H2040" s="4" t="s">
        <v>1201</v>
      </c>
      <c r="I2040" s="10">
        <v>331</v>
      </c>
      <c r="J2040" s="34">
        <f t="shared" si="124"/>
        <v>2.8796999999999997</v>
      </c>
      <c r="K2040" s="34">
        <f t="shared" si="125"/>
        <v>4.32</v>
      </c>
      <c r="L2040" s="34">
        <f t="shared" si="126"/>
        <v>17.28</v>
      </c>
      <c r="M2040" s="11" t="s">
        <v>5095</v>
      </c>
      <c r="N2040" s="11" t="s">
        <v>4597</v>
      </c>
      <c r="O2040" s="11" t="s">
        <v>3892</v>
      </c>
      <c r="P2040" s="11" t="s">
        <v>4598</v>
      </c>
      <c r="Q2040" s="12">
        <v>145.28800000000001</v>
      </c>
      <c r="R2040" s="12">
        <v>155.95599999999999</v>
      </c>
      <c r="S2040" s="12">
        <v>5.3339999999999996</v>
      </c>
      <c r="T2040" s="13">
        <v>18.309999999999999</v>
      </c>
      <c r="U2040" s="13">
        <f t="shared" si="127"/>
        <v>1.0299999999999976</v>
      </c>
      <c r="V2040" s="14">
        <v>2242.98</v>
      </c>
      <c r="W2040" s="14">
        <v>2242.98</v>
      </c>
      <c r="X2040" s="11">
        <v>55</v>
      </c>
      <c r="Y2040" s="15" t="s">
        <v>3737</v>
      </c>
      <c r="Z2040" s="16">
        <v>1911.98</v>
      </c>
      <c r="AA2040" s="17">
        <v>577.6</v>
      </c>
      <c r="AB2040" s="18" t="s">
        <v>5096</v>
      </c>
    </row>
    <row r="2041" spans="1:28" x14ac:dyDescent="0.45">
      <c r="A2041" s="2" t="s">
        <v>2639</v>
      </c>
      <c r="B2041" s="2" t="s">
        <v>7131</v>
      </c>
      <c r="C2041" s="2" t="s">
        <v>2137</v>
      </c>
      <c r="D2041" s="2" t="s">
        <v>2138</v>
      </c>
      <c r="E2041" s="2" t="s">
        <v>2139</v>
      </c>
      <c r="F2041" s="3">
        <v>145.41999999999999</v>
      </c>
      <c r="G2041" s="3">
        <v>159.4</v>
      </c>
      <c r="H2041" s="2" t="s">
        <v>1368</v>
      </c>
      <c r="I2041" s="19">
        <v>661</v>
      </c>
      <c r="J2041" s="34">
        <f t="shared" si="124"/>
        <v>5.7506999999999993</v>
      </c>
      <c r="K2041" s="34">
        <f t="shared" si="125"/>
        <v>8.6300000000000008</v>
      </c>
      <c r="L2041" s="34">
        <f t="shared" si="126"/>
        <v>34.520000000000003</v>
      </c>
      <c r="M2041" s="20" t="s">
        <v>5097</v>
      </c>
      <c r="N2041" s="20" t="s">
        <v>4597</v>
      </c>
      <c r="O2041" s="20" t="s">
        <v>3892</v>
      </c>
      <c r="P2041" s="20" t="s">
        <v>4598</v>
      </c>
      <c r="Q2041" s="21">
        <v>145.28800000000001</v>
      </c>
      <c r="R2041" s="21">
        <v>159.512</v>
      </c>
      <c r="S2041" s="21">
        <v>7.1120000000000001</v>
      </c>
      <c r="T2041" s="22">
        <v>5.69</v>
      </c>
      <c r="U2041" s="13">
        <f t="shared" si="127"/>
        <v>-28.830000000000002</v>
      </c>
      <c r="V2041" s="23">
        <v>697.03</v>
      </c>
      <c r="W2041" s="23">
        <v>697.03</v>
      </c>
      <c r="X2041" s="20" t="s">
        <v>3722</v>
      </c>
      <c r="Y2041" s="24" t="s">
        <v>3737</v>
      </c>
      <c r="Z2041" s="16">
        <v>36.029999999999973</v>
      </c>
      <c r="AA2041" s="17">
        <v>5.5</v>
      </c>
      <c r="AB2041" s="25" t="s">
        <v>4199</v>
      </c>
    </row>
    <row r="2042" spans="1:28" x14ac:dyDescent="0.45">
      <c r="A2042" s="4" t="s">
        <v>2640</v>
      </c>
      <c r="B2042" s="4" t="s">
        <v>7132</v>
      </c>
      <c r="C2042" s="4" t="s">
        <v>2137</v>
      </c>
      <c r="D2042" s="4" t="s">
        <v>2138</v>
      </c>
      <c r="E2042" s="4" t="s">
        <v>2139</v>
      </c>
      <c r="F2042" s="5">
        <v>145.63999999999999</v>
      </c>
      <c r="G2042" s="5">
        <v>152.69999999999999</v>
      </c>
      <c r="H2042" s="4" t="s">
        <v>1156</v>
      </c>
      <c r="I2042" s="10">
        <v>167</v>
      </c>
      <c r="J2042" s="34">
        <f t="shared" si="124"/>
        <v>1.4528999999999999</v>
      </c>
      <c r="K2042" s="34">
        <f t="shared" si="125"/>
        <v>2.1800000000000002</v>
      </c>
      <c r="L2042" s="34">
        <f t="shared" si="126"/>
        <v>8.7200000000000006</v>
      </c>
      <c r="M2042" s="11" t="s">
        <v>5098</v>
      </c>
      <c r="N2042" s="11" t="s">
        <v>4597</v>
      </c>
      <c r="O2042" s="11" t="s">
        <v>3892</v>
      </c>
      <c r="P2042" s="11" t="s">
        <v>4598</v>
      </c>
      <c r="Q2042" s="12">
        <v>145.542</v>
      </c>
      <c r="R2042" s="12">
        <v>152.654</v>
      </c>
      <c r="S2042" s="12">
        <v>3.556</v>
      </c>
      <c r="T2042" s="13">
        <v>12.68</v>
      </c>
      <c r="U2042" s="13">
        <f t="shared" si="127"/>
        <v>3.9599999999999991</v>
      </c>
      <c r="V2042" s="14">
        <v>1553.3</v>
      </c>
      <c r="W2042" s="14">
        <v>1553.3</v>
      </c>
      <c r="X2042" s="11">
        <v>117</v>
      </c>
      <c r="Y2042" s="15" t="s">
        <v>3737</v>
      </c>
      <c r="Z2042" s="16">
        <v>1386.3</v>
      </c>
      <c r="AA2042" s="17">
        <v>830.1</v>
      </c>
      <c r="AB2042" s="18" t="s">
        <v>3963</v>
      </c>
    </row>
    <row r="2043" spans="1:28" x14ac:dyDescent="0.45">
      <c r="A2043" s="2" t="s">
        <v>2641</v>
      </c>
      <c r="B2043" s="2" t="s">
        <v>7133</v>
      </c>
      <c r="C2043" s="2" t="s">
        <v>2137</v>
      </c>
      <c r="D2043" s="2" t="s">
        <v>2138</v>
      </c>
      <c r="E2043" s="2" t="s">
        <v>2139</v>
      </c>
      <c r="F2043" s="3">
        <v>145.72</v>
      </c>
      <c r="G2043" s="3">
        <v>150.96</v>
      </c>
      <c r="H2043" s="2" t="s">
        <v>1127</v>
      </c>
      <c r="I2043" s="19">
        <v>89</v>
      </c>
      <c r="J2043" s="34">
        <f t="shared" si="124"/>
        <v>0.77429999999999999</v>
      </c>
      <c r="K2043" s="34">
        <f t="shared" si="125"/>
        <v>1.1599999999999999</v>
      </c>
      <c r="L2043" s="34">
        <f t="shared" si="126"/>
        <v>4.6399999999999997</v>
      </c>
      <c r="M2043" s="20" t="s">
        <v>5099</v>
      </c>
      <c r="N2043" s="20" t="s">
        <v>4597</v>
      </c>
      <c r="O2043" s="20" t="s">
        <v>3892</v>
      </c>
      <c r="P2043" s="20" t="s">
        <v>4598</v>
      </c>
      <c r="Q2043" s="21">
        <v>145.79599999999999</v>
      </c>
      <c r="R2043" s="21">
        <v>150.876</v>
      </c>
      <c r="S2043" s="21">
        <v>2.54</v>
      </c>
      <c r="T2043" s="22">
        <v>3.84</v>
      </c>
      <c r="U2043" s="13">
        <f t="shared" si="127"/>
        <v>-0.79999999999999982</v>
      </c>
      <c r="V2043" s="23">
        <v>470.4</v>
      </c>
      <c r="W2043" s="23">
        <v>470.4</v>
      </c>
      <c r="X2043" s="20">
        <v>5</v>
      </c>
      <c r="Y2043" s="24" t="s">
        <v>3737</v>
      </c>
      <c r="Z2043" s="16">
        <v>381.4</v>
      </c>
      <c r="AA2043" s="17">
        <v>428.5</v>
      </c>
      <c r="AB2043" s="25" t="s">
        <v>4022</v>
      </c>
    </row>
    <row r="2044" spans="1:28" x14ac:dyDescent="0.45">
      <c r="A2044" s="4" t="s">
        <v>2642</v>
      </c>
      <c r="B2044" s="4" t="s">
        <v>7134</v>
      </c>
      <c r="C2044" s="4" t="s">
        <v>2137</v>
      </c>
      <c r="D2044" s="4" t="s">
        <v>2138</v>
      </c>
      <c r="E2044" s="4" t="s">
        <v>2139</v>
      </c>
      <c r="F2044" s="5">
        <v>148.58000000000001</v>
      </c>
      <c r="G2044" s="5">
        <v>162.56</v>
      </c>
      <c r="H2044" s="4" t="s">
        <v>1368</v>
      </c>
      <c r="I2044" s="10">
        <v>677</v>
      </c>
      <c r="J2044" s="34">
        <f t="shared" si="124"/>
        <v>5.8898999999999999</v>
      </c>
      <c r="K2044" s="34">
        <f t="shared" si="125"/>
        <v>8.83</v>
      </c>
      <c r="L2044" s="34">
        <f t="shared" si="126"/>
        <v>35.32</v>
      </c>
      <c r="M2044" s="11" t="s">
        <v>5100</v>
      </c>
      <c r="N2044" s="11" t="s">
        <v>4597</v>
      </c>
      <c r="O2044" s="11" t="s">
        <v>3892</v>
      </c>
      <c r="P2044" s="11" t="s">
        <v>4598</v>
      </c>
      <c r="Q2044" s="12">
        <v>148.59</v>
      </c>
      <c r="R2044" s="12">
        <v>162.56</v>
      </c>
      <c r="S2044" s="12">
        <v>7.1120000000000001</v>
      </c>
      <c r="T2044" s="13">
        <v>17.309999999999999</v>
      </c>
      <c r="U2044" s="13">
        <f t="shared" si="127"/>
        <v>-18.010000000000002</v>
      </c>
      <c r="V2044" s="14">
        <v>2120.48</v>
      </c>
      <c r="W2044" s="14">
        <v>2120.48</v>
      </c>
      <c r="X2044" s="11">
        <v>56</v>
      </c>
      <c r="Y2044" s="15" t="s">
        <v>3737</v>
      </c>
      <c r="Z2044" s="16">
        <v>1443.48</v>
      </c>
      <c r="AA2044" s="17">
        <v>213.2</v>
      </c>
      <c r="AB2044" s="18" t="s">
        <v>4174</v>
      </c>
    </row>
    <row r="2045" spans="1:28" x14ac:dyDescent="0.45">
      <c r="A2045" s="2" t="s">
        <v>2643</v>
      </c>
      <c r="B2045" s="2" t="s">
        <v>7135</v>
      </c>
      <c r="C2045" s="2" t="s">
        <v>2137</v>
      </c>
      <c r="D2045" s="2" t="s">
        <v>2138</v>
      </c>
      <c r="E2045" s="2" t="s">
        <v>2139</v>
      </c>
      <c r="F2045" s="3">
        <v>148.59</v>
      </c>
      <c r="G2045" s="3">
        <v>159.25</v>
      </c>
      <c r="H2045" s="2" t="s">
        <v>1201</v>
      </c>
      <c r="I2045" s="19">
        <v>338</v>
      </c>
      <c r="J2045" s="34">
        <f t="shared" si="124"/>
        <v>2.9405999999999999</v>
      </c>
      <c r="K2045" s="34">
        <f t="shared" si="125"/>
        <v>4.41</v>
      </c>
      <c r="L2045" s="34">
        <f t="shared" si="126"/>
        <v>17.64</v>
      </c>
      <c r="M2045" s="20" t="s">
        <v>5101</v>
      </c>
      <c r="N2045" s="20" t="s">
        <v>4597</v>
      </c>
      <c r="O2045" s="20" t="s">
        <v>3892</v>
      </c>
      <c r="P2045" s="20" t="s">
        <v>4598</v>
      </c>
      <c r="Q2045" s="21">
        <v>148.59</v>
      </c>
      <c r="R2045" s="21">
        <v>159.25800000000001</v>
      </c>
      <c r="S2045" s="21">
        <v>5.3339999999999996</v>
      </c>
      <c r="T2045" s="22">
        <v>9.6199999999999992</v>
      </c>
      <c r="U2045" s="13">
        <f t="shared" si="127"/>
        <v>-8.0200000000000014</v>
      </c>
      <c r="V2045" s="23">
        <v>1178.45</v>
      </c>
      <c r="W2045" s="23">
        <v>1178.45</v>
      </c>
      <c r="X2045" s="20">
        <v>20</v>
      </c>
      <c r="Y2045" s="24" t="s">
        <v>3737</v>
      </c>
      <c r="Z2045" s="16">
        <v>840.45</v>
      </c>
      <c r="AA2045" s="17">
        <v>248.7</v>
      </c>
      <c r="AB2045" s="25" t="s">
        <v>4032</v>
      </c>
    </row>
    <row r="2046" spans="1:28" x14ac:dyDescent="0.45">
      <c r="A2046" s="4" t="s">
        <v>2644</v>
      </c>
      <c r="B2046" s="4" t="s">
        <v>7136</v>
      </c>
      <c r="C2046" s="4" t="s">
        <v>2137</v>
      </c>
      <c r="D2046" s="4" t="s">
        <v>2138</v>
      </c>
      <c r="E2046" s="4" t="s">
        <v>2139</v>
      </c>
      <c r="F2046" s="5">
        <v>148.82</v>
      </c>
      <c r="G2046" s="5">
        <v>155.88</v>
      </c>
      <c r="H2046" s="4" t="s">
        <v>1156</v>
      </c>
      <c r="I2046" s="10">
        <v>170</v>
      </c>
      <c r="J2046" s="34">
        <f t="shared" si="124"/>
        <v>1.4789999999999999</v>
      </c>
      <c r="K2046" s="34">
        <f t="shared" si="125"/>
        <v>2.2200000000000002</v>
      </c>
      <c r="L2046" s="34">
        <f t="shared" si="126"/>
        <v>8.8800000000000008</v>
      </c>
      <c r="M2046" s="11" t="s">
        <v>5102</v>
      </c>
      <c r="N2046" s="11" t="s">
        <v>4597</v>
      </c>
      <c r="O2046" s="11" t="s">
        <v>3892</v>
      </c>
      <c r="P2046" s="11" t="s">
        <v>4598</v>
      </c>
      <c r="Q2046" s="12">
        <v>148.84399999999999</v>
      </c>
      <c r="R2046" s="12">
        <v>155.95599999999999</v>
      </c>
      <c r="S2046" s="12">
        <v>3.556</v>
      </c>
      <c r="T2046" s="13">
        <v>3.82</v>
      </c>
      <c r="U2046" s="13">
        <f t="shared" si="127"/>
        <v>-5.0600000000000005</v>
      </c>
      <c r="V2046" s="14">
        <v>467.95</v>
      </c>
      <c r="W2046" s="14">
        <v>467.95</v>
      </c>
      <c r="X2046" s="11">
        <v>13</v>
      </c>
      <c r="Y2046" s="15" t="s">
        <v>3737</v>
      </c>
      <c r="Z2046" s="16">
        <v>297.95</v>
      </c>
      <c r="AA2046" s="17">
        <v>175.3</v>
      </c>
      <c r="AB2046" s="18" t="s">
        <v>3945</v>
      </c>
    </row>
    <row r="2047" spans="1:28" x14ac:dyDescent="0.45">
      <c r="A2047" s="2" t="s">
        <v>2645</v>
      </c>
      <c r="B2047" s="2" t="s">
        <v>7137</v>
      </c>
      <c r="C2047" s="2" t="s">
        <v>2137</v>
      </c>
      <c r="D2047" s="2" t="s">
        <v>2138</v>
      </c>
      <c r="E2047" s="2" t="s">
        <v>2139</v>
      </c>
      <c r="F2047" s="3">
        <v>148</v>
      </c>
      <c r="G2047" s="3">
        <v>160</v>
      </c>
      <c r="H2047" s="2" t="s">
        <v>1635</v>
      </c>
      <c r="I2047" s="19">
        <v>673</v>
      </c>
      <c r="J2047" s="34">
        <f t="shared" si="124"/>
        <v>5.8550999999999993</v>
      </c>
      <c r="K2047" s="34">
        <f t="shared" si="125"/>
        <v>8.7799999999999994</v>
      </c>
      <c r="L2047" s="34">
        <f t="shared" si="126"/>
        <v>35.119999999999997</v>
      </c>
      <c r="M2047" s="20" t="s">
        <v>5101</v>
      </c>
      <c r="N2047" s="20" t="s">
        <v>4597</v>
      </c>
      <c r="O2047" s="20" t="s">
        <v>3892</v>
      </c>
      <c r="P2047" s="20" t="s">
        <v>4598</v>
      </c>
      <c r="Q2047" s="21">
        <v>148.59</v>
      </c>
      <c r="R2047" s="21">
        <v>159.25800000000001</v>
      </c>
      <c r="S2047" s="21">
        <v>5.3339999999999996</v>
      </c>
      <c r="T2047" s="22">
        <v>9.6199999999999992</v>
      </c>
      <c r="U2047" s="13">
        <f t="shared" si="127"/>
        <v>-25.5</v>
      </c>
      <c r="V2047" s="23">
        <v>1178.45</v>
      </c>
      <c r="W2047" s="23">
        <v>1178.45</v>
      </c>
      <c r="X2047" s="20">
        <v>20</v>
      </c>
      <c r="Y2047" s="24" t="s">
        <v>3737</v>
      </c>
      <c r="Z2047" s="16">
        <v>505.45</v>
      </c>
      <c r="AA2047" s="17">
        <v>75.099999999999994</v>
      </c>
      <c r="AB2047" s="25" t="s">
        <v>5103</v>
      </c>
    </row>
    <row r="2048" spans="1:28" x14ac:dyDescent="0.45">
      <c r="A2048" s="4" t="s">
        <v>2646</v>
      </c>
      <c r="B2048" s="4" t="s">
        <v>7138</v>
      </c>
      <c r="C2048" s="4" t="s">
        <v>2137</v>
      </c>
      <c r="D2048" s="4" t="s">
        <v>2138</v>
      </c>
      <c r="E2048" s="4" t="s">
        <v>2139</v>
      </c>
      <c r="F2048" s="5">
        <v>149.19999999999999</v>
      </c>
      <c r="G2048" s="5">
        <v>160.6</v>
      </c>
      <c r="H2048" s="4" t="s">
        <v>1297</v>
      </c>
      <c r="I2048" s="10">
        <v>678</v>
      </c>
      <c r="J2048" s="34">
        <f t="shared" si="124"/>
        <v>5.8985999999999992</v>
      </c>
      <c r="K2048" s="34">
        <f t="shared" si="125"/>
        <v>8.85</v>
      </c>
      <c r="L2048" s="34">
        <f t="shared" si="126"/>
        <v>35.4</v>
      </c>
      <c r="M2048" s="11" t="s">
        <v>5104</v>
      </c>
      <c r="N2048" s="11" t="s">
        <v>4597</v>
      </c>
      <c r="O2048" s="11" t="s">
        <v>3892</v>
      </c>
      <c r="P2048" s="11" t="s">
        <v>4598</v>
      </c>
      <c r="Q2048" s="12">
        <v>149.30000000000001</v>
      </c>
      <c r="R2048" s="12">
        <v>160.69999999999999</v>
      </c>
      <c r="S2048" s="12">
        <v>5.7</v>
      </c>
      <c r="T2048" s="13">
        <v>17.760000000000002</v>
      </c>
      <c r="U2048" s="13">
        <f t="shared" si="127"/>
        <v>-17.639999999999997</v>
      </c>
      <c r="V2048" s="14">
        <v>2175.6</v>
      </c>
      <c r="W2048" s="14">
        <v>2175.6</v>
      </c>
      <c r="X2048" s="11">
        <v>81</v>
      </c>
      <c r="Y2048" s="15" t="s">
        <v>3713</v>
      </c>
      <c r="Z2048" s="16">
        <v>1497.6</v>
      </c>
      <c r="AA2048" s="17">
        <v>220.9</v>
      </c>
      <c r="AB2048" s="18" t="s">
        <v>4119</v>
      </c>
    </row>
    <row r="2049" spans="1:28" x14ac:dyDescent="0.45">
      <c r="A2049" s="2" t="s">
        <v>2647</v>
      </c>
      <c r="B2049" s="2" t="s">
        <v>7139</v>
      </c>
      <c r="C2049" s="2" t="s">
        <v>2137</v>
      </c>
      <c r="D2049" s="2" t="s">
        <v>2138</v>
      </c>
      <c r="E2049" s="2" t="s">
        <v>2139</v>
      </c>
      <c r="F2049" s="3">
        <v>149.4</v>
      </c>
      <c r="G2049" s="3">
        <v>155.6</v>
      </c>
      <c r="H2049" s="2" t="s">
        <v>1221</v>
      </c>
      <c r="I2049" s="19">
        <v>170</v>
      </c>
      <c r="J2049" s="34">
        <f t="shared" si="124"/>
        <v>1.4789999999999999</v>
      </c>
      <c r="K2049" s="34">
        <f t="shared" si="125"/>
        <v>2.2200000000000002</v>
      </c>
      <c r="L2049" s="34">
        <f t="shared" si="126"/>
        <v>8.8800000000000008</v>
      </c>
      <c r="M2049" s="20" t="s">
        <v>5105</v>
      </c>
      <c r="N2049" s="20" t="s">
        <v>4597</v>
      </c>
      <c r="O2049" s="20" t="s">
        <v>3892</v>
      </c>
      <c r="P2049" s="20" t="s">
        <v>4598</v>
      </c>
      <c r="Q2049" s="21">
        <v>149.5</v>
      </c>
      <c r="R2049" s="21">
        <v>155.5</v>
      </c>
      <c r="S2049" s="21">
        <v>3</v>
      </c>
      <c r="T2049" s="22">
        <v>4.79</v>
      </c>
      <c r="U2049" s="13">
        <f t="shared" si="127"/>
        <v>-4.0900000000000007</v>
      </c>
      <c r="V2049" s="23">
        <v>586.78</v>
      </c>
      <c r="W2049" s="23">
        <v>586.78</v>
      </c>
      <c r="X2049" s="20" t="s">
        <v>3722</v>
      </c>
      <c r="Y2049" s="24" t="s">
        <v>3713</v>
      </c>
      <c r="Z2049" s="16">
        <v>416.78</v>
      </c>
      <c r="AA2049" s="17">
        <v>245.2</v>
      </c>
      <c r="AB2049" s="25" t="s">
        <v>4119</v>
      </c>
    </row>
    <row r="2050" spans="1:28" x14ac:dyDescent="0.45">
      <c r="A2050" s="4" t="s">
        <v>2648</v>
      </c>
      <c r="B2050" s="4" t="s">
        <v>7140</v>
      </c>
      <c r="C2050" s="4" t="s">
        <v>2137</v>
      </c>
      <c r="D2050" s="4" t="s">
        <v>2138</v>
      </c>
      <c r="E2050" s="4" t="s">
        <v>2139</v>
      </c>
      <c r="F2050" s="5">
        <v>150</v>
      </c>
      <c r="G2050" s="5">
        <v>160</v>
      </c>
      <c r="H2050" s="4" t="s">
        <v>1245</v>
      </c>
      <c r="I2050" s="10">
        <v>342</v>
      </c>
      <c r="J2050" s="34">
        <f t="shared" si="124"/>
        <v>2.9753999999999996</v>
      </c>
      <c r="K2050" s="34">
        <f t="shared" si="125"/>
        <v>4.46</v>
      </c>
      <c r="L2050" s="34">
        <f t="shared" si="126"/>
        <v>17.84</v>
      </c>
      <c r="M2050" s="11" t="s">
        <v>5106</v>
      </c>
      <c r="N2050" s="11" t="s">
        <v>4597</v>
      </c>
      <c r="O2050" s="11" t="s">
        <v>3892</v>
      </c>
      <c r="P2050" s="11" t="s">
        <v>4598</v>
      </c>
      <c r="Q2050" s="12">
        <v>150</v>
      </c>
      <c r="R2050" s="12">
        <v>160</v>
      </c>
      <c r="S2050" s="12">
        <v>5</v>
      </c>
      <c r="T2050" s="13">
        <v>4.2699999999999996</v>
      </c>
      <c r="U2050" s="13">
        <f t="shared" si="127"/>
        <v>-13.57</v>
      </c>
      <c r="V2050" s="14">
        <v>523.07000000000005</v>
      </c>
      <c r="W2050" s="14">
        <v>523.07000000000005</v>
      </c>
      <c r="X2050" s="11" t="s">
        <v>3722</v>
      </c>
      <c r="Y2050" s="15" t="s">
        <v>3713</v>
      </c>
      <c r="Z2050" s="16">
        <v>181.07000000000011</v>
      </c>
      <c r="AA2050" s="17">
        <v>52.9</v>
      </c>
      <c r="AB2050" s="18" t="s">
        <v>3714</v>
      </c>
    </row>
    <row r="2051" spans="1:28" x14ac:dyDescent="0.45">
      <c r="A2051" s="2" t="s">
        <v>2649</v>
      </c>
      <c r="B2051" s="2" t="s">
        <v>7141</v>
      </c>
      <c r="C2051" s="2" t="s">
        <v>2137</v>
      </c>
      <c r="D2051" s="2" t="s">
        <v>2138</v>
      </c>
      <c r="E2051" s="2" t="s">
        <v>2139</v>
      </c>
      <c r="F2051" s="3">
        <v>151.77000000000001</v>
      </c>
      <c r="G2051" s="3">
        <v>162.43</v>
      </c>
      <c r="H2051" s="2" t="s">
        <v>1201</v>
      </c>
      <c r="I2051" s="19">
        <v>345</v>
      </c>
      <c r="J2051" s="34">
        <f t="shared" si="124"/>
        <v>3.0014999999999996</v>
      </c>
      <c r="K2051" s="34">
        <f t="shared" si="125"/>
        <v>4.5</v>
      </c>
      <c r="L2051" s="34">
        <f t="shared" si="126"/>
        <v>18</v>
      </c>
      <c r="M2051" s="20" t="s">
        <v>5107</v>
      </c>
      <c r="N2051" s="20" t="s">
        <v>4597</v>
      </c>
      <c r="O2051" s="20" t="s">
        <v>3892</v>
      </c>
      <c r="P2051" s="20" t="s">
        <v>4598</v>
      </c>
      <c r="Q2051" s="21">
        <v>151.63800000000001</v>
      </c>
      <c r="R2051" s="21">
        <v>162.30600000000001</v>
      </c>
      <c r="S2051" s="21">
        <v>5.3339999999999996</v>
      </c>
      <c r="T2051" s="22">
        <v>10.029999999999999</v>
      </c>
      <c r="U2051" s="13">
        <f t="shared" si="127"/>
        <v>-7.9700000000000006</v>
      </c>
      <c r="V2051" s="23">
        <v>1228.68</v>
      </c>
      <c r="W2051" s="23">
        <v>1228.68</v>
      </c>
      <c r="X2051" s="20">
        <v>1</v>
      </c>
      <c r="Y2051" s="24" t="s">
        <v>3737</v>
      </c>
      <c r="Z2051" s="16">
        <v>883.68000000000006</v>
      </c>
      <c r="AA2051" s="17">
        <v>256.10000000000002</v>
      </c>
      <c r="AB2051" s="25" t="s">
        <v>4189</v>
      </c>
    </row>
    <row r="2052" spans="1:28" x14ac:dyDescent="0.45">
      <c r="A2052" s="4" t="s">
        <v>2650</v>
      </c>
      <c r="B2052" s="4" t="s">
        <v>7142</v>
      </c>
      <c r="C2052" s="4" t="s">
        <v>2137</v>
      </c>
      <c r="D2052" s="4" t="s">
        <v>2138</v>
      </c>
      <c r="E2052" s="4" t="s">
        <v>2139</v>
      </c>
      <c r="F2052" s="5">
        <v>151.77000000000001</v>
      </c>
      <c r="G2052" s="5">
        <v>165.75</v>
      </c>
      <c r="H2052" s="4" t="s">
        <v>1368</v>
      </c>
      <c r="I2052" s="10">
        <v>690</v>
      </c>
      <c r="J2052" s="34">
        <f t="shared" si="124"/>
        <v>6.0029999999999992</v>
      </c>
      <c r="K2052" s="34">
        <f t="shared" si="125"/>
        <v>9</v>
      </c>
      <c r="L2052" s="34">
        <f t="shared" si="126"/>
        <v>36</v>
      </c>
      <c r="M2052" s="11" t="s">
        <v>5108</v>
      </c>
      <c r="N2052" s="11" t="s">
        <v>4597</v>
      </c>
      <c r="O2052" s="11" t="s">
        <v>3892</v>
      </c>
      <c r="P2052" s="11" t="s">
        <v>4598</v>
      </c>
      <c r="Q2052" s="12">
        <v>151.63800000000001</v>
      </c>
      <c r="R2052" s="12">
        <v>165.86199999999999</v>
      </c>
      <c r="S2052" s="12">
        <v>7.1120000000000001</v>
      </c>
      <c r="T2052" s="13">
        <v>29.93</v>
      </c>
      <c r="U2052" s="13">
        <f t="shared" si="127"/>
        <v>-6.07</v>
      </c>
      <c r="V2052" s="14">
        <v>3666.42</v>
      </c>
      <c r="W2052" s="14">
        <v>3666.42</v>
      </c>
      <c r="X2052" s="11" t="s">
        <v>3722</v>
      </c>
      <c r="Y2052" s="15" t="s">
        <v>3737</v>
      </c>
      <c r="Z2052" s="16">
        <v>2976.42</v>
      </c>
      <c r="AA2052" s="17">
        <v>431.4</v>
      </c>
      <c r="AB2052" s="18" t="s">
        <v>4199</v>
      </c>
    </row>
    <row r="2053" spans="1:28" x14ac:dyDescent="0.45">
      <c r="A2053" s="2" t="s">
        <v>2651</v>
      </c>
      <c r="B2053" s="2" t="s">
        <v>7143</v>
      </c>
      <c r="C2053" s="2" t="s">
        <v>2137</v>
      </c>
      <c r="D2053" s="2" t="s">
        <v>2138</v>
      </c>
      <c r="E2053" s="2" t="s">
        <v>2139</v>
      </c>
      <c r="F2053" s="3">
        <v>151.99</v>
      </c>
      <c r="G2053" s="3">
        <v>159.05000000000001</v>
      </c>
      <c r="H2053" s="2" t="s">
        <v>1156</v>
      </c>
      <c r="I2053" s="19">
        <v>173</v>
      </c>
      <c r="J2053" s="34">
        <f t="shared" ref="J2053:J2116" si="128">I2053*0.0087</f>
        <v>1.5050999999999999</v>
      </c>
      <c r="K2053" s="34">
        <f t="shared" ref="K2053:K2116" si="129">ROUND(J2053*1.5,2)</f>
        <v>2.2599999999999998</v>
      </c>
      <c r="L2053" s="34">
        <f t="shared" ref="L2053:L2116" si="130">K2053*4</f>
        <v>9.0399999999999991</v>
      </c>
      <c r="M2053" s="20" t="s">
        <v>5109</v>
      </c>
      <c r="N2053" s="20" t="s">
        <v>4597</v>
      </c>
      <c r="O2053" s="20" t="s">
        <v>3892</v>
      </c>
      <c r="P2053" s="20" t="s">
        <v>4598</v>
      </c>
      <c r="Q2053" s="21">
        <v>151.892</v>
      </c>
      <c r="R2053" s="21">
        <v>159.00399999999999</v>
      </c>
      <c r="S2053" s="21">
        <v>3.556</v>
      </c>
      <c r="T2053" s="22">
        <v>12.04</v>
      </c>
      <c r="U2053" s="13">
        <f t="shared" ref="U2053:U2116" si="131">T2053-L2053</f>
        <v>3</v>
      </c>
      <c r="V2053" s="23">
        <v>1474.9</v>
      </c>
      <c r="W2053" s="23">
        <v>1474.9</v>
      </c>
      <c r="X2053" s="20">
        <v>12</v>
      </c>
      <c r="Y2053" s="24" t="s">
        <v>3737</v>
      </c>
      <c r="Z2053" s="16">
        <v>1301.9000000000001</v>
      </c>
      <c r="AA2053" s="17">
        <v>752.5</v>
      </c>
      <c r="AB2053" s="25" t="s">
        <v>3963</v>
      </c>
    </row>
    <row r="2054" spans="1:28" x14ac:dyDescent="0.45">
      <c r="A2054" s="4" t="s">
        <v>2652</v>
      </c>
      <c r="B2054" s="4" t="s">
        <v>7144</v>
      </c>
      <c r="C2054" s="4" t="s">
        <v>2137</v>
      </c>
      <c r="D2054" s="4" t="s">
        <v>2138</v>
      </c>
      <c r="E2054" s="4" t="s">
        <v>2139</v>
      </c>
      <c r="F2054" s="5">
        <v>152.07</v>
      </c>
      <c r="G2054" s="5">
        <v>157.31</v>
      </c>
      <c r="H2054" s="4" t="s">
        <v>1127</v>
      </c>
      <c r="I2054" s="10">
        <v>93</v>
      </c>
      <c r="J2054" s="34">
        <f t="shared" si="128"/>
        <v>0.80909999999999993</v>
      </c>
      <c r="K2054" s="34">
        <f t="shared" si="129"/>
        <v>1.21</v>
      </c>
      <c r="L2054" s="34">
        <f t="shared" si="130"/>
        <v>4.84</v>
      </c>
      <c r="M2054" s="11" t="s">
        <v>5110</v>
      </c>
      <c r="N2054" s="11" t="s">
        <v>4597</v>
      </c>
      <c r="O2054" s="11" t="s">
        <v>3892</v>
      </c>
      <c r="P2054" s="11" t="s">
        <v>4598</v>
      </c>
      <c r="Q2054" s="12">
        <v>152.14599999999999</v>
      </c>
      <c r="R2054" s="12">
        <v>157.226</v>
      </c>
      <c r="S2054" s="12">
        <v>2.54</v>
      </c>
      <c r="T2054" s="13">
        <v>5.31</v>
      </c>
      <c r="U2054" s="13">
        <f t="shared" si="131"/>
        <v>0.46999999999999975</v>
      </c>
      <c r="V2054" s="14">
        <v>650.47</v>
      </c>
      <c r="W2054" s="14">
        <v>650.47</v>
      </c>
      <c r="X2054" s="11">
        <v>10</v>
      </c>
      <c r="Y2054" s="15" t="s">
        <v>3737</v>
      </c>
      <c r="Z2054" s="16">
        <v>557.47</v>
      </c>
      <c r="AA2054" s="17">
        <v>599.4</v>
      </c>
      <c r="AB2054" s="18" t="s">
        <v>4022</v>
      </c>
    </row>
    <row r="2055" spans="1:28" x14ac:dyDescent="0.45">
      <c r="A2055" s="2" t="s">
        <v>2653</v>
      </c>
      <c r="B2055" s="2" t="s">
        <v>7145</v>
      </c>
      <c r="C2055" s="2" t="s">
        <v>2137</v>
      </c>
      <c r="D2055" s="2" t="s">
        <v>2138</v>
      </c>
      <c r="E2055" s="2" t="s">
        <v>2139</v>
      </c>
      <c r="F2055" s="3">
        <v>152</v>
      </c>
      <c r="G2055" s="3">
        <v>160</v>
      </c>
      <c r="H2055" s="2" t="s">
        <v>1216</v>
      </c>
      <c r="I2055" s="19">
        <v>288</v>
      </c>
      <c r="J2055" s="34">
        <f t="shared" si="128"/>
        <v>2.5055999999999998</v>
      </c>
      <c r="K2055" s="34">
        <f t="shared" si="129"/>
        <v>3.76</v>
      </c>
      <c r="L2055" s="34">
        <f t="shared" si="130"/>
        <v>15.04</v>
      </c>
      <c r="M2055" s="20" t="s">
        <v>5109</v>
      </c>
      <c r="N2055" s="20" t="s">
        <v>4597</v>
      </c>
      <c r="O2055" s="20" t="s">
        <v>3892</v>
      </c>
      <c r="P2055" s="20" t="s">
        <v>4598</v>
      </c>
      <c r="Q2055" s="21">
        <v>151.892</v>
      </c>
      <c r="R2055" s="21">
        <v>159.00399999999999</v>
      </c>
      <c r="S2055" s="21">
        <v>3.556</v>
      </c>
      <c r="T2055" s="22">
        <v>12.04</v>
      </c>
      <c r="U2055" s="13">
        <f t="shared" si="131"/>
        <v>-3</v>
      </c>
      <c r="V2055" s="23">
        <v>1474.9</v>
      </c>
      <c r="W2055" s="23">
        <v>1474.9</v>
      </c>
      <c r="X2055" s="20">
        <v>12</v>
      </c>
      <c r="Y2055" s="24" t="s">
        <v>3737</v>
      </c>
      <c r="Z2055" s="16">
        <v>1186.9000000000001</v>
      </c>
      <c r="AA2055" s="17">
        <v>412.1</v>
      </c>
      <c r="AB2055" s="25" t="s">
        <v>5111</v>
      </c>
    </row>
    <row r="2056" spans="1:28" x14ac:dyDescent="0.45">
      <c r="A2056" s="4" t="s">
        <v>2654</v>
      </c>
      <c r="B2056" s="4" t="s">
        <v>7146</v>
      </c>
      <c r="C2056" s="4" t="s">
        <v>2137</v>
      </c>
      <c r="D2056" s="4" t="s">
        <v>2138</v>
      </c>
      <c r="E2056" s="4" t="s">
        <v>2139</v>
      </c>
      <c r="F2056" s="5">
        <v>154.19999999999999</v>
      </c>
      <c r="G2056" s="5">
        <v>165.6</v>
      </c>
      <c r="H2056" s="4" t="s">
        <v>1297</v>
      </c>
      <c r="I2056" s="10">
        <v>702</v>
      </c>
      <c r="J2056" s="34">
        <f t="shared" si="128"/>
        <v>6.1073999999999993</v>
      </c>
      <c r="K2056" s="34">
        <f t="shared" si="129"/>
        <v>9.16</v>
      </c>
      <c r="L2056" s="34">
        <f t="shared" si="130"/>
        <v>36.64</v>
      </c>
      <c r="M2056" s="11" t="s">
        <v>5112</v>
      </c>
      <c r="N2056" s="11" t="s">
        <v>4597</v>
      </c>
      <c r="O2056" s="11" t="s">
        <v>3892</v>
      </c>
      <c r="P2056" s="11" t="s">
        <v>4598</v>
      </c>
      <c r="Q2056" s="12">
        <v>154.30000000000001</v>
      </c>
      <c r="R2056" s="12">
        <v>165.7</v>
      </c>
      <c r="S2056" s="12">
        <v>5.7</v>
      </c>
      <c r="T2056" s="13">
        <v>12.41</v>
      </c>
      <c r="U2056" s="13">
        <f t="shared" si="131"/>
        <v>-24.23</v>
      </c>
      <c r="V2056" s="14">
        <v>1520.22</v>
      </c>
      <c r="W2056" s="14">
        <v>1520.22</v>
      </c>
      <c r="X2056" s="11" t="s">
        <v>3722</v>
      </c>
      <c r="Y2056" s="15" t="s">
        <v>3713</v>
      </c>
      <c r="Z2056" s="16">
        <v>818.22</v>
      </c>
      <c r="AA2056" s="17">
        <v>116.6</v>
      </c>
      <c r="AB2056" s="18" t="s">
        <v>4119</v>
      </c>
    </row>
    <row r="2057" spans="1:28" x14ac:dyDescent="0.45">
      <c r="A2057" s="2" t="s">
        <v>2655</v>
      </c>
      <c r="B2057" s="2" t="s">
        <v>7147</v>
      </c>
      <c r="C2057" s="2" t="s">
        <v>2137</v>
      </c>
      <c r="D2057" s="2" t="s">
        <v>2138</v>
      </c>
      <c r="E2057" s="2" t="s">
        <v>2139</v>
      </c>
      <c r="F2057" s="3">
        <v>154.47999999999999</v>
      </c>
      <c r="G2057" s="3">
        <v>165.14</v>
      </c>
      <c r="H2057" s="2" t="s">
        <v>1201</v>
      </c>
      <c r="I2057" s="19">
        <v>352</v>
      </c>
      <c r="J2057" s="34">
        <f t="shared" si="128"/>
        <v>3.0623999999999998</v>
      </c>
      <c r="K2057" s="34">
        <f t="shared" si="129"/>
        <v>4.59</v>
      </c>
      <c r="L2057" s="34">
        <f t="shared" si="130"/>
        <v>18.36</v>
      </c>
      <c r="M2057" s="20" t="s">
        <v>5112</v>
      </c>
      <c r="N2057" s="20" t="s">
        <v>4597</v>
      </c>
      <c r="O2057" s="20" t="s">
        <v>3892</v>
      </c>
      <c r="P2057" s="20" t="s">
        <v>4598</v>
      </c>
      <c r="Q2057" s="21">
        <v>154.30000000000001</v>
      </c>
      <c r="R2057" s="21">
        <v>165.7</v>
      </c>
      <c r="S2057" s="21">
        <v>5.7</v>
      </c>
      <c r="T2057" s="22">
        <v>12.41</v>
      </c>
      <c r="U2057" s="13">
        <f t="shared" si="131"/>
        <v>-5.9499999999999993</v>
      </c>
      <c r="V2057" s="23">
        <v>1520.22</v>
      </c>
      <c r="W2057" s="23">
        <v>1520.22</v>
      </c>
      <c r="X2057" s="20" t="s">
        <v>3722</v>
      </c>
      <c r="Y2057" s="24" t="s">
        <v>3713</v>
      </c>
      <c r="Z2057" s="16">
        <v>1168.22</v>
      </c>
      <c r="AA2057" s="17">
        <v>331.9</v>
      </c>
      <c r="AB2057" s="25" t="s">
        <v>5113</v>
      </c>
    </row>
    <row r="2058" spans="1:28" x14ac:dyDescent="0.45">
      <c r="A2058" s="4" t="s">
        <v>2656</v>
      </c>
      <c r="B2058" s="4" t="s">
        <v>7148</v>
      </c>
      <c r="C2058" s="4" t="s">
        <v>2137</v>
      </c>
      <c r="D2058" s="4" t="s">
        <v>2138</v>
      </c>
      <c r="E2058" s="4" t="s">
        <v>2139</v>
      </c>
      <c r="F2058" s="5">
        <v>154.4</v>
      </c>
      <c r="G2058" s="5">
        <v>160.6</v>
      </c>
      <c r="H2058" s="4" t="s">
        <v>1221</v>
      </c>
      <c r="I2058" s="10">
        <v>177</v>
      </c>
      <c r="J2058" s="34">
        <f t="shared" si="128"/>
        <v>1.5398999999999998</v>
      </c>
      <c r="K2058" s="34">
        <f t="shared" si="129"/>
        <v>2.31</v>
      </c>
      <c r="L2058" s="34">
        <f t="shared" si="130"/>
        <v>9.24</v>
      </c>
      <c r="M2058" s="11" t="s">
        <v>5114</v>
      </c>
      <c r="N2058" s="11" t="s">
        <v>4597</v>
      </c>
      <c r="O2058" s="11" t="s">
        <v>3892</v>
      </c>
      <c r="P2058" s="11" t="s">
        <v>4598</v>
      </c>
      <c r="Q2058" s="12">
        <v>154.5</v>
      </c>
      <c r="R2058" s="12">
        <v>160.5</v>
      </c>
      <c r="S2058" s="12">
        <v>3</v>
      </c>
      <c r="T2058" s="13">
        <v>9.24</v>
      </c>
      <c r="U2058" s="13">
        <f t="shared" si="131"/>
        <v>0</v>
      </c>
      <c r="V2058" s="14">
        <v>1131.9000000000001</v>
      </c>
      <c r="W2058" s="14">
        <v>1131.9000000000001</v>
      </c>
      <c r="X2058" s="11">
        <v>6</v>
      </c>
      <c r="Y2058" s="15" t="s">
        <v>3713</v>
      </c>
      <c r="Z2058" s="16">
        <v>954.90000000000009</v>
      </c>
      <c r="AA2058" s="17">
        <v>539.5</v>
      </c>
      <c r="AB2058" s="18" t="s">
        <v>4119</v>
      </c>
    </row>
    <row r="2059" spans="1:28" x14ac:dyDescent="0.45">
      <c r="A2059" s="2" t="s">
        <v>2657</v>
      </c>
      <c r="B2059" s="2" t="s">
        <v>7149</v>
      </c>
      <c r="C2059" s="2" t="s">
        <v>2137</v>
      </c>
      <c r="D2059" s="2" t="s">
        <v>2138</v>
      </c>
      <c r="E2059" s="2" t="s">
        <v>2139</v>
      </c>
      <c r="F2059" s="3">
        <v>155.76</v>
      </c>
      <c r="G2059" s="3">
        <v>161</v>
      </c>
      <c r="H2059" s="2" t="s">
        <v>1127</v>
      </c>
      <c r="I2059" s="19">
        <v>96</v>
      </c>
      <c r="J2059" s="34">
        <f t="shared" si="128"/>
        <v>0.83519999999999994</v>
      </c>
      <c r="K2059" s="34">
        <f t="shared" si="129"/>
        <v>1.25</v>
      </c>
      <c r="L2059" s="34">
        <f t="shared" si="130"/>
        <v>5</v>
      </c>
      <c r="M2059" s="20" t="s">
        <v>5114</v>
      </c>
      <c r="N2059" s="20" t="s">
        <v>4597</v>
      </c>
      <c r="O2059" s="20" t="s">
        <v>3892</v>
      </c>
      <c r="P2059" s="20" t="s">
        <v>4598</v>
      </c>
      <c r="Q2059" s="21">
        <v>154.5</v>
      </c>
      <c r="R2059" s="21">
        <v>160.5</v>
      </c>
      <c r="S2059" s="21">
        <v>3</v>
      </c>
      <c r="T2059" s="22">
        <v>9.24</v>
      </c>
      <c r="U2059" s="13">
        <f t="shared" si="131"/>
        <v>4.24</v>
      </c>
      <c r="V2059" s="23">
        <v>1131.9000000000001</v>
      </c>
      <c r="W2059" s="23">
        <v>1131.9000000000001</v>
      </c>
      <c r="X2059" s="20">
        <v>6</v>
      </c>
      <c r="Y2059" s="24" t="s">
        <v>3713</v>
      </c>
      <c r="Z2059" s="16">
        <v>1035.9000000000001</v>
      </c>
      <c r="AA2059" s="17">
        <v>1079.0999999999999</v>
      </c>
      <c r="AB2059" s="25" t="s">
        <v>5115</v>
      </c>
    </row>
    <row r="2060" spans="1:28" x14ac:dyDescent="0.45">
      <c r="A2060" s="4" t="s">
        <v>2658</v>
      </c>
      <c r="B2060" s="4" t="s">
        <v>7150</v>
      </c>
      <c r="C2060" s="4" t="s">
        <v>2137</v>
      </c>
      <c r="D2060" s="4" t="s">
        <v>2138</v>
      </c>
      <c r="E2060" s="4" t="s">
        <v>2139</v>
      </c>
      <c r="F2060" s="5">
        <v>156</v>
      </c>
      <c r="G2060" s="5">
        <v>159.56</v>
      </c>
      <c r="H2060" s="4" t="s">
        <v>1114</v>
      </c>
      <c r="I2060" s="10">
        <v>72</v>
      </c>
      <c r="J2060" s="34">
        <f t="shared" si="128"/>
        <v>0.62639999999999996</v>
      </c>
      <c r="K2060" s="34">
        <f t="shared" si="129"/>
        <v>0.94</v>
      </c>
      <c r="L2060" s="34">
        <f t="shared" si="130"/>
        <v>3.76</v>
      </c>
      <c r="M2060" s="11" t="s">
        <v>5114</v>
      </c>
      <c r="N2060" s="11" t="s">
        <v>4597</v>
      </c>
      <c r="O2060" s="11" t="s">
        <v>3892</v>
      </c>
      <c r="P2060" s="11" t="s">
        <v>4598</v>
      </c>
      <c r="Q2060" s="12">
        <v>154.5</v>
      </c>
      <c r="R2060" s="12">
        <v>160.5</v>
      </c>
      <c r="S2060" s="12">
        <v>3</v>
      </c>
      <c r="T2060" s="13">
        <v>9.24</v>
      </c>
      <c r="U2060" s="13">
        <f t="shared" si="131"/>
        <v>5.48</v>
      </c>
      <c r="V2060" s="14">
        <v>1131.9000000000001</v>
      </c>
      <c r="W2060" s="14">
        <v>1131.9000000000001</v>
      </c>
      <c r="X2060" s="11">
        <v>6</v>
      </c>
      <c r="Y2060" s="15" t="s">
        <v>3713</v>
      </c>
      <c r="Z2060" s="16">
        <v>1059.9000000000001</v>
      </c>
      <c r="AA2060" s="17">
        <v>1472.1</v>
      </c>
      <c r="AB2060" s="18" t="s">
        <v>5116</v>
      </c>
    </row>
    <row r="2061" spans="1:28" x14ac:dyDescent="0.45">
      <c r="A2061" s="2" t="s">
        <v>2659</v>
      </c>
      <c r="B2061" s="2" t="s">
        <v>7151</v>
      </c>
      <c r="C2061" s="2" t="s">
        <v>2137</v>
      </c>
      <c r="D2061" s="2" t="s">
        <v>2138</v>
      </c>
      <c r="E2061" s="2" t="s">
        <v>2139</v>
      </c>
      <c r="F2061" s="3">
        <v>158.12</v>
      </c>
      <c r="G2061" s="3">
        <v>168.78</v>
      </c>
      <c r="H2061" s="2" t="s">
        <v>1201</v>
      </c>
      <c r="I2061" s="19">
        <v>360</v>
      </c>
      <c r="J2061" s="34">
        <f t="shared" si="128"/>
        <v>3.1319999999999997</v>
      </c>
      <c r="K2061" s="34">
        <f t="shared" si="129"/>
        <v>4.7</v>
      </c>
      <c r="L2061" s="34">
        <f t="shared" si="130"/>
        <v>18.8</v>
      </c>
      <c r="M2061" s="20" t="s">
        <v>5117</v>
      </c>
      <c r="N2061" s="20" t="s">
        <v>4597</v>
      </c>
      <c r="O2061" s="20" t="s">
        <v>3892</v>
      </c>
      <c r="P2061" s="20" t="s">
        <v>4598</v>
      </c>
      <c r="Q2061" s="21">
        <v>157.988</v>
      </c>
      <c r="R2061" s="21">
        <v>168.65600000000001</v>
      </c>
      <c r="S2061" s="21">
        <v>5.3339999999999996</v>
      </c>
      <c r="T2061" s="22">
        <v>10.52</v>
      </c>
      <c r="U2061" s="13">
        <f t="shared" si="131"/>
        <v>-8.2800000000000011</v>
      </c>
      <c r="V2061" s="23">
        <v>1288.7</v>
      </c>
      <c r="W2061" s="23">
        <v>1288.7</v>
      </c>
      <c r="X2061" s="20">
        <v>2</v>
      </c>
      <c r="Y2061" s="24" t="s">
        <v>3737</v>
      </c>
      <c r="Z2061" s="16">
        <v>928.7</v>
      </c>
      <c r="AA2061" s="17">
        <v>258</v>
      </c>
      <c r="AB2061" s="25" t="s">
        <v>4189</v>
      </c>
    </row>
    <row r="2062" spans="1:28" x14ac:dyDescent="0.45">
      <c r="A2062" s="4" t="s">
        <v>2660</v>
      </c>
      <c r="B2062" s="4" t="s">
        <v>7152</v>
      </c>
      <c r="C2062" s="4" t="s">
        <v>2137</v>
      </c>
      <c r="D2062" s="4" t="s">
        <v>2138</v>
      </c>
      <c r="E2062" s="4" t="s">
        <v>2139</v>
      </c>
      <c r="F2062" s="5">
        <v>158.12</v>
      </c>
      <c r="G2062" s="5">
        <v>172.1</v>
      </c>
      <c r="H2062" s="4" t="s">
        <v>1368</v>
      </c>
      <c r="I2062" s="10">
        <v>719</v>
      </c>
      <c r="J2062" s="34">
        <f t="shared" si="128"/>
        <v>6.2552999999999992</v>
      </c>
      <c r="K2062" s="34">
        <f t="shared" si="129"/>
        <v>9.3800000000000008</v>
      </c>
      <c r="L2062" s="34">
        <f t="shared" si="130"/>
        <v>37.520000000000003</v>
      </c>
      <c r="M2062" s="11" t="s">
        <v>5118</v>
      </c>
      <c r="N2062" s="11" t="s">
        <v>4597</v>
      </c>
      <c r="O2062" s="11" t="s">
        <v>3892</v>
      </c>
      <c r="P2062" s="11" t="s">
        <v>4598</v>
      </c>
      <c r="Q2062" s="12">
        <v>157.988</v>
      </c>
      <c r="R2062" s="12">
        <v>172.21199999999999</v>
      </c>
      <c r="S2062" s="12">
        <v>7.1120000000000001</v>
      </c>
      <c r="T2062" s="13">
        <v>15.55</v>
      </c>
      <c r="U2062" s="13">
        <f t="shared" si="131"/>
        <v>-21.970000000000002</v>
      </c>
      <c r="V2062" s="14">
        <v>1904.88</v>
      </c>
      <c r="W2062" s="14">
        <v>1904.88</v>
      </c>
      <c r="X2062" s="11">
        <v>5</v>
      </c>
      <c r="Y2062" s="15" t="s">
        <v>3737</v>
      </c>
      <c r="Z2062" s="16">
        <v>1185.8800000000001</v>
      </c>
      <c r="AA2062" s="17">
        <v>164.9</v>
      </c>
      <c r="AB2062" s="18" t="s">
        <v>4199</v>
      </c>
    </row>
    <row r="2063" spans="1:28" x14ac:dyDescent="0.45">
      <c r="A2063" s="2" t="s">
        <v>2661</v>
      </c>
      <c r="B2063" s="2" t="s">
        <v>7153</v>
      </c>
      <c r="C2063" s="2" t="s">
        <v>2137</v>
      </c>
      <c r="D2063" s="2" t="s">
        <v>2138</v>
      </c>
      <c r="E2063" s="2" t="s">
        <v>2139</v>
      </c>
      <c r="F2063" s="3">
        <v>158.34</v>
      </c>
      <c r="G2063" s="3">
        <v>165.4</v>
      </c>
      <c r="H2063" s="2" t="s">
        <v>1156</v>
      </c>
      <c r="I2063" s="19">
        <v>180</v>
      </c>
      <c r="J2063" s="34">
        <f t="shared" si="128"/>
        <v>1.5659999999999998</v>
      </c>
      <c r="K2063" s="34">
        <f t="shared" si="129"/>
        <v>2.35</v>
      </c>
      <c r="L2063" s="34">
        <f t="shared" si="130"/>
        <v>9.4</v>
      </c>
      <c r="M2063" s="20" t="s">
        <v>5119</v>
      </c>
      <c r="N2063" s="20" t="s">
        <v>4597</v>
      </c>
      <c r="O2063" s="20" t="s">
        <v>3892</v>
      </c>
      <c r="P2063" s="20" t="s">
        <v>4598</v>
      </c>
      <c r="Q2063" s="21">
        <v>158.24199999999999</v>
      </c>
      <c r="R2063" s="21">
        <v>165.35400000000001</v>
      </c>
      <c r="S2063" s="21">
        <v>3.556</v>
      </c>
      <c r="T2063" s="22">
        <v>9.9499999999999993</v>
      </c>
      <c r="U2063" s="13">
        <f t="shared" si="131"/>
        <v>0.54999999999999893</v>
      </c>
      <c r="V2063" s="23">
        <v>1218.8800000000001</v>
      </c>
      <c r="W2063" s="23">
        <v>1218.8800000000001</v>
      </c>
      <c r="X2063" s="20">
        <v>5</v>
      </c>
      <c r="Y2063" s="24" t="s">
        <v>3737</v>
      </c>
      <c r="Z2063" s="16">
        <v>1038.8800000000001</v>
      </c>
      <c r="AA2063" s="17">
        <v>577.20000000000005</v>
      </c>
      <c r="AB2063" s="25" t="s">
        <v>3963</v>
      </c>
    </row>
    <row r="2064" spans="1:28" x14ac:dyDescent="0.45">
      <c r="A2064" s="4" t="s">
        <v>2662</v>
      </c>
      <c r="B2064" s="4" t="s">
        <v>7154</v>
      </c>
      <c r="C2064" s="4" t="s">
        <v>2137</v>
      </c>
      <c r="D2064" s="4" t="s">
        <v>2138</v>
      </c>
      <c r="E2064" s="4" t="s">
        <v>2139</v>
      </c>
      <c r="F2064" s="5">
        <v>159.19999999999999</v>
      </c>
      <c r="G2064" s="5">
        <v>170.6</v>
      </c>
      <c r="H2064" s="4" t="s">
        <v>1297</v>
      </c>
      <c r="I2064" s="10">
        <v>724</v>
      </c>
      <c r="J2064" s="34">
        <f t="shared" si="128"/>
        <v>6.2988</v>
      </c>
      <c r="K2064" s="34">
        <f t="shared" si="129"/>
        <v>9.4499999999999993</v>
      </c>
      <c r="L2064" s="34">
        <f t="shared" si="130"/>
        <v>37.799999999999997</v>
      </c>
      <c r="M2064" s="11" t="s">
        <v>5120</v>
      </c>
      <c r="N2064" s="11" t="s">
        <v>4597</v>
      </c>
      <c r="O2064" s="11" t="s">
        <v>3892</v>
      </c>
      <c r="P2064" s="11" t="s">
        <v>4598</v>
      </c>
      <c r="Q2064" s="12">
        <v>159.30000000000001</v>
      </c>
      <c r="R2064" s="12">
        <v>170.7</v>
      </c>
      <c r="S2064" s="12">
        <v>5.7</v>
      </c>
      <c r="T2064" s="13">
        <v>21.5</v>
      </c>
      <c r="U2064" s="13">
        <f t="shared" si="131"/>
        <v>-16.299999999999997</v>
      </c>
      <c r="V2064" s="14">
        <v>2633.75</v>
      </c>
      <c r="W2064" s="14">
        <v>2633.75</v>
      </c>
      <c r="X2064" s="11" t="s">
        <v>3722</v>
      </c>
      <c r="Y2064" s="15" t="s">
        <v>3713</v>
      </c>
      <c r="Z2064" s="16">
        <v>1909.75</v>
      </c>
      <c r="AA2064" s="17">
        <v>263.8</v>
      </c>
      <c r="AB2064" s="18" t="s">
        <v>4119</v>
      </c>
    </row>
    <row r="2065" spans="1:28" x14ac:dyDescent="0.45">
      <c r="A2065" s="2" t="s">
        <v>2663</v>
      </c>
      <c r="B2065" s="2" t="s">
        <v>7155</v>
      </c>
      <c r="C2065" s="2" t="s">
        <v>2137</v>
      </c>
      <c r="D2065" s="2" t="s">
        <v>2138</v>
      </c>
      <c r="E2065" s="2" t="s">
        <v>2139</v>
      </c>
      <c r="F2065" s="3">
        <v>159.4</v>
      </c>
      <c r="G2065" s="3">
        <v>165.6</v>
      </c>
      <c r="H2065" s="2" t="s">
        <v>1221</v>
      </c>
      <c r="I2065" s="19">
        <v>182</v>
      </c>
      <c r="J2065" s="34">
        <f t="shared" si="128"/>
        <v>1.5833999999999999</v>
      </c>
      <c r="K2065" s="34">
        <f t="shared" si="129"/>
        <v>2.38</v>
      </c>
      <c r="L2065" s="34">
        <f t="shared" si="130"/>
        <v>9.52</v>
      </c>
      <c r="M2065" s="20" t="s">
        <v>5121</v>
      </c>
      <c r="N2065" s="20" t="s">
        <v>4597</v>
      </c>
      <c r="O2065" s="20" t="s">
        <v>3892</v>
      </c>
      <c r="P2065" s="20" t="s">
        <v>4598</v>
      </c>
      <c r="Q2065" s="21">
        <v>159.5</v>
      </c>
      <c r="R2065" s="21">
        <v>165.5</v>
      </c>
      <c r="S2065" s="21">
        <v>3</v>
      </c>
      <c r="T2065" s="22">
        <v>8.1999999999999993</v>
      </c>
      <c r="U2065" s="13">
        <f t="shared" si="131"/>
        <v>-1.3200000000000003</v>
      </c>
      <c r="V2065" s="23">
        <v>1004.5</v>
      </c>
      <c r="W2065" s="23">
        <v>1004.5</v>
      </c>
      <c r="X2065" s="20" t="s">
        <v>3722</v>
      </c>
      <c r="Y2065" s="24" t="s">
        <v>3713</v>
      </c>
      <c r="Z2065" s="16">
        <v>822.5</v>
      </c>
      <c r="AA2065" s="17">
        <v>451.9</v>
      </c>
      <c r="AB2065" s="25" t="s">
        <v>4119</v>
      </c>
    </row>
    <row r="2066" spans="1:28" x14ac:dyDescent="0.45">
      <c r="A2066" s="4" t="s">
        <v>2664</v>
      </c>
      <c r="B2066" s="4" t="s">
        <v>7156</v>
      </c>
      <c r="C2066" s="4" t="s">
        <v>2137</v>
      </c>
      <c r="D2066" s="4" t="s">
        <v>2138</v>
      </c>
      <c r="E2066" s="4" t="s">
        <v>2139</v>
      </c>
      <c r="F2066" s="5">
        <v>160</v>
      </c>
      <c r="G2066" s="5">
        <v>170</v>
      </c>
      <c r="H2066" s="4" t="s">
        <v>1245</v>
      </c>
      <c r="I2066" s="10">
        <v>364</v>
      </c>
      <c r="J2066" s="34">
        <f t="shared" si="128"/>
        <v>3.1667999999999998</v>
      </c>
      <c r="K2066" s="34">
        <f t="shared" si="129"/>
        <v>4.75</v>
      </c>
      <c r="L2066" s="34">
        <f t="shared" si="130"/>
        <v>19</v>
      </c>
      <c r="M2066" s="11" t="s">
        <v>5120</v>
      </c>
      <c r="N2066" s="11" t="s">
        <v>4597</v>
      </c>
      <c r="O2066" s="11" t="s">
        <v>3892</v>
      </c>
      <c r="P2066" s="11" t="s">
        <v>4598</v>
      </c>
      <c r="Q2066" s="12">
        <v>159.30000000000001</v>
      </c>
      <c r="R2066" s="12">
        <v>170.7</v>
      </c>
      <c r="S2066" s="12">
        <v>5.7</v>
      </c>
      <c r="T2066" s="13">
        <v>21.5</v>
      </c>
      <c r="U2066" s="13">
        <f t="shared" si="131"/>
        <v>2.5</v>
      </c>
      <c r="V2066" s="14">
        <v>2633.75</v>
      </c>
      <c r="W2066" s="14">
        <v>2633.75</v>
      </c>
      <c r="X2066" s="11" t="s">
        <v>3722</v>
      </c>
      <c r="Y2066" s="15" t="s">
        <v>3713</v>
      </c>
      <c r="Z2066" s="16">
        <v>2269.75</v>
      </c>
      <c r="AA2066" s="17">
        <v>623.6</v>
      </c>
      <c r="AB2066" s="18" t="s">
        <v>4899</v>
      </c>
    </row>
    <row r="2067" spans="1:28" x14ac:dyDescent="0.45">
      <c r="A2067" s="2" t="s">
        <v>2665</v>
      </c>
      <c r="B2067" s="2" t="s">
        <v>7157</v>
      </c>
      <c r="C2067" s="2" t="s">
        <v>2137</v>
      </c>
      <c r="D2067" s="2" t="s">
        <v>2138</v>
      </c>
      <c r="E2067" s="2" t="s">
        <v>2139</v>
      </c>
      <c r="F2067" s="3">
        <v>164.2</v>
      </c>
      <c r="G2067" s="3">
        <v>175.6</v>
      </c>
      <c r="H2067" s="2" t="s">
        <v>1297</v>
      </c>
      <c r="I2067" s="19">
        <v>747</v>
      </c>
      <c r="J2067" s="34">
        <f t="shared" si="128"/>
        <v>6.4988999999999999</v>
      </c>
      <c r="K2067" s="34">
        <f t="shared" si="129"/>
        <v>9.75</v>
      </c>
      <c r="L2067" s="34">
        <f t="shared" si="130"/>
        <v>39</v>
      </c>
      <c r="M2067" s="20" t="s">
        <v>5122</v>
      </c>
      <c r="N2067" s="20" t="s">
        <v>4597</v>
      </c>
      <c r="O2067" s="20" t="s">
        <v>3892</v>
      </c>
      <c r="P2067" s="20" t="s">
        <v>4598</v>
      </c>
      <c r="Q2067" s="21">
        <v>164.3</v>
      </c>
      <c r="R2067" s="21">
        <v>175.7</v>
      </c>
      <c r="S2067" s="21">
        <v>5.7</v>
      </c>
      <c r="T2067" s="22">
        <v>16.68</v>
      </c>
      <c r="U2067" s="13">
        <f t="shared" si="131"/>
        <v>-22.32</v>
      </c>
      <c r="V2067" s="23">
        <v>2043.3</v>
      </c>
      <c r="W2067" s="23">
        <v>2043.3</v>
      </c>
      <c r="X2067" s="20" t="s">
        <v>3722</v>
      </c>
      <c r="Y2067" s="24" t="s">
        <v>3713</v>
      </c>
      <c r="Z2067" s="16">
        <v>1296.3</v>
      </c>
      <c r="AA2067" s="17">
        <v>173.5</v>
      </c>
      <c r="AB2067" s="25" t="s">
        <v>4119</v>
      </c>
    </row>
    <row r="2068" spans="1:28" x14ac:dyDescent="0.45">
      <c r="A2068" s="4" t="s">
        <v>2666</v>
      </c>
      <c r="B2068" s="4" t="s">
        <v>7158</v>
      </c>
      <c r="C2068" s="4" t="s">
        <v>2137</v>
      </c>
      <c r="D2068" s="4" t="s">
        <v>2138</v>
      </c>
      <c r="E2068" s="4" t="s">
        <v>2139</v>
      </c>
      <c r="F2068" s="5">
        <v>164.41</v>
      </c>
      <c r="G2068" s="5">
        <v>178.39</v>
      </c>
      <c r="H2068" s="4" t="s">
        <v>1368</v>
      </c>
      <c r="I2068" s="10">
        <v>747</v>
      </c>
      <c r="J2068" s="34">
        <f t="shared" si="128"/>
        <v>6.4988999999999999</v>
      </c>
      <c r="K2068" s="34">
        <f t="shared" si="129"/>
        <v>9.75</v>
      </c>
      <c r="L2068" s="34">
        <f t="shared" si="130"/>
        <v>39</v>
      </c>
      <c r="M2068" s="11" t="s">
        <v>5123</v>
      </c>
      <c r="N2068" s="11" t="s">
        <v>4597</v>
      </c>
      <c r="O2068" s="11" t="s">
        <v>3892</v>
      </c>
      <c r="P2068" s="11" t="s">
        <v>4598</v>
      </c>
      <c r="Q2068" s="12">
        <v>164.33799999999999</v>
      </c>
      <c r="R2068" s="12">
        <v>178.56200000000001</v>
      </c>
      <c r="S2068" s="12">
        <v>7.1120000000000001</v>
      </c>
      <c r="T2068" s="13">
        <v>15.62</v>
      </c>
      <c r="U2068" s="13">
        <f t="shared" si="131"/>
        <v>-23.380000000000003</v>
      </c>
      <c r="V2068" s="14">
        <v>1913.45</v>
      </c>
      <c r="W2068" s="14">
        <v>1913.45</v>
      </c>
      <c r="X2068" s="11">
        <v>8</v>
      </c>
      <c r="Y2068" s="15" t="s">
        <v>3737</v>
      </c>
      <c r="Z2068" s="16">
        <v>1166.45</v>
      </c>
      <c r="AA2068" s="17">
        <v>156.19999999999999</v>
      </c>
      <c r="AB2068" s="18" t="s">
        <v>5124</v>
      </c>
    </row>
    <row r="2069" spans="1:28" x14ac:dyDescent="0.45">
      <c r="A2069" s="2" t="s">
        <v>2667</v>
      </c>
      <c r="B2069" s="2" t="s">
        <v>7159</v>
      </c>
      <c r="C2069" s="2" t="s">
        <v>2137</v>
      </c>
      <c r="D2069" s="2" t="s">
        <v>2138</v>
      </c>
      <c r="E2069" s="2" t="s">
        <v>2139</v>
      </c>
      <c r="F2069" s="3">
        <v>164.47</v>
      </c>
      <c r="G2069" s="3">
        <v>175.13</v>
      </c>
      <c r="H2069" s="2" t="s">
        <v>1201</v>
      </c>
      <c r="I2069" s="19">
        <v>375</v>
      </c>
      <c r="J2069" s="34">
        <f t="shared" si="128"/>
        <v>3.2624999999999997</v>
      </c>
      <c r="K2069" s="34">
        <f t="shared" si="129"/>
        <v>4.8899999999999997</v>
      </c>
      <c r="L2069" s="34">
        <f t="shared" si="130"/>
        <v>19.559999999999999</v>
      </c>
      <c r="M2069" s="20" t="s">
        <v>5125</v>
      </c>
      <c r="N2069" s="20" t="s">
        <v>4597</v>
      </c>
      <c r="O2069" s="20" t="s">
        <v>3892</v>
      </c>
      <c r="P2069" s="20" t="s">
        <v>4598</v>
      </c>
      <c r="Q2069" s="21">
        <v>164.33799999999999</v>
      </c>
      <c r="R2069" s="21">
        <v>175.006</v>
      </c>
      <c r="S2069" s="21">
        <v>5.3339999999999996</v>
      </c>
      <c r="T2069" s="22">
        <v>7.08</v>
      </c>
      <c r="U2069" s="13">
        <f t="shared" si="131"/>
        <v>-12.479999999999999</v>
      </c>
      <c r="V2069" s="23">
        <v>867.3</v>
      </c>
      <c r="W2069" s="23">
        <v>867.3</v>
      </c>
      <c r="X2069" s="20">
        <v>10</v>
      </c>
      <c r="Y2069" s="24" t="s">
        <v>3737</v>
      </c>
      <c r="Z2069" s="16">
        <v>492.3</v>
      </c>
      <c r="AA2069" s="17">
        <v>131.30000000000001</v>
      </c>
      <c r="AB2069" s="25" t="s">
        <v>4189</v>
      </c>
    </row>
    <row r="2070" spans="1:28" x14ac:dyDescent="0.45">
      <c r="A2070" s="4" t="s">
        <v>2668</v>
      </c>
      <c r="B2070" s="4" t="s">
        <v>7160</v>
      </c>
      <c r="C2070" s="4" t="s">
        <v>2137</v>
      </c>
      <c r="D2070" s="4" t="s">
        <v>2138</v>
      </c>
      <c r="E2070" s="4" t="s">
        <v>2139</v>
      </c>
      <c r="F2070" s="5">
        <v>164.69</v>
      </c>
      <c r="G2070" s="5">
        <v>171.75</v>
      </c>
      <c r="H2070" s="4" t="s">
        <v>1156</v>
      </c>
      <c r="I2070" s="10">
        <v>188</v>
      </c>
      <c r="J2070" s="34">
        <f t="shared" si="128"/>
        <v>1.6355999999999999</v>
      </c>
      <c r="K2070" s="34">
        <f t="shared" si="129"/>
        <v>2.4500000000000002</v>
      </c>
      <c r="L2070" s="34">
        <f t="shared" si="130"/>
        <v>9.8000000000000007</v>
      </c>
      <c r="M2070" s="11" t="s">
        <v>5126</v>
      </c>
      <c r="N2070" s="11" t="s">
        <v>4597</v>
      </c>
      <c r="O2070" s="11" t="s">
        <v>3892</v>
      </c>
      <c r="P2070" s="11" t="s">
        <v>4598</v>
      </c>
      <c r="Q2070" s="12">
        <v>164.59200000000001</v>
      </c>
      <c r="R2070" s="12">
        <v>171.70400000000001</v>
      </c>
      <c r="S2070" s="12">
        <v>3.556</v>
      </c>
      <c r="T2070" s="13">
        <v>6.74</v>
      </c>
      <c r="U2070" s="13">
        <f t="shared" si="131"/>
        <v>-3.0600000000000005</v>
      </c>
      <c r="V2070" s="14">
        <v>825.65</v>
      </c>
      <c r="W2070" s="14">
        <v>825.65</v>
      </c>
      <c r="X2070" s="11">
        <v>7</v>
      </c>
      <c r="Y2070" s="15" t="s">
        <v>3737</v>
      </c>
      <c r="Z2070" s="16">
        <v>637.65</v>
      </c>
      <c r="AA2070" s="17">
        <v>339.2</v>
      </c>
      <c r="AB2070" s="18" t="s">
        <v>3963</v>
      </c>
    </row>
    <row r="2071" spans="1:28" x14ac:dyDescent="0.45">
      <c r="A2071" s="2" t="s">
        <v>2669</v>
      </c>
      <c r="B2071" s="2" t="s">
        <v>7161</v>
      </c>
      <c r="C2071" s="2" t="s">
        <v>2137</v>
      </c>
      <c r="D2071" s="2" t="s">
        <v>2138</v>
      </c>
      <c r="E2071" s="2" t="s">
        <v>2139</v>
      </c>
      <c r="F2071" s="3">
        <v>169.2</v>
      </c>
      <c r="G2071" s="3">
        <v>180.6</v>
      </c>
      <c r="H2071" s="2" t="s">
        <v>1297</v>
      </c>
      <c r="I2071" s="19">
        <v>769</v>
      </c>
      <c r="J2071" s="34">
        <f t="shared" si="128"/>
        <v>6.6902999999999997</v>
      </c>
      <c r="K2071" s="34">
        <f t="shared" si="129"/>
        <v>10.039999999999999</v>
      </c>
      <c r="L2071" s="34">
        <f t="shared" si="130"/>
        <v>40.159999999999997</v>
      </c>
      <c r="M2071" s="20" t="s">
        <v>5127</v>
      </c>
      <c r="N2071" s="20" t="s">
        <v>4597</v>
      </c>
      <c r="O2071" s="20" t="s">
        <v>3892</v>
      </c>
      <c r="P2071" s="20" t="s">
        <v>4598</v>
      </c>
      <c r="Q2071" s="21">
        <v>169.3</v>
      </c>
      <c r="R2071" s="21">
        <v>180.7</v>
      </c>
      <c r="S2071" s="21">
        <v>5.7</v>
      </c>
      <c r="T2071" s="22">
        <v>23.39</v>
      </c>
      <c r="U2071" s="13">
        <f t="shared" si="131"/>
        <v>-16.769999999999996</v>
      </c>
      <c r="V2071" s="23">
        <v>2865.28</v>
      </c>
      <c r="W2071" s="23">
        <v>2865.28</v>
      </c>
      <c r="X2071" s="20">
        <v>119</v>
      </c>
      <c r="Y2071" s="24" t="s">
        <v>3713</v>
      </c>
      <c r="Z2071" s="16">
        <v>2096.2800000000002</v>
      </c>
      <c r="AA2071" s="17">
        <v>272.60000000000002</v>
      </c>
      <c r="AB2071" s="25" t="s">
        <v>4119</v>
      </c>
    </row>
    <row r="2072" spans="1:28" x14ac:dyDescent="0.45">
      <c r="A2072" s="4" t="s">
        <v>2670</v>
      </c>
      <c r="B2072" s="4" t="s">
        <v>7162</v>
      </c>
      <c r="C2072" s="4" t="s">
        <v>2137</v>
      </c>
      <c r="D2072" s="4" t="s">
        <v>2138</v>
      </c>
      <c r="E2072" s="4" t="s">
        <v>2139</v>
      </c>
      <c r="F2072" s="5">
        <v>169.4</v>
      </c>
      <c r="G2072" s="5">
        <v>175.6</v>
      </c>
      <c r="H2072" s="4" t="s">
        <v>1221</v>
      </c>
      <c r="I2072" s="10">
        <v>194</v>
      </c>
      <c r="J2072" s="34">
        <f t="shared" si="128"/>
        <v>1.6878</v>
      </c>
      <c r="K2072" s="34">
        <f t="shared" si="129"/>
        <v>2.5299999999999998</v>
      </c>
      <c r="L2072" s="34">
        <f t="shared" si="130"/>
        <v>10.119999999999999</v>
      </c>
      <c r="M2072" s="11" t="s">
        <v>5128</v>
      </c>
      <c r="N2072" s="11" t="s">
        <v>4597</v>
      </c>
      <c r="O2072" s="11" t="s">
        <v>3892</v>
      </c>
      <c r="P2072" s="11" t="s">
        <v>4598</v>
      </c>
      <c r="Q2072" s="12">
        <v>171.196</v>
      </c>
      <c r="R2072" s="12">
        <v>176.27600000000001</v>
      </c>
      <c r="S2072" s="12">
        <v>2.54</v>
      </c>
      <c r="T2072" s="13">
        <v>11.63</v>
      </c>
      <c r="U2072" s="13">
        <f t="shared" si="131"/>
        <v>1.5100000000000016</v>
      </c>
      <c r="V2072" s="14">
        <v>1424.68</v>
      </c>
      <c r="W2072" s="14">
        <v>1424.68</v>
      </c>
      <c r="X2072" s="11">
        <v>104</v>
      </c>
      <c r="Y2072" s="15" t="s">
        <v>3737</v>
      </c>
      <c r="Z2072" s="16">
        <v>1230.68</v>
      </c>
      <c r="AA2072" s="17">
        <v>634.4</v>
      </c>
      <c r="AB2072" s="18" t="s">
        <v>5129</v>
      </c>
    </row>
    <row r="2073" spans="1:28" x14ac:dyDescent="0.45">
      <c r="A2073" s="2" t="s">
        <v>2671</v>
      </c>
      <c r="B2073" s="2" t="s">
        <v>7163</v>
      </c>
      <c r="C2073" s="2" t="s">
        <v>2137</v>
      </c>
      <c r="D2073" s="2" t="s">
        <v>2138</v>
      </c>
      <c r="E2073" s="2" t="s">
        <v>2139</v>
      </c>
      <c r="F2073" s="3">
        <v>170.82</v>
      </c>
      <c r="G2073" s="3">
        <v>181.48</v>
      </c>
      <c r="H2073" s="2" t="s">
        <v>1201</v>
      </c>
      <c r="I2073" s="19">
        <v>389</v>
      </c>
      <c r="J2073" s="34">
        <f t="shared" si="128"/>
        <v>3.3842999999999996</v>
      </c>
      <c r="K2073" s="34">
        <f t="shared" si="129"/>
        <v>5.08</v>
      </c>
      <c r="L2073" s="34">
        <f t="shared" si="130"/>
        <v>20.32</v>
      </c>
      <c r="M2073" s="20" t="s">
        <v>5130</v>
      </c>
      <c r="N2073" s="20" t="s">
        <v>4597</v>
      </c>
      <c r="O2073" s="20" t="s">
        <v>3892</v>
      </c>
      <c r="P2073" s="20" t="s">
        <v>4598</v>
      </c>
      <c r="Q2073" s="21">
        <v>170.68799999999999</v>
      </c>
      <c r="R2073" s="21">
        <v>181.35599999999999</v>
      </c>
      <c r="S2073" s="21">
        <v>5.3339999999999996</v>
      </c>
      <c r="T2073" s="22">
        <v>6.39</v>
      </c>
      <c r="U2073" s="13">
        <f t="shared" si="131"/>
        <v>-13.93</v>
      </c>
      <c r="V2073" s="23">
        <v>782.78</v>
      </c>
      <c r="W2073" s="23">
        <v>782.78</v>
      </c>
      <c r="X2073" s="20" t="s">
        <v>3722</v>
      </c>
      <c r="Y2073" s="24" t="s">
        <v>3737</v>
      </c>
      <c r="Z2073" s="16">
        <v>393.78</v>
      </c>
      <c r="AA2073" s="17">
        <v>101.2</v>
      </c>
      <c r="AB2073" s="25" t="s">
        <v>4189</v>
      </c>
    </row>
    <row r="2074" spans="1:28" x14ac:dyDescent="0.45">
      <c r="A2074" s="4" t="s">
        <v>2672</v>
      </c>
      <c r="B2074" s="4" t="s">
        <v>7164</v>
      </c>
      <c r="C2074" s="4" t="s">
        <v>2137</v>
      </c>
      <c r="D2074" s="4" t="s">
        <v>2138</v>
      </c>
      <c r="E2074" s="4" t="s">
        <v>2139</v>
      </c>
      <c r="F2074" s="5">
        <v>170.82</v>
      </c>
      <c r="G2074" s="5">
        <v>184.8</v>
      </c>
      <c r="H2074" s="4" t="s">
        <v>1368</v>
      </c>
      <c r="I2074" s="10">
        <v>778</v>
      </c>
      <c r="J2074" s="34">
        <f t="shared" si="128"/>
        <v>6.7685999999999993</v>
      </c>
      <c r="K2074" s="34">
        <f t="shared" si="129"/>
        <v>10.15</v>
      </c>
      <c r="L2074" s="34">
        <f t="shared" si="130"/>
        <v>40.6</v>
      </c>
      <c r="M2074" s="11" t="s">
        <v>5131</v>
      </c>
      <c r="N2074" s="11" t="s">
        <v>4597</v>
      </c>
      <c r="O2074" s="11" t="s">
        <v>3892</v>
      </c>
      <c r="P2074" s="11" t="s">
        <v>4598</v>
      </c>
      <c r="Q2074" s="12">
        <v>170.68799999999999</v>
      </c>
      <c r="R2074" s="12">
        <v>184.91200000000001</v>
      </c>
      <c r="S2074" s="12">
        <v>7.1120000000000001</v>
      </c>
      <c r="T2074" s="13">
        <v>1.96</v>
      </c>
      <c r="U2074" s="13">
        <f t="shared" si="131"/>
        <v>-38.64</v>
      </c>
      <c r="V2074" s="14">
        <v>240.1</v>
      </c>
      <c r="W2074" s="14">
        <v>240.1</v>
      </c>
      <c r="X2074" s="11" t="s">
        <v>3722</v>
      </c>
      <c r="Y2074" s="15" t="s">
        <v>3737</v>
      </c>
      <c r="Z2074" s="26">
        <v>-537.9</v>
      </c>
      <c r="AA2074" s="27">
        <v>-69.099999999999994</v>
      </c>
      <c r="AB2074" s="18" t="s">
        <v>4199</v>
      </c>
    </row>
    <row r="2075" spans="1:28" x14ac:dyDescent="0.45">
      <c r="A2075" s="2" t="s">
        <v>2673</v>
      </c>
      <c r="B2075" s="2" t="s">
        <v>7165</v>
      </c>
      <c r="C2075" s="2" t="s">
        <v>2137</v>
      </c>
      <c r="D2075" s="2" t="s">
        <v>2138</v>
      </c>
      <c r="E2075" s="2" t="s">
        <v>2139</v>
      </c>
      <c r="F2075" s="3">
        <v>170</v>
      </c>
      <c r="G2075" s="3">
        <v>180</v>
      </c>
      <c r="H2075" s="2" t="s">
        <v>1245</v>
      </c>
      <c r="I2075" s="19">
        <v>387</v>
      </c>
      <c r="J2075" s="34">
        <f t="shared" si="128"/>
        <v>3.3668999999999998</v>
      </c>
      <c r="K2075" s="34">
        <f t="shared" si="129"/>
        <v>5.05</v>
      </c>
      <c r="L2075" s="34">
        <f t="shared" si="130"/>
        <v>20.2</v>
      </c>
      <c r="M2075" s="20" t="s">
        <v>5132</v>
      </c>
      <c r="N2075" s="20" t="s">
        <v>4597</v>
      </c>
      <c r="O2075" s="20" t="s">
        <v>3892</v>
      </c>
      <c r="P2075" s="20" t="s">
        <v>4598</v>
      </c>
      <c r="Q2075" s="21">
        <v>170</v>
      </c>
      <c r="R2075" s="21">
        <v>180</v>
      </c>
      <c r="S2075" s="21">
        <v>5</v>
      </c>
      <c r="T2075" s="22">
        <v>17.27</v>
      </c>
      <c r="U2075" s="13">
        <f t="shared" si="131"/>
        <v>-2.9299999999999997</v>
      </c>
      <c r="V2075" s="23">
        <v>2115.5700000000002</v>
      </c>
      <c r="W2075" s="23">
        <v>2115.5700000000002</v>
      </c>
      <c r="X2075" s="20">
        <v>3</v>
      </c>
      <c r="Y2075" s="24" t="s">
        <v>3713</v>
      </c>
      <c r="Z2075" s="16">
        <v>1728.57</v>
      </c>
      <c r="AA2075" s="17">
        <v>446.7</v>
      </c>
      <c r="AB2075" s="25" t="s">
        <v>3714</v>
      </c>
    </row>
    <row r="2076" spans="1:28" x14ac:dyDescent="0.45">
      <c r="A2076" s="4" t="s">
        <v>2674</v>
      </c>
      <c r="B2076" s="4" t="s">
        <v>7166</v>
      </c>
      <c r="C2076" s="4" t="s">
        <v>2137</v>
      </c>
      <c r="D2076" s="4" t="s">
        <v>2138</v>
      </c>
      <c r="E2076" s="4" t="s">
        <v>2139</v>
      </c>
      <c r="F2076" s="5">
        <v>171.04</v>
      </c>
      <c r="G2076" s="5">
        <v>178.1</v>
      </c>
      <c r="H2076" s="4" t="s">
        <v>1156</v>
      </c>
      <c r="I2076" s="10">
        <v>195</v>
      </c>
      <c r="J2076" s="34">
        <f t="shared" si="128"/>
        <v>1.6964999999999999</v>
      </c>
      <c r="K2076" s="34">
        <f t="shared" si="129"/>
        <v>2.54</v>
      </c>
      <c r="L2076" s="34">
        <f t="shared" si="130"/>
        <v>10.16</v>
      </c>
      <c r="M2076" s="11" t="s">
        <v>5133</v>
      </c>
      <c r="N2076" s="11" t="s">
        <v>4597</v>
      </c>
      <c r="O2076" s="11" t="s">
        <v>3892</v>
      </c>
      <c r="P2076" s="11" t="s">
        <v>4598</v>
      </c>
      <c r="Q2076" s="12">
        <v>170.94200000000001</v>
      </c>
      <c r="R2076" s="12">
        <v>178.054</v>
      </c>
      <c r="S2076" s="12">
        <v>3.556</v>
      </c>
      <c r="T2076" s="13">
        <v>7.39</v>
      </c>
      <c r="U2076" s="13">
        <f t="shared" si="131"/>
        <v>-2.7700000000000005</v>
      </c>
      <c r="V2076" s="14">
        <v>905.28</v>
      </c>
      <c r="W2076" s="14">
        <v>905.28</v>
      </c>
      <c r="X2076" s="11">
        <v>11</v>
      </c>
      <c r="Y2076" s="15" t="s">
        <v>3737</v>
      </c>
      <c r="Z2076" s="16">
        <v>710.28</v>
      </c>
      <c r="AA2076" s="17">
        <v>364.2</v>
      </c>
      <c r="AB2076" s="18" t="s">
        <v>3963</v>
      </c>
    </row>
    <row r="2077" spans="1:28" x14ac:dyDescent="0.45">
      <c r="A2077" s="2" t="s">
        <v>2675</v>
      </c>
      <c r="B2077" s="2" t="s">
        <v>7167</v>
      </c>
      <c r="C2077" s="2" t="s">
        <v>2137</v>
      </c>
      <c r="D2077" s="2" t="s">
        <v>2138</v>
      </c>
      <c r="E2077" s="2" t="s">
        <v>2139</v>
      </c>
      <c r="F2077" s="3">
        <v>174</v>
      </c>
      <c r="G2077" s="3">
        <v>180</v>
      </c>
      <c r="H2077" s="2" t="s">
        <v>1149</v>
      </c>
      <c r="I2077" s="19">
        <v>199</v>
      </c>
      <c r="J2077" s="34">
        <f t="shared" si="128"/>
        <v>1.7312999999999998</v>
      </c>
      <c r="K2077" s="34">
        <f t="shared" si="129"/>
        <v>2.6</v>
      </c>
      <c r="L2077" s="34">
        <f t="shared" si="130"/>
        <v>10.4</v>
      </c>
      <c r="M2077" s="20" t="s">
        <v>5134</v>
      </c>
      <c r="N2077" s="20" t="s">
        <v>4597</v>
      </c>
      <c r="O2077" s="20" t="s">
        <v>3892</v>
      </c>
      <c r="P2077" s="20" t="s">
        <v>4598</v>
      </c>
      <c r="Q2077" s="21">
        <v>174.5</v>
      </c>
      <c r="R2077" s="21">
        <v>180.5</v>
      </c>
      <c r="S2077" s="21">
        <v>3</v>
      </c>
      <c r="T2077" s="22">
        <v>6.09</v>
      </c>
      <c r="U2077" s="13">
        <f t="shared" si="131"/>
        <v>-4.3100000000000005</v>
      </c>
      <c r="V2077" s="23">
        <v>746.02</v>
      </c>
      <c r="W2077" s="23">
        <v>746.02</v>
      </c>
      <c r="X2077" s="20" t="s">
        <v>3722</v>
      </c>
      <c r="Y2077" s="24" t="s">
        <v>3713</v>
      </c>
      <c r="Z2077" s="16">
        <v>547.02</v>
      </c>
      <c r="AA2077" s="17">
        <v>274.89999999999998</v>
      </c>
      <c r="AB2077" s="25" t="s">
        <v>4441</v>
      </c>
    </row>
    <row r="2078" spans="1:28" x14ac:dyDescent="0.45">
      <c r="A2078" s="4" t="s">
        <v>2676</v>
      </c>
      <c r="B2078" s="4" t="s">
        <v>7168</v>
      </c>
      <c r="C2078" s="4" t="s">
        <v>2137</v>
      </c>
      <c r="D2078" s="4" t="s">
        <v>2138</v>
      </c>
      <c r="E2078" s="4" t="s">
        <v>2139</v>
      </c>
      <c r="F2078" s="5">
        <v>177.17</v>
      </c>
      <c r="G2078" s="5">
        <v>187.83</v>
      </c>
      <c r="H2078" s="4" t="s">
        <v>1201</v>
      </c>
      <c r="I2078" s="10">
        <v>404</v>
      </c>
      <c r="J2078" s="34">
        <f t="shared" si="128"/>
        <v>3.5147999999999997</v>
      </c>
      <c r="K2078" s="34">
        <f t="shared" si="129"/>
        <v>5.27</v>
      </c>
      <c r="L2078" s="34">
        <f t="shared" si="130"/>
        <v>21.08</v>
      </c>
      <c r="M2078" s="11" t="s">
        <v>5135</v>
      </c>
      <c r="N2078" s="11" t="s">
        <v>4597</v>
      </c>
      <c r="O2078" s="11" t="s">
        <v>3892</v>
      </c>
      <c r="P2078" s="11" t="s">
        <v>4598</v>
      </c>
      <c r="Q2078" s="12">
        <v>177.03800000000001</v>
      </c>
      <c r="R2078" s="12">
        <v>187.70599999999999</v>
      </c>
      <c r="S2078" s="12">
        <v>5.3339999999999996</v>
      </c>
      <c r="T2078" s="13">
        <v>11.33</v>
      </c>
      <c r="U2078" s="13">
        <f t="shared" si="131"/>
        <v>-9.7499999999999982</v>
      </c>
      <c r="V2078" s="14">
        <v>1387.92</v>
      </c>
      <c r="W2078" s="14">
        <v>1387.92</v>
      </c>
      <c r="X2078" s="11">
        <v>62</v>
      </c>
      <c r="Y2078" s="15" t="s">
        <v>3737</v>
      </c>
      <c r="Z2078" s="16">
        <v>983.92000000000007</v>
      </c>
      <c r="AA2078" s="17">
        <v>243.5</v>
      </c>
      <c r="AB2078" s="18" t="s">
        <v>4189</v>
      </c>
    </row>
    <row r="2079" spans="1:28" x14ac:dyDescent="0.45">
      <c r="A2079" s="2" t="s">
        <v>2677</v>
      </c>
      <c r="B2079" s="2" t="s">
        <v>7169</v>
      </c>
      <c r="C2079" s="2" t="s">
        <v>2137</v>
      </c>
      <c r="D2079" s="2" t="s">
        <v>2138</v>
      </c>
      <c r="E2079" s="2" t="s">
        <v>2139</v>
      </c>
      <c r="F2079" s="3">
        <v>177.17</v>
      </c>
      <c r="G2079" s="3">
        <v>191.15</v>
      </c>
      <c r="H2079" s="2" t="s">
        <v>1368</v>
      </c>
      <c r="I2079" s="19">
        <v>806</v>
      </c>
      <c r="J2079" s="34">
        <f t="shared" si="128"/>
        <v>7.0121999999999991</v>
      </c>
      <c r="K2079" s="34">
        <f t="shared" si="129"/>
        <v>10.52</v>
      </c>
      <c r="L2079" s="34">
        <f t="shared" si="130"/>
        <v>42.08</v>
      </c>
      <c r="M2079" s="20" t="s">
        <v>5136</v>
      </c>
      <c r="N2079" s="20" t="s">
        <v>4597</v>
      </c>
      <c r="O2079" s="20" t="s">
        <v>3892</v>
      </c>
      <c r="P2079" s="20" t="s">
        <v>4598</v>
      </c>
      <c r="Q2079" s="21">
        <v>177.03800000000001</v>
      </c>
      <c r="R2079" s="21">
        <v>191.262</v>
      </c>
      <c r="S2079" s="21">
        <v>7.1120000000000001</v>
      </c>
      <c r="T2079" s="22">
        <v>19.18</v>
      </c>
      <c r="U2079" s="13">
        <f t="shared" si="131"/>
        <v>-22.9</v>
      </c>
      <c r="V2079" s="23">
        <v>2349.5500000000002</v>
      </c>
      <c r="W2079" s="23">
        <v>2349.5500000000002</v>
      </c>
      <c r="X2079" s="20">
        <v>12</v>
      </c>
      <c r="Y2079" s="24" t="s">
        <v>3737</v>
      </c>
      <c r="Z2079" s="16">
        <v>1543.55</v>
      </c>
      <c r="AA2079" s="17">
        <v>191.5</v>
      </c>
      <c r="AB2079" s="25" t="s">
        <v>4199</v>
      </c>
    </row>
    <row r="2080" spans="1:28" x14ac:dyDescent="0.45">
      <c r="A2080" s="4" t="s">
        <v>2678</v>
      </c>
      <c r="B2080" s="4" t="s">
        <v>7170</v>
      </c>
      <c r="C2080" s="4" t="s">
        <v>2137</v>
      </c>
      <c r="D2080" s="4" t="s">
        <v>2138</v>
      </c>
      <c r="E2080" s="4" t="s">
        <v>2139</v>
      </c>
      <c r="F2080" s="5">
        <v>177.39</v>
      </c>
      <c r="G2080" s="5">
        <v>184.45</v>
      </c>
      <c r="H2080" s="4" t="s">
        <v>1156</v>
      </c>
      <c r="I2080" s="10">
        <v>202</v>
      </c>
      <c r="J2080" s="34">
        <f t="shared" si="128"/>
        <v>1.7573999999999999</v>
      </c>
      <c r="K2080" s="34">
        <f t="shared" si="129"/>
        <v>2.64</v>
      </c>
      <c r="L2080" s="34">
        <f t="shared" si="130"/>
        <v>10.56</v>
      </c>
      <c r="M2080" s="11" t="s">
        <v>5137</v>
      </c>
      <c r="N2080" s="11" t="s">
        <v>4597</v>
      </c>
      <c r="O2080" s="11" t="s">
        <v>3892</v>
      </c>
      <c r="P2080" s="11" t="s">
        <v>4598</v>
      </c>
      <c r="Q2080" s="12">
        <v>177.292</v>
      </c>
      <c r="R2080" s="12">
        <v>184.404</v>
      </c>
      <c r="S2080" s="12">
        <v>3.556</v>
      </c>
      <c r="T2080" s="13">
        <v>6.81</v>
      </c>
      <c r="U2080" s="13">
        <f t="shared" si="131"/>
        <v>-3.7500000000000009</v>
      </c>
      <c r="V2080" s="14">
        <v>834.22</v>
      </c>
      <c r="W2080" s="14">
        <v>834.22</v>
      </c>
      <c r="X2080" s="11">
        <v>34</v>
      </c>
      <c r="Y2080" s="15" t="s">
        <v>3737</v>
      </c>
      <c r="Z2080" s="16">
        <v>632.22</v>
      </c>
      <c r="AA2080" s="17">
        <v>313</v>
      </c>
      <c r="AB2080" s="18" t="s">
        <v>3963</v>
      </c>
    </row>
    <row r="2081" spans="1:28" x14ac:dyDescent="0.45">
      <c r="A2081" s="2" t="s">
        <v>2679</v>
      </c>
      <c r="B2081" s="2" t="s">
        <v>7171</v>
      </c>
      <c r="C2081" s="2" t="s">
        <v>2137</v>
      </c>
      <c r="D2081" s="2" t="s">
        <v>2138</v>
      </c>
      <c r="E2081" s="2" t="s">
        <v>2139</v>
      </c>
      <c r="F2081" s="3">
        <v>179.2</v>
      </c>
      <c r="G2081" s="3">
        <v>190.6</v>
      </c>
      <c r="H2081" s="2" t="s">
        <v>1297</v>
      </c>
      <c r="I2081" s="19">
        <v>815</v>
      </c>
      <c r="J2081" s="34">
        <f t="shared" si="128"/>
        <v>7.0904999999999996</v>
      </c>
      <c r="K2081" s="34">
        <f t="shared" si="129"/>
        <v>10.64</v>
      </c>
      <c r="L2081" s="34">
        <f t="shared" si="130"/>
        <v>42.56</v>
      </c>
      <c r="M2081" s="20" t="s">
        <v>5138</v>
      </c>
      <c r="N2081" s="20" t="s">
        <v>4597</v>
      </c>
      <c r="O2081" s="20" t="s">
        <v>3892</v>
      </c>
      <c r="P2081" s="20" t="s">
        <v>4598</v>
      </c>
      <c r="Q2081" s="21">
        <v>179.3</v>
      </c>
      <c r="R2081" s="21">
        <v>190.7</v>
      </c>
      <c r="S2081" s="21">
        <v>5.7</v>
      </c>
      <c r="T2081" s="22">
        <v>18.59</v>
      </c>
      <c r="U2081" s="13">
        <f t="shared" si="131"/>
        <v>-23.970000000000002</v>
      </c>
      <c r="V2081" s="23">
        <v>2277.2800000000002</v>
      </c>
      <c r="W2081" s="23">
        <v>2277.2800000000002</v>
      </c>
      <c r="X2081" s="20" t="s">
        <v>3722</v>
      </c>
      <c r="Y2081" s="24" t="s">
        <v>3713</v>
      </c>
      <c r="Z2081" s="16">
        <v>1462.28</v>
      </c>
      <c r="AA2081" s="17">
        <v>179.4</v>
      </c>
      <c r="AB2081" s="25" t="s">
        <v>4119</v>
      </c>
    </row>
    <row r="2082" spans="1:28" x14ac:dyDescent="0.45">
      <c r="A2082" s="4" t="s">
        <v>2680</v>
      </c>
      <c r="B2082" s="4" t="s">
        <v>7172</v>
      </c>
      <c r="C2082" s="4" t="s">
        <v>2137</v>
      </c>
      <c r="D2082" s="4" t="s">
        <v>2138</v>
      </c>
      <c r="E2082" s="4" t="s">
        <v>2139</v>
      </c>
      <c r="F2082" s="5">
        <v>179.3</v>
      </c>
      <c r="G2082" s="5">
        <v>189.96</v>
      </c>
      <c r="H2082" s="4" t="s">
        <v>1201</v>
      </c>
      <c r="I2082" s="10">
        <v>409</v>
      </c>
      <c r="J2082" s="34">
        <f t="shared" si="128"/>
        <v>3.5582999999999996</v>
      </c>
      <c r="K2082" s="34">
        <f t="shared" si="129"/>
        <v>5.34</v>
      </c>
      <c r="L2082" s="34">
        <f t="shared" si="130"/>
        <v>21.36</v>
      </c>
      <c r="M2082" s="11" t="s">
        <v>5138</v>
      </c>
      <c r="N2082" s="11" t="s">
        <v>4597</v>
      </c>
      <c r="O2082" s="11" t="s">
        <v>3892</v>
      </c>
      <c r="P2082" s="11" t="s">
        <v>4598</v>
      </c>
      <c r="Q2082" s="12">
        <v>179.3</v>
      </c>
      <c r="R2082" s="12">
        <v>190.7</v>
      </c>
      <c r="S2082" s="12">
        <v>5.7</v>
      </c>
      <c r="T2082" s="13">
        <v>18.59</v>
      </c>
      <c r="U2082" s="13">
        <f t="shared" si="131"/>
        <v>-2.7699999999999996</v>
      </c>
      <c r="V2082" s="14">
        <v>2277.2800000000002</v>
      </c>
      <c r="W2082" s="14">
        <v>2277.2800000000002</v>
      </c>
      <c r="X2082" s="11" t="s">
        <v>3722</v>
      </c>
      <c r="Y2082" s="15" t="s">
        <v>3713</v>
      </c>
      <c r="Z2082" s="16">
        <v>1868.28</v>
      </c>
      <c r="AA2082" s="17">
        <v>456.8</v>
      </c>
      <c r="AB2082" s="18" t="s">
        <v>5139</v>
      </c>
    </row>
    <row r="2083" spans="1:28" x14ac:dyDescent="0.45">
      <c r="A2083" s="2" t="s">
        <v>2681</v>
      </c>
      <c r="B2083" s="2" t="s">
        <v>7173</v>
      </c>
      <c r="C2083" s="2" t="s">
        <v>2137</v>
      </c>
      <c r="D2083" s="2" t="s">
        <v>2138</v>
      </c>
      <c r="E2083" s="2" t="s">
        <v>2139</v>
      </c>
      <c r="F2083" s="3">
        <v>183.14</v>
      </c>
      <c r="G2083" s="3">
        <v>190.2</v>
      </c>
      <c r="H2083" s="2" t="s">
        <v>1156</v>
      </c>
      <c r="I2083" s="19">
        <v>209</v>
      </c>
      <c r="J2083" s="34">
        <f t="shared" si="128"/>
        <v>1.8182999999999998</v>
      </c>
      <c r="K2083" s="34">
        <f t="shared" si="129"/>
        <v>2.73</v>
      </c>
      <c r="L2083" s="34">
        <f t="shared" si="130"/>
        <v>10.92</v>
      </c>
      <c r="M2083" s="20" t="s">
        <v>5140</v>
      </c>
      <c r="N2083" s="20" t="s">
        <v>4597</v>
      </c>
      <c r="O2083" s="20" t="s">
        <v>3892</v>
      </c>
      <c r="P2083" s="20" t="s">
        <v>4598</v>
      </c>
      <c r="Q2083" s="21">
        <v>182</v>
      </c>
      <c r="R2083" s="21">
        <v>190</v>
      </c>
      <c r="S2083" s="21">
        <v>4</v>
      </c>
      <c r="T2083" s="22">
        <v>12.42</v>
      </c>
      <c r="U2083" s="13">
        <f t="shared" si="131"/>
        <v>1.5</v>
      </c>
      <c r="V2083" s="23">
        <v>1521.45</v>
      </c>
      <c r="W2083" s="23">
        <v>1521.45</v>
      </c>
      <c r="X2083" s="20">
        <v>1</v>
      </c>
      <c r="Y2083" s="24" t="s">
        <v>3713</v>
      </c>
      <c r="Z2083" s="16">
        <v>1312.45</v>
      </c>
      <c r="AA2083" s="17">
        <v>628</v>
      </c>
      <c r="AB2083" s="25" t="s">
        <v>5141</v>
      </c>
    </row>
    <row r="2084" spans="1:28" x14ac:dyDescent="0.45">
      <c r="A2084" s="4" t="s">
        <v>2682</v>
      </c>
      <c r="B2084" s="4" t="s">
        <v>7174</v>
      </c>
      <c r="C2084" s="4" t="s">
        <v>2137</v>
      </c>
      <c r="D2084" s="4" t="s">
        <v>2138</v>
      </c>
      <c r="E2084" s="4" t="s">
        <v>2139</v>
      </c>
      <c r="F2084" s="5">
        <v>183.51</v>
      </c>
      <c r="G2084" s="5">
        <v>197.49</v>
      </c>
      <c r="H2084" s="4" t="s">
        <v>1368</v>
      </c>
      <c r="I2084" s="10">
        <v>835</v>
      </c>
      <c r="J2084" s="34">
        <f t="shared" si="128"/>
        <v>7.2644999999999991</v>
      </c>
      <c r="K2084" s="34">
        <f t="shared" si="129"/>
        <v>10.9</v>
      </c>
      <c r="L2084" s="34">
        <f t="shared" si="130"/>
        <v>43.6</v>
      </c>
      <c r="M2084" s="11" t="s">
        <v>5142</v>
      </c>
      <c r="N2084" s="11" t="s">
        <v>4597</v>
      </c>
      <c r="O2084" s="11" t="s">
        <v>3892</v>
      </c>
      <c r="P2084" s="11" t="s">
        <v>4598</v>
      </c>
      <c r="Q2084" s="12">
        <v>183.38800000000001</v>
      </c>
      <c r="R2084" s="12">
        <v>197.61199999999999</v>
      </c>
      <c r="S2084" s="12">
        <v>7.1120000000000001</v>
      </c>
      <c r="T2084" s="13">
        <v>11.14</v>
      </c>
      <c r="U2084" s="13">
        <f t="shared" si="131"/>
        <v>-32.46</v>
      </c>
      <c r="V2084" s="14">
        <v>1364.65</v>
      </c>
      <c r="W2084" s="14">
        <v>1364.65</v>
      </c>
      <c r="X2084" s="11">
        <v>10</v>
      </c>
      <c r="Y2084" s="15" t="s">
        <v>3737</v>
      </c>
      <c r="Z2084" s="16">
        <v>529.65000000000009</v>
      </c>
      <c r="AA2084" s="17">
        <v>63.4</v>
      </c>
      <c r="AB2084" s="18" t="s">
        <v>4169</v>
      </c>
    </row>
    <row r="2085" spans="1:28" x14ac:dyDescent="0.45">
      <c r="A2085" s="2" t="s">
        <v>2683</v>
      </c>
      <c r="B2085" s="2" t="s">
        <v>7175</v>
      </c>
      <c r="C2085" s="2" t="s">
        <v>2137</v>
      </c>
      <c r="D2085" s="2" t="s">
        <v>2138</v>
      </c>
      <c r="E2085" s="2" t="s">
        <v>2139</v>
      </c>
      <c r="F2085" s="3">
        <v>183.52</v>
      </c>
      <c r="G2085" s="3">
        <v>194.18</v>
      </c>
      <c r="H2085" s="2" t="s">
        <v>1201</v>
      </c>
      <c r="I2085" s="19">
        <v>417</v>
      </c>
      <c r="J2085" s="34">
        <f t="shared" si="128"/>
        <v>3.6278999999999999</v>
      </c>
      <c r="K2085" s="34">
        <f t="shared" si="129"/>
        <v>5.44</v>
      </c>
      <c r="L2085" s="34">
        <f t="shared" si="130"/>
        <v>21.76</v>
      </c>
      <c r="M2085" s="20" t="s">
        <v>5143</v>
      </c>
      <c r="N2085" s="20" t="s">
        <v>4597</v>
      </c>
      <c r="O2085" s="20" t="s">
        <v>3892</v>
      </c>
      <c r="P2085" s="20" t="s">
        <v>4598</v>
      </c>
      <c r="Q2085" s="21">
        <v>183.38800000000001</v>
      </c>
      <c r="R2085" s="21">
        <v>194.05600000000001</v>
      </c>
      <c r="S2085" s="21">
        <v>5.3339999999999996</v>
      </c>
      <c r="T2085" s="22">
        <v>13.23</v>
      </c>
      <c r="U2085" s="13">
        <f t="shared" si="131"/>
        <v>-8.5300000000000011</v>
      </c>
      <c r="V2085" s="23">
        <v>1620.68</v>
      </c>
      <c r="W2085" s="23">
        <v>1620.68</v>
      </c>
      <c r="X2085" s="20">
        <v>64</v>
      </c>
      <c r="Y2085" s="24" t="s">
        <v>3737</v>
      </c>
      <c r="Z2085" s="16">
        <v>1203.68</v>
      </c>
      <c r="AA2085" s="17">
        <v>288.7</v>
      </c>
      <c r="AB2085" s="25" t="s">
        <v>4189</v>
      </c>
    </row>
    <row r="2086" spans="1:28" x14ac:dyDescent="0.45">
      <c r="A2086" s="4" t="s">
        <v>2684</v>
      </c>
      <c r="B2086" s="4" t="s">
        <v>7176</v>
      </c>
      <c r="C2086" s="4" t="s">
        <v>2137</v>
      </c>
      <c r="D2086" s="4" t="s">
        <v>2138</v>
      </c>
      <c r="E2086" s="4" t="s">
        <v>2139</v>
      </c>
      <c r="F2086" s="5">
        <v>184.2</v>
      </c>
      <c r="G2086" s="5">
        <v>195.6</v>
      </c>
      <c r="H2086" s="4" t="s">
        <v>1297</v>
      </c>
      <c r="I2086" s="10">
        <v>838</v>
      </c>
      <c r="J2086" s="34">
        <f t="shared" si="128"/>
        <v>7.2905999999999995</v>
      </c>
      <c r="K2086" s="34">
        <f t="shared" si="129"/>
        <v>10.94</v>
      </c>
      <c r="L2086" s="34">
        <f t="shared" si="130"/>
        <v>43.76</v>
      </c>
      <c r="M2086" s="11" t="s">
        <v>5143</v>
      </c>
      <c r="N2086" s="11" t="s">
        <v>4597</v>
      </c>
      <c r="O2086" s="11" t="s">
        <v>3892</v>
      </c>
      <c r="P2086" s="11" t="s">
        <v>4598</v>
      </c>
      <c r="Q2086" s="12">
        <v>183.38800000000001</v>
      </c>
      <c r="R2086" s="12">
        <v>194.05600000000001</v>
      </c>
      <c r="S2086" s="12">
        <v>5.3339999999999996</v>
      </c>
      <c r="T2086" s="13">
        <v>13.23</v>
      </c>
      <c r="U2086" s="13">
        <f t="shared" si="131"/>
        <v>-30.529999999999998</v>
      </c>
      <c r="V2086" s="14">
        <v>1620.68</v>
      </c>
      <c r="W2086" s="14">
        <v>1620.68</v>
      </c>
      <c r="X2086" s="11">
        <v>64</v>
      </c>
      <c r="Y2086" s="15" t="s">
        <v>3737</v>
      </c>
      <c r="Z2086" s="16">
        <v>782.68000000000006</v>
      </c>
      <c r="AA2086" s="17">
        <v>93.4</v>
      </c>
      <c r="AB2086" s="18" t="s">
        <v>5144</v>
      </c>
    </row>
    <row r="2087" spans="1:28" x14ac:dyDescent="0.45">
      <c r="A2087" s="2" t="s">
        <v>2685</v>
      </c>
      <c r="B2087" s="2" t="s">
        <v>7177</v>
      </c>
      <c r="C2087" s="2" t="s">
        <v>2137</v>
      </c>
      <c r="D2087" s="2" t="s">
        <v>2138</v>
      </c>
      <c r="E2087" s="2" t="s">
        <v>2139</v>
      </c>
      <c r="F2087" s="3">
        <v>189.2</v>
      </c>
      <c r="G2087" s="3">
        <v>200.6</v>
      </c>
      <c r="H2087" s="2" t="s">
        <v>1297</v>
      </c>
      <c r="I2087" s="19">
        <v>860</v>
      </c>
      <c r="J2087" s="34">
        <f t="shared" si="128"/>
        <v>7.4819999999999993</v>
      </c>
      <c r="K2087" s="34">
        <f t="shared" si="129"/>
        <v>11.22</v>
      </c>
      <c r="L2087" s="34">
        <f t="shared" si="130"/>
        <v>44.88</v>
      </c>
      <c r="M2087" s="20" t="s">
        <v>5145</v>
      </c>
      <c r="N2087" s="20" t="s">
        <v>4597</v>
      </c>
      <c r="O2087" s="20" t="s">
        <v>3892</v>
      </c>
      <c r="P2087" s="20" t="s">
        <v>4598</v>
      </c>
      <c r="Q2087" s="21">
        <v>189.3</v>
      </c>
      <c r="R2087" s="21">
        <v>200.7</v>
      </c>
      <c r="S2087" s="21">
        <v>5.7</v>
      </c>
      <c r="T2087" s="22">
        <v>25.82</v>
      </c>
      <c r="U2087" s="13">
        <f t="shared" si="131"/>
        <v>-19.060000000000002</v>
      </c>
      <c r="V2087" s="23">
        <v>3162.95</v>
      </c>
      <c r="W2087" s="23">
        <v>3162.95</v>
      </c>
      <c r="X2087" s="20">
        <v>11</v>
      </c>
      <c r="Y2087" s="24" t="s">
        <v>3713</v>
      </c>
      <c r="Z2087" s="16">
        <v>2302.9499999999998</v>
      </c>
      <c r="AA2087" s="17">
        <v>267.8</v>
      </c>
      <c r="AB2087" s="25" t="s">
        <v>4119</v>
      </c>
    </row>
    <row r="2088" spans="1:28" x14ac:dyDescent="0.45">
      <c r="A2088" s="4" t="s">
        <v>2686</v>
      </c>
      <c r="B2088" s="4" t="s">
        <v>7178</v>
      </c>
      <c r="C2088" s="4" t="s">
        <v>2137</v>
      </c>
      <c r="D2088" s="4" t="s">
        <v>2138</v>
      </c>
      <c r="E2088" s="4" t="s">
        <v>2139</v>
      </c>
      <c r="F2088" s="5">
        <v>189.4</v>
      </c>
      <c r="G2088" s="5">
        <v>195.6</v>
      </c>
      <c r="H2088" s="4" t="s">
        <v>1221</v>
      </c>
      <c r="I2088" s="10">
        <v>215</v>
      </c>
      <c r="J2088" s="34">
        <f t="shared" si="128"/>
        <v>1.8704999999999998</v>
      </c>
      <c r="K2088" s="34">
        <f t="shared" si="129"/>
        <v>2.81</v>
      </c>
      <c r="L2088" s="34">
        <f t="shared" si="130"/>
        <v>11.24</v>
      </c>
      <c r="M2088" s="11" t="s">
        <v>5146</v>
      </c>
      <c r="N2088" s="11" t="s">
        <v>4597</v>
      </c>
      <c r="O2088" s="11" t="s">
        <v>3892</v>
      </c>
      <c r="P2088" s="11" t="s">
        <v>4598</v>
      </c>
      <c r="Q2088" s="12">
        <v>190</v>
      </c>
      <c r="R2088" s="12">
        <v>196</v>
      </c>
      <c r="S2088" s="12">
        <v>3</v>
      </c>
      <c r="T2088" s="13">
        <v>4.16</v>
      </c>
      <c r="U2088" s="13">
        <f t="shared" si="131"/>
        <v>-7.08</v>
      </c>
      <c r="V2088" s="14">
        <v>509.6</v>
      </c>
      <c r="W2088" s="14">
        <v>509.6</v>
      </c>
      <c r="X2088" s="11" t="s">
        <v>3722</v>
      </c>
      <c r="Y2088" s="15" t="s">
        <v>3713</v>
      </c>
      <c r="Z2088" s="16">
        <v>294.60000000000002</v>
      </c>
      <c r="AA2088" s="17">
        <v>137</v>
      </c>
      <c r="AB2088" s="18" t="s">
        <v>4604</v>
      </c>
    </row>
    <row r="2089" spans="1:28" x14ac:dyDescent="0.45">
      <c r="A2089" s="2" t="s">
        <v>2687</v>
      </c>
      <c r="B2089" s="2" t="s">
        <v>7179</v>
      </c>
      <c r="C2089" s="2" t="s">
        <v>2137</v>
      </c>
      <c r="D2089" s="2" t="s">
        <v>2138</v>
      </c>
      <c r="E2089" s="2" t="s">
        <v>2139</v>
      </c>
      <c r="F2089" s="3">
        <v>189.87</v>
      </c>
      <c r="G2089" s="3">
        <v>200.53</v>
      </c>
      <c r="H2089" s="2" t="s">
        <v>1201</v>
      </c>
      <c r="I2089" s="19">
        <v>432</v>
      </c>
      <c r="J2089" s="34">
        <f t="shared" si="128"/>
        <v>3.7584</v>
      </c>
      <c r="K2089" s="34">
        <f t="shared" si="129"/>
        <v>5.64</v>
      </c>
      <c r="L2089" s="34">
        <f t="shared" si="130"/>
        <v>22.56</v>
      </c>
      <c r="M2089" s="20" t="s">
        <v>5147</v>
      </c>
      <c r="N2089" s="20" t="s">
        <v>4597</v>
      </c>
      <c r="O2089" s="20" t="s">
        <v>3892</v>
      </c>
      <c r="P2089" s="20" t="s">
        <v>4598</v>
      </c>
      <c r="Q2089" s="21">
        <v>189.738</v>
      </c>
      <c r="R2089" s="21">
        <v>200.40600000000001</v>
      </c>
      <c r="S2089" s="21">
        <v>5.3339999999999996</v>
      </c>
      <c r="T2089" s="22">
        <v>12.95</v>
      </c>
      <c r="U2089" s="13">
        <f t="shared" si="131"/>
        <v>-9.61</v>
      </c>
      <c r="V2089" s="23">
        <v>1586.38</v>
      </c>
      <c r="W2089" s="23">
        <v>1586.38</v>
      </c>
      <c r="X2089" s="20">
        <v>4</v>
      </c>
      <c r="Y2089" s="24" t="s">
        <v>3737</v>
      </c>
      <c r="Z2089" s="16">
        <v>1154.3800000000001</v>
      </c>
      <c r="AA2089" s="17">
        <v>267.2</v>
      </c>
      <c r="AB2089" s="25" t="s">
        <v>4189</v>
      </c>
    </row>
    <row r="2090" spans="1:28" x14ac:dyDescent="0.45">
      <c r="A2090" s="4" t="s">
        <v>2688</v>
      </c>
      <c r="B2090" s="4" t="s">
        <v>7180</v>
      </c>
      <c r="C2090" s="4" t="s">
        <v>2137</v>
      </c>
      <c r="D2090" s="4" t="s">
        <v>2138</v>
      </c>
      <c r="E2090" s="4" t="s">
        <v>2139</v>
      </c>
      <c r="F2090" s="5">
        <v>189.87</v>
      </c>
      <c r="G2090" s="5">
        <v>203.85</v>
      </c>
      <c r="H2090" s="4" t="s">
        <v>1368</v>
      </c>
      <c r="I2090" s="10">
        <v>863</v>
      </c>
      <c r="J2090" s="34">
        <f t="shared" si="128"/>
        <v>7.5080999999999998</v>
      </c>
      <c r="K2090" s="34">
        <f t="shared" si="129"/>
        <v>11.26</v>
      </c>
      <c r="L2090" s="34">
        <f t="shared" si="130"/>
        <v>45.04</v>
      </c>
      <c r="M2090" s="11" t="s">
        <v>5148</v>
      </c>
      <c r="N2090" s="11" t="s">
        <v>4597</v>
      </c>
      <c r="O2090" s="11" t="s">
        <v>3892</v>
      </c>
      <c r="P2090" s="11" t="s">
        <v>4598</v>
      </c>
      <c r="Q2090" s="12">
        <v>189.738</v>
      </c>
      <c r="R2090" s="12">
        <v>203.96199999999999</v>
      </c>
      <c r="S2090" s="12">
        <v>7.1120000000000001</v>
      </c>
      <c r="T2090" s="13">
        <v>15.77</v>
      </c>
      <c r="U2090" s="13">
        <f t="shared" si="131"/>
        <v>-29.27</v>
      </c>
      <c r="V2090" s="14">
        <v>1931.82</v>
      </c>
      <c r="W2090" s="14">
        <v>1931.82</v>
      </c>
      <c r="X2090" s="11">
        <v>8</v>
      </c>
      <c r="Y2090" s="15" t="s">
        <v>3737</v>
      </c>
      <c r="Z2090" s="16">
        <v>1068.82</v>
      </c>
      <c r="AA2090" s="17">
        <v>123.8</v>
      </c>
      <c r="AB2090" s="18" t="s">
        <v>4199</v>
      </c>
    </row>
    <row r="2091" spans="1:28" x14ac:dyDescent="0.45">
      <c r="A2091" s="2" t="s">
        <v>2689</v>
      </c>
      <c r="B2091" s="2" t="s">
        <v>7181</v>
      </c>
      <c r="C2091" s="2" t="s">
        <v>2137</v>
      </c>
      <c r="D2091" s="2" t="s">
        <v>2138</v>
      </c>
      <c r="E2091" s="2" t="s">
        <v>2139</v>
      </c>
      <c r="F2091" s="3">
        <v>190.17</v>
      </c>
      <c r="G2091" s="3">
        <v>195.41</v>
      </c>
      <c r="H2091" s="2" t="s">
        <v>1127</v>
      </c>
      <c r="I2091" s="19">
        <v>116</v>
      </c>
      <c r="J2091" s="34">
        <f t="shared" si="128"/>
        <v>1.0091999999999999</v>
      </c>
      <c r="K2091" s="34">
        <f t="shared" si="129"/>
        <v>1.51</v>
      </c>
      <c r="L2091" s="34">
        <f t="shared" si="130"/>
        <v>6.04</v>
      </c>
      <c r="M2091" s="20" t="s">
        <v>5149</v>
      </c>
      <c r="N2091" s="20" t="s">
        <v>4597</v>
      </c>
      <c r="O2091" s="20" t="s">
        <v>3892</v>
      </c>
      <c r="P2091" s="20" t="s">
        <v>4598</v>
      </c>
      <c r="Q2091" s="21">
        <v>190.5</v>
      </c>
      <c r="R2091" s="21">
        <v>195.32599999999999</v>
      </c>
      <c r="S2091" s="21">
        <v>2.286</v>
      </c>
      <c r="T2091" s="22">
        <v>9.6199999999999992</v>
      </c>
      <c r="U2091" s="13">
        <f t="shared" si="131"/>
        <v>3.5799999999999992</v>
      </c>
      <c r="V2091" s="23">
        <v>1178.45</v>
      </c>
      <c r="W2091" s="23">
        <v>1178.45</v>
      </c>
      <c r="X2091" s="20" t="s">
        <v>3722</v>
      </c>
      <c r="Y2091" s="24" t="s">
        <v>3737</v>
      </c>
      <c r="Z2091" s="16">
        <v>1062.45</v>
      </c>
      <c r="AA2091" s="17">
        <v>915.9</v>
      </c>
      <c r="AB2091" s="25" t="s">
        <v>5150</v>
      </c>
    </row>
    <row r="2092" spans="1:28" x14ac:dyDescent="0.45">
      <c r="A2092" s="4" t="s">
        <v>2690</v>
      </c>
      <c r="B2092" s="4" t="s">
        <v>7182</v>
      </c>
      <c r="C2092" s="4" t="s">
        <v>2137</v>
      </c>
      <c r="D2092" s="4" t="s">
        <v>2138</v>
      </c>
      <c r="E2092" s="4" t="s">
        <v>2139</v>
      </c>
      <c r="F2092" s="5">
        <v>190</v>
      </c>
      <c r="G2092" s="5">
        <v>200</v>
      </c>
      <c r="H2092" s="4" t="s">
        <v>1245</v>
      </c>
      <c r="I2092" s="10">
        <v>432</v>
      </c>
      <c r="J2092" s="34">
        <f t="shared" si="128"/>
        <v>3.7584</v>
      </c>
      <c r="K2092" s="34">
        <f t="shared" si="129"/>
        <v>5.64</v>
      </c>
      <c r="L2092" s="34">
        <f t="shared" si="130"/>
        <v>22.56</v>
      </c>
      <c r="M2092" s="11" t="s">
        <v>5147</v>
      </c>
      <c r="N2092" s="11" t="s">
        <v>4597</v>
      </c>
      <c r="O2092" s="11" t="s">
        <v>3892</v>
      </c>
      <c r="P2092" s="11" t="s">
        <v>4598</v>
      </c>
      <c r="Q2092" s="12">
        <v>189.738</v>
      </c>
      <c r="R2092" s="12">
        <v>200.40600000000001</v>
      </c>
      <c r="S2092" s="12">
        <v>5.3339999999999996</v>
      </c>
      <c r="T2092" s="13">
        <v>12.95</v>
      </c>
      <c r="U2092" s="13">
        <f t="shared" si="131"/>
        <v>-9.61</v>
      </c>
      <c r="V2092" s="14">
        <v>1586.38</v>
      </c>
      <c r="W2092" s="14">
        <v>1586.38</v>
      </c>
      <c r="X2092" s="11">
        <v>4</v>
      </c>
      <c r="Y2092" s="15" t="s">
        <v>3737</v>
      </c>
      <c r="Z2092" s="16">
        <v>1154.3800000000001</v>
      </c>
      <c r="AA2092" s="17">
        <v>267.2</v>
      </c>
      <c r="AB2092" s="18" t="s">
        <v>5151</v>
      </c>
    </row>
    <row r="2093" spans="1:28" x14ac:dyDescent="0.45">
      <c r="A2093" s="2" t="s">
        <v>2691</v>
      </c>
      <c r="B2093" s="2" t="s">
        <v>7183</v>
      </c>
      <c r="C2093" s="2" t="s">
        <v>2137</v>
      </c>
      <c r="D2093" s="2" t="s">
        <v>2138</v>
      </c>
      <c r="E2093" s="2" t="s">
        <v>2139</v>
      </c>
      <c r="F2093" s="3">
        <v>191.6</v>
      </c>
      <c r="G2093" s="3">
        <v>203.6</v>
      </c>
      <c r="H2093" s="2" t="s">
        <v>1635</v>
      </c>
      <c r="I2093" s="19">
        <v>872</v>
      </c>
      <c r="J2093" s="34">
        <f t="shared" si="128"/>
        <v>7.5863999999999994</v>
      </c>
      <c r="K2093" s="34">
        <f t="shared" si="129"/>
        <v>11.38</v>
      </c>
      <c r="L2093" s="34">
        <f t="shared" si="130"/>
        <v>45.52</v>
      </c>
      <c r="M2093" s="20" t="s">
        <v>5148</v>
      </c>
      <c r="N2093" s="20" t="s">
        <v>4597</v>
      </c>
      <c r="O2093" s="20" t="s">
        <v>3892</v>
      </c>
      <c r="P2093" s="20" t="s">
        <v>4598</v>
      </c>
      <c r="Q2093" s="21">
        <v>189.738</v>
      </c>
      <c r="R2093" s="21">
        <v>203.96199999999999</v>
      </c>
      <c r="S2093" s="21">
        <v>7.1120000000000001</v>
      </c>
      <c r="T2093" s="22">
        <v>15.77</v>
      </c>
      <c r="U2093" s="13">
        <f t="shared" si="131"/>
        <v>-29.750000000000004</v>
      </c>
      <c r="V2093" s="23">
        <v>1931.82</v>
      </c>
      <c r="W2093" s="23">
        <v>1931.82</v>
      </c>
      <c r="X2093" s="20">
        <v>8</v>
      </c>
      <c r="Y2093" s="24" t="s">
        <v>3737</v>
      </c>
      <c r="Z2093" s="16">
        <v>1059.82</v>
      </c>
      <c r="AA2093" s="17">
        <v>121.5</v>
      </c>
      <c r="AB2093" s="25" t="s">
        <v>5152</v>
      </c>
    </row>
    <row r="2094" spans="1:28" x14ac:dyDescent="0.45">
      <c r="A2094" s="4" t="s">
        <v>2692</v>
      </c>
      <c r="B2094" s="4" t="s">
        <v>7184</v>
      </c>
      <c r="C2094" s="4" t="s">
        <v>2137</v>
      </c>
      <c r="D2094" s="4" t="s">
        <v>2138</v>
      </c>
      <c r="E2094" s="4" t="s">
        <v>2139</v>
      </c>
      <c r="F2094" s="5">
        <v>194.2</v>
      </c>
      <c r="G2094" s="5">
        <v>205.6</v>
      </c>
      <c r="H2094" s="4" t="s">
        <v>1297</v>
      </c>
      <c r="I2094" s="10">
        <v>884</v>
      </c>
      <c r="J2094" s="34">
        <f t="shared" si="128"/>
        <v>7.6907999999999994</v>
      </c>
      <c r="K2094" s="34">
        <f t="shared" si="129"/>
        <v>11.54</v>
      </c>
      <c r="L2094" s="34">
        <f t="shared" si="130"/>
        <v>46.16</v>
      </c>
      <c r="M2094" s="11" t="s">
        <v>5153</v>
      </c>
      <c r="N2094" s="11" t="s">
        <v>4597</v>
      </c>
      <c r="O2094" s="11" t="s">
        <v>3892</v>
      </c>
      <c r="P2094" s="11" t="s">
        <v>4598</v>
      </c>
      <c r="Q2094" s="12">
        <v>194.3</v>
      </c>
      <c r="R2094" s="12">
        <v>205.7</v>
      </c>
      <c r="S2094" s="12">
        <v>5.7</v>
      </c>
      <c r="T2094" s="13">
        <v>17.579999999999998</v>
      </c>
      <c r="U2094" s="13">
        <f t="shared" si="131"/>
        <v>-28.58</v>
      </c>
      <c r="V2094" s="14">
        <v>2153.5500000000002</v>
      </c>
      <c r="W2094" s="14">
        <v>2153.5500000000002</v>
      </c>
      <c r="X2094" s="11">
        <v>3</v>
      </c>
      <c r="Y2094" s="15" t="s">
        <v>3713</v>
      </c>
      <c r="Z2094" s="16">
        <v>1269.55</v>
      </c>
      <c r="AA2094" s="17">
        <v>143.6</v>
      </c>
      <c r="AB2094" s="18" t="s">
        <v>4119</v>
      </c>
    </row>
    <row r="2095" spans="1:28" x14ac:dyDescent="0.45">
      <c r="A2095" s="2" t="s">
        <v>2693</v>
      </c>
      <c r="B2095" s="2" t="s">
        <v>7185</v>
      </c>
      <c r="C2095" s="2" t="s">
        <v>2137</v>
      </c>
      <c r="D2095" s="2" t="s">
        <v>2138</v>
      </c>
      <c r="E2095" s="2" t="s">
        <v>2139</v>
      </c>
      <c r="F2095" s="3">
        <v>194.4</v>
      </c>
      <c r="G2095" s="3">
        <v>200.6</v>
      </c>
      <c r="H2095" s="2" t="s">
        <v>1221</v>
      </c>
      <c r="I2095" s="19">
        <v>222</v>
      </c>
      <c r="J2095" s="34">
        <f t="shared" si="128"/>
        <v>1.9313999999999998</v>
      </c>
      <c r="K2095" s="34">
        <f t="shared" si="129"/>
        <v>2.9</v>
      </c>
      <c r="L2095" s="34">
        <f t="shared" si="130"/>
        <v>11.6</v>
      </c>
      <c r="M2095" s="20" t="s">
        <v>5154</v>
      </c>
      <c r="N2095" s="20" t="s">
        <v>4597</v>
      </c>
      <c r="O2095" s="20" t="s">
        <v>3892</v>
      </c>
      <c r="P2095" s="20" t="s">
        <v>4598</v>
      </c>
      <c r="Q2095" s="21">
        <v>194.5</v>
      </c>
      <c r="R2095" s="21">
        <v>200.5</v>
      </c>
      <c r="S2095" s="21">
        <v>3</v>
      </c>
      <c r="T2095" s="22">
        <v>11.04</v>
      </c>
      <c r="U2095" s="13">
        <f t="shared" si="131"/>
        <v>-0.5600000000000005</v>
      </c>
      <c r="V2095" s="23">
        <v>1352.4</v>
      </c>
      <c r="W2095" s="23">
        <v>1352.4</v>
      </c>
      <c r="X2095" s="20">
        <v>4</v>
      </c>
      <c r="Y2095" s="24" t="s">
        <v>3713</v>
      </c>
      <c r="Z2095" s="16">
        <v>1130.4000000000001</v>
      </c>
      <c r="AA2095" s="17">
        <v>509.2</v>
      </c>
      <c r="AB2095" s="25" t="s">
        <v>4119</v>
      </c>
    </row>
    <row r="2096" spans="1:28" x14ac:dyDescent="0.45">
      <c r="A2096" s="4" t="s">
        <v>2694</v>
      </c>
      <c r="B2096" s="4" t="s">
        <v>7186</v>
      </c>
      <c r="C2096" s="4" t="s">
        <v>2137</v>
      </c>
      <c r="D2096" s="4" t="s">
        <v>2138</v>
      </c>
      <c r="E2096" s="4" t="s">
        <v>2139</v>
      </c>
      <c r="F2096" s="5">
        <v>196.22</v>
      </c>
      <c r="G2096" s="5">
        <v>206.88</v>
      </c>
      <c r="H2096" s="4" t="s">
        <v>1201</v>
      </c>
      <c r="I2096" s="10">
        <v>446</v>
      </c>
      <c r="J2096" s="34">
        <f t="shared" si="128"/>
        <v>3.8801999999999999</v>
      </c>
      <c r="K2096" s="34">
        <f t="shared" si="129"/>
        <v>5.82</v>
      </c>
      <c r="L2096" s="34">
        <f t="shared" si="130"/>
        <v>23.28</v>
      </c>
      <c r="M2096" s="11" t="s">
        <v>5155</v>
      </c>
      <c r="N2096" s="11" t="s">
        <v>4597</v>
      </c>
      <c r="O2096" s="11" t="s">
        <v>3892</v>
      </c>
      <c r="P2096" s="11" t="s">
        <v>4598</v>
      </c>
      <c r="Q2096" s="12">
        <v>196.08799999999999</v>
      </c>
      <c r="R2096" s="12">
        <v>206.756</v>
      </c>
      <c r="S2096" s="12">
        <v>5.3339999999999996</v>
      </c>
      <c r="T2096" s="13">
        <v>9.85</v>
      </c>
      <c r="U2096" s="13">
        <f t="shared" si="131"/>
        <v>-13.430000000000001</v>
      </c>
      <c r="V2096" s="14">
        <v>1206.6199999999999</v>
      </c>
      <c r="W2096" s="14">
        <v>1206.6199999999999</v>
      </c>
      <c r="X2096" s="11">
        <v>73</v>
      </c>
      <c r="Y2096" s="15" t="s">
        <v>3737</v>
      </c>
      <c r="Z2096" s="16">
        <v>760.61999999999989</v>
      </c>
      <c r="AA2096" s="17">
        <v>170.5</v>
      </c>
      <c r="AB2096" s="18" t="s">
        <v>4189</v>
      </c>
    </row>
    <row r="2097" spans="1:28" x14ac:dyDescent="0.45">
      <c r="A2097" s="2" t="s">
        <v>2695</v>
      </c>
      <c r="B2097" s="2" t="s">
        <v>7187</v>
      </c>
      <c r="C2097" s="2" t="s">
        <v>2137</v>
      </c>
      <c r="D2097" s="2" t="s">
        <v>2138</v>
      </c>
      <c r="E2097" s="2" t="s">
        <v>2139</v>
      </c>
      <c r="F2097" s="3">
        <v>196.22</v>
      </c>
      <c r="G2097" s="3">
        <v>210.2</v>
      </c>
      <c r="H2097" s="2" t="s">
        <v>1368</v>
      </c>
      <c r="I2097" s="19">
        <v>892</v>
      </c>
      <c r="J2097" s="34">
        <f t="shared" si="128"/>
        <v>7.7603999999999997</v>
      </c>
      <c r="K2097" s="34">
        <f t="shared" si="129"/>
        <v>11.64</v>
      </c>
      <c r="L2097" s="34">
        <f t="shared" si="130"/>
        <v>46.56</v>
      </c>
      <c r="M2097" s="20" t="s">
        <v>5156</v>
      </c>
      <c r="N2097" s="20" t="s">
        <v>4597</v>
      </c>
      <c r="O2097" s="20" t="s">
        <v>3892</v>
      </c>
      <c r="P2097" s="20" t="s">
        <v>4598</v>
      </c>
      <c r="Q2097" s="21">
        <v>196.08799999999999</v>
      </c>
      <c r="R2097" s="21">
        <v>210.31200000000001</v>
      </c>
      <c r="S2097" s="21">
        <v>7.1120000000000001</v>
      </c>
      <c r="T2097" s="22">
        <v>22.05</v>
      </c>
      <c r="U2097" s="13">
        <f t="shared" si="131"/>
        <v>-24.51</v>
      </c>
      <c r="V2097" s="23">
        <v>2701.12</v>
      </c>
      <c r="W2097" s="23">
        <v>2701.12</v>
      </c>
      <c r="X2097" s="20">
        <v>8</v>
      </c>
      <c r="Y2097" s="24" t="s">
        <v>3737</v>
      </c>
      <c r="Z2097" s="16">
        <v>1809.12</v>
      </c>
      <c r="AA2097" s="17">
        <v>202.8</v>
      </c>
      <c r="AB2097" s="25" t="s">
        <v>4199</v>
      </c>
    </row>
    <row r="2098" spans="1:28" x14ac:dyDescent="0.45">
      <c r="A2098" s="4" t="s">
        <v>2696</v>
      </c>
      <c r="B2098" s="4" t="s">
        <v>7188</v>
      </c>
      <c r="C2098" s="4" t="s">
        <v>2137</v>
      </c>
      <c r="D2098" s="4" t="s">
        <v>2138</v>
      </c>
      <c r="E2098" s="4" t="s">
        <v>2139</v>
      </c>
      <c r="F2098" s="5">
        <v>196.44</v>
      </c>
      <c r="G2098" s="5">
        <v>203.5</v>
      </c>
      <c r="H2098" s="4" t="s">
        <v>1156</v>
      </c>
      <c r="I2098" s="10">
        <v>224</v>
      </c>
      <c r="J2098" s="34">
        <f t="shared" si="128"/>
        <v>1.9487999999999999</v>
      </c>
      <c r="K2098" s="34">
        <f t="shared" si="129"/>
        <v>2.92</v>
      </c>
      <c r="L2098" s="34">
        <f t="shared" si="130"/>
        <v>11.68</v>
      </c>
      <c r="M2098" s="11" t="s">
        <v>5157</v>
      </c>
      <c r="N2098" s="11" t="s">
        <v>4597</v>
      </c>
      <c r="O2098" s="11" t="s">
        <v>3892</v>
      </c>
      <c r="P2098" s="11" t="s">
        <v>4598</v>
      </c>
      <c r="Q2098" s="12">
        <v>196.34200000000001</v>
      </c>
      <c r="R2098" s="12">
        <v>203.45400000000001</v>
      </c>
      <c r="S2098" s="12">
        <v>3.556</v>
      </c>
      <c r="T2098" s="13">
        <v>7.33</v>
      </c>
      <c r="U2098" s="13">
        <f t="shared" si="131"/>
        <v>-4.3499999999999996</v>
      </c>
      <c r="V2098" s="14">
        <v>897.92</v>
      </c>
      <c r="W2098" s="14">
        <v>897.92</v>
      </c>
      <c r="X2098" s="11">
        <v>14</v>
      </c>
      <c r="Y2098" s="15" t="s">
        <v>3737</v>
      </c>
      <c r="Z2098" s="16">
        <v>673.92</v>
      </c>
      <c r="AA2098" s="17">
        <v>300.89999999999998</v>
      </c>
      <c r="AB2098" s="18" t="s">
        <v>3963</v>
      </c>
    </row>
    <row r="2099" spans="1:28" x14ac:dyDescent="0.45">
      <c r="A2099" s="2" t="s">
        <v>2697</v>
      </c>
      <c r="B2099" s="2" t="s">
        <v>7189</v>
      </c>
      <c r="C2099" s="2" t="s">
        <v>2137</v>
      </c>
      <c r="D2099" s="2" t="s">
        <v>2138</v>
      </c>
      <c r="E2099" s="2" t="s">
        <v>2139</v>
      </c>
      <c r="F2099" s="3">
        <v>199.2</v>
      </c>
      <c r="G2099" s="3">
        <v>210.6</v>
      </c>
      <c r="H2099" s="2" t="s">
        <v>1297</v>
      </c>
      <c r="I2099" s="19">
        <v>905</v>
      </c>
      <c r="J2099" s="34">
        <f t="shared" si="128"/>
        <v>7.8734999999999991</v>
      </c>
      <c r="K2099" s="34">
        <f t="shared" si="129"/>
        <v>11.81</v>
      </c>
      <c r="L2099" s="34">
        <f t="shared" si="130"/>
        <v>47.24</v>
      </c>
      <c r="M2099" s="20" t="s">
        <v>5158</v>
      </c>
      <c r="N2099" s="20" t="s">
        <v>4597</v>
      </c>
      <c r="O2099" s="20" t="s">
        <v>3892</v>
      </c>
      <c r="P2099" s="20" t="s">
        <v>4598</v>
      </c>
      <c r="Q2099" s="21">
        <v>199.3</v>
      </c>
      <c r="R2099" s="21">
        <v>210.7</v>
      </c>
      <c r="S2099" s="21">
        <v>5.7</v>
      </c>
      <c r="T2099" s="22">
        <v>26.1</v>
      </c>
      <c r="U2099" s="13">
        <f t="shared" si="131"/>
        <v>-21.14</v>
      </c>
      <c r="V2099" s="23">
        <v>3197.25</v>
      </c>
      <c r="W2099" s="23">
        <v>3197.25</v>
      </c>
      <c r="X2099" s="20">
        <v>5</v>
      </c>
      <c r="Y2099" s="24" t="s">
        <v>3713</v>
      </c>
      <c r="Z2099" s="16">
        <v>2292.25</v>
      </c>
      <c r="AA2099" s="17">
        <v>253.3</v>
      </c>
      <c r="AB2099" s="25" t="s">
        <v>4119</v>
      </c>
    </row>
    <row r="2100" spans="1:28" x14ac:dyDescent="0.45">
      <c r="A2100" s="4" t="s">
        <v>2698</v>
      </c>
      <c r="B2100" s="4" t="s">
        <v>7190</v>
      </c>
      <c r="C2100" s="4" t="s">
        <v>2137</v>
      </c>
      <c r="D2100" s="4" t="s">
        <v>2138</v>
      </c>
      <c r="E2100" s="4" t="s">
        <v>2139</v>
      </c>
      <c r="F2100" s="5">
        <v>200</v>
      </c>
      <c r="G2100" s="5">
        <v>210</v>
      </c>
      <c r="H2100" s="4" t="s">
        <v>1245</v>
      </c>
      <c r="I2100" s="10">
        <v>454</v>
      </c>
      <c r="J2100" s="34">
        <f t="shared" si="128"/>
        <v>3.9497999999999998</v>
      </c>
      <c r="K2100" s="34">
        <f t="shared" si="129"/>
        <v>5.92</v>
      </c>
      <c r="L2100" s="34">
        <f t="shared" si="130"/>
        <v>23.68</v>
      </c>
      <c r="M2100" s="11" t="s">
        <v>5158</v>
      </c>
      <c r="N2100" s="11" t="s">
        <v>4597</v>
      </c>
      <c r="O2100" s="11" t="s">
        <v>3892</v>
      </c>
      <c r="P2100" s="11" t="s">
        <v>4598</v>
      </c>
      <c r="Q2100" s="12">
        <v>199.3</v>
      </c>
      <c r="R2100" s="12">
        <v>210.7</v>
      </c>
      <c r="S2100" s="12">
        <v>5.7</v>
      </c>
      <c r="T2100" s="13">
        <v>26.1</v>
      </c>
      <c r="U2100" s="13">
        <f t="shared" si="131"/>
        <v>2.4200000000000017</v>
      </c>
      <c r="V2100" s="14">
        <v>3197.25</v>
      </c>
      <c r="W2100" s="14">
        <v>3197.25</v>
      </c>
      <c r="X2100" s="11">
        <v>5</v>
      </c>
      <c r="Y2100" s="15" t="s">
        <v>3713</v>
      </c>
      <c r="Z2100" s="16">
        <v>2743.25</v>
      </c>
      <c r="AA2100" s="17">
        <v>604.20000000000005</v>
      </c>
      <c r="AB2100" s="18" t="s">
        <v>4899</v>
      </c>
    </row>
    <row r="2101" spans="1:28" x14ac:dyDescent="0.45">
      <c r="A2101" s="2" t="s">
        <v>2699</v>
      </c>
      <c r="B2101" s="2" t="s">
        <v>7191</v>
      </c>
      <c r="C2101" s="2" t="s">
        <v>2137</v>
      </c>
      <c r="D2101" s="2" t="s">
        <v>2138</v>
      </c>
      <c r="E2101" s="2" t="s">
        <v>2139</v>
      </c>
      <c r="F2101" s="3">
        <v>202.57</v>
      </c>
      <c r="G2101" s="3">
        <v>209.63</v>
      </c>
      <c r="H2101" s="2" t="s">
        <v>1156</v>
      </c>
      <c r="I2101" s="19">
        <v>230</v>
      </c>
      <c r="J2101" s="34">
        <f t="shared" si="128"/>
        <v>2.0009999999999999</v>
      </c>
      <c r="K2101" s="34">
        <f t="shared" si="129"/>
        <v>3</v>
      </c>
      <c r="L2101" s="34">
        <f t="shared" si="130"/>
        <v>12</v>
      </c>
      <c r="M2101" s="20" t="s">
        <v>5159</v>
      </c>
      <c r="N2101" s="20" t="s">
        <v>4597</v>
      </c>
      <c r="O2101" s="20" t="s">
        <v>3892</v>
      </c>
      <c r="P2101" s="20" t="s">
        <v>4598</v>
      </c>
      <c r="Q2101" s="21">
        <v>202.69200000000001</v>
      </c>
      <c r="R2101" s="21">
        <v>209.804</v>
      </c>
      <c r="S2101" s="21">
        <v>3.556</v>
      </c>
      <c r="T2101" s="22">
        <v>12.19</v>
      </c>
      <c r="U2101" s="13">
        <f t="shared" si="131"/>
        <v>0.1899999999999995</v>
      </c>
      <c r="V2101" s="23">
        <v>1493.28</v>
      </c>
      <c r="W2101" s="23">
        <v>1493.28</v>
      </c>
      <c r="X2101" s="20">
        <v>43</v>
      </c>
      <c r="Y2101" s="24" t="s">
        <v>3737</v>
      </c>
      <c r="Z2101" s="16">
        <v>1263.28</v>
      </c>
      <c r="AA2101" s="17">
        <v>549.29999999999995</v>
      </c>
      <c r="AB2101" s="25" t="s">
        <v>5030</v>
      </c>
    </row>
    <row r="2102" spans="1:28" x14ac:dyDescent="0.45">
      <c r="A2102" s="4" t="s">
        <v>2700</v>
      </c>
      <c r="B2102" s="4" t="s">
        <v>7192</v>
      </c>
      <c r="C2102" s="4" t="s">
        <v>2137</v>
      </c>
      <c r="D2102" s="4" t="s">
        <v>2138</v>
      </c>
      <c r="E2102" s="4" t="s">
        <v>2139</v>
      </c>
      <c r="F2102" s="5">
        <v>202.57</v>
      </c>
      <c r="G2102" s="5">
        <v>213.23</v>
      </c>
      <c r="H2102" s="4" t="s">
        <v>1201</v>
      </c>
      <c r="I2102" s="10">
        <v>461</v>
      </c>
      <c r="J2102" s="34">
        <f t="shared" si="128"/>
        <v>4.0106999999999999</v>
      </c>
      <c r="K2102" s="34">
        <f t="shared" si="129"/>
        <v>6.02</v>
      </c>
      <c r="L2102" s="34">
        <f t="shared" si="130"/>
        <v>24.08</v>
      </c>
      <c r="M2102" s="11" t="s">
        <v>5160</v>
      </c>
      <c r="N2102" s="11" t="s">
        <v>4597</v>
      </c>
      <c r="O2102" s="11" t="s">
        <v>3892</v>
      </c>
      <c r="P2102" s="11" t="s">
        <v>4598</v>
      </c>
      <c r="Q2102" s="12">
        <v>202.43799999999999</v>
      </c>
      <c r="R2102" s="12">
        <v>213.10599999999999</v>
      </c>
      <c r="S2102" s="12">
        <v>5.3339999999999996</v>
      </c>
      <c r="T2102" s="13">
        <v>5.93</v>
      </c>
      <c r="U2102" s="13">
        <f t="shared" si="131"/>
        <v>-18.149999999999999</v>
      </c>
      <c r="V2102" s="14">
        <v>726.42</v>
      </c>
      <c r="W2102" s="14">
        <v>726.42</v>
      </c>
      <c r="X2102" s="11" t="s">
        <v>3722</v>
      </c>
      <c r="Y2102" s="15" t="s">
        <v>3737</v>
      </c>
      <c r="Z2102" s="16">
        <v>265.42</v>
      </c>
      <c r="AA2102" s="17">
        <v>57.6</v>
      </c>
      <c r="AB2102" s="18" t="s">
        <v>4189</v>
      </c>
    </row>
    <row r="2103" spans="1:28" x14ac:dyDescent="0.45">
      <c r="A2103" s="2" t="s">
        <v>2701</v>
      </c>
      <c r="B2103" s="2" t="s">
        <v>7193</v>
      </c>
      <c r="C2103" s="2" t="s">
        <v>2137</v>
      </c>
      <c r="D2103" s="2" t="s">
        <v>2138</v>
      </c>
      <c r="E2103" s="2" t="s">
        <v>2139</v>
      </c>
      <c r="F2103" s="3">
        <v>202.57</v>
      </c>
      <c r="G2103" s="3">
        <v>216.55</v>
      </c>
      <c r="H2103" s="2" t="s">
        <v>1368</v>
      </c>
      <c r="I2103" s="19">
        <v>921</v>
      </c>
      <c r="J2103" s="34">
        <f t="shared" si="128"/>
        <v>8.0126999999999988</v>
      </c>
      <c r="K2103" s="34">
        <f t="shared" si="129"/>
        <v>12.02</v>
      </c>
      <c r="L2103" s="34">
        <f t="shared" si="130"/>
        <v>48.08</v>
      </c>
      <c r="M2103" s="20" t="s">
        <v>5161</v>
      </c>
      <c r="N2103" s="20" t="s">
        <v>4597</v>
      </c>
      <c r="O2103" s="20" t="s">
        <v>3892</v>
      </c>
      <c r="P2103" s="20" t="s">
        <v>4598</v>
      </c>
      <c r="Q2103" s="21">
        <v>202.43799999999999</v>
      </c>
      <c r="R2103" s="21">
        <v>216.66200000000001</v>
      </c>
      <c r="S2103" s="21">
        <v>7.1120000000000001</v>
      </c>
      <c r="T2103" s="22">
        <v>15.18</v>
      </c>
      <c r="U2103" s="13">
        <f t="shared" si="131"/>
        <v>-32.9</v>
      </c>
      <c r="V2103" s="23">
        <v>1859.55</v>
      </c>
      <c r="W2103" s="23">
        <v>1859.55</v>
      </c>
      <c r="X2103" s="20" t="s">
        <v>3722</v>
      </c>
      <c r="Y2103" s="24" t="s">
        <v>3737</v>
      </c>
      <c r="Z2103" s="16">
        <v>938.55</v>
      </c>
      <c r="AA2103" s="17">
        <v>101.9</v>
      </c>
      <c r="AB2103" s="25" t="s">
        <v>4199</v>
      </c>
    </row>
    <row r="2104" spans="1:28" x14ac:dyDescent="0.45">
      <c r="A2104" s="4" t="s">
        <v>2702</v>
      </c>
      <c r="B2104" s="4" t="s">
        <v>7194</v>
      </c>
      <c r="C2104" s="4" t="s">
        <v>2137</v>
      </c>
      <c r="D2104" s="4" t="s">
        <v>2138</v>
      </c>
      <c r="E2104" s="4" t="s">
        <v>2139</v>
      </c>
      <c r="F2104" s="5">
        <v>204.2</v>
      </c>
      <c r="G2104" s="5">
        <v>215.6</v>
      </c>
      <c r="H2104" s="4" t="s">
        <v>1297</v>
      </c>
      <c r="I2104" s="10">
        <v>929</v>
      </c>
      <c r="J2104" s="34">
        <f t="shared" si="128"/>
        <v>8.0823</v>
      </c>
      <c r="K2104" s="34">
        <f t="shared" si="129"/>
        <v>12.12</v>
      </c>
      <c r="L2104" s="34">
        <f t="shared" si="130"/>
        <v>48.48</v>
      </c>
      <c r="M2104" s="11" t="s">
        <v>5162</v>
      </c>
      <c r="N2104" s="11" t="s">
        <v>4597</v>
      </c>
      <c r="O2104" s="11" t="s">
        <v>3892</v>
      </c>
      <c r="P2104" s="11" t="s">
        <v>4598</v>
      </c>
      <c r="Q2104" s="12">
        <v>205</v>
      </c>
      <c r="R2104" s="12">
        <v>217</v>
      </c>
      <c r="S2104" s="12">
        <v>6</v>
      </c>
      <c r="T2104" s="13">
        <v>25.47</v>
      </c>
      <c r="U2104" s="13">
        <f t="shared" si="131"/>
        <v>-23.009999999999998</v>
      </c>
      <c r="V2104" s="14">
        <v>3120.08</v>
      </c>
      <c r="W2104" s="14">
        <v>3120.08</v>
      </c>
      <c r="X2104" s="11">
        <v>1</v>
      </c>
      <c r="Y2104" s="15" t="s">
        <v>3713</v>
      </c>
      <c r="Z2104" s="16">
        <v>2191.08</v>
      </c>
      <c r="AA2104" s="17">
        <v>235.9</v>
      </c>
      <c r="AB2104" s="18" t="s">
        <v>5163</v>
      </c>
    </row>
    <row r="2105" spans="1:28" x14ac:dyDescent="0.45">
      <c r="A2105" s="2" t="s">
        <v>2703</v>
      </c>
      <c r="B2105" s="2" t="s">
        <v>7195</v>
      </c>
      <c r="C2105" s="2" t="s">
        <v>2137</v>
      </c>
      <c r="D2105" s="2" t="s">
        <v>2138</v>
      </c>
      <c r="E2105" s="2" t="s">
        <v>2139</v>
      </c>
      <c r="F2105" s="3">
        <v>208.92</v>
      </c>
      <c r="G2105" s="3">
        <v>222.9</v>
      </c>
      <c r="H2105" s="2" t="s">
        <v>1368</v>
      </c>
      <c r="I2105" s="19">
        <v>951</v>
      </c>
      <c r="J2105" s="34">
        <f t="shared" si="128"/>
        <v>8.2736999999999998</v>
      </c>
      <c r="K2105" s="34">
        <f t="shared" si="129"/>
        <v>12.41</v>
      </c>
      <c r="L2105" s="34">
        <f t="shared" si="130"/>
        <v>49.64</v>
      </c>
      <c r="M2105" s="20" t="s">
        <v>5164</v>
      </c>
      <c r="N2105" s="20" t="s">
        <v>4597</v>
      </c>
      <c r="O2105" s="20" t="s">
        <v>3892</v>
      </c>
      <c r="P2105" s="20" t="s">
        <v>4598</v>
      </c>
      <c r="Q2105" s="21">
        <v>208.78800000000001</v>
      </c>
      <c r="R2105" s="21">
        <v>223.012</v>
      </c>
      <c r="S2105" s="21">
        <v>7.1120000000000001</v>
      </c>
      <c r="T2105" s="22">
        <v>18.23</v>
      </c>
      <c r="U2105" s="13">
        <f t="shared" si="131"/>
        <v>-31.41</v>
      </c>
      <c r="V2105" s="23">
        <v>2233.1799999999998</v>
      </c>
      <c r="W2105" s="23">
        <v>2233.1799999999998</v>
      </c>
      <c r="X2105" s="20">
        <v>4</v>
      </c>
      <c r="Y2105" s="24" t="s">
        <v>3737</v>
      </c>
      <c r="Z2105" s="16">
        <v>1282.18</v>
      </c>
      <c r="AA2105" s="17">
        <v>134.80000000000001</v>
      </c>
      <c r="AB2105" s="25" t="s">
        <v>4199</v>
      </c>
    </row>
    <row r="2106" spans="1:28" x14ac:dyDescent="0.45">
      <c r="A2106" s="4" t="s">
        <v>2704</v>
      </c>
      <c r="B2106" s="4" t="s">
        <v>7196</v>
      </c>
      <c r="C2106" s="4" t="s">
        <v>2137</v>
      </c>
      <c r="D2106" s="4" t="s">
        <v>2138</v>
      </c>
      <c r="E2106" s="4" t="s">
        <v>2139</v>
      </c>
      <c r="F2106" s="5">
        <v>208.97</v>
      </c>
      <c r="G2106" s="5">
        <v>219.63</v>
      </c>
      <c r="H2106" s="4" t="s">
        <v>1201</v>
      </c>
      <c r="I2106" s="10">
        <v>476</v>
      </c>
      <c r="J2106" s="34">
        <f t="shared" si="128"/>
        <v>4.1411999999999995</v>
      </c>
      <c r="K2106" s="34">
        <f t="shared" si="129"/>
        <v>6.21</v>
      </c>
      <c r="L2106" s="34">
        <f t="shared" si="130"/>
        <v>24.84</v>
      </c>
      <c r="M2106" s="11" t="s">
        <v>5165</v>
      </c>
      <c r="N2106" s="11" t="s">
        <v>4597</v>
      </c>
      <c r="O2106" s="11" t="s">
        <v>3892</v>
      </c>
      <c r="P2106" s="11" t="s">
        <v>4598</v>
      </c>
      <c r="Q2106" s="12">
        <v>208.78800000000001</v>
      </c>
      <c r="R2106" s="12">
        <v>219.45599999999999</v>
      </c>
      <c r="S2106" s="12">
        <v>5.3339999999999996</v>
      </c>
      <c r="T2106" s="13">
        <v>14.46</v>
      </c>
      <c r="U2106" s="13">
        <f t="shared" si="131"/>
        <v>-10.379999999999999</v>
      </c>
      <c r="V2106" s="14">
        <v>1771.35</v>
      </c>
      <c r="W2106" s="14">
        <v>1771.35</v>
      </c>
      <c r="X2106" s="11">
        <v>3</v>
      </c>
      <c r="Y2106" s="15" t="s">
        <v>3737</v>
      </c>
      <c r="Z2106" s="16">
        <v>1295.3499999999999</v>
      </c>
      <c r="AA2106" s="17">
        <v>272.10000000000002</v>
      </c>
      <c r="AB2106" s="18" t="s">
        <v>4291</v>
      </c>
    </row>
    <row r="2107" spans="1:28" x14ac:dyDescent="0.45">
      <c r="A2107" s="2" t="s">
        <v>2705</v>
      </c>
      <c r="B2107" s="2" t="s">
        <v>7197</v>
      </c>
      <c r="C2107" s="2" t="s">
        <v>2137</v>
      </c>
      <c r="D2107" s="2" t="s">
        <v>2138</v>
      </c>
      <c r="E2107" s="2" t="s">
        <v>2139</v>
      </c>
      <c r="F2107" s="3">
        <v>209.14</v>
      </c>
      <c r="G2107" s="3">
        <v>216.2</v>
      </c>
      <c r="H2107" s="2" t="s">
        <v>1156</v>
      </c>
      <c r="I2107" s="19">
        <v>239</v>
      </c>
      <c r="J2107" s="34">
        <f t="shared" si="128"/>
        <v>2.0792999999999999</v>
      </c>
      <c r="K2107" s="34">
        <f t="shared" si="129"/>
        <v>3.12</v>
      </c>
      <c r="L2107" s="34">
        <f t="shared" si="130"/>
        <v>12.48</v>
      </c>
      <c r="M2107" s="20" t="s">
        <v>5166</v>
      </c>
      <c r="N2107" s="20" t="s">
        <v>4597</v>
      </c>
      <c r="O2107" s="20" t="s">
        <v>3892</v>
      </c>
      <c r="P2107" s="20" t="s">
        <v>4598</v>
      </c>
      <c r="Q2107" s="21">
        <v>209.042</v>
      </c>
      <c r="R2107" s="21">
        <v>216.154</v>
      </c>
      <c r="S2107" s="21">
        <v>3.556</v>
      </c>
      <c r="T2107" s="22">
        <v>15.19</v>
      </c>
      <c r="U2107" s="13">
        <f t="shared" si="131"/>
        <v>2.7099999999999991</v>
      </c>
      <c r="V2107" s="23">
        <v>1860.78</v>
      </c>
      <c r="W2107" s="23">
        <v>1860.78</v>
      </c>
      <c r="X2107" s="20">
        <v>7</v>
      </c>
      <c r="Y2107" s="24" t="s">
        <v>3737</v>
      </c>
      <c r="Z2107" s="16">
        <v>1621.78</v>
      </c>
      <c r="AA2107" s="17">
        <v>678.6</v>
      </c>
      <c r="AB2107" s="25" t="s">
        <v>3963</v>
      </c>
    </row>
    <row r="2108" spans="1:28" x14ac:dyDescent="0.45">
      <c r="A2108" s="4" t="s">
        <v>2706</v>
      </c>
      <c r="B2108" s="4" t="s">
        <v>7198</v>
      </c>
      <c r="C2108" s="4" t="s">
        <v>2137</v>
      </c>
      <c r="D2108" s="4" t="s">
        <v>2138</v>
      </c>
      <c r="E2108" s="4" t="s">
        <v>2139</v>
      </c>
      <c r="F2108" s="5">
        <v>209.2</v>
      </c>
      <c r="G2108" s="5">
        <v>220.6</v>
      </c>
      <c r="H2108" s="4" t="s">
        <v>1297</v>
      </c>
      <c r="I2108" s="10">
        <v>951</v>
      </c>
      <c r="J2108" s="34">
        <f t="shared" si="128"/>
        <v>8.2736999999999998</v>
      </c>
      <c r="K2108" s="34">
        <f t="shared" si="129"/>
        <v>12.41</v>
      </c>
      <c r="L2108" s="34">
        <f t="shared" si="130"/>
        <v>49.64</v>
      </c>
      <c r="M2108" s="11" t="s">
        <v>5167</v>
      </c>
      <c r="N2108" s="11" t="s">
        <v>4597</v>
      </c>
      <c r="O2108" s="11" t="s">
        <v>3892</v>
      </c>
      <c r="P2108" s="11" t="s">
        <v>4598</v>
      </c>
      <c r="Q2108" s="12">
        <v>209.3</v>
      </c>
      <c r="R2108" s="12">
        <v>220.7</v>
      </c>
      <c r="S2108" s="12">
        <v>5.7</v>
      </c>
      <c r="T2108" s="13">
        <v>23.14</v>
      </c>
      <c r="U2108" s="13">
        <f t="shared" si="131"/>
        <v>-26.5</v>
      </c>
      <c r="V2108" s="14">
        <v>2834.65</v>
      </c>
      <c r="W2108" s="14">
        <v>2834.65</v>
      </c>
      <c r="X2108" s="11">
        <v>4</v>
      </c>
      <c r="Y2108" s="15" t="s">
        <v>3713</v>
      </c>
      <c r="Z2108" s="16">
        <v>1883.65</v>
      </c>
      <c r="AA2108" s="17">
        <v>198.1</v>
      </c>
      <c r="AB2108" s="18" t="s">
        <v>4119</v>
      </c>
    </row>
    <row r="2109" spans="1:28" x14ac:dyDescent="0.45">
      <c r="A2109" s="2" t="s">
        <v>2707</v>
      </c>
      <c r="B2109" s="2" t="s">
        <v>7199</v>
      </c>
      <c r="C2109" s="2" t="s">
        <v>2137</v>
      </c>
      <c r="D2109" s="2" t="s">
        <v>2138</v>
      </c>
      <c r="E2109" s="2" t="s">
        <v>2139</v>
      </c>
      <c r="F2109" s="3">
        <v>209.4</v>
      </c>
      <c r="G2109" s="3">
        <v>215.6</v>
      </c>
      <c r="H2109" s="2" t="s">
        <v>1221</v>
      </c>
      <c r="I2109" s="19">
        <v>239</v>
      </c>
      <c r="J2109" s="34">
        <f t="shared" si="128"/>
        <v>2.0792999999999999</v>
      </c>
      <c r="K2109" s="34">
        <f t="shared" si="129"/>
        <v>3.12</v>
      </c>
      <c r="L2109" s="34">
        <f t="shared" si="130"/>
        <v>12.48</v>
      </c>
      <c r="M2109" s="20" t="s">
        <v>5166</v>
      </c>
      <c r="N2109" s="20" t="s">
        <v>4597</v>
      </c>
      <c r="O2109" s="20" t="s">
        <v>3892</v>
      </c>
      <c r="P2109" s="20" t="s">
        <v>4598</v>
      </c>
      <c r="Q2109" s="21">
        <v>209.042</v>
      </c>
      <c r="R2109" s="21">
        <v>216.154</v>
      </c>
      <c r="S2109" s="21">
        <v>3.556</v>
      </c>
      <c r="T2109" s="22">
        <v>15.19</v>
      </c>
      <c r="U2109" s="13">
        <f t="shared" si="131"/>
        <v>2.7099999999999991</v>
      </c>
      <c r="V2109" s="23">
        <v>1860.78</v>
      </c>
      <c r="W2109" s="23">
        <v>1860.78</v>
      </c>
      <c r="X2109" s="20">
        <v>7</v>
      </c>
      <c r="Y2109" s="24" t="s">
        <v>3737</v>
      </c>
      <c r="Z2109" s="16">
        <v>1621.78</v>
      </c>
      <c r="AA2109" s="17">
        <v>678.6</v>
      </c>
      <c r="AB2109" s="25" t="s">
        <v>5168</v>
      </c>
    </row>
    <row r="2110" spans="1:28" x14ac:dyDescent="0.45">
      <c r="A2110" s="4" t="s">
        <v>2708</v>
      </c>
      <c r="B2110" s="4" t="s">
        <v>7200</v>
      </c>
      <c r="C2110" s="4" t="s">
        <v>2137</v>
      </c>
      <c r="D2110" s="4" t="s">
        <v>2138</v>
      </c>
      <c r="E2110" s="4" t="s">
        <v>2139</v>
      </c>
      <c r="F2110" s="5">
        <v>214.2</v>
      </c>
      <c r="G2110" s="5">
        <v>225.6</v>
      </c>
      <c r="H2110" s="4" t="s">
        <v>1297</v>
      </c>
      <c r="I2110" s="10">
        <v>974</v>
      </c>
      <c r="J2110" s="34">
        <f t="shared" si="128"/>
        <v>8.4737999999999989</v>
      </c>
      <c r="K2110" s="34">
        <f t="shared" si="129"/>
        <v>12.71</v>
      </c>
      <c r="L2110" s="34">
        <f t="shared" si="130"/>
        <v>50.84</v>
      </c>
      <c r="M2110" s="11" t="s">
        <v>5169</v>
      </c>
      <c r="N2110" s="11" t="s">
        <v>4597</v>
      </c>
      <c r="O2110" s="11" t="s">
        <v>3892</v>
      </c>
      <c r="P2110" s="11" t="s">
        <v>4598</v>
      </c>
      <c r="Q2110" s="12">
        <v>215.13800000000001</v>
      </c>
      <c r="R2110" s="12">
        <v>225.80600000000001</v>
      </c>
      <c r="S2110" s="12">
        <v>5.3339999999999996</v>
      </c>
      <c r="T2110" s="13">
        <v>21.55</v>
      </c>
      <c r="U2110" s="13">
        <f t="shared" si="131"/>
        <v>-29.290000000000003</v>
      </c>
      <c r="V2110" s="14">
        <v>2639.88</v>
      </c>
      <c r="W2110" s="14">
        <v>2639.88</v>
      </c>
      <c r="X2110" s="11">
        <v>11</v>
      </c>
      <c r="Y2110" s="15" t="s">
        <v>3737</v>
      </c>
      <c r="Z2110" s="16">
        <v>1665.88</v>
      </c>
      <c r="AA2110" s="17">
        <v>171</v>
      </c>
      <c r="AB2110" s="18" t="s">
        <v>5170</v>
      </c>
    </row>
    <row r="2111" spans="1:28" x14ac:dyDescent="0.45">
      <c r="A2111" s="2" t="s">
        <v>2709</v>
      </c>
      <c r="B2111" s="2" t="s">
        <v>7201</v>
      </c>
      <c r="C2111" s="2" t="s">
        <v>2137</v>
      </c>
      <c r="D2111" s="2" t="s">
        <v>2138</v>
      </c>
      <c r="E2111" s="2" t="s">
        <v>2139</v>
      </c>
      <c r="F2111" s="3">
        <v>215.27</v>
      </c>
      <c r="G2111" s="3">
        <v>229.25</v>
      </c>
      <c r="H2111" s="2" t="s">
        <v>1368</v>
      </c>
      <c r="I2111" s="19">
        <v>979</v>
      </c>
      <c r="J2111" s="34">
        <f t="shared" si="128"/>
        <v>8.5172999999999988</v>
      </c>
      <c r="K2111" s="34">
        <f t="shared" si="129"/>
        <v>12.78</v>
      </c>
      <c r="L2111" s="34">
        <f t="shared" si="130"/>
        <v>51.12</v>
      </c>
      <c r="M2111" s="20" t="s">
        <v>5171</v>
      </c>
      <c r="N2111" s="20" t="s">
        <v>4597</v>
      </c>
      <c r="O2111" s="20" t="s">
        <v>3892</v>
      </c>
      <c r="P2111" s="20" t="s">
        <v>4598</v>
      </c>
      <c r="Q2111" s="21">
        <v>215.13800000000001</v>
      </c>
      <c r="R2111" s="21">
        <v>229.36199999999999</v>
      </c>
      <c r="S2111" s="21">
        <v>7.1120000000000001</v>
      </c>
      <c r="T2111" s="22">
        <v>44.75</v>
      </c>
      <c r="U2111" s="13">
        <f t="shared" si="131"/>
        <v>-6.3699999999999974</v>
      </c>
      <c r="V2111" s="23">
        <v>5481.88</v>
      </c>
      <c r="W2111" s="23">
        <v>5481.88</v>
      </c>
      <c r="X2111" s="20">
        <v>7</v>
      </c>
      <c r="Y2111" s="24" t="s">
        <v>3737</v>
      </c>
      <c r="Z2111" s="16">
        <v>4502.88</v>
      </c>
      <c r="AA2111" s="17">
        <v>459.9</v>
      </c>
      <c r="AB2111" s="25" t="s">
        <v>4199</v>
      </c>
    </row>
    <row r="2112" spans="1:28" x14ac:dyDescent="0.45">
      <c r="A2112" s="4" t="s">
        <v>2710</v>
      </c>
      <c r="B2112" s="4" t="s">
        <v>7202</v>
      </c>
      <c r="C2112" s="4" t="s">
        <v>2137</v>
      </c>
      <c r="D2112" s="4" t="s">
        <v>2138</v>
      </c>
      <c r="E2112" s="4" t="s">
        <v>2139</v>
      </c>
      <c r="F2112" s="5">
        <v>215.2</v>
      </c>
      <c r="G2112" s="5">
        <v>225.86</v>
      </c>
      <c r="H2112" s="4" t="s">
        <v>1201</v>
      </c>
      <c r="I2112" s="10">
        <v>490</v>
      </c>
      <c r="J2112" s="34">
        <f t="shared" si="128"/>
        <v>4.2629999999999999</v>
      </c>
      <c r="K2112" s="34">
        <f t="shared" si="129"/>
        <v>6.39</v>
      </c>
      <c r="L2112" s="34">
        <f t="shared" si="130"/>
        <v>25.56</v>
      </c>
      <c r="M2112" s="11" t="s">
        <v>5169</v>
      </c>
      <c r="N2112" s="11" t="s">
        <v>4597</v>
      </c>
      <c r="O2112" s="11" t="s">
        <v>3892</v>
      </c>
      <c r="P2112" s="11" t="s">
        <v>4598</v>
      </c>
      <c r="Q2112" s="12">
        <v>215.13800000000001</v>
      </c>
      <c r="R2112" s="12">
        <v>225.80600000000001</v>
      </c>
      <c r="S2112" s="12">
        <v>5.3339999999999996</v>
      </c>
      <c r="T2112" s="13">
        <v>21.55</v>
      </c>
      <c r="U2112" s="13">
        <f t="shared" si="131"/>
        <v>-4.009999999999998</v>
      </c>
      <c r="V2112" s="14">
        <v>2639.88</v>
      </c>
      <c r="W2112" s="14">
        <v>2639.88</v>
      </c>
      <c r="X2112" s="11">
        <v>11</v>
      </c>
      <c r="Y2112" s="15" t="s">
        <v>3737</v>
      </c>
      <c r="Z2112" s="16">
        <v>2149.88</v>
      </c>
      <c r="AA2112" s="17">
        <v>438.8</v>
      </c>
      <c r="AB2112" s="18" t="s">
        <v>5172</v>
      </c>
    </row>
    <row r="2113" spans="1:28" x14ac:dyDescent="0.45">
      <c r="A2113" s="2" t="s">
        <v>2711</v>
      </c>
      <c r="B2113" s="2" t="s">
        <v>7203</v>
      </c>
      <c r="C2113" s="2" t="s">
        <v>2137</v>
      </c>
      <c r="D2113" s="2" t="s">
        <v>2138</v>
      </c>
      <c r="E2113" s="2" t="s">
        <v>2139</v>
      </c>
      <c r="F2113" s="3">
        <v>215.5</v>
      </c>
      <c r="G2113" s="3">
        <v>222.56</v>
      </c>
      <c r="H2113" s="2" t="s">
        <v>1156</v>
      </c>
      <c r="I2113" s="19">
        <v>246</v>
      </c>
      <c r="J2113" s="34">
        <f t="shared" si="128"/>
        <v>2.1401999999999997</v>
      </c>
      <c r="K2113" s="34">
        <f t="shared" si="129"/>
        <v>3.21</v>
      </c>
      <c r="L2113" s="34">
        <f t="shared" si="130"/>
        <v>12.84</v>
      </c>
      <c r="M2113" s="20" t="s">
        <v>5173</v>
      </c>
      <c r="N2113" s="20" t="s">
        <v>4597</v>
      </c>
      <c r="O2113" s="20" t="s">
        <v>3892</v>
      </c>
      <c r="P2113" s="20" t="s">
        <v>4598</v>
      </c>
      <c r="Q2113" s="21">
        <v>215.392</v>
      </c>
      <c r="R2113" s="21">
        <v>222.50399999999999</v>
      </c>
      <c r="S2113" s="21">
        <v>3.556</v>
      </c>
      <c r="T2113" s="22">
        <v>16.11</v>
      </c>
      <c r="U2113" s="13">
        <f t="shared" si="131"/>
        <v>3.2699999999999996</v>
      </c>
      <c r="V2113" s="23">
        <v>1973.48</v>
      </c>
      <c r="W2113" s="23">
        <v>1973.48</v>
      </c>
      <c r="X2113" s="20">
        <v>3</v>
      </c>
      <c r="Y2113" s="24" t="s">
        <v>3737</v>
      </c>
      <c r="Z2113" s="16">
        <v>1727.48</v>
      </c>
      <c r="AA2113" s="17">
        <v>702.2</v>
      </c>
      <c r="AB2113" s="25" t="s">
        <v>4981</v>
      </c>
    </row>
    <row r="2114" spans="1:28" x14ac:dyDescent="0.45">
      <c r="A2114" s="4" t="s">
        <v>2712</v>
      </c>
      <c r="B2114" s="4" t="s">
        <v>7204</v>
      </c>
      <c r="C2114" s="4" t="s">
        <v>2137</v>
      </c>
      <c r="D2114" s="4" t="s">
        <v>2138</v>
      </c>
      <c r="E2114" s="4" t="s">
        <v>2139</v>
      </c>
      <c r="F2114" s="5">
        <v>215</v>
      </c>
      <c r="G2114" s="5">
        <v>225</v>
      </c>
      <c r="H2114" s="4" t="s">
        <v>1245</v>
      </c>
      <c r="I2114" s="10">
        <v>490</v>
      </c>
      <c r="J2114" s="34">
        <f t="shared" si="128"/>
        <v>4.2629999999999999</v>
      </c>
      <c r="K2114" s="34">
        <f t="shared" si="129"/>
        <v>6.39</v>
      </c>
      <c r="L2114" s="34">
        <f t="shared" si="130"/>
        <v>25.56</v>
      </c>
      <c r="M2114" s="11" t="s">
        <v>5169</v>
      </c>
      <c r="N2114" s="11" t="s">
        <v>4597</v>
      </c>
      <c r="O2114" s="11" t="s">
        <v>3892</v>
      </c>
      <c r="P2114" s="11" t="s">
        <v>4598</v>
      </c>
      <c r="Q2114" s="12">
        <v>215.13800000000001</v>
      </c>
      <c r="R2114" s="12">
        <v>225.80600000000001</v>
      </c>
      <c r="S2114" s="12">
        <v>5.3339999999999996</v>
      </c>
      <c r="T2114" s="13">
        <v>21.55</v>
      </c>
      <c r="U2114" s="13">
        <f t="shared" si="131"/>
        <v>-4.009999999999998</v>
      </c>
      <c r="V2114" s="14">
        <v>2639.88</v>
      </c>
      <c r="W2114" s="14">
        <v>2639.88</v>
      </c>
      <c r="X2114" s="11">
        <v>11</v>
      </c>
      <c r="Y2114" s="15" t="s">
        <v>3737</v>
      </c>
      <c r="Z2114" s="16">
        <v>2149.88</v>
      </c>
      <c r="AA2114" s="17">
        <v>438.8</v>
      </c>
      <c r="AB2114" s="18" t="s">
        <v>5174</v>
      </c>
    </row>
    <row r="2115" spans="1:28" x14ac:dyDescent="0.45">
      <c r="A2115" s="2" t="s">
        <v>2713</v>
      </c>
      <c r="B2115" s="2" t="s">
        <v>7205</v>
      </c>
      <c r="C2115" s="2" t="s">
        <v>2137</v>
      </c>
      <c r="D2115" s="2" t="s">
        <v>2138</v>
      </c>
      <c r="E2115" s="2" t="s">
        <v>2139</v>
      </c>
      <c r="F2115" s="3">
        <v>219.2</v>
      </c>
      <c r="G2115" s="3">
        <v>230.6</v>
      </c>
      <c r="H2115" s="2" t="s">
        <v>1297</v>
      </c>
      <c r="I2115" s="19">
        <v>996</v>
      </c>
      <c r="J2115" s="34">
        <f t="shared" si="128"/>
        <v>8.6651999999999987</v>
      </c>
      <c r="K2115" s="34">
        <f t="shared" si="129"/>
        <v>13</v>
      </c>
      <c r="L2115" s="34">
        <f t="shared" si="130"/>
        <v>52</v>
      </c>
      <c r="M2115" s="20" t="s">
        <v>5175</v>
      </c>
      <c r="N2115" s="20" t="s">
        <v>4597</v>
      </c>
      <c r="O2115" s="20" t="s">
        <v>3892</v>
      </c>
      <c r="P2115" s="20" t="s">
        <v>4598</v>
      </c>
      <c r="Q2115" s="21">
        <v>219.3</v>
      </c>
      <c r="R2115" s="21">
        <v>230.7</v>
      </c>
      <c r="S2115" s="21">
        <v>5.7</v>
      </c>
      <c r="T2115" s="22">
        <v>27.91</v>
      </c>
      <c r="U2115" s="13">
        <f t="shared" si="131"/>
        <v>-24.09</v>
      </c>
      <c r="V2115" s="23">
        <v>3418.98</v>
      </c>
      <c r="W2115" s="23">
        <v>3418.98</v>
      </c>
      <c r="X2115" s="20" t="s">
        <v>3722</v>
      </c>
      <c r="Y2115" s="24" t="s">
        <v>3713</v>
      </c>
      <c r="Z2115" s="16">
        <v>2422.98</v>
      </c>
      <c r="AA2115" s="17">
        <v>243.3</v>
      </c>
      <c r="AB2115" s="25" t="s">
        <v>4119</v>
      </c>
    </row>
    <row r="2116" spans="1:28" x14ac:dyDescent="0.45">
      <c r="A2116" s="4" t="s">
        <v>2714</v>
      </c>
      <c r="B2116" s="4" t="s">
        <v>7206</v>
      </c>
      <c r="C2116" s="4" t="s">
        <v>2137</v>
      </c>
      <c r="D2116" s="4" t="s">
        <v>2138</v>
      </c>
      <c r="E2116" s="4" t="s">
        <v>2139</v>
      </c>
      <c r="F2116" s="5">
        <v>220</v>
      </c>
      <c r="G2116" s="5">
        <v>230</v>
      </c>
      <c r="H2116" s="4" t="s">
        <v>1245</v>
      </c>
      <c r="I2116" s="10">
        <v>500</v>
      </c>
      <c r="J2116" s="34">
        <f t="shared" si="128"/>
        <v>4.3499999999999996</v>
      </c>
      <c r="K2116" s="34">
        <f t="shared" si="129"/>
        <v>6.53</v>
      </c>
      <c r="L2116" s="34">
        <f t="shared" si="130"/>
        <v>26.12</v>
      </c>
      <c r="M2116" s="11" t="s">
        <v>5175</v>
      </c>
      <c r="N2116" s="11" t="s">
        <v>4597</v>
      </c>
      <c r="O2116" s="11" t="s">
        <v>3892</v>
      </c>
      <c r="P2116" s="11" t="s">
        <v>4598</v>
      </c>
      <c r="Q2116" s="12">
        <v>219.3</v>
      </c>
      <c r="R2116" s="12">
        <v>230.7</v>
      </c>
      <c r="S2116" s="12">
        <v>5.7</v>
      </c>
      <c r="T2116" s="13">
        <v>27.91</v>
      </c>
      <c r="U2116" s="13">
        <f t="shared" si="131"/>
        <v>1.7899999999999991</v>
      </c>
      <c r="V2116" s="14">
        <v>3418.98</v>
      </c>
      <c r="W2116" s="14">
        <v>3418.98</v>
      </c>
      <c r="X2116" s="11" t="s">
        <v>3722</v>
      </c>
      <c r="Y2116" s="15" t="s">
        <v>3713</v>
      </c>
      <c r="Z2116" s="16">
        <v>2918.98</v>
      </c>
      <c r="AA2116" s="17">
        <v>583.79999999999995</v>
      </c>
      <c r="AB2116" s="18" t="s">
        <v>4899</v>
      </c>
    </row>
    <row r="2117" spans="1:28" x14ac:dyDescent="0.45">
      <c r="A2117" s="2" t="s">
        <v>2715</v>
      </c>
      <c r="B2117" s="2" t="s">
        <v>7207</v>
      </c>
      <c r="C2117" s="2" t="s">
        <v>2137</v>
      </c>
      <c r="D2117" s="2" t="s">
        <v>2138</v>
      </c>
      <c r="E2117" s="2" t="s">
        <v>2139</v>
      </c>
      <c r="F2117" s="3">
        <v>221.62</v>
      </c>
      <c r="G2117" s="3">
        <v>232.28</v>
      </c>
      <c r="H2117" s="2" t="s">
        <v>1201</v>
      </c>
      <c r="I2117" s="19">
        <v>505</v>
      </c>
      <c r="J2117" s="34">
        <f t="shared" ref="J2117:J2180" si="132">I2117*0.0087</f>
        <v>4.3934999999999995</v>
      </c>
      <c r="K2117" s="34">
        <f t="shared" ref="K2117:K2180" si="133">ROUND(J2117*1.5,2)</f>
        <v>6.59</v>
      </c>
      <c r="L2117" s="34">
        <f t="shared" ref="L2117:L2180" si="134">K2117*4</f>
        <v>26.36</v>
      </c>
      <c r="M2117" s="20" t="s">
        <v>5176</v>
      </c>
      <c r="N2117" s="20" t="s">
        <v>4597</v>
      </c>
      <c r="O2117" s="20" t="s">
        <v>3892</v>
      </c>
      <c r="P2117" s="20" t="s">
        <v>4598</v>
      </c>
      <c r="Q2117" s="21">
        <v>221.488</v>
      </c>
      <c r="R2117" s="21">
        <v>232.15600000000001</v>
      </c>
      <c r="S2117" s="21">
        <v>5.3339999999999996</v>
      </c>
      <c r="T2117" s="22">
        <v>19.600000000000001</v>
      </c>
      <c r="U2117" s="13">
        <f t="shared" ref="U2117:U2180" si="135">T2117-L2117</f>
        <v>-6.759999999999998</v>
      </c>
      <c r="V2117" s="23">
        <v>2401</v>
      </c>
      <c r="W2117" s="23">
        <v>2401</v>
      </c>
      <c r="X2117" s="20">
        <v>5</v>
      </c>
      <c r="Y2117" s="24" t="s">
        <v>3737</v>
      </c>
      <c r="Z2117" s="16">
        <v>1896</v>
      </c>
      <c r="AA2117" s="17">
        <v>375.4</v>
      </c>
      <c r="AB2117" s="25" t="s">
        <v>4189</v>
      </c>
    </row>
    <row r="2118" spans="1:28" x14ac:dyDescent="0.45">
      <c r="A2118" s="4" t="s">
        <v>2716</v>
      </c>
      <c r="B2118" s="4" t="s">
        <v>7208</v>
      </c>
      <c r="C2118" s="4" t="s">
        <v>2137</v>
      </c>
      <c r="D2118" s="4" t="s">
        <v>2138</v>
      </c>
      <c r="E2118" s="4" t="s">
        <v>2139</v>
      </c>
      <c r="F2118" s="5">
        <v>221.84</v>
      </c>
      <c r="G2118" s="5">
        <v>228.9</v>
      </c>
      <c r="H2118" s="4" t="s">
        <v>1156</v>
      </c>
      <c r="I2118" s="10">
        <v>252</v>
      </c>
      <c r="J2118" s="34">
        <f t="shared" si="132"/>
        <v>2.1923999999999997</v>
      </c>
      <c r="K2118" s="34">
        <f t="shared" si="133"/>
        <v>3.29</v>
      </c>
      <c r="L2118" s="34">
        <f t="shared" si="134"/>
        <v>13.16</v>
      </c>
      <c r="M2118" s="11" t="s">
        <v>5177</v>
      </c>
      <c r="N2118" s="11" t="s">
        <v>4597</v>
      </c>
      <c r="O2118" s="11" t="s">
        <v>3892</v>
      </c>
      <c r="P2118" s="11" t="s">
        <v>4598</v>
      </c>
      <c r="Q2118" s="12">
        <v>221.74199999999999</v>
      </c>
      <c r="R2118" s="12">
        <v>228.85400000000001</v>
      </c>
      <c r="S2118" s="12">
        <v>3.556</v>
      </c>
      <c r="T2118" s="13">
        <v>14.82</v>
      </c>
      <c r="U2118" s="13">
        <f t="shared" si="135"/>
        <v>1.6600000000000001</v>
      </c>
      <c r="V2118" s="14">
        <v>1815.45</v>
      </c>
      <c r="W2118" s="14">
        <v>1815.45</v>
      </c>
      <c r="X2118" s="11">
        <v>6</v>
      </c>
      <c r="Y2118" s="15" t="s">
        <v>3737</v>
      </c>
      <c r="Z2118" s="16">
        <v>1563.45</v>
      </c>
      <c r="AA2118" s="17">
        <v>620.4</v>
      </c>
      <c r="AB2118" s="18" t="s">
        <v>3963</v>
      </c>
    </row>
    <row r="2119" spans="1:28" x14ac:dyDescent="0.45">
      <c r="A2119" s="2" t="s">
        <v>2717</v>
      </c>
      <c r="B2119" s="2" t="s">
        <v>7209</v>
      </c>
      <c r="C2119" s="2" t="s">
        <v>2137</v>
      </c>
      <c r="D2119" s="2" t="s">
        <v>2138</v>
      </c>
      <c r="E2119" s="2" t="s">
        <v>2139</v>
      </c>
      <c r="F2119" s="3">
        <v>227.97</v>
      </c>
      <c r="G2119" s="3">
        <v>238.63</v>
      </c>
      <c r="H2119" s="2" t="s">
        <v>1201</v>
      </c>
      <c r="I2119" s="19">
        <v>518</v>
      </c>
      <c r="J2119" s="34">
        <f t="shared" si="132"/>
        <v>4.5065999999999997</v>
      </c>
      <c r="K2119" s="34">
        <f t="shared" si="133"/>
        <v>6.76</v>
      </c>
      <c r="L2119" s="34">
        <f t="shared" si="134"/>
        <v>27.04</v>
      </c>
      <c r="M2119" s="20" t="s">
        <v>5178</v>
      </c>
      <c r="N2119" s="20" t="s">
        <v>4597</v>
      </c>
      <c r="O2119" s="20" t="s">
        <v>3892</v>
      </c>
      <c r="P2119" s="20" t="s">
        <v>4598</v>
      </c>
      <c r="Q2119" s="21">
        <v>227</v>
      </c>
      <c r="R2119" s="21">
        <v>239</v>
      </c>
      <c r="S2119" s="21">
        <v>6</v>
      </c>
      <c r="T2119" s="22">
        <v>79.180000000000007</v>
      </c>
      <c r="U2119" s="13">
        <f t="shared" si="135"/>
        <v>52.140000000000008</v>
      </c>
      <c r="V2119" s="23">
        <v>9699.5499999999993</v>
      </c>
      <c r="W2119" s="23">
        <v>9699.5499999999993</v>
      </c>
      <c r="X2119" s="20">
        <v>1</v>
      </c>
      <c r="Y2119" s="24" t="s">
        <v>3713</v>
      </c>
      <c r="Z2119" s="16">
        <v>9181.5499999999993</v>
      </c>
      <c r="AA2119" s="17">
        <v>1772.5</v>
      </c>
      <c r="AB2119" s="25" t="s">
        <v>5179</v>
      </c>
    </row>
    <row r="2120" spans="1:28" x14ac:dyDescent="0.45">
      <c r="A2120" s="4" t="s">
        <v>2718</v>
      </c>
      <c r="B2120" s="4" t="s">
        <v>7210</v>
      </c>
      <c r="C2120" s="4" t="s">
        <v>2137</v>
      </c>
      <c r="D2120" s="4" t="s">
        <v>2138</v>
      </c>
      <c r="E2120" s="4" t="s">
        <v>2139</v>
      </c>
      <c r="F2120" s="5">
        <v>227.97</v>
      </c>
      <c r="G2120" s="5">
        <v>241.95</v>
      </c>
      <c r="H2120" s="4" t="s">
        <v>1368</v>
      </c>
      <c r="I2120" s="10">
        <v>1037</v>
      </c>
      <c r="J2120" s="34">
        <f t="shared" si="132"/>
        <v>9.0218999999999987</v>
      </c>
      <c r="K2120" s="34">
        <f t="shared" si="133"/>
        <v>13.53</v>
      </c>
      <c r="L2120" s="34">
        <f t="shared" si="134"/>
        <v>54.12</v>
      </c>
      <c r="M2120" s="11" t="s">
        <v>5180</v>
      </c>
      <c r="N2120" s="11" t="s">
        <v>4597</v>
      </c>
      <c r="O2120" s="11" t="s">
        <v>3892</v>
      </c>
      <c r="P2120" s="11" t="s">
        <v>4598</v>
      </c>
      <c r="Q2120" s="12">
        <v>227.83799999999999</v>
      </c>
      <c r="R2120" s="12">
        <v>242.06200000000001</v>
      </c>
      <c r="S2120" s="12">
        <v>7.1120000000000001</v>
      </c>
      <c r="T2120" s="13">
        <v>37.54</v>
      </c>
      <c r="U2120" s="13">
        <f t="shared" si="135"/>
        <v>-16.579999999999998</v>
      </c>
      <c r="V2120" s="14">
        <v>4598.6499999999996</v>
      </c>
      <c r="W2120" s="14">
        <v>4598.6499999999996</v>
      </c>
      <c r="X2120" s="11">
        <v>1</v>
      </c>
      <c r="Y2120" s="15" t="s">
        <v>3737</v>
      </c>
      <c r="Z2120" s="16">
        <v>3561.65</v>
      </c>
      <c r="AA2120" s="17">
        <v>343.5</v>
      </c>
      <c r="AB2120" s="18" t="s">
        <v>4199</v>
      </c>
    </row>
    <row r="2121" spans="1:28" x14ac:dyDescent="0.45">
      <c r="A2121" s="2" t="s">
        <v>2719</v>
      </c>
      <c r="B2121" s="2" t="s">
        <v>7211</v>
      </c>
      <c r="C2121" s="2" t="s">
        <v>2137</v>
      </c>
      <c r="D2121" s="2" t="s">
        <v>2138</v>
      </c>
      <c r="E2121" s="2" t="s">
        <v>2139</v>
      </c>
      <c r="F2121" s="3">
        <v>229.2</v>
      </c>
      <c r="G2121" s="3">
        <v>240.6</v>
      </c>
      <c r="H2121" s="2" t="s">
        <v>1297</v>
      </c>
      <c r="I2121" s="19">
        <v>1042</v>
      </c>
      <c r="J2121" s="34">
        <f t="shared" si="132"/>
        <v>9.0653999999999986</v>
      </c>
      <c r="K2121" s="34">
        <f t="shared" si="133"/>
        <v>13.6</v>
      </c>
      <c r="L2121" s="34">
        <f t="shared" si="134"/>
        <v>54.4</v>
      </c>
      <c r="M2121" s="20" t="s">
        <v>5180</v>
      </c>
      <c r="N2121" s="20" t="s">
        <v>4597</v>
      </c>
      <c r="O2121" s="20" t="s">
        <v>3892</v>
      </c>
      <c r="P2121" s="20" t="s">
        <v>4598</v>
      </c>
      <c r="Q2121" s="21">
        <v>227.83799999999999</v>
      </c>
      <c r="R2121" s="21">
        <v>242.06200000000001</v>
      </c>
      <c r="S2121" s="21">
        <v>7.1120000000000001</v>
      </c>
      <c r="T2121" s="22">
        <v>37.54</v>
      </c>
      <c r="U2121" s="13">
        <f t="shared" si="135"/>
        <v>-16.86</v>
      </c>
      <c r="V2121" s="23">
        <v>4598.6499999999996</v>
      </c>
      <c r="W2121" s="23">
        <v>4598.6499999999996</v>
      </c>
      <c r="X2121" s="20">
        <v>1</v>
      </c>
      <c r="Y2121" s="24" t="s">
        <v>3737</v>
      </c>
      <c r="Z2121" s="16">
        <v>3556.65</v>
      </c>
      <c r="AA2121" s="17">
        <v>341.3</v>
      </c>
      <c r="AB2121" s="25" t="s">
        <v>5181</v>
      </c>
    </row>
    <row r="2122" spans="1:28" x14ac:dyDescent="0.45">
      <c r="A2122" s="4" t="s">
        <v>2720</v>
      </c>
      <c r="B2122" s="4" t="s">
        <v>7212</v>
      </c>
      <c r="C2122" s="4" t="s">
        <v>2137</v>
      </c>
      <c r="D2122" s="4" t="s">
        <v>2138</v>
      </c>
      <c r="E2122" s="4" t="s">
        <v>2139</v>
      </c>
      <c r="F2122" s="5">
        <v>233.5</v>
      </c>
      <c r="G2122" s="5">
        <v>247.5</v>
      </c>
      <c r="H2122" s="4" t="s">
        <v>2462</v>
      </c>
      <c r="I2122" s="10">
        <v>1062</v>
      </c>
      <c r="J2122" s="34">
        <f t="shared" si="132"/>
        <v>9.2393999999999998</v>
      </c>
      <c r="K2122" s="34">
        <f t="shared" si="133"/>
        <v>13.86</v>
      </c>
      <c r="L2122" s="34">
        <f t="shared" si="134"/>
        <v>55.44</v>
      </c>
      <c r="M2122" s="11" t="s">
        <v>5182</v>
      </c>
      <c r="N2122" s="11" t="s">
        <v>4597</v>
      </c>
      <c r="O2122" s="11" t="s">
        <v>3892</v>
      </c>
      <c r="P2122" s="11" t="s">
        <v>4598</v>
      </c>
      <c r="Q2122" s="12">
        <v>234.18799999999999</v>
      </c>
      <c r="R2122" s="12">
        <v>248.41200000000001</v>
      </c>
      <c r="S2122" s="12">
        <v>7.1120000000000001</v>
      </c>
      <c r="T2122" s="13">
        <v>32.9</v>
      </c>
      <c r="U2122" s="13">
        <f t="shared" si="135"/>
        <v>-22.54</v>
      </c>
      <c r="V2122" s="14">
        <v>4030.25</v>
      </c>
      <c r="W2122" s="14">
        <v>4030.25</v>
      </c>
      <c r="X2122" s="11">
        <v>5</v>
      </c>
      <c r="Y2122" s="15" t="s">
        <v>3737</v>
      </c>
      <c r="Z2122" s="16">
        <v>2968.25</v>
      </c>
      <c r="AA2122" s="17">
        <v>279.5</v>
      </c>
      <c r="AB2122" s="18" t="s">
        <v>5183</v>
      </c>
    </row>
    <row r="2123" spans="1:28" x14ac:dyDescent="0.45">
      <c r="A2123" s="2" t="s">
        <v>2721</v>
      </c>
      <c r="B2123" s="2" t="s">
        <v>7213</v>
      </c>
      <c r="C2123" s="2" t="s">
        <v>2137</v>
      </c>
      <c r="D2123" s="2" t="s">
        <v>2138</v>
      </c>
      <c r="E2123" s="2" t="s">
        <v>2139</v>
      </c>
      <c r="F2123" s="3">
        <v>234.32</v>
      </c>
      <c r="G2123" s="3">
        <v>244.98</v>
      </c>
      <c r="H2123" s="2" t="s">
        <v>1201</v>
      </c>
      <c r="I2123" s="19">
        <v>533</v>
      </c>
      <c r="J2123" s="34">
        <f t="shared" si="132"/>
        <v>4.6370999999999993</v>
      </c>
      <c r="K2123" s="34">
        <f t="shared" si="133"/>
        <v>6.96</v>
      </c>
      <c r="L2123" s="34">
        <f t="shared" si="134"/>
        <v>27.84</v>
      </c>
      <c r="M2123" s="20" t="s">
        <v>5184</v>
      </c>
      <c r="N2123" s="20" t="s">
        <v>4597</v>
      </c>
      <c r="O2123" s="20" t="s">
        <v>3892</v>
      </c>
      <c r="P2123" s="20" t="s">
        <v>4598</v>
      </c>
      <c r="Q2123" s="21">
        <v>234.3</v>
      </c>
      <c r="R2123" s="21">
        <v>245.7</v>
      </c>
      <c r="S2123" s="21">
        <v>5.7</v>
      </c>
      <c r="T2123" s="22">
        <v>36.24</v>
      </c>
      <c r="U2123" s="13">
        <f t="shared" si="135"/>
        <v>8.4000000000000021</v>
      </c>
      <c r="V2123" s="23">
        <v>4439.3999999999996</v>
      </c>
      <c r="W2123" s="23">
        <v>4439.3999999999996</v>
      </c>
      <c r="X2123" s="20">
        <v>3</v>
      </c>
      <c r="Y2123" s="24" t="s">
        <v>3713</v>
      </c>
      <c r="Z2123" s="16">
        <v>3906.4</v>
      </c>
      <c r="AA2123" s="17">
        <v>732.9</v>
      </c>
      <c r="AB2123" s="25" t="s">
        <v>5185</v>
      </c>
    </row>
    <row r="2124" spans="1:28" x14ac:dyDescent="0.45">
      <c r="A2124" s="4" t="s">
        <v>2722</v>
      </c>
      <c r="B2124" s="4" t="s">
        <v>7214</v>
      </c>
      <c r="C2124" s="4" t="s">
        <v>2137</v>
      </c>
      <c r="D2124" s="4" t="s">
        <v>2138</v>
      </c>
      <c r="E2124" s="4" t="s">
        <v>2139</v>
      </c>
      <c r="F2124" s="5">
        <v>236</v>
      </c>
      <c r="G2124" s="5">
        <v>250</v>
      </c>
      <c r="H2124" s="4" t="s">
        <v>2462</v>
      </c>
      <c r="I2124" s="10">
        <v>1074</v>
      </c>
      <c r="J2124" s="34">
        <f t="shared" si="132"/>
        <v>9.3437999999999999</v>
      </c>
      <c r="K2124" s="34">
        <f t="shared" si="133"/>
        <v>14.02</v>
      </c>
      <c r="L2124" s="34">
        <f t="shared" si="134"/>
        <v>56.08</v>
      </c>
      <c r="M2124" s="11" t="s">
        <v>5182</v>
      </c>
      <c r="N2124" s="11" t="s">
        <v>4597</v>
      </c>
      <c r="O2124" s="11" t="s">
        <v>3892</v>
      </c>
      <c r="P2124" s="11" t="s">
        <v>4598</v>
      </c>
      <c r="Q2124" s="12">
        <v>234.18799999999999</v>
      </c>
      <c r="R2124" s="12">
        <v>248.41200000000001</v>
      </c>
      <c r="S2124" s="12">
        <v>7.1120000000000001</v>
      </c>
      <c r="T2124" s="13">
        <v>32.9</v>
      </c>
      <c r="U2124" s="13">
        <f t="shared" si="135"/>
        <v>-23.18</v>
      </c>
      <c r="V2124" s="14">
        <v>4030.25</v>
      </c>
      <c r="W2124" s="14">
        <v>4030.25</v>
      </c>
      <c r="X2124" s="11">
        <v>5</v>
      </c>
      <c r="Y2124" s="15" t="s">
        <v>3737</v>
      </c>
      <c r="Z2124" s="16">
        <v>2956.25</v>
      </c>
      <c r="AA2124" s="17">
        <v>275.3</v>
      </c>
      <c r="AB2124" s="18" t="s">
        <v>5186</v>
      </c>
    </row>
    <row r="2125" spans="1:28" x14ac:dyDescent="0.45">
      <c r="A2125" s="2" t="s">
        <v>2723</v>
      </c>
      <c r="B2125" s="2" t="s">
        <v>7215</v>
      </c>
      <c r="C2125" s="2" t="s">
        <v>2137</v>
      </c>
      <c r="D2125" s="2" t="s">
        <v>2138</v>
      </c>
      <c r="E2125" s="2" t="s">
        <v>2139</v>
      </c>
      <c r="F2125" s="3">
        <v>239.2</v>
      </c>
      <c r="G2125" s="3">
        <v>250.6</v>
      </c>
      <c r="H2125" s="2" t="s">
        <v>1297</v>
      </c>
      <c r="I2125" s="19">
        <v>1087</v>
      </c>
      <c r="J2125" s="34">
        <f t="shared" si="132"/>
        <v>9.4568999999999992</v>
      </c>
      <c r="K2125" s="34">
        <f t="shared" si="133"/>
        <v>14.19</v>
      </c>
      <c r="L2125" s="34">
        <f t="shared" si="134"/>
        <v>56.76</v>
      </c>
      <c r="M2125" s="20" t="s">
        <v>5187</v>
      </c>
      <c r="N2125" s="20" t="s">
        <v>4597</v>
      </c>
      <c r="O2125" s="20" t="s">
        <v>3892</v>
      </c>
      <c r="P2125" s="20" t="s">
        <v>4598</v>
      </c>
      <c r="Q2125" s="21">
        <v>239.3</v>
      </c>
      <c r="R2125" s="21">
        <v>250.7</v>
      </c>
      <c r="S2125" s="21">
        <v>5.7</v>
      </c>
      <c r="T2125" s="22">
        <v>31.22</v>
      </c>
      <c r="U2125" s="13">
        <f t="shared" si="135"/>
        <v>-25.54</v>
      </c>
      <c r="V2125" s="23">
        <v>3824.45</v>
      </c>
      <c r="W2125" s="23">
        <v>3824.45</v>
      </c>
      <c r="X2125" s="20">
        <v>10</v>
      </c>
      <c r="Y2125" s="24" t="s">
        <v>3713</v>
      </c>
      <c r="Z2125" s="16">
        <v>2737.45</v>
      </c>
      <c r="AA2125" s="17">
        <v>251.8</v>
      </c>
      <c r="AB2125" s="25" t="s">
        <v>4119</v>
      </c>
    </row>
    <row r="2126" spans="1:28" x14ac:dyDescent="0.45">
      <c r="A2126" s="4" t="s">
        <v>2724</v>
      </c>
      <c r="B2126" s="4" t="s">
        <v>7216</v>
      </c>
      <c r="C2126" s="4" t="s">
        <v>2137</v>
      </c>
      <c r="D2126" s="4" t="s">
        <v>2138</v>
      </c>
      <c r="E2126" s="4" t="s">
        <v>2139</v>
      </c>
      <c r="F2126" s="5">
        <v>239</v>
      </c>
      <c r="G2126" s="5">
        <v>251</v>
      </c>
      <c r="H2126" s="4" t="s">
        <v>1635</v>
      </c>
      <c r="I2126" s="10">
        <v>1087</v>
      </c>
      <c r="J2126" s="34">
        <f t="shared" si="132"/>
        <v>9.4568999999999992</v>
      </c>
      <c r="K2126" s="34">
        <f t="shared" si="133"/>
        <v>14.19</v>
      </c>
      <c r="L2126" s="34">
        <f t="shared" si="134"/>
        <v>56.76</v>
      </c>
      <c r="M2126" s="11" t="s">
        <v>5187</v>
      </c>
      <c r="N2126" s="11" t="s">
        <v>4597</v>
      </c>
      <c r="O2126" s="11" t="s">
        <v>3892</v>
      </c>
      <c r="P2126" s="11" t="s">
        <v>4598</v>
      </c>
      <c r="Q2126" s="12">
        <v>239.3</v>
      </c>
      <c r="R2126" s="12">
        <v>250.7</v>
      </c>
      <c r="S2126" s="12">
        <v>5.7</v>
      </c>
      <c r="T2126" s="13">
        <v>31.22</v>
      </c>
      <c r="U2126" s="13">
        <f t="shared" si="135"/>
        <v>-25.54</v>
      </c>
      <c r="V2126" s="14">
        <v>3824.45</v>
      </c>
      <c r="W2126" s="14">
        <v>3824.45</v>
      </c>
      <c r="X2126" s="11">
        <v>10</v>
      </c>
      <c r="Y2126" s="15" t="s">
        <v>3713</v>
      </c>
      <c r="Z2126" s="16">
        <v>2737.45</v>
      </c>
      <c r="AA2126" s="17">
        <v>251.8</v>
      </c>
      <c r="AB2126" s="18" t="s">
        <v>4718</v>
      </c>
    </row>
    <row r="2127" spans="1:28" x14ac:dyDescent="0.45">
      <c r="A2127" s="2" t="s">
        <v>2725</v>
      </c>
      <c r="B2127" s="2" t="s">
        <v>7217</v>
      </c>
      <c r="C2127" s="2" t="s">
        <v>2137</v>
      </c>
      <c r="D2127" s="2" t="s">
        <v>2138</v>
      </c>
      <c r="E2127" s="2" t="s">
        <v>2139</v>
      </c>
      <c r="F2127" s="3">
        <v>240.67</v>
      </c>
      <c r="G2127" s="3">
        <v>251.33</v>
      </c>
      <c r="H2127" s="2" t="s">
        <v>1201</v>
      </c>
      <c r="I2127" s="19">
        <v>547</v>
      </c>
      <c r="J2127" s="34">
        <f t="shared" si="132"/>
        <v>4.7588999999999997</v>
      </c>
      <c r="K2127" s="34">
        <f t="shared" si="133"/>
        <v>7.14</v>
      </c>
      <c r="L2127" s="34">
        <f t="shared" si="134"/>
        <v>28.56</v>
      </c>
      <c r="M2127" s="20" t="s">
        <v>5188</v>
      </c>
      <c r="N2127" s="20" t="s">
        <v>4597</v>
      </c>
      <c r="O2127" s="20" t="s">
        <v>3892</v>
      </c>
      <c r="P2127" s="20" t="s">
        <v>4598</v>
      </c>
      <c r="Q2127" s="21">
        <v>240.53800000000001</v>
      </c>
      <c r="R2127" s="21">
        <v>251.20599999999999</v>
      </c>
      <c r="S2127" s="21">
        <v>5.3339999999999996</v>
      </c>
      <c r="T2127" s="22">
        <v>30.66</v>
      </c>
      <c r="U2127" s="13">
        <f t="shared" si="135"/>
        <v>2.1000000000000014</v>
      </c>
      <c r="V2127" s="23">
        <v>3755.85</v>
      </c>
      <c r="W2127" s="23">
        <v>3755.85</v>
      </c>
      <c r="X2127" s="20">
        <v>17</v>
      </c>
      <c r="Y2127" s="24" t="s">
        <v>3737</v>
      </c>
      <c r="Z2127" s="16">
        <v>3208.85</v>
      </c>
      <c r="AA2127" s="17">
        <v>586.6</v>
      </c>
      <c r="AB2127" s="25" t="s">
        <v>4189</v>
      </c>
    </row>
    <row r="2128" spans="1:28" x14ac:dyDescent="0.45">
      <c r="A2128" s="4" t="s">
        <v>2726</v>
      </c>
      <c r="B2128" s="4" t="s">
        <v>7218</v>
      </c>
      <c r="C2128" s="4" t="s">
        <v>2137</v>
      </c>
      <c r="D2128" s="4" t="s">
        <v>2138</v>
      </c>
      <c r="E2128" s="4" t="s">
        <v>2139</v>
      </c>
      <c r="F2128" s="5">
        <v>240.67</v>
      </c>
      <c r="G2128" s="5">
        <v>254.65</v>
      </c>
      <c r="H2128" s="4" t="s">
        <v>1368</v>
      </c>
      <c r="I2128" s="10">
        <v>1094</v>
      </c>
      <c r="J2128" s="34">
        <f t="shared" si="132"/>
        <v>9.5177999999999994</v>
      </c>
      <c r="K2128" s="34">
        <f t="shared" si="133"/>
        <v>14.28</v>
      </c>
      <c r="L2128" s="34">
        <f t="shared" si="134"/>
        <v>57.12</v>
      </c>
      <c r="M2128" s="11" t="s">
        <v>5189</v>
      </c>
      <c r="N2128" s="11" t="s">
        <v>4597</v>
      </c>
      <c r="O2128" s="11" t="s">
        <v>3892</v>
      </c>
      <c r="P2128" s="11" t="s">
        <v>4598</v>
      </c>
      <c r="Q2128" s="12">
        <v>240.53800000000001</v>
      </c>
      <c r="R2128" s="12">
        <v>254.762</v>
      </c>
      <c r="S2128" s="12">
        <v>7.1120000000000001</v>
      </c>
      <c r="T2128" s="13">
        <v>32.01</v>
      </c>
      <c r="U2128" s="13">
        <f t="shared" si="135"/>
        <v>-25.11</v>
      </c>
      <c r="V2128" s="14">
        <v>3921.22</v>
      </c>
      <c r="W2128" s="14">
        <v>3921.22</v>
      </c>
      <c r="X2128" s="11">
        <v>10</v>
      </c>
      <c r="Y2128" s="15" t="s">
        <v>3737</v>
      </c>
      <c r="Z2128" s="16">
        <v>2827.22</v>
      </c>
      <c r="AA2128" s="17">
        <v>258.39999999999998</v>
      </c>
      <c r="AB2128" s="18" t="s">
        <v>4199</v>
      </c>
    </row>
    <row r="2129" spans="1:28" x14ac:dyDescent="0.45">
      <c r="A2129" s="2" t="s">
        <v>2727</v>
      </c>
      <c r="B2129" s="2" t="s">
        <v>7219</v>
      </c>
      <c r="C2129" s="2" t="s">
        <v>2137</v>
      </c>
      <c r="D2129" s="2" t="s">
        <v>2138</v>
      </c>
      <c r="E2129" s="2" t="s">
        <v>2139</v>
      </c>
      <c r="F2129" s="3">
        <v>240.87</v>
      </c>
      <c r="G2129" s="3">
        <v>247.93</v>
      </c>
      <c r="H2129" s="2" t="s">
        <v>1156</v>
      </c>
      <c r="I2129" s="19">
        <v>274</v>
      </c>
      <c r="J2129" s="34">
        <f t="shared" si="132"/>
        <v>2.3837999999999999</v>
      </c>
      <c r="K2129" s="34">
        <f t="shared" si="133"/>
        <v>3.58</v>
      </c>
      <c r="L2129" s="34">
        <f t="shared" si="134"/>
        <v>14.32</v>
      </c>
      <c r="M2129" s="20" t="s">
        <v>5190</v>
      </c>
      <c r="N2129" s="20" t="s">
        <v>4597</v>
      </c>
      <c r="O2129" s="20" t="s">
        <v>3892</v>
      </c>
      <c r="P2129" s="20" t="s">
        <v>4598</v>
      </c>
      <c r="Q2129" s="21">
        <v>240.792</v>
      </c>
      <c r="R2129" s="21">
        <v>247.904</v>
      </c>
      <c r="S2129" s="21">
        <v>3.556</v>
      </c>
      <c r="T2129" s="22">
        <v>15.9</v>
      </c>
      <c r="U2129" s="13">
        <f t="shared" si="135"/>
        <v>1.58</v>
      </c>
      <c r="V2129" s="23">
        <v>1947.75</v>
      </c>
      <c r="W2129" s="23">
        <v>1947.75</v>
      </c>
      <c r="X2129" s="20">
        <v>12</v>
      </c>
      <c r="Y2129" s="24" t="s">
        <v>3737</v>
      </c>
      <c r="Z2129" s="16">
        <v>1673.75</v>
      </c>
      <c r="AA2129" s="17">
        <v>610.9</v>
      </c>
      <c r="AB2129" s="25" t="s">
        <v>5191</v>
      </c>
    </row>
    <row r="2130" spans="1:28" x14ac:dyDescent="0.45">
      <c r="A2130" s="4" t="s">
        <v>2728</v>
      </c>
      <c r="B2130" s="4" t="s">
        <v>7220</v>
      </c>
      <c r="C2130" s="4" t="s">
        <v>2137</v>
      </c>
      <c r="D2130" s="4" t="s">
        <v>2138</v>
      </c>
      <c r="E2130" s="4" t="s">
        <v>2139</v>
      </c>
      <c r="F2130" s="5">
        <v>240</v>
      </c>
      <c r="G2130" s="5">
        <v>250</v>
      </c>
      <c r="H2130" s="4" t="s">
        <v>1245</v>
      </c>
      <c r="I2130" s="10">
        <v>545</v>
      </c>
      <c r="J2130" s="34">
        <f t="shared" si="132"/>
        <v>4.7414999999999994</v>
      </c>
      <c r="K2130" s="34">
        <f t="shared" si="133"/>
        <v>7.11</v>
      </c>
      <c r="L2130" s="34">
        <f t="shared" si="134"/>
        <v>28.44</v>
      </c>
      <c r="M2130" s="11" t="s">
        <v>5192</v>
      </c>
      <c r="N2130" s="11" t="s">
        <v>4597</v>
      </c>
      <c r="O2130" s="11" t="s">
        <v>3892</v>
      </c>
      <c r="P2130" s="11" t="s">
        <v>4598</v>
      </c>
      <c r="Q2130" s="12">
        <v>240</v>
      </c>
      <c r="R2130" s="12">
        <v>250</v>
      </c>
      <c r="S2130" s="12">
        <v>5</v>
      </c>
      <c r="T2130" s="13">
        <v>16.82</v>
      </c>
      <c r="U2130" s="13">
        <f t="shared" si="135"/>
        <v>-11.620000000000001</v>
      </c>
      <c r="V2130" s="14">
        <v>2060.4499999999998</v>
      </c>
      <c r="W2130" s="14">
        <v>2060.4499999999998</v>
      </c>
      <c r="X2130" s="11">
        <v>4</v>
      </c>
      <c r="Y2130" s="15" t="s">
        <v>3713</v>
      </c>
      <c r="Z2130" s="16">
        <v>1515.45</v>
      </c>
      <c r="AA2130" s="17">
        <v>278.10000000000002</v>
      </c>
      <c r="AB2130" s="18" t="s">
        <v>3714</v>
      </c>
    </row>
    <row r="2131" spans="1:28" x14ac:dyDescent="0.45">
      <c r="A2131" s="2" t="s">
        <v>2729</v>
      </c>
      <c r="B2131" s="2" t="s">
        <v>7221</v>
      </c>
      <c r="C2131" s="2" t="s">
        <v>2137</v>
      </c>
      <c r="D2131" s="2" t="s">
        <v>2138</v>
      </c>
      <c r="E2131" s="2" t="s">
        <v>2139</v>
      </c>
      <c r="F2131" s="3">
        <v>244.4</v>
      </c>
      <c r="G2131" s="3">
        <v>250.6</v>
      </c>
      <c r="H2131" s="2" t="s">
        <v>1221</v>
      </c>
      <c r="I2131" s="19">
        <v>278</v>
      </c>
      <c r="J2131" s="34">
        <f t="shared" si="132"/>
        <v>2.4185999999999996</v>
      </c>
      <c r="K2131" s="34">
        <f t="shared" si="133"/>
        <v>3.63</v>
      </c>
      <c r="L2131" s="34">
        <f t="shared" si="134"/>
        <v>14.52</v>
      </c>
      <c r="M2131" s="20" t="s">
        <v>5193</v>
      </c>
      <c r="N2131" s="20" t="s">
        <v>4597</v>
      </c>
      <c r="O2131" s="20" t="s">
        <v>3892</v>
      </c>
      <c r="P2131" s="20" t="s">
        <v>4598</v>
      </c>
      <c r="Q2131" s="21">
        <v>245</v>
      </c>
      <c r="R2131" s="21">
        <v>251</v>
      </c>
      <c r="S2131" s="21">
        <v>3</v>
      </c>
      <c r="T2131" s="22">
        <v>9.5</v>
      </c>
      <c r="U2131" s="13">
        <f t="shared" si="135"/>
        <v>-5.0199999999999996</v>
      </c>
      <c r="V2131" s="23">
        <v>1163.75</v>
      </c>
      <c r="W2131" s="23">
        <v>1163.75</v>
      </c>
      <c r="X2131" s="20">
        <v>3</v>
      </c>
      <c r="Y2131" s="24" t="s">
        <v>3713</v>
      </c>
      <c r="Z2131" s="16">
        <v>885.75</v>
      </c>
      <c r="AA2131" s="17">
        <v>318.60000000000002</v>
      </c>
      <c r="AB2131" s="25" t="s">
        <v>4604</v>
      </c>
    </row>
    <row r="2132" spans="1:28" x14ac:dyDescent="0.45">
      <c r="A2132" s="4" t="s">
        <v>2730</v>
      </c>
      <c r="B2132" s="4" t="s">
        <v>7222</v>
      </c>
      <c r="C2132" s="4" t="s">
        <v>2137</v>
      </c>
      <c r="D2132" s="4" t="s">
        <v>2138</v>
      </c>
      <c r="E2132" s="4" t="s">
        <v>2139</v>
      </c>
      <c r="F2132" s="5">
        <v>253.37</v>
      </c>
      <c r="G2132" s="5">
        <v>267.35000000000002</v>
      </c>
      <c r="H2132" s="4" t="s">
        <v>1368</v>
      </c>
      <c r="I2132" s="10">
        <v>1153</v>
      </c>
      <c r="J2132" s="34">
        <f t="shared" si="132"/>
        <v>10.031099999999999</v>
      </c>
      <c r="K2132" s="34">
        <f t="shared" si="133"/>
        <v>15.05</v>
      </c>
      <c r="L2132" s="34">
        <f t="shared" si="134"/>
        <v>60.2</v>
      </c>
      <c r="M2132" s="11" t="s">
        <v>5194</v>
      </c>
      <c r="N2132" s="11" t="s">
        <v>4597</v>
      </c>
      <c r="O2132" s="11" t="s">
        <v>3892</v>
      </c>
      <c r="P2132" s="11" t="s">
        <v>4598</v>
      </c>
      <c r="Q2132" s="12">
        <v>253.238</v>
      </c>
      <c r="R2132" s="12">
        <v>267.46199999999999</v>
      </c>
      <c r="S2132" s="12">
        <v>7.1120000000000001</v>
      </c>
      <c r="T2132" s="13">
        <v>29.88</v>
      </c>
      <c r="U2132" s="13">
        <f t="shared" si="135"/>
        <v>-30.320000000000004</v>
      </c>
      <c r="V2132" s="14">
        <v>3660.3</v>
      </c>
      <c r="W2132" s="14">
        <v>3660.3</v>
      </c>
      <c r="X2132" s="11">
        <v>12</v>
      </c>
      <c r="Y2132" s="15" t="s">
        <v>3737</v>
      </c>
      <c r="Z2132" s="16">
        <v>2507.3000000000002</v>
      </c>
      <c r="AA2132" s="17">
        <v>217.5</v>
      </c>
      <c r="AB2132" s="18" t="s">
        <v>4199</v>
      </c>
    </row>
    <row r="2133" spans="1:28" x14ac:dyDescent="0.45">
      <c r="A2133" s="2" t="s">
        <v>2731</v>
      </c>
      <c r="B2133" s="2" t="s">
        <v>7223</v>
      </c>
      <c r="C2133" s="2" t="s">
        <v>2137</v>
      </c>
      <c r="D2133" s="2" t="s">
        <v>2138</v>
      </c>
      <c r="E2133" s="2" t="s">
        <v>2139</v>
      </c>
      <c r="F2133" s="3">
        <v>253.59</v>
      </c>
      <c r="G2133" s="3">
        <v>260.64999999999998</v>
      </c>
      <c r="H2133" s="2" t="s">
        <v>1156</v>
      </c>
      <c r="I2133" s="19">
        <v>289</v>
      </c>
      <c r="J2133" s="34">
        <f t="shared" si="132"/>
        <v>2.5143</v>
      </c>
      <c r="K2133" s="34">
        <f t="shared" si="133"/>
        <v>3.77</v>
      </c>
      <c r="L2133" s="34">
        <f t="shared" si="134"/>
        <v>15.08</v>
      </c>
      <c r="M2133" s="20" t="s">
        <v>5195</v>
      </c>
      <c r="N2133" s="20" t="s">
        <v>4597</v>
      </c>
      <c r="O2133" s="20" t="s">
        <v>3892</v>
      </c>
      <c r="P2133" s="20" t="s">
        <v>4598</v>
      </c>
      <c r="Q2133" s="21">
        <v>253.49199999999999</v>
      </c>
      <c r="R2133" s="21">
        <v>260.60399999999998</v>
      </c>
      <c r="S2133" s="21">
        <v>3.556</v>
      </c>
      <c r="T2133" s="22">
        <v>22.78</v>
      </c>
      <c r="U2133" s="13">
        <f t="shared" si="135"/>
        <v>7.7000000000000011</v>
      </c>
      <c r="V2133" s="23">
        <v>2790.55</v>
      </c>
      <c r="W2133" s="23">
        <v>2790.55</v>
      </c>
      <c r="X2133" s="20">
        <v>7</v>
      </c>
      <c r="Y2133" s="24" t="s">
        <v>3737</v>
      </c>
      <c r="Z2133" s="16">
        <v>2501.5500000000002</v>
      </c>
      <c r="AA2133" s="17">
        <v>865.6</v>
      </c>
      <c r="AB2133" s="25" t="s">
        <v>3963</v>
      </c>
    </row>
    <row r="2134" spans="1:28" x14ac:dyDescent="0.45">
      <c r="A2134" s="4" t="s">
        <v>2732</v>
      </c>
      <c r="B2134" s="4" t="s">
        <v>7224</v>
      </c>
      <c r="C2134" s="4" t="s">
        <v>2137</v>
      </c>
      <c r="D2134" s="4" t="s">
        <v>2138</v>
      </c>
      <c r="E2134" s="4" t="s">
        <v>2139</v>
      </c>
      <c r="F2134" s="5">
        <v>259.2</v>
      </c>
      <c r="G2134" s="5">
        <v>270.60000000000002</v>
      </c>
      <c r="H2134" s="4" t="s">
        <v>1297</v>
      </c>
      <c r="I2134" s="10">
        <v>1178</v>
      </c>
      <c r="J2134" s="34">
        <f t="shared" si="132"/>
        <v>10.2486</v>
      </c>
      <c r="K2134" s="34">
        <f t="shared" si="133"/>
        <v>15.37</v>
      </c>
      <c r="L2134" s="34">
        <f t="shared" si="134"/>
        <v>61.48</v>
      </c>
      <c r="M2134" s="11" t="s">
        <v>5196</v>
      </c>
      <c r="N2134" s="11" t="s">
        <v>4597</v>
      </c>
      <c r="O2134" s="11" t="s">
        <v>3892</v>
      </c>
      <c r="P2134" s="11" t="s">
        <v>4598</v>
      </c>
      <c r="Q2134" s="12">
        <v>259.3</v>
      </c>
      <c r="R2134" s="12">
        <v>270.7</v>
      </c>
      <c r="S2134" s="12">
        <v>5.7</v>
      </c>
      <c r="T2134" s="13">
        <v>28.28</v>
      </c>
      <c r="U2134" s="13">
        <f t="shared" si="135"/>
        <v>-33.199999999999996</v>
      </c>
      <c r="V2134" s="14">
        <v>3464.3</v>
      </c>
      <c r="W2134" s="14">
        <v>3464.3</v>
      </c>
      <c r="X2134" s="11">
        <v>13</v>
      </c>
      <c r="Y2134" s="15" t="s">
        <v>3713</v>
      </c>
      <c r="Z2134" s="16">
        <v>2286.3000000000002</v>
      </c>
      <c r="AA2134" s="17">
        <v>194.1</v>
      </c>
      <c r="AB2134" s="18" t="s">
        <v>4119</v>
      </c>
    </row>
    <row r="2135" spans="1:28" x14ac:dyDescent="0.45">
      <c r="A2135" s="2" t="s">
        <v>2733</v>
      </c>
      <c r="B2135" s="2" t="s">
        <v>7225</v>
      </c>
      <c r="C2135" s="2" t="s">
        <v>2137</v>
      </c>
      <c r="D2135" s="2" t="s">
        <v>2138</v>
      </c>
      <c r="E2135" s="2" t="s">
        <v>2139</v>
      </c>
      <c r="F2135" s="3">
        <v>266.07</v>
      </c>
      <c r="G2135" s="3">
        <v>280.05</v>
      </c>
      <c r="H2135" s="2" t="s">
        <v>1368</v>
      </c>
      <c r="I2135" s="19">
        <v>1210</v>
      </c>
      <c r="J2135" s="34">
        <f t="shared" si="132"/>
        <v>10.526999999999999</v>
      </c>
      <c r="K2135" s="34">
        <f t="shared" si="133"/>
        <v>15.79</v>
      </c>
      <c r="L2135" s="34">
        <f t="shared" si="134"/>
        <v>63.16</v>
      </c>
      <c r="M2135" s="20" t="s">
        <v>5197</v>
      </c>
      <c r="N2135" s="20" t="s">
        <v>4597</v>
      </c>
      <c r="O2135" s="20" t="s">
        <v>3892</v>
      </c>
      <c r="P2135" s="20" t="s">
        <v>4598</v>
      </c>
      <c r="Q2135" s="21">
        <v>266.7</v>
      </c>
      <c r="R2135" s="21">
        <v>279.39999999999998</v>
      </c>
      <c r="S2135" s="21">
        <v>6.35</v>
      </c>
      <c r="T2135" s="22">
        <v>18.489999999999998</v>
      </c>
      <c r="U2135" s="13">
        <f t="shared" si="135"/>
        <v>-44.67</v>
      </c>
      <c r="V2135" s="23">
        <v>2265.02</v>
      </c>
      <c r="W2135" s="23">
        <v>2265.02</v>
      </c>
      <c r="X2135" s="20" t="s">
        <v>3722</v>
      </c>
      <c r="Y2135" s="24" t="s">
        <v>3737</v>
      </c>
      <c r="Z2135" s="16">
        <v>1055.02</v>
      </c>
      <c r="AA2135" s="17">
        <v>87.2</v>
      </c>
      <c r="AB2135" s="25" t="s">
        <v>5198</v>
      </c>
    </row>
    <row r="2136" spans="1:28" x14ac:dyDescent="0.45">
      <c r="A2136" s="4" t="s">
        <v>2734</v>
      </c>
      <c r="B2136" s="4" t="s">
        <v>7226</v>
      </c>
      <c r="C2136" s="4" t="s">
        <v>2137</v>
      </c>
      <c r="D2136" s="4" t="s">
        <v>2138</v>
      </c>
      <c r="E2136" s="4" t="s">
        <v>2139</v>
      </c>
      <c r="F2136" s="5">
        <v>269.2</v>
      </c>
      <c r="G2136" s="5">
        <v>280.60000000000002</v>
      </c>
      <c r="H2136" s="4" t="s">
        <v>1297</v>
      </c>
      <c r="I2136" s="10">
        <v>1223</v>
      </c>
      <c r="J2136" s="34">
        <f t="shared" si="132"/>
        <v>10.640099999999999</v>
      </c>
      <c r="K2136" s="34">
        <f t="shared" si="133"/>
        <v>15.96</v>
      </c>
      <c r="L2136" s="34">
        <f t="shared" si="134"/>
        <v>63.84</v>
      </c>
      <c r="M2136" s="11" t="s">
        <v>5199</v>
      </c>
      <c r="N2136" s="11" t="s">
        <v>4597</v>
      </c>
      <c r="O2136" s="11" t="s">
        <v>3892</v>
      </c>
      <c r="P2136" s="11" t="s">
        <v>4598</v>
      </c>
      <c r="Q2136" s="12">
        <v>269.3</v>
      </c>
      <c r="R2136" s="12">
        <v>280.7</v>
      </c>
      <c r="S2136" s="12">
        <v>5.7</v>
      </c>
      <c r="T2136" s="13">
        <v>31.46</v>
      </c>
      <c r="U2136" s="13">
        <f t="shared" si="135"/>
        <v>-32.380000000000003</v>
      </c>
      <c r="V2136" s="14">
        <v>3853.85</v>
      </c>
      <c r="W2136" s="14">
        <v>3853.85</v>
      </c>
      <c r="X2136" s="11">
        <v>1</v>
      </c>
      <c r="Y2136" s="15" t="s">
        <v>3713</v>
      </c>
      <c r="Z2136" s="16">
        <v>2630.85</v>
      </c>
      <c r="AA2136" s="17">
        <v>215.1</v>
      </c>
      <c r="AB2136" s="18" t="s">
        <v>4119</v>
      </c>
    </row>
    <row r="2137" spans="1:28" x14ac:dyDescent="0.45">
      <c r="A2137" s="2" t="s">
        <v>2735</v>
      </c>
      <c r="B2137" s="2" t="s">
        <v>7227</v>
      </c>
      <c r="C2137" s="2" t="s">
        <v>2137</v>
      </c>
      <c r="D2137" s="2" t="s">
        <v>2138</v>
      </c>
      <c r="E2137" s="2" t="s">
        <v>2139</v>
      </c>
      <c r="F2137" s="3">
        <v>278.77</v>
      </c>
      <c r="G2137" s="3">
        <v>289.43</v>
      </c>
      <c r="H2137" s="2" t="s">
        <v>1201</v>
      </c>
      <c r="I2137" s="19">
        <v>634</v>
      </c>
      <c r="J2137" s="34">
        <f t="shared" si="132"/>
        <v>5.5157999999999996</v>
      </c>
      <c r="K2137" s="34">
        <f t="shared" si="133"/>
        <v>8.27</v>
      </c>
      <c r="L2137" s="34">
        <f t="shared" si="134"/>
        <v>33.08</v>
      </c>
      <c r="M2137" s="20" t="s">
        <v>5200</v>
      </c>
      <c r="N2137" s="20" t="s">
        <v>4597</v>
      </c>
      <c r="O2137" s="20" t="s">
        <v>3892</v>
      </c>
      <c r="P2137" s="20" t="s">
        <v>4598</v>
      </c>
      <c r="Q2137" s="21">
        <v>278.63799999999998</v>
      </c>
      <c r="R2137" s="21">
        <v>289.30599999999998</v>
      </c>
      <c r="S2137" s="21">
        <v>5.3339999999999996</v>
      </c>
      <c r="T2137" s="22">
        <v>12.43</v>
      </c>
      <c r="U2137" s="13">
        <f t="shared" si="135"/>
        <v>-20.65</v>
      </c>
      <c r="V2137" s="23">
        <v>1522.68</v>
      </c>
      <c r="W2137" s="23">
        <v>1522.68</v>
      </c>
      <c r="X2137" s="20" t="s">
        <v>3722</v>
      </c>
      <c r="Y2137" s="24" t="s">
        <v>3737</v>
      </c>
      <c r="Z2137" s="16">
        <v>888.68000000000006</v>
      </c>
      <c r="AA2137" s="17">
        <v>140.19999999999999</v>
      </c>
      <c r="AB2137" s="25" t="s">
        <v>4189</v>
      </c>
    </row>
    <row r="2138" spans="1:28" x14ac:dyDescent="0.45">
      <c r="A2138" s="4" t="s">
        <v>2736</v>
      </c>
      <c r="B2138" s="4" t="s">
        <v>7228</v>
      </c>
      <c r="C2138" s="4" t="s">
        <v>2137</v>
      </c>
      <c r="D2138" s="4" t="s">
        <v>2138</v>
      </c>
      <c r="E2138" s="4" t="s">
        <v>2139</v>
      </c>
      <c r="F2138" s="5">
        <v>278.77</v>
      </c>
      <c r="G2138" s="5">
        <v>292.75</v>
      </c>
      <c r="H2138" s="4" t="s">
        <v>1368</v>
      </c>
      <c r="I2138" s="10">
        <v>1267</v>
      </c>
      <c r="J2138" s="34">
        <f t="shared" si="132"/>
        <v>11.0229</v>
      </c>
      <c r="K2138" s="34">
        <f t="shared" si="133"/>
        <v>16.53</v>
      </c>
      <c r="L2138" s="34">
        <f t="shared" si="134"/>
        <v>66.12</v>
      </c>
      <c r="M2138" s="11" t="s">
        <v>5201</v>
      </c>
      <c r="N2138" s="11" t="s">
        <v>4597</v>
      </c>
      <c r="O2138" s="11" t="s">
        <v>3892</v>
      </c>
      <c r="P2138" s="11" t="s">
        <v>4598</v>
      </c>
      <c r="Q2138" s="12">
        <v>278.63799999999998</v>
      </c>
      <c r="R2138" s="12">
        <v>292.86200000000002</v>
      </c>
      <c r="S2138" s="12">
        <v>7.1120000000000001</v>
      </c>
      <c r="T2138" s="13">
        <v>32.31</v>
      </c>
      <c r="U2138" s="13">
        <f t="shared" si="135"/>
        <v>-33.81</v>
      </c>
      <c r="V2138" s="14">
        <v>3957.98</v>
      </c>
      <c r="W2138" s="14">
        <v>3957.98</v>
      </c>
      <c r="X2138" s="11">
        <v>24</v>
      </c>
      <c r="Y2138" s="15" t="s">
        <v>3737</v>
      </c>
      <c r="Z2138" s="16">
        <v>2690.98</v>
      </c>
      <c r="AA2138" s="17">
        <v>212.4</v>
      </c>
      <c r="AB2138" s="18" t="s">
        <v>4199</v>
      </c>
    </row>
    <row r="2139" spans="1:28" x14ac:dyDescent="0.45">
      <c r="A2139" s="2" t="s">
        <v>2737</v>
      </c>
      <c r="B2139" s="2" t="s">
        <v>7229</v>
      </c>
      <c r="C2139" s="2" t="s">
        <v>2137</v>
      </c>
      <c r="D2139" s="2" t="s">
        <v>2138</v>
      </c>
      <c r="E2139" s="2" t="s">
        <v>2139</v>
      </c>
      <c r="F2139" s="3">
        <v>279.2</v>
      </c>
      <c r="G2139" s="3">
        <v>290.60000000000002</v>
      </c>
      <c r="H2139" s="2" t="s">
        <v>1297</v>
      </c>
      <c r="I2139" s="19">
        <v>1269</v>
      </c>
      <c r="J2139" s="34">
        <f t="shared" si="132"/>
        <v>11.040299999999998</v>
      </c>
      <c r="K2139" s="34">
        <f t="shared" si="133"/>
        <v>16.559999999999999</v>
      </c>
      <c r="L2139" s="34">
        <f t="shared" si="134"/>
        <v>66.239999999999995</v>
      </c>
      <c r="M2139" s="20" t="s">
        <v>5202</v>
      </c>
      <c r="N2139" s="20" t="s">
        <v>4597</v>
      </c>
      <c r="O2139" s="20" t="s">
        <v>3892</v>
      </c>
      <c r="P2139" s="20" t="s">
        <v>4598</v>
      </c>
      <c r="Q2139" s="21">
        <v>279.3</v>
      </c>
      <c r="R2139" s="21">
        <v>290.7</v>
      </c>
      <c r="S2139" s="21">
        <v>5.7</v>
      </c>
      <c r="T2139" s="22">
        <v>27.38</v>
      </c>
      <c r="U2139" s="13">
        <f t="shared" si="135"/>
        <v>-38.86</v>
      </c>
      <c r="V2139" s="23">
        <v>3354.05</v>
      </c>
      <c r="W2139" s="23">
        <v>3354.05</v>
      </c>
      <c r="X2139" s="20">
        <v>4</v>
      </c>
      <c r="Y2139" s="24" t="s">
        <v>3713</v>
      </c>
      <c r="Z2139" s="16">
        <v>2085.0500000000002</v>
      </c>
      <c r="AA2139" s="17">
        <v>164.3</v>
      </c>
      <c r="AB2139" s="25" t="s">
        <v>4119</v>
      </c>
    </row>
    <row r="2140" spans="1:28" x14ac:dyDescent="0.45">
      <c r="A2140" s="4" t="s">
        <v>2738</v>
      </c>
      <c r="B2140" s="4" t="s">
        <v>7230</v>
      </c>
      <c r="C2140" s="4" t="s">
        <v>2137</v>
      </c>
      <c r="D2140" s="4" t="s">
        <v>2138</v>
      </c>
      <c r="E2140" s="4" t="s">
        <v>2139</v>
      </c>
      <c r="F2140" s="5">
        <v>289.2</v>
      </c>
      <c r="G2140" s="5">
        <v>300.60000000000002</v>
      </c>
      <c r="H2140" s="4" t="s">
        <v>1297</v>
      </c>
      <c r="I2140" s="10">
        <v>1314</v>
      </c>
      <c r="J2140" s="34">
        <f t="shared" si="132"/>
        <v>11.431799999999999</v>
      </c>
      <c r="K2140" s="34">
        <f t="shared" si="133"/>
        <v>17.149999999999999</v>
      </c>
      <c r="L2140" s="34">
        <f t="shared" si="134"/>
        <v>68.599999999999994</v>
      </c>
      <c r="M2140" s="11" t="s">
        <v>5203</v>
      </c>
      <c r="N2140" s="11" t="s">
        <v>4597</v>
      </c>
      <c r="O2140" s="11" t="s">
        <v>3892</v>
      </c>
      <c r="P2140" s="11" t="s">
        <v>4598</v>
      </c>
      <c r="Q2140" s="12">
        <v>289.3</v>
      </c>
      <c r="R2140" s="12">
        <v>300.7</v>
      </c>
      <c r="S2140" s="12">
        <v>5.7</v>
      </c>
      <c r="T2140" s="13">
        <v>19</v>
      </c>
      <c r="U2140" s="13">
        <f t="shared" si="135"/>
        <v>-49.599999999999994</v>
      </c>
      <c r="V2140" s="14">
        <v>2327.5</v>
      </c>
      <c r="W2140" s="14">
        <v>2327.5</v>
      </c>
      <c r="X2140" s="11">
        <v>7</v>
      </c>
      <c r="Y2140" s="15" t="s">
        <v>3713</v>
      </c>
      <c r="Z2140" s="16">
        <v>1013.5</v>
      </c>
      <c r="AA2140" s="17">
        <v>77.099999999999994</v>
      </c>
      <c r="AB2140" s="18" t="s">
        <v>4119</v>
      </c>
    </row>
    <row r="2141" spans="1:28" x14ac:dyDescent="0.45">
      <c r="A2141" s="2" t="s">
        <v>2739</v>
      </c>
      <c r="B2141" s="2" t="s">
        <v>7231</v>
      </c>
      <c r="C2141" s="2" t="s">
        <v>2137</v>
      </c>
      <c r="D2141" s="2" t="s">
        <v>2138</v>
      </c>
      <c r="E2141" s="2" t="s">
        <v>2139</v>
      </c>
      <c r="F2141" s="3">
        <v>291.47000000000003</v>
      </c>
      <c r="G2141" s="3">
        <v>302.13000000000011</v>
      </c>
      <c r="H2141" s="2" t="s">
        <v>1201</v>
      </c>
      <c r="I2141" s="19">
        <v>663</v>
      </c>
      <c r="J2141" s="34">
        <f t="shared" si="132"/>
        <v>5.7680999999999996</v>
      </c>
      <c r="K2141" s="34">
        <f t="shared" si="133"/>
        <v>8.65</v>
      </c>
      <c r="L2141" s="34">
        <f t="shared" si="134"/>
        <v>34.6</v>
      </c>
      <c r="M2141" s="20" t="s">
        <v>5204</v>
      </c>
      <c r="N2141" s="20" t="s">
        <v>4597</v>
      </c>
      <c r="O2141" s="20" t="s">
        <v>3892</v>
      </c>
      <c r="P2141" s="20" t="s">
        <v>4598</v>
      </c>
      <c r="Q2141" s="21">
        <v>291.33800000000002</v>
      </c>
      <c r="R2141" s="21">
        <v>302.00599999999997</v>
      </c>
      <c r="S2141" s="21">
        <v>5.3339999999999996</v>
      </c>
      <c r="T2141" s="22">
        <v>13.05</v>
      </c>
      <c r="U2141" s="13">
        <f t="shared" si="135"/>
        <v>-21.55</v>
      </c>
      <c r="V2141" s="23">
        <v>1598.62</v>
      </c>
      <c r="W2141" s="23">
        <v>1598.62</v>
      </c>
      <c r="X2141" s="20">
        <v>2</v>
      </c>
      <c r="Y2141" s="24" t="s">
        <v>3737</v>
      </c>
      <c r="Z2141" s="16">
        <v>935.61999999999989</v>
      </c>
      <c r="AA2141" s="17">
        <v>141.1</v>
      </c>
      <c r="AB2141" s="25" t="s">
        <v>4189</v>
      </c>
    </row>
    <row r="2142" spans="1:28" x14ac:dyDescent="0.45">
      <c r="A2142" s="4" t="s">
        <v>2740</v>
      </c>
      <c r="B2142" s="4" t="s">
        <v>7232</v>
      </c>
      <c r="C2142" s="4" t="s">
        <v>2137</v>
      </c>
      <c r="D2142" s="4" t="s">
        <v>2138</v>
      </c>
      <c r="E2142" s="4" t="s">
        <v>2139</v>
      </c>
      <c r="F2142" s="5">
        <v>291.47000000000003</v>
      </c>
      <c r="G2142" s="5">
        <v>305.45</v>
      </c>
      <c r="H2142" s="4" t="s">
        <v>1368</v>
      </c>
      <c r="I2142" s="10">
        <v>1324</v>
      </c>
      <c r="J2142" s="34">
        <f t="shared" si="132"/>
        <v>11.518799999999999</v>
      </c>
      <c r="K2142" s="34">
        <f t="shared" si="133"/>
        <v>17.28</v>
      </c>
      <c r="L2142" s="34">
        <f t="shared" si="134"/>
        <v>69.12</v>
      </c>
      <c r="M2142" s="11" t="s">
        <v>5205</v>
      </c>
      <c r="N2142" s="11" t="s">
        <v>4597</v>
      </c>
      <c r="O2142" s="11" t="s">
        <v>3892</v>
      </c>
      <c r="P2142" s="11" t="s">
        <v>4598</v>
      </c>
      <c r="Q2142" s="12">
        <v>291.33800000000002</v>
      </c>
      <c r="R2142" s="12">
        <v>305.56200000000001</v>
      </c>
      <c r="S2142" s="12">
        <v>7.1120000000000001</v>
      </c>
      <c r="T2142" s="13">
        <v>33.97</v>
      </c>
      <c r="U2142" s="13">
        <f t="shared" si="135"/>
        <v>-35.150000000000006</v>
      </c>
      <c r="V2142" s="14">
        <v>4161.32</v>
      </c>
      <c r="W2142" s="14">
        <v>4161.32</v>
      </c>
      <c r="X2142" s="11" t="s">
        <v>3722</v>
      </c>
      <c r="Y2142" s="15" t="s">
        <v>3737</v>
      </c>
      <c r="Z2142" s="16">
        <v>2837.32</v>
      </c>
      <c r="AA2142" s="17">
        <v>214.3</v>
      </c>
      <c r="AB2142" s="18" t="s">
        <v>4199</v>
      </c>
    </row>
    <row r="2143" spans="1:28" x14ac:dyDescent="0.45">
      <c r="A2143" s="2" t="s">
        <v>2741</v>
      </c>
      <c r="B2143" s="2" t="s">
        <v>7233</v>
      </c>
      <c r="C2143" s="2" t="s">
        <v>2137</v>
      </c>
      <c r="D2143" s="2" t="s">
        <v>2138</v>
      </c>
      <c r="E2143" s="2" t="s">
        <v>2139</v>
      </c>
      <c r="F2143" s="3">
        <v>304.14</v>
      </c>
      <c r="G2143" s="3">
        <v>314.8</v>
      </c>
      <c r="H2143" s="2" t="s">
        <v>1201</v>
      </c>
      <c r="I2143" s="19">
        <v>692</v>
      </c>
      <c r="J2143" s="34">
        <f t="shared" si="132"/>
        <v>6.0203999999999995</v>
      </c>
      <c r="K2143" s="34">
        <f t="shared" si="133"/>
        <v>9.0299999999999994</v>
      </c>
      <c r="L2143" s="34">
        <f t="shared" si="134"/>
        <v>36.119999999999997</v>
      </c>
      <c r="M2143" s="20" t="s">
        <v>5206</v>
      </c>
      <c r="N2143" s="20" t="s">
        <v>4597</v>
      </c>
      <c r="O2143" s="20" t="s">
        <v>3892</v>
      </c>
      <c r="P2143" s="20" t="s">
        <v>4598</v>
      </c>
      <c r="Q2143" s="21">
        <v>304.03800000000001</v>
      </c>
      <c r="R2143" s="21">
        <v>314.70600000000002</v>
      </c>
      <c r="S2143" s="21">
        <v>5.3339999999999996</v>
      </c>
      <c r="T2143" s="22">
        <v>11.19</v>
      </c>
      <c r="U2143" s="13">
        <f t="shared" si="135"/>
        <v>-24.93</v>
      </c>
      <c r="V2143" s="23">
        <v>1370.78</v>
      </c>
      <c r="W2143" s="23">
        <v>1370.78</v>
      </c>
      <c r="X2143" s="20">
        <v>67</v>
      </c>
      <c r="Y2143" s="24" t="s">
        <v>3737</v>
      </c>
      <c r="Z2143" s="16">
        <v>678.78</v>
      </c>
      <c r="AA2143" s="17">
        <v>98.1</v>
      </c>
      <c r="AB2143" s="25" t="s">
        <v>5207</v>
      </c>
    </row>
    <row r="2144" spans="1:28" x14ac:dyDescent="0.45">
      <c r="A2144" s="4" t="s">
        <v>2742</v>
      </c>
      <c r="B2144" s="4" t="s">
        <v>7234</v>
      </c>
      <c r="C2144" s="4" t="s">
        <v>2137</v>
      </c>
      <c r="D2144" s="4" t="s">
        <v>2138</v>
      </c>
      <c r="E2144" s="4" t="s">
        <v>2139</v>
      </c>
      <c r="F2144" s="5">
        <v>304.17</v>
      </c>
      <c r="G2144" s="5">
        <v>318.14999999999998</v>
      </c>
      <c r="H2144" s="4" t="s">
        <v>1368</v>
      </c>
      <c r="I2144" s="10">
        <v>1383</v>
      </c>
      <c r="J2144" s="34">
        <f t="shared" si="132"/>
        <v>12.0321</v>
      </c>
      <c r="K2144" s="34">
        <f t="shared" si="133"/>
        <v>18.05</v>
      </c>
      <c r="L2144" s="34">
        <f t="shared" si="134"/>
        <v>72.2</v>
      </c>
      <c r="M2144" s="11" t="s">
        <v>5208</v>
      </c>
      <c r="N2144" s="11" t="s">
        <v>4597</v>
      </c>
      <c r="O2144" s="11" t="s">
        <v>3892</v>
      </c>
      <c r="P2144" s="11" t="s">
        <v>4598</v>
      </c>
      <c r="Q2144" s="12">
        <v>304.03800000000001</v>
      </c>
      <c r="R2144" s="12">
        <v>318.262</v>
      </c>
      <c r="S2144" s="12">
        <v>7.1120000000000001</v>
      </c>
      <c r="T2144" s="13">
        <v>30.22</v>
      </c>
      <c r="U2144" s="13">
        <f t="shared" si="135"/>
        <v>-41.980000000000004</v>
      </c>
      <c r="V2144" s="14">
        <v>3701.95</v>
      </c>
      <c r="W2144" s="14">
        <v>3701.95</v>
      </c>
      <c r="X2144" s="11">
        <v>3</v>
      </c>
      <c r="Y2144" s="15" t="s">
        <v>3737</v>
      </c>
      <c r="Z2144" s="16">
        <v>2318.9499999999998</v>
      </c>
      <c r="AA2144" s="17">
        <v>167.7</v>
      </c>
      <c r="AB2144" s="18" t="s">
        <v>4199</v>
      </c>
    </row>
    <row r="2145" spans="1:28" x14ac:dyDescent="0.45">
      <c r="A2145" s="2" t="s">
        <v>2743</v>
      </c>
      <c r="B2145" s="2" t="s">
        <v>7235</v>
      </c>
      <c r="C2145" s="2" t="s">
        <v>2137</v>
      </c>
      <c r="D2145" s="2" t="s">
        <v>2138</v>
      </c>
      <c r="E2145" s="2" t="s">
        <v>2139</v>
      </c>
      <c r="F2145" s="3">
        <v>319.2</v>
      </c>
      <c r="G2145" s="3">
        <v>330.6</v>
      </c>
      <c r="H2145" s="2" t="s">
        <v>1297</v>
      </c>
      <c r="I2145" s="19">
        <v>1451</v>
      </c>
      <c r="J2145" s="34">
        <f t="shared" si="132"/>
        <v>12.623699999999999</v>
      </c>
      <c r="K2145" s="34">
        <f t="shared" si="133"/>
        <v>18.940000000000001</v>
      </c>
      <c r="L2145" s="34">
        <f t="shared" si="134"/>
        <v>75.760000000000005</v>
      </c>
      <c r="M2145" s="20" t="s">
        <v>5209</v>
      </c>
      <c r="N2145" s="20" t="s">
        <v>4597</v>
      </c>
      <c r="O2145" s="20" t="s">
        <v>3892</v>
      </c>
      <c r="P2145" s="20" t="s">
        <v>4598</v>
      </c>
      <c r="Q2145" s="21">
        <v>319.3</v>
      </c>
      <c r="R2145" s="21">
        <v>330.7</v>
      </c>
      <c r="S2145" s="21">
        <v>5.7</v>
      </c>
      <c r="T2145" s="22">
        <v>23.23</v>
      </c>
      <c r="U2145" s="13">
        <f t="shared" si="135"/>
        <v>-52.53</v>
      </c>
      <c r="V2145" s="23">
        <v>2845.68</v>
      </c>
      <c r="W2145" s="23">
        <v>2845.68</v>
      </c>
      <c r="X2145" s="20">
        <v>10</v>
      </c>
      <c r="Y2145" s="24" t="s">
        <v>3713</v>
      </c>
      <c r="Z2145" s="16">
        <v>1394.68</v>
      </c>
      <c r="AA2145" s="17">
        <v>96.1</v>
      </c>
      <c r="AB2145" s="25" t="s">
        <v>4119</v>
      </c>
    </row>
    <row r="2146" spans="1:28" x14ac:dyDescent="0.45">
      <c r="A2146" s="4" t="s">
        <v>2744</v>
      </c>
      <c r="B2146" s="4" t="s">
        <v>7236</v>
      </c>
      <c r="C2146" s="4" t="s">
        <v>2137</v>
      </c>
      <c r="D2146" s="4" t="s">
        <v>2138</v>
      </c>
      <c r="E2146" s="4" t="s">
        <v>2139</v>
      </c>
      <c r="F2146" s="5">
        <v>349.2</v>
      </c>
      <c r="G2146" s="5">
        <v>360.6</v>
      </c>
      <c r="H2146" s="4" t="s">
        <v>1297</v>
      </c>
      <c r="I2146" s="10">
        <v>1587</v>
      </c>
      <c r="J2146" s="34">
        <f t="shared" si="132"/>
        <v>13.806899999999999</v>
      </c>
      <c r="K2146" s="34">
        <f t="shared" si="133"/>
        <v>20.71</v>
      </c>
      <c r="L2146" s="34">
        <f t="shared" si="134"/>
        <v>82.84</v>
      </c>
      <c r="M2146" s="11" t="s">
        <v>5210</v>
      </c>
      <c r="N2146" s="11" t="s">
        <v>4597</v>
      </c>
      <c r="O2146" s="11" t="s">
        <v>3892</v>
      </c>
      <c r="P2146" s="11" t="s">
        <v>4598</v>
      </c>
      <c r="Q2146" s="12">
        <v>350</v>
      </c>
      <c r="R2146" s="12">
        <v>360</v>
      </c>
      <c r="S2146" s="12">
        <v>5</v>
      </c>
      <c r="T2146" s="13">
        <v>27.52</v>
      </c>
      <c r="U2146" s="13">
        <f t="shared" si="135"/>
        <v>-55.320000000000007</v>
      </c>
      <c r="V2146" s="14">
        <v>3371.2</v>
      </c>
      <c r="W2146" s="14">
        <v>3371.2</v>
      </c>
      <c r="X2146" s="11" t="s">
        <v>3722</v>
      </c>
      <c r="Y2146" s="15" t="s">
        <v>3713</v>
      </c>
      <c r="Z2146" s="16">
        <v>1784.2</v>
      </c>
      <c r="AA2146" s="17">
        <v>112.4</v>
      </c>
      <c r="AB2146" s="18" t="s">
        <v>4566</v>
      </c>
    </row>
    <row r="2147" spans="1:28" x14ac:dyDescent="0.45">
      <c r="A2147" s="2" t="s">
        <v>2745</v>
      </c>
      <c r="B2147" s="2" t="s">
        <v>7237</v>
      </c>
      <c r="C2147" s="2" t="s">
        <v>2137</v>
      </c>
      <c r="D2147" s="2" t="s">
        <v>2138</v>
      </c>
      <c r="E2147" s="2" t="s">
        <v>2139</v>
      </c>
      <c r="F2147" s="3">
        <v>354.2</v>
      </c>
      <c r="G2147" s="3">
        <v>365.6</v>
      </c>
      <c r="H2147" s="2" t="s">
        <v>1297</v>
      </c>
      <c r="I2147" s="19">
        <v>1611</v>
      </c>
      <c r="J2147" s="34">
        <f t="shared" si="132"/>
        <v>14.015699999999999</v>
      </c>
      <c r="K2147" s="34">
        <f t="shared" si="133"/>
        <v>21.02</v>
      </c>
      <c r="L2147" s="34">
        <f t="shared" si="134"/>
        <v>84.08</v>
      </c>
      <c r="M2147" s="20" t="s">
        <v>5211</v>
      </c>
      <c r="N2147" s="20" t="s">
        <v>4597</v>
      </c>
      <c r="O2147" s="20" t="s">
        <v>3892</v>
      </c>
      <c r="P2147" s="20" t="s">
        <v>4598</v>
      </c>
      <c r="Q2147" s="21">
        <v>354.83800000000002</v>
      </c>
      <c r="R2147" s="21">
        <v>365.50599999999997</v>
      </c>
      <c r="S2147" s="21">
        <v>5.3339999999999996</v>
      </c>
      <c r="T2147" s="22">
        <v>34.82</v>
      </c>
      <c r="U2147" s="13">
        <f t="shared" si="135"/>
        <v>-49.26</v>
      </c>
      <c r="V2147" s="23">
        <v>4265.45</v>
      </c>
      <c r="W2147" s="23">
        <v>4265.45</v>
      </c>
      <c r="X2147" s="20">
        <v>35</v>
      </c>
      <c r="Y2147" s="24" t="s">
        <v>3737</v>
      </c>
      <c r="Z2147" s="16">
        <v>2654.45</v>
      </c>
      <c r="AA2147" s="17">
        <v>164.8</v>
      </c>
      <c r="AB2147" s="25" t="s">
        <v>5212</v>
      </c>
    </row>
    <row r="2148" spans="1:28" x14ac:dyDescent="0.45">
      <c r="A2148" s="4" t="s">
        <v>2746</v>
      </c>
      <c r="B2148" s="4" t="s">
        <v>7238</v>
      </c>
      <c r="C2148" s="4" t="s">
        <v>2137</v>
      </c>
      <c r="D2148" s="4" t="s">
        <v>2138</v>
      </c>
      <c r="E2148" s="4" t="s">
        <v>2139</v>
      </c>
      <c r="F2148" s="5">
        <v>354.94</v>
      </c>
      <c r="G2148" s="5">
        <v>368.92</v>
      </c>
      <c r="H2148" s="4" t="s">
        <v>1368</v>
      </c>
      <c r="I2148" s="10">
        <v>1614</v>
      </c>
      <c r="J2148" s="34">
        <f t="shared" si="132"/>
        <v>14.041799999999999</v>
      </c>
      <c r="K2148" s="34">
        <f t="shared" si="133"/>
        <v>21.06</v>
      </c>
      <c r="L2148" s="34">
        <f t="shared" si="134"/>
        <v>84.24</v>
      </c>
      <c r="M2148" s="11" t="s">
        <v>5213</v>
      </c>
      <c r="N2148" s="11" t="s">
        <v>4597</v>
      </c>
      <c r="O2148" s="11" t="s">
        <v>3892</v>
      </c>
      <c r="P2148" s="11" t="s">
        <v>4598</v>
      </c>
      <c r="Q2148" s="12">
        <v>354.83800000000002</v>
      </c>
      <c r="R2148" s="12">
        <v>369.06200000000001</v>
      </c>
      <c r="S2148" s="12">
        <v>7.1120000000000001</v>
      </c>
      <c r="T2148" s="13">
        <v>24.32</v>
      </c>
      <c r="U2148" s="13">
        <f t="shared" si="135"/>
        <v>-59.919999999999995</v>
      </c>
      <c r="V2148" s="14">
        <v>2979.2</v>
      </c>
      <c r="W2148" s="14">
        <v>2979.2</v>
      </c>
      <c r="X2148" s="11">
        <v>5</v>
      </c>
      <c r="Y2148" s="15" t="s">
        <v>3737</v>
      </c>
      <c r="Z2148" s="16">
        <v>1365.2</v>
      </c>
      <c r="AA2148" s="17">
        <v>84.6</v>
      </c>
      <c r="AB2148" s="18" t="s">
        <v>5214</v>
      </c>
    </row>
    <row r="2149" spans="1:28" x14ac:dyDescent="0.45">
      <c r="A2149" s="2" t="s">
        <v>2747</v>
      </c>
      <c r="B2149" s="2" t="s">
        <v>7239</v>
      </c>
      <c r="C2149" s="2" t="s">
        <v>2137</v>
      </c>
      <c r="D2149" s="2" t="s">
        <v>2138</v>
      </c>
      <c r="E2149" s="2" t="s">
        <v>2139</v>
      </c>
      <c r="F2149" s="3">
        <v>354.97</v>
      </c>
      <c r="G2149" s="3">
        <v>365.63000000000011</v>
      </c>
      <c r="H2149" s="2" t="s">
        <v>1201</v>
      </c>
      <c r="I2149" s="19">
        <v>808</v>
      </c>
      <c r="J2149" s="34">
        <f t="shared" si="132"/>
        <v>7.0295999999999994</v>
      </c>
      <c r="K2149" s="34">
        <f t="shared" si="133"/>
        <v>10.54</v>
      </c>
      <c r="L2149" s="34">
        <f t="shared" si="134"/>
        <v>42.16</v>
      </c>
      <c r="M2149" s="20" t="s">
        <v>5211</v>
      </c>
      <c r="N2149" s="20" t="s">
        <v>4597</v>
      </c>
      <c r="O2149" s="20" t="s">
        <v>3892</v>
      </c>
      <c r="P2149" s="20" t="s">
        <v>4598</v>
      </c>
      <c r="Q2149" s="21">
        <v>354.83800000000002</v>
      </c>
      <c r="R2149" s="21">
        <v>365.50599999999997</v>
      </c>
      <c r="S2149" s="21">
        <v>5.3339999999999996</v>
      </c>
      <c r="T2149" s="22">
        <v>34.82</v>
      </c>
      <c r="U2149" s="13">
        <f t="shared" si="135"/>
        <v>-7.3399999999999963</v>
      </c>
      <c r="V2149" s="23">
        <v>4265.45</v>
      </c>
      <c r="W2149" s="23">
        <v>4265.45</v>
      </c>
      <c r="X2149" s="20">
        <v>35</v>
      </c>
      <c r="Y2149" s="24" t="s">
        <v>3737</v>
      </c>
      <c r="Z2149" s="16">
        <v>3457.45</v>
      </c>
      <c r="AA2149" s="17">
        <v>427.9</v>
      </c>
      <c r="AB2149" s="25" t="s">
        <v>4189</v>
      </c>
    </row>
    <row r="2150" spans="1:28" x14ac:dyDescent="0.45">
      <c r="A2150" s="4" t="s">
        <v>2748</v>
      </c>
      <c r="B2150" s="4" t="s">
        <v>7240</v>
      </c>
      <c r="C2150" s="4" t="s">
        <v>2137</v>
      </c>
      <c r="D2150" s="4" t="s">
        <v>2138</v>
      </c>
      <c r="E2150" s="4" t="s">
        <v>2139</v>
      </c>
      <c r="F2150" s="5">
        <v>367.67</v>
      </c>
      <c r="G2150" s="5">
        <v>381.65</v>
      </c>
      <c r="H2150" s="4" t="s">
        <v>1368</v>
      </c>
      <c r="I2150" s="10">
        <v>1671</v>
      </c>
      <c r="J2150" s="34">
        <f t="shared" si="132"/>
        <v>14.537699999999999</v>
      </c>
      <c r="K2150" s="34">
        <f t="shared" si="133"/>
        <v>21.81</v>
      </c>
      <c r="L2150" s="34">
        <f t="shared" si="134"/>
        <v>87.24</v>
      </c>
      <c r="M2150" s="11" t="s">
        <v>5215</v>
      </c>
      <c r="N2150" s="11" t="s">
        <v>4597</v>
      </c>
      <c r="O2150" s="11" t="s">
        <v>3892</v>
      </c>
      <c r="P2150" s="11" t="s">
        <v>4598</v>
      </c>
      <c r="Q2150" s="12">
        <v>367.53800000000001</v>
      </c>
      <c r="R2150" s="12">
        <v>381.762</v>
      </c>
      <c r="S2150" s="12">
        <v>7.1120000000000001</v>
      </c>
      <c r="T2150" s="13">
        <v>48.36</v>
      </c>
      <c r="U2150" s="13">
        <f t="shared" si="135"/>
        <v>-38.879999999999995</v>
      </c>
      <c r="V2150" s="14">
        <v>5924.1</v>
      </c>
      <c r="W2150" s="14">
        <v>5924.1</v>
      </c>
      <c r="X2150" s="11" t="s">
        <v>3722</v>
      </c>
      <c r="Y2150" s="15" t="s">
        <v>3737</v>
      </c>
      <c r="Z2150" s="16">
        <v>4253.1000000000004</v>
      </c>
      <c r="AA2150" s="17">
        <v>254.5</v>
      </c>
      <c r="AB2150" s="18" t="s">
        <v>4199</v>
      </c>
    </row>
    <row r="2151" spans="1:28" x14ac:dyDescent="0.45">
      <c r="A2151" s="2" t="s">
        <v>2749</v>
      </c>
      <c r="B2151" s="2" t="s">
        <v>7241</v>
      </c>
      <c r="C2151" s="2" t="s">
        <v>2137</v>
      </c>
      <c r="D2151" s="2" t="s">
        <v>2138</v>
      </c>
      <c r="E2151" s="2" t="s">
        <v>2139</v>
      </c>
      <c r="F2151" s="3">
        <v>506.86</v>
      </c>
      <c r="G2151" s="3">
        <v>520.84</v>
      </c>
      <c r="H2151" s="2" t="s">
        <v>1368</v>
      </c>
      <c r="I2151" s="19">
        <v>2304</v>
      </c>
      <c r="J2151" s="34">
        <f t="shared" si="132"/>
        <v>20.044799999999999</v>
      </c>
      <c r="K2151" s="34">
        <f t="shared" si="133"/>
        <v>30.07</v>
      </c>
      <c r="L2151" s="34">
        <f t="shared" si="134"/>
        <v>120.28</v>
      </c>
      <c r="M2151" s="20" t="s">
        <v>5216</v>
      </c>
      <c r="N2151" s="20" t="s">
        <v>4597</v>
      </c>
      <c r="O2151" s="20" t="s">
        <v>3892</v>
      </c>
      <c r="P2151" s="20" t="s">
        <v>4598</v>
      </c>
      <c r="Q2151" s="21">
        <v>506.73</v>
      </c>
      <c r="R2151" s="21">
        <v>520.70000000000005</v>
      </c>
      <c r="S2151" s="21">
        <v>7.1120000000000001</v>
      </c>
      <c r="T2151" s="22">
        <v>45.75</v>
      </c>
      <c r="U2151" s="13">
        <f t="shared" si="135"/>
        <v>-74.53</v>
      </c>
      <c r="V2151" s="23">
        <v>5604.38</v>
      </c>
      <c r="W2151" s="23">
        <v>5604.38</v>
      </c>
      <c r="X2151" s="20">
        <v>4</v>
      </c>
      <c r="Y2151" s="24" t="s">
        <v>3737</v>
      </c>
      <c r="Z2151" s="16">
        <v>3300.38</v>
      </c>
      <c r="AA2151" s="17">
        <v>143.19999999999999</v>
      </c>
      <c r="AB2151" s="25" t="s">
        <v>4152</v>
      </c>
    </row>
    <row r="2152" spans="1:28" x14ac:dyDescent="0.45">
      <c r="A2152" s="4" t="s">
        <v>2754</v>
      </c>
      <c r="B2152" s="4" t="s">
        <v>2755</v>
      </c>
      <c r="C2152" s="4" t="s">
        <v>2751</v>
      </c>
      <c r="D2152" s="4" t="s">
        <v>2752</v>
      </c>
      <c r="E2152" s="4"/>
      <c r="F2152" s="5">
        <v>16</v>
      </c>
      <c r="G2152" s="5">
        <v>26</v>
      </c>
      <c r="H2152" s="4" t="s">
        <v>2753</v>
      </c>
      <c r="I2152" s="10">
        <v>42</v>
      </c>
      <c r="J2152" s="34">
        <f t="shared" si="132"/>
        <v>0.36539999999999995</v>
      </c>
      <c r="K2152" s="34">
        <f t="shared" si="133"/>
        <v>0.55000000000000004</v>
      </c>
      <c r="L2152" s="34">
        <f t="shared" si="134"/>
        <v>2.2000000000000002</v>
      </c>
      <c r="M2152" s="11" t="s">
        <v>5217</v>
      </c>
      <c r="N2152" s="11" t="s">
        <v>5218</v>
      </c>
      <c r="O2152" s="11" t="s">
        <v>5219</v>
      </c>
      <c r="P2152" s="11" t="s">
        <v>5220</v>
      </c>
      <c r="Q2152" s="12">
        <v>17</v>
      </c>
      <c r="R2152" s="12">
        <v>25</v>
      </c>
      <c r="S2152" s="12">
        <v>3</v>
      </c>
      <c r="T2152" s="13">
        <v>13.03</v>
      </c>
      <c r="U2152" s="13">
        <f t="shared" si="135"/>
        <v>10.829999999999998</v>
      </c>
      <c r="V2152" s="14">
        <v>1596.18</v>
      </c>
      <c r="W2152" s="14">
        <v>1596.18</v>
      </c>
      <c r="X2152" s="11" t="s">
        <v>3722</v>
      </c>
      <c r="Y2152" s="15" t="s">
        <v>3713</v>
      </c>
      <c r="Z2152" s="16">
        <v>1554.18</v>
      </c>
      <c r="AA2152" s="17">
        <v>3700.4</v>
      </c>
      <c r="AB2152" s="18" t="s">
        <v>3783</v>
      </c>
    </row>
    <row r="2153" spans="1:28" x14ac:dyDescent="0.45">
      <c r="A2153" s="2" t="s">
        <v>2756</v>
      </c>
      <c r="B2153" s="2" t="s">
        <v>2757</v>
      </c>
      <c r="C2153" s="2" t="s">
        <v>2751</v>
      </c>
      <c r="D2153" s="2" t="s">
        <v>2752</v>
      </c>
      <c r="E2153" s="2"/>
      <c r="F2153" s="3">
        <v>18</v>
      </c>
      <c r="G2153" s="3">
        <v>28</v>
      </c>
      <c r="H2153" s="2" t="s">
        <v>2753</v>
      </c>
      <c r="I2153" s="19">
        <v>47</v>
      </c>
      <c r="J2153" s="34">
        <f t="shared" si="132"/>
        <v>0.40889999999999999</v>
      </c>
      <c r="K2153" s="34">
        <f t="shared" si="133"/>
        <v>0.61</v>
      </c>
      <c r="L2153" s="34">
        <f t="shared" si="134"/>
        <v>2.44</v>
      </c>
      <c r="M2153" s="20" t="s">
        <v>5221</v>
      </c>
      <c r="N2153" s="20" t="s">
        <v>5218</v>
      </c>
      <c r="O2153" s="20" t="s">
        <v>5219</v>
      </c>
      <c r="P2153" s="20" t="s">
        <v>5220</v>
      </c>
      <c r="Q2153" s="21">
        <v>19</v>
      </c>
      <c r="R2153" s="21">
        <v>28</v>
      </c>
      <c r="S2153" s="21">
        <v>2.5</v>
      </c>
      <c r="T2153" s="22">
        <v>1.64</v>
      </c>
      <c r="U2153" s="13">
        <f t="shared" si="135"/>
        <v>-0.8</v>
      </c>
      <c r="V2153" s="23">
        <v>200.9</v>
      </c>
      <c r="W2153" s="23">
        <v>200.9</v>
      </c>
      <c r="X2153" s="20">
        <v>49</v>
      </c>
      <c r="Y2153" s="24" t="s">
        <v>3713</v>
      </c>
      <c r="Z2153" s="16">
        <v>153.9</v>
      </c>
      <c r="AA2153" s="17">
        <v>327.39999999999998</v>
      </c>
      <c r="AB2153" s="25" t="s">
        <v>3819</v>
      </c>
    </row>
    <row r="2154" spans="1:28" x14ac:dyDescent="0.45">
      <c r="A2154" s="4" t="s">
        <v>2758</v>
      </c>
      <c r="B2154" s="4" t="s">
        <v>2759</v>
      </c>
      <c r="C2154" s="4" t="s">
        <v>2751</v>
      </c>
      <c r="D2154" s="4" t="s">
        <v>2752</v>
      </c>
      <c r="E2154" s="4"/>
      <c r="F2154" s="5">
        <v>20</v>
      </c>
      <c r="G2154" s="5">
        <v>30</v>
      </c>
      <c r="H2154" s="4" t="s">
        <v>2753</v>
      </c>
      <c r="I2154" s="10">
        <v>47</v>
      </c>
      <c r="J2154" s="34">
        <f t="shared" si="132"/>
        <v>0.40889999999999999</v>
      </c>
      <c r="K2154" s="34">
        <f t="shared" si="133"/>
        <v>0.61</v>
      </c>
      <c r="L2154" s="34">
        <f t="shared" si="134"/>
        <v>2.44</v>
      </c>
      <c r="M2154" s="11" t="s">
        <v>5222</v>
      </c>
      <c r="N2154" s="11" t="s">
        <v>5218</v>
      </c>
      <c r="O2154" s="11" t="s">
        <v>5219</v>
      </c>
      <c r="P2154" s="11" t="s">
        <v>5220</v>
      </c>
      <c r="Q2154" s="12">
        <v>21</v>
      </c>
      <c r="R2154" s="12">
        <v>30</v>
      </c>
      <c r="S2154" s="12">
        <v>2.5</v>
      </c>
      <c r="T2154" s="13">
        <v>1.77</v>
      </c>
      <c r="U2154" s="13">
        <f t="shared" si="135"/>
        <v>-0.66999999999999993</v>
      </c>
      <c r="V2154" s="14">
        <v>216.82</v>
      </c>
      <c r="W2154" s="14">
        <v>216.82</v>
      </c>
      <c r="X2154" s="11">
        <v>4</v>
      </c>
      <c r="Y2154" s="15" t="s">
        <v>3713</v>
      </c>
      <c r="Z2154" s="16">
        <v>169.82</v>
      </c>
      <c r="AA2154" s="17">
        <v>361.3</v>
      </c>
      <c r="AB2154" s="18" t="s">
        <v>3819</v>
      </c>
    </row>
    <row r="2155" spans="1:28" x14ac:dyDescent="0.45">
      <c r="A2155" s="2" t="s">
        <v>2760</v>
      </c>
      <c r="B2155" s="2" t="s">
        <v>2761</v>
      </c>
      <c r="C2155" s="2" t="s">
        <v>2751</v>
      </c>
      <c r="D2155" s="2" t="s">
        <v>2752</v>
      </c>
      <c r="E2155" s="2"/>
      <c r="F2155" s="3">
        <v>22</v>
      </c>
      <c r="G2155" s="3">
        <v>32</v>
      </c>
      <c r="H2155" s="2" t="s">
        <v>2753</v>
      </c>
      <c r="I2155" s="19">
        <v>52</v>
      </c>
      <c r="J2155" s="34">
        <f t="shared" si="132"/>
        <v>0.45239999999999997</v>
      </c>
      <c r="K2155" s="34">
        <f t="shared" si="133"/>
        <v>0.68</v>
      </c>
      <c r="L2155" s="34">
        <f t="shared" si="134"/>
        <v>2.72</v>
      </c>
      <c r="M2155" s="20" t="s">
        <v>5223</v>
      </c>
      <c r="N2155" s="20" t="s">
        <v>5218</v>
      </c>
      <c r="O2155" s="20" t="s">
        <v>5219</v>
      </c>
      <c r="P2155" s="20" t="s">
        <v>5220</v>
      </c>
      <c r="Q2155" s="21">
        <v>23</v>
      </c>
      <c r="R2155" s="21">
        <v>32</v>
      </c>
      <c r="S2155" s="21">
        <v>2.5</v>
      </c>
      <c r="T2155" s="22">
        <v>1.77</v>
      </c>
      <c r="U2155" s="13">
        <f t="shared" si="135"/>
        <v>-0.95000000000000018</v>
      </c>
      <c r="V2155" s="23">
        <v>216.82</v>
      </c>
      <c r="W2155" s="23">
        <v>216.82</v>
      </c>
      <c r="X2155" s="20">
        <v>80</v>
      </c>
      <c r="Y2155" s="24" t="s">
        <v>3713</v>
      </c>
      <c r="Z2155" s="16">
        <v>164.82</v>
      </c>
      <c r="AA2155" s="17">
        <v>317</v>
      </c>
      <c r="AB2155" s="25" t="s">
        <v>3819</v>
      </c>
    </row>
    <row r="2156" spans="1:28" x14ac:dyDescent="0.45">
      <c r="A2156" s="4" t="s">
        <v>2762</v>
      </c>
      <c r="B2156" s="4" t="s">
        <v>2763</v>
      </c>
      <c r="C2156" s="4" t="s">
        <v>2751</v>
      </c>
      <c r="D2156" s="4" t="s">
        <v>2752</v>
      </c>
      <c r="E2156" s="4"/>
      <c r="F2156" s="5">
        <v>25</v>
      </c>
      <c r="G2156" s="5">
        <v>35</v>
      </c>
      <c r="H2156" s="4" t="s">
        <v>2753</v>
      </c>
      <c r="I2156" s="10">
        <v>52</v>
      </c>
      <c r="J2156" s="34">
        <f t="shared" si="132"/>
        <v>0.45239999999999997</v>
      </c>
      <c r="K2156" s="34">
        <f t="shared" si="133"/>
        <v>0.68</v>
      </c>
      <c r="L2156" s="34">
        <f t="shared" si="134"/>
        <v>2.72</v>
      </c>
      <c r="M2156" s="11" t="s">
        <v>5224</v>
      </c>
      <c r="N2156" s="11" t="s">
        <v>5218</v>
      </c>
      <c r="O2156" s="11" t="s">
        <v>5219</v>
      </c>
      <c r="P2156" s="11" t="s">
        <v>5220</v>
      </c>
      <c r="Q2156" s="12">
        <v>26</v>
      </c>
      <c r="R2156" s="12">
        <v>35</v>
      </c>
      <c r="S2156" s="12">
        <v>2.5</v>
      </c>
      <c r="T2156" s="13">
        <v>1.88</v>
      </c>
      <c r="U2156" s="13">
        <f t="shared" si="135"/>
        <v>-0.8400000000000003</v>
      </c>
      <c r="V2156" s="14">
        <v>230.3</v>
      </c>
      <c r="W2156" s="14">
        <v>230.3</v>
      </c>
      <c r="X2156" s="11">
        <v>148</v>
      </c>
      <c r="Y2156" s="15" t="s">
        <v>3713</v>
      </c>
      <c r="Z2156" s="16">
        <v>178.3</v>
      </c>
      <c r="AA2156" s="17">
        <v>342.9</v>
      </c>
      <c r="AB2156" s="18" t="s">
        <v>3819</v>
      </c>
    </row>
    <row r="2157" spans="1:28" x14ac:dyDescent="0.45">
      <c r="A2157" s="2" t="s">
        <v>2764</v>
      </c>
      <c r="B2157" s="2" t="s">
        <v>2765</v>
      </c>
      <c r="C2157" s="2" t="s">
        <v>2751</v>
      </c>
      <c r="D2157" s="2" t="s">
        <v>2752</v>
      </c>
      <c r="E2157" s="2"/>
      <c r="F2157" s="3">
        <v>30</v>
      </c>
      <c r="G2157" s="3">
        <v>40</v>
      </c>
      <c r="H2157" s="2" t="s">
        <v>2753</v>
      </c>
      <c r="I2157" s="19">
        <v>56</v>
      </c>
      <c r="J2157" s="34">
        <f t="shared" si="132"/>
        <v>0.48719999999999997</v>
      </c>
      <c r="K2157" s="34">
        <f t="shared" si="133"/>
        <v>0.73</v>
      </c>
      <c r="L2157" s="34">
        <f t="shared" si="134"/>
        <v>2.92</v>
      </c>
      <c r="M2157" s="20" t="s">
        <v>5225</v>
      </c>
      <c r="N2157" s="20"/>
      <c r="O2157" s="20" t="s">
        <v>5219</v>
      </c>
      <c r="P2157" s="20" t="s">
        <v>2750</v>
      </c>
      <c r="Q2157" s="21">
        <v>30</v>
      </c>
      <c r="R2157" s="21">
        <v>40</v>
      </c>
      <c r="S2157" s="21">
        <v>7</v>
      </c>
      <c r="T2157" s="22">
        <v>3.89</v>
      </c>
      <c r="U2157" s="13">
        <f t="shared" si="135"/>
        <v>0.9700000000000002</v>
      </c>
      <c r="V2157" s="23">
        <v>476.52</v>
      </c>
      <c r="W2157" s="23">
        <v>476.52</v>
      </c>
      <c r="X2157" s="20">
        <v>48</v>
      </c>
      <c r="Y2157" s="24" t="s">
        <v>3713</v>
      </c>
      <c r="Z2157" s="16">
        <v>420.52</v>
      </c>
      <c r="AA2157" s="17">
        <v>750.9</v>
      </c>
      <c r="AB2157" s="25" t="s">
        <v>3714</v>
      </c>
    </row>
    <row r="2158" spans="1:28" x14ac:dyDescent="0.45">
      <c r="A2158" s="4" t="s">
        <v>2766</v>
      </c>
      <c r="B2158" s="4" t="s">
        <v>2767</v>
      </c>
      <c r="C2158" s="4" t="s">
        <v>2751</v>
      </c>
      <c r="D2158" s="4" t="s">
        <v>2752</v>
      </c>
      <c r="E2158" s="4"/>
      <c r="F2158" s="5">
        <v>35</v>
      </c>
      <c r="G2158" s="5">
        <v>45</v>
      </c>
      <c r="H2158" s="4" t="s">
        <v>2753</v>
      </c>
      <c r="I2158" s="10">
        <v>59</v>
      </c>
      <c r="J2158" s="34">
        <f t="shared" si="132"/>
        <v>0.51329999999999998</v>
      </c>
      <c r="K2158" s="34">
        <f t="shared" si="133"/>
        <v>0.77</v>
      </c>
      <c r="L2158" s="34">
        <f t="shared" si="134"/>
        <v>3.08</v>
      </c>
      <c r="M2158" s="11" t="s">
        <v>5226</v>
      </c>
      <c r="N2158" s="11" t="s">
        <v>5218</v>
      </c>
      <c r="O2158" s="11" t="s">
        <v>5219</v>
      </c>
      <c r="P2158" s="11" t="s">
        <v>5220</v>
      </c>
      <c r="Q2158" s="12">
        <v>36</v>
      </c>
      <c r="R2158" s="12">
        <v>45</v>
      </c>
      <c r="S2158" s="12">
        <v>2.7</v>
      </c>
      <c r="T2158" s="13">
        <v>2.1800000000000002</v>
      </c>
      <c r="U2158" s="13">
        <f t="shared" si="135"/>
        <v>-0.89999999999999991</v>
      </c>
      <c r="V2158" s="14">
        <v>267.05</v>
      </c>
      <c r="W2158" s="14">
        <v>267.05</v>
      </c>
      <c r="X2158" s="11" t="s">
        <v>3722</v>
      </c>
      <c r="Y2158" s="15" t="s">
        <v>3713</v>
      </c>
      <c r="Z2158" s="16">
        <v>208.05</v>
      </c>
      <c r="AA2158" s="17">
        <v>352.6</v>
      </c>
      <c r="AB2158" s="18" t="s">
        <v>3819</v>
      </c>
    </row>
    <row r="2159" spans="1:28" x14ac:dyDescent="0.45">
      <c r="A2159" s="2" t="s">
        <v>2768</v>
      </c>
      <c r="B2159" s="2" t="s">
        <v>2769</v>
      </c>
      <c r="C2159" s="2" t="s">
        <v>2751</v>
      </c>
      <c r="D2159" s="2" t="s">
        <v>2752</v>
      </c>
      <c r="E2159" s="2"/>
      <c r="F2159" s="3">
        <v>40</v>
      </c>
      <c r="G2159" s="3">
        <v>50</v>
      </c>
      <c r="H2159" s="2" t="s">
        <v>2753</v>
      </c>
      <c r="I2159" s="19">
        <v>62</v>
      </c>
      <c r="J2159" s="34">
        <f t="shared" si="132"/>
        <v>0.53939999999999999</v>
      </c>
      <c r="K2159" s="34">
        <f t="shared" si="133"/>
        <v>0.81</v>
      </c>
      <c r="L2159" s="34">
        <f t="shared" si="134"/>
        <v>3.24</v>
      </c>
      <c r="M2159" s="20" t="s">
        <v>5227</v>
      </c>
      <c r="N2159" s="20"/>
      <c r="O2159" s="20" t="s">
        <v>5219</v>
      </c>
      <c r="P2159" s="20" t="s">
        <v>5228</v>
      </c>
      <c r="Q2159" s="21">
        <v>40</v>
      </c>
      <c r="R2159" s="21">
        <v>50</v>
      </c>
      <c r="S2159" s="21">
        <v>3.8</v>
      </c>
      <c r="T2159" s="22">
        <v>2.48</v>
      </c>
      <c r="U2159" s="13">
        <f t="shared" si="135"/>
        <v>-0.76000000000000023</v>
      </c>
      <c r="V2159" s="23">
        <v>303.8</v>
      </c>
      <c r="W2159" s="23">
        <v>303.8</v>
      </c>
      <c r="X2159" s="20">
        <v>668</v>
      </c>
      <c r="Y2159" s="24" t="s">
        <v>3713</v>
      </c>
      <c r="Z2159" s="16">
        <v>241.8</v>
      </c>
      <c r="AA2159" s="17">
        <v>390</v>
      </c>
      <c r="AB2159" s="25" t="s">
        <v>3714</v>
      </c>
    </row>
    <row r="2160" spans="1:28" x14ac:dyDescent="0.45">
      <c r="A2160" s="4" t="s">
        <v>2780</v>
      </c>
      <c r="B2160" s="4" t="s">
        <v>2781</v>
      </c>
      <c r="C2160" s="4" t="s">
        <v>2782</v>
      </c>
      <c r="D2160" s="4" t="s">
        <v>2783</v>
      </c>
      <c r="E2160" s="4" t="s">
        <v>256</v>
      </c>
      <c r="F2160" s="5">
        <v>60</v>
      </c>
      <c r="G2160" s="5">
        <v>70</v>
      </c>
      <c r="H2160" s="4" t="s">
        <v>2784</v>
      </c>
      <c r="I2160" s="10">
        <v>167</v>
      </c>
      <c r="J2160" s="34">
        <f t="shared" si="132"/>
        <v>1.4528999999999999</v>
      </c>
      <c r="K2160" s="34">
        <f t="shared" si="133"/>
        <v>2.1800000000000002</v>
      </c>
      <c r="L2160" s="34">
        <f t="shared" si="134"/>
        <v>8.7200000000000006</v>
      </c>
      <c r="M2160" s="11" t="s">
        <v>5229</v>
      </c>
      <c r="N2160" s="11" t="s">
        <v>5230</v>
      </c>
      <c r="O2160" s="11" t="s">
        <v>5231</v>
      </c>
      <c r="P2160" s="11" t="s">
        <v>5232</v>
      </c>
      <c r="Q2160" s="12">
        <v>60</v>
      </c>
      <c r="R2160" s="12">
        <v>71</v>
      </c>
      <c r="S2160" s="12">
        <v>4.2</v>
      </c>
      <c r="T2160" s="13">
        <v>9.1</v>
      </c>
      <c r="U2160" s="13">
        <f t="shared" si="135"/>
        <v>0.37999999999999901</v>
      </c>
      <c r="V2160" s="14">
        <v>1114.75</v>
      </c>
      <c r="W2160" s="14">
        <v>1114.75</v>
      </c>
      <c r="X2160" s="11">
        <v>266</v>
      </c>
      <c r="Y2160" s="15" t="s">
        <v>3713</v>
      </c>
      <c r="Z2160" s="16">
        <v>947.75</v>
      </c>
      <c r="AA2160" s="17">
        <v>567.5</v>
      </c>
      <c r="AB2160" s="18" t="s">
        <v>3786</v>
      </c>
    </row>
    <row r="2161" spans="1:28" x14ac:dyDescent="0.45">
      <c r="A2161" s="2" t="s">
        <v>2785</v>
      </c>
      <c r="B2161" s="2" t="s">
        <v>2786</v>
      </c>
      <c r="C2161" s="2" t="s">
        <v>2782</v>
      </c>
      <c r="D2161" s="2" t="s">
        <v>2783</v>
      </c>
      <c r="E2161" s="2" t="s">
        <v>256</v>
      </c>
      <c r="F2161" s="3">
        <v>70</v>
      </c>
      <c r="G2161" s="3">
        <v>80</v>
      </c>
      <c r="H2161" s="2" t="s">
        <v>2784</v>
      </c>
      <c r="I2161" s="19">
        <v>183</v>
      </c>
      <c r="J2161" s="34">
        <f t="shared" si="132"/>
        <v>1.5920999999999998</v>
      </c>
      <c r="K2161" s="34">
        <f t="shared" si="133"/>
        <v>2.39</v>
      </c>
      <c r="L2161" s="34">
        <f t="shared" si="134"/>
        <v>9.56</v>
      </c>
      <c r="M2161" s="20" t="s">
        <v>5233</v>
      </c>
      <c r="N2161" s="20" t="s">
        <v>5230</v>
      </c>
      <c r="O2161" s="20" t="s">
        <v>5231</v>
      </c>
      <c r="P2161" s="20" t="s">
        <v>5232</v>
      </c>
      <c r="Q2161" s="21">
        <v>70</v>
      </c>
      <c r="R2161" s="21">
        <v>81</v>
      </c>
      <c r="S2161" s="21">
        <v>4.2</v>
      </c>
      <c r="T2161" s="22">
        <v>11.38</v>
      </c>
      <c r="U2161" s="13">
        <f t="shared" si="135"/>
        <v>1.8200000000000003</v>
      </c>
      <c r="V2161" s="23">
        <v>1394.05</v>
      </c>
      <c r="W2161" s="23">
        <v>1394.05</v>
      </c>
      <c r="X2161" s="20">
        <v>264</v>
      </c>
      <c r="Y2161" s="24" t="s">
        <v>3713</v>
      </c>
      <c r="Z2161" s="16">
        <v>1211.05</v>
      </c>
      <c r="AA2161" s="17">
        <v>661.8</v>
      </c>
      <c r="AB2161" s="25" t="s">
        <v>3786</v>
      </c>
    </row>
    <row r="2162" spans="1:28" x14ac:dyDescent="0.45">
      <c r="A2162" s="4" t="s">
        <v>2787</v>
      </c>
      <c r="B2162" s="4" t="s">
        <v>2788</v>
      </c>
      <c r="C2162" s="4" t="s">
        <v>2782</v>
      </c>
      <c r="D2162" s="4" t="s">
        <v>2783</v>
      </c>
      <c r="E2162" s="4" t="s">
        <v>256</v>
      </c>
      <c r="F2162" s="5">
        <v>80</v>
      </c>
      <c r="G2162" s="5">
        <v>90</v>
      </c>
      <c r="H2162" s="4" t="s">
        <v>2784</v>
      </c>
      <c r="I2162" s="10">
        <v>200</v>
      </c>
      <c r="J2162" s="34">
        <f t="shared" si="132"/>
        <v>1.7399999999999998</v>
      </c>
      <c r="K2162" s="34">
        <f t="shared" si="133"/>
        <v>2.61</v>
      </c>
      <c r="L2162" s="34">
        <f t="shared" si="134"/>
        <v>10.44</v>
      </c>
      <c r="M2162" s="11" t="s">
        <v>5234</v>
      </c>
      <c r="N2162" s="11" t="s">
        <v>5230</v>
      </c>
      <c r="O2162" s="11" t="s">
        <v>5231</v>
      </c>
      <c r="P2162" s="11" t="s">
        <v>5232</v>
      </c>
      <c r="Q2162" s="12">
        <v>80</v>
      </c>
      <c r="R2162" s="12">
        <v>91</v>
      </c>
      <c r="S2162" s="12">
        <v>4.2</v>
      </c>
      <c r="T2162" s="13">
        <v>17.329999999999998</v>
      </c>
      <c r="U2162" s="13">
        <f t="shared" si="135"/>
        <v>6.8899999999999988</v>
      </c>
      <c r="V2162" s="14">
        <v>2122.92</v>
      </c>
      <c r="W2162" s="14">
        <v>2122.92</v>
      </c>
      <c r="X2162" s="11">
        <v>85</v>
      </c>
      <c r="Y2162" s="15" t="s">
        <v>3713</v>
      </c>
      <c r="Z2162" s="16">
        <v>1922.92</v>
      </c>
      <c r="AA2162" s="17">
        <v>961.5</v>
      </c>
      <c r="AB2162" s="18" t="s">
        <v>3786</v>
      </c>
    </row>
    <row r="2163" spans="1:28" x14ac:dyDescent="0.45">
      <c r="A2163" s="2" t="s">
        <v>2789</v>
      </c>
      <c r="B2163" s="2" t="s">
        <v>2790</v>
      </c>
      <c r="C2163" s="2" t="s">
        <v>2782</v>
      </c>
      <c r="D2163" s="2" t="s">
        <v>2783</v>
      </c>
      <c r="E2163" s="2" t="s">
        <v>256</v>
      </c>
      <c r="F2163" s="3">
        <v>85</v>
      </c>
      <c r="G2163" s="3">
        <v>95</v>
      </c>
      <c r="H2163" s="2" t="s">
        <v>2784</v>
      </c>
      <c r="I2163" s="19">
        <v>209</v>
      </c>
      <c r="J2163" s="34">
        <f t="shared" si="132"/>
        <v>1.8182999999999998</v>
      </c>
      <c r="K2163" s="34">
        <f t="shared" si="133"/>
        <v>2.73</v>
      </c>
      <c r="L2163" s="34">
        <f t="shared" si="134"/>
        <v>10.92</v>
      </c>
      <c r="M2163" s="20" t="s">
        <v>5235</v>
      </c>
      <c r="N2163" s="20"/>
      <c r="O2163" s="20" t="s">
        <v>5231</v>
      </c>
      <c r="P2163" s="20" t="s">
        <v>5236</v>
      </c>
      <c r="Q2163" s="21">
        <v>85</v>
      </c>
      <c r="R2163" s="21">
        <v>95</v>
      </c>
      <c r="S2163" s="21">
        <v>6.3</v>
      </c>
      <c r="T2163" s="22">
        <v>10.15</v>
      </c>
      <c r="U2163" s="13">
        <f t="shared" si="135"/>
        <v>-0.76999999999999957</v>
      </c>
      <c r="V2163" s="23">
        <v>1243.3800000000001</v>
      </c>
      <c r="W2163" s="23">
        <v>1243.3800000000001</v>
      </c>
      <c r="X2163" s="20" t="s">
        <v>3722</v>
      </c>
      <c r="Y2163" s="24" t="s">
        <v>3713</v>
      </c>
      <c r="Z2163" s="16">
        <v>1034.3800000000001</v>
      </c>
      <c r="AA2163" s="17">
        <v>494.9</v>
      </c>
      <c r="AB2163" s="25" t="s">
        <v>3714</v>
      </c>
    </row>
    <row r="2164" spans="1:28" x14ac:dyDescent="0.45">
      <c r="A2164" s="4" t="s">
        <v>2791</v>
      </c>
      <c r="B2164" s="4" t="s">
        <v>2792</v>
      </c>
      <c r="C2164" s="4" t="s">
        <v>2782</v>
      </c>
      <c r="D2164" s="4" t="s">
        <v>2783</v>
      </c>
      <c r="E2164" s="4" t="s">
        <v>256</v>
      </c>
      <c r="F2164" s="5">
        <v>90</v>
      </c>
      <c r="G2164" s="5">
        <v>100</v>
      </c>
      <c r="H2164" s="4" t="s">
        <v>2784</v>
      </c>
      <c r="I2164" s="10">
        <v>217</v>
      </c>
      <c r="J2164" s="34">
        <f t="shared" si="132"/>
        <v>1.8878999999999999</v>
      </c>
      <c r="K2164" s="34">
        <f t="shared" si="133"/>
        <v>2.83</v>
      </c>
      <c r="L2164" s="34">
        <f t="shared" si="134"/>
        <v>11.32</v>
      </c>
      <c r="M2164" s="11" t="s">
        <v>5237</v>
      </c>
      <c r="N2164" s="11"/>
      <c r="O2164" s="11" t="s">
        <v>5231</v>
      </c>
      <c r="P2164" s="11" t="s">
        <v>5238</v>
      </c>
      <c r="Q2164" s="12">
        <v>90</v>
      </c>
      <c r="R2164" s="12">
        <v>100</v>
      </c>
      <c r="S2164" s="12">
        <v>7.5</v>
      </c>
      <c r="T2164" s="13">
        <v>32.020000000000003</v>
      </c>
      <c r="U2164" s="13">
        <f t="shared" si="135"/>
        <v>20.700000000000003</v>
      </c>
      <c r="V2164" s="14">
        <v>3922.45</v>
      </c>
      <c r="W2164" s="14">
        <v>3922.45</v>
      </c>
      <c r="X2164" s="11">
        <v>7</v>
      </c>
      <c r="Y2164" s="15" t="s">
        <v>3713</v>
      </c>
      <c r="Z2164" s="16">
        <v>3705.45</v>
      </c>
      <c r="AA2164" s="17">
        <v>1707.6</v>
      </c>
      <c r="AB2164" s="18" t="s">
        <v>3714</v>
      </c>
    </row>
    <row r="2165" spans="1:28" x14ac:dyDescent="0.45">
      <c r="A2165" s="2" t="s">
        <v>2793</v>
      </c>
      <c r="B2165" s="2" t="s">
        <v>2794</v>
      </c>
      <c r="C2165" s="2" t="s">
        <v>2782</v>
      </c>
      <c r="D2165" s="2" t="s">
        <v>2783</v>
      </c>
      <c r="E2165" s="2" t="s">
        <v>256</v>
      </c>
      <c r="F2165" s="3">
        <v>110</v>
      </c>
      <c r="G2165" s="3">
        <v>120</v>
      </c>
      <c r="H2165" s="2" t="s">
        <v>2784</v>
      </c>
      <c r="I2165" s="19">
        <v>301</v>
      </c>
      <c r="J2165" s="34">
        <f t="shared" si="132"/>
        <v>2.6187</v>
      </c>
      <c r="K2165" s="34">
        <f t="shared" si="133"/>
        <v>3.93</v>
      </c>
      <c r="L2165" s="34">
        <f t="shared" si="134"/>
        <v>15.72</v>
      </c>
      <c r="M2165" s="20" t="s">
        <v>5239</v>
      </c>
      <c r="N2165" s="20" t="s">
        <v>5230</v>
      </c>
      <c r="O2165" s="20" t="s">
        <v>5231</v>
      </c>
      <c r="P2165" s="20" t="s">
        <v>5232</v>
      </c>
      <c r="Q2165" s="21">
        <v>110</v>
      </c>
      <c r="R2165" s="21">
        <v>121</v>
      </c>
      <c r="S2165" s="21">
        <v>4.2</v>
      </c>
      <c r="T2165" s="22">
        <v>34.840000000000003</v>
      </c>
      <c r="U2165" s="13">
        <f t="shared" si="135"/>
        <v>19.120000000000005</v>
      </c>
      <c r="V2165" s="23">
        <v>4267.8999999999996</v>
      </c>
      <c r="W2165" s="23">
        <v>4267.8999999999996</v>
      </c>
      <c r="X2165" s="20">
        <v>6</v>
      </c>
      <c r="Y2165" s="24" t="s">
        <v>3713</v>
      </c>
      <c r="Z2165" s="16">
        <v>3966.9</v>
      </c>
      <c r="AA2165" s="17">
        <v>1317.9</v>
      </c>
      <c r="AB2165" s="25" t="s">
        <v>3786</v>
      </c>
    </row>
    <row r="2166" spans="1:28" x14ac:dyDescent="0.45">
      <c r="A2166" s="4" t="s">
        <v>2795</v>
      </c>
      <c r="B2166" s="4" t="s">
        <v>2796</v>
      </c>
      <c r="C2166" s="4" t="s">
        <v>2797</v>
      </c>
      <c r="D2166" s="4" t="s">
        <v>2798</v>
      </c>
      <c r="E2166" s="4" t="s">
        <v>6</v>
      </c>
      <c r="F2166" s="5">
        <v>8</v>
      </c>
      <c r="G2166" s="5">
        <v>12.9</v>
      </c>
      <c r="H2166" s="4" t="s">
        <v>2770</v>
      </c>
      <c r="I2166" s="10">
        <v>54</v>
      </c>
      <c r="J2166" s="34">
        <f t="shared" si="132"/>
        <v>0.4698</v>
      </c>
      <c r="K2166" s="34">
        <f t="shared" si="133"/>
        <v>0.7</v>
      </c>
      <c r="L2166" s="34">
        <f t="shared" si="134"/>
        <v>2.8</v>
      </c>
      <c r="M2166" s="11" t="s">
        <v>5240</v>
      </c>
      <c r="N2166" s="11" t="s">
        <v>5230</v>
      </c>
      <c r="O2166" s="11" t="s">
        <v>5231</v>
      </c>
      <c r="P2166" s="11" t="s">
        <v>5232</v>
      </c>
      <c r="Q2166" s="12">
        <v>8</v>
      </c>
      <c r="R2166" s="12">
        <v>12.9</v>
      </c>
      <c r="S2166" s="12">
        <v>2.2000000000000002</v>
      </c>
      <c r="T2166" s="13">
        <v>2.92</v>
      </c>
      <c r="U2166" s="13">
        <f t="shared" si="135"/>
        <v>0.12000000000000011</v>
      </c>
      <c r="V2166" s="14">
        <v>357.7</v>
      </c>
      <c r="W2166" s="14">
        <v>357.7</v>
      </c>
      <c r="X2166" s="11">
        <v>11</v>
      </c>
      <c r="Y2166" s="15" t="s">
        <v>3713</v>
      </c>
      <c r="Z2166" s="16">
        <v>303.7</v>
      </c>
      <c r="AA2166" s="17">
        <v>562.4</v>
      </c>
      <c r="AB2166" s="18" t="s">
        <v>3714</v>
      </c>
    </row>
    <row r="2167" spans="1:28" x14ac:dyDescent="0.45">
      <c r="A2167" s="2" t="s">
        <v>2799</v>
      </c>
      <c r="B2167" s="2" t="s">
        <v>2800</v>
      </c>
      <c r="C2167" s="2" t="s">
        <v>2797</v>
      </c>
      <c r="D2167" s="2" t="s">
        <v>2798</v>
      </c>
      <c r="E2167" s="2" t="s">
        <v>6</v>
      </c>
      <c r="F2167" s="3">
        <v>10</v>
      </c>
      <c r="G2167" s="3">
        <v>17.3</v>
      </c>
      <c r="H2167" s="2" t="s">
        <v>1104</v>
      </c>
      <c r="I2167" s="19">
        <v>61</v>
      </c>
      <c r="J2167" s="34">
        <f t="shared" si="132"/>
        <v>0.53069999999999995</v>
      </c>
      <c r="K2167" s="34">
        <f t="shared" si="133"/>
        <v>0.8</v>
      </c>
      <c r="L2167" s="34">
        <f t="shared" si="134"/>
        <v>3.2</v>
      </c>
      <c r="M2167" s="20" t="s">
        <v>5241</v>
      </c>
      <c r="N2167" s="20"/>
      <c r="O2167" s="20" t="s">
        <v>5231</v>
      </c>
      <c r="P2167" s="20" t="s">
        <v>5242</v>
      </c>
      <c r="Q2167" s="21">
        <v>10</v>
      </c>
      <c r="R2167" s="21">
        <v>17.5</v>
      </c>
      <c r="S2167" s="21">
        <v>3.2</v>
      </c>
      <c r="T2167" s="22">
        <v>6.07</v>
      </c>
      <c r="U2167" s="13">
        <f t="shared" si="135"/>
        <v>2.87</v>
      </c>
      <c r="V2167" s="23">
        <v>743.58</v>
      </c>
      <c r="W2167" s="23">
        <v>743.58</v>
      </c>
      <c r="X2167" s="20" t="s">
        <v>3722</v>
      </c>
      <c r="Y2167" s="24" t="s">
        <v>3713</v>
      </c>
      <c r="Z2167" s="16">
        <v>682.58</v>
      </c>
      <c r="AA2167" s="17">
        <v>1119</v>
      </c>
      <c r="AB2167" s="25" t="s">
        <v>3793</v>
      </c>
    </row>
    <row r="2168" spans="1:28" x14ac:dyDescent="0.45">
      <c r="A2168" s="4" t="s">
        <v>2801</v>
      </c>
      <c r="B2168" s="4" t="s">
        <v>2802</v>
      </c>
      <c r="C2168" s="4" t="s">
        <v>2797</v>
      </c>
      <c r="D2168" s="4" t="s">
        <v>2798</v>
      </c>
      <c r="E2168" s="4" t="s">
        <v>6</v>
      </c>
      <c r="F2168" s="5">
        <v>12</v>
      </c>
      <c r="G2168" s="5">
        <v>16.899999999999999</v>
      </c>
      <c r="H2168" s="4" t="s">
        <v>2770</v>
      </c>
      <c r="I2168" s="10">
        <v>54</v>
      </c>
      <c r="J2168" s="34">
        <f t="shared" si="132"/>
        <v>0.4698</v>
      </c>
      <c r="K2168" s="34">
        <f t="shared" si="133"/>
        <v>0.7</v>
      </c>
      <c r="L2168" s="34">
        <f t="shared" si="134"/>
        <v>2.8</v>
      </c>
      <c r="M2168" s="11" t="s">
        <v>5243</v>
      </c>
      <c r="N2168" s="11" t="s">
        <v>5230</v>
      </c>
      <c r="O2168" s="11" t="s">
        <v>5231</v>
      </c>
      <c r="P2168" s="11" t="s">
        <v>5232</v>
      </c>
      <c r="Q2168" s="12">
        <v>12</v>
      </c>
      <c r="R2168" s="12">
        <v>16.899999999999999</v>
      </c>
      <c r="S2168" s="12">
        <v>2.2000000000000002</v>
      </c>
      <c r="T2168" s="13">
        <v>5.16</v>
      </c>
      <c r="U2168" s="13">
        <f t="shared" si="135"/>
        <v>2.3600000000000003</v>
      </c>
      <c r="V2168" s="14">
        <v>632.1</v>
      </c>
      <c r="W2168" s="14">
        <v>632.1</v>
      </c>
      <c r="X2168" s="11">
        <v>135</v>
      </c>
      <c r="Y2168" s="15" t="s">
        <v>3713</v>
      </c>
      <c r="Z2168" s="16">
        <v>578.1</v>
      </c>
      <c r="AA2168" s="17">
        <v>1070.5999999999999</v>
      </c>
      <c r="AB2168" s="18" t="s">
        <v>3714</v>
      </c>
    </row>
    <row r="2169" spans="1:28" x14ac:dyDescent="0.45">
      <c r="A2169" s="2" t="s">
        <v>2803</v>
      </c>
      <c r="B2169" s="2" t="s">
        <v>2804</v>
      </c>
      <c r="C2169" s="2" t="s">
        <v>2797</v>
      </c>
      <c r="D2169" s="2" t="s">
        <v>2798</v>
      </c>
      <c r="E2169" s="2" t="s">
        <v>6</v>
      </c>
      <c r="F2169" s="3">
        <v>12</v>
      </c>
      <c r="G2169" s="3">
        <v>19.3</v>
      </c>
      <c r="H2169" s="2" t="s">
        <v>1104</v>
      </c>
      <c r="I2169" s="19">
        <v>61</v>
      </c>
      <c r="J2169" s="34">
        <f t="shared" si="132"/>
        <v>0.53069999999999995</v>
      </c>
      <c r="K2169" s="34">
        <f t="shared" si="133"/>
        <v>0.8</v>
      </c>
      <c r="L2169" s="34">
        <f t="shared" si="134"/>
        <v>3.2</v>
      </c>
      <c r="M2169" s="20" t="s">
        <v>5244</v>
      </c>
      <c r="N2169" s="20" t="s">
        <v>5230</v>
      </c>
      <c r="O2169" s="20" t="s">
        <v>5231</v>
      </c>
      <c r="P2169" s="20" t="s">
        <v>5232</v>
      </c>
      <c r="Q2169" s="21">
        <v>12</v>
      </c>
      <c r="R2169" s="21">
        <v>19.5</v>
      </c>
      <c r="S2169" s="21">
        <v>3.2</v>
      </c>
      <c r="T2169" s="22">
        <v>7.9</v>
      </c>
      <c r="U2169" s="13">
        <f t="shared" si="135"/>
        <v>4.7</v>
      </c>
      <c r="V2169" s="23">
        <v>967.75</v>
      </c>
      <c r="W2169" s="23">
        <v>967.75</v>
      </c>
      <c r="X2169" s="20">
        <v>87</v>
      </c>
      <c r="Y2169" s="24" t="s">
        <v>3713</v>
      </c>
      <c r="Z2169" s="16">
        <v>906.75</v>
      </c>
      <c r="AA2169" s="17">
        <v>1486.5</v>
      </c>
      <c r="AB2169" s="25" t="s">
        <v>3793</v>
      </c>
    </row>
    <row r="2170" spans="1:28" x14ac:dyDescent="0.45">
      <c r="A2170" s="4" t="s">
        <v>2805</v>
      </c>
      <c r="B2170" s="4" t="s">
        <v>2806</v>
      </c>
      <c r="C2170" s="4" t="s">
        <v>2797</v>
      </c>
      <c r="D2170" s="4" t="s">
        <v>2798</v>
      </c>
      <c r="E2170" s="4" t="s">
        <v>6</v>
      </c>
      <c r="F2170" s="5">
        <v>14</v>
      </c>
      <c r="G2170" s="5">
        <v>21.3</v>
      </c>
      <c r="H2170" s="4" t="s">
        <v>1104</v>
      </c>
      <c r="I2170" s="10">
        <v>61</v>
      </c>
      <c r="J2170" s="34">
        <f t="shared" si="132"/>
        <v>0.53069999999999995</v>
      </c>
      <c r="K2170" s="34">
        <f t="shared" si="133"/>
        <v>0.8</v>
      </c>
      <c r="L2170" s="34">
        <f t="shared" si="134"/>
        <v>3.2</v>
      </c>
      <c r="M2170" s="11" t="s">
        <v>5245</v>
      </c>
      <c r="N2170" s="11" t="s">
        <v>5230</v>
      </c>
      <c r="O2170" s="11" t="s">
        <v>5231</v>
      </c>
      <c r="P2170" s="11" t="s">
        <v>5232</v>
      </c>
      <c r="Q2170" s="12">
        <v>14</v>
      </c>
      <c r="R2170" s="12">
        <v>21.5</v>
      </c>
      <c r="S2170" s="12">
        <v>3.2</v>
      </c>
      <c r="T2170" s="13">
        <v>7.06</v>
      </c>
      <c r="U2170" s="13">
        <f t="shared" si="135"/>
        <v>3.8599999999999994</v>
      </c>
      <c r="V2170" s="14">
        <v>864.85</v>
      </c>
      <c r="W2170" s="14">
        <v>864.85</v>
      </c>
      <c r="X2170" s="11">
        <v>183</v>
      </c>
      <c r="Y2170" s="15" t="s">
        <v>3713</v>
      </c>
      <c r="Z2170" s="16">
        <v>803.85</v>
      </c>
      <c r="AA2170" s="17">
        <v>1317.8</v>
      </c>
      <c r="AB2170" s="18" t="s">
        <v>3793</v>
      </c>
    </row>
    <row r="2171" spans="1:28" x14ac:dyDescent="0.45">
      <c r="A2171" s="2" t="s">
        <v>2807</v>
      </c>
      <c r="B2171" s="2" t="s">
        <v>2808</v>
      </c>
      <c r="C2171" s="2" t="s">
        <v>2797</v>
      </c>
      <c r="D2171" s="2" t="s">
        <v>2798</v>
      </c>
      <c r="E2171" s="2" t="s">
        <v>6</v>
      </c>
      <c r="F2171" s="3">
        <v>15</v>
      </c>
      <c r="G2171" s="3">
        <v>22.3</v>
      </c>
      <c r="H2171" s="2" t="s">
        <v>1104</v>
      </c>
      <c r="I2171" s="19">
        <v>61</v>
      </c>
      <c r="J2171" s="34">
        <f t="shared" si="132"/>
        <v>0.53069999999999995</v>
      </c>
      <c r="K2171" s="34">
        <f t="shared" si="133"/>
        <v>0.8</v>
      </c>
      <c r="L2171" s="34">
        <f t="shared" si="134"/>
        <v>3.2</v>
      </c>
      <c r="M2171" s="20" t="s">
        <v>5246</v>
      </c>
      <c r="N2171" s="20"/>
      <c r="O2171" s="20" t="s">
        <v>5231</v>
      </c>
      <c r="P2171" s="20" t="s">
        <v>5242</v>
      </c>
      <c r="Q2171" s="21">
        <v>15</v>
      </c>
      <c r="R2171" s="21">
        <v>22.3</v>
      </c>
      <c r="S2171" s="21">
        <v>3.2</v>
      </c>
      <c r="T2171" s="22">
        <v>6.08</v>
      </c>
      <c r="U2171" s="13">
        <f t="shared" si="135"/>
        <v>2.88</v>
      </c>
      <c r="V2171" s="23">
        <v>744.8</v>
      </c>
      <c r="W2171" s="23">
        <v>744.8</v>
      </c>
      <c r="X2171" s="20" t="s">
        <v>3722</v>
      </c>
      <c r="Y2171" s="24" t="s">
        <v>3713</v>
      </c>
      <c r="Z2171" s="16">
        <v>683.8</v>
      </c>
      <c r="AA2171" s="17">
        <v>1121</v>
      </c>
      <c r="AB2171" s="25" t="s">
        <v>3714</v>
      </c>
    </row>
    <row r="2172" spans="1:28" x14ac:dyDescent="0.45">
      <c r="A2172" s="4" t="s">
        <v>2809</v>
      </c>
      <c r="B2172" s="4" t="s">
        <v>2810</v>
      </c>
      <c r="C2172" s="4" t="s">
        <v>2797</v>
      </c>
      <c r="D2172" s="4" t="s">
        <v>2798</v>
      </c>
      <c r="E2172" s="4" t="s">
        <v>6</v>
      </c>
      <c r="F2172" s="5">
        <v>16</v>
      </c>
      <c r="G2172" s="5">
        <v>23.3</v>
      </c>
      <c r="H2172" s="4" t="s">
        <v>1104</v>
      </c>
      <c r="I2172" s="10">
        <v>69</v>
      </c>
      <c r="J2172" s="34">
        <f t="shared" si="132"/>
        <v>0.60029999999999994</v>
      </c>
      <c r="K2172" s="34">
        <f t="shared" si="133"/>
        <v>0.9</v>
      </c>
      <c r="L2172" s="34">
        <f t="shared" si="134"/>
        <v>3.6</v>
      </c>
      <c r="M2172" s="11" t="s">
        <v>5247</v>
      </c>
      <c r="N2172" s="11" t="s">
        <v>5230</v>
      </c>
      <c r="O2172" s="11" t="s">
        <v>5231</v>
      </c>
      <c r="P2172" s="11" t="s">
        <v>5232</v>
      </c>
      <c r="Q2172" s="12">
        <v>16</v>
      </c>
      <c r="R2172" s="12">
        <v>23.5</v>
      </c>
      <c r="S2172" s="12">
        <v>3.2</v>
      </c>
      <c r="T2172" s="13">
        <v>3.12</v>
      </c>
      <c r="U2172" s="13">
        <f t="shared" si="135"/>
        <v>-0.48</v>
      </c>
      <c r="V2172" s="14">
        <v>382.2</v>
      </c>
      <c r="W2172" s="14">
        <v>382.2</v>
      </c>
      <c r="X2172" s="11" t="s">
        <v>3722</v>
      </c>
      <c r="Y2172" s="15" t="s">
        <v>3713</v>
      </c>
      <c r="Z2172" s="16">
        <v>313.2</v>
      </c>
      <c r="AA2172" s="17">
        <v>453.9</v>
      </c>
      <c r="AB2172" s="18" t="s">
        <v>3793</v>
      </c>
    </row>
    <row r="2173" spans="1:28" x14ac:dyDescent="0.45">
      <c r="A2173" s="2" t="s">
        <v>2811</v>
      </c>
      <c r="B2173" s="2" t="s">
        <v>2812</v>
      </c>
      <c r="C2173" s="2" t="s">
        <v>2797</v>
      </c>
      <c r="D2173" s="2" t="s">
        <v>2798</v>
      </c>
      <c r="E2173" s="2" t="s">
        <v>6</v>
      </c>
      <c r="F2173" s="3">
        <v>18</v>
      </c>
      <c r="G2173" s="3">
        <v>22.9</v>
      </c>
      <c r="H2173" s="2" t="s">
        <v>2770</v>
      </c>
      <c r="I2173" s="19">
        <v>61</v>
      </c>
      <c r="J2173" s="34">
        <f t="shared" si="132"/>
        <v>0.53069999999999995</v>
      </c>
      <c r="K2173" s="34">
        <f t="shared" si="133"/>
        <v>0.8</v>
      </c>
      <c r="L2173" s="34">
        <f t="shared" si="134"/>
        <v>3.2</v>
      </c>
      <c r="M2173" s="20" t="s">
        <v>5248</v>
      </c>
      <c r="N2173" s="20" t="s">
        <v>5230</v>
      </c>
      <c r="O2173" s="20" t="s">
        <v>5231</v>
      </c>
      <c r="P2173" s="20" t="s">
        <v>5232</v>
      </c>
      <c r="Q2173" s="21">
        <v>18</v>
      </c>
      <c r="R2173" s="21">
        <v>22.9</v>
      </c>
      <c r="S2173" s="21">
        <v>2.2000000000000002</v>
      </c>
      <c r="T2173" s="22">
        <v>5.26</v>
      </c>
      <c r="U2173" s="13">
        <f t="shared" si="135"/>
        <v>2.0599999999999996</v>
      </c>
      <c r="V2173" s="23">
        <v>644.35</v>
      </c>
      <c r="W2173" s="23">
        <v>644.35</v>
      </c>
      <c r="X2173" s="20">
        <v>364</v>
      </c>
      <c r="Y2173" s="24" t="s">
        <v>3713</v>
      </c>
      <c r="Z2173" s="16">
        <v>583.35</v>
      </c>
      <c r="AA2173" s="17">
        <v>956.3</v>
      </c>
      <c r="AB2173" s="25" t="s">
        <v>3714</v>
      </c>
    </row>
    <row r="2174" spans="1:28" x14ac:dyDescent="0.45">
      <c r="A2174" s="4" t="s">
        <v>2813</v>
      </c>
      <c r="B2174" s="4" t="s">
        <v>2814</v>
      </c>
      <c r="C2174" s="4" t="s">
        <v>2797</v>
      </c>
      <c r="D2174" s="4" t="s">
        <v>2798</v>
      </c>
      <c r="E2174" s="4" t="s">
        <v>6</v>
      </c>
      <c r="F2174" s="5">
        <v>18</v>
      </c>
      <c r="G2174" s="5">
        <v>25.3</v>
      </c>
      <c r="H2174" s="4" t="s">
        <v>1104</v>
      </c>
      <c r="I2174" s="10">
        <v>61</v>
      </c>
      <c r="J2174" s="34">
        <f t="shared" si="132"/>
        <v>0.53069999999999995</v>
      </c>
      <c r="K2174" s="34">
        <f t="shared" si="133"/>
        <v>0.8</v>
      </c>
      <c r="L2174" s="34">
        <f t="shared" si="134"/>
        <v>3.2</v>
      </c>
      <c r="M2174" s="11" t="s">
        <v>5249</v>
      </c>
      <c r="N2174" s="11" t="s">
        <v>5250</v>
      </c>
      <c r="O2174" s="11" t="s">
        <v>5251</v>
      </c>
      <c r="P2174" s="11" t="s">
        <v>5252</v>
      </c>
      <c r="Q2174" s="12">
        <v>18</v>
      </c>
      <c r="R2174" s="12">
        <v>25.5</v>
      </c>
      <c r="S2174" s="12">
        <v>2.8</v>
      </c>
      <c r="T2174" s="13">
        <v>8.36</v>
      </c>
      <c r="U2174" s="13">
        <f t="shared" si="135"/>
        <v>5.1599999999999993</v>
      </c>
      <c r="V2174" s="14">
        <v>1024.0999999999999</v>
      </c>
      <c r="W2174" s="14">
        <v>1024.0999999999999</v>
      </c>
      <c r="X2174" s="11">
        <v>42</v>
      </c>
      <c r="Y2174" s="15" t="s">
        <v>3713</v>
      </c>
      <c r="Z2174" s="16">
        <v>963.09999999999991</v>
      </c>
      <c r="AA2174" s="17">
        <v>1578.9</v>
      </c>
      <c r="AB2174" s="18" t="s">
        <v>3793</v>
      </c>
    </row>
    <row r="2175" spans="1:28" x14ac:dyDescent="0.45">
      <c r="A2175" s="2" t="s">
        <v>2815</v>
      </c>
      <c r="B2175" s="2" t="s">
        <v>2816</v>
      </c>
      <c r="C2175" s="2" t="s">
        <v>2797</v>
      </c>
      <c r="D2175" s="2" t="s">
        <v>2798</v>
      </c>
      <c r="E2175" s="2" t="s">
        <v>6</v>
      </c>
      <c r="F2175" s="3">
        <v>18</v>
      </c>
      <c r="G2175" s="3">
        <v>28.7</v>
      </c>
      <c r="H2175" s="2" t="s">
        <v>2771</v>
      </c>
      <c r="I2175" s="19">
        <v>99</v>
      </c>
      <c r="J2175" s="34">
        <f t="shared" si="132"/>
        <v>0.86129999999999995</v>
      </c>
      <c r="K2175" s="34">
        <f t="shared" si="133"/>
        <v>1.29</v>
      </c>
      <c r="L2175" s="34">
        <f t="shared" si="134"/>
        <v>5.16</v>
      </c>
      <c r="M2175" s="20" t="s">
        <v>5253</v>
      </c>
      <c r="N2175" s="20" t="s">
        <v>5254</v>
      </c>
      <c r="O2175" s="20" t="s">
        <v>5251</v>
      </c>
      <c r="P2175" s="20" t="s">
        <v>5255</v>
      </c>
      <c r="Q2175" s="21">
        <v>18</v>
      </c>
      <c r="R2175" s="21">
        <v>28</v>
      </c>
      <c r="S2175" s="21">
        <v>7.7</v>
      </c>
      <c r="T2175" s="22">
        <v>12.75</v>
      </c>
      <c r="U2175" s="13">
        <f t="shared" si="135"/>
        <v>7.59</v>
      </c>
      <c r="V2175" s="23">
        <v>1561.88</v>
      </c>
      <c r="W2175" s="23">
        <v>1561.88</v>
      </c>
      <c r="X2175" s="20">
        <v>37</v>
      </c>
      <c r="Y2175" s="24" t="s">
        <v>3713</v>
      </c>
      <c r="Z2175" s="16">
        <v>1462.88</v>
      </c>
      <c r="AA2175" s="17">
        <v>1477.7</v>
      </c>
      <c r="AB2175" s="25" t="s">
        <v>5256</v>
      </c>
    </row>
    <row r="2176" spans="1:28" x14ac:dyDescent="0.45">
      <c r="A2176" s="4" t="s">
        <v>2817</v>
      </c>
      <c r="B2176" s="4" t="s">
        <v>2818</v>
      </c>
      <c r="C2176" s="4" t="s">
        <v>2797</v>
      </c>
      <c r="D2176" s="4" t="s">
        <v>2798</v>
      </c>
      <c r="E2176" s="4" t="s">
        <v>6</v>
      </c>
      <c r="F2176" s="5">
        <v>20</v>
      </c>
      <c r="G2176" s="5">
        <v>27.3</v>
      </c>
      <c r="H2176" s="4" t="s">
        <v>1104</v>
      </c>
      <c r="I2176" s="10">
        <v>61</v>
      </c>
      <c r="J2176" s="34">
        <f t="shared" si="132"/>
        <v>0.53069999999999995</v>
      </c>
      <c r="K2176" s="34">
        <f t="shared" si="133"/>
        <v>0.8</v>
      </c>
      <c r="L2176" s="34">
        <f t="shared" si="134"/>
        <v>3.2</v>
      </c>
      <c r="M2176" s="11" t="s">
        <v>5257</v>
      </c>
      <c r="N2176" s="11"/>
      <c r="O2176" s="11" t="s">
        <v>5231</v>
      </c>
      <c r="P2176" s="11" t="s">
        <v>5238</v>
      </c>
      <c r="Q2176" s="12">
        <v>20</v>
      </c>
      <c r="R2176" s="12">
        <v>27.5</v>
      </c>
      <c r="S2176" s="12">
        <v>3.2</v>
      </c>
      <c r="T2176" s="13">
        <v>8.23</v>
      </c>
      <c r="U2176" s="13">
        <f t="shared" si="135"/>
        <v>5.03</v>
      </c>
      <c r="V2176" s="14">
        <v>1008.18</v>
      </c>
      <c r="W2176" s="14">
        <v>1008.18</v>
      </c>
      <c r="X2176" s="11">
        <v>122</v>
      </c>
      <c r="Y2176" s="15" t="s">
        <v>3713</v>
      </c>
      <c r="Z2176" s="16">
        <v>947.18</v>
      </c>
      <c r="AA2176" s="17">
        <v>1552.8</v>
      </c>
      <c r="AB2176" s="18" t="s">
        <v>3793</v>
      </c>
    </row>
    <row r="2177" spans="1:28" x14ac:dyDescent="0.45">
      <c r="A2177" s="2" t="s">
        <v>2819</v>
      </c>
      <c r="B2177" s="2" t="s">
        <v>2820</v>
      </c>
      <c r="C2177" s="2" t="s">
        <v>2797</v>
      </c>
      <c r="D2177" s="2" t="s">
        <v>2798</v>
      </c>
      <c r="E2177" s="2" t="s">
        <v>6</v>
      </c>
      <c r="F2177" s="3">
        <v>20</v>
      </c>
      <c r="G2177" s="3">
        <v>30.7</v>
      </c>
      <c r="H2177" s="2" t="s">
        <v>2771</v>
      </c>
      <c r="I2177" s="19">
        <v>99</v>
      </c>
      <c r="J2177" s="34">
        <f t="shared" si="132"/>
        <v>0.86129999999999995</v>
      </c>
      <c r="K2177" s="34">
        <f t="shared" si="133"/>
        <v>1.29</v>
      </c>
      <c r="L2177" s="34">
        <f t="shared" si="134"/>
        <v>5.16</v>
      </c>
      <c r="M2177" s="20" t="s">
        <v>5258</v>
      </c>
      <c r="N2177" s="20" t="s">
        <v>5250</v>
      </c>
      <c r="O2177" s="20" t="s">
        <v>5251</v>
      </c>
      <c r="P2177" s="20" t="s">
        <v>5252</v>
      </c>
      <c r="Q2177" s="21">
        <v>20</v>
      </c>
      <c r="R2177" s="21">
        <v>31</v>
      </c>
      <c r="S2177" s="21">
        <v>3.9</v>
      </c>
      <c r="T2177" s="22">
        <v>8.48</v>
      </c>
      <c r="U2177" s="13">
        <f t="shared" si="135"/>
        <v>3.3200000000000003</v>
      </c>
      <c r="V2177" s="23">
        <v>1038.8</v>
      </c>
      <c r="W2177" s="23">
        <v>1038.8</v>
      </c>
      <c r="X2177" s="20">
        <v>100</v>
      </c>
      <c r="Y2177" s="24" t="s">
        <v>3713</v>
      </c>
      <c r="Z2177" s="16">
        <v>939.8</v>
      </c>
      <c r="AA2177" s="17">
        <v>949.3</v>
      </c>
      <c r="AB2177" s="25" t="s">
        <v>5259</v>
      </c>
    </row>
    <row r="2178" spans="1:28" x14ac:dyDescent="0.45">
      <c r="A2178" s="4" t="s">
        <v>2821</v>
      </c>
      <c r="B2178" s="4" t="s">
        <v>2822</v>
      </c>
      <c r="C2178" s="4" t="s">
        <v>2797</v>
      </c>
      <c r="D2178" s="4" t="s">
        <v>2798</v>
      </c>
      <c r="E2178" s="4" t="s">
        <v>6</v>
      </c>
      <c r="F2178" s="5">
        <v>22</v>
      </c>
      <c r="G2178" s="5">
        <v>29.3</v>
      </c>
      <c r="H2178" s="4" t="s">
        <v>1104</v>
      </c>
      <c r="I2178" s="10">
        <v>69</v>
      </c>
      <c r="J2178" s="34">
        <f t="shared" si="132"/>
        <v>0.60029999999999994</v>
      </c>
      <c r="K2178" s="34">
        <f t="shared" si="133"/>
        <v>0.9</v>
      </c>
      <c r="L2178" s="34">
        <f t="shared" si="134"/>
        <v>3.6</v>
      </c>
      <c r="M2178" s="11" t="s">
        <v>5260</v>
      </c>
      <c r="N2178" s="11" t="s">
        <v>5230</v>
      </c>
      <c r="O2178" s="11" t="s">
        <v>5231</v>
      </c>
      <c r="P2178" s="11" t="s">
        <v>5232</v>
      </c>
      <c r="Q2178" s="12">
        <v>22</v>
      </c>
      <c r="R2178" s="12">
        <v>29.3</v>
      </c>
      <c r="S2178" s="12">
        <v>3.2</v>
      </c>
      <c r="T2178" s="13">
        <v>17.71</v>
      </c>
      <c r="U2178" s="13">
        <f t="shared" si="135"/>
        <v>14.110000000000001</v>
      </c>
      <c r="V2178" s="14">
        <v>2169.48</v>
      </c>
      <c r="W2178" s="14">
        <v>2169.48</v>
      </c>
      <c r="X2178" s="11">
        <v>2</v>
      </c>
      <c r="Y2178" s="15" t="s">
        <v>3713</v>
      </c>
      <c r="Z2178" s="16">
        <v>2100.48</v>
      </c>
      <c r="AA2178" s="17">
        <v>3044.2</v>
      </c>
      <c r="AB2178" s="18" t="s">
        <v>3714</v>
      </c>
    </row>
    <row r="2179" spans="1:28" x14ac:dyDescent="0.45">
      <c r="A2179" s="2" t="s">
        <v>2823</v>
      </c>
      <c r="B2179" s="2" t="s">
        <v>2824</v>
      </c>
      <c r="C2179" s="2" t="s">
        <v>2797</v>
      </c>
      <c r="D2179" s="2" t="s">
        <v>2798</v>
      </c>
      <c r="E2179" s="2" t="s">
        <v>6</v>
      </c>
      <c r="F2179" s="3">
        <v>22</v>
      </c>
      <c r="G2179" s="3">
        <v>32.700000000000003</v>
      </c>
      <c r="H2179" s="2" t="s">
        <v>2771</v>
      </c>
      <c r="I2179" s="19">
        <v>106</v>
      </c>
      <c r="J2179" s="34">
        <f t="shared" si="132"/>
        <v>0.92219999999999991</v>
      </c>
      <c r="K2179" s="34">
        <f t="shared" si="133"/>
        <v>1.38</v>
      </c>
      <c r="L2179" s="34">
        <f t="shared" si="134"/>
        <v>5.52</v>
      </c>
      <c r="M2179" s="20" t="s">
        <v>5261</v>
      </c>
      <c r="N2179" s="20" t="s">
        <v>5250</v>
      </c>
      <c r="O2179" s="20" t="s">
        <v>5251</v>
      </c>
      <c r="P2179" s="20" t="s">
        <v>5252</v>
      </c>
      <c r="Q2179" s="21">
        <v>22</v>
      </c>
      <c r="R2179" s="21">
        <v>33</v>
      </c>
      <c r="S2179" s="21">
        <v>3.9</v>
      </c>
      <c r="T2179" s="22">
        <v>8.7100000000000009</v>
      </c>
      <c r="U2179" s="13">
        <f t="shared" si="135"/>
        <v>3.1900000000000013</v>
      </c>
      <c r="V2179" s="23">
        <v>1066.98</v>
      </c>
      <c r="W2179" s="23">
        <v>1066.98</v>
      </c>
      <c r="X2179" s="20">
        <v>36</v>
      </c>
      <c r="Y2179" s="24" t="s">
        <v>3713</v>
      </c>
      <c r="Z2179" s="16">
        <v>960.98</v>
      </c>
      <c r="AA2179" s="17">
        <v>906.6</v>
      </c>
      <c r="AB2179" s="25" t="s">
        <v>5259</v>
      </c>
    </row>
    <row r="2180" spans="1:28" x14ac:dyDescent="0.45">
      <c r="A2180" s="4" t="s">
        <v>2825</v>
      </c>
      <c r="B2180" s="4" t="s">
        <v>2826</v>
      </c>
      <c r="C2180" s="4" t="s">
        <v>2797</v>
      </c>
      <c r="D2180" s="4" t="s">
        <v>2798</v>
      </c>
      <c r="E2180" s="4" t="s">
        <v>6</v>
      </c>
      <c r="F2180" s="5">
        <v>25</v>
      </c>
      <c r="G2180" s="5">
        <v>32.299999999999997</v>
      </c>
      <c r="H2180" s="4" t="s">
        <v>1104</v>
      </c>
      <c r="I2180" s="10">
        <v>76</v>
      </c>
      <c r="J2180" s="34">
        <f t="shared" si="132"/>
        <v>0.66120000000000001</v>
      </c>
      <c r="K2180" s="34">
        <f t="shared" si="133"/>
        <v>0.99</v>
      </c>
      <c r="L2180" s="34">
        <f t="shared" si="134"/>
        <v>3.96</v>
      </c>
      <c r="M2180" s="11" t="s">
        <v>5262</v>
      </c>
      <c r="N2180" s="11" t="s">
        <v>5250</v>
      </c>
      <c r="O2180" s="11" t="s">
        <v>5251</v>
      </c>
      <c r="P2180" s="11" t="s">
        <v>5252</v>
      </c>
      <c r="Q2180" s="12">
        <v>25</v>
      </c>
      <c r="R2180" s="12">
        <v>32.5</v>
      </c>
      <c r="S2180" s="12">
        <v>2.8</v>
      </c>
      <c r="T2180" s="13">
        <v>7.94</v>
      </c>
      <c r="U2180" s="13">
        <f t="shared" si="135"/>
        <v>3.9800000000000004</v>
      </c>
      <c r="V2180" s="14">
        <v>972.65</v>
      </c>
      <c r="W2180" s="14">
        <v>972.65</v>
      </c>
      <c r="X2180" s="11">
        <v>26</v>
      </c>
      <c r="Y2180" s="15" t="s">
        <v>3713</v>
      </c>
      <c r="Z2180" s="16">
        <v>896.65</v>
      </c>
      <c r="AA2180" s="17">
        <v>1179.8</v>
      </c>
      <c r="AB2180" s="18" t="s">
        <v>3793</v>
      </c>
    </row>
    <row r="2181" spans="1:28" x14ac:dyDescent="0.45">
      <c r="A2181" s="2" t="s">
        <v>2827</v>
      </c>
      <c r="B2181" s="2" t="s">
        <v>2828</v>
      </c>
      <c r="C2181" s="2" t="s">
        <v>2797</v>
      </c>
      <c r="D2181" s="2" t="s">
        <v>2798</v>
      </c>
      <c r="E2181" s="2" t="s">
        <v>6</v>
      </c>
      <c r="F2181" s="3">
        <v>25</v>
      </c>
      <c r="G2181" s="3">
        <v>35.700000000000003</v>
      </c>
      <c r="H2181" s="2" t="s">
        <v>2771</v>
      </c>
      <c r="I2181" s="19">
        <v>114</v>
      </c>
      <c r="J2181" s="34">
        <f t="shared" ref="J2181:J2244" si="136">I2181*0.0087</f>
        <v>0.9917999999999999</v>
      </c>
      <c r="K2181" s="34">
        <f t="shared" ref="K2181:K2244" si="137">ROUND(J2181*1.5,2)</f>
        <v>1.49</v>
      </c>
      <c r="L2181" s="34">
        <f t="shared" ref="L2181:L2244" si="138">K2181*4</f>
        <v>5.96</v>
      </c>
      <c r="M2181" s="20" t="s">
        <v>5263</v>
      </c>
      <c r="N2181" s="20" t="s">
        <v>5250</v>
      </c>
      <c r="O2181" s="20" t="s">
        <v>5251</v>
      </c>
      <c r="P2181" s="20" t="s">
        <v>5252</v>
      </c>
      <c r="Q2181" s="21">
        <v>25</v>
      </c>
      <c r="R2181" s="21">
        <v>36</v>
      </c>
      <c r="S2181" s="21">
        <v>3.9</v>
      </c>
      <c r="T2181" s="22">
        <v>12.26</v>
      </c>
      <c r="U2181" s="13">
        <f t="shared" ref="U2181:U2244" si="139">T2181-L2181</f>
        <v>6.3</v>
      </c>
      <c r="V2181" s="23">
        <v>1501.85</v>
      </c>
      <c r="W2181" s="23">
        <v>1501.85</v>
      </c>
      <c r="X2181" s="20">
        <v>9</v>
      </c>
      <c r="Y2181" s="24" t="s">
        <v>3713</v>
      </c>
      <c r="Z2181" s="16">
        <v>1387.85</v>
      </c>
      <c r="AA2181" s="17">
        <v>1217.4000000000001</v>
      </c>
      <c r="AB2181" s="25" t="s">
        <v>5259</v>
      </c>
    </row>
    <row r="2182" spans="1:28" x14ac:dyDescent="0.45">
      <c r="A2182" s="4" t="s">
        <v>2829</v>
      </c>
      <c r="B2182" s="4" t="s">
        <v>2830</v>
      </c>
      <c r="C2182" s="4" t="s">
        <v>2797</v>
      </c>
      <c r="D2182" s="4" t="s">
        <v>2798</v>
      </c>
      <c r="E2182" s="4" t="s">
        <v>6</v>
      </c>
      <c r="F2182" s="5">
        <v>28</v>
      </c>
      <c r="G2182" s="5">
        <v>35.299999999999997</v>
      </c>
      <c r="H2182" s="4" t="s">
        <v>1104</v>
      </c>
      <c r="I2182" s="10">
        <v>76</v>
      </c>
      <c r="J2182" s="34">
        <f t="shared" si="136"/>
        <v>0.66120000000000001</v>
      </c>
      <c r="K2182" s="34">
        <f t="shared" si="137"/>
        <v>0.99</v>
      </c>
      <c r="L2182" s="34">
        <f t="shared" si="138"/>
        <v>3.96</v>
      </c>
      <c r="M2182" s="11" t="s">
        <v>5264</v>
      </c>
      <c r="N2182" s="11" t="s">
        <v>5230</v>
      </c>
      <c r="O2182" s="11" t="s">
        <v>5231</v>
      </c>
      <c r="P2182" s="11" t="s">
        <v>5232</v>
      </c>
      <c r="Q2182" s="12">
        <v>28</v>
      </c>
      <c r="R2182" s="12">
        <v>35.5</v>
      </c>
      <c r="S2182" s="12">
        <v>3.2</v>
      </c>
      <c r="T2182" s="13">
        <v>5.75</v>
      </c>
      <c r="U2182" s="13">
        <f t="shared" si="139"/>
        <v>1.79</v>
      </c>
      <c r="V2182" s="14">
        <v>704.38</v>
      </c>
      <c r="W2182" s="14">
        <v>704.38</v>
      </c>
      <c r="X2182" s="11">
        <v>341</v>
      </c>
      <c r="Y2182" s="15" t="s">
        <v>3713</v>
      </c>
      <c r="Z2182" s="16">
        <v>628.38</v>
      </c>
      <c r="AA2182" s="17">
        <v>826.8</v>
      </c>
      <c r="AB2182" s="18" t="s">
        <v>3793</v>
      </c>
    </row>
    <row r="2183" spans="1:28" x14ac:dyDescent="0.45">
      <c r="A2183" s="2" t="s">
        <v>2831</v>
      </c>
      <c r="B2183" s="2" t="s">
        <v>2832</v>
      </c>
      <c r="C2183" s="2" t="s">
        <v>2797</v>
      </c>
      <c r="D2183" s="2" t="s">
        <v>2798</v>
      </c>
      <c r="E2183" s="2" t="s">
        <v>6</v>
      </c>
      <c r="F2183" s="3">
        <v>28</v>
      </c>
      <c r="G2183" s="3">
        <v>38.700000000000003</v>
      </c>
      <c r="H2183" s="2" t="s">
        <v>2771</v>
      </c>
      <c r="I2183" s="19">
        <v>121</v>
      </c>
      <c r="J2183" s="34">
        <f t="shared" si="136"/>
        <v>1.0527</v>
      </c>
      <c r="K2183" s="34">
        <f t="shared" si="137"/>
        <v>1.58</v>
      </c>
      <c r="L2183" s="34">
        <f t="shared" si="138"/>
        <v>6.32</v>
      </c>
      <c r="M2183" s="20" t="s">
        <v>5265</v>
      </c>
      <c r="N2183" s="20" t="s">
        <v>5250</v>
      </c>
      <c r="O2183" s="20" t="s">
        <v>5251</v>
      </c>
      <c r="P2183" s="20" t="s">
        <v>5252</v>
      </c>
      <c r="Q2183" s="21">
        <v>28</v>
      </c>
      <c r="R2183" s="21">
        <v>39</v>
      </c>
      <c r="S2183" s="21">
        <v>3.9</v>
      </c>
      <c r="T2183" s="22">
        <v>10.19</v>
      </c>
      <c r="U2183" s="13">
        <f t="shared" si="139"/>
        <v>3.8699999999999992</v>
      </c>
      <c r="V2183" s="23">
        <v>1248.27</v>
      </c>
      <c r="W2183" s="23">
        <v>1248.27</v>
      </c>
      <c r="X2183" s="20">
        <v>45</v>
      </c>
      <c r="Y2183" s="24" t="s">
        <v>3713</v>
      </c>
      <c r="Z2183" s="16">
        <v>1127.27</v>
      </c>
      <c r="AA2183" s="17">
        <v>931.6</v>
      </c>
      <c r="AB2183" s="25" t="s">
        <v>5259</v>
      </c>
    </row>
    <row r="2184" spans="1:28" x14ac:dyDescent="0.45">
      <c r="A2184" s="4" t="s">
        <v>2833</v>
      </c>
      <c r="B2184" s="4" t="s">
        <v>2834</v>
      </c>
      <c r="C2184" s="4" t="s">
        <v>2797</v>
      </c>
      <c r="D2184" s="4" t="s">
        <v>2798</v>
      </c>
      <c r="E2184" s="4" t="s">
        <v>6</v>
      </c>
      <c r="F2184" s="5">
        <v>30</v>
      </c>
      <c r="G2184" s="5">
        <v>40.700000000000003</v>
      </c>
      <c r="H2184" s="4" t="s">
        <v>2771</v>
      </c>
      <c r="I2184" s="10">
        <v>130</v>
      </c>
      <c r="J2184" s="34">
        <f t="shared" si="136"/>
        <v>1.131</v>
      </c>
      <c r="K2184" s="34">
        <f t="shared" si="137"/>
        <v>1.7</v>
      </c>
      <c r="L2184" s="34">
        <f t="shared" si="138"/>
        <v>6.8</v>
      </c>
      <c r="M2184" s="11" t="s">
        <v>5266</v>
      </c>
      <c r="N2184" s="11" t="s">
        <v>5250</v>
      </c>
      <c r="O2184" s="11" t="s">
        <v>5251</v>
      </c>
      <c r="P2184" s="11" t="s">
        <v>5252</v>
      </c>
      <c r="Q2184" s="12">
        <v>30</v>
      </c>
      <c r="R2184" s="12">
        <v>41</v>
      </c>
      <c r="S2184" s="12">
        <v>3.9</v>
      </c>
      <c r="T2184" s="13">
        <v>10.43</v>
      </c>
      <c r="U2184" s="13">
        <f t="shared" si="139"/>
        <v>3.63</v>
      </c>
      <c r="V2184" s="14">
        <v>1277.68</v>
      </c>
      <c r="W2184" s="14">
        <v>1277.68</v>
      </c>
      <c r="X2184" s="11">
        <v>41</v>
      </c>
      <c r="Y2184" s="15" t="s">
        <v>3713</v>
      </c>
      <c r="Z2184" s="16">
        <v>1147.68</v>
      </c>
      <c r="AA2184" s="17">
        <v>882.8</v>
      </c>
      <c r="AB2184" s="18" t="s">
        <v>5259</v>
      </c>
    </row>
    <row r="2185" spans="1:28" x14ac:dyDescent="0.45">
      <c r="A2185" s="2" t="s">
        <v>2835</v>
      </c>
      <c r="B2185" s="2" t="s">
        <v>2836</v>
      </c>
      <c r="C2185" s="2" t="s">
        <v>2797</v>
      </c>
      <c r="D2185" s="2" t="s">
        <v>2798</v>
      </c>
      <c r="E2185" s="2" t="s">
        <v>6</v>
      </c>
      <c r="F2185" s="3">
        <v>32</v>
      </c>
      <c r="G2185" s="3">
        <v>39</v>
      </c>
      <c r="H2185" s="2" t="s">
        <v>1104</v>
      </c>
      <c r="I2185" s="19">
        <v>84</v>
      </c>
      <c r="J2185" s="34">
        <f t="shared" si="136"/>
        <v>0.73079999999999989</v>
      </c>
      <c r="K2185" s="34">
        <f t="shared" si="137"/>
        <v>1.1000000000000001</v>
      </c>
      <c r="L2185" s="34">
        <f t="shared" si="138"/>
        <v>4.4000000000000004</v>
      </c>
      <c r="M2185" s="20" t="s">
        <v>5267</v>
      </c>
      <c r="N2185" s="20" t="s">
        <v>5230</v>
      </c>
      <c r="O2185" s="20" t="s">
        <v>5231</v>
      </c>
      <c r="P2185" s="20" t="s">
        <v>5232</v>
      </c>
      <c r="Q2185" s="21">
        <v>32</v>
      </c>
      <c r="R2185" s="21">
        <v>39.5</v>
      </c>
      <c r="S2185" s="21">
        <v>3.2</v>
      </c>
      <c r="T2185" s="22">
        <v>5.66</v>
      </c>
      <c r="U2185" s="13">
        <f t="shared" si="139"/>
        <v>1.2599999999999998</v>
      </c>
      <c r="V2185" s="23">
        <v>693.35</v>
      </c>
      <c r="W2185" s="23">
        <v>693.35</v>
      </c>
      <c r="X2185" s="20">
        <v>288</v>
      </c>
      <c r="Y2185" s="24" t="s">
        <v>3713</v>
      </c>
      <c r="Z2185" s="16">
        <v>609.35</v>
      </c>
      <c r="AA2185" s="17">
        <v>725.4</v>
      </c>
      <c r="AB2185" s="25" t="s">
        <v>3813</v>
      </c>
    </row>
    <row r="2186" spans="1:28" x14ac:dyDescent="0.45">
      <c r="A2186" s="4" t="s">
        <v>2837</v>
      </c>
      <c r="B2186" s="4" t="s">
        <v>2838</v>
      </c>
      <c r="C2186" s="4" t="s">
        <v>2797</v>
      </c>
      <c r="D2186" s="4" t="s">
        <v>2798</v>
      </c>
      <c r="E2186" s="4" t="s">
        <v>6</v>
      </c>
      <c r="F2186" s="5">
        <v>32</v>
      </c>
      <c r="G2186" s="5">
        <v>42.7</v>
      </c>
      <c r="H2186" s="4" t="s">
        <v>2771</v>
      </c>
      <c r="I2186" s="10">
        <v>130</v>
      </c>
      <c r="J2186" s="34">
        <f t="shared" si="136"/>
        <v>1.131</v>
      </c>
      <c r="K2186" s="34">
        <f t="shared" si="137"/>
        <v>1.7</v>
      </c>
      <c r="L2186" s="34">
        <f t="shared" si="138"/>
        <v>6.8</v>
      </c>
      <c r="M2186" s="11" t="s">
        <v>5268</v>
      </c>
      <c r="N2186" s="11" t="s">
        <v>5269</v>
      </c>
      <c r="O2186" s="11" t="s">
        <v>5270</v>
      </c>
      <c r="P2186" s="11" t="s">
        <v>5271</v>
      </c>
      <c r="Q2186" s="12">
        <v>32</v>
      </c>
      <c r="R2186" s="12">
        <v>42.5</v>
      </c>
      <c r="S2186" s="12">
        <v>8</v>
      </c>
      <c r="T2186" s="13">
        <v>4.3499999999999996</v>
      </c>
      <c r="U2186" s="13">
        <f t="shared" si="139"/>
        <v>-2.4500000000000002</v>
      </c>
      <c r="V2186" s="14">
        <v>532.88</v>
      </c>
      <c r="W2186" s="14">
        <v>532.88</v>
      </c>
      <c r="X2186" s="11" t="s">
        <v>3722</v>
      </c>
      <c r="Y2186" s="15" t="s">
        <v>3713</v>
      </c>
      <c r="Z2186" s="16">
        <v>402.88</v>
      </c>
      <c r="AA2186" s="17">
        <v>309.89999999999998</v>
      </c>
      <c r="AB2186" s="18" t="s">
        <v>3793</v>
      </c>
    </row>
    <row r="2187" spans="1:28" x14ac:dyDescent="0.45">
      <c r="A2187" s="2" t="s">
        <v>2839</v>
      </c>
      <c r="B2187" s="2" t="s">
        <v>2840</v>
      </c>
      <c r="C2187" s="2" t="s">
        <v>2797</v>
      </c>
      <c r="D2187" s="2" t="s">
        <v>2798</v>
      </c>
      <c r="E2187" s="2" t="s">
        <v>6</v>
      </c>
      <c r="F2187" s="3">
        <v>35</v>
      </c>
      <c r="G2187" s="3">
        <v>45.7</v>
      </c>
      <c r="H2187" s="2" t="s">
        <v>2771</v>
      </c>
      <c r="I2187" s="19">
        <v>136</v>
      </c>
      <c r="J2187" s="34">
        <f t="shared" si="136"/>
        <v>1.1831999999999998</v>
      </c>
      <c r="K2187" s="34">
        <f t="shared" si="137"/>
        <v>1.77</v>
      </c>
      <c r="L2187" s="34">
        <f t="shared" si="138"/>
        <v>7.08</v>
      </c>
      <c r="M2187" s="20" t="s">
        <v>5272</v>
      </c>
      <c r="N2187" s="20"/>
      <c r="O2187" s="20" t="s">
        <v>5231</v>
      </c>
      <c r="P2187" s="20" t="s">
        <v>5242</v>
      </c>
      <c r="Q2187" s="21">
        <v>35</v>
      </c>
      <c r="R2187" s="21">
        <v>46</v>
      </c>
      <c r="S2187" s="21">
        <v>4.2</v>
      </c>
      <c r="T2187" s="22">
        <v>8.89</v>
      </c>
      <c r="U2187" s="13">
        <f t="shared" si="139"/>
        <v>1.8100000000000005</v>
      </c>
      <c r="V2187" s="23">
        <v>1089.03</v>
      </c>
      <c r="W2187" s="23">
        <v>1089.03</v>
      </c>
      <c r="X2187" s="20">
        <v>79</v>
      </c>
      <c r="Y2187" s="24" t="s">
        <v>3713</v>
      </c>
      <c r="Z2187" s="16">
        <v>953.03</v>
      </c>
      <c r="AA2187" s="17">
        <v>700.8</v>
      </c>
      <c r="AB2187" s="25" t="s">
        <v>5259</v>
      </c>
    </row>
    <row r="2188" spans="1:28" x14ac:dyDescent="0.45">
      <c r="A2188" s="4" t="s">
        <v>2841</v>
      </c>
      <c r="B2188" s="4" t="s">
        <v>2842</v>
      </c>
      <c r="C2188" s="4" t="s">
        <v>2797</v>
      </c>
      <c r="D2188" s="4" t="s">
        <v>2798</v>
      </c>
      <c r="E2188" s="4" t="s">
        <v>6</v>
      </c>
      <c r="F2188" s="5">
        <v>35</v>
      </c>
      <c r="G2188" s="5">
        <v>50.1</v>
      </c>
      <c r="H2188" s="4" t="s">
        <v>851</v>
      </c>
      <c r="I2188" s="10">
        <v>242</v>
      </c>
      <c r="J2188" s="34">
        <f t="shared" si="136"/>
        <v>2.1053999999999999</v>
      </c>
      <c r="K2188" s="34">
        <f t="shared" si="137"/>
        <v>3.16</v>
      </c>
      <c r="L2188" s="34">
        <f t="shared" si="138"/>
        <v>12.64</v>
      </c>
      <c r="M2188" s="11" t="s">
        <v>5273</v>
      </c>
      <c r="N2188" s="11" t="s">
        <v>5274</v>
      </c>
      <c r="O2188" s="11" t="s">
        <v>5251</v>
      </c>
      <c r="P2188" s="11" t="s">
        <v>5275</v>
      </c>
      <c r="Q2188" s="12">
        <v>35</v>
      </c>
      <c r="R2188" s="12">
        <v>50</v>
      </c>
      <c r="S2188" s="12">
        <v>22.5</v>
      </c>
      <c r="T2188" s="13">
        <v>34.479999999999997</v>
      </c>
      <c r="U2188" s="13">
        <f t="shared" si="139"/>
        <v>21.839999999999996</v>
      </c>
      <c r="V2188" s="14">
        <v>4223.8</v>
      </c>
      <c r="W2188" s="14">
        <v>4223.8</v>
      </c>
      <c r="X2188" s="11" t="s">
        <v>3722</v>
      </c>
      <c r="Y2188" s="15" t="s">
        <v>3713</v>
      </c>
      <c r="Z2188" s="16">
        <v>3981.8</v>
      </c>
      <c r="AA2188" s="17">
        <v>1645.4</v>
      </c>
      <c r="AB2188" s="18" t="s">
        <v>5276</v>
      </c>
    </row>
    <row r="2189" spans="1:28" x14ac:dyDescent="0.45">
      <c r="A2189" s="2" t="s">
        <v>2843</v>
      </c>
      <c r="B2189" s="2" t="s">
        <v>2844</v>
      </c>
      <c r="C2189" s="2" t="s">
        <v>2797</v>
      </c>
      <c r="D2189" s="2" t="s">
        <v>2798</v>
      </c>
      <c r="E2189" s="2" t="s">
        <v>6</v>
      </c>
      <c r="F2189" s="3">
        <v>36</v>
      </c>
      <c r="G2189" s="3">
        <v>43.3</v>
      </c>
      <c r="H2189" s="2" t="s">
        <v>1104</v>
      </c>
      <c r="I2189" s="19">
        <v>91</v>
      </c>
      <c r="J2189" s="34">
        <f t="shared" si="136"/>
        <v>0.79169999999999996</v>
      </c>
      <c r="K2189" s="34">
        <f t="shared" si="137"/>
        <v>1.19</v>
      </c>
      <c r="L2189" s="34">
        <f t="shared" si="138"/>
        <v>4.76</v>
      </c>
      <c r="M2189" s="20" t="s">
        <v>5277</v>
      </c>
      <c r="N2189" s="20" t="s">
        <v>5230</v>
      </c>
      <c r="O2189" s="20" t="s">
        <v>5231</v>
      </c>
      <c r="P2189" s="20" t="s">
        <v>5232</v>
      </c>
      <c r="Q2189" s="21">
        <v>36</v>
      </c>
      <c r="R2189" s="21">
        <v>43.5</v>
      </c>
      <c r="S2189" s="21">
        <v>3.2</v>
      </c>
      <c r="T2189" s="22">
        <v>5.91</v>
      </c>
      <c r="U2189" s="13">
        <f t="shared" si="139"/>
        <v>1.1500000000000004</v>
      </c>
      <c r="V2189" s="23">
        <v>723.98</v>
      </c>
      <c r="W2189" s="23">
        <v>723.98</v>
      </c>
      <c r="X2189" s="20" t="s">
        <v>3722</v>
      </c>
      <c r="Y2189" s="24" t="s">
        <v>3713</v>
      </c>
      <c r="Z2189" s="16">
        <v>632.98</v>
      </c>
      <c r="AA2189" s="17">
        <v>695.6</v>
      </c>
      <c r="AB2189" s="25" t="s">
        <v>3793</v>
      </c>
    </row>
    <row r="2190" spans="1:28" x14ac:dyDescent="0.45">
      <c r="A2190" s="4" t="s">
        <v>2845</v>
      </c>
      <c r="B2190" s="4" t="s">
        <v>2846</v>
      </c>
      <c r="C2190" s="4" t="s">
        <v>2797</v>
      </c>
      <c r="D2190" s="4" t="s">
        <v>2798</v>
      </c>
      <c r="E2190" s="4" t="s">
        <v>6</v>
      </c>
      <c r="F2190" s="5">
        <v>36</v>
      </c>
      <c r="G2190" s="5">
        <v>46.7</v>
      </c>
      <c r="H2190" s="4" t="s">
        <v>2771</v>
      </c>
      <c r="I2190" s="10">
        <v>136</v>
      </c>
      <c r="J2190" s="34">
        <f t="shared" si="136"/>
        <v>1.1831999999999998</v>
      </c>
      <c r="K2190" s="34">
        <f t="shared" si="137"/>
        <v>1.77</v>
      </c>
      <c r="L2190" s="34">
        <f t="shared" si="138"/>
        <v>7.08</v>
      </c>
      <c r="M2190" s="11" t="s">
        <v>5278</v>
      </c>
      <c r="N2190" s="11" t="s">
        <v>5250</v>
      </c>
      <c r="O2190" s="11" t="s">
        <v>5251</v>
      </c>
      <c r="P2190" s="11" t="s">
        <v>5252</v>
      </c>
      <c r="Q2190" s="12">
        <v>36</v>
      </c>
      <c r="R2190" s="12">
        <v>47</v>
      </c>
      <c r="S2190" s="12">
        <v>3.9</v>
      </c>
      <c r="T2190" s="13">
        <v>10.89</v>
      </c>
      <c r="U2190" s="13">
        <f t="shared" si="139"/>
        <v>3.8100000000000005</v>
      </c>
      <c r="V2190" s="14">
        <v>1334.02</v>
      </c>
      <c r="W2190" s="14">
        <v>1334.02</v>
      </c>
      <c r="X2190" s="11">
        <v>85</v>
      </c>
      <c r="Y2190" s="15" t="s">
        <v>3713</v>
      </c>
      <c r="Z2190" s="16">
        <v>1198.02</v>
      </c>
      <c r="AA2190" s="17">
        <v>880.9</v>
      </c>
      <c r="AB2190" s="18" t="s">
        <v>5259</v>
      </c>
    </row>
    <row r="2191" spans="1:28" x14ac:dyDescent="0.45">
      <c r="A2191" s="2" t="s">
        <v>2847</v>
      </c>
      <c r="B2191" s="2" t="s">
        <v>2848</v>
      </c>
      <c r="C2191" s="2" t="s">
        <v>2797</v>
      </c>
      <c r="D2191" s="2" t="s">
        <v>2798</v>
      </c>
      <c r="E2191" s="2" t="s">
        <v>6</v>
      </c>
      <c r="F2191" s="3">
        <v>38</v>
      </c>
      <c r="G2191" s="3">
        <v>48.7</v>
      </c>
      <c r="H2191" s="2" t="s">
        <v>2771</v>
      </c>
      <c r="I2191" s="19">
        <v>145</v>
      </c>
      <c r="J2191" s="34">
        <f t="shared" si="136"/>
        <v>1.2614999999999998</v>
      </c>
      <c r="K2191" s="34">
        <f t="shared" si="137"/>
        <v>1.89</v>
      </c>
      <c r="L2191" s="34">
        <f t="shared" si="138"/>
        <v>7.56</v>
      </c>
      <c r="M2191" s="20" t="s">
        <v>5279</v>
      </c>
      <c r="N2191" s="20" t="s">
        <v>5280</v>
      </c>
      <c r="O2191" s="20" t="s">
        <v>5270</v>
      </c>
      <c r="P2191" s="20" t="s">
        <v>5281</v>
      </c>
      <c r="Q2191" s="21">
        <v>38</v>
      </c>
      <c r="R2191" s="21">
        <v>48</v>
      </c>
      <c r="S2191" s="21">
        <v>8</v>
      </c>
      <c r="T2191" s="22">
        <v>4.62</v>
      </c>
      <c r="U2191" s="13">
        <f t="shared" si="139"/>
        <v>-2.9399999999999995</v>
      </c>
      <c r="V2191" s="23">
        <v>565.95000000000005</v>
      </c>
      <c r="W2191" s="23">
        <v>565.95000000000005</v>
      </c>
      <c r="X2191" s="20">
        <v>924</v>
      </c>
      <c r="Y2191" s="24" t="s">
        <v>3713</v>
      </c>
      <c r="Z2191" s="16">
        <v>420.95</v>
      </c>
      <c r="AA2191" s="17">
        <v>290.3</v>
      </c>
      <c r="AB2191" s="25" t="s">
        <v>5256</v>
      </c>
    </row>
    <row r="2192" spans="1:28" x14ac:dyDescent="0.45">
      <c r="A2192" s="4" t="s">
        <v>2849</v>
      </c>
      <c r="B2192" s="4" t="s">
        <v>2850</v>
      </c>
      <c r="C2192" s="4" t="s">
        <v>2797</v>
      </c>
      <c r="D2192" s="4" t="s">
        <v>2798</v>
      </c>
      <c r="E2192" s="4" t="s">
        <v>6</v>
      </c>
      <c r="F2192" s="5">
        <v>38</v>
      </c>
      <c r="G2192" s="5">
        <v>53.1</v>
      </c>
      <c r="H2192" s="4" t="s">
        <v>851</v>
      </c>
      <c r="I2192" s="10">
        <v>257</v>
      </c>
      <c r="J2192" s="34">
        <f t="shared" si="136"/>
        <v>2.2359</v>
      </c>
      <c r="K2192" s="34">
        <f t="shared" si="137"/>
        <v>3.35</v>
      </c>
      <c r="L2192" s="34">
        <f t="shared" si="138"/>
        <v>13.4</v>
      </c>
      <c r="M2192" s="11" t="s">
        <v>5282</v>
      </c>
      <c r="N2192" s="11" t="s">
        <v>5230</v>
      </c>
      <c r="O2192" s="11" t="s">
        <v>5231</v>
      </c>
      <c r="P2192" s="11" t="s">
        <v>5232</v>
      </c>
      <c r="Q2192" s="12">
        <v>38</v>
      </c>
      <c r="R2192" s="12">
        <v>53.5</v>
      </c>
      <c r="S2192" s="12">
        <v>6.3</v>
      </c>
      <c r="T2192" s="13">
        <v>13.97</v>
      </c>
      <c r="U2192" s="13">
        <f t="shared" si="139"/>
        <v>0.57000000000000028</v>
      </c>
      <c r="V2192" s="14">
        <v>1711.32</v>
      </c>
      <c r="W2192" s="14">
        <v>1711.32</v>
      </c>
      <c r="X2192" s="11" t="s">
        <v>3722</v>
      </c>
      <c r="Y2192" s="15" t="s">
        <v>3713</v>
      </c>
      <c r="Z2192" s="16">
        <v>1454.32</v>
      </c>
      <c r="AA2192" s="17">
        <v>565.9</v>
      </c>
      <c r="AB2192" s="18" t="s">
        <v>5283</v>
      </c>
    </row>
    <row r="2193" spans="1:28" x14ac:dyDescent="0.45">
      <c r="A2193" s="2" t="s">
        <v>2851</v>
      </c>
      <c r="B2193" s="2" t="s">
        <v>2852</v>
      </c>
      <c r="C2193" s="2" t="s">
        <v>2797</v>
      </c>
      <c r="D2193" s="2" t="s">
        <v>2798</v>
      </c>
      <c r="E2193" s="2" t="s">
        <v>6</v>
      </c>
      <c r="F2193" s="3">
        <v>40</v>
      </c>
      <c r="G2193" s="3">
        <v>50.7</v>
      </c>
      <c r="H2193" s="2" t="s">
        <v>2771</v>
      </c>
      <c r="I2193" s="19">
        <v>151</v>
      </c>
      <c r="J2193" s="34">
        <f t="shared" si="136"/>
        <v>1.3136999999999999</v>
      </c>
      <c r="K2193" s="34">
        <f t="shared" si="137"/>
        <v>1.97</v>
      </c>
      <c r="L2193" s="34">
        <f t="shared" si="138"/>
        <v>7.88</v>
      </c>
      <c r="M2193" s="20" t="s">
        <v>5284</v>
      </c>
      <c r="N2193" s="20" t="s">
        <v>5285</v>
      </c>
      <c r="O2193" s="20" t="s">
        <v>5270</v>
      </c>
      <c r="P2193" s="20" t="s">
        <v>5286</v>
      </c>
      <c r="Q2193" s="21">
        <v>40</v>
      </c>
      <c r="R2193" s="21">
        <v>50.7</v>
      </c>
      <c r="S2193" s="21">
        <v>3.9</v>
      </c>
      <c r="T2193" s="22">
        <v>54.33</v>
      </c>
      <c r="U2193" s="13">
        <f t="shared" si="139"/>
        <v>46.449999999999996</v>
      </c>
      <c r="V2193" s="23">
        <v>6655.42</v>
      </c>
      <c r="W2193" s="23">
        <v>6655.42</v>
      </c>
      <c r="X2193" s="20">
        <v>10</v>
      </c>
      <c r="Y2193" s="24" t="s">
        <v>3713</v>
      </c>
      <c r="Z2193" s="16">
        <v>6504.42</v>
      </c>
      <c r="AA2193" s="17">
        <v>4307.6000000000004</v>
      </c>
      <c r="AB2193" s="25" t="s">
        <v>3714</v>
      </c>
    </row>
    <row r="2194" spans="1:28" x14ac:dyDescent="0.45">
      <c r="A2194" s="4" t="s">
        <v>2853</v>
      </c>
      <c r="B2194" s="4" t="s">
        <v>2854</v>
      </c>
      <c r="C2194" s="4" t="s">
        <v>2797</v>
      </c>
      <c r="D2194" s="4" t="s">
        <v>2798</v>
      </c>
      <c r="E2194" s="4" t="s">
        <v>6</v>
      </c>
      <c r="F2194" s="5">
        <v>40</v>
      </c>
      <c r="G2194" s="5">
        <v>55.1</v>
      </c>
      <c r="H2194" s="4" t="s">
        <v>851</v>
      </c>
      <c r="I2194" s="10">
        <v>257</v>
      </c>
      <c r="J2194" s="34">
        <f t="shared" si="136"/>
        <v>2.2359</v>
      </c>
      <c r="K2194" s="34">
        <f t="shared" si="137"/>
        <v>3.35</v>
      </c>
      <c r="L2194" s="34">
        <f t="shared" si="138"/>
        <v>13.4</v>
      </c>
      <c r="M2194" s="11" t="s">
        <v>5287</v>
      </c>
      <c r="N2194" s="11" t="s">
        <v>5285</v>
      </c>
      <c r="O2194" s="11" t="s">
        <v>5270</v>
      </c>
      <c r="P2194" s="11" t="s">
        <v>5286</v>
      </c>
      <c r="Q2194" s="12">
        <v>40</v>
      </c>
      <c r="R2194" s="12">
        <v>55.1</v>
      </c>
      <c r="S2194" s="12">
        <v>5.9</v>
      </c>
      <c r="T2194" s="13">
        <v>36.700000000000003</v>
      </c>
      <c r="U2194" s="13">
        <f t="shared" si="139"/>
        <v>23.300000000000004</v>
      </c>
      <c r="V2194" s="14">
        <v>4495.75</v>
      </c>
      <c r="W2194" s="14">
        <v>4495.75</v>
      </c>
      <c r="X2194" s="11" t="s">
        <v>3722</v>
      </c>
      <c r="Y2194" s="15" t="s">
        <v>3713</v>
      </c>
      <c r="Z2194" s="16">
        <v>4238.75</v>
      </c>
      <c r="AA2194" s="17">
        <v>1649.3</v>
      </c>
      <c r="AB2194" s="18" t="s">
        <v>3714</v>
      </c>
    </row>
    <row r="2195" spans="1:28" x14ac:dyDescent="0.45">
      <c r="A2195" s="2" t="s">
        <v>2855</v>
      </c>
      <c r="B2195" s="2" t="s">
        <v>2856</v>
      </c>
      <c r="C2195" s="2" t="s">
        <v>2797</v>
      </c>
      <c r="D2195" s="2" t="s">
        <v>2798</v>
      </c>
      <c r="E2195" s="2" t="s">
        <v>6</v>
      </c>
      <c r="F2195" s="3">
        <v>42</v>
      </c>
      <c r="G2195" s="3">
        <v>52.7</v>
      </c>
      <c r="H2195" s="2" t="s">
        <v>2771</v>
      </c>
      <c r="I2195" s="19">
        <v>151</v>
      </c>
      <c r="J2195" s="34">
        <f t="shared" si="136"/>
        <v>1.3136999999999999</v>
      </c>
      <c r="K2195" s="34">
        <f t="shared" si="137"/>
        <v>1.97</v>
      </c>
      <c r="L2195" s="34">
        <f t="shared" si="138"/>
        <v>7.88</v>
      </c>
      <c r="M2195" s="20" t="s">
        <v>5288</v>
      </c>
      <c r="N2195" s="20" t="s">
        <v>5230</v>
      </c>
      <c r="O2195" s="20" t="s">
        <v>5231</v>
      </c>
      <c r="P2195" s="20" t="s">
        <v>5232</v>
      </c>
      <c r="Q2195" s="21">
        <v>42</v>
      </c>
      <c r="R2195" s="21">
        <v>53</v>
      </c>
      <c r="S2195" s="21">
        <v>4.2</v>
      </c>
      <c r="T2195" s="22">
        <v>7.49</v>
      </c>
      <c r="U2195" s="13">
        <f t="shared" si="139"/>
        <v>-0.38999999999999968</v>
      </c>
      <c r="V2195" s="23">
        <v>917.52</v>
      </c>
      <c r="W2195" s="23">
        <v>917.52</v>
      </c>
      <c r="X2195" s="20">
        <v>83</v>
      </c>
      <c r="Y2195" s="24" t="s">
        <v>3713</v>
      </c>
      <c r="Z2195" s="16">
        <v>766.52</v>
      </c>
      <c r="AA2195" s="17">
        <v>507.6</v>
      </c>
      <c r="AB2195" s="25" t="s">
        <v>5259</v>
      </c>
    </row>
    <row r="2196" spans="1:28" x14ac:dyDescent="0.45">
      <c r="A2196" s="4" t="s">
        <v>2857</v>
      </c>
      <c r="B2196" s="4" t="s">
        <v>2858</v>
      </c>
      <c r="C2196" s="4" t="s">
        <v>2797</v>
      </c>
      <c r="D2196" s="4" t="s">
        <v>2798</v>
      </c>
      <c r="E2196" s="4" t="s">
        <v>6</v>
      </c>
      <c r="F2196" s="5">
        <v>42</v>
      </c>
      <c r="G2196" s="5">
        <v>57.1</v>
      </c>
      <c r="H2196" s="4" t="s">
        <v>851</v>
      </c>
      <c r="I2196" s="10">
        <v>273</v>
      </c>
      <c r="J2196" s="34">
        <f t="shared" si="136"/>
        <v>2.3750999999999998</v>
      </c>
      <c r="K2196" s="34">
        <f t="shared" si="137"/>
        <v>3.56</v>
      </c>
      <c r="L2196" s="34">
        <f t="shared" si="138"/>
        <v>14.24</v>
      </c>
      <c r="M2196" s="11" t="s">
        <v>5289</v>
      </c>
      <c r="N2196" s="11" t="s">
        <v>5290</v>
      </c>
      <c r="O2196" s="11" t="s">
        <v>5291</v>
      </c>
      <c r="P2196" s="11" t="s">
        <v>5292</v>
      </c>
      <c r="Q2196" s="12">
        <v>41.148000000000003</v>
      </c>
      <c r="R2196" s="12">
        <v>57.15</v>
      </c>
      <c r="S2196" s="12">
        <v>10.922000000000001</v>
      </c>
      <c r="T2196" s="13">
        <v>8.58</v>
      </c>
      <c r="U2196" s="13">
        <f t="shared" si="139"/>
        <v>-5.66</v>
      </c>
      <c r="V2196" s="14">
        <v>1051.05</v>
      </c>
      <c r="W2196" s="14">
        <v>1051.05</v>
      </c>
      <c r="X2196" s="11" t="s">
        <v>3722</v>
      </c>
      <c r="Y2196" s="15" t="s">
        <v>3737</v>
      </c>
      <c r="Z2196" s="16">
        <v>778.05</v>
      </c>
      <c r="AA2196" s="17">
        <v>285</v>
      </c>
      <c r="AB2196" s="18" t="s">
        <v>5293</v>
      </c>
    </row>
    <row r="2197" spans="1:28" x14ac:dyDescent="0.45">
      <c r="A2197" s="2" t="s">
        <v>2859</v>
      </c>
      <c r="B2197" s="2" t="s">
        <v>2860</v>
      </c>
      <c r="C2197" s="2" t="s">
        <v>2797</v>
      </c>
      <c r="D2197" s="2" t="s">
        <v>2798</v>
      </c>
      <c r="E2197" s="2" t="s">
        <v>6</v>
      </c>
      <c r="F2197" s="3">
        <v>45</v>
      </c>
      <c r="G2197" s="3">
        <v>55.7</v>
      </c>
      <c r="H2197" s="2" t="s">
        <v>2771</v>
      </c>
      <c r="I2197" s="19">
        <v>160</v>
      </c>
      <c r="J2197" s="34">
        <f t="shared" si="136"/>
        <v>1.3919999999999999</v>
      </c>
      <c r="K2197" s="34">
        <f t="shared" si="137"/>
        <v>2.09</v>
      </c>
      <c r="L2197" s="34">
        <f t="shared" si="138"/>
        <v>8.36</v>
      </c>
      <c r="M2197" s="20" t="s">
        <v>5294</v>
      </c>
      <c r="N2197" s="20" t="s">
        <v>5285</v>
      </c>
      <c r="O2197" s="20" t="s">
        <v>5270</v>
      </c>
      <c r="P2197" s="20" t="s">
        <v>5286</v>
      </c>
      <c r="Q2197" s="21">
        <v>45</v>
      </c>
      <c r="R2197" s="21">
        <v>55.7</v>
      </c>
      <c r="S2197" s="21">
        <v>3.9</v>
      </c>
      <c r="T2197" s="22">
        <v>59.89</v>
      </c>
      <c r="U2197" s="13">
        <f t="shared" si="139"/>
        <v>51.53</v>
      </c>
      <c r="V2197" s="23">
        <v>7336.52</v>
      </c>
      <c r="W2197" s="23">
        <v>7336.52</v>
      </c>
      <c r="X2197" s="20">
        <v>3</v>
      </c>
      <c r="Y2197" s="24" t="s">
        <v>3713</v>
      </c>
      <c r="Z2197" s="16">
        <v>7176.52</v>
      </c>
      <c r="AA2197" s="17">
        <v>4485.3</v>
      </c>
      <c r="AB2197" s="25" t="s">
        <v>3714</v>
      </c>
    </row>
    <row r="2198" spans="1:28" x14ac:dyDescent="0.45">
      <c r="A2198" s="4" t="s">
        <v>2861</v>
      </c>
      <c r="B2198" s="4" t="s">
        <v>2862</v>
      </c>
      <c r="C2198" s="4" t="s">
        <v>2797</v>
      </c>
      <c r="D2198" s="4" t="s">
        <v>2798</v>
      </c>
      <c r="E2198" s="4" t="s">
        <v>6</v>
      </c>
      <c r="F2198" s="5">
        <v>45</v>
      </c>
      <c r="G2198" s="5">
        <v>60.1</v>
      </c>
      <c r="H2198" s="4" t="s">
        <v>851</v>
      </c>
      <c r="I2198" s="10">
        <v>281</v>
      </c>
      <c r="J2198" s="34">
        <f t="shared" si="136"/>
        <v>2.4446999999999997</v>
      </c>
      <c r="K2198" s="34">
        <f t="shared" si="137"/>
        <v>3.67</v>
      </c>
      <c r="L2198" s="34">
        <f t="shared" si="138"/>
        <v>14.68</v>
      </c>
      <c r="M2198" s="11" t="s">
        <v>5295</v>
      </c>
      <c r="N2198" s="11" t="s">
        <v>5254</v>
      </c>
      <c r="O2198" s="11" t="s">
        <v>5251</v>
      </c>
      <c r="P2198" s="11" t="s">
        <v>5255</v>
      </c>
      <c r="Q2198" s="12">
        <v>45</v>
      </c>
      <c r="R2198" s="12">
        <v>60</v>
      </c>
      <c r="S2198" s="12">
        <v>10</v>
      </c>
      <c r="T2198" s="13">
        <v>6.01</v>
      </c>
      <c r="U2198" s="13">
        <f t="shared" si="139"/>
        <v>-8.67</v>
      </c>
      <c r="V2198" s="14">
        <v>736.22</v>
      </c>
      <c r="W2198" s="14">
        <v>736.22</v>
      </c>
      <c r="X2198" s="11">
        <v>254</v>
      </c>
      <c r="Y2198" s="15" t="s">
        <v>3713</v>
      </c>
      <c r="Z2198" s="16">
        <v>455.22</v>
      </c>
      <c r="AA2198" s="17">
        <v>162</v>
      </c>
      <c r="AB2198" s="18" t="s">
        <v>5276</v>
      </c>
    </row>
    <row r="2199" spans="1:28" x14ac:dyDescent="0.45">
      <c r="A2199" s="2" t="s">
        <v>2863</v>
      </c>
      <c r="B2199" s="2" t="s">
        <v>2864</v>
      </c>
      <c r="C2199" s="2" t="s">
        <v>2797</v>
      </c>
      <c r="D2199" s="2" t="s">
        <v>2798</v>
      </c>
      <c r="E2199" s="2" t="s">
        <v>6</v>
      </c>
      <c r="F2199" s="3">
        <v>48</v>
      </c>
      <c r="G2199" s="3">
        <v>63.1</v>
      </c>
      <c r="H2199" s="2" t="s">
        <v>851</v>
      </c>
      <c r="I2199" s="19">
        <v>303</v>
      </c>
      <c r="J2199" s="34">
        <f t="shared" si="136"/>
        <v>2.6360999999999999</v>
      </c>
      <c r="K2199" s="34">
        <f t="shared" si="137"/>
        <v>3.95</v>
      </c>
      <c r="L2199" s="34">
        <f t="shared" si="138"/>
        <v>15.8</v>
      </c>
      <c r="M2199" s="20" t="s">
        <v>5296</v>
      </c>
      <c r="N2199" s="20" t="s">
        <v>5297</v>
      </c>
      <c r="O2199" s="20" t="s">
        <v>5251</v>
      </c>
      <c r="P2199" s="20" t="s">
        <v>5298</v>
      </c>
      <c r="Q2199" s="21">
        <v>48</v>
      </c>
      <c r="R2199" s="21">
        <v>63</v>
      </c>
      <c r="S2199" s="21">
        <v>22.5</v>
      </c>
      <c r="T2199" s="22">
        <v>54.44</v>
      </c>
      <c r="U2199" s="13">
        <f t="shared" si="139"/>
        <v>38.64</v>
      </c>
      <c r="V2199" s="23">
        <v>6668.9</v>
      </c>
      <c r="W2199" s="23">
        <v>6668.9</v>
      </c>
      <c r="X2199" s="20" t="s">
        <v>3722</v>
      </c>
      <c r="Y2199" s="24" t="s">
        <v>3713</v>
      </c>
      <c r="Z2199" s="16">
        <v>6365.9</v>
      </c>
      <c r="AA2199" s="17">
        <v>2101</v>
      </c>
      <c r="AB2199" s="25" t="s">
        <v>5276</v>
      </c>
    </row>
    <row r="2200" spans="1:28" x14ac:dyDescent="0.45">
      <c r="A2200" s="4" t="s">
        <v>2865</v>
      </c>
      <c r="B2200" s="4" t="s">
        <v>2866</v>
      </c>
      <c r="C2200" s="4" t="s">
        <v>2797</v>
      </c>
      <c r="D2200" s="4" t="s">
        <v>2798</v>
      </c>
      <c r="E2200" s="4" t="s">
        <v>6</v>
      </c>
      <c r="F2200" s="5">
        <v>50</v>
      </c>
      <c r="G2200" s="5">
        <v>60.7</v>
      </c>
      <c r="H2200" s="4" t="s">
        <v>2771</v>
      </c>
      <c r="I2200" s="10">
        <v>175</v>
      </c>
      <c r="J2200" s="34">
        <f t="shared" si="136"/>
        <v>1.5225</v>
      </c>
      <c r="K2200" s="34">
        <f t="shared" si="137"/>
        <v>2.2799999999999998</v>
      </c>
      <c r="L2200" s="34">
        <f t="shared" si="138"/>
        <v>9.1199999999999992</v>
      </c>
      <c r="M2200" s="11" t="s">
        <v>5299</v>
      </c>
      <c r="N2200" s="11" t="s">
        <v>5230</v>
      </c>
      <c r="O2200" s="11" t="s">
        <v>5231</v>
      </c>
      <c r="P2200" s="11" t="s">
        <v>5232</v>
      </c>
      <c r="Q2200" s="12">
        <v>50</v>
      </c>
      <c r="R2200" s="12">
        <v>61</v>
      </c>
      <c r="S2200" s="12">
        <v>4.2</v>
      </c>
      <c r="T2200" s="13">
        <v>8.0399999999999991</v>
      </c>
      <c r="U2200" s="13">
        <f t="shared" si="139"/>
        <v>-1.08</v>
      </c>
      <c r="V2200" s="14">
        <v>984.9</v>
      </c>
      <c r="W2200" s="14">
        <v>984.9</v>
      </c>
      <c r="X2200" s="11" t="s">
        <v>3722</v>
      </c>
      <c r="Y2200" s="15" t="s">
        <v>3713</v>
      </c>
      <c r="Z2200" s="16">
        <v>809.9</v>
      </c>
      <c r="AA2200" s="17">
        <v>462.8</v>
      </c>
      <c r="AB2200" s="18" t="s">
        <v>5259</v>
      </c>
    </row>
    <row r="2201" spans="1:28" x14ac:dyDescent="0.45">
      <c r="A2201" s="2" t="s">
        <v>2867</v>
      </c>
      <c r="B2201" s="2" t="s">
        <v>2868</v>
      </c>
      <c r="C2201" s="2" t="s">
        <v>2797</v>
      </c>
      <c r="D2201" s="2" t="s">
        <v>2798</v>
      </c>
      <c r="E2201" s="2" t="s">
        <v>6</v>
      </c>
      <c r="F2201" s="3">
        <v>50</v>
      </c>
      <c r="G2201" s="3">
        <v>65.099999999999994</v>
      </c>
      <c r="H2201" s="2" t="s">
        <v>851</v>
      </c>
      <c r="I2201" s="19">
        <v>311</v>
      </c>
      <c r="J2201" s="34">
        <f t="shared" si="136"/>
        <v>2.7056999999999998</v>
      </c>
      <c r="K2201" s="34">
        <f t="shared" si="137"/>
        <v>4.0599999999999996</v>
      </c>
      <c r="L2201" s="34">
        <f t="shared" si="138"/>
        <v>16.239999999999998</v>
      </c>
      <c r="M2201" s="20" t="s">
        <v>5300</v>
      </c>
      <c r="N2201" s="20" t="s">
        <v>5301</v>
      </c>
      <c r="O2201" s="20" t="s">
        <v>5251</v>
      </c>
      <c r="P2201" s="20" t="s">
        <v>5302</v>
      </c>
      <c r="Q2201" s="21">
        <v>50</v>
      </c>
      <c r="R2201" s="21">
        <v>65</v>
      </c>
      <c r="S2201" s="21">
        <v>10</v>
      </c>
      <c r="T2201" s="22">
        <v>32.5</v>
      </c>
      <c r="U2201" s="13">
        <f t="shared" si="139"/>
        <v>16.260000000000002</v>
      </c>
      <c r="V2201" s="23">
        <v>3981.25</v>
      </c>
      <c r="W2201" s="23">
        <v>3981.25</v>
      </c>
      <c r="X2201" s="20" t="s">
        <v>3722</v>
      </c>
      <c r="Y2201" s="24" t="s">
        <v>3713</v>
      </c>
      <c r="Z2201" s="16">
        <v>3670.25</v>
      </c>
      <c r="AA2201" s="17">
        <v>1180.0999999999999</v>
      </c>
      <c r="AB2201" s="25" t="s">
        <v>5276</v>
      </c>
    </row>
    <row r="2202" spans="1:28" x14ac:dyDescent="0.45">
      <c r="A2202" s="4" t="s">
        <v>2869</v>
      </c>
      <c r="B2202" s="4" t="s">
        <v>2870</v>
      </c>
      <c r="C2202" s="4" t="s">
        <v>2797</v>
      </c>
      <c r="D2202" s="4" t="s">
        <v>2798</v>
      </c>
      <c r="E2202" s="4" t="s">
        <v>6</v>
      </c>
      <c r="F2202" s="5">
        <v>55</v>
      </c>
      <c r="G2202" s="5">
        <v>65.7</v>
      </c>
      <c r="H2202" s="4" t="s">
        <v>2771</v>
      </c>
      <c r="I2202" s="10">
        <v>190</v>
      </c>
      <c r="J2202" s="34">
        <f t="shared" si="136"/>
        <v>1.6529999999999998</v>
      </c>
      <c r="K2202" s="34">
        <f t="shared" si="137"/>
        <v>2.48</v>
      </c>
      <c r="L2202" s="34">
        <f t="shared" si="138"/>
        <v>9.92</v>
      </c>
      <c r="M2202" s="11" t="s">
        <v>5303</v>
      </c>
      <c r="N2202" s="11" t="s">
        <v>5230</v>
      </c>
      <c r="O2202" s="11" t="s">
        <v>5231</v>
      </c>
      <c r="P2202" s="11" t="s">
        <v>5232</v>
      </c>
      <c r="Q2202" s="12">
        <v>55</v>
      </c>
      <c r="R2202" s="12">
        <v>66</v>
      </c>
      <c r="S2202" s="12">
        <v>4.2</v>
      </c>
      <c r="T2202" s="13">
        <v>10.25</v>
      </c>
      <c r="U2202" s="13">
        <f t="shared" si="139"/>
        <v>0.33000000000000007</v>
      </c>
      <c r="V2202" s="14">
        <v>1255.6199999999999</v>
      </c>
      <c r="W2202" s="14">
        <v>1255.6199999999999</v>
      </c>
      <c r="X2202" s="11">
        <v>88</v>
      </c>
      <c r="Y2202" s="15" t="s">
        <v>3713</v>
      </c>
      <c r="Z2202" s="16">
        <v>1065.6199999999999</v>
      </c>
      <c r="AA2202" s="17">
        <v>560.9</v>
      </c>
      <c r="AB2202" s="18" t="s">
        <v>5259</v>
      </c>
    </row>
    <row r="2203" spans="1:28" x14ac:dyDescent="0.45">
      <c r="A2203" s="2" t="s">
        <v>2871</v>
      </c>
      <c r="B2203" s="2" t="s">
        <v>2872</v>
      </c>
      <c r="C2203" s="2" t="s">
        <v>2797</v>
      </c>
      <c r="D2203" s="2" t="s">
        <v>2798</v>
      </c>
      <c r="E2203" s="2" t="s">
        <v>6</v>
      </c>
      <c r="F2203" s="3">
        <v>55</v>
      </c>
      <c r="G2203" s="3">
        <v>70.099999999999994</v>
      </c>
      <c r="H2203" s="2" t="s">
        <v>851</v>
      </c>
      <c r="I2203" s="19">
        <v>333</v>
      </c>
      <c r="J2203" s="34">
        <f t="shared" si="136"/>
        <v>2.8971</v>
      </c>
      <c r="K2203" s="34">
        <f t="shared" si="137"/>
        <v>4.3499999999999996</v>
      </c>
      <c r="L2203" s="34">
        <f t="shared" si="138"/>
        <v>17.399999999999999</v>
      </c>
      <c r="M2203" s="20" t="s">
        <v>5304</v>
      </c>
      <c r="N2203" s="20" t="s">
        <v>5254</v>
      </c>
      <c r="O2203" s="20" t="s">
        <v>5251</v>
      </c>
      <c r="P2203" s="20" t="s">
        <v>5255</v>
      </c>
      <c r="Q2203" s="21">
        <v>55</v>
      </c>
      <c r="R2203" s="21">
        <v>70</v>
      </c>
      <c r="S2203" s="21">
        <v>11.8</v>
      </c>
      <c r="T2203" s="22">
        <v>18.32</v>
      </c>
      <c r="U2203" s="13">
        <f t="shared" si="139"/>
        <v>0.92000000000000171</v>
      </c>
      <c r="V2203" s="23">
        <v>2244.1999999999998</v>
      </c>
      <c r="W2203" s="23">
        <v>2244.1999999999998</v>
      </c>
      <c r="X2203" s="20">
        <v>44</v>
      </c>
      <c r="Y2203" s="24" t="s">
        <v>3713</v>
      </c>
      <c r="Z2203" s="16">
        <v>1911.2</v>
      </c>
      <c r="AA2203" s="17">
        <v>573.9</v>
      </c>
      <c r="AB2203" s="25" t="s">
        <v>5276</v>
      </c>
    </row>
    <row r="2204" spans="1:28" x14ac:dyDescent="0.45">
      <c r="A2204" s="4" t="s">
        <v>2873</v>
      </c>
      <c r="B2204" s="4" t="s">
        <v>2874</v>
      </c>
      <c r="C2204" s="4" t="s">
        <v>2797</v>
      </c>
      <c r="D2204" s="4" t="s">
        <v>2798</v>
      </c>
      <c r="E2204" s="4" t="s">
        <v>6</v>
      </c>
      <c r="F2204" s="5">
        <v>56</v>
      </c>
      <c r="G2204" s="5">
        <v>66.7</v>
      </c>
      <c r="H2204" s="4" t="s">
        <v>2771</v>
      </c>
      <c r="I2204" s="10">
        <v>190</v>
      </c>
      <c r="J2204" s="34">
        <f t="shared" si="136"/>
        <v>1.6529999999999998</v>
      </c>
      <c r="K2204" s="34">
        <f t="shared" si="137"/>
        <v>2.48</v>
      </c>
      <c r="L2204" s="34">
        <f t="shared" si="138"/>
        <v>9.92</v>
      </c>
      <c r="M2204" s="11" t="s">
        <v>5305</v>
      </c>
      <c r="N2204" s="11" t="s">
        <v>5230</v>
      </c>
      <c r="O2204" s="11" t="s">
        <v>5231</v>
      </c>
      <c r="P2204" s="11" t="s">
        <v>5232</v>
      </c>
      <c r="Q2204" s="12">
        <v>56</v>
      </c>
      <c r="R2204" s="12">
        <v>67</v>
      </c>
      <c r="S2204" s="12">
        <v>4.2</v>
      </c>
      <c r="T2204" s="13">
        <v>9.91</v>
      </c>
      <c r="U2204" s="13">
        <f t="shared" si="139"/>
        <v>-9.9999999999997868E-3</v>
      </c>
      <c r="V2204" s="14">
        <v>1213.97</v>
      </c>
      <c r="W2204" s="14">
        <v>1213.97</v>
      </c>
      <c r="X2204" s="11">
        <v>81</v>
      </c>
      <c r="Y2204" s="15" t="s">
        <v>3713</v>
      </c>
      <c r="Z2204" s="16">
        <v>1023.97</v>
      </c>
      <c r="AA2204" s="17">
        <v>538.9</v>
      </c>
      <c r="AB2204" s="18" t="s">
        <v>5259</v>
      </c>
    </row>
    <row r="2205" spans="1:28" x14ac:dyDescent="0.45">
      <c r="A2205" s="2" t="s">
        <v>2875</v>
      </c>
      <c r="B2205" s="2" t="s">
        <v>2876</v>
      </c>
      <c r="C2205" s="2" t="s">
        <v>2797</v>
      </c>
      <c r="D2205" s="2" t="s">
        <v>2798</v>
      </c>
      <c r="E2205" s="2" t="s">
        <v>6</v>
      </c>
      <c r="F2205" s="3">
        <v>56</v>
      </c>
      <c r="G2205" s="3">
        <v>71.099999999999994</v>
      </c>
      <c r="H2205" s="2" t="s">
        <v>851</v>
      </c>
      <c r="I2205" s="19">
        <v>342</v>
      </c>
      <c r="J2205" s="34">
        <f t="shared" si="136"/>
        <v>2.9753999999999996</v>
      </c>
      <c r="K2205" s="34">
        <f t="shared" si="137"/>
        <v>4.46</v>
      </c>
      <c r="L2205" s="34">
        <f t="shared" si="138"/>
        <v>17.84</v>
      </c>
      <c r="M2205" s="20" t="s">
        <v>5306</v>
      </c>
      <c r="N2205" s="20" t="s">
        <v>5230</v>
      </c>
      <c r="O2205" s="20" t="s">
        <v>5231</v>
      </c>
      <c r="P2205" s="20" t="s">
        <v>5232</v>
      </c>
      <c r="Q2205" s="21">
        <v>56</v>
      </c>
      <c r="R2205" s="21">
        <v>71.099999999999994</v>
      </c>
      <c r="S2205" s="21">
        <v>6</v>
      </c>
      <c r="T2205" s="22">
        <v>35.06</v>
      </c>
      <c r="U2205" s="13">
        <f t="shared" si="139"/>
        <v>17.220000000000002</v>
      </c>
      <c r="V2205" s="23">
        <v>4294.8500000000004</v>
      </c>
      <c r="W2205" s="23">
        <v>4294.8500000000004</v>
      </c>
      <c r="X2205" s="20">
        <v>100</v>
      </c>
      <c r="Y2205" s="24" t="s">
        <v>3713</v>
      </c>
      <c r="Z2205" s="16">
        <v>3952.85</v>
      </c>
      <c r="AA2205" s="17">
        <v>1155.8</v>
      </c>
      <c r="AB2205" s="25" t="s">
        <v>3714</v>
      </c>
    </row>
    <row r="2206" spans="1:28" x14ac:dyDescent="0.45">
      <c r="A2206" s="4" t="s">
        <v>2877</v>
      </c>
      <c r="B2206" s="4" t="s">
        <v>2878</v>
      </c>
      <c r="C2206" s="4" t="s">
        <v>2797</v>
      </c>
      <c r="D2206" s="4" t="s">
        <v>2798</v>
      </c>
      <c r="E2206" s="4" t="s">
        <v>6</v>
      </c>
      <c r="F2206" s="5">
        <v>60</v>
      </c>
      <c r="G2206" s="5">
        <v>70.7</v>
      </c>
      <c r="H2206" s="4" t="s">
        <v>2771</v>
      </c>
      <c r="I2206" s="10">
        <v>197</v>
      </c>
      <c r="J2206" s="34">
        <f t="shared" si="136"/>
        <v>1.7139</v>
      </c>
      <c r="K2206" s="34">
        <f t="shared" si="137"/>
        <v>2.57</v>
      </c>
      <c r="L2206" s="34">
        <f t="shared" si="138"/>
        <v>10.28</v>
      </c>
      <c r="M2206" s="11" t="s">
        <v>5307</v>
      </c>
      <c r="N2206" s="11" t="s">
        <v>5254</v>
      </c>
      <c r="O2206" s="11" t="s">
        <v>5251</v>
      </c>
      <c r="P2206" s="11" t="s">
        <v>5255</v>
      </c>
      <c r="Q2206" s="12">
        <v>60</v>
      </c>
      <c r="R2206" s="12">
        <v>71</v>
      </c>
      <c r="S2206" s="12">
        <v>7</v>
      </c>
      <c r="T2206" s="13">
        <v>19.48</v>
      </c>
      <c r="U2206" s="13">
        <f t="shared" si="139"/>
        <v>9.2000000000000011</v>
      </c>
      <c r="V2206" s="14">
        <v>2386.3000000000002</v>
      </c>
      <c r="W2206" s="14">
        <v>2386.3000000000002</v>
      </c>
      <c r="X2206" s="11">
        <v>6</v>
      </c>
      <c r="Y2206" s="15" t="s">
        <v>3713</v>
      </c>
      <c r="Z2206" s="16">
        <v>2189.3000000000002</v>
      </c>
      <c r="AA2206" s="17">
        <v>1111.3</v>
      </c>
      <c r="AB2206" s="18" t="s">
        <v>5259</v>
      </c>
    </row>
    <row r="2207" spans="1:28" x14ac:dyDescent="0.45">
      <c r="A2207" s="2" t="s">
        <v>2879</v>
      </c>
      <c r="B2207" s="2" t="s">
        <v>2880</v>
      </c>
      <c r="C2207" s="2" t="s">
        <v>2797</v>
      </c>
      <c r="D2207" s="2" t="s">
        <v>2798</v>
      </c>
      <c r="E2207" s="2" t="s">
        <v>6</v>
      </c>
      <c r="F2207" s="3">
        <v>60</v>
      </c>
      <c r="G2207" s="3">
        <v>75.099999999999994</v>
      </c>
      <c r="H2207" s="2" t="s">
        <v>851</v>
      </c>
      <c r="I2207" s="19">
        <v>348</v>
      </c>
      <c r="J2207" s="34">
        <f t="shared" si="136"/>
        <v>3.0275999999999996</v>
      </c>
      <c r="K2207" s="34">
        <f t="shared" si="137"/>
        <v>4.54</v>
      </c>
      <c r="L2207" s="34">
        <f t="shared" si="138"/>
        <v>18.16</v>
      </c>
      <c r="M2207" s="20" t="s">
        <v>5308</v>
      </c>
      <c r="N2207" s="20" t="s">
        <v>5230</v>
      </c>
      <c r="O2207" s="20" t="s">
        <v>5231</v>
      </c>
      <c r="P2207" s="20" t="s">
        <v>5232</v>
      </c>
      <c r="Q2207" s="21">
        <v>60</v>
      </c>
      <c r="R2207" s="21">
        <v>75.099999999999994</v>
      </c>
      <c r="S2207" s="21">
        <v>6.3</v>
      </c>
      <c r="T2207" s="22">
        <v>44.01</v>
      </c>
      <c r="U2207" s="13">
        <f t="shared" si="139"/>
        <v>25.849999999999998</v>
      </c>
      <c r="V2207" s="23">
        <v>5391.22</v>
      </c>
      <c r="W2207" s="23">
        <v>5391.22</v>
      </c>
      <c r="X2207" s="20">
        <v>13</v>
      </c>
      <c r="Y2207" s="24" t="s">
        <v>3713</v>
      </c>
      <c r="Z2207" s="16">
        <v>5043.22</v>
      </c>
      <c r="AA2207" s="17">
        <v>1449.2</v>
      </c>
      <c r="AB2207" s="25" t="s">
        <v>3714</v>
      </c>
    </row>
    <row r="2208" spans="1:28" x14ac:dyDescent="0.45">
      <c r="A2208" s="4" t="s">
        <v>2881</v>
      </c>
      <c r="B2208" s="4" t="s">
        <v>2882</v>
      </c>
      <c r="C2208" s="4" t="s">
        <v>2797</v>
      </c>
      <c r="D2208" s="4" t="s">
        <v>2798</v>
      </c>
      <c r="E2208" s="4" t="s">
        <v>6</v>
      </c>
      <c r="F2208" s="5">
        <v>63</v>
      </c>
      <c r="G2208" s="5">
        <v>73.7</v>
      </c>
      <c r="H2208" s="4" t="s">
        <v>2771</v>
      </c>
      <c r="I2208" s="10">
        <v>205</v>
      </c>
      <c r="J2208" s="34">
        <f t="shared" si="136"/>
        <v>1.7834999999999999</v>
      </c>
      <c r="K2208" s="34">
        <f t="shared" si="137"/>
        <v>2.68</v>
      </c>
      <c r="L2208" s="34">
        <f t="shared" si="138"/>
        <v>10.72</v>
      </c>
      <c r="M2208" s="11" t="s">
        <v>5309</v>
      </c>
      <c r="N2208" s="11" t="s">
        <v>5310</v>
      </c>
      <c r="O2208" s="11" t="s">
        <v>5270</v>
      </c>
      <c r="P2208" s="11" t="s">
        <v>5311</v>
      </c>
      <c r="Q2208" s="12">
        <v>63</v>
      </c>
      <c r="R2208" s="12">
        <v>73</v>
      </c>
      <c r="S2208" s="12">
        <v>12</v>
      </c>
      <c r="T2208" s="13">
        <v>6.27</v>
      </c>
      <c r="U2208" s="13">
        <f t="shared" si="139"/>
        <v>-4.4500000000000011</v>
      </c>
      <c r="V2208" s="14">
        <v>768.08</v>
      </c>
      <c r="W2208" s="14">
        <v>768.08</v>
      </c>
      <c r="X2208" s="11">
        <v>60</v>
      </c>
      <c r="Y2208" s="15" t="s">
        <v>3713</v>
      </c>
      <c r="Z2208" s="16">
        <v>563.08000000000004</v>
      </c>
      <c r="AA2208" s="17">
        <v>274.7</v>
      </c>
      <c r="AB2208" s="18" t="s">
        <v>5256</v>
      </c>
    </row>
    <row r="2209" spans="1:28" x14ac:dyDescent="0.45">
      <c r="A2209" s="2" t="s">
        <v>2883</v>
      </c>
      <c r="B2209" s="2" t="s">
        <v>2884</v>
      </c>
      <c r="C2209" s="2" t="s">
        <v>2797</v>
      </c>
      <c r="D2209" s="2" t="s">
        <v>2798</v>
      </c>
      <c r="E2209" s="2" t="s">
        <v>6</v>
      </c>
      <c r="F2209" s="3">
        <v>63</v>
      </c>
      <c r="G2209" s="3">
        <v>78.099999999999994</v>
      </c>
      <c r="H2209" s="2" t="s">
        <v>851</v>
      </c>
      <c r="I2209" s="19">
        <v>379</v>
      </c>
      <c r="J2209" s="34">
        <f t="shared" si="136"/>
        <v>3.2972999999999999</v>
      </c>
      <c r="K2209" s="34">
        <f t="shared" si="137"/>
        <v>4.95</v>
      </c>
      <c r="L2209" s="34">
        <f t="shared" si="138"/>
        <v>19.8</v>
      </c>
      <c r="M2209" s="20" t="s">
        <v>5312</v>
      </c>
      <c r="N2209" s="20" t="s">
        <v>5230</v>
      </c>
      <c r="O2209" s="20" t="s">
        <v>5231</v>
      </c>
      <c r="P2209" s="20" t="s">
        <v>5232</v>
      </c>
      <c r="Q2209" s="21">
        <v>63</v>
      </c>
      <c r="R2209" s="21">
        <v>78.099999999999994</v>
      </c>
      <c r="S2209" s="21">
        <v>6.3</v>
      </c>
      <c r="T2209" s="22">
        <v>28.87</v>
      </c>
      <c r="U2209" s="13">
        <f t="shared" si="139"/>
        <v>9.07</v>
      </c>
      <c r="V2209" s="23">
        <v>3536.58</v>
      </c>
      <c r="W2209" s="23">
        <v>3536.58</v>
      </c>
      <c r="X2209" s="20">
        <v>98</v>
      </c>
      <c r="Y2209" s="24" t="s">
        <v>3713</v>
      </c>
      <c r="Z2209" s="16">
        <v>3157.58</v>
      </c>
      <c r="AA2209" s="17">
        <v>833.1</v>
      </c>
      <c r="AB2209" s="25" t="s">
        <v>3714</v>
      </c>
    </row>
    <row r="2210" spans="1:28" x14ac:dyDescent="0.45">
      <c r="A2210" s="4" t="s">
        <v>2885</v>
      </c>
      <c r="B2210" s="4" t="s">
        <v>2886</v>
      </c>
      <c r="C2210" s="4" t="s">
        <v>2797</v>
      </c>
      <c r="D2210" s="4" t="s">
        <v>2798</v>
      </c>
      <c r="E2210" s="4" t="s">
        <v>6</v>
      </c>
      <c r="F2210" s="5">
        <v>65</v>
      </c>
      <c r="G2210" s="5">
        <v>75.7</v>
      </c>
      <c r="H2210" s="4" t="s">
        <v>2771</v>
      </c>
      <c r="I2210" s="10">
        <v>212</v>
      </c>
      <c r="J2210" s="34">
        <f t="shared" si="136"/>
        <v>1.8443999999999998</v>
      </c>
      <c r="K2210" s="34">
        <f t="shared" si="137"/>
        <v>2.77</v>
      </c>
      <c r="L2210" s="34">
        <f t="shared" si="138"/>
        <v>11.08</v>
      </c>
      <c r="M2210" s="11" t="s">
        <v>5313</v>
      </c>
      <c r="N2210" s="11" t="s">
        <v>5230</v>
      </c>
      <c r="O2210" s="11" t="s">
        <v>5231</v>
      </c>
      <c r="P2210" s="11" t="s">
        <v>5232</v>
      </c>
      <c r="Q2210" s="12">
        <v>65</v>
      </c>
      <c r="R2210" s="12">
        <v>76</v>
      </c>
      <c r="S2210" s="12">
        <v>4.2</v>
      </c>
      <c r="T2210" s="13">
        <v>18.690000000000001</v>
      </c>
      <c r="U2210" s="13">
        <f t="shared" si="139"/>
        <v>7.6100000000000012</v>
      </c>
      <c r="V2210" s="14">
        <v>2289.52</v>
      </c>
      <c r="W2210" s="14">
        <v>2289.52</v>
      </c>
      <c r="X2210" s="11">
        <v>3</v>
      </c>
      <c r="Y2210" s="15" t="s">
        <v>3713</v>
      </c>
      <c r="Z2210" s="16">
        <v>2077.52</v>
      </c>
      <c r="AA2210" s="17">
        <v>980</v>
      </c>
      <c r="AB2210" s="18" t="s">
        <v>5259</v>
      </c>
    </row>
    <row r="2211" spans="1:28" x14ac:dyDescent="0.45">
      <c r="A2211" s="2" t="s">
        <v>2887</v>
      </c>
      <c r="B2211" s="2" t="s">
        <v>2888</v>
      </c>
      <c r="C2211" s="2" t="s">
        <v>2797</v>
      </c>
      <c r="D2211" s="2" t="s">
        <v>2798</v>
      </c>
      <c r="E2211" s="2" t="s">
        <v>6</v>
      </c>
      <c r="F2211" s="3">
        <v>65</v>
      </c>
      <c r="G2211" s="3">
        <v>80.099999999999994</v>
      </c>
      <c r="H2211" s="2" t="s">
        <v>851</v>
      </c>
      <c r="I2211" s="19">
        <v>379</v>
      </c>
      <c r="J2211" s="34">
        <f t="shared" si="136"/>
        <v>3.2972999999999999</v>
      </c>
      <c r="K2211" s="34">
        <f t="shared" si="137"/>
        <v>4.95</v>
      </c>
      <c r="L2211" s="34">
        <f t="shared" si="138"/>
        <v>19.8</v>
      </c>
      <c r="M2211" s="20" t="s">
        <v>5314</v>
      </c>
      <c r="N2211" s="20" t="s">
        <v>5254</v>
      </c>
      <c r="O2211" s="20" t="s">
        <v>5251</v>
      </c>
      <c r="P2211" s="20" t="s">
        <v>5255</v>
      </c>
      <c r="Q2211" s="21">
        <v>65</v>
      </c>
      <c r="R2211" s="21">
        <v>80</v>
      </c>
      <c r="S2211" s="21">
        <v>9</v>
      </c>
      <c r="T2211" s="22">
        <v>8.4600000000000009</v>
      </c>
      <c r="U2211" s="13">
        <f t="shared" si="139"/>
        <v>-11.34</v>
      </c>
      <c r="V2211" s="23">
        <v>1036.3499999999999</v>
      </c>
      <c r="W2211" s="23">
        <v>1036.3499999999999</v>
      </c>
      <c r="X2211" s="20">
        <v>233</v>
      </c>
      <c r="Y2211" s="24" t="s">
        <v>3713</v>
      </c>
      <c r="Z2211" s="16">
        <v>657.34999999999991</v>
      </c>
      <c r="AA2211" s="17">
        <v>173.4</v>
      </c>
      <c r="AB2211" s="25" t="s">
        <v>5276</v>
      </c>
    </row>
    <row r="2212" spans="1:28" x14ac:dyDescent="0.45">
      <c r="A2212" s="4" t="s">
        <v>2889</v>
      </c>
      <c r="B2212" s="4" t="s">
        <v>2890</v>
      </c>
      <c r="C2212" s="4" t="s">
        <v>2797</v>
      </c>
      <c r="D2212" s="4" t="s">
        <v>2798</v>
      </c>
      <c r="E2212" s="4" t="s">
        <v>6</v>
      </c>
      <c r="F2212" s="5">
        <v>68</v>
      </c>
      <c r="G2212" s="5">
        <v>83.1</v>
      </c>
      <c r="H2212" s="4" t="s">
        <v>851</v>
      </c>
      <c r="I2212" s="10">
        <v>432</v>
      </c>
      <c r="J2212" s="34">
        <f t="shared" si="136"/>
        <v>3.7584</v>
      </c>
      <c r="K2212" s="34">
        <f t="shared" si="137"/>
        <v>5.64</v>
      </c>
      <c r="L2212" s="34">
        <f t="shared" si="138"/>
        <v>22.56</v>
      </c>
      <c r="M2212" s="11" t="s">
        <v>5315</v>
      </c>
      <c r="N2212" s="11" t="s">
        <v>5230</v>
      </c>
      <c r="O2212" s="11" t="s">
        <v>5231</v>
      </c>
      <c r="P2212" s="11" t="s">
        <v>5232</v>
      </c>
      <c r="Q2212" s="12">
        <v>68</v>
      </c>
      <c r="R2212" s="12">
        <v>83.5</v>
      </c>
      <c r="S2212" s="12">
        <v>6.3</v>
      </c>
      <c r="T2212" s="13">
        <v>17.16</v>
      </c>
      <c r="U2212" s="13">
        <f t="shared" si="139"/>
        <v>-5.3999999999999986</v>
      </c>
      <c r="V2212" s="14">
        <v>2102.1</v>
      </c>
      <c r="W2212" s="14">
        <v>2102.1</v>
      </c>
      <c r="X2212" s="11">
        <v>63</v>
      </c>
      <c r="Y2212" s="15" t="s">
        <v>3713</v>
      </c>
      <c r="Z2212" s="16">
        <v>1670.1</v>
      </c>
      <c r="AA2212" s="17">
        <v>386.6</v>
      </c>
      <c r="AB2212" s="18" t="s">
        <v>5283</v>
      </c>
    </row>
    <row r="2213" spans="1:28" x14ac:dyDescent="0.45">
      <c r="A2213" s="2" t="s">
        <v>2891</v>
      </c>
      <c r="B2213" s="2" t="s">
        <v>2892</v>
      </c>
      <c r="C2213" s="2" t="s">
        <v>2797</v>
      </c>
      <c r="D2213" s="2" t="s">
        <v>2798</v>
      </c>
      <c r="E2213" s="2" t="s">
        <v>6</v>
      </c>
      <c r="F2213" s="3">
        <v>70</v>
      </c>
      <c r="G2213" s="3">
        <v>80.7</v>
      </c>
      <c r="H2213" s="2" t="s">
        <v>2771</v>
      </c>
      <c r="I2213" s="19">
        <v>227</v>
      </c>
      <c r="J2213" s="34">
        <f t="shared" si="136"/>
        <v>1.9748999999999999</v>
      </c>
      <c r="K2213" s="34">
        <f t="shared" si="137"/>
        <v>2.96</v>
      </c>
      <c r="L2213" s="34">
        <f t="shared" si="138"/>
        <v>11.84</v>
      </c>
      <c r="M2213" s="20" t="s">
        <v>5233</v>
      </c>
      <c r="N2213" s="20" t="s">
        <v>5230</v>
      </c>
      <c r="O2213" s="20" t="s">
        <v>5231</v>
      </c>
      <c r="P2213" s="20" t="s">
        <v>5232</v>
      </c>
      <c r="Q2213" s="21">
        <v>70</v>
      </c>
      <c r="R2213" s="21">
        <v>81</v>
      </c>
      <c r="S2213" s="21">
        <v>4.2</v>
      </c>
      <c r="T2213" s="22">
        <v>11.38</v>
      </c>
      <c r="U2213" s="13">
        <f t="shared" si="139"/>
        <v>-0.45999999999999908</v>
      </c>
      <c r="V2213" s="23">
        <v>1394.05</v>
      </c>
      <c r="W2213" s="23">
        <v>1394.05</v>
      </c>
      <c r="X2213" s="20">
        <v>264</v>
      </c>
      <c r="Y2213" s="24" t="s">
        <v>3713</v>
      </c>
      <c r="Z2213" s="16">
        <v>1167.05</v>
      </c>
      <c r="AA2213" s="17">
        <v>514.1</v>
      </c>
      <c r="AB2213" s="25" t="s">
        <v>5259</v>
      </c>
    </row>
    <row r="2214" spans="1:28" x14ac:dyDescent="0.45">
      <c r="A2214" s="4" t="s">
        <v>2893</v>
      </c>
      <c r="B2214" s="4" t="s">
        <v>2894</v>
      </c>
      <c r="C2214" s="4" t="s">
        <v>2797</v>
      </c>
      <c r="D2214" s="4" t="s">
        <v>2798</v>
      </c>
      <c r="E2214" s="4" t="s">
        <v>6</v>
      </c>
      <c r="F2214" s="5">
        <v>70</v>
      </c>
      <c r="G2214" s="5">
        <v>85.1</v>
      </c>
      <c r="H2214" s="4" t="s">
        <v>851</v>
      </c>
      <c r="I2214" s="10">
        <v>402</v>
      </c>
      <c r="J2214" s="34">
        <f t="shared" si="136"/>
        <v>3.4973999999999998</v>
      </c>
      <c r="K2214" s="34">
        <f t="shared" si="137"/>
        <v>5.25</v>
      </c>
      <c r="L2214" s="34">
        <f t="shared" si="138"/>
        <v>21</v>
      </c>
      <c r="M2214" s="11" t="s">
        <v>5316</v>
      </c>
      <c r="N2214" s="11" t="s">
        <v>5254</v>
      </c>
      <c r="O2214" s="11" t="s">
        <v>5251</v>
      </c>
      <c r="P2214" s="11" t="s">
        <v>5255</v>
      </c>
      <c r="Q2214" s="12">
        <v>70</v>
      </c>
      <c r="R2214" s="12">
        <v>85</v>
      </c>
      <c r="S2214" s="12">
        <v>9</v>
      </c>
      <c r="T2214" s="13">
        <v>9.69</v>
      </c>
      <c r="U2214" s="13">
        <f t="shared" si="139"/>
        <v>-11.31</v>
      </c>
      <c r="V2214" s="14">
        <v>1187.02</v>
      </c>
      <c r="W2214" s="14">
        <v>1187.02</v>
      </c>
      <c r="X2214" s="11">
        <v>122</v>
      </c>
      <c r="Y2214" s="15" t="s">
        <v>3713</v>
      </c>
      <c r="Z2214" s="16">
        <v>785.02</v>
      </c>
      <c r="AA2214" s="17">
        <v>195.3</v>
      </c>
      <c r="AB2214" s="18" t="s">
        <v>5276</v>
      </c>
    </row>
    <row r="2215" spans="1:28" x14ac:dyDescent="0.45">
      <c r="A2215" s="2" t="s">
        <v>2895</v>
      </c>
      <c r="B2215" s="2" t="s">
        <v>2896</v>
      </c>
      <c r="C2215" s="2" t="s">
        <v>2797</v>
      </c>
      <c r="D2215" s="2" t="s">
        <v>2798</v>
      </c>
      <c r="E2215" s="2" t="s">
        <v>6</v>
      </c>
      <c r="F2215" s="3">
        <v>75</v>
      </c>
      <c r="G2215" s="3">
        <v>85.7</v>
      </c>
      <c r="H2215" s="2" t="s">
        <v>2771</v>
      </c>
      <c r="I2215" s="19">
        <v>242</v>
      </c>
      <c r="J2215" s="34">
        <f t="shared" si="136"/>
        <v>2.1053999999999999</v>
      </c>
      <c r="K2215" s="34">
        <f t="shared" si="137"/>
        <v>3.16</v>
      </c>
      <c r="L2215" s="34">
        <f t="shared" si="138"/>
        <v>12.64</v>
      </c>
      <c r="M2215" s="20" t="s">
        <v>5317</v>
      </c>
      <c r="N2215" s="20" t="s">
        <v>5254</v>
      </c>
      <c r="O2215" s="20" t="s">
        <v>5251</v>
      </c>
      <c r="P2215" s="20" t="s">
        <v>5255</v>
      </c>
      <c r="Q2215" s="21">
        <v>75</v>
      </c>
      <c r="R2215" s="21">
        <v>85</v>
      </c>
      <c r="S2215" s="21">
        <v>6</v>
      </c>
      <c r="T2215" s="22">
        <v>7.37</v>
      </c>
      <c r="U2215" s="13">
        <f t="shared" si="139"/>
        <v>-5.2700000000000005</v>
      </c>
      <c r="V2215" s="23">
        <v>902.82</v>
      </c>
      <c r="W2215" s="23">
        <v>902.82</v>
      </c>
      <c r="X2215" s="20">
        <v>132</v>
      </c>
      <c r="Y2215" s="24" t="s">
        <v>3713</v>
      </c>
      <c r="Z2215" s="16">
        <v>660.82</v>
      </c>
      <c r="AA2215" s="17">
        <v>273.10000000000002</v>
      </c>
      <c r="AB2215" s="25" t="s">
        <v>5256</v>
      </c>
    </row>
    <row r="2216" spans="1:28" x14ac:dyDescent="0.45">
      <c r="A2216" s="4" t="s">
        <v>2897</v>
      </c>
      <c r="B2216" s="4" t="s">
        <v>2898</v>
      </c>
      <c r="C2216" s="4" t="s">
        <v>2797</v>
      </c>
      <c r="D2216" s="4" t="s">
        <v>2798</v>
      </c>
      <c r="E2216" s="4" t="s">
        <v>6</v>
      </c>
      <c r="F2216" s="5">
        <v>75</v>
      </c>
      <c r="G2216" s="5">
        <v>90.1</v>
      </c>
      <c r="H2216" s="4" t="s">
        <v>851</v>
      </c>
      <c r="I2216" s="10">
        <v>448</v>
      </c>
      <c r="J2216" s="34">
        <f t="shared" si="136"/>
        <v>3.8975999999999997</v>
      </c>
      <c r="K2216" s="34">
        <f t="shared" si="137"/>
        <v>5.85</v>
      </c>
      <c r="L2216" s="34">
        <f t="shared" si="138"/>
        <v>23.4</v>
      </c>
      <c r="M2216" s="11" t="s">
        <v>5318</v>
      </c>
      <c r="N2216" s="11" t="s">
        <v>5254</v>
      </c>
      <c r="O2216" s="11" t="s">
        <v>5251</v>
      </c>
      <c r="P2216" s="11" t="s">
        <v>5255</v>
      </c>
      <c r="Q2216" s="12">
        <v>75</v>
      </c>
      <c r="R2216" s="12">
        <v>90</v>
      </c>
      <c r="S2216" s="12">
        <v>9</v>
      </c>
      <c r="T2216" s="13">
        <v>11.57</v>
      </c>
      <c r="U2216" s="13">
        <f t="shared" si="139"/>
        <v>-11.829999999999998</v>
      </c>
      <c r="V2216" s="14">
        <v>1417.32</v>
      </c>
      <c r="W2216" s="14">
        <v>1417.32</v>
      </c>
      <c r="X2216" s="11">
        <v>467</v>
      </c>
      <c r="Y2216" s="15" t="s">
        <v>3713</v>
      </c>
      <c r="Z2216" s="16">
        <v>969.31999999999994</v>
      </c>
      <c r="AA2216" s="17">
        <v>216.4</v>
      </c>
      <c r="AB2216" s="18" t="s">
        <v>5276</v>
      </c>
    </row>
    <row r="2217" spans="1:28" x14ac:dyDescent="0.45">
      <c r="A2217" s="2" t="s">
        <v>2899</v>
      </c>
      <c r="B2217" s="2" t="s">
        <v>2900</v>
      </c>
      <c r="C2217" s="2" t="s">
        <v>2797</v>
      </c>
      <c r="D2217" s="2" t="s">
        <v>2798</v>
      </c>
      <c r="E2217" s="2" t="s">
        <v>6</v>
      </c>
      <c r="F2217" s="3">
        <v>78</v>
      </c>
      <c r="G2217" s="3">
        <v>93.1</v>
      </c>
      <c r="H2217" s="2" t="s">
        <v>851</v>
      </c>
      <c r="I2217" s="19">
        <v>493</v>
      </c>
      <c r="J2217" s="34">
        <f t="shared" si="136"/>
        <v>4.2890999999999995</v>
      </c>
      <c r="K2217" s="34">
        <f t="shared" si="137"/>
        <v>6.43</v>
      </c>
      <c r="L2217" s="34">
        <f t="shared" si="138"/>
        <v>25.72</v>
      </c>
      <c r="M2217" s="20" t="s">
        <v>5319</v>
      </c>
      <c r="N2217" s="20" t="s">
        <v>5285</v>
      </c>
      <c r="O2217" s="20" t="s">
        <v>5270</v>
      </c>
      <c r="P2217" s="20" t="s">
        <v>5286</v>
      </c>
      <c r="Q2217" s="21">
        <v>76.2</v>
      </c>
      <c r="R2217" s="21">
        <v>93.471999999999994</v>
      </c>
      <c r="S2217" s="21">
        <v>4.8259999999999996</v>
      </c>
      <c r="T2217" s="22">
        <v>7.74</v>
      </c>
      <c r="U2217" s="13">
        <f t="shared" si="139"/>
        <v>-17.979999999999997</v>
      </c>
      <c r="V2217" s="23">
        <v>948.15</v>
      </c>
      <c r="W2217" s="23">
        <v>948.15</v>
      </c>
      <c r="X2217" s="20">
        <v>18</v>
      </c>
      <c r="Y2217" s="24" t="s">
        <v>3737</v>
      </c>
      <c r="Z2217" s="16">
        <v>455.15</v>
      </c>
      <c r="AA2217" s="17">
        <v>92.3</v>
      </c>
      <c r="AB2217" s="25" t="s">
        <v>5320</v>
      </c>
    </row>
    <row r="2218" spans="1:28" x14ac:dyDescent="0.45">
      <c r="A2218" s="4" t="s">
        <v>2901</v>
      </c>
      <c r="B2218" s="4" t="s">
        <v>2902</v>
      </c>
      <c r="C2218" s="4" t="s">
        <v>2797</v>
      </c>
      <c r="D2218" s="4" t="s">
        <v>2798</v>
      </c>
      <c r="E2218" s="4" t="s">
        <v>6</v>
      </c>
      <c r="F2218" s="5">
        <v>80</v>
      </c>
      <c r="G2218" s="5">
        <v>90.7</v>
      </c>
      <c r="H2218" s="4" t="s">
        <v>2771</v>
      </c>
      <c r="I2218" s="10">
        <v>251</v>
      </c>
      <c r="J2218" s="34">
        <f t="shared" si="136"/>
        <v>2.1837</v>
      </c>
      <c r="K2218" s="34">
        <f t="shared" si="137"/>
        <v>3.28</v>
      </c>
      <c r="L2218" s="34">
        <f t="shared" si="138"/>
        <v>13.12</v>
      </c>
      <c r="M2218" s="11" t="s">
        <v>5234</v>
      </c>
      <c r="N2218" s="11" t="s">
        <v>5230</v>
      </c>
      <c r="O2218" s="11" t="s">
        <v>5231</v>
      </c>
      <c r="P2218" s="11" t="s">
        <v>5232</v>
      </c>
      <c r="Q2218" s="12">
        <v>80</v>
      </c>
      <c r="R2218" s="12">
        <v>91</v>
      </c>
      <c r="S2218" s="12">
        <v>4.2</v>
      </c>
      <c r="T2218" s="13">
        <v>17.329999999999998</v>
      </c>
      <c r="U2218" s="13">
        <f t="shared" si="139"/>
        <v>4.2099999999999991</v>
      </c>
      <c r="V2218" s="14">
        <v>2122.92</v>
      </c>
      <c r="W2218" s="14">
        <v>2122.92</v>
      </c>
      <c r="X2218" s="11">
        <v>85</v>
      </c>
      <c r="Y2218" s="15" t="s">
        <v>3713</v>
      </c>
      <c r="Z2218" s="16">
        <v>1871.92</v>
      </c>
      <c r="AA2218" s="17">
        <v>745.8</v>
      </c>
      <c r="AB2218" s="18" t="s">
        <v>5259</v>
      </c>
    </row>
    <row r="2219" spans="1:28" x14ac:dyDescent="0.45">
      <c r="A2219" s="2" t="s">
        <v>2903</v>
      </c>
      <c r="B2219" s="2" t="s">
        <v>2904</v>
      </c>
      <c r="C2219" s="2" t="s">
        <v>2797</v>
      </c>
      <c r="D2219" s="2" t="s">
        <v>2798</v>
      </c>
      <c r="E2219" s="2" t="s">
        <v>6</v>
      </c>
      <c r="F2219" s="3">
        <v>80</v>
      </c>
      <c r="G2219" s="3">
        <v>95.1</v>
      </c>
      <c r="H2219" s="2" t="s">
        <v>851</v>
      </c>
      <c r="I2219" s="19">
        <v>463</v>
      </c>
      <c r="J2219" s="34">
        <f t="shared" si="136"/>
        <v>4.0280999999999993</v>
      </c>
      <c r="K2219" s="34">
        <f t="shared" si="137"/>
        <v>6.04</v>
      </c>
      <c r="L2219" s="34">
        <f t="shared" si="138"/>
        <v>24.16</v>
      </c>
      <c r="M2219" s="20" t="s">
        <v>5321</v>
      </c>
      <c r="N2219" s="20" t="s">
        <v>5254</v>
      </c>
      <c r="O2219" s="20" t="s">
        <v>5251</v>
      </c>
      <c r="P2219" s="20" t="s">
        <v>5255</v>
      </c>
      <c r="Q2219" s="21">
        <v>80</v>
      </c>
      <c r="R2219" s="21">
        <v>95</v>
      </c>
      <c r="S2219" s="21">
        <v>9</v>
      </c>
      <c r="T2219" s="22">
        <v>10.42</v>
      </c>
      <c r="U2219" s="13">
        <f t="shared" si="139"/>
        <v>-13.74</v>
      </c>
      <c r="V2219" s="23">
        <v>1276.45</v>
      </c>
      <c r="W2219" s="23">
        <v>1276.45</v>
      </c>
      <c r="X2219" s="20">
        <v>300</v>
      </c>
      <c r="Y2219" s="24" t="s">
        <v>3713</v>
      </c>
      <c r="Z2219" s="16">
        <v>813.45</v>
      </c>
      <c r="AA2219" s="17">
        <v>175.7</v>
      </c>
      <c r="AB2219" s="25" t="s">
        <v>5276</v>
      </c>
    </row>
    <row r="2220" spans="1:28" x14ac:dyDescent="0.45">
      <c r="A2220" s="4" t="s">
        <v>2905</v>
      </c>
      <c r="B2220" s="4" t="s">
        <v>2906</v>
      </c>
      <c r="C2220" s="4" t="s">
        <v>2797</v>
      </c>
      <c r="D2220" s="4" t="s">
        <v>2798</v>
      </c>
      <c r="E2220" s="4" t="s">
        <v>6</v>
      </c>
      <c r="F2220" s="5">
        <v>80</v>
      </c>
      <c r="G2220" s="5">
        <v>100.5</v>
      </c>
      <c r="H2220" s="4" t="s">
        <v>876</v>
      </c>
      <c r="I2220" s="10">
        <v>833</v>
      </c>
      <c r="J2220" s="34">
        <f t="shared" si="136"/>
        <v>7.2470999999999997</v>
      </c>
      <c r="K2220" s="34">
        <f t="shared" si="137"/>
        <v>10.87</v>
      </c>
      <c r="L2220" s="34">
        <f t="shared" si="138"/>
        <v>43.48</v>
      </c>
      <c r="M2220" s="11" t="s">
        <v>5322</v>
      </c>
      <c r="N2220" s="11" t="s">
        <v>5230</v>
      </c>
      <c r="O2220" s="11" t="s">
        <v>5231</v>
      </c>
      <c r="P2220" s="11" t="s">
        <v>5232</v>
      </c>
      <c r="Q2220" s="12">
        <v>80</v>
      </c>
      <c r="R2220" s="12">
        <v>100.5</v>
      </c>
      <c r="S2220" s="12">
        <v>8.1</v>
      </c>
      <c r="T2220" s="13">
        <v>23.44</v>
      </c>
      <c r="U2220" s="13">
        <f t="shared" si="139"/>
        <v>-20.039999999999996</v>
      </c>
      <c r="V2220" s="14">
        <v>2871.4</v>
      </c>
      <c r="W2220" s="14">
        <v>2871.4</v>
      </c>
      <c r="X2220" s="11">
        <v>82</v>
      </c>
      <c r="Y2220" s="15" t="s">
        <v>3713</v>
      </c>
      <c r="Z2220" s="16">
        <v>2038.4</v>
      </c>
      <c r="AA2220" s="17">
        <v>244.7</v>
      </c>
      <c r="AB2220" s="18" t="s">
        <v>3714</v>
      </c>
    </row>
    <row r="2221" spans="1:28" x14ac:dyDescent="0.45">
      <c r="A2221" s="2" t="s">
        <v>2907</v>
      </c>
      <c r="B2221" s="2" t="s">
        <v>2908</v>
      </c>
      <c r="C2221" s="2" t="s">
        <v>2797</v>
      </c>
      <c r="D2221" s="2" t="s">
        <v>2798</v>
      </c>
      <c r="E2221" s="2" t="s">
        <v>6</v>
      </c>
      <c r="F2221" s="3">
        <v>85</v>
      </c>
      <c r="G2221" s="3">
        <v>100.1</v>
      </c>
      <c r="H2221" s="2" t="s">
        <v>851</v>
      </c>
      <c r="I2221" s="19">
        <v>508</v>
      </c>
      <c r="J2221" s="34">
        <f t="shared" si="136"/>
        <v>4.4196</v>
      </c>
      <c r="K2221" s="34">
        <f t="shared" si="137"/>
        <v>6.63</v>
      </c>
      <c r="L2221" s="34">
        <f t="shared" si="138"/>
        <v>26.52</v>
      </c>
      <c r="M2221" s="20" t="s">
        <v>5323</v>
      </c>
      <c r="N2221" s="20" t="s">
        <v>5254</v>
      </c>
      <c r="O2221" s="20" t="s">
        <v>5251</v>
      </c>
      <c r="P2221" s="20" t="s">
        <v>5255</v>
      </c>
      <c r="Q2221" s="21">
        <v>85</v>
      </c>
      <c r="R2221" s="21">
        <v>100</v>
      </c>
      <c r="S2221" s="21">
        <v>9</v>
      </c>
      <c r="T2221" s="22">
        <v>9.92</v>
      </c>
      <c r="U2221" s="13">
        <f t="shared" si="139"/>
        <v>-16.600000000000001</v>
      </c>
      <c r="V2221" s="23">
        <v>1215.2</v>
      </c>
      <c r="W2221" s="23">
        <v>1215.2</v>
      </c>
      <c r="X2221" s="20">
        <v>740</v>
      </c>
      <c r="Y2221" s="24" t="s">
        <v>3713</v>
      </c>
      <c r="Z2221" s="16">
        <v>707.2</v>
      </c>
      <c r="AA2221" s="17">
        <v>139.19999999999999</v>
      </c>
      <c r="AB2221" s="25" t="s">
        <v>5276</v>
      </c>
    </row>
    <row r="2222" spans="1:28" x14ac:dyDescent="0.45">
      <c r="A2222" s="4" t="s">
        <v>2909</v>
      </c>
      <c r="B2222" s="4" t="s">
        <v>2910</v>
      </c>
      <c r="C2222" s="4" t="s">
        <v>2797</v>
      </c>
      <c r="D2222" s="4" t="s">
        <v>2798</v>
      </c>
      <c r="E2222" s="4" t="s">
        <v>6</v>
      </c>
      <c r="F2222" s="5">
        <v>88</v>
      </c>
      <c r="G2222" s="5">
        <v>103.1</v>
      </c>
      <c r="H2222" s="4" t="s">
        <v>851</v>
      </c>
      <c r="I2222" s="10">
        <v>545</v>
      </c>
      <c r="J2222" s="34">
        <f t="shared" si="136"/>
        <v>4.7414999999999994</v>
      </c>
      <c r="K2222" s="34">
        <f t="shared" si="137"/>
        <v>7.11</v>
      </c>
      <c r="L2222" s="34">
        <f t="shared" si="138"/>
        <v>28.44</v>
      </c>
      <c r="M2222" s="11" t="s">
        <v>5324</v>
      </c>
      <c r="N2222" s="11" t="s">
        <v>5274</v>
      </c>
      <c r="O2222" s="11" t="s">
        <v>5251</v>
      </c>
      <c r="P2222" s="11" t="s">
        <v>5275</v>
      </c>
      <c r="Q2222" s="12">
        <v>88.391999999999996</v>
      </c>
      <c r="R2222" s="12">
        <v>104.648</v>
      </c>
      <c r="S2222" s="12">
        <v>29.21</v>
      </c>
      <c r="T2222" s="13">
        <v>165.89</v>
      </c>
      <c r="U2222" s="13">
        <f t="shared" si="139"/>
        <v>137.44999999999999</v>
      </c>
      <c r="V2222" s="14">
        <v>20321.52</v>
      </c>
      <c r="W2222" s="14">
        <v>20321.52</v>
      </c>
      <c r="X2222" s="11" t="s">
        <v>3722</v>
      </c>
      <c r="Y2222" s="15" t="s">
        <v>3737</v>
      </c>
      <c r="Z2222" s="16">
        <v>19776.52</v>
      </c>
      <c r="AA2222" s="17">
        <v>3628.7</v>
      </c>
      <c r="AB2222" s="18" t="s">
        <v>5325</v>
      </c>
    </row>
    <row r="2223" spans="1:28" x14ac:dyDescent="0.45">
      <c r="A2223" s="2" t="s">
        <v>2911</v>
      </c>
      <c r="B2223" s="2" t="s">
        <v>2912</v>
      </c>
      <c r="C2223" s="2" t="s">
        <v>2797</v>
      </c>
      <c r="D2223" s="2" t="s">
        <v>2798</v>
      </c>
      <c r="E2223" s="2" t="s">
        <v>6</v>
      </c>
      <c r="F2223" s="3">
        <v>90</v>
      </c>
      <c r="G2223" s="3">
        <v>105.1</v>
      </c>
      <c r="H2223" s="2" t="s">
        <v>851</v>
      </c>
      <c r="I2223" s="19">
        <v>515</v>
      </c>
      <c r="J2223" s="34">
        <f t="shared" si="136"/>
        <v>4.4804999999999993</v>
      </c>
      <c r="K2223" s="34">
        <f t="shared" si="137"/>
        <v>6.72</v>
      </c>
      <c r="L2223" s="34">
        <f t="shared" si="138"/>
        <v>26.88</v>
      </c>
      <c r="M2223" s="20" t="s">
        <v>5326</v>
      </c>
      <c r="N2223" s="20" t="s">
        <v>5254</v>
      </c>
      <c r="O2223" s="20" t="s">
        <v>5251</v>
      </c>
      <c r="P2223" s="20" t="s">
        <v>5255</v>
      </c>
      <c r="Q2223" s="21">
        <v>90</v>
      </c>
      <c r="R2223" s="21">
        <v>105</v>
      </c>
      <c r="S2223" s="21">
        <v>9</v>
      </c>
      <c r="T2223" s="22">
        <v>13.13</v>
      </c>
      <c r="U2223" s="13">
        <f t="shared" si="139"/>
        <v>-13.749999999999998</v>
      </c>
      <c r="V2223" s="23">
        <v>1608.43</v>
      </c>
      <c r="W2223" s="23">
        <v>1608.43</v>
      </c>
      <c r="X2223" s="20">
        <v>184</v>
      </c>
      <c r="Y2223" s="24" t="s">
        <v>3713</v>
      </c>
      <c r="Z2223" s="16">
        <v>1093.43</v>
      </c>
      <c r="AA2223" s="17">
        <v>212.3</v>
      </c>
      <c r="AB2223" s="25" t="s">
        <v>5276</v>
      </c>
    </row>
    <row r="2224" spans="1:28" x14ac:dyDescent="0.45">
      <c r="A2224" s="4" t="s">
        <v>2913</v>
      </c>
      <c r="B2224" s="4" t="s">
        <v>2914</v>
      </c>
      <c r="C2224" s="4" t="s">
        <v>2797</v>
      </c>
      <c r="D2224" s="4" t="s">
        <v>2798</v>
      </c>
      <c r="E2224" s="4" t="s">
        <v>6</v>
      </c>
      <c r="F2224" s="5">
        <v>90</v>
      </c>
      <c r="G2224" s="5">
        <v>110.5</v>
      </c>
      <c r="H2224" s="4" t="s">
        <v>876</v>
      </c>
      <c r="I2224" s="10">
        <v>985</v>
      </c>
      <c r="J2224" s="34">
        <f t="shared" si="136"/>
        <v>8.5694999999999997</v>
      </c>
      <c r="K2224" s="34">
        <f t="shared" si="137"/>
        <v>12.85</v>
      </c>
      <c r="L2224" s="34">
        <f t="shared" si="138"/>
        <v>51.4</v>
      </c>
      <c r="M2224" s="11" t="s">
        <v>5327</v>
      </c>
      <c r="N2224" s="11" t="s">
        <v>5230</v>
      </c>
      <c r="O2224" s="11" t="s">
        <v>5231</v>
      </c>
      <c r="P2224" s="11" t="s">
        <v>5232</v>
      </c>
      <c r="Q2224" s="12">
        <v>90</v>
      </c>
      <c r="R2224" s="12">
        <v>110.5</v>
      </c>
      <c r="S2224" s="12">
        <v>8.1</v>
      </c>
      <c r="T2224" s="13">
        <v>27.38</v>
      </c>
      <c r="U2224" s="13">
        <f t="shared" si="139"/>
        <v>-24.02</v>
      </c>
      <c r="V2224" s="14">
        <v>3354.05</v>
      </c>
      <c r="W2224" s="14">
        <v>3354.05</v>
      </c>
      <c r="X2224" s="11">
        <v>184</v>
      </c>
      <c r="Y2224" s="15" t="s">
        <v>3713</v>
      </c>
      <c r="Z2224" s="16">
        <v>2369.0500000000002</v>
      </c>
      <c r="AA2224" s="17">
        <v>240.5</v>
      </c>
      <c r="AB2224" s="18" t="s">
        <v>3714</v>
      </c>
    </row>
    <row r="2225" spans="1:28" x14ac:dyDescent="0.45">
      <c r="A2225" s="2" t="s">
        <v>2915</v>
      </c>
      <c r="B2225" s="2" t="s">
        <v>2916</v>
      </c>
      <c r="C2225" s="2" t="s">
        <v>2797</v>
      </c>
      <c r="D2225" s="2" t="s">
        <v>2798</v>
      </c>
      <c r="E2225" s="2" t="s">
        <v>6</v>
      </c>
      <c r="F2225" s="3">
        <v>95</v>
      </c>
      <c r="G2225" s="3">
        <v>110.1</v>
      </c>
      <c r="H2225" s="2" t="s">
        <v>851</v>
      </c>
      <c r="I2225" s="19">
        <v>560</v>
      </c>
      <c r="J2225" s="34">
        <f t="shared" si="136"/>
        <v>4.8719999999999999</v>
      </c>
      <c r="K2225" s="34">
        <f t="shared" si="137"/>
        <v>7.31</v>
      </c>
      <c r="L2225" s="34">
        <f t="shared" si="138"/>
        <v>29.24</v>
      </c>
      <c r="M2225" s="20" t="s">
        <v>5328</v>
      </c>
      <c r="N2225" s="20" t="s">
        <v>5254</v>
      </c>
      <c r="O2225" s="20" t="s">
        <v>5251</v>
      </c>
      <c r="P2225" s="20" t="s">
        <v>5255</v>
      </c>
      <c r="Q2225" s="21">
        <v>95</v>
      </c>
      <c r="R2225" s="21">
        <v>110</v>
      </c>
      <c r="S2225" s="21">
        <v>9</v>
      </c>
      <c r="T2225" s="22">
        <v>10.83</v>
      </c>
      <c r="U2225" s="13">
        <f t="shared" si="139"/>
        <v>-18.409999999999997</v>
      </c>
      <c r="V2225" s="23">
        <v>1326.68</v>
      </c>
      <c r="W2225" s="23">
        <v>1326.68</v>
      </c>
      <c r="X2225" s="20">
        <v>65</v>
      </c>
      <c r="Y2225" s="24" t="s">
        <v>3713</v>
      </c>
      <c r="Z2225" s="16">
        <v>766.68000000000006</v>
      </c>
      <c r="AA2225" s="17">
        <v>136.9</v>
      </c>
      <c r="AB2225" s="25" t="s">
        <v>5276</v>
      </c>
    </row>
    <row r="2226" spans="1:28" x14ac:dyDescent="0.45">
      <c r="A2226" s="4" t="s">
        <v>2917</v>
      </c>
      <c r="B2226" s="4" t="s">
        <v>2918</v>
      </c>
      <c r="C2226" s="4" t="s">
        <v>2797</v>
      </c>
      <c r="D2226" s="4" t="s">
        <v>2798</v>
      </c>
      <c r="E2226" s="4" t="s">
        <v>6</v>
      </c>
      <c r="F2226" s="5">
        <v>98</v>
      </c>
      <c r="G2226" s="5">
        <v>113.1</v>
      </c>
      <c r="H2226" s="4" t="s">
        <v>851</v>
      </c>
      <c r="I2226" s="10">
        <v>606</v>
      </c>
      <c r="J2226" s="34">
        <f t="shared" si="136"/>
        <v>5.2721999999999998</v>
      </c>
      <c r="K2226" s="34">
        <f t="shared" si="137"/>
        <v>7.91</v>
      </c>
      <c r="L2226" s="34">
        <f t="shared" si="138"/>
        <v>31.64</v>
      </c>
      <c r="M2226" s="11" t="s">
        <v>5329</v>
      </c>
      <c r="N2226" s="11" t="s">
        <v>5310</v>
      </c>
      <c r="O2226" s="11" t="s">
        <v>5270</v>
      </c>
      <c r="P2226" s="11" t="s">
        <v>5311</v>
      </c>
      <c r="Q2226" s="12">
        <v>98</v>
      </c>
      <c r="R2226" s="12">
        <v>112</v>
      </c>
      <c r="S2226" s="12">
        <v>8.5</v>
      </c>
      <c r="T2226" s="13">
        <v>42.6</v>
      </c>
      <c r="U2226" s="13">
        <f t="shared" si="139"/>
        <v>10.96</v>
      </c>
      <c r="V2226" s="14">
        <v>5218.5</v>
      </c>
      <c r="W2226" s="14">
        <v>5218.5</v>
      </c>
      <c r="X2226" s="11">
        <v>23</v>
      </c>
      <c r="Y2226" s="15" t="s">
        <v>3713</v>
      </c>
      <c r="Z2226" s="16">
        <v>4612.5</v>
      </c>
      <c r="AA2226" s="17">
        <v>761.1</v>
      </c>
      <c r="AB2226" s="18" t="s">
        <v>5330</v>
      </c>
    </row>
    <row r="2227" spans="1:28" x14ac:dyDescent="0.45">
      <c r="A2227" s="2" t="s">
        <v>2919</v>
      </c>
      <c r="B2227" s="2" t="s">
        <v>2920</v>
      </c>
      <c r="C2227" s="2" t="s">
        <v>2797</v>
      </c>
      <c r="D2227" s="2" t="s">
        <v>2798</v>
      </c>
      <c r="E2227" s="2" t="s">
        <v>6</v>
      </c>
      <c r="F2227" s="3">
        <v>100</v>
      </c>
      <c r="G2227" s="3">
        <v>115.1</v>
      </c>
      <c r="H2227" s="2" t="s">
        <v>851</v>
      </c>
      <c r="I2227" s="19">
        <v>569</v>
      </c>
      <c r="J2227" s="34">
        <f t="shared" si="136"/>
        <v>4.9502999999999995</v>
      </c>
      <c r="K2227" s="34">
        <f t="shared" si="137"/>
        <v>7.43</v>
      </c>
      <c r="L2227" s="34">
        <f t="shared" si="138"/>
        <v>29.72</v>
      </c>
      <c r="M2227" s="20" t="s">
        <v>5331</v>
      </c>
      <c r="N2227" s="20" t="s">
        <v>5254</v>
      </c>
      <c r="O2227" s="20" t="s">
        <v>5251</v>
      </c>
      <c r="P2227" s="20" t="s">
        <v>5255</v>
      </c>
      <c r="Q2227" s="21">
        <v>100</v>
      </c>
      <c r="R2227" s="21">
        <v>115</v>
      </c>
      <c r="S2227" s="21">
        <v>9</v>
      </c>
      <c r="T2227" s="22">
        <v>12.56</v>
      </c>
      <c r="U2227" s="13">
        <f t="shared" si="139"/>
        <v>-17.159999999999997</v>
      </c>
      <c r="V2227" s="23">
        <v>1538.6</v>
      </c>
      <c r="W2227" s="23">
        <v>1538.6</v>
      </c>
      <c r="X2227" s="20">
        <v>255</v>
      </c>
      <c r="Y2227" s="24" t="s">
        <v>3713</v>
      </c>
      <c r="Z2227" s="16">
        <v>969.59999999999991</v>
      </c>
      <c r="AA2227" s="17">
        <v>170.4</v>
      </c>
      <c r="AB2227" s="25" t="s">
        <v>5276</v>
      </c>
    </row>
    <row r="2228" spans="1:28" x14ac:dyDescent="0.45">
      <c r="A2228" s="4" t="s">
        <v>2921</v>
      </c>
      <c r="B2228" s="4" t="s">
        <v>2922</v>
      </c>
      <c r="C2228" s="4" t="s">
        <v>2797</v>
      </c>
      <c r="D2228" s="4" t="s">
        <v>2798</v>
      </c>
      <c r="E2228" s="4" t="s">
        <v>6</v>
      </c>
      <c r="F2228" s="5">
        <v>100</v>
      </c>
      <c r="G2228" s="5">
        <v>120.5</v>
      </c>
      <c r="H2228" s="4" t="s">
        <v>876</v>
      </c>
      <c r="I2228" s="10">
        <v>1060</v>
      </c>
      <c r="J2228" s="34">
        <f t="shared" si="136"/>
        <v>9.2219999999999995</v>
      </c>
      <c r="K2228" s="34">
        <f t="shared" si="137"/>
        <v>13.83</v>
      </c>
      <c r="L2228" s="34">
        <f t="shared" si="138"/>
        <v>55.32</v>
      </c>
      <c r="M2228" s="11" t="s">
        <v>5332</v>
      </c>
      <c r="N2228" s="11" t="s">
        <v>5230</v>
      </c>
      <c r="O2228" s="11" t="s">
        <v>5231</v>
      </c>
      <c r="P2228" s="11" t="s">
        <v>5232</v>
      </c>
      <c r="Q2228" s="12">
        <v>100</v>
      </c>
      <c r="R2228" s="12">
        <v>120.5</v>
      </c>
      <c r="S2228" s="12">
        <v>8.1</v>
      </c>
      <c r="T2228" s="13">
        <v>36.200000000000003</v>
      </c>
      <c r="U2228" s="13">
        <f t="shared" si="139"/>
        <v>-19.119999999999997</v>
      </c>
      <c r="V2228" s="14">
        <v>4434.5</v>
      </c>
      <c r="W2228" s="14">
        <v>4434.5</v>
      </c>
      <c r="X2228" s="11">
        <v>233</v>
      </c>
      <c r="Y2228" s="15" t="s">
        <v>3713</v>
      </c>
      <c r="Z2228" s="16">
        <v>3374.5</v>
      </c>
      <c r="AA2228" s="17">
        <v>318.3</v>
      </c>
      <c r="AB2228" s="18" t="s">
        <v>3714</v>
      </c>
    </row>
    <row r="2229" spans="1:28" x14ac:dyDescent="0.45">
      <c r="A2229" s="2" t="s">
        <v>2923</v>
      </c>
      <c r="B2229" s="2" t="s">
        <v>2924</v>
      </c>
      <c r="C2229" s="2" t="s">
        <v>2797</v>
      </c>
      <c r="D2229" s="2" t="s">
        <v>2798</v>
      </c>
      <c r="E2229" s="2" t="s">
        <v>6</v>
      </c>
      <c r="F2229" s="3">
        <v>105</v>
      </c>
      <c r="G2229" s="3">
        <v>120.1</v>
      </c>
      <c r="H2229" s="2" t="s">
        <v>851</v>
      </c>
      <c r="I2229" s="19">
        <v>599</v>
      </c>
      <c r="J2229" s="34">
        <f t="shared" si="136"/>
        <v>5.2112999999999996</v>
      </c>
      <c r="K2229" s="34">
        <f t="shared" si="137"/>
        <v>7.82</v>
      </c>
      <c r="L2229" s="34">
        <f t="shared" si="138"/>
        <v>31.28</v>
      </c>
      <c r="M2229" s="20" t="s">
        <v>5333</v>
      </c>
      <c r="N2229" s="20" t="s">
        <v>5301</v>
      </c>
      <c r="O2229" s="20" t="s">
        <v>5251</v>
      </c>
      <c r="P2229" s="20" t="s">
        <v>5302</v>
      </c>
      <c r="Q2229" s="21">
        <v>105</v>
      </c>
      <c r="R2229" s="21">
        <v>120</v>
      </c>
      <c r="S2229" s="21">
        <v>13</v>
      </c>
      <c r="T2229" s="22">
        <v>60.8</v>
      </c>
      <c r="U2229" s="13">
        <f t="shared" si="139"/>
        <v>29.519999999999996</v>
      </c>
      <c r="V2229" s="23">
        <v>7448</v>
      </c>
      <c r="W2229" s="23">
        <v>7448</v>
      </c>
      <c r="X2229" s="20">
        <v>6</v>
      </c>
      <c r="Y2229" s="24" t="s">
        <v>3713</v>
      </c>
      <c r="Z2229" s="16">
        <v>6849</v>
      </c>
      <c r="AA2229" s="17">
        <v>1143.4000000000001</v>
      </c>
      <c r="AB2229" s="25" t="s">
        <v>5276</v>
      </c>
    </row>
    <row r="2230" spans="1:28" x14ac:dyDescent="0.45">
      <c r="A2230" s="4" t="s">
        <v>2925</v>
      </c>
      <c r="B2230" s="4" t="s">
        <v>2926</v>
      </c>
      <c r="C2230" s="4" t="s">
        <v>2797</v>
      </c>
      <c r="D2230" s="4" t="s">
        <v>2798</v>
      </c>
      <c r="E2230" s="4" t="s">
        <v>6</v>
      </c>
      <c r="F2230" s="5">
        <v>105</v>
      </c>
      <c r="G2230" s="5">
        <v>125.5</v>
      </c>
      <c r="H2230" s="4" t="s">
        <v>876</v>
      </c>
      <c r="I2230" s="10">
        <v>1136</v>
      </c>
      <c r="J2230" s="34">
        <f t="shared" si="136"/>
        <v>9.8831999999999987</v>
      </c>
      <c r="K2230" s="34">
        <f t="shared" si="137"/>
        <v>14.82</v>
      </c>
      <c r="L2230" s="34">
        <f t="shared" si="138"/>
        <v>59.28</v>
      </c>
      <c r="M2230" s="11" t="s">
        <v>5334</v>
      </c>
      <c r="N2230" s="11" t="s">
        <v>5230</v>
      </c>
      <c r="O2230" s="11" t="s">
        <v>5231</v>
      </c>
      <c r="P2230" s="11" t="s">
        <v>5232</v>
      </c>
      <c r="Q2230" s="12">
        <v>105</v>
      </c>
      <c r="R2230" s="12">
        <v>125.5</v>
      </c>
      <c r="S2230" s="12">
        <v>8.1</v>
      </c>
      <c r="T2230" s="13">
        <v>38.01</v>
      </c>
      <c r="U2230" s="13">
        <f t="shared" si="139"/>
        <v>-21.270000000000003</v>
      </c>
      <c r="V2230" s="14">
        <v>4656.22</v>
      </c>
      <c r="W2230" s="14">
        <v>4656.22</v>
      </c>
      <c r="X2230" s="11">
        <v>156</v>
      </c>
      <c r="Y2230" s="15" t="s">
        <v>3713</v>
      </c>
      <c r="Z2230" s="16">
        <v>3520.22</v>
      </c>
      <c r="AA2230" s="17">
        <v>309.89999999999998</v>
      </c>
      <c r="AB2230" s="18" t="s">
        <v>3714</v>
      </c>
    </row>
    <row r="2231" spans="1:28" x14ac:dyDescent="0.45">
      <c r="A2231" s="2" t="s">
        <v>2927</v>
      </c>
      <c r="B2231" s="2" t="s">
        <v>2928</v>
      </c>
      <c r="C2231" s="2" t="s">
        <v>2797</v>
      </c>
      <c r="D2231" s="2" t="s">
        <v>2798</v>
      </c>
      <c r="E2231" s="2" t="s">
        <v>6</v>
      </c>
      <c r="F2231" s="3">
        <v>110</v>
      </c>
      <c r="G2231" s="3">
        <v>125.1</v>
      </c>
      <c r="H2231" s="2" t="s">
        <v>851</v>
      </c>
      <c r="I2231" s="19">
        <v>645</v>
      </c>
      <c r="J2231" s="34">
        <f t="shared" si="136"/>
        <v>5.6114999999999995</v>
      </c>
      <c r="K2231" s="34">
        <f t="shared" si="137"/>
        <v>8.42</v>
      </c>
      <c r="L2231" s="34">
        <f t="shared" si="138"/>
        <v>33.68</v>
      </c>
      <c r="M2231" s="20" t="s">
        <v>5335</v>
      </c>
      <c r="N2231" s="20" t="s">
        <v>5336</v>
      </c>
      <c r="O2231" s="20" t="s">
        <v>5251</v>
      </c>
      <c r="P2231" s="20" t="s">
        <v>5337</v>
      </c>
      <c r="Q2231" s="21">
        <v>110</v>
      </c>
      <c r="R2231" s="21">
        <v>125</v>
      </c>
      <c r="S2231" s="21">
        <v>30</v>
      </c>
      <c r="T2231" s="22">
        <v>150.56</v>
      </c>
      <c r="U2231" s="13">
        <f t="shared" si="139"/>
        <v>116.88</v>
      </c>
      <c r="V2231" s="23">
        <v>18443.599999999999</v>
      </c>
      <c r="W2231" s="23">
        <v>18443.599999999999</v>
      </c>
      <c r="X2231" s="20" t="s">
        <v>3722</v>
      </c>
      <c r="Y2231" s="24" t="s">
        <v>3713</v>
      </c>
      <c r="Z2231" s="16">
        <v>17798.599999999999</v>
      </c>
      <c r="AA2231" s="17">
        <v>2759.5</v>
      </c>
      <c r="AB2231" s="25" t="s">
        <v>5276</v>
      </c>
    </row>
    <row r="2232" spans="1:28" x14ac:dyDescent="0.45">
      <c r="A2232" s="4" t="s">
        <v>2929</v>
      </c>
      <c r="B2232" s="4" t="s">
        <v>2930</v>
      </c>
      <c r="C2232" s="4" t="s">
        <v>2797</v>
      </c>
      <c r="D2232" s="4" t="s">
        <v>2798</v>
      </c>
      <c r="E2232" s="4" t="s">
        <v>6</v>
      </c>
      <c r="F2232" s="5">
        <v>110</v>
      </c>
      <c r="G2232" s="5">
        <v>130.5</v>
      </c>
      <c r="H2232" s="4" t="s">
        <v>876</v>
      </c>
      <c r="I2232" s="10">
        <v>1136</v>
      </c>
      <c r="J2232" s="34">
        <f t="shared" si="136"/>
        <v>9.8831999999999987</v>
      </c>
      <c r="K2232" s="34">
        <f t="shared" si="137"/>
        <v>14.82</v>
      </c>
      <c r="L2232" s="34">
        <f t="shared" si="138"/>
        <v>59.28</v>
      </c>
      <c r="M2232" s="11" t="s">
        <v>5338</v>
      </c>
      <c r="N2232" s="11" t="s">
        <v>5274</v>
      </c>
      <c r="O2232" s="11" t="s">
        <v>5251</v>
      </c>
      <c r="P2232" s="11" t="s">
        <v>5275</v>
      </c>
      <c r="Q2232" s="12">
        <v>110</v>
      </c>
      <c r="R2232" s="12">
        <v>130</v>
      </c>
      <c r="S2232" s="12">
        <v>30</v>
      </c>
      <c r="T2232" s="13">
        <v>57.97</v>
      </c>
      <c r="U2232" s="13">
        <f t="shared" si="139"/>
        <v>-1.3100000000000023</v>
      </c>
      <c r="V2232" s="14">
        <v>7101.32</v>
      </c>
      <c r="W2232" s="14">
        <v>7101.32</v>
      </c>
      <c r="X2232" s="11">
        <v>3</v>
      </c>
      <c r="Y2232" s="15" t="s">
        <v>3713</v>
      </c>
      <c r="Z2232" s="16">
        <v>5965.32</v>
      </c>
      <c r="AA2232" s="17">
        <v>525.1</v>
      </c>
      <c r="AB2232" s="18" t="s">
        <v>3813</v>
      </c>
    </row>
    <row r="2233" spans="1:28" x14ac:dyDescent="0.45">
      <c r="A2233" s="2" t="s">
        <v>2931</v>
      </c>
      <c r="B2233" s="2" t="s">
        <v>2932</v>
      </c>
      <c r="C2233" s="2" t="s">
        <v>2797</v>
      </c>
      <c r="D2233" s="2" t="s">
        <v>2798</v>
      </c>
      <c r="E2233" s="2" t="s">
        <v>6</v>
      </c>
      <c r="F2233" s="3">
        <v>115</v>
      </c>
      <c r="G2233" s="3">
        <v>130.1</v>
      </c>
      <c r="H2233" s="2" t="s">
        <v>851</v>
      </c>
      <c r="I2233" s="19">
        <v>675</v>
      </c>
      <c r="J2233" s="34">
        <f t="shared" si="136"/>
        <v>5.8724999999999996</v>
      </c>
      <c r="K2233" s="34">
        <f t="shared" si="137"/>
        <v>8.81</v>
      </c>
      <c r="L2233" s="34">
        <f t="shared" si="138"/>
        <v>35.24</v>
      </c>
      <c r="M2233" s="20" t="s">
        <v>5339</v>
      </c>
      <c r="N2233" s="20" t="s">
        <v>5254</v>
      </c>
      <c r="O2233" s="20" t="s">
        <v>5251</v>
      </c>
      <c r="P2233" s="20" t="s">
        <v>5255</v>
      </c>
      <c r="Q2233" s="21">
        <v>115</v>
      </c>
      <c r="R2233" s="21">
        <v>130</v>
      </c>
      <c r="S2233" s="21">
        <v>9</v>
      </c>
      <c r="T2233" s="22">
        <v>23.63</v>
      </c>
      <c r="U2233" s="13">
        <f t="shared" si="139"/>
        <v>-11.610000000000003</v>
      </c>
      <c r="V2233" s="23">
        <v>2894.68</v>
      </c>
      <c r="W2233" s="23">
        <v>2894.68</v>
      </c>
      <c r="X2233" s="20">
        <v>28</v>
      </c>
      <c r="Y2233" s="24" t="s">
        <v>3713</v>
      </c>
      <c r="Z2233" s="16">
        <v>2219.6799999999998</v>
      </c>
      <c r="AA2233" s="17">
        <v>328.8</v>
      </c>
      <c r="AB2233" s="25" t="s">
        <v>5276</v>
      </c>
    </row>
    <row r="2234" spans="1:28" x14ac:dyDescent="0.45">
      <c r="A2234" s="4" t="s">
        <v>2933</v>
      </c>
      <c r="B2234" s="4" t="s">
        <v>2934</v>
      </c>
      <c r="C2234" s="4" t="s">
        <v>2797</v>
      </c>
      <c r="D2234" s="4" t="s">
        <v>2798</v>
      </c>
      <c r="E2234" s="4" t="s">
        <v>6</v>
      </c>
      <c r="F2234" s="5">
        <v>115</v>
      </c>
      <c r="G2234" s="5">
        <v>135.5</v>
      </c>
      <c r="H2234" s="4" t="s">
        <v>876</v>
      </c>
      <c r="I2234" s="10">
        <v>1212</v>
      </c>
      <c r="J2234" s="34">
        <f t="shared" si="136"/>
        <v>10.5444</v>
      </c>
      <c r="K2234" s="34">
        <f t="shared" si="137"/>
        <v>15.82</v>
      </c>
      <c r="L2234" s="34">
        <f t="shared" si="138"/>
        <v>63.28</v>
      </c>
      <c r="M2234" s="11" t="s">
        <v>5340</v>
      </c>
      <c r="N2234" s="11" t="s">
        <v>5301</v>
      </c>
      <c r="O2234" s="11" t="s">
        <v>5251</v>
      </c>
      <c r="P2234" s="11" t="s">
        <v>5302</v>
      </c>
      <c r="Q2234" s="12">
        <v>115</v>
      </c>
      <c r="R2234" s="12">
        <v>135</v>
      </c>
      <c r="S2234" s="12">
        <v>14.6</v>
      </c>
      <c r="T2234" s="13">
        <v>76.08</v>
      </c>
      <c r="U2234" s="13">
        <f t="shared" si="139"/>
        <v>12.799999999999997</v>
      </c>
      <c r="V2234" s="14">
        <v>9319.7999999999993</v>
      </c>
      <c r="W2234" s="14">
        <v>9319.7999999999993</v>
      </c>
      <c r="X2234" s="11">
        <v>1</v>
      </c>
      <c r="Y2234" s="15" t="s">
        <v>3713</v>
      </c>
      <c r="Z2234" s="16">
        <v>8107.7999999999993</v>
      </c>
      <c r="AA2234" s="17">
        <v>669</v>
      </c>
      <c r="AB2234" s="18" t="s">
        <v>3813</v>
      </c>
    </row>
    <row r="2235" spans="1:28" x14ac:dyDescent="0.45">
      <c r="A2235" s="2" t="s">
        <v>2935</v>
      </c>
      <c r="B2235" s="2" t="s">
        <v>2936</v>
      </c>
      <c r="C2235" s="2" t="s">
        <v>2797</v>
      </c>
      <c r="D2235" s="2" t="s">
        <v>2798</v>
      </c>
      <c r="E2235" s="2" t="s">
        <v>6</v>
      </c>
      <c r="F2235" s="3">
        <v>118</v>
      </c>
      <c r="G2235" s="3">
        <v>133.1</v>
      </c>
      <c r="H2235" s="2" t="s">
        <v>851</v>
      </c>
      <c r="I2235" s="19">
        <v>720</v>
      </c>
      <c r="J2235" s="34">
        <f t="shared" si="136"/>
        <v>6.2639999999999993</v>
      </c>
      <c r="K2235" s="34">
        <f t="shared" si="137"/>
        <v>9.4</v>
      </c>
      <c r="L2235" s="34">
        <f t="shared" si="138"/>
        <v>37.6</v>
      </c>
      <c r="M2235" s="20" t="s">
        <v>5341</v>
      </c>
      <c r="N2235" s="20" t="s">
        <v>5310</v>
      </c>
      <c r="O2235" s="20" t="s">
        <v>5270</v>
      </c>
      <c r="P2235" s="20" t="s">
        <v>5311</v>
      </c>
      <c r="Q2235" s="21">
        <v>118</v>
      </c>
      <c r="R2235" s="21">
        <v>133</v>
      </c>
      <c r="S2235" s="21">
        <v>9</v>
      </c>
      <c r="T2235" s="22">
        <v>24.35</v>
      </c>
      <c r="U2235" s="13">
        <f t="shared" si="139"/>
        <v>-13.25</v>
      </c>
      <c r="V2235" s="23">
        <v>2982.88</v>
      </c>
      <c r="W2235" s="23">
        <v>2982.88</v>
      </c>
      <c r="X2235" s="20">
        <v>5</v>
      </c>
      <c r="Y2235" s="24" t="s">
        <v>3713</v>
      </c>
      <c r="Z2235" s="16">
        <v>2262.88</v>
      </c>
      <c r="AA2235" s="17">
        <v>314.3</v>
      </c>
      <c r="AB2235" s="25" t="s">
        <v>5276</v>
      </c>
    </row>
    <row r="2236" spans="1:28" x14ac:dyDescent="0.45">
      <c r="A2236" s="4" t="s">
        <v>2937</v>
      </c>
      <c r="B2236" s="4" t="s">
        <v>2938</v>
      </c>
      <c r="C2236" s="4" t="s">
        <v>2797</v>
      </c>
      <c r="D2236" s="4" t="s">
        <v>2798</v>
      </c>
      <c r="E2236" s="4" t="s">
        <v>6</v>
      </c>
      <c r="F2236" s="5">
        <v>120</v>
      </c>
      <c r="G2236" s="5">
        <v>135.1</v>
      </c>
      <c r="H2236" s="4" t="s">
        <v>851</v>
      </c>
      <c r="I2236" s="10">
        <v>697</v>
      </c>
      <c r="J2236" s="34">
        <f t="shared" si="136"/>
        <v>6.0638999999999994</v>
      </c>
      <c r="K2236" s="34">
        <f t="shared" si="137"/>
        <v>9.1</v>
      </c>
      <c r="L2236" s="34">
        <f t="shared" si="138"/>
        <v>36.4</v>
      </c>
      <c r="M2236" s="11" t="s">
        <v>5342</v>
      </c>
      <c r="N2236" s="11" t="s">
        <v>5254</v>
      </c>
      <c r="O2236" s="11" t="s">
        <v>5251</v>
      </c>
      <c r="P2236" s="11" t="s">
        <v>5255</v>
      </c>
      <c r="Q2236" s="12">
        <v>120</v>
      </c>
      <c r="R2236" s="12">
        <v>135</v>
      </c>
      <c r="S2236" s="12">
        <v>9</v>
      </c>
      <c r="T2236" s="13">
        <v>15.25</v>
      </c>
      <c r="U2236" s="13">
        <f t="shared" si="139"/>
        <v>-21.15</v>
      </c>
      <c r="V2236" s="14">
        <v>1868.12</v>
      </c>
      <c r="W2236" s="14">
        <v>1868.12</v>
      </c>
      <c r="X2236" s="11">
        <v>13</v>
      </c>
      <c r="Y2236" s="15" t="s">
        <v>3713</v>
      </c>
      <c r="Z2236" s="16">
        <v>1171.1199999999999</v>
      </c>
      <c r="AA2236" s="17">
        <v>168</v>
      </c>
      <c r="AB2236" s="18" t="s">
        <v>5276</v>
      </c>
    </row>
    <row r="2237" spans="1:28" x14ac:dyDescent="0.45">
      <c r="A2237" s="2" t="s">
        <v>2939</v>
      </c>
      <c r="B2237" s="2" t="s">
        <v>2940</v>
      </c>
      <c r="C2237" s="2" t="s">
        <v>2797</v>
      </c>
      <c r="D2237" s="2" t="s">
        <v>2798</v>
      </c>
      <c r="E2237" s="2" t="s">
        <v>6</v>
      </c>
      <c r="F2237" s="3">
        <v>120</v>
      </c>
      <c r="G2237" s="3">
        <v>140.5</v>
      </c>
      <c r="H2237" s="2" t="s">
        <v>876</v>
      </c>
      <c r="I2237" s="19">
        <v>1212</v>
      </c>
      <c r="J2237" s="34">
        <f t="shared" si="136"/>
        <v>10.5444</v>
      </c>
      <c r="K2237" s="34">
        <f t="shared" si="137"/>
        <v>15.82</v>
      </c>
      <c r="L2237" s="34">
        <f t="shared" si="138"/>
        <v>63.28</v>
      </c>
      <c r="M2237" s="20" t="s">
        <v>5343</v>
      </c>
      <c r="N2237" s="20" t="s">
        <v>5297</v>
      </c>
      <c r="O2237" s="20" t="s">
        <v>5251</v>
      </c>
      <c r="P2237" s="20" t="s">
        <v>5298</v>
      </c>
      <c r="Q2237" s="21">
        <v>120</v>
      </c>
      <c r="R2237" s="21">
        <v>140</v>
      </c>
      <c r="S2237" s="21">
        <v>30</v>
      </c>
      <c r="T2237" s="22">
        <v>125</v>
      </c>
      <c r="U2237" s="13">
        <f t="shared" si="139"/>
        <v>61.72</v>
      </c>
      <c r="V2237" s="23">
        <v>15312.5</v>
      </c>
      <c r="W2237" s="23">
        <v>15312.5</v>
      </c>
      <c r="X2237" s="20">
        <v>4</v>
      </c>
      <c r="Y2237" s="24" t="s">
        <v>3713</v>
      </c>
      <c r="Z2237" s="16">
        <v>14100.5</v>
      </c>
      <c r="AA2237" s="17">
        <v>1163.4000000000001</v>
      </c>
      <c r="AB2237" s="25" t="s">
        <v>3813</v>
      </c>
    </row>
    <row r="2238" spans="1:28" x14ac:dyDescent="0.45">
      <c r="A2238" s="4" t="s">
        <v>2941</v>
      </c>
      <c r="B2238" s="4" t="s">
        <v>2942</v>
      </c>
      <c r="C2238" s="4" t="s">
        <v>2797</v>
      </c>
      <c r="D2238" s="4" t="s">
        <v>2798</v>
      </c>
      <c r="E2238" s="4" t="s">
        <v>6</v>
      </c>
      <c r="F2238" s="5">
        <v>125</v>
      </c>
      <c r="G2238" s="5">
        <v>140.1</v>
      </c>
      <c r="H2238" s="4" t="s">
        <v>851</v>
      </c>
      <c r="I2238" s="10">
        <v>712</v>
      </c>
      <c r="J2238" s="34">
        <f t="shared" si="136"/>
        <v>6.1943999999999999</v>
      </c>
      <c r="K2238" s="34">
        <f t="shared" si="137"/>
        <v>9.2899999999999991</v>
      </c>
      <c r="L2238" s="34">
        <f t="shared" si="138"/>
        <v>37.159999999999997</v>
      </c>
      <c r="M2238" s="11" t="s">
        <v>5344</v>
      </c>
      <c r="N2238" s="11" t="s">
        <v>5274</v>
      </c>
      <c r="O2238" s="11" t="s">
        <v>5251</v>
      </c>
      <c r="P2238" s="11" t="s">
        <v>5275</v>
      </c>
      <c r="Q2238" s="12">
        <v>125</v>
      </c>
      <c r="R2238" s="12">
        <v>140</v>
      </c>
      <c r="S2238" s="12">
        <v>27.5</v>
      </c>
      <c r="T2238" s="13">
        <v>129.24</v>
      </c>
      <c r="U2238" s="13">
        <f t="shared" si="139"/>
        <v>92.080000000000013</v>
      </c>
      <c r="V2238" s="14">
        <v>15831.9</v>
      </c>
      <c r="W2238" s="14">
        <v>15831.9</v>
      </c>
      <c r="X2238" s="11" t="s">
        <v>3722</v>
      </c>
      <c r="Y2238" s="15" t="s">
        <v>3713</v>
      </c>
      <c r="Z2238" s="16">
        <v>15119.9</v>
      </c>
      <c r="AA2238" s="17">
        <v>2123.6</v>
      </c>
      <c r="AB2238" s="18" t="s">
        <v>5276</v>
      </c>
    </row>
    <row r="2239" spans="1:28" x14ac:dyDescent="0.45">
      <c r="A2239" s="2" t="s">
        <v>2943</v>
      </c>
      <c r="B2239" s="2" t="s">
        <v>2944</v>
      </c>
      <c r="C2239" s="2" t="s">
        <v>2797</v>
      </c>
      <c r="D2239" s="2" t="s">
        <v>2798</v>
      </c>
      <c r="E2239" s="2" t="s">
        <v>6</v>
      </c>
      <c r="F2239" s="3">
        <v>125</v>
      </c>
      <c r="G2239" s="3">
        <v>145.5</v>
      </c>
      <c r="H2239" s="2" t="s">
        <v>876</v>
      </c>
      <c r="I2239" s="19">
        <v>1287</v>
      </c>
      <c r="J2239" s="34">
        <f t="shared" si="136"/>
        <v>11.196899999999999</v>
      </c>
      <c r="K2239" s="34">
        <f t="shared" si="137"/>
        <v>16.8</v>
      </c>
      <c r="L2239" s="34">
        <f t="shared" si="138"/>
        <v>67.2</v>
      </c>
      <c r="M2239" s="20" t="s">
        <v>5345</v>
      </c>
      <c r="N2239" s="20" t="s">
        <v>5230</v>
      </c>
      <c r="O2239" s="20" t="s">
        <v>5231</v>
      </c>
      <c r="P2239" s="20" t="s">
        <v>5232</v>
      </c>
      <c r="Q2239" s="21">
        <v>125</v>
      </c>
      <c r="R2239" s="21">
        <v>145.5</v>
      </c>
      <c r="S2239" s="21">
        <v>8.1</v>
      </c>
      <c r="T2239" s="22">
        <v>47.62</v>
      </c>
      <c r="U2239" s="13">
        <f t="shared" si="139"/>
        <v>-19.580000000000005</v>
      </c>
      <c r="V2239" s="23">
        <v>5833.45</v>
      </c>
      <c r="W2239" s="23">
        <v>5833.45</v>
      </c>
      <c r="X2239" s="20">
        <v>57</v>
      </c>
      <c r="Y2239" s="24" t="s">
        <v>3713</v>
      </c>
      <c r="Z2239" s="16">
        <v>4546.45</v>
      </c>
      <c r="AA2239" s="17">
        <v>353.3</v>
      </c>
      <c r="AB2239" s="25" t="s">
        <v>3714</v>
      </c>
    </row>
    <row r="2240" spans="1:28" x14ac:dyDescent="0.45">
      <c r="A2240" s="4" t="s">
        <v>2945</v>
      </c>
      <c r="B2240" s="4" t="s">
        <v>2946</v>
      </c>
      <c r="C2240" s="4" t="s">
        <v>2797</v>
      </c>
      <c r="D2240" s="4" t="s">
        <v>2798</v>
      </c>
      <c r="E2240" s="4" t="s">
        <v>6</v>
      </c>
      <c r="F2240" s="5">
        <v>130</v>
      </c>
      <c r="G2240" s="5">
        <v>145.1</v>
      </c>
      <c r="H2240" s="4" t="s">
        <v>851</v>
      </c>
      <c r="I2240" s="10">
        <v>757</v>
      </c>
      <c r="J2240" s="34">
        <f t="shared" si="136"/>
        <v>6.5858999999999996</v>
      </c>
      <c r="K2240" s="34">
        <f t="shared" si="137"/>
        <v>9.8800000000000008</v>
      </c>
      <c r="L2240" s="34">
        <f t="shared" si="138"/>
        <v>39.520000000000003</v>
      </c>
      <c r="M2240" s="11" t="s">
        <v>5346</v>
      </c>
      <c r="N2240" s="11" t="s">
        <v>5254</v>
      </c>
      <c r="O2240" s="11" t="s">
        <v>5251</v>
      </c>
      <c r="P2240" s="11" t="s">
        <v>5255</v>
      </c>
      <c r="Q2240" s="12">
        <v>130</v>
      </c>
      <c r="R2240" s="12">
        <v>145</v>
      </c>
      <c r="S2240" s="12">
        <v>9</v>
      </c>
      <c r="T2240" s="13">
        <v>39.200000000000003</v>
      </c>
      <c r="U2240" s="13">
        <f t="shared" si="139"/>
        <v>-0.32000000000000028</v>
      </c>
      <c r="V2240" s="14">
        <v>4802</v>
      </c>
      <c r="W2240" s="14">
        <v>4802</v>
      </c>
      <c r="X2240" s="11">
        <v>2</v>
      </c>
      <c r="Y2240" s="15" t="s">
        <v>3713</v>
      </c>
      <c r="Z2240" s="16">
        <v>4045</v>
      </c>
      <c r="AA2240" s="17">
        <v>534.29999999999995</v>
      </c>
      <c r="AB2240" s="18" t="s">
        <v>5276</v>
      </c>
    </row>
    <row r="2241" spans="1:28" x14ac:dyDescent="0.45">
      <c r="A2241" s="2" t="s">
        <v>2947</v>
      </c>
      <c r="B2241" s="2" t="s">
        <v>2948</v>
      </c>
      <c r="C2241" s="2" t="s">
        <v>2797</v>
      </c>
      <c r="D2241" s="2" t="s">
        <v>2798</v>
      </c>
      <c r="E2241" s="2" t="s">
        <v>6</v>
      </c>
      <c r="F2241" s="3">
        <v>135</v>
      </c>
      <c r="G2241" s="3">
        <v>150.1</v>
      </c>
      <c r="H2241" s="2" t="s">
        <v>851</v>
      </c>
      <c r="I2241" s="19">
        <v>833</v>
      </c>
      <c r="J2241" s="34">
        <f t="shared" si="136"/>
        <v>7.2470999999999997</v>
      </c>
      <c r="K2241" s="34">
        <f t="shared" si="137"/>
        <v>10.87</v>
      </c>
      <c r="L2241" s="34">
        <f t="shared" si="138"/>
        <v>43.48</v>
      </c>
      <c r="M2241" s="20" t="s">
        <v>5347</v>
      </c>
      <c r="N2241" s="20" t="s">
        <v>5310</v>
      </c>
      <c r="O2241" s="20" t="s">
        <v>5270</v>
      </c>
      <c r="P2241" s="20" t="s">
        <v>5311</v>
      </c>
      <c r="Q2241" s="21">
        <v>135</v>
      </c>
      <c r="R2241" s="21">
        <v>150</v>
      </c>
      <c r="S2241" s="21">
        <v>9</v>
      </c>
      <c r="T2241" s="22">
        <v>10.02</v>
      </c>
      <c r="U2241" s="13">
        <f t="shared" si="139"/>
        <v>-33.459999999999994</v>
      </c>
      <c r="V2241" s="23">
        <v>1227.45</v>
      </c>
      <c r="W2241" s="23">
        <v>1227.45</v>
      </c>
      <c r="X2241" s="20">
        <v>10</v>
      </c>
      <c r="Y2241" s="24" t="s">
        <v>3713</v>
      </c>
      <c r="Z2241" s="16">
        <v>394.45</v>
      </c>
      <c r="AA2241" s="17">
        <v>47.4</v>
      </c>
      <c r="AB2241" s="25" t="s">
        <v>5276</v>
      </c>
    </row>
    <row r="2242" spans="1:28" x14ac:dyDescent="0.45">
      <c r="A2242" s="4" t="s">
        <v>2949</v>
      </c>
      <c r="B2242" s="4" t="s">
        <v>2950</v>
      </c>
      <c r="C2242" s="4" t="s">
        <v>2797</v>
      </c>
      <c r="D2242" s="4" t="s">
        <v>2798</v>
      </c>
      <c r="E2242" s="4" t="s">
        <v>6</v>
      </c>
      <c r="F2242" s="5">
        <v>135</v>
      </c>
      <c r="G2242" s="5">
        <v>155.5</v>
      </c>
      <c r="H2242" s="4" t="s">
        <v>876</v>
      </c>
      <c r="I2242" s="10">
        <v>1363</v>
      </c>
      <c r="J2242" s="34">
        <f t="shared" si="136"/>
        <v>11.858099999999999</v>
      </c>
      <c r="K2242" s="34">
        <f t="shared" si="137"/>
        <v>17.79</v>
      </c>
      <c r="L2242" s="34">
        <f t="shared" si="138"/>
        <v>71.16</v>
      </c>
      <c r="M2242" s="11" t="s">
        <v>5348</v>
      </c>
      <c r="N2242" s="11" t="s">
        <v>5349</v>
      </c>
      <c r="O2242" s="11" t="s">
        <v>5270</v>
      </c>
      <c r="P2242" s="11" t="s">
        <v>5350</v>
      </c>
      <c r="Q2242" s="12">
        <v>135</v>
      </c>
      <c r="R2242" s="12">
        <v>155</v>
      </c>
      <c r="S2242" s="12">
        <v>16</v>
      </c>
      <c r="T2242" s="13">
        <v>67</v>
      </c>
      <c r="U2242" s="13">
        <f t="shared" si="139"/>
        <v>-4.1599999999999966</v>
      </c>
      <c r="V2242" s="14">
        <v>8207.5</v>
      </c>
      <c r="W2242" s="14">
        <v>8207.5</v>
      </c>
      <c r="X2242" s="11">
        <v>3</v>
      </c>
      <c r="Y2242" s="15" t="s">
        <v>3713</v>
      </c>
      <c r="Z2242" s="16">
        <v>6844.5</v>
      </c>
      <c r="AA2242" s="17">
        <v>502.2</v>
      </c>
      <c r="AB2242" s="18" t="s">
        <v>3813</v>
      </c>
    </row>
    <row r="2243" spans="1:28" x14ac:dyDescent="0.45">
      <c r="A2243" s="2" t="s">
        <v>2951</v>
      </c>
      <c r="B2243" s="2" t="s">
        <v>2952</v>
      </c>
      <c r="C2243" s="2" t="s">
        <v>2797</v>
      </c>
      <c r="D2243" s="2" t="s">
        <v>2798</v>
      </c>
      <c r="E2243" s="2" t="s">
        <v>6</v>
      </c>
      <c r="F2243" s="3">
        <v>140</v>
      </c>
      <c r="G2243" s="3">
        <v>155.1</v>
      </c>
      <c r="H2243" s="2" t="s">
        <v>851</v>
      </c>
      <c r="I2243" s="19">
        <v>833</v>
      </c>
      <c r="J2243" s="34">
        <f t="shared" si="136"/>
        <v>7.2470999999999997</v>
      </c>
      <c r="K2243" s="34">
        <f t="shared" si="137"/>
        <v>10.87</v>
      </c>
      <c r="L2243" s="34">
        <f t="shared" si="138"/>
        <v>43.48</v>
      </c>
      <c r="M2243" s="20" t="s">
        <v>5351</v>
      </c>
      <c r="N2243" s="20" t="s">
        <v>5301</v>
      </c>
      <c r="O2243" s="20" t="s">
        <v>5251</v>
      </c>
      <c r="P2243" s="20" t="s">
        <v>5302</v>
      </c>
      <c r="Q2243" s="21">
        <v>140</v>
      </c>
      <c r="R2243" s="21">
        <v>155</v>
      </c>
      <c r="S2243" s="21">
        <v>13</v>
      </c>
      <c r="T2243" s="22">
        <v>69.099999999999994</v>
      </c>
      <c r="U2243" s="13">
        <f t="shared" si="139"/>
        <v>25.619999999999997</v>
      </c>
      <c r="V2243" s="23">
        <v>8464.75</v>
      </c>
      <c r="W2243" s="23">
        <v>8464.75</v>
      </c>
      <c r="X2243" s="20" t="s">
        <v>3722</v>
      </c>
      <c r="Y2243" s="24" t="s">
        <v>3713</v>
      </c>
      <c r="Z2243" s="16">
        <v>7631.75</v>
      </c>
      <c r="AA2243" s="17">
        <v>916.2</v>
      </c>
      <c r="AB2243" s="25" t="s">
        <v>5276</v>
      </c>
    </row>
    <row r="2244" spans="1:28" x14ac:dyDescent="0.45">
      <c r="A2244" s="4" t="s">
        <v>2953</v>
      </c>
      <c r="B2244" s="4" t="s">
        <v>2954</v>
      </c>
      <c r="C2244" s="4" t="s">
        <v>2797</v>
      </c>
      <c r="D2244" s="4" t="s">
        <v>2798</v>
      </c>
      <c r="E2244" s="4" t="s">
        <v>6</v>
      </c>
      <c r="F2244" s="5">
        <v>140</v>
      </c>
      <c r="G2244" s="5">
        <v>160.5</v>
      </c>
      <c r="H2244" s="4" t="s">
        <v>876</v>
      </c>
      <c r="I2244" s="10">
        <v>1439</v>
      </c>
      <c r="J2244" s="34">
        <f t="shared" si="136"/>
        <v>12.519299999999999</v>
      </c>
      <c r="K2244" s="34">
        <f t="shared" si="137"/>
        <v>18.78</v>
      </c>
      <c r="L2244" s="34">
        <f t="shared" si="138"/>
        <v>75.12</v>
      </c>
      <c r="M2244" s="11" t="s">
        <v>5352</v>
      </c>
      <c r="N2244" s="11" t="s">
        <v>5274</v>
      </c>
      <c r="O2244" s="11" t="s">
        <v>5251</v>
      </c>
      <c r="P2244" s="11" t="s">
        <v>5275</v>
      </c>
      <c r="Q2244" s="12">
        <v>140</v>
      </c>
      <c r="R2244" s="12">
        <v>160</v>
      </c>
      <c r="S2244" s="12">
        <v>35</v>
      </c>
      <c r="T2244" s="13">
        <v>168.62</v>
      </c>
      <c r="U2244" s="13">
        <f t="shared" si="139"/>
        <v>93.5</v>
      </c>
      <c r="V2244" s="14">
        <v>20655.95</v>
      </c>
      <c r="W2244" s="14">
        <v>20655.95</v>
      </c>
      <c r="X2244" s="11">
        <v>1</v>
      </c>
      <c r="Y2244" s="15" t="s">
        <v>3713</v>
      </c>
      <c r="Z2244" s="16">
        <v>19216.95</v>
      </c>
      <c r="AA2244" s="17">
        <v>1335.4</v>
      </c>
      <c r="AB2244" s="18" t="s">
        <v>3813</v>
      </c>
    </row>
    <row r="2245" spans="1:28" x14ac:dyDescent="0.45">
      <c r="A2245" s="2" t="s">
        <v>2955</v>
      </c>
      <c r="B2245" s="2" t="s">
        <v>2956</v>
      </c>
      <c r="C2245" s="2" t="s">
        <v>2797</v>
      </c>
      <c r="D2245" s="2" t="s">
        <v>2798</v>
      </c>
      <c r="E2245" s="2" t="s">
        <v>6</v>
      </c>
      <c r="F2245" s="3">
        <v>145</v>
      </c>
      <c r="G2245" s="3">
        <v>160.1</v>
      </c>
      <c r="H2245" s="2" t="s">
        <v>851</v>
      </c>
      <c r="I2245" s="19">
        <v>909</v>
      </c>
      <c r="J2245" s="34">
        <f t="shared" ref="J2245:J2308" si="140">I2245*0.0087</f>
        <v>7.9082999999999997</v>
      </c>
      <c r="K2245" s="34">
        <f t="shared" ref="K2245:K2308" si="141">ROUND(J2245*1.5,2)</f>
        <v>11.86</v>
      </c>
      <c r="L2245" s="34">
        <f t="shared" ref="L2245:L2308" si="142">K2245*4</f>
        <v>47.44</v>
      </c>
      <c r="M2245" s="20" t="s">
        <v>5353</v>
      </c>
      <c r="N2245" s="20" t="s">
        <v>5310</v>
      </c>
      <c r="O2245" s="20" t="s">
        <v>5270</v>
      </c>
      <c r="P2245" s="20" t="s">
        <v>5311</v>
      </c>
      <c r="Q2245" s="21">
        <v>145</v>
      </c>
      <c r="R2245" s="21">
        <v>160</v>
      </c>
      <c r="S2245" s="21">
        <v>9</v>
      </c>
      <c r="T2245" s="22">
        <v>10.64</v>
      </c>
      <c r="U2245" s="13">
        <f t="shared" ref="U2245:U2308" si="143">T2245-L2245</f>
        <v>-36.799999999999997</v>
      </c>
      <c r="V2245" s="23">
        <v>1303.4000000000001</v>
      </c>
      <c r="W2245" s="23">
        <v>1303.4000000000001</v>
      </c>
      <c r="X2245" s="20">
        <v>45</v>
      </c>
      <c r="Y2245" s="24" t="s">
        <v>3713</v>
      </c>
      <c r="Z2245" s="16">
        <v>394.40000000000009</v>
      </c>
      <c r="AA2245" s="17">
        <v>43.4</v>
      </c>
      <c r="AB2245" s="25" t="s">
        <v>5276</v>
      </c>
    </row>
    <row r="2246" spans="1:28" x14ac:dyDescent="0.45">
      <c r="A2246" s="4" t="s">
        <v>2957</v>
      </c>
      <c r="B2246" s="4" t="s">
        <v>2958</v>
      </c>
      <c r="C2246" s="4" t="s">
        <v>2797</v>
      </c>
      <c r="D2246" s="4" t="s">
        <v>2798</v>
      </c>
      <c r="E2246" s="4" t="s">
        <v>6</v>
      </c>
      <c r="F2246" s="5">
        <v>150</v>
      </c>
      <c r="G2246" s="5">
        <v>165.1</v>
      </c>
      <c r="H2246" s="4" t="s">
        <v>851</v>
      </c>
      <c r="I2246" s="10">
        <v>909</v>
      </c>
      <c r="J2246" s="34">
        <f t="shared" si="140"/>
        <v>7.9082999999999997</v>
      </c>
      <c r="K2246" s="34">
        <f t="shared" si="141"/>
        <v>11.86</v>
      </c>
      <c r="L2246" s="34">
        <f t="shared" si="142"/>
        <v>47.44</v>
      </c>
      <c r="M2246" s="11" t="s">
        <v>5354</v>
      </c>
      <c r="N2246" s="11" t="s">
        <v>5290</v>
      </c>
      <c r="O2246" s="11" t="s">
        <v>5291</v>
      </c>
      <c r="P2246" s="11" t="s">
        <v>5292</v>
      </c>
      <c r="Q2246" s="12">
        <v>150</v>
      </c>
      <c r="R2246" s="12">
        <v>165</v>
      </c>
      <c r="S2246" s="12">
        <v>12.5</v>
      </c>
      <c r="T2246" s="13">
        <v>26.26</v>
      </c>
      <c r="U2246" s="13">
        <f t="shared" si="143"/>
        <v>-21.179999999999996</v>
      </c>
      <c r="V2246" s="14">
        <v>3216.85</v>
      </c>
      <c r="W2246" s="14">
        <v>3216.85</v>
      </c>
      <c r="X2246" s="11">
        <v>75</v>
      </c>
      <c r="Y2246" s="15" t="s">
        <v>3713</v>
      </c>
      <c r="Z2246" s="16">
        <v>2307.85</v>
      </c>
      <c r="AA2246" s="17">
        <v>253.9</v>
      </c>
      <c r="AB2246" s="18" t="s">
        <v>5276</v>
      </c>
    </row>
    <row r="2247" spans="1:28" x14ac:dyDescent="0.45">
      <c r="A2247" s="2" t="s">
        <v>2959</v>
      </c>
      <c r="B2247" s="2" t="s">
        <v>2960</v>
      </c>
      <c r="C2247" s="2" t="s">
        <v>2797</v>
      </c>
      <c r="D2247" s="2" t="s">
        <v>2798</v>
      </c>
      <c r="E2247" s="2" t="s">
        <v>6</v>
      </c>
      <c r="F2247" s="3">
        <v>150</v>
      </c>
      <c r="G2247" s="3">
        <v>170.5</v>
      </c>
      <c r="H2247" s="2" t="s">
        <v>876</v>
      </c>
      <c r="I2247" s="19">
        <v>1515</v>
      </c>
      <c r="J2247" s="34">
        <f t="shared" si="140"/>
        <v>13.180499999999999</v>
      </c>
      <c r="K2247" s="34">
        <f t="shared" si="141"/>
        <v>19.77</v>
      </c>
      <c r="L2247" s="34">
        <f t="shared" si="142"/>
        <v>79.08</v>
      </c>
      <c r="M2247" s="20" t="s">
        <v>5355</v>
      </c>
      <c r="N2247" s="20" t="s">
        <v>5254</v>
      </c>
      <c r="O2247" s="20" t="s">
        <v>5251</v>
      </c>
      <c r="P2247" s="20" t="s">
        <v>5255</v>
      </c>
      <c r="Q2247" s="21">
        <v>150</v>
      </c>
      <c r="R2247" s="21">
        <v>170</v>
      </c>
      <c r="S2247" s="21">
        <v>12</v>
      </c>
      <c r="T2247" s="22">
        <v>64.72</v>
      </c>
      <c r="U2247" s="13">
        <f t="shared" si="143"/>
        <v>-14.36</v>
      </c>
      <c r="V2247" s="23">
        <v>7928.2</v>
      </c>
      <c r="W2247" s="23">
        <v>7928.2</v>
      </c>
      <c r="X2247" s="20">
        <v>6</v>
      </c>
      <c r="Y2247" s="24" t="s">
        <v>3713</v>
      </c>
      <c r="Z2247" s="16">
        <v>6413.2</v>
      </c>
      <c r="AA2247" s="17">
        <v>423.3</v>
      </c>
      <c r="AB2247" s="25" t="s">
        <v>3813</v>
      </c>
    </row>
    <row r="2248" spans="1:28" x14ac:dyDescent="0.45">
      <c r="A2248" s="4" t="s">
        <v>2961</v>
      </c>
      <c r="B2248" s="4" t="s">
        <v>2962</v>
      </c>
      <c r="C2248" s="4" t="s">
        <v>2797</v>
      </c>
      <c r="D2248" s="4" t="s">
        <v>2798</v>
      </c>
      <c r="E2248" s="4" t="s">
        <v>6</v>
      </c>
      <c r="F2248" s="5">
        <v>155</v>
      </c>
      <c r="G2248" s="5">
        <v>170.1</v>
      </c>
      <c r="H2248" s="4" t="s">
        <v>851</v>
      </c>
      <c r="I2248" s="10">
        <v>985</v>
      </c>
      <c r="J2248" s="34">
        <f t="shared" si="140"/>
        <v>8.5694999999999997</v>
      </c>
      <c r="K2248" s="34">
        <f t="shared" si="141"/>
        <v>12.85</v>
      </c>
      <c r="L2248" s="34">
        <f t="shared" si="142"/>
        <v>51.4</v>
      </c>
      <c r="M2248" s="11" t="s">
        <v>5356</v>
      </c>
      <c r="N2248" s="11" t="s">
        <v>5310</v>
      </c>
      <c r="O2248" s="11" t="s">
        <v>5270</v>
      </c>
      <c r="P2248" s="11" t="s">
        <v>5311</v>
      </c>
      <c r="Q2248" s="12">
        <v>155</v>
      </c>
      <c r="R2248" s="12">
        <v>170</v>
      </c>
      <c r="S2248" s="12">
        <v>9</v>
      </c>
      <c r="T2248" s="13">
        <v>11.14</v>
      </c>
      <c r="U2248" s="13">
        <f t="shared" si="143"/>
        <v>-40.26</v>
      </c>
      <c r="V2248" s="14">
        <v>1364.65</v>
      </c>
      <c r="W2248" s="14">
        <v>1364.65</v>
      </c>
      <c r="X2248" s="11" t="s">
        <v>3722</v>
      </c>
      <c r="Y2248" s="15" t="s">
        <v>3713</v>
      </c>
      <c r="Z2248" s="16">
        <v>379.65000000000009</v>
      </c>
      <c r="AA2248" s="17">
        <v>38.5</v>
      </c>
      <c r="AB2248" s="18" t="s">
        <v>5276</v>
      </c>
    </row>
    <row r="2249" spans="1:28" x14ac:dyDescent="0.45">
      <c r="A2249" s="2" t="s">
        <v>2963</v>
      </c>
      <c r="B2249" s="2" t="s">
        <v>2964</v>
      </c>
      <c r="C2249" s="2" t="s">
        <v>2797</v>
      </c>
      <c r="D2249" s="2" t="s">
        <v>2798</v>
      </c>
      <c r="E2249" s="2" t="s">
        <v>6</v>
      </c>
      <c r="F2249" s="3">
        <v>160</v>
      </c>
      <c r="G2249" s="3">
        <v>175.1</v>
      </c>
      <c r="H2249" s="2" t="s">
        <v>851</v>
      </c>
      <c r="I2249" s="19">
        <v>985</v>
      </c>
      <c r="J2249" s="34">
        <f t="shared" si="140"/>
        <v>8.5694999999999997</v>
      </c>
      <c r="K2249" s="34">
        <f t="shared" si="141"/>
        <v>12.85</v>
      </c>
      <c r="L2249" s="34">
        <f t="shared" si="142"/>
        <v>51.4</v>
      </c>
      <c r="M2249" s="20" t="s">
        <v>5357</v>
      </c>
      <c r="N2249" s="20" t="s">
        <v>5290</v>
      </c>
      <c r="O2249" s="20" t="s">
        <v>5291</v>
      </c>
      <c r="P2249" s="20" t="s">
        <v>5292</v>
      </c>
      <c r="Q2249" s="21">
        <v>160</v>
      </c>
      <c r="R2249" s="21">
        <v>175</v>
      </c>
      <c r="S2249" s="21">
        <v>16</v>
      </c>
      <c r="T2249" s="22">
        <v>40.11</v>
      </c>
      <c r="U2249" s="13">
        <f t="shared" si="143"/>
        <v>-11.29</v>
      </c>
      <c r="V2249" s="23">
        <v>4913.4799999999996</v>
      </c>
      <c r="W2249" s="23">
        <v>4913.4799999999996</v>
      </c>
      <c r="X2249" s="20">
        <v>15</v>
      </c>
      <c r="Y2249" s="24" t="s">
        <v>3713</v>
      </c>
      <c r="Z2249" s="16">
        <v>3928.48</v>
      </c>
      <c r="AA2249" s="17">
        <v>398.8</v>
      </c>
      <c r="AB2249" s="25" t="s">
        <v>5276</v>
      </c>
    </row>
    <row r="2250" spans="1:28" x14ac:dyDescent="0.45">
      <c r="A2250" s="4" t="s">
        <v>2965</v>
      </c>
      <c r="B2250" s="4" t="s">
        <v>2966</v>
      </c>
      <c r="C2250" s="4" t="s">
        <v>2797</v>
      </c>
      <c r="D2250" s="4" t="s">
        <v>2798</v>
      </c>
      <c r="E2250" s="4" t="s">
        <v>6</v>
      </c>
      <c r="F2250" s="5">
        <v>160</v>
      </c>
      <c r="G2250" s="5">
        <v>180.5</v>
      </c>
      <c r="H2250" s="4" t="s">
        <v>876</v>
      </c>
      <c r="I2250" s="10">
        <v>1590</v>
      </c>
      <c r="J2250" s="34">
        <f t="shared" si="140"/>
        <v>13.832999999999998</v>
      </c>
      <c r="K2250" s="34">
        <f t="shared" si="141"/>
        <v>20.75</v>
      </c>
      <c r="L2250" s="34">
        <f t="shared" si="142"/>
        <v>83</v>
      </c>
      <c r="M2250" s="11" t="s">
        <v>5358</v>
      </c>
      <c r="N2250" s="11" t="s">
        <v>5230</v>
      </c>
      <c r="O2250" s="11" t="s">
        <v>5231</v>
      </c>
      <c r="P2250" s="11" t="s">
        <v>5232</v>
      </c>
      <c r="Q2250" s="12">
        <v>160</v>
      </c>
      <c r="R2250" s="12">
        <v>180.5</v>
      </c>
      <c r="S2250" s="12">
        <v>8.1</v>
      </c>
      <c r="T2250" s="13">
        <v>73.849999999999994</v>
      </c>
      <c r="U2250" s="13">
        <f t="shared" si="143"/>
        <v>-9.1500000000000057</v>
      </c>
      <c r="V2250" s="14">
        <v>9046.6200000000008</v>
      </c>
      <c r="W2250" s="14">
        <v>9046.6200000000008</v>
      </c>
      <c r="X2250" s="11">
        <v>8</v>
      </c>
      <c r="Y2250" s="15" t="s">
        <v>3713</v>
      </c>
      <c r="Z2250" s="16">
        <v>7456.6200000000008</v>
      </c>
      <c r="AA2250" s="17">
        <v>469</v>
      </c>
      <c r="AB2250" s="18" t="s">
        <v>3714</v>
      </c>
    </row>
    <row r="2251" spans="1:28" x14ac:dyDescent="0.45">
      <c r="A2251" s="2" t="s">
        <v>2967</v>
      </c>
      <c r="B2251" s="2" t="s">
        <v>2968</v>
      </c>
      <c r="C2251" s="2" t="s">
        <v>2797</v>
      </c>
      <c r="D2251" s="2" t="s">
        <v>2798</v>
      </c>
      <c r="E2251" s="2" t="s">
        <v>6</v>
      </c>
      <c r="F2251" s="3">
        <v>165</v>
      </c>
      <c r="G2251" s="3">
        <v>180.1</v>
      </c>
      <c r="H2251" s="2" t="s">
        <v>851</v>
      </c>
      <c r="I2251" s="19">
        <v>1060</v>
      </c>
      <c r="J2251" s="34">
        <f t="shared" si="140"/>
        <v>9.2219999999999995</v>
      </c>
      <c r="K2251" s="34">
        <f t="shared" si="141"/>
        <v>13.83</v>
      </c>
      <c r="L2251" s="34">
        <f t="shared" si="142"/>
        <v>55.32</v>
      </c>
      <c r="M2251" s="20" t="s">
        <v>5359</v>
      </c>
      <c r="N2251" s="20" t="s">
        <v>5310</v>
      </c>
      <c r="O2251" s="20" t="s">
        <v>5270</v>
      </c>
      <c r="P2251" s="20" t="s">
        <v>5311</v>
      </c>
      <c r="Q2251" s="21">
        <v>165.1</v>
      </c>
      <c r="R2251" s="21">
        <v>180.84800000000001</v>
      </c>
      <c r="S2251" s="21">
        <v>15.747999999999999</v>
      </c>
      <c r="T2251" s="22">
        <v>30.1</v>
      </c>
      <c r="U2251" s="13">
        <f t="shared" si="143"/>
        <v>-25.22</v>
      </c>
      <c r="V2251" s="23">
        <v>3687.25</v>
      </c>
      <c r="W2251" s="23">
        <v>3687.25</v>
      </c>
      <c r="X2251" s="20" t="s">
        <v>3722</v>
      </c>
      <c r="Y2251" s="24" t="s">
        <v>3737</v>
      </c>
      <c r="Z2251" s="16">
        <v>2627.25</v>
      </c>
      <c r="AA2251" s="17">
        <v>247.9</v>
      </c>
      <c r="AB2251" s="25" t="s">
        <v>5360</v>
      </c>
    </row>
    <row r="2252" spans="1:28" x14ac:dyDescent="0.45">
      <c r="A2252" s="4" t="s">
        <v>2969</v>
      </c>
      <c r="B2252" s="4" t="s">
        <v>2970</v>
      </c>
      <c r="C2252" s="4" t="s">
        <v>2797</v>
      </c>
      <c r="D2252" s="4" t="s">
        <v>2798</v>
      </c>
      <c r="E2252" s="4" t="s">
        <v>6</v>
      </c>
      <c r="F2252" s="5">
        <v>170</v>
      </c>
      <c r="G2252" s="5">
        <v>185.1</v>
      </c>
      <c r="H2252" s="4" t="s">
        <v>851</v>
      </c>
      <c r="I2252" s="10">
        <v>1060</v>
      </c>
      <c r="J2252" s="34">
        <f t="shared" si="140"/>
        <v>9.2219999999999995</v>
      </c>
      <c r="K2252" s="34">
        <f t="shared" si="141"/>
        <v>13.83</v>
      </c>
      <c r="L2252" s="34">
        <f t="shared" si="142"/>
        <v>55.32</v>
      </c>
      <c r="M2252" s="11" t="s">
        <v>5361</v>
      </c>
      <c r="N2252" s="11" t="s">
        <v>5362</v>
      </c>
      <c r="O2252" s="11" t="s">
        <v>5251</v>
      </c>
      <c r="P2252" s="11" t="s">
        <v>5363</v>
      </c>
      <c r="Q2252" s="12">
        <v>170</v>
      </c>
      <c r="R2252" s="12">
        <v>185</v>
      </c>
      <c r="S2252" s="12">
        <v>14.5</v>
      </c>
      <c r="T2252" s="13">
        <v>92.67</v>
      </c>
      <c r="U2252" s="13">
        <f t="shared" si="143"/>
        <v>37.35</v>
      </c>
      <c r="V2252" s="14">
        <v>11352.08</v>
      </c>
      <c r="W2252" s="14">
        <v>11352.08</v>
      </c>
      <c r="X2252" s="11">
        <v>18</v>
      </c>
      <c r="Y2252" s="15" t="s">
        <v>3713</v>
      </c>
      <c r="Z2252" s="16">
        <v>10292.08</v>
      </c>
      <c r="AA2252" s="17">
        <v>971</v>
      </c>
      <c r="AB2252" s="18" t="s">
        <v>5276</v>
      </c>
    </row>
    <row r="2253" spans="1:28" x14ac:dyDescent="0.45">
      <c r="A2253" s="2" t="s">
        <v>2971</v>
      </c>
      <c r="B2253" s="2" t="s">
        <v>2972</v>
      </c>
      <c r="C2253" s="2" t="s">
        <v>2797</v>
      </c>
      <c r="D2253" s="2" t="s">
        <v>2798</v>
      </c>
      <c r="E2253" s="2" t="s">
        <v>6</v>
      </c>
      <c r="F2253" s="3">
        <v>170</v>
      </c>
      <c r="G2253" s="3">
        <v>190.5</v>
      </c>
      <c r="H2253" s="2" t="s">
        <v>876</v>
      </c>
      <c r="I2253" s="19">
        <v>1742</v>
      </c>
      <c r="J2253" s="34">
        <f t="shared" si="140"/>
        <v>15.155399999999998</v>
      </c>
      <c r="K2253" s="34">
        <f t="shared" si="141"/>
        <v>22.73</v>
      </c>
      <c r="L2253" s="34">
        <f t="shared" si="142"/>
        <v>90.92</v>
      </c>
      <c r="M2253" s="20" t="s">
        <v>5364</v>
      </c>
      <c r="N2253" s="20" t="s">
        <v>5254</v>
      </c>
      <c r="O2253" s="20" t="s">
        <v>5251</v>
      </c>
      <c r="P2253" s="20" t="s">
        <v>5255</v>
      </c>
      <c r="Q2253" s="21">
        <v>170</v>
      </c>
      <c r="R2253" s="21">
        <v>190</v>
      </c>
      <c r="S2253" s="21">
        <v>14.5</v>
      </c>
      <c r="T2253" s="22">
        <v>73.650000000000006</v>
      </c>
      <c r="U2253" s="13">
        <f t="shared" si="143"/>
        <v>-17.269999999999996</v>
      </c>
      <c r="V2253" s="23">
        <v>9022.1200000000008</v>
      </c>
      <c r="W2253" s="23">
        <v>9022.1200000000008</v>
      </c>
      <c r="X2253" s="20" t="s">
        <v>3722</v>
      </c>
      <c r="Y2253" s="24" t="s">
        <v>3713</v>
      </c>
      <c r="Z2253" s="16">
        <v>7280.1200000000008</v>
      </c>
      <c r="AA2253" s="17">
        <v>417.9</v>
      </c>
      <c r="AB2253" s="25" t="s">
        <v>3813</v>
      </c>
    </row>
    <row r="2254" spans="1:28" x14ac:dyDescent="0.45">
      <c r="A2254" s="4" t="s">
        <v>2973</v>
      </c>
      <c r="B2254" s="4" t="s">
        <v>2974</v>
      </c>
      <c r="C2254" s="4" t="s">
        <v>2797</v>
      </c>
      <c r="D2254" s="4" t="s">
        <v>2798</v>
      </c>
      <c r="E2254" s="4" t="s">
        <v>6</v>
      </c>
      <c r="F2254" s="5">
        <v>180</v>
      </c>
      <c r="G2254" s="5">
        <v>195.1</v>
      </c>
      <c r="H2254" s="4" t="s">
        <v>851</v>
      </c>
      <c r="I2254" s="10">
        <v>1136</v>
      </c>
      <c r="J2254" s="34">
        <f t="shared" si="140"/>
        <v>9.8831999999999987</v>
      </c>
      <c r="K2254" s="34">
        <f t="shared" si="141"/>
        <v>14.82</v>
      </c>
      <c r="L2254" s="34">
        <f t="shared" si="142"/>
        <v>59.28</v>
      </c>
      <c r="M2254" s="11" t="s">
        <v>5365</v>
      </c>
      <c r="N2254" s="11" t="s">
        <v>5362</v>
      </c>
      <c r="O2254" s="11" t="s">
        <v>5251</v>
      </c>
      <c r="P2254" s="11" t="s">
        <v>5363</v>
      </c>
      <c r="Q2254" s="12">
        <v>180</v>
      </c>
      <c r="R2254" s="12">
        <v>195</v>
      </c>
      <c r="S2254" s="12">
        <v>14.5</v>
      </c>
      <c r="T2254" s="13">
        <v>116.23</v>
      </c>
      <c r="U2254" s="13">
        <f t="shared" si="143"/>
        <v>56.95</v>
      </c>
      <c r="V2254" s="14">
        <v>14238.18</v>
      </c>
      <c r="W2254" s="14">
        <v>14238.18</v>
      </c>
      <c r="X2254" s="11" t="s">
        <v>3722</v>
      </c>
      <c r="Y2254" s="15" t="s">
        <v>3713</v>
      </c>
      <c r="Z2254" s="16">
        <v>13102.18</v>
      </c>
      <c r="AA2254" s="17">
        <v>1153.4000000000001</v>
      </c>
      <c r="AB2254" s="18" t="s">
        <v>5276</v>
      </c>
    </row>
    <row r="2255" spans="1:28" x14ac:dyDescent="0.45">
      <c r="A2255" s="2" t="s">
        <v>2975</v>
      </c>
      <c r="B2255" s="2" t="s">
        <v>2976</v>
      </c>
      <c r="C2255" s="2" t="s">
        <v>2797</v>
      </c>
      <c r="D2255" s="2" t="s">
        <v>2798</v>
      </c>
      <c r="E2255" s="2" t="s">
        <v>6</v>
      </c>
      <c r="F2255" s="3">
        <v>180</v>
      </c>
      <c r="G2255" s="3">
        <v>200.5</v>
      </c>
      <c r="H2255" s="2" t="s">
        <v>876</v>
      </c>
      <c r="I2255" s="19">
        <v>1818</v>
      </c>
      <c r="J2255" s="34">
        <f t="shared" si="140"/>
        <v>15.816599999999999</v>
      </c>
      <c r="K2255" s="34">
        <f t="shared" si="141"/>
        <v>23.72</v>
      </c>
      <c r="L2255" s="34">
        <f t="shared" si="142"/>
        <v>94.88</v>
      </c>
      <c r="M2255" s="20" t="s">
        <v>5366</v>
      </c>
      <c r="N2255" s="20" t="s">
        <v>5254</v>
      </c>
      <c r="O2255" s="20" t="s">
        <v>5251</v>
      </c>
      <c r="P2255" s="20" t="s">
        <v>5255</v>
      </c>
      <c r="Q2255" s="21">
        <v>180</v>
      </c>
      <c r="R2255" s="21">
        <v>200</v>
      </c>
      <c r="S2255" s="21">
        <v>11.8</v>
      </c>
      <c r="T2255" s="22">
        <v>28.75</v>
      </c>
      <c r="U2255" s="13">
        <f t="shared" si="143"/>
        <v>-66.13</v>
      </c>
      <c r="V2255" s="23">
        <v>3521.88</v>
      </c>
      <c r="W2255" s="23">
        <v>3521.88</v>
      </c>
      <c r="X2255" s="20">
        <v>8</v>
      </c>
      <c r="Y2255" s="24" t="s">
        <v>3713</v>
      </c>
      <c r="Z2255" s="16">
        <v>1703.88</v>
      </c>
      <c r="AA2255" s="17">
        <v>93.7</v>
      </c>
      <c r="AB2255" s="25" t="s">
        <v>3813</v>
      </c>
    </row>
    <row r="2256" spans="1:28" x14ac:dyDescent="0.45">
      <c r="A2256" s="4" t="s">
        <v>2977</v>
      </c>
      <c r="B2256" s="4" t="s">
        <v>2978</v>
      </c>
      <c r="C2256" s="4" t="s">
        <v>2797</v>
      </c>
      <c r="D2256" s="4" t="s">
        <v>2798</v>
      </c>
      <c r="E2256" s="4" t="s">
        <v>6</v>
      </c>
      <c r="F2256" s="5">
        <v>190</v>
      </c>
      <c r="G2256" s="5">
        <v>205.5</v>
      </c>
      <c r="H2256" s="4" t="s">
        <v>851</v>
      </c>
      <c r="I2256" s="10">
        <v>1287</v>
      </c>
      <c r="J2256" s="34">
        <f t="shared" si="140"/>
        <v>11.196899999999999</v>
      </c>
      <c r="K2256" s="34">
        <f t="shared" si="141"/>
        <v>16.8</v>
      </c>
      <c r="L2256" s="34">
        <f t="shared" si="142"/>
        <v>67.2</v>
      </c>
      <c r="M2256" s="11" t="s">
        <v>5367</v>
      </c>
      <c r="N2256" s="11" t="s">
        <v>5230</v>
      </c>
      <c r="O2256" s="11" t="s">
        <v>5231</v>
      </c>
      <c r="P2256" s="11" t="s">
        <v>5232</v>
      </c>
      <c r="Q2256" s="12">
        <v>190</v>
      </c>
      <c r="R2256" s="12">
        <v>205.5</v>
      </c>
      <c r="S2256" s="12">
        <v>6.3</v>
      </c>
      <c r="T2256" s="13">
        <v>52.59</v>
      </c>
      <c r="U2256" s="13">
        <f t="shared" si="143"/>
        <v>-14.61</v>
      </c>
      <c r="V2256" s="14">
        <v>6442.28</v>
      </c>
      <c r="W2256" s="14">
        <v>6442.28</v>
      </c>
      <c r="X2256" s="11">
        <v>82</v>
      </c>
      <c r="Y2256" s="15" t="s">
        <v>3713</v>
      </c>
      <c r="Z2256" s="16">
        <v>5155.28</v>
      </c>
      <c r="AA2256" s="17">
        <v>400.6</v>
      </c>
      <c r="AB2256" s="18" t="s">
        <v>3714</v>
      </c>
    </row>
    <row r="2257" spans="1:28" x14ac:dyDescent="0.45">
      <c r="A2257" s="2" t="s">
        <v>2979</v>
      </c>
      <c r="B2257" s="2" t="s">
        <v>2980</v>
      </c>
      <c r="C2257" s="2" t="s">
        <v>2797</v>
      </c>
      <c r="D2257" s="2" t="s">
        <v>2798</v>
      </c>
      <c r="E2257" s="2" t="s">
        <v>6</v>
      </c>
      <c r="F2257" s="3">
        <v>190</v>
      </c>
      <c r="G2257" s="3">
        <v>210.5</v>
      </c>
      <c r="H2257" s="2" t="s">
        <v>876</v>
      </c>
      <c r="I2257" s="19">
        <v>1893</v>
      </c>
      <c r="J2257" s="34">
        <f t="shared" si="140"/>
        <v>16.469099999999997</v>
      </c>
      <c r="K2257" s="34">
        <f t="shared" si="141"/>
        <v>24.7</v>
      </c>
      <c r="L2257" s="34">
        <f t="shared" si="142"/>
        <v>98.8</v>
      </c>
      <c r="M2257" s="20" t="s">
        <v>5368</v>
      </c>
      <c r="N2257" s="20" t="s">
        <v>5290</v>
      </c>
      <c r="O2257" s="20" t="s">
        <v>5291</v>
      </c>
      <c r="P2257" s="20" t="s">
        <v>5292</v>
      </c>
      <c r="Q2257" s="21">
        <v>190</v>
      </c>
      <c r="R2257" s="21">
        <v>210</v>
      </c>
      <c r="S2257" s="21">
        <v>14.5</v>
      </c>
      <c r="T2257" s="22">
        <v>54.27</v>
      </c>
      <c r="U2257" s="13">
        <f t="shared" si="143"/>
        <v>-44.529999999999994</v>
      </c>
      <c r="V2257" s="23">
        <v>6648.08</v>
      </c>
      <c r="W2257" s="23">
        <v>6648.08</v>
      </c>
      <c r="X2257" s="20">
        <v>30</v>
      </c>
      <c r="Y2257" s="24" t="s">
        <v>3713</v>
      </c>
      <c r="Z2257" s="16">
        <v>4755.08</v>
      </c>
      <c r="AA2257" s="17">
        <v>251.2</v>
      </c>
      <c r="AB2257" s="25" t="s">
        <v>3813</v>
      </c>
    </row>
    <row r="2258" spans="1:28" x14ac:dyDescent="0.45">
      <c r="A2258" s="4" t="s">
        <v>2981</v>
      </c>
      <c r="B2258" s="4" t="s">
        <v>2982</v>
      </c>
      <c r="C2258" s="4" t="s">
        <v>2797</v>
      </c>
      <c r="D2258" s="4" t="s">
        <v>2798</v>
      </c>
      <c r="E2258" s="4" t="s">
        <v>6</v>
      </c>
      <c r="F2258" s="5">
        <v>200</v>
      </c>
      <c r="G2258" s="5">
        <v>220.5</v>
      </c>
      <c r="H2258" s="4" t="s">
        <v>876</v>
      </c>
      <c r="I2258" s="10">
        <v>1969</v>
      </c>
      <c r="J2258" s="34">
        <f t="shared" si="140"/>
        <v>17.130299999999998</v>
      </c>
      <c r="K2258" s="34">
        <f t="shared" si="141"/>
        <v>25.7</v>
      </c>
      <c r="L2258" s="34">
        <f t="shared" si="142"/>
        <v>102.8</v>
      </c>
      <c r="M2258" s="11" t="s">
        <v>5369</v>
      </c>
      <c r="N2258" s="11" t="s">
        <v>5254</v>
      </c>
      <c r="O2258" s="11" t="s">
        <v>5251</v>
      </c>
      <c r="P2258" s="11" t="s">
        <v>5255</v>
      </c>
      <c r="Q2258" s="12">
        <v>200</v>
      </c>
      <c r="R2258" s="12">
        <v>220</v>
      </c>
      <c r="S2258" s="12">
        <v>14.5</v>
      </c>
      <c r="T2258" s="13">
        <v>91.54</v>
      </c>
      <c r="U2258" s="13">
        <f t="shared" si="143"/>
        <v>-11.259999999999991</v>
      </c>
      <c r="V2258" s="14">
        <v>11213.65</v>
      </c>
      <c r="W2258" s="14">
        <v>11213.65</v>
      </c>
      <c r="X2258" s="11" t="s">
        <v>3722</v>
      </c>
      <c r="Y2258" s="15" t="s">
        <v>3713</v>
      </c>
      <c r="Z2258" s="16">
        <v>9244.65</v>
      </c>
      <c r="AA2258" s="17">
        <v>469.5</v>
      </c>
      <c r="AB2258" s="18" t="s">
        <v>3813</v>
      </c>
    </row>
    <row r="2259" spans="1:28" x14ac:dyDescent="0.45">
      <c r="A2259" s="2" t="s">
        <v>2983</v>
      </c>
      <c r="B2259" s="2" t="s">
        <v>2984</v>
      </c>
      <c r="C2259" s="2" t="s">
        <v>2797</v>
      </c>
      <c r="D2259" s="2" t="s">
        <v>2798</v>
      </c>
      <c r="E2259" s="2" t="s">
        <v>6</v>
      </c>
      <c r="F2259" s="3">
        <v>210</v>
      </c>
      <c r="G2259" s="3">
        <v>230.5</v>
      </c>
      <c r="H2259" s="2" t="s">
        <v>876</v>
      </c>
      <c r="I2259" s="19">
        <v>2121</v>
      </c>
      <c r="J2259" s="34">
        <f t="shared" si="140"/>
        <v>18.4527</v>
      </c>
      <c r="K2259" s="34">
        <f t="shared" si="141"/>
        <v>27.68</v>
      </c>
      <c r="L2259" s="34">
        <f t="shared" si="142"/>
        <v>110.72</v>
      </c>
      <c r="M2259" s="20" t="s">
        <v>5370</v>
      </c>
      <c r="N2259" s="20" t="s">
        <v>5290</v>
      </c>
      <c r="O2259" s="20" t="s">
        <v>5291</v>
      </c>
      <c r="P2259" s="20" t="s">
        <v>5292</v>
      </c>
      <c r="Q2259" s="21">
        <v>210</v>
      </c>
      <c r="R2259" s="21">
        <v>230</v>
      </c>
      <c r="S2259" s="21">
        <v>14</v>
      </c>
      <c r="T2259" s="22">
        <v>43.02</v>
      </c>
      <c r="U2259" s="13">
        <f t="shared" si="143"/>
        <v>-67.699999999999989</v>
      </c>
      <c r="V2259" s="23">
        <v>5269.95</v>
      </c>
      <c r="W2259" s="23">
        <v>5269.95</v>
      </c>
      <c r="X2259" s="20">
        <v>12</v>
      </c>
      <c r="Y2259" s="24" t="s">
        <v>3713</v>
      </c>
      <c r="Z2259" s="16">
        <v>3148.95</v>
      </c>
      <c r="AA2259" s="17">
        <v>148.5</v>
      </c>
      <c r="AB2259" s="25" t="s">
        <v>3813</v>
      </c>
    </row>
    <row r="2260" spans="1:28" x14ac:dyDescent="0.45">
      <c r="A2260" s="4" t="s">
        <v>2985</v>
      </c>
      <c r="B2260" s="4" t="s">
        <v>2986</v>
      </c>
      <c r="C2260" s="4" t="s">
        <v>2797</v>
      </c>
      <c r="D2260" s="4" t="s">
        <v>2798</v>
      </c>
      <c r="E2260" s="4" t="s">
        <v>6</v>
      </c>
      <c r="F2260" s="5">
        <v>220</v>
      </c>
      <c r="G2260" s="5">
        <v>240.5</v>
      </c>
      <c r="H2260" s="4" t="s">
        <v>876</v>
      </c>
      <c r="I2260" s="10">
        <v>2196</v>
      </c>
      <c r="J2260" s="34">
        <f t="shared" si="140"/>
        <v>19.1052</v>
      </c>
      <c r="K2260" s="34">
        <f t="shared" si="141"/>
        <v>28.66</v>
      </c>
      <c r="L2260" s="34">
        <f t="shared" si="142"/>
        <v>114.64</v>
      </c>
      <c r="M2260" s="11" t="s">
        <v>5371</v>
      </c>
      <c r="N2260" s="11" t="s">
        <v>5254</v>
      </c>
      <c r="O2260" s="11" t="s">
        <v>5251</v>
      </c>
      <c r="P2260" s="11" t="s">
        <v>5255</v>
      </c>
      <c r="Q2260" s="12">
        <v>220</v>
      </c>
      <c r="R2260" s="12">
        <v>240</v>
      </c>
      <c r="S2260" s="12">
        <v>14.5</v>
      </c>
      <c r="T2260" s="13">
        <v>91.54</v>
      </c>
      <c r="U2260" s="13">
        <f t="shared" si="143"/>
        <v>-23.099999999999994</v>
      </c>
      <c r="V2260" s="14">
        <v>11213.65</v>
      </c>
      <c r="W2260" s="14">
        <v>11213.65</v>
      </c>
      <c r="X2260" s="11">
        <v>2</v>
      </c>
      <c r="Y2260" s="15" t="s">
        <v>3713</v>
      </c>
      <c r="Z2260" s="16">
        <v>9017.65</v>
      </c>
      <c r="AA2260" s="17">
        <v>410.6</v>
      </c>
      <c r="AB2260" s="18" t="s">
        <v>3813</v>
      </c>
    </row>
    <row r="2261" spans="1:28" x14ac:dyDescent="0.45">
      <c r="A2261" s="2" t="s">
        <v>2987</v>
      </c>
      <c r="B2261" s="2" t="s">
        <v>2988</v>
      </c>
      <c r="C2261" s="2" t="s">
        <v>2797</v>
      </c>
      <c r="D2261" s="2" t="s">
        <v>2798</v>
      </c>
      <c r="E2261" s="2" t="s">
        <v>6</v>
      </c>
      <c r="F2261" s="3">
        <v>230</v>
      </c>
      <c r="G2261" s="3">
        <v>250.5</v>
      </c>
      <c r="H2261" s="2" t="s">
        <v>876</v>
      </c>
      <c r="I2261" s="19">
        <v>2272</v>
      </c>
      <c r="J2261" s="34">
        <f t="shared" si="140"/>
        <v>19.766399999999997</v>
      </c>
      <c r="K2261" s="34">
        <f t="shared" si="141"/>
        <v>29.65</v>
      </c>
      <c r="L2261" s="34">
        <f t="shared" si="142"/>
        <v>118.6</v>
      </c>
      <c r="M2261" s="20" t="s">
        <v>5372</v>
      </c>
      <c r="N2261" s="20" t="s">
        <v>5362</v>
      </c>
      <c r="O2261" s="20" t="s">
        <v>5251</v>
      </c>
      <c r="P2261" s="20" t="s">
        <v>5363</v>
      </c>
      <c r="Q2261" s="21">
        <v>230</v>
      </c>
      <c r="R2261" s="21">
        <v>250</v>
      </c>
      <c r="S2261" s="21">
        <v>14.5</v>
      </c>
      <c r="T2261" s="22">
        <v>179.16</v>
      </c>
      <c r="U2261" s="13">
        <f t="shared" si="143"/>
        <v>60.56</v>
      </c>
      <c r="V2261" s="23">
        <v>21947.1</v>
      </c>
      <c r="W2261" s="23">
        <v>21947.1</v>
      </c>
      <c r="X2261" s="20">
        <v>8</v>
      </c>
      <c r="Y2261" s="24" t="s">
        <v>3713</v>
      </c>
      <c r="Z2261" s="16">
        <v>19675.099999999999</v>
      </c>
      <c r="AA2261" s="17">
        <v>866</v>
      </c>
      <c r="AB2261" s="25" t="s">
        <v>3813</v>
      </c>
    </row>
    <row r="2262" spans="1:28" x14ac:dyDescent="0.45">
      <c r="A2262" s="4" t="s">
        <v>2989</v>
      </c>
      <c r="B2262" s="4" t="s">
        <v>2990</v>
      </c>
      <c r="C2262" s="4" t="s">
        <v>2797</v>
      </c>
      <c r="D2262" s="4" t="s">
        <v>2798</v>
      </c>
      <c r="E2262" s="4" t="s">
        <v>6</v>
      </c>
      <c r="F2262" s="5">
        <v>240</v>
      </c>
      <c r="G2262" s="5">
        <v>260.5</v>
      </c>
      <c r="H2262" s="4" t="s">
        <v>876</v>
      </c>
      <c r="I2262" s="10">
        <v>2424</v>
      </c>
      <c r="J2262" s="34">
        <f t="shared" si="140"/>
        <v>21.088799999999999</v>
      </c>
      <c r="K2262" s="34">
        <f t="shared" si="141"/>
        <v>31.63</v>
      </c>
      <c r="L2262" s="34">
        <f t="shared" si="142"/>
        <v>126.52</v>
      </c>
      <c r="M2262" s="11" t="s">
        <v>5373</v>
      </c>
      <c r="N2262" s="11" t="s">
        <v>5310</v>
      </c>
      <c r="O2262" s="11" t="s">
        <v>5270</v>
      </c>
      <c r="P2262" s="11" t="s">
        <v>5311</v>
      </c>
      <c r="Q2262" s="12">
        <v>240</v>
      </c>
      <c r="R2262" s="12">
        <v>260</v>
      </c>
      <c r="S2262" s="12">
        <v>15</v>
      </c>
      <c r="T2262" s="13">
        <v>49.29</v>
      </c>
      <c r="U2262" s="13">
        <f t="shared" si="143"/>
        <v>-77.22999999999999</v>
      </c>
      <c r="V2262" s="14">
        <v>6038.02</v>
      </c>
      <c r="W2262" s="14">
        <v>6038.02</v>
      </c>
      <c r="X2262" s="11" t="s">
        <v>3722</v>
      </c>
      <c r="Y2262" s="15" t="s">
        <v>3713</v>
      </c>
      <c r="Z2262" s="16">
        <v>3614.02</v>
      </c>
      <c r="AA2262" s="17">
        <v>149.1</v>
      </c>
      <c r="AB2262" s="18" t="s">
        <v>3813</v>
      </c>
    </row>
    <row r="2263" spans="1:28" x14ac:dyDescent="0.45">
      <c r="A2263" s="2" t="s">
        <v>2991</v>
      </c>
      <c r="B2263" s="2" t="s">
        <v>2992</v>
      </c>
      <c r="C2263" s="2" t="s">
        <v>2797</v>
      </c>
      <c r="D2263" s="2" t="s">
        <v>2798</v>
      </c>
      <c r="E2263" s="2" t="s">
        <v>6</v>
      </c>
      <c r="F2263" s="3">
        <v>250</v>
      </c>
      <c r="G2263" s="3">
        <v>270.5</v>
      </c>
      <c r="H2263" s="2" t="s">
        <v>876</v>
      </c>
      <c r="I2263" s="19">
        <v>2499</v>
      </c>
      <c r="J2263" s="34">
        <f t="shared" si="140"/>
        <v>21.741299999999999</v>
      </c>
      <c r="K2263" s="34">
        <f t="shared" si="141"/>
        <v>32.61</v>
      </c>
      <c r="L2263" s="34">
        <f t="shared" si="142"/>
        <v>130.44</v>
      </c>
      <c r="M2263" s="20" t="s">
        <v>5374</v>
      </c>
      <c r="N2263" s="20" t="s">
        <v>5230</v>
      </c>
      <c r="O2263" s="20" t="s">
        <v>5231</v>
      </c>
      <c r="P2263" s="20" t="s">
        <v>5232</v>
      </c>
      <c r="Q2263" s="21">
        <v>250</v>
      </c>
      <c r="R2263" s="21">
        <v>271</v>
      </c>
      <c r="S2263" s="21">
        <v>8.1</v>
      </c>
      <c r="T2263" s="22">
        <v>138.21</v>
      </c>
      <c r="U2263" s="13">
        <f t="shared" si="143"/>
        <v>7.7700000000000102</v>
      </c>
      <c r="V2263" s="23">
        <v>16930.73</v>
      </c>
      <c r="W2263" s="23">
        <v>16930.73</v>
      </c>
      <c r="X2263" s="20">
        <v>3</v>
      </c>
      <c r="Y2263" s="24" t="s">
        <v>3713</v>
      </c>
      <c r="Z2263" s="16">
        <v>14431.73</v>
      </c>
      <c r="AA2263" s="17">
        <v>577.5</v>
      </c>
      <c r="AB2263" s="25" t="s">
        <v>3813</v>
      </c>
    </row>
    <row r="2264" spans="1:28" x14ac:dyDescent="0.45">
      <c r="A2264" s="4" t="s">
        <v>2993</v>
      </c>
      <c r="B2264" s="4" t="s">
        <v>2994</v>
      </c>
      <c r="C2264" s="4" t="s">
        <v>2797</v>
      </c>
      <c r="D2264" s="4" t="s">
        <v>2798</v>
      </c>
      <c r="E2264" s="4" t="s">
        <v>6</v>
      </c>
      <c r="F2264" s="5">
        <v>260</v>
      </c>
      <c r="G2264" s="5">
        <v>284</v>
      </c>
      <c r="H2264" s="4" t="s">
        <v>876</v>
      </c>
      <c r="I2264" s="10">
        <v>2726</v>
      </c>
      <c r="J2264" s="34">
        <f t="shared" si="140"/>
        <v>23.716199999999997</v>
      </c>
      <c r="K2264" s="34">
        <f t="shared" si="141"/>
        <v>35.57</v>
      </c>
      <c r="L2264" s="34">
        <f t="shared" si="142"/>
        <v>142.28</v>
      </c>
      <c r="M2264" s="11" t="s">
        <v>5375</v>
      </c>
      <c r="N2264" s="11" t="s">
        <v>5230</v>
      </c>
      <c r="O2264" s="11" t="s">
        <v>5231</v>
      </c>
      <c r="P2264" s="11" t="s">
        <v>5232</v>
      </c>
      <c r="Q2264" s="12">
        <v>260</v>
      </c>
      <c r="R2264" s="12">
        <v>284.5</v>
      </c>
      <c r="S2264" s="12">
        <v>8.1</v>
      </c>
      <c r="T2264" s="13">
        <v>179.33</v>
      </c>
      <c r="U2264" s="13">
        <f t="shared" si="143"/>
        <v>37.050000000000011</v>
      </c>
      <c r="V2264" s="14">
        <v>21967.93</v>
      </c>
      <c r="W2264" s="14">
        <v>21967.93</v>
      </c>
      <c r="X2264" s="11">
        <v>24</v>
      </c>
      <c r="Y2264" s="15" t="s">
        <v>3713</v>
      </c>
      <c r="Z2264" s="16">
        <v>19241.93</v>
      </c>
      <c r="AA2264" s="17">
        <v>705.9</v>
      </c>
      <c r="AB2264" s="18" t="s">
        <v>3813</v>
      </c>
    </row>
    <row r="2265" spans="1:28" x14ac:dyDescent="0.45">
      <c r="A2265" s="2" t="s">
        <v>2995</v>
      </c>
      <c r="B2265" s="2" t="s">
        <v>2996</v>
      </c>
      <c r="C2265" s="2" t="s">
        <v>2797</v>
      </c>
      <c r="D2265" s="2" t="s">
        <v>2798</v>
      </c>
      <c r="E2265" s="2" t="s">
        <v>6</v>
      </c>
      <c r="F2265" s="3">
        <v>280</v>
      </c>
      <c r="G2265" s="3">
        <v>304</v>
      </c>
      <c r="H2265" s="2" t="s">
        <v>876</v>
      </c>
      <c r="I2265" s="19">
        <v>3257</v>
      </c>
      <c r="J2265" s="34">
        <f t="shared" si="140"/>
        <v>28.335899999999999</v>
      </c>
      <c r="K2265" s="34">
        <f t="shared" si="141"/>
        <v>42.5</v>
      </c>
      <c r="L2265" s="34">
        <f t="shared" si="142"/>
        <v>170</v>
      </c>
      <c r="M2265" s="20" t="s">
        <v>5376</v>
      </c>
      <c r="N2265" s="20" t="s">
        <v>5377</v>
      </c>
      <c r="O2265" s="20" t="s">
        <v>5291</v>
      </c>
      <c r="P2265" s="20" t="s">
        <v>5378</v>
      </c>
      <c r="Q2265" s="21">
        <v>280</v>
      </c>
      <c r="R2265" s="21">
        <v>305</v>
      </c>
      <c r="S2265" s="21">
        <v>35</v>
      </c>
      <c r="T2265" s="22">
        <v>142.19</v>
      </c>
      <c r="U2265" s="13">
        <f t="shared" si="143"/>
        <v>-27.810000000000002</v>
      </c>
      <c r="V2265" s="23">
        <v>17418.28</v>
      </c>
      <c r="W2265" s="23">
        <v>17418.28</v>
      </c>
      <c r="X2265" s="20">
        <v>3</v>
      </c>
      <c r="Y2265" s="24" t="s">
        <v>3713</v>
      </c>
      <c r="Z2265" s="16">
        <v>14161.28</v>
      </c>
      <c r="AA2265" s="17">
        <v>434.8</v>
      </c>
      <c r="AB2265" s="25" t="s">
        <v>3786</v>
      </c>
    </row>
    <row r="2266" spans="1:28" x14ac:dyDescent="0.45">
      <c r="A2266" s="4" t="s">
        <v>2997</v>
      </c>
      <c r="B2266" s="4" t="s">
        <v>2998</v>
      </c>
      <c r="C2266" s="4" t="s">
        <v>2797</v>
      </c>
      <c r="D2266" s="4" t="s">
        <v>2798</v>
      </c>
      <c r="E2266" s="4" t="s">
        <v>6</v>
      </c>
      <c r="F2266" s="5">
        <v>290</v>
      </c>
      <c r="G2266" s="5">
        <v>314</v>
      </c>
      <c r="H2266" s="4" t="s">
        <v>876</v>
      </c>
      <c r="I2266" s="10">
        <v>3408</v>
      </c>
      <c r="J2266" s="34">
        <f t="shared" si="140"/>
        <v>29.6496</v>
      </c>
      <c r="K2266" s="34">
        <f t="shared" si="141"/>
        <v>44.47</v>
      </c>
      <c r="L2266" s="34">
        <f t="shared" si="142"/>
        <v>177.88</v>
      </c>
      <c r="M2266" s="11" t="s">
        <v>5379</v>
      </c>
      <c r="N2266" s="11" t="s">
        <v>5230</v>
      </c>
      <c r="O2266" s="11" t="s">
        <v>5231</v>
      </c>
      <c r="P2266" s="11" t="s">
        <v>5232</v>
      </c>
      <c r="Q2266" s="12">
        <v>290</v>
      </c>
      <c r="R2266" s="12">
        <v>314.5</v>
      </c>
      <c r="S2266" s="12">
        <v>8.1</v>
      </c>
      <c r="T2266" s="13">
        <v>339.34</v>
      </c>
      <c r="U2266" s="13">
        <f t="shared" si="143"/>
        <v>161.45999999999998</v>
      </c>
      <c r="V2266" s="14">
        <v>41569.15</v>
      </c>
      <c r="W2266" s="14">
        <v>41569.15</v>
      </c>
      <c r="X2266" s="11" t="s">
        <v>3722</v>
      </c>
      <c r="Y2266" s="15" t="s">
        <v>3713</v>
      </c>
      <c r="Z2266" s="16">
        <v>38161.15</v>
      </c>
      <c r="AA2266" s="17">
        <v>1119.8</v>
      </c>
      <c r="AB2266" s="18" t="s">
        <v>3813</v>
      </c>
    </row>
    <row r="2267" spans="1:28" x14ac:dyDescent="0.45">
      <c r="A2267" s="2" t="s">
        <v>2999</v>
      </c>
      <c r="B2267" s="2" t="s">
        <v>3000</v>
      </c>
      <c r="C2267" s="2" t="s">
        <v>2797</v>
      </c>
      <c r="D2267" s="2" t="s">
        <v>2798</v>
      </c>
      <c r="E2267" s="2" t="s">
        <v>6</v>
      </c>
      <c r="F2267" s="3">
        <v>350</v>
      </c>
      <c r="G2267" s="3">
        <v>374</v>
      </c>
      <c r="H2267" s="2" t="s">
        <v>876</v>
      </c>
      <c r="I2267" s="19">
        <v>4090</v>
      </c>
      <c r="J2267" s="34">
        <f t="shared" si="140"/>
        <v>35.582999999999998</v>
      </c>
      <c r="K2267" s="34">
        <f t="shared" si="141"/>
        <v>53.37</v>
      </c>
      <c r="L2267" s="34">
        <f t="shared" si="142"/>
        <v>213.48</v>
      </c>
      <c r="M2267" s="20" t="s">
        <v>5380</v>
      </c>
      <c r="N2267" s="20" t="s">
        <v>5362</v>
      </c>
      <c r="O2267" s="20" t="s">
        <v>5251</v>
      </c>
      <c r="P2267" s="20" t="s">
        <v>5363</v>
      </c>
      <c r="Q2267" s="21">
        <v>350</v>
      </c>
      <c r="R2267" s="21">
        <v>375</v>
      </c>
      <c r="S2267" s="21">
        <v>18</v>
      </c>
      <c r="T2267" s="22">
        <v>249.05</v>
      </c>
      <c r="U2267" s="13">
        <f t="shared" si="143"/>
        <v>35.570000000000022</v>
      </c>
      <c r="V2267" s="23">
        <v>30508.62</v>
      </c>
      <c r="W2267" s="23">
        <v>30508.62</v>
      </c>
      <c r="X2267" s="20">
        <v>6</v>
      </c>
      <c r="Y2267" s="24" t="s">
        <v>3713</v>
      </c>
      <c r="Z2267" s="16">
        <v>26418.62</v>
      </c>
      <c r="AA2267" s="17">
        <v>645.9</v>
      </c>
      <c r="AB2267" s="25" t="s">
        <v>3786</v>
      </c>
    </row>
    <row r="2268" spans="1:28" x14ac:dyDescent="0.45">
      <c r="A2268" s="4" t="s">
        <v>3001</v>
      </c>
      <c r="B2268" s="4" t="s">
        <v>3002</v>
      </c>
      <c r="C2268" s="4" t="s">
        <v>2797</v>
      </c>
      <c r="D2268" s="4" t="s">
        <v>2798</v>
      </c>
      <c r="E2268" s="4" t="s">
        <v>6</v>
      </c>
      <c r="F2268" s="5">
        <v>360</v>
      </c>
      <c r="G2268" s="5">
        <v>384</v>
      </c>
      <c r="H2268" s="4" t="s">
        <v>876</v>
      </c>
      <c r="I2268" s="10">
        <v>4847</v>
      </c>
      <c r="J2268" s="34">
        <f t="shared" si="140"/>
        <v>42.168899999999994</v>
      </c>
      <c r="K2268" s="34">
        <f t="shared" si="141"/>
        <v>63.25</v>
      </c>
      <c r="L2268" s="34">
        <f t="shared" si="142"/>
        <v>253</v>
      </c>
      <c r="M2268" s="11" t="s">
        <v>5381</v>
      </c>
      <c r="N2268" s="11" t="s">
        <v>5230</v>
      </c>
      <c r="O2268" s="11" t="s">
        <v>5231</v>
      </c>
      <c r="P2268" s="11" t="s">
        <v>5232</v>
      </c>
      <c r="Q2268" s="12">
        <v>360</v>
      </c>
      <c r="R2268" s="12">
        <v>384.5</v>
      </c>
      <c r="S2268" s="12">
        <v>8.1</v>
      </c>
      <c r="T2268" s="13">
        <v>499.16</v>
      </c>
      <c r="U2268" s="13">
        <f t="shared" si="143"/>
        <v>246.16000000000003</v>
      </c>
      <c r="V2268" s="14">
        <v>61147.1</v>
      </c>
      <c r="W2268" s="14">
        <v>61147.1</v>
      </c>
      <c r="X2268" s="11" t="s">
        <v>3722</v>
      </c>
      <c r="Y2268" s="15" t="s">
        <v>3713</v>
      </c>
      <c r="Z2268" s="16">
        <v>56300.1</v>
      </c>
      <c r="AA2268" s="17">
        <v>1161.5</v>
      </c>
      <c r="AB2268" s="18" t="s">
        <v>3813</v>
      </c>
    </row>
    <row r="2269" spans="1:28" x14ac:dyDescent="0.45">
      <c r="A2269" s="2" t="s">
        <v>3003</v>
      </c>
      <c r="B2269" s="2" t="s">
        <v>3004</v>
      </c>
      <c r="C2269" s="2" t="s">
        <v>2797</v>
      </c>
      <c r="D2269" s="2" t="s">
        <v>2798</v>
      </c>
      <c r="E2269" s="2" t="s">
        <v>96</v>
      </c>
      <c r="F2269" s="3">
        <v>6</v>
      </c>
      <c r="G2269" s="3">
        <v>10.9</v>
      </c>
      <c r="H2269" s="2" t="s">
        <v>2770</v>
      </c>
      <c r="I2269" s="19">
        <v>47</v>
      </c>
      <c r="J2269" s="34">
        <f t="shared" si="140"/>
        <v>0.40889999999999999</v>
      </c>
      <c r="K2269" s="34">
        <f t="shared" si="141"/>
        <v>0.61</v>
      </c>
      <c r="L2269" s="34">
        <f t="shared" si="142"/>
        <v>2.44</v>
      </c>
      <c r="M2269" s="20" t="s">
        <v>5382</v>
      </c>
      <c r="N2269" s="20" t="s">
        <v>5230</v>
      </c>
      <c r="O2269" s="20" t="s">
        <v>5231</v>
      </c>
      <c r="P2269" s="20" t="s">
        <v>5232</v>
      </c>
      <c r="Q2269" s="21">
        <v>6</v>
      </c>
      <c r="R2269" s="21">
        <v>10.9</v>
      </c>
      <c r="S2269" s="21">
        <v>2.2000000000000002</v>
      </c>
      <c r="T2269" s="22">
        <v>7.94</v>
      </c>
      <c r="U2269" s="13">
        <f t="shared" si="143"/>
        <v>5.5</v>
      </c>
      <c r="V2269" s="23">
        <v>972.65</v>
      </c>
      <c r="W2269" s="23">
        <v>972.65</v>
      </c>
      <c r="X2269" s="20">
        <v>14</v>
      </c>
      <c r="Y2269" s="24" t="s">
        <v>3713</v>
      </c>
      <c r="Z2269" s="16">
        <v>925.65</v>
      </c>
      <c r="AA2269" s="17">
        <v>1969.5</v>
      </c>
      <c r="AB2269" s="25" t="s">
        <v>3714</v>
      </c>
    </row>
    <row r="2270" spans="1:28" x14ac:dyDescent="0.45">
      <c r="A2270" s="4" t="s">
        <v>3005</v>
      </c>
      <c r="B2270" s="4" t="s">
        <v>3006</v>
      </c>
      <c r="C2270" s="4" t="s">
        <v>2797</v>
      </c>
      <c r="D2270" s="4" t="s">
        <v>2798</v>
      </c>
      <c r="E2270" s="4" t="s">
        <v>96</v>
      </c>
      <c r="F2270" s="5">
        <v>8</v>
      </c>
      <c r="G2270" s="5">
        <v>12.9</v>
      </c>
      <c r="H2270" s="4" t="s">
        <v>2770</v>
      </c>
      <c r="I2270" s="10">
        <v>49</v>
      </c>
      <c r="J2270" s="34">
        <f t="shared" si="140"/>
        <v>0.42629999999999996</v>
      </c>
      <c r="K2270" s="34">
        <f t="shared" si="141"/>
        <v>0.64</v>
      </c>
      <c r="L2270" s="34">
        <f t="shared" si="142"/>
        <v>2.56</v>
      </c>
      <c r="M2270" s="11" t="s">
        <v>5240</v>
      </c>
      <c r="N2270" s="11" t="s">
        <v>5230</v>
      </c>
      <c r="O2270" s="11" t="s">
        <v>5231</v>
      </c>
      <c r="P2270" s="11" t="s">
        <v>5232</v>
      </c>
      <c r="Q2270" s="12">
        <v>8</v>
      </c>
      <c r="R2270" s="12">
        <v>12.9</v>
      </c>
      <c r="S2270" s="12">
        <v>2.2000000000000002</v>
      </c>
      <c r="T2270" s="13">
        <v>2.92</v>
      </c>
      <c r="U2270" s="13">
        <f t="shared" si="143"/>
        <v>0.35999999999999988</v>
      </c>
      <c r="V2270" s="14">
        <v>357.7</v>
      </c>
      <c r="W2270" s="14">
        <v>357.7</v>
      </c>
      <c r="X2270" s="11">
        <v>11</v>
      </c>
      <c r="Y2270" s="15" t="s">
        <v>3713</v>
      </c>
      <c r="Z2270" s="16">
        <v>308.7</v>
      </c>
      <c r="AA2270" s="17">
        <v>630</v>
      </c>
      <c r="AB2270" s="18" t="s">
        <v>3714</v>
      </c>
    </row>
    <row r="2271" spans="1:28" x14ac:dyDescent="0.45">
      <c r="A2271" s="2" t="s">
        <v>3007</v>
      </c>
      <c r="B2271" s="2" t="s">
        <v>3008</v>
      </c>
      <c r="C2271" s="2" t="s">
        <v>2797</v>
      </c>
      <c r="D2271" s="2" t="s">
        <v>2798</v>
      </c>
      <c r="E2271" s="2" t="s">
        <v>96</v>
      </c>
      <c r="F2271" s="3">
        <v>10</v>
      </c>
      <c r="G2271" s="3">
        <v>14.9</v>
      </c>
      <c r="H2271" s="2" t="s">
        <v>2770</v>
      </c>
      <c r="I2271" s="19">
        <v>49</v>
      </c>
      <c r="J2271" s="34">
        <f t="shared" si="140"/>
        <v>0.42629999999999996</v>
      </c>
      <c r="K2271" s="34">
        <f t="shared" si="141"/>
        <v>0.64</v>
      </c>
      <c r="L2271" s="34">
        <f t="shared" si="142"/>
        <v>2.56</v>
      </c>
      <c r="M2271" s="20" t="s">
        <v>5383</v>
      </c>
      <c r="N2271" s="20" t="s">
        <v>5230</v>
      </c>
      <c r="O2271" s="20" t="s">
        <v>5231</v>
      </c>
      <c r="P2271" s="20" t="s">
        <v>5232</v>
      </c>
      <c r="Q2271" s="21">
        <v>10</v>
      </c>
      <c r="R2271" s="21">
        <v>14.9</v>
      </c>
      <c r="S2271" s="21">
        <v>2.2000000000000002</v>
      </c>
      <c r="T2271" s="22">
        <v>9.36</v>
      </c>
      <c r="U2271" s="13">
        <f t="shared" si="143"/>
        <v>6.7999999999999989</v>
      </c>
      <c r="V2271" s="23">
        <v>1146.5999999999999</v>
      </c>
      <c r="W2271" s="23">
        <v>1146.5999999999999</v>
      </c>
      <c r="X2271" s="20">
        <v>146</v>
      </c>
      <c r="Y2271" s="24" t="s">
        <v>3713</v>
      </c>
      <c r="Z2271" s="16">
        <v>1097.5999999999999</v>
      </c>
      <c r="AA2271" s="17">
        <v>2240</v>
      </c>
      <c r="AB2271" s="25" t="s">
        <v>3714</v>
      </c>
    </row>
    <row r="2272" spans="1:28" x14ac:dyDescent="0.45">
      <c r="A2272" s="4" t="s">
        <v>3009</v>
      </c>
      <c r="B2272" s="4" t="s">
        <v>3010</v>
      </c>
      <c r="C2272" s="4" t="s">
        <v>2797</v>
      </c>
      <c r="D2272" s="4" t="s">
        <v>2798</v>
      </c>
      <c r="E2272" s="4" t="s">
        <v>96</v>
      </c>
      <c r="F2272" s="5">
        <v>10</v>
      </c>
      <c r="G2272" s="5">
        <v>17.3</v>
      </c>
      <c r="H2272" s="4" t="s">
        <v>1104</v>
      </c>
      <c r="I2272" s="10">
        <v>52</v>
      </c>
      <c r="J2272" s="34">
        <f t="shared" si="140"/>
        <v>0.45239999999999997</v>
      </c>
      <c r="K2272" s="34">
        <f t="shared" si="141"/>
        <v>0.68</v>
      </c>
      <c r="L2272" s="34">
        <f t="shared" si="142"/>
        <v>2.72</v>
      </c>
      <c r="M2272" s="11" t="s">
        <v>5241</v>
      </c>
      <c r="N2272" s="11"/>
      <c r="O2272" s="11" t="s">
        <v>5231</v>
      </c>
      <c r="P2272" s="11" t="s">
        <v>5242</v>
      </c>
      <c r="Q2272" s="12">
        <v>10</v>
      </c>
      <c r="R2272" s="12">
        <v>17.5</v>
      </c>
      <c r="S2272" s="12">
        <v>3.2</v>
      </c>
      <c r="T2272" s="13">
        <v>6.07</v>
      </c>
      <c r="U2272" s="13">
        <f t="shared" si="143"/>
        <v>3.35</v>
      </c>
      <c r="V2272" s="14">
        <v>743.58</v>
      </c>
      <c r="W2272" s="14">
        <v>743.58</v>
      </c>
      <c r="X2272" s="11" t="s">
        <v>3722</v>
      </c>
      <c r="Y2272" s="15" t="s">
        <v>3713</v>
      </c>
      <c r="Z2272" s="16">
        <v>691.58</v>
      </c>
      <c r="AA2272" s="17">
        <v>1330</v>
      </c>
      <c r="AB2272" s="18" t="s">
        <v>3793</v>
      </c>
    </row>
    <row r="2273" spans="1:28" x14ac:dyDescent="0.45">
      <c r="A2273" s="2" t="s">
        <v>3011</v>
      </c>
      <c r="B2273" s="2" t="s">
        <v>3012</v>
      </c>
      <c r="C2273" s="2" t="s">
        <v>2797</v>
      </c>
      <c r="D2273" s="2" t="s">
        <v>2798</v>
      </c>
      <c r="E2273" s="2" t="s">
        <v>96</v>
      </c>
      <c r="F2273" s="3">
        <v>12</v>
      </c>
      <c r="G2273" s="3">
        <v>16.899999999999999</v>
      </c>
      <c r="H2273" s="2" t="s">
        <v>2770</v>
      </c>
      <c r="I2273" s="19">
        <v>50</v>
      </c>
      <c r="J2273" s="34">
        <f t="shared" si="140"/>
        <v>0.43499999999999994</v>
      </c>
      <c r="K2273" s="34">
        <f t="shared" si="141"/>
        <v>0.65</v>
      </c>
      <c r="L2273" s="34">
        <f t="shared" si="142"/>
        <v>2.6</v>
      </c>
      <c r="M2273" s="20" t="s">
        <v>5243</v>
      </c>
      <c r="N2273" s="20" t="s">
        <v>5230</v>
      </c>
      <c r="O2273" s="20" t="s">
        <v>5231</v>
      </c>
      <c r="P2273" s="20" t="s">
        <v>5232</v>
      </c>
      <c r="Q2273" s="21">
        <v>12</v>
      </c>
      <c r="R2273" s="21">
        <v>16.899999999999999</v>
      </c>
      <c r="S2273" s="21">
        <v>2.2000000000000002</v>
      </c>
      <c r="T2273" s="22">
        <v>5.16</v>
      </c>
      <c r="U2273" s="13">
        <f t="shared" si="143"/>
        <v>2.56</v>
      </c>
      <c r="V2273" s="23">
        <v>632.1</v>
      </c>
      <c r="W2273" s="23">
        <v>632.1</v>
      </c>
      <c r="X2273" s="20">
        <v>135</v>
      </c>
      <c r="Y2273" s="24" t="s">
        <v>3713</v>
      </c>
      <c r="Z2273" s="16">
        <v>582.1</v>
      </c>
      <c r="AA2273" s="17">
        <v>1164.2</v>
      </c>
      <c r="AB2273" s="25" t="s">
        <v>3714</v>
      </c>
    </row>
    <row r="2274" spans="1:28" x14ac:dyDescent="0.45">
      <c r="A2274" s="4" t="s">
        <v>3013</v>
      </c>
      <c r="B2274" s="4" t="s">
        <v>3014</v>
      </c>
      <c r="C2274" s="4" t="s">
        <v>2797</v>
      </c>
      <c r="D2274" s="4" t="s">
        <v>2798</v>
      </c>
      <c r="E2274" s="4" t="s">
        <v>96</v>
      </c>
      <c r="F2274" s="5">
        <v>12</v>
      </c>
      <c r="G2274" s="5">
        <v>19.3</v>
      </c>
      <c r="H2274" s="4" t="s">
        <v>1104</v>
      </c>
      <c r="I2274" s="10">
        <v>54</v>
      </c>
      <c r="J2274" s="34">
        <f t="shared" si="140"/>
        <v>0.4698</v>
      </c>
      <c r="K2274" s="34">
        <f t="shared" si="141"/>
        <v>0.7</v>
      </c>
      <c r="L2274" s="34">
        <f t="shared" si="142"/>
        <v>2.8</v>
      </c>
      <c r="M2274" s="11" t="s">
        <v>5244</v>
      </c>
      <c r="N2274" s="11" t="s">
        <v>5230</v>
      </c>
      <c r="O2274" s="11" t="s">
        <v>5231</v>
      </c>
      <c r="P2274" s="11" t="s">
        <v>5232</v>
      </c>
      <c r="Q2274" s="12">
        <v>12</v>
      </c>
      <c r="R2274" s="12">
        <v>19.5</v>
      </c>
      <c r="S2274" s="12">
        <v>3.2</v>
      </c>
      <c r="T2274" s="13">
        <v>7.9</v>
      </c>
      <c r="U2274" s="13">
        <f t="shared" si="143"/>
        <v>5.1000000000000005</v>
      </c>
      <c r="V2274" s="14">
        <v>967.75</v>
      </c>
      <c r="W2274" s="14">
        <v>967.75</v>
      </c>
      <c r="X2274" s="11">
        <v>87</v>
      </c>
      <c r="Y2274" s="15" t="s">
        <v>3713</v>
      </c>
      <c r="Z2274" s="16">
        <v>913.75</v>
      </c>
      <c r="AA2274" s="17">
        <v>1692.1</v>
      </c>
      <c r="AB2274" s="18" t="s">
        <v>3793</v>
      </c>
    </row>
    <row r="2275" spans="1:28" x14ac:dyDescent="0.45">
      <c r="A2275" s="2" t="s">
        <v>3015</v>
      </c>
      <c r="B2275" s="2" t="s">
        <v>3016</v>
      </c>
      <c r="C2275" s="2" t="s">
        <v>2797</v>
      </c>
      <c r="D2275" s="2" t="s">
        <v>2798</v>
      </c>
      <c r="E2275" s="2" t="s">
        <v>96</v>
      </c>
      <c r="F2275" s="3">
        <v>14</v>
      </c>
      <c r="G2275" s="3">
        <v>18.899999999999999</v>
      </c>
      <c r="H2275" s="2" t="s">
        <v>2770</v>
      </c>
      <c r="I2275" s="19">
        <v>50</v>
      </c>
      <c r="J2275" s="34">
        <f t="shared" si="140"/>
        <v>0.43499999999999994</v>
      </c>
      <c r="K2275" s="34">
        <f t="shared" si="141"/>
        <v>0.65</v>
      </c>
      <c r="L2275" s="34">
        <f t="shared" si="142"/>
        <v>2.6</v>
      </c>
      <c r="M2275" s="20" t="s">
        <v>5384</v>
      </c>
      <c r="N2275" s="20" t="s">
        <v>5230</v>
      </c>
      <c r="O2275" s="20" t="s">
        <v>5231</v>
      </c>
      <c r="P2275" s="20" t="s">
        <v>5232</v>
      </c>
      <c r="Q2275" s="21">
        <v>14</v>
      </c>
      <c r="R2275" s="21">
        <v>18.899999999999999</v>
      </c>
      <c r="S2275" s="21">
        <v>2.2000000000000002</v>
      </c>
      <c r="T2275" s="22">
        <v>5.16</v>
      </c>
      <c r="U2275" s="13">
        <f t="shared" si="143"/>
        <v>2.56</v>
      </c>
      <c r="V2275" s="23">
        <v>632.1</v>
      </c>
      <c r="W2275" s="23">
        <v>632.1</v>
      </c>
      <c r="X2275" s="20">
        <v>89</v>
      </c>
      <c r="Y2275" s="24" t="s">
        <v>3713</v>
      </c>
      <c r="Z2275" s="16">
        <v>582.1</v>
      </c>
      <c r="AA2275" s="17">
        <v>1164.2</v>
      </c>
      <c r="AB2275" s="25" t="s">
        <v>3714</v>
      </c>
    </row>
    <row r="2276" spans="1:28" x14ac:dyDescent="0.45">
      <c r="A2276" s="4" t="s">
        <v>3017</v>
      </c>
      <c r="B2276" s="4" t="s">
        <v>3018</v>
      </c>
      <c r="C2276" s="4" t="s">
        <v>2797</v>
      </c>
      <c r="D2276" s="4" t="s">
        <v>2798</v>
      </c>
      <c r="E2276" s="4" t="s">
        <v>96</v>
      </c>
      <c r="F2276" s="5">
        <v>14</v>
      </c>
      <c r="G2276" s="5">
        <v>21.3</v>
      </c>
      <c r="H2276" s="4" t="s">
        <v>1104</v>
      </c>
      <c r="I2276" s="10">
        <v>54</v>
      </c>
      <c r="J2276" s="34">
        <f t="shared" si="140"/>
        <v>0.4698</v>
      </c>
      <c r="K2276" s="34">
        <f t="shared" si="141"/>
        <v>0.7</v>
      </c>
      <c r="L2276" s="34">
        <f t="shared" si="142"/>
        <v>2.8</v>
      </c>
      <c r="M2276" s="11" t="s">
        <v>5245</v>
      </c>
      <c r="N2276" s="11" t="s">
        <v>5230</v>
      </c>
      <c r="O2276" s="11" t="s">
        <v>5231</v>
      </c>
      <c r="P2276" s="11" t="s">
        <v>5232</v>
      </c>
      <c r="Q2276" s="12">
        <v>14</v>
      </c>
      <c r="R2276" s="12">
        <v>21.5</v>
      </c>
      <c r="S2276" s="12">
        <v>3.2</v>
      </c>
      <c r="T2276" s="13">
        <v>7.06</v>
      </c>
      <c r="U2276" s="13">
        <f t="shared" si="143"/>
        <v>4.26</v>
      </c>
      <c r="V2276" s="14">
        <v>864.85</v>
      </c>
      <c r="W2276" s="14">
        <v>864.85</v>
      </c>
      <c r="X2276" s="11">
        <v>183</v>
      </c>
      <c r="Y2276" s="15" t="s">
        <v>3713</v>
      </c>
      <c r="Z2276" s="16">
        <v>810.85</v>
      </c>
      <c r="AA2276" s="17">
        <v>1501.6</v>
      </c>
      <c r="AB2276" s="18" t="s">
        <v>3793</v>
      </c>
    </row>
    <row r="2277" spans="1:28" x14ac:dyDescent="0.45">
      <c r="A2277" s="2" t="s">
        <v>3019</v>
      </c>
      <c r="B2277" s="2" t="s">
        <v>3020</v>
      </c>
      <c r="C2277" s="2" t="s">
        <v>2797</v>
      </c>
      <c r="D2277" s="2" t="s">
        <v>2798</v>
      </c>
      <c r="E2277" s="2" t="s">
        <v>96</v>
      </c>
      <c r="F2277" s="3">
        <v>15</v>
      </c>
      <c r="G2277" s="3">
        <v>22.3</v>
      </c>
      <c r="H2277" s="2" t="s">
        <v>1104</v>
      </c>
      <c r="I2277" s="19">
        <v>56</v>
      </c>
      <c r="J2277" s="34">
        <f t="shared" si="140"/>
        <v>0.48719999999999997</v>
      </c>
      <c r="K2277" s="34">
        <f t="shared" si="141"/>
        <v>0.73</v>
      </c>
      <c r="L2277" s="34">
        <f t="shared" si="142"/>
        <v>2.92</v>
      </c>
      <c r="M2277" s="20" t="s">
        <v>5246</v>
      </c>
      <c r="N2277" s="20"/>
      <c r="O2277" s="20" t="s">
        <v>5231</v>
      </c>
      <c r="P2277" s="20" t="s">
        <v>5242</v>
      </c>
      <c r="Q2277" s="21">
        <v>15</v>
      </c>
      <c r="R2277" s="21">
        <v>22.3</v>
      </c>
      <c r="S2277" s="21">
        <v>3.2</v>
      </c>
      <c r="T2277" s="22">
        <v>6.08</v>
      </c>
      <c r="U2277" s="13">
        <f t="shared" si="143"/>
        <v>3.16</v>
      </c>
      <c r="V2277" s="23">
        <v>744.8</v>
      </c>
      <c r="W2277" s="23">
        <v>744.8</v>
      </c>
      <c r="X2277" s="20" t="s">
        <v>3722</v>
      </c>
      <c r="Y2277" s="24" t="s">
        <v>3713</v>
      </c>
      <c r="Z2277" s="16">
        <v>688.8</v>
      </c>
      <c r="AA2277" s="17">
        <v>1230</v>
      </c>
      <c r="AB2277" s="25" t="s">
        <v>3714</v>
      </c>
    </row>
    <row r="2278" spans="1:28" x14ac:dyDescent="0.45">
      <c r="A2278" s="4" t="s">
        <v>3021</v>
      </c>
      <c r="B2278" s="4" t="s">
        <v>3022</v>
      </c>
      <c r="C2278" s="4" t="s">
        <v>2797</v>
      </c>
      <c r="D2278" s="4" t="s">
        <v>2798</v>
      </c>
      <c r="E2278" s="4" t="s">
        <v>96</v>
      </c>
      <c r="F2278" s="5">
        <v>15</v>
      </c>
      <c r="G2278" s="5">
        <v>30.1</v>
      </c>
      <c r="H2278" s="4" t="s">
        <v>851</v>
      </c>
      <c r="I2278" s="10">
        <v>98</v>
      </c>
      <c r="J2278" s="34">
        <f t="shared" si="140"/>
        <v>0.85259999999999991</v>
      </c>
      <c r="K2278" s="34">
        <f t="shared" si="141"/>
        <v>1.28</v>
      </c>
      <c r="L2278" s="34">
        <f t="shared" si="142"/>
        <v>5.12</v>
      </c>
      <c r="M2278" s="11" t="s">
        <v>5385</v>
      </c>
      <c r="N2278" s="11" t="s">
        <v>5386</v>
      </c>
      <c r="O2278" s="11" t="s">
        <v>5270</v>
      </c>
      <c r="P2278" s="11" t="s">
        <v>5387</v>
      </c>
      <c r="Q2278" s="12">
        <v>15.747999999999999</v>
      </c>
      <c r="R2278" s="12">
        <v>31.75</v>
      </c>
      <c r="S2278" s="12">
        <v>8.6359999999999992</v>
      </c>
      <c r="T2278" s="13">
        <v>16.260000000000002</v>
      </c>
      <c r="U2278" s="13">
        <f t="shared" si="143"/>
        <v>11.14</v>
      </c>
      <c r="V2278" s="14">
        <v>1991.85</v>
      </c>
      <c r="W2278" s="14">
        <v>1991.85</v>
      </c>
      <c r="X2278" s="11" t="s">
        <v>3722</v>
      </c>
      <c r="Y2278" s="15" t="s">
        <v>3737</v>
      </c>
      <c r="Z2278" s="16">
        <v>1893.85</v>
      </c>
      <c r="AA2278" s="17">
        <v>1932.5</v>
      </c>
      <c r="AB2278" s="18" t="s">
        <v>5388</v>
      </c>
    </row>
    <row r="2279" spans="1:28" x14ac:dyDescent="0.45">
      <c r="A2279" s="2" t="s">
        <v>3023</v>
      </c>
      <c r="B2279" s="2" t="s">
        <v>3024</v>
      </c>
      <c r="C2279" s="2" t="s">
        <v>2797</v>
      </c>
      <c r="D2279" s="2" t="s">
        <v>2798</v>
      </c>
      <c r="E2279" s="2" t="s">
        <v>96</v>
      </c>
      <c r="F2279" s="3">
        <v>16</v>
      </c>
      <c r="G2279" s="3">
        <v>20.9</v>
      </c>
      <c r="H2279" s="2" t="s">
        <v>2770</v>
      </c>
      <c r="I2279" s="19">
        <v>52</v>
      </c>
      <c r="J2279" s="34">
        <f t="shared" si="140"/>
        <v>0.45239999999999997</v>
      </c>
      <c r="K2279" s="34">
        <f t="shared" si="141"/>
        <v>0.68</v>
      </c>
      <c r="L2279" s="34">
        <f t="shared" si="142"/>
        <v>2.72</v>
      </c>
      <c r="M2279" s="20" t="s">
        <v>5389</v>
      </c>
      <c r="N2279" s="20" t="s">
        <v>5230</v>
      </c>
      <c r="O2279" s="20" t="s">
        <v>5231</v>
      </c>
      <c r="P2279" s="20" t="s">
        <v>5232</v>
      </c>
      <c r="Q2279" s="21">
        <v>16</v>
      </c>
      <c r="R2279" s="21">
        <v>20.9</v>
      </c>
      <c r="S2279" s="21">
        <v>2.2000000000000002</v>
      </c>
      <c r="T2279" s="22">
        <v>2.97</v>
      </c>
      <c r="U2279" s="13">
        <f t="shared" si="143"/>
        <v>0.25</v>
      </c>
      <c r="V2279" s="23">
        <v>363.83</v>
      </c>
      <c r="W2279" s="23">
        <v>363.83</v>
      </c>
      <c r="X2279" s="20">
        <v>107</v>
      </c>
      <c r="Y2279" s="24" t="s">
        <v>3713</v>
      </c>
      <c r="Z2279" s="16">
        <v>311.83</v>
      </c>
      <c r="AA2279" s="17">
        <v>599.70000000000005</v>
      </c>
      <c r="AB2279" s="25" t="s">
        <v>3714</v>
      </c>
    </row>
    <row r="2280" spans="1:28" x14ac:dyDescent="0.45">
      <c r="A2280" s="4" t="s">
        <v>3025</v>
      </c>
      <c r="B2280" s="4" t="s">
        <v>3026</v>
      </c>
      <c r="C2280" s="4" t="s">
        <v>2797</v>
      </c>
      <c r="D2280" s="4" t="s">
        <v>2798</v>
      </c>
      <c r="E2280" s="4" t="s">
        <v>96</v>
      </c>
      <c r="F2280" s="5">
        <v>16</v>
      </c>
      <c r="G2280" s="5">
        <v>23.3</v>
      </c>
      <c r="H2280" s="4" t="s">
        <v>1104</v>
      </c>
      <c r="I2280" s="10">
        <v>56</v>
      </c>
      <c r="J2280" s="34">
        <f t="shared" si="140"/>
        <v>0.48719999999999997</v>
      </c>
      <c r="K2280" s="34">
        <f t="shared" si="141"/>
        <v>0.73</v>
      </c>
      <c r="L2280" s="34">
        <f t="shared" si="142"/>
        <v>2.92</v>
      </c>
      <c r="M2280" s="11" t="s">
        <v>5247</v>
      </c>
      <c r="N2280" s="11" t="s">
        <v>5230</v>
      </c>
      <c r="O2280" s="11" t="s">
        <v>5231</v>
      </c>
      <c r="P2280" s="11" t="s">
        <v>5232</v>
      </c>
      <c r="Q2280" s="12">
        <v>16</v>
      </c>
      <c r="R2280" s="12">
        <v>23.5</v>
      </c>
      <c r="S2280" s="12">
        <v>3.2</v>
      </c>
      <c r="T2280" s="13">
        <v>3.12</v>
      </c>
      <c r="U2280" s="13">
        <f t="shared" si="143"/>
        <v>0.20000000000000018</v>
      </c>
      <c r="V2280" s="14">
        <v>382.2</v>
      </c>
      <c r="W2280" s="14">
        <v>382.2</v>
      </c>
      <c r="X2280" s="11" t="s">
        <v>3722</v>
      </c>
      <c r="Y2280" s="15" t="s">
        <v>3713</v>
      </c>
      <c r="Z2280" s="16">
        <v>326.2</v>
      </c>
      <c r="AA2280" s="17">
        <v>582.5</v>
      </c>
      <c r="AB2280" s="18" t="s">
        <v>3793</v>
      </c>
    </row>
    <row r="2281" spans="1:28" x14ac:dyDescent="0.45">
      <c r="A2281" s="2" t="s">
        <v>3027</v>
      </c>
      <c r="B2281" s="2" t="s">
        <v>3028</v>
      </c>
      <c r="C2281" s="2" t="s">
        <v>2797</v>
      </c>
      <c r="D2281" s="2" t="s">
        <v>2798</v>
      </c>
      <c r="E2281" s="2" t="s">
        <v>96</v>
      </c>
      <c r="F2281" s="3">
        <v>18</v>
      </c>
      <c r="G2281" s="3">
        <v>22.9</v>
      </c>
      <c r="H2281" s="2" t="s">
        <v>2770</v>
      </c>
      <c r="I2281" s="19">
        <v>52</v>
      </c>
      <c r="J2281" s="34">
        <f t="shared" si="140"/>
        <v>0.45239999999999997</v>
      </c>
      <c r="K2281" s="34">
        <f t="shared" si="141"/>
        <v>0.68</v>
      </c>
      <c r="L2281" s="34">
        <f t="shared" si="142"/>
        <v>2.72</v>
      </c>
      <c r="M2281" s="20" t="s">
        <v>5248</v>
      </c>
      <c r="N2281" s="20" t="s">
        <v>5230</v>
      </c>
      <c r="O2281" s="20" t="s">
        <v>5231</v>
      </c>
      <c r="P2281" s="20" t="s">
        <v>5232</v>
      </c>
      <c r="Q2281" s="21">
        <v>18</v>
      </c>
      <c r="R2281" s="21">
        <v>22.9</v>
      </c>
      <c r="S2281" s="21">
        <v>2.2000000000000002</v>
      </c>
      <c r="T2281" s="22">
        <v>5.26</v>
      </c>
      <c r="U2281" s="13">
        <f t="shared" si="143"/>
        <v>2.5399999999999996</v>
      </c>
      <c r="V2281" s="23">
        <v>644.35</v>
      </c>
      <c r="W2281" s="23">
        <v>644.35</v>
      </c>
      <c r="X2281" s="20">
        <v>364</v>
      </c>
      <c r="Y2281" s="24" t="s">
        <v>3713</v>
      </c>
      <c r="Z2281" s="16">
        <v>592.35</v>
      </c>
      <c r="AA2281" s="17">
        <v>1139.0999999999999</v>
      </c>
      <c r="AB2281" s="25" t="s">
        <v>3714</v>
      </c>
    </row>
    <row r="2282" spans="1:28" x14ac:dyDescent="0.45">
      <c r="A2282" s="4" t="s">
        <v>3029</v>
      </c>
      <c r="B2282" s="4" t="s">
        <v>3030</v>
      </c>
      <c r="C2282" s="4" t="s">
        <v>2797</v>
      </c>
      <c r="D2282" s="4" t="s">
        <v>2798</v>
      </c>
      <c r="E2282" s="4" t="s">
        <v>96</v>
      </c>
      <c r="F2282" s="5">
        <v>18</v>
      </c>
      <c r="G2282" s="5">
        <v>25.3</v>
      </c>
      <c r="H2282" s="4" t="s">
        <v>1104</v>
      </c>
      <c r="I2282" s="10">
        <v>56</v>
      </c>
      <c r="J2282" s="34">
        <f t="shared" si="140"/>
        <v>0.48719999999999997</v>
      </c>
      <c r="K2282" s="34">
        <f t="shared" si="141"/>
        <v>0.73</v>
      </c>
      <c r="L2282" s="34">
        <f t="shared" si="142"/>
        <v>2.92</v>
      </c>
      <c r="M2282" s="11" t="s">
        <v>5249</v>
      </c>
      <c r="N2282" s="11" t="s">
        <v>5250</v>
      </c>
      <c r="O2282" s="11" t="s">
        <v>5251</v>
      </c>
      <c r="P2282" s="11" t="s">
        <v>5252</v>
      </c>
      <c r="Q2282" s="12">
        <v>18</v>
      </c>
      <c r="R2282" s="12">
        <v>25.5</v>
      </c>
      <c r="S2282" s="12">
        <v>2.8</v>
      </c>
      <c r="T2282" s="13">
        <v>8.36</v>
      </c>
      <c r="U2282" s="13">
        <f t="shared" si="143"/>
        <v>5.4399999999999995</v>
      </c>
      <c r="V2282" s="14">
        <v>1024.0999999999999</v>
      </c>
      <c r="W2282" s="14">
        <v>1024.0999999999999</v>
      </c>
      <c r="X2282" s="11">
        <v>42</v>
      </c>
      <c r="Y2282" s="15" t="s">
        <v>3713</v>
      </c>
      <c r="Z2282" s="16">
        <v>968.09999999999991</v>
      </c>
      <c r="AA2282" s="17">
        <v>1728.7</v>
      </c>
      <c r="AB2282" s="18" t="s">
        <v>3793</v>
      </c>
    </row>
    <row r="2283" spans="1:28" x14ac:dyDescent="0.45">
      <c r="A2283" s="2" t="s">
        <v>3031</v>
      </c>
      <c r="B2283" s="2" t="s">
        <v>3032</v>
      </c>
      <c r="C2283" s="2" t="s">
        <v>2797</v>
      </c>
      <c r="D2283" s="2" t="s">
        <v>2798</v>
      </c>
      <c r="E2283" s="2" t="s">
        <v>96</v>
      </c>
      <c r="F2283" s="3">
        <v>18</v>
      </c>
      <c r="G2283" s="3">
        <v>28.7</v>
      </c>
      <c r="H2283" s="2" t="s">
        <v>2771</v>
      </c>
      <c r="I2283" s="19">
        <v>72</v>
      </c>
      <c r="J2283" s="34">
        <f t="shared" si="140"/>
        <v>0.62639999999999996</v>
      </c>
      <c r="K2283" s="34">
        <f t="shared" si="141"/>
        <v>0.94</v>
      </c>
      <c r="L2283" s="34">
        <f t="shared" si="142"/>
        <v>3.76</v>
      </c>
      <c r="M2283" s="20" t="s">
        <v>5253</v>
      </c>
      <c r="N2283" s="20" t="s">
        <v>5254</v>
      </c>
      <c r="O2283" s="20" t="s">
        <v>5251</v>
      </c>
      <c r="P2283" s="20" t="s">
        <v>5255</v>
      </c>
      <c r="Q2283" s="21">
        <v>18</v>
      </c>
      <c r="R2283" s="21">
        <v>28</v>
      </c>
      <c r="S2283" s="21">
        <v>7.7</v>
      </c>
      <c r="T2283" s="22">
        <v>12.75</v>
      </c>
      <c r="U2283" s="13">
        <f t="shared" si="143"/>
        <v>8.99</v>
      </c>
      <c r="V2283" s="23">
        <v>1561.88</v>
      </c>
      <c r="W2283" s="23">
        <v>1561.88</v>
      </c>
      <c r="X2283" s="20">
        <v>37</v>
      </c>
      <c r="Y2283" s="24" t="s">
        <v>3713</v>
      </c>
      <c r="Z2283" s="16">
        <v>1489.88</v>
      </c>
      <c r="AA2283" s="17">
        <v>2069.3000000000002</v>
      </c>
      <c r="AB2283" s="25" t="s">
        <v>5256</v>
      </c>
    </row>
    <row r="2284" spans="1:28" x14ac:dyDescent="0.45">
      <c r="A2284" s="4" t="s">
        <v>3033</v>
      </c>
      <c r="B2284" s="4" t="s">
        <v>3034</v>
      </c>
      <c r="C2284" s="4" t="s">
        <v>2797</v>
      </c>
      <c r="D2284" s="4" t="s">
        <v>2798</v>
      </c>
      <c r="E2284" s="4" t="s">
        <v>96</v>
      </c>
      <c r="F2284" s="5">
        <v>20</v>
      </c>
      <c r="G2284" s="5">
        <v>27.3</v>
      </c>
      <c r="H2284" s="4" t="s">
        <v>1104</v>
      </c>
      <c r="I2284" s="10">
        <v>59</v>
      </c>
      <c r="J2284" s="34">
        <f t="shared" si="140"/>
        <v>0.51329999999999998</v>
      </c>
      <c r="K2284" s="34">
        <f t="shared" si="141"/>
        <v>0.77</v>
      </c>
      <c r="L2284" s="34">
        <f t="shared" si="142"/>
        <v>3.08</v>
      </c>
      <c r="M2284" s="11" t="s">
        <v>5257</v>
      </c>
      <c r="N2284" s="11"/>
      <c r="O2284" s="11" t="s">
        <v>5231</v>
      </c>
      <c r="P2284" s="11" t="s">
        <v>5238</v>
      </c>
      <c r="Q2284" s="12">
        <v>20</v>
      </c>
      <c r="R2284" s="12">
        <v>27.5</v>
      </c>
      <c r="S2284" s="12">
        <v>3.2</v>
      </c>
      <c r="T2284" s="13">
        <v>8.23</v>
      </c>
      <c r="U2284" s="13">
        <f t="shared" si="143"/>
        <v>5.15</v>
      </c>
      <c r="V2284" s="14">
        <v>1008.18</v>
      </c>
      <c r="W2284" s="14">
        <v>1008.18</v>
      </c>
      <c r="X2284" s="11">
        <v>122</v>
      </c>
      <c r="Y2284" s="15" t="s">
        <v>3713</v>
      </c>
      <c r="Z2284" s="16">
        <v>949.18</v>
      </c>
      <c r="AA2284" s="17">
        <v>1608.8</v>
      </c>
      <c r="AB2284" s="18" t="s">
        <v>3793</v>
      </c>
    </row>
    <row r="2285" spans="1:28" x14ac:dyDescent="0.45">
      <c r="A2285" s="2" t="s">
        <v>3035</v>
      </c>
      <c r="B2285" s="2" t="s">
        <v>3036</v>
      </c>
      <c r="C2285" s="2" t="s">
        <v>2797</v>
      </c>
      <c r="D2285" s="2" t="s">
        <v>2798</v>
      </c>
      <c r="E2285" s="2" t="s">
        <v>96</v>
      </c>
      <c r="F2285" s="3">
        <v>20</v>
      </c>
      <c r="G2285" s="3">
        <v>30.7</v>
      </c>
      <c r="H2285" s="2" t="s">
        <v>2771</v>
      </c>
      <c r="I2285" s="19">
        <v>74</v>
      </c>
      <c r="J2285" s="34">
        <f t="shared" si="140"/>
        <v>0.64379999999999993</v>
      </c>
      <c r="K2285" s="34">
        <f t="shared" si="141"/>
        <v>0.97</v>
      </c>
      <c r="L2285" s="34">
        <f t="shared" si="142"/>
        <v>3.88</v>
      </c>
      <c r="M2285" s="20" t="s">
        <v>5258</v>
      </c>
      <c r="N2285" s="20" t="s">
        <v>5250</v>
      </c>
      <c r="O2285" s="20" t="s">
        <v>5251</v>
      </c>
      <c r="P2285" s="20" t="s">
        <v>5252</v>
      </c>
      <c r="Q2285" s="21">
        <v>20</v>
      </c>
      <c r="R2285" s="21">
        <v>31</v>
      </c>
      <c r="S2285" s="21">
        <v>3.9</v>
      </c>
      <c r="T2285" s="22">
        <v>8.48</v>
      </c>
      <c r="U2285" s="13">
        <f t="shared" si="143"/>
        <v>4.6000000000000005</v>
      </c>
      <c r="V2285" s="23">
        <v>1038.8</v>
      </c>
      <c r="W2285" s="23">
        <v>1038.8</v>
      </c>
      <c r="X2285" s="20">
        <v>100</v>
      </c>
      <c r="Y2285" s="24" t="s">
        <v>3713</v>
      </c>
      <c r="Z2285" s="16">
        <v>964.8</v>
      </c>
      <c r="AA2285" s="17">
        <v>1303.8</v>
      </c>
      <c r="AB2285" s="25" t="s">
        <v>5259</v>
      </c>
    </row>
    <row r="2286" spans="1:28" x14ac:dyDescent="0.45">
      <c r="A2286" s="4" t="s">
        <v>3037</v>
      </c>
      <c r="B2286" s="4" t="s">
        <v>3038</v>
      </c>
      <c r="C2286" s="4" t="s">
        <v>2797</v>
      </c>
      <c r="D2286" s="4" t="s">
        <v>2798</v>
      </c>
      <c r="E2286" s="4" t="s">
        <v>96</v>
      </c>
      <c r="F2286" s="5">
        <v>20</v>
      </c>
      <c r="G2286" s="5">
        <v>35.1</v>
      </c>
      <c r="H2286" s="4" t="s">
        <v>851</v>
      </c>
      <c r="I2286" s="10">
        <v>106</v>
      </c>
      <c r="J2286" s="34">
        <f t="shared" si="140"/>
        <v>0.92219999999999991</v>
      </c>
      <c r="K2286" s="34">
        <f t="shared" si="141"/>
        <v>1.38</v>
      </c>
      <c r="L2286" s="34">
        <f t="shared" si="142"/>
        <v>5.52</v>
      </c>
      <c r="M2286" s="11" t="s">
        <v>5390</v>
      </c>
      <c r="N2286" s="11"/>
      <c r="O2286" s="11" t="s">
        <v>5270</v>
      </c>
      <c r="P2286" s="11" t="s">
        <v>5391</v>
      </c>
      <c r="Q2286" s="12">
        <v>20</v>
      </c>
      <c r="R2286" s="12">
        <v>35</v>
      </c>
      <c r="S2286" s="12">
        <v>8</v>
      </c>
      <c r="T2286" s="13">
        <v>9.32</v>
      </c>
      <c r="U2286" s="13">
        <f t="shared" si="143"/>
        <v>3.8000000000000007</v>
      </c>
      <c r="V2286" s="14">
        <v>1141.7</v>
      </c>
      <c r="W2286" s="14">
        <v>1141.7</v>
      </c>
      <c r="X2286" s="11">
        <v>7</v>
      </c>
      <c r="Y2286" s="15" t="s">
        <v>3713</v>
      </c>
      <c r="Z2286" s="16">
        <v>1035.7</v>
      </c>
      <c r="AA2286" s="17">
        <v>977.1</v>
      </c>
      <c r="AB2286" s="18" t="s">
        <v>5276</v>
      </c>
    </row>
    <row r="2287" spans="1:28" x14ac:dyDescent="0.45">
      <c r="A2287" s="2" t="s">
        <v>3039</v>
      </c>
      <c r="B2287" s="2" t="s">
        <v>3040</v>
      </c>
      <c r="C2287" s="2" t="s">
        <v>2797</v>
      </c>
      <c r="D2287" s="2" t="s">
        <v>2798</v>
      </c>
      <c r="E2287" s="2" t="s">
        <v>96</v>
      </c>
      <c r="F2287" s="3">
        <v>22</v>
      </c>
      <c r="G2287" s="3">
        <v>29.3</v>
      </c>
      <c r="H2287" s="2" t="s">
        <v>1104</v>
      </c>
      <c r="I2287" s="19">
        <v>59</v>
      </c>
      <c r="J2287" s="34">
        <f t="shared" si="140"/>
        <v>0.51329999999999998</v>
      </c>
      <c r="K2287" s="34">
        <f t="shared" si="141"/>
        <v>0.77</v>
      </c>
      <c r="L2287" s="34">
        <f t="shared" si="142"/>
        <v>3.08</v>
      </c>
      <c r="M2287" s="20" t="s">
        <v>5260</v>
      </c>
      <c r="N2287" s="20" t="s">
        <v>5230</v>
      </c>
      <c r="O2287" s="20" t="s">
        <v>5231</v>
      </c>
      <c r="P2287" s="20" t="s">
        <v>5232</v>
      </c>
      <c r="Q2287" s="21">
        <v>22</v>
      </c>
      <c r="R2287" s="21">
        <v>29.3</v>
      </c>
      <c r="S2287" s="21">
        <v>3.2</v>
      </c>
      <c r="T2287" s="22">
        <v>17.71</v>
      </c>
      <c r="U2287" s="13">
        <f t="shared" si="143"/>
        <v>14.63</v>
      </c>
      <c r="V2287" s="23">
        <v>2169.48</v>
      </c>
      <c r="W2287" s="23">
        <v>2169.48</v>
      </c>
      <c r="X2287" s="20">
        <v>2</v>
      </c>
      <c r="Y2287" s="24" t="s">
        <v>3713</v>
      </c>
      <c r="Z2287" s="16">
        <v>2110.48</v>
      </c>
      <c r="AA2287" s="17">
        <v>3577.1</v>
      </c>
      <c r="AB2287" s="25" t="s">
        <v>3714</v>
      </c>
    </row>
    <row r="2288" spans="1:28" x14ac:dyDescent="0.45">
      <c r="A2288" s="4" t="s">
        <v>3041</v>
      </c>
      <c r="B2288" s="4" t="s">
        <v>3042</v>
      </c>
      <c r="C2288" s="4" t="s">
        <v>2797</v>
      </c>
      <c r="D2288" s="4" t="s">
        <v>2798</v>
      </c>
      <c r="E2288" s="4" t="s">
        <v>96</v>
      </c>
      <c r="F2288" s="5">
        <v>22</v>
      </c>
      <c r="G2288" s="5">
        <v>32.700000000000003</v>
      </c>
      <c r="H2288" s="4" t="s">
        <v>2771</v>
      </c>
      <c r="I2288" s="10">
        <v>76</v>
      </c>
      <c r="J2288" s="34">
        <f t="shared" si="140"/>
        <v>0.66120000000000001</v>
      </c>
      <c r="K2288" s="34">
        <f t="shared" si="141"/>
        <v>0.99</v>
      </c>
      <c r="L2288" s="34">
        <f t="shared" si="142"/>
        <v>3.96</v>
      </c>
      <c r="M2288" s="11" t="s">
        <v>5261</v>
      </c>
      <c r="N2288" s="11" t="s">
        <v>5250</v>
      </c>
      <c r="O2288" s="11" t="s">
        <v>5251</v>
      </c>
      <c r="P2288" s="11" t="s">
        <v>5252</v>
      </c>
      <c r="Q2288" s="12">
        <v>22</v>
      </c>
      <c r="R2288" s="12">
        <v>33</v>
      </c>
      <c r="S2288" s="12">
        <v>3.9</v>
      </c>
      <c r="T2288" s="13">
        <v>8.7100000000000009</v>
      </c>
      <c r="U2288" s="13">
        <f t="shared" si="143"/>
        <v>4.7500000000000009</v>
      </c>
      <c r="V2288" s="14">
        <v>1066.98</v>
      </c>
      <c r="W2288" s="14">
        <v>1066.98</v>
      </c>
      <c r="X2288" s="11">
        <v>36</v>
      </c>
      <c r="Y2288" s="15" t="s">
        <v>3713</v>
      </c>
      <c r="Z2288" s="16">
        <v>990.98</v>
      </c>
      <c r="AA2288" s="17">
        <v>1303.9000000000001</v>
      </c>
      <c r="AB2288" s="18" t="s">
        <v>5259</v>
      </c>
    </row>
    <row r="2289" spans="1:28" x14ac:dyDescent="0.45">
      <c r="A2289" s="2" t="s">
        <v>3043</v>
      </c>
      <c r="B2289" s="2" t="s">
        <v>3044</v>
      </c>
      <c r="C2289" s="2" t="s">
        <v>2797</v>
      </c>
      <c r="D2289" s="2" t="s">
        <v>2798</v>
      </c>
      <c r="E2289" s="2" t="s">
        <v>96</v>
      </c>
      <c r="F2289" s="3">
        <v>25</v>
      </c>
      <c r="G2289" s="3">
        <v>32.299999999999997</v>
      </c>
      <c r="H2289" s="2" t="s">
        <v>1104</v>
      </c>
      <c r="I2289" s="19">
        <v>61</v>
      </c>
      <c r="J2289" s="34">
        <f t="shared" si="140"/>
        <v>0.53069999999999995</v>
      </c>
      <c r="K2289" s="34">
        <f t="shared" si="141"/>
        <v>0.8</v>
      </c>
      <c r="L2289" s="34">
        <f t="shared" si="142"/>
        <v>3.2</v>
      </c>
      <c r="M2289" s="20" t="s">
        <v>5262</v>
      </c>
      <c r="N2289" s="20" t="s">
        <v>5250</v>
      </c>
      <c r="O2289" s="20" t="s">
        <v>5251</v>
      </c>
      <c r="P2289" s="20" t="s">
        <v>5252</v>
      </c>
      <c r="Q2289" s="21">
        <v>25</v>
      </c>
      <c r="R2289" s="21">
        <v>32.5</v>
      </c>
      <c r="S2289" s="21">
        <v>2.8</v>
      </c>
      <c r="T2289" s="22">
        <v>7.94</v>
      </c>
      <c r="U2289" s="13">
        <f t="shared" si="143"/>
        <v>4.74</v>
      </c>
      <c r="V2289" s="23">
        <v>972.65</v>
      </c>
      <c r="W2289" s="23">
        <v>972.65</v>
      </c>
      <c r="X2289" s="20">
        <v>26</v>
      </c>
      <c r="Y2289" s="24" t="s">
        <v>3713</v>
      </c>
      <c r="Z2289" s="16">
        <v>911.65</v>
      </c>
      <c r="AA2289" s="17">
        <v>1494.5</v>
      </c>
      <c r="AB2289" s="25" t="s">
        <v>3793</v>
      </c>
    </row>
    <row r="2290" spans="1:28" x14ac:dyDescent="0.45">
      <c r="A2290" s="4" t="s">
        <v>3045</v>
      </c>
      <c r="B2290" s="4" t="s">
        <v>3046</v>
      </c>
      <c r="C2290" s="4" t="s">
        <v>2797</v>
      </c>
      <c r="D2290" s="4" t="s">
        <v>2798</v>
      </c>
      <c r="E2290" s="4" t="s">
        <v>96</v>
      </c>
      <c r="F2290" s="5">
        <v>25</v>
      </c>
      <c r="G2290" s="5">
        <v>35.700000000000003</v>
      </c>
      <c r="H2290" s="4" t="s">
        <v>2771</v>
      </c>
      <c r="I2290" s="10">
        <v>79</v>
      </c>
      <c r="J2290" s="34">
        <f t="shared" si="140"/>
        <v>0.68729999999999991</v>
      </c>
      <c r="K2290" s="34">
        <f t="shared" si="141"/>
        <v>1.03</v>
      </c>
      <c r="L2290" s="34">
        <f t="shared" si="142"/>
        <v>4.12</v>
      </c>
      <c r="M2290" s="11" t="s">
        <v>5263</v>
      </c>
      <c r="N2290" s="11" t="s">
        <v>5250</v>
      </c>
      <c r="O2290" s="11" t="s">
        <v>5251</v>
      </c>
      <c r="P2290" s="11" t="s">
        <v>5252</v>
      </c>
      <c r="Q2290" s="12">
        <v>25</v>
      </c>
      <c r="R2290" s="12">
        <v>36</v>
      </c>
      <c r="S2290" s="12">
        <v>3.9</v>
      </c>
      <c r="T2290" s="13">
        <v>12.26</v>
      </c>
      <c r="U2290" s="13">
        <f t="shared" si="143"/>
        <v>8.14</v>
      </c>
      <c r="V2290" s="14">
        <v>1501.85</v>
      </c>
      <c r="W2290" s="14">
        <v>1501.85</v>
      </c>
      <c r="X2290" s="11">
        <v>9</v>
      </c>
      <c r="Y2290" s="15" t="s">
        <v>3713</v>
      </c>
      <c r="Z2290" s="16">
        <v>1422.85</v>
      </c>
      <c r="AA2290" s="17">
        <v>1801.1</v>
      </c>
      <c r="AB2290" s="18" t="s">
        <v>5259</v>
      </c>
    </row>
    <row r="2291" spans="1:28" x14ac:dyDescent="0.45">
      <c r="A2291" s="2" t="s">
        <v>3047</v>
      </c>
      <c r="B2291" s="2" t="s">
        <v>3048</v>
      </c>
      <c r="C2291" s="2" t="s">
        <v>2797</v>
      </c>
      <c r="D2291" s="2" t="s">
        <v>2798</v>
      </c>
      <c r="E2291" s="2" t="s">
        <v>96</v>
      </c>
      <c r="F2291" s="3">
        <v>25</v>
      </c>
      <c r="G2291" s="3">
        <v>40.1</v>
      </c>
      <c r="H2291" s="2" t="s">
        <v>851</v>
      </c>
      <c r="I2291" s="19">
        <v>113</v>
      </c>
      <c r="J2291" s="34">
        <f t="shared" si="140"/>
        <v>0.98309999999999997</v>
      </c>
      <c r="K2291" s="34">
        <f t="shared" si="141"/>
        <v>1.47</v>
      </c>
      <c r="L2291" s="34">
        <f t="shared" si="142"/>
        <v>5.88</v>
      </c>
      <c r="M2291" s="20" t="s">
        <v>5392</v>
      </c>
      <c r="N2291" s="20" t="s">
        <v>5254</v>
      </c>
      <c r="O2291" s="20" t="s">
        <v>5251</v>
      </c>
      <c r="P2291" s="20" t="s">
        <v>5255</v>
      </c>
      <c r="Q2291" s="21">
        <v>25</v>
      </c>
      <c r="R2291" s="21">
        <v>40</v>
      </c>
      <c r="S2291" s="21">
        <v>10</v>
      </c>
      <c r="T2291" s="22">
        <v>15.35</v>
      </c>
      <c r="U2291" s="13">
        <f t="shared" si="143"/>
        <v>9.4699999999999989</v>
      </c>
      <c r="V2291" s="23">
        <v>1880.38</v>
      </c>
      <c r="W2291" s="23">
        <v>1880.38</v>
      </c>
      <c r="X2291" s="20">
        <v>93</v>
      </c>
      <c r="Y2291" s="24" t="s">
        <v>3713</v>
      </c>
      <c r="Z2291" s="16">
        <v>1767.38</v>
      </c>
      <c r="AA2291" s="17">
        <v>1564.1</v>
      </c>
      <c r="AB2291" s="25" t="s">
        <v>5276</v>
      </c>
    </row>
    <row r="2292" spans="1:28" x14ac:dyDescent="0.45">
      <c r="A2292" s="4" t="s">
        <v>3049</v>
      </c>
      <c r="B2292" s="4" t="s">
        <v>3050</v>
      </c>
      <c r="C2292" s="4" t="s">
        <v>2797</v>
      </c>
      <c r="D2292" s="4" t="s">
        <v>2798</v>
      </c>
      <c r="E2292" s="4" t="s">
        <v>96</v>
      </c>
      <c r="F2292" s="5">
        <v>28</v>
      </c>
      <c r="G2292" s="5">
        <v>35.299999999999997</v>
      </c>
      <c r="H2292" s="4" t="s">
        <v>1104</v>
      </c>
      <c r="I2292" s="10">
        <v>64</v>
      </c>
      <c r="J2292" s="34">
        <f t="shared" si="140"/>
        <v>0.55679999999999996</v>
      </c>
      <c r="K2292" s="34">
        <f t="shared" si="141"/>
        <v>0.84</v>
      </c>
      <c r="L2292" s="34">
        <f t="shared" si="142"/>
        <v>3.36</v>
      </c>
      <c r="M2292" s="11" t="s">
        <v>5264</v>
      </c>
      <c r="N2292" s="11" t="s">
        <v>5230</v>
      </c>
      <c r="O2292" s="11" t="s">
        <v>5231</v>
      </c>
      <c r="P2292" s="11" t="s">
        <v>5232</v>
      </c>
      <c r="Q2292" s="12">
        <v>28</v>
      </c>
      <c r="R2292" s="12">
        <v>35.5</v>
      </c>
      <c r="S2292" s="12">
        <v>3.2</v>
      </c>
      <c r="T2292" s="13">
        <v>5.75</v>
      </c>
      <c r="U2292" s="13">
        <f t="shared" si="143"/>
        <v>2.39</v>
      </c>
      <c r="V2292" s="14">
        <v>704.38</v>
      </c>
      <c r="W2292" s="14">
        <v>704.38</v>
      </c>
      <c r="X2292" s="11">
        <v>341</v>
      </c>
      <c r="Y2292" s="15" t="s">
        <v>3713</v>
      </c>
      <c r="Z2292" s="16">
        <v>640.38</v>
      </c>
      <c r="AA2292" s="17">
        <v>1000.6</v>
      </c>
      <c r="AB2292" s="18" t="s">
        <v>3793</v>
      </c>
    </row>
    <row r="2293" spans="1:28" x14ac:dyDescent="0.45">
      <c r="A2293" s="2" t="s">
        <v>3051</v>
      </c>
      <c r="B2293" s="2" t="s">
        <v>3052</v>
      </c>
      <c r="C2293" s="2" t="s">
        <v>2797</v>
      </c>
      <c r="D2293" s="2" t="s">
        <v>2798</v>
      </c>
      <c r="E2293" s="2" t="s">
        <v>96</v>
      </c>
      <c r="F2293" s="3">
        <v>28</v>
      </c>
      <c r="G2293" s="3">
        <v>38.700000000000003</v>
      </c>
      <c r="H2293" s="2" t="s">
        <v>2771</v>
      </c>
      <c r="I2293" s="19">
        <v>82</v>
      </c>
      <c r="J2293" s="34">
        <f t="shared" si="140"/>
        <v>0.71339999999999992</v>
      </c>
      <c r="K2293" s="34">
        <f t="shared" si="141"/>
        <v>1.07</v>
      </c>
      <c r="L2293" s="34">
        <f t="shared" si="142"/>
        <v>4.28</v>
      </c>
      <c r="M2293" s="20" t="s">
        <v>5265</v>
      </c>
      <c r="N2293" s="20" t="s">
        <v>5250</v>
      </c>
      <c r="O2293" s="20" t="s">
        <v>5251</v>
      </c>
      <c r="P2293" s="20" t="s">
        <v>5252</v>
      </c>
      <c r="Q2293" s="21">
        <v>28</v>
      </c>
      <c r="R2293" s="21">
        <v>39</v>
      </c>
      <c r="S2293" s="21">
        <v>3.9</v>
      </c>
      <c r="T2293" s="22">
        <v>10.19</v>
      </c>
      <c r="U2293" s="13">
        <f t="shared" si="143"/>
        <v>5.9099999999999993</v>
      </c>
      <c r="V2293" s="23">
        <v>1248.27</v>
      </c>
      <c r="W2293" s="23">
        <v>1248.27</v>
      </c>
      <c r="X2293" s="20">
        <v>45</v>
      </c>
      <c r="Y2293" s="24" t="s">
        <v>3713</v>
      </c>
      <c r="Z2293" s="16">
        <v>1166.27</v>
      </c>
      <c r="AA2293" s="17">
        <v>1422.3</v>
      </c>
      <c r="AB2293" s="25" t="s">
        <v>5259</v>
      </c>
    </row>
    <row r="2294" spans="1:28" x14ac:dyDescent="0.45">
      <c r="A2294" s="4" t="s">
        <v>3053</v>
      </c>
      <c r="B2294" s="4" t="s">
        <v>3054</v>
      </c>
      <c r="C2294" s="4" t="s">
        <v>2797</v>
      </c>
      <c r="D2294" s="4" t="s">
        <v>2798</v>
      </c>
      <c r="E2294" s="4" t="s">
        <v>96</v>
      </c>
      <c r="F2294" s="5">
        <v>30</v>
      </c>
      <c r="G2294" s="5">
        <v>40.700000000000003</v>
      </c>
      <c r="H2294" s="4" t="s">
        <v>2771</v>
      </c>
      <c r="I2294" s="10">
        <v>84</v>
      </c>
      <c r="J2294" s="34">
        <f t="shared" si="140"/>
        <v>0.73079999999999989</v>
      </c>
      <c r="K2294" s="34">
        <f t="shared" si="141"/>
        <v>1.1000000000000001</v>
      </c>
      <c r="L2294" s="34">
        <f t="shared" si="142"/>
        <v>4.4000000000000004</v>
      </c>
      <c r="M2294" s="11" t="s">
        <v>5266</v>
      </c>
      <c r="N2294" s="11" t="s">
        <v>5250</v>
      </c>
      <c r="O2294" s="11" t="s">
        <v>5251</v>
      </c>
      <c r="P2294" s="11" t="s">
        <v>5252</v>
      </c>
      <c r="Q2294" s="12">
        <v>30</v>
      </c>
      <c r="R2294" s="12">
        <v>41</v>
      </c>
      <c r="S2294" s="12">
        <v>3.9</v>
      </c>
      <c r="T2294" s="13">
        <v>10.43</v>
      </c>
      <c r="U2294" s="13">
        <f t="shared" si="143"/>
        <v>6.0299999999999994</v>
      </c>
      <c r="V2294" s="14">
        <v>1277.68</v>
      </c>
      <c r="W2294" s="14">
        <v>1277.68</v>
      </c>
      <c r="X2294" s="11">
        <v>41</v>
      </c>
      <c r="Y2294" s="15" t="s">
        <v>3713</v>
      </c>
      <c r="Z2294" s="16">
        <v>1193.68</v>
      </c>
      <c r="AA2294" s="17">
        <v>1421</v>
      </c>
      <c r="AB2294" s="18" t="s">
        <v>5259</v>
      </c>
    </row>
    <row r="2295" spans="1:28" x14ac:dyDescent="0.45">
      <c r="A2295" s="2" t="s">
        <v>3055</v>
      </c>
      <c r="B2295" s="2" t="s">
        <v>3056</v>
      </c>
      <c r="C2295" s="2" t="s">
        <v>2797</v>
      </c>
      <c r="D2295" s="2" t="s">
        <v>2798</v>
      </c>
      <c r="E2295" s="2" t="s">
        <v>96</v>
      </c>
      <c r="F2295" s="3">
        <v>30</v>
      </c>
      <c r="G2295" s="3">
        <v>45.1</v>
      </c>
      <c r="H2295" s="2" t="s">
        <v>851</v>
      </c>
      <c r="I2295" s="19">
        <v>121</v>
      </c>
      <c r="J2295" s="34">
        <f t="shared" si="140"/>
        <v>1.0527</v>
      </c>
      <c r="K2295" s="34">
        <f t="shared" si="141"/>
        <v>1.58</v>
      </c>
      <c r="L2295" s="34">
        <f t="shared" si="142"/>
        <v>6.32</v>
      </c>
      <c r="M2295" s="20" t="s">
        <v>5393</v>
      </c>
      <c r="N2295" s="20" t="s">
        <v>5297</v>
      </c>
      <c r="O2295" s="20" t="s">
        <v>5251</v>
      </c>
      <c r="P2295" s="20" t="s">
        <v>5298</v>
      </c>
      <c r="Q2295" s="21">
        <v>30</v>
      </c>
      <c r="R2295" s="21">
        <v>45</v>
      </c>
      <c r="S2295" s="21">
        <v>22.5</v>
      </c>
      <c r="T2295" s="22">
        <v>56.07</v>
      </c>
      <c r="U2295" s="13">
        <f t="shared" si="143"/>
        <v>49.75</v>
      </c>
      <c r="V2295" s="23">
        <v>6868.58</v>
      </c>
      <c r="W2295" s="23">
        <v>6868.58</v>
      </c>
      <c r="X2295" s="20">
        <v>5</v>
      </c>
      <c r="Y2295" s="24" t="s">
        <v>3713</v>
      </c>
      <c r="Z2295" s="16">
        <v>6747.58</v>
      </c>
      <c r="AA2295" s="17">
        <v>5576.5</v>
      </c>
      <c r="AB2295" s="25" t="s">
        <v>5276</v>
      </c>
    </row>
    <row r="2296" spans="1:28" x14ac:dyDescent="0.45">
      <c r="A2296" s="4" t="s">
        <v>3057</v>
      </c>
      <c r="B2296" s="4" t="s">
        <v>3058</v>
      </c>
      <c r="C2296" s="4" t="s">
        <v>2797</v>
      </c>
      <c r="D2296" s="4" t="s">
        <v>2798</v>
      </c>
      <c r="E2296" s="4" t="s">
        <v>96</v>
      </c>
      <c r="F2296" s="5">
        <v>32</v>
      </c>
      <c r="G2296" s="5">
        <v>39</v>
      </c>
      <c r="H2296" s="4" t="s">
        <v>1104</v>
      </c>
      <c r="I2296" s="10">
        <v>66</v>
      </c>
      <c r="J2296" s="34">
        <f t="shared" si="140"/>
        <v>0.57419999999999993</v>
      </c>
      <c r="K2296" s="34">
        <f t="shared" si="141"/>
        <v>0.86</v>
      </c>
      <c r="L2296" s="34">
        <f t="shared" si="142"/>
        <v>3.44</v>
      </c>
      <c r="M2296" s="11" t="s">
        <v>5267</v>
      </c>
      <c r="N2296" s="11" t="s">
        <v>5230</v>
      </c>
      <c r="O2296" s="11" t="s">
        <v>5231</v>
      </c>
      <c r="P2296" s="11" t="s">
        <v>5232</v>
      </c>
      <c r="Q2296" s="12">
        <v>32</v>
      </c>
      <c r="R2296" s="12">
        <v>39.5</v>
      </c>
      <c r="S2296" s="12">
        <v>3.2</v>
      </c>
      <c r="T2296" s="13">
        <v>5.66</v>
      </c>
      <c r="U2296" s="13">
        <f t="shared" si="143"/>
        <v>2.2200000000000002</v>
      </c>
      <c r="V2296" s="14">
        <v>693.35</v>
      </c>
      <c r="W2296" s="14">
        <v>693.35</v>
      </c>
      <c r="X2296" s="11">
        <v>288</v>
      </c>
      <c r="Y2296" s="15" t="s">
        <v>3713</v>
      </c>
      <c r="Z2296" s="16">
        <v>627.35</v>
      </c>
      <c r="AA2296" s="17">
        <v>950.5</v>
      </c>
      <c r="AB2296" s="18" t="s">
        <v>3813</v>
      </c>
    </row>
    <row r="2297" spans="1:28" x14ac:dyDescent="0.45">
      <c r="A2297" s="2" t="s">
        <v>3059</v>
      </c>
      <c r="B2297" s="2" t="s">
        <v>3060</v>
      </c>
      <c r="C2297" s="2" t="s">
        <v>2797</v>
      </c>
      <c r="D2297" s="2" t="s">
        <v>2798</v>
      </c>
      <c r="E2297" s="2" t="s">
        <v>96</v>
      </c>
      <c r="F2297" s="3">
        <v>32</v>
      </c>
      <c r="G2297" s="3">
        <v>39.299999999999997</v>
      </c>
      <c r="H2297" s="2" t="s">
        <v>1104</v>
      </c>
      <c r="I2297" s="19">
        <v>66</v>
      </c>
      <c r="J2297" s="34">
        <f t="shared" si="140"/>
        <v>0.57419999999999993</v>
      </c>
      <c r="K2297" s="34">
        <f t="shared" si="141"/>
        <v>0.86</v>
      </c>
      <c r="L2297" s="34">
        <f t="shared" si="142"/>
        <v>3.44</v>
      </c>
      <c r="M2297" s="20" t="s">
        <v>5267</v>
      </c>
      <c r="N2297" s="20" t="s">
        <v>5230</v>
      </c>
      <c r="O2297" s="20" t="s">
        <v>5231</v>
      </c>
      <c r="P2297" s="20" t="s">
        <v>5232</v>
      </c>
      <c r="Q2297" s="21">
        <v>32</v>
      </c>
      <c r="R2297" s="21">
        <v>39.5</v>
      </c>
      <c r="S2297" s="21">
        <v>3.2</v>
      </c>
      <c r="T2297" s="22">
        <v>5.66</v>
      </c>
      <c r="U2297" s="13">
        <f t="shared" si="143"/>
        <v>2.2200000000000002</v>
      </c>
      <c r="V2297" s="23">
        <v>693.35</v>
      </c>
      <c r="W2297" s="23">
        <v>693.35</v>
      </c>
      <c r="X2297" s="20">
        <v>288</v>
      </c>
      <c r="Y2297" s="24" t="s">
        <v>3713</v>
      </c>
      <c r="Z2297" s="16">
        <v>627.35</v>
      </c>
      <c r="AA2297" s="17">
        <v>950.5</v>
      </c>
      <c r="AB2297" s="25" t="s">
        <v>3793</v>
      </c>
    </row>
    <row r="2298" spans="1:28" x14ac:dyDescent="0.45">
      <c r="A2298" s="4" t="s">
        <v>3061</v>
      </c>
      <c r="B2298" s="4" t="s">
        <v>3062</v>
      </c>
      <c r="C2298" s="4" t="s">
        <v>2797</v>
      </c>
      <c r="D2298" s="4" t="s">
        <v>2798</v>
      </c>
      <c r="E2298" s="4" t="s">
        <v>96</v>
      </c>
      <c r="F2298" s="5">
        <v>32</v>
      </c>
      <c r="G2298" s="5">
        <v>42.7</v>
      </c>
      <c r="H2298" s="4" t="s">
        <v>2771</v>
      </c>
      <c r="I2298" s="10">
        <v>84</v>
      </c>
      <c r="J2298" s="34">
        <f t="shared" si="140"/>
        <v>0.73079999999999989</v>
      </c>
      <c r="K2298" s="34">
        <f t="shared" si="141"/>
        <v>1.1000000000000001</v>
      </c>
      <c r="L2298" s="34">
        <f t="shared" si="142"/>
        <v>4.4000000000000004</v>
      </c>
      <c r="M2298" s="11" t="s">
        <v>5268</v>
      </c>
      <c r="N2298" s="11" t="s">
        <v>5269</v>
      </c>
      <c r="O2298" s="11" t="s">
        <v>5270</v>
      </c>
      <c r="P2298" s="11" t="s">
        <v>5271</v>
      </c>
      <c r="Q2298" s="12">
        <v>32</v>
      </c>
      <c r="R2298" s="12">
        <v>42.5</v>
      </c>
      <c r="S2298" s="12">
        <v>8</v>
      </c>
      <c r="T2298" s="13">
        <v>4.3499999999999996</v>
      </c>
      <c r="U2298" s="13">
        <f t="shared" si="143"/>
        <v>-5.0000000000000711E-2</v>
      </c>
      <c r="V2298" s="14">
        <v>532.88</v>
      </c>
      <c r="W2298" s="14">
        <v>532.88</v>
      </c>
      <c r="X2298" s="11" t="s">
        <v>3722</v>
      </c>
      <c r="Y2298" s="15" t="s">
        <v>3713</v>
      </c>
      <c r="Z2298" s="16">
        <v>448.88</v>
      </c>
      <c r="AA2298" s="17">
        <v>534.4</v>
      </c>
      <c r="AB2298" s="18" t="s">
        <v>3793</v>
      </c>
    </row>
    <row r="2299" spans="1:28" x14ac:dyDescent="0.45">
      <c r="A2299" s="2" t="s">
        <v>3063</v>
      </c>
      <c r="B2299" s="2" t="s">
        <v>3064</v>
      </c>
      <c r="C2299" s="2" t="s">
        <v>2797</v>
      </c>
      <c r="D2299" s="2" t="s">
        <v>2798</v>
      </c>
      <c r="E2299" s="2" t="s">
        <v>96</v>
      </c>
      <c r="F2299" s="3">
        <v>35</v>
      </c>
      <c r="G2299" s="3">
        <v>42.3</v>
      </c>
      <c r="H2299" s="2" t="s">
        <v>1104</v>
      </c>
      <c r="I2299" s="19">
        <v>67</v>
      </c>
      <c r="J2299" s="34">
        <f t="shared" si="140"/>
        <v>0.58289999999999997</v>
      </c>
      <c r="K2299" s="34">
        <f t="shared" si="141"/>
        <v>0.87</v>
      </c>
      <c r="L2299" s="34">
        <f t="shared" si="142"/>
        <v>3.48</v>
      </c>
      <c r="M2299" s="20" t="s">
        <v>5394</v>
      </c>
      <c r="N2299" s="20" t="s">
        <v>5230</v>
      </c>
      <c r="O2299" s="20" t="s">
        <v>5231</v>
      </c>
      <c r="P2299" s="20" t="s">
        <v>5232</v>
      </c>
      <c r="Q2299" s="21">
        <v>35</v>
      </c>
      <c r="R2299" s="21">
        <v>42.5</v>
      </c>
      <c r="S2299" s="21">
        <v>3</v>
      </c>
      <c r="T2299" s="22">
        <v>5.35</v>
      </c>
      <c r="U2299" s="13">
        <f t="shared" si="143"/>
        <v>1.8699999999999997</v>
      </c>
      <c r="V2299" s="23">
        <v>655.38</v>
      </c>
      <c r="W2299" s="23">
        <v>655.38</v>
      </c>
      <c r="X2299" s="20">
        <v>124</v>
      </c>
      <c r="Y2299" s="24" t="s">
        <v>3713</v>
      </c>
      <c r="Z2299" s="16">
        <v>588.38</v>
      </c>
      <c r="AA2299" s="17">
        <v>878.2</v>
      </c>
      <c r="AB2299" s="25" t="s">
        <v>3793</v>
      </c>
    </row>
    <row r="2300" spans="1:28" x14ac:dyDescent="0.45">
      <c r="A2300" s="4" t="s">
        <v>3065</v>
      </c>
      <c r="B2300" s="4" t="s">
        <v>3066</v>
      </c>
      <c r="C2300" s="4" t="s">
        <v>2797</v>
      </c>
      <c r="D2300" s="4" t="s">
        <v>2798</v>
      </c>
      <c r="E2300" s="4" t="s">
        <v>96</v>
      </c>
      <c r="F2300" s="5">
        <v>35</v>
      </c>
      <c r="G2300" s="5">
        <v>45.7</v>
      </c>
      <c r="H2300" s="4" t="s">
        <v>2771</v>
      </c>
      <c r="I2300" s="10">
        <v>87</v>
      </c>
      <c r="J2300" s="34">
        <f t="shared" si="140"/>
        <v>0.75689999999999991</v>
      </c>
      <c r="K2300" s="34">
        <f t="shared" si="141"/>
        <v>1.1399999999999999</v>
      </c>
      <c r="L2300" s="34">
        <f t="shared" si="142"/>
        <v>4.5599999999999996</v>
      </c>
      <c r="M2300" s="11" t="s">
        <v>5272</v>
      </c>
      <c r="N2300" s="11"/>
      <c r="O2300" s="11" t="s">
        <v>5231</v>
      </c>
      <c r="P2300" s="11" t="s">
        <v>5242</v>
      </c>
      <c r="Q2300" s="12">
        <v>35</v>
      </c>
      <c r="R2300" s="12">
        <v>46</v>
      </c>
      <c r="S2300" s="12">
        <v>4.2</v>
      </c>
      <c r="T2300" s="13">
        <v>8.89</v>
      </c>
      <c r="U2300" s="13">
        <f t="shared" si="143"/>
        <v>4.330000000000001</v>
      </c>
      <c r="V2300" s="14">
        <v>1089.03</v>
      </c>
      <c r="W2300" s="14">
        <v>1089.03</v>
      </c>
      <c r="X2300" s="11">
        <v>79</v>
      </c>
      <c r="Y2300" s="15" t="s">
        <v>3713</v>
      </c>
      <c r="Z2300" s="16">
        <v>1002.03</v>
      </c>
      <c r="AA2300" s="17">
        <v>1151.8</v>
      </c>
      <c r="AB2300" s="18" t="s">
        <v>5259</v>
      </c>
    </row>
    <row r="2301" spans="1:28" x14ac:dyDescent="0.45">
      <c r="A2301" s="2" t="s">
        <v>3067</v>
      </c>
      <c r="B2301" s="2" t="s">
        <v>3068</v>
      </c>
      <c r="C2301" s="2" t="s">
        <v>2797</v>
      </c>
      <c r="D2301" s="2" t="s">
        <v>2798</v>
      </c>
      <c r="E2301" s="2" t="s">
        <v>96</v>
      </c>
      <c r="F2301" s="3">
        <v>35</v>
      </c>
      <c r="G2301" s="3">
        <v>50.1</v>
      </c>
      <c r="H2301" s="2" t="s">
        <v>851</v>
      </c>
      <c r="I2301" s="19">
        <v>128</v>
      </c>
      <c r="J2301" s="34">
        <f t="shared" si="140"/>
        <v>1.1135999999999999</v>
      </c>
      <c r="K2301" s="34">
        <f t="shared" si="141"/>
        <v>1.67</v>
      </c>
      <c r="L2301" s="34">
        <f t="shared" si="142"/>
        <v>6.68</v>
      </c>
      <c r="M2301" s="20" t="s">
        <v>5273</v>
      </c>
      <c r="N2301" s="20" t="s">
        <v>5274</v>
      </c>
      <c r="O2301" s="20" t="s">
        <v>5251</v>
      </c>
      <c r="P2301" s="20" t="s">
        <v>5275</v>
      </c>
      <c r="Q2301" s="21">
        <v>35</v>
      </c>
      <c r="R2301" s="21">
        <v>50</v>
      </c>
      <c r="S2301" s="21">
        <v>22.5</v>
      </c>
      <c r="T2301" s="22">
        <v>34.479999999999997</v>
      </c>
      <c r="U2301" s="13">
        <f t="shared" si="143"/>
        <v>27.799999999999997</v>
      </c>
      <c r="V2301" s="23">
        <v>4223.8</v>
      </c>
      <c r="W2301" s="23">
        <v>4223.8</v>
      </c>
      <c r="X2301" s="20" t="s">
        <v>3722</v>
      </c>
      <c r="Y2301" s="24" t="s">
        <v>3713</v>
      </c>
      <c r="Z2301" s="16">
        <v>4095.8</v>
      </c>
      <c r="AA2301" s="17">
        <v>3199.8</v>
      </c>
      <c r="AB2301" s="25" t="s">
        <v>5276</v>
      </c>
    </row>
    <row r="2302" spans="1:28" x14ac:dyDescent="0.45">
      <c r="A2302" s="4" t="s">
        <v>3069</v>
      </c>
      <c r="B2302" s="4" t="s">
        <v>3070</v>
      </c>
      <c r="C2302" s="4" t="s">
        <v>2797</v>
      </c>
      <c r="D2302" s="4" t="s">
        <v>2798</v>
      </c>
      <c r="E2302" s="4" t="s">
        <v>96</v>
      </c>
      <c r="F2302" s="5">
        <v>36</v>
      </c>
      <c r="G2302" s="5">
        <v>43.3</v>
      </c>
      <c r="H2302" s="4" t="s">
        <v>1104</v>
      </c>
      <c r="I2302" s="10">
        <v>69</v>
      </c>
      <c r="J2302" s="34">
        <f t="shared" si="140"/>
        <v>0.60029999999999994</v>
      </c>
      <c r="K2302" s="34">
        <f t="shared" si="141"/>
        <v>0.9</v>
      </c>
      <c r="L2302" s="34">
        <f t="shared" si="142"/>
        <v>3.6</v>
      </c>
      <c r="M2302" s="11" t="s">
        <v>5277</v>
      </c>
      <c r="N2302" s="11" t="s">
        <v>5230</v>
      </c>
      <c r="O2302" s="11" t="s">
        <v>5231</v>
      </c>
      <c r="P2302" s="11" t="s">
        <v>5232</v>
      </c>
      <c r="Q2302" s="12">
        <v>36</v>
      </c>
      <c r="R2302" s="12">
        <v>43.5</v>
      </c>
      <c r="S2302" s="12">
        <v>3.2</v>
      </c>
      <c r="T2302" s="13">
        <v>5.91</v>
      </c>
      <c r="U2302" s="13">
        <f t="shared" si="143"/>
        <v>2.31</v>
      </c>
      <c r="V2302" s="14">
        <v>723.98</v>
      </c>
      <c r="W2302" s="14">
        <v>723.98</v>
      </c>
      <c r="X2302" s="11" t="s">
        <v>3722</v>
      </c>
      <c r="Y2302" s="15" t="s">
        <v>3713</v>
      </c>
      <c r="Z2302" s="16">
        <v>654.98</v>
      </c>
      <c r="AA2302" s="17">
        <v>949.2</v>
      </c>
      <c r="AB2302" s="18" t="s">
        <v>3793</v>
      </c>
    </row>
    <row r="2303" spans="1:28" x14ac:dyDescent="0.45">
      <c r="A2303" s="2" t="s">
        <v>3071</v>
      </c>
      <c r="B2303" s="2" t="s">
        <v>3072</v>
      </c>
      <c r="C2303" s="2" t="s">
        <v>2797</v>
      </c>
      <c r="D2303" s="2" t="s">
        <v>2798</v>
      </c>
      <c r="E2303" s="2" t="s">
        <v>96</v>
      </c>
      <c r="F2303" s="3">
        <v>36</v>
      </c>
      <c r="G2303" s="3">
        <v>46.7</v>
      </c>
      <c r="H2303" s="2" t="s">
        <v>2771</v>
      </c>
      <c r="I2303" s="19">
        <v>89</v>
      </c>
      <c r="J2303" s="34">
        <f t="shared" si="140"/>
        <v>0.77429999999999999</v>
      </c>
      <c r="K2303" s="34">
        <f t="shared" si="141"/>
        <v>1.1599999999999999</v>
      </c>
      <c r="L2303" s="34">
        <f t="shared" si="142"/>
        <v>4.6399999999999997</v>
      </c>
      <c r="M2303" s="20" t="s">
        <v>5278</v>
      </c>
      <c r="N2303" s="20" t="s">
        <v>5250</v>
      </c>
      <c r="O2303" s="20" t="s">
        <v>5251</v>
      </c>
      <c r="P2303" s="20" t="s">
        <v>5252</v>
      </c>
      <c r="Q2303" s="21">
        <v>36</v>
      </c>
      <c r="R2303" s="21">
        <v>47</v>
      </c>
      <c r="S2303" s="21">
        <v>3.9</v>
      </c>
      <c r="T2303" s="22">
        <v>10.89</v>
      </c>
      <c r="U2303" s="13">
        <f t="shared" si="143"/>
        <v>6.2500000000000009</v>
      </c>
      <c r="V2303" s="23">
        <v>1334.02</v>
      </c>
      <c r="W2303" s="23">
        <v>1334.02</v>
      </c>
      <c r="X2303" s="20">
        <v>85</v>
      </c>
      <c r="Y2303" s="24" t="s">
        <v>3713</v>
      </c>
      <c r="Z2303" s="16">
        <v>1245.02</v>
      </c>
      <c r="AA2303" s="17">
        <v>1398.9</v>
      </c>
      <c r="AB2303" s="25" t="s">
        <v>5259</v>
      </c>
    </row>
    <row r="2304" spans="1:28" x14ac:dyDescent="0.45">
      <c r="A2304" s="4" t="s">
        <v>3073</v>
      </c>
      <c r="B2304" s="4" t="s">
        <v>3074</v>
      </c>
      <c r="C2304" s="4" t="s">
        <v>2797</v>
      </c>
      <c r="D2304" s="4" t="s">
        <v>2798</v>
      </c>
      <c r="E2304" s="4" t="s">
        <v>96</v>
      </c>
      <c r="F2304" s="5">
        <v>38</v>
      </c>
      <c r="G2304" s="5">
        <v>48.7</v>
      </c>
      <c r="H2304" s="4" t="s">
        <v>2771</v>
      </c>
      <c r="I2304" s="10">
        <v>91</v>
      </c>
      <c r="J2304" s="34">
        <f t="shared" si="140"/>
        <v>0.79169999999999996</v>
      </c>
      <c r="K2304" s="34">
        <f t="shared" si="141"/>
        <v>1.19</v>
      </c>
      <c r="L2304" s="34">
        <f t="shared" si="142"/>
        <v>4.76</v>
      </c>
      <c r="M2304" s="11" t="s">
        <v>5279</v>
      </c>
      <c r="N2304" s="11" t="s">
        <v>5280</v>
      </c>
      <c r="O2304" s="11" t="s">
        <v>5270</v>
      </c>
      <c r="P2304" s="11" t="s">
        <v>5281</v>
      </c>
      <c r="Q2304" s="12">
        <v>38</v>
      </c>
      <c r="R2304" s="12">
        <v>48</v>
      </c>
      <c r="S2304" s="12">
        <v>8</v>
      </c>
      <c r="T2304" s="13">
        <v>4.62</v>
      </c>
      <c r="U2304" s="13">
        <f t="shared" si="143"/>
        <v>-0.13999999999999968</v>
      </c>
      <c r="V2304" s="14">
        <v>565.95000000000005</v>
      </c>
      <c r="W2304" s="14">
        <v>565.95000000000005</v>
      </c>
      <c r="X2304" s="11">
        <v>924</v>
      </c>
      <c r="Y2304" s="15" t="s">
        <v>3713</v>
      </c>
      <c r="Z2304" s="16">
        <v>474.95</v>
      </c>
      <c r="AA2304" s="17">
        <v>521.9</v>
      </c>
      <c r="AB2304" s="18" t="s">
        <v>5256</v>
      </c>
    </row>
    <row r="2305" spans="1:28" x14ac:dyDescent="0.45">
      <c r="A2305" s="2" t="s">
        <v>3075</v>
      </c>
      <c r="B2305" s="2" t="s">
        <v>3076</v>
      </c>
      <c r="C2305" s="2" t="s">
        <v>2797</v>
      </c>
      <c r="D2305" s="2" t="s">
        <v>2798</v>
      </c>
      <c r="E2305" s="2" t="s">
        <v>96</v>
      </c>
      <c r="F2305" s="3">
        <v>38</v>
      </c>
      <c r="G2305" s="3">
        <v>53.1</v>
      </c>
      <c r="H2305" s="2" t="s">
        <v>851</v>
      </c>
      <c r="I2305" s="19">
        <v>133</v>
      </c>
      <c r="J2305" s="34">
        <f t="shared" si="140"/>
        <v>1.1571</v>
      </c>
      <c r="K2305" s="34">
        <f t="shared" si="141"/>
        <v>1.74</v>
      </c>
      <c r="L2305" s="34">
        <f t="shared" si="142"/>
        <v>6.96</v>
      </c>
      <c r="M2305" s="20" t="s">
        <v>5282</v>
      </c>
      <c r="N2305" s="20" t="s">
        <v>5230</v>
      </c>
      <c r="O2305" s="20" t="s">
        <v>5231</v>
      </c>
      <c r="P2305" s="20" t="s">
        <v>5232</v>
      </c>
      <c r="Q2305" s="21">
        <v>38</v>
      </c>
      <c r="R2305" s="21">
        <v>53.5</v>
      </c>
      <c r="S2305" s="21">
        <v>6.3</v>
      </c>
      <c r="T2305" s="22">
        <v>13.97</v>
      </c>
      <c r="U2305" s="13">
        <f t="shared" si="143"/>
        <v>7.0100000000000007</v>
      </c>
      <c r="V2305" s="23">
        <v>1711.32</v>
      </c>
      <c r="W2305" s="23">
        <v>1711.32</v>
      </c>
      <c r="X2305" s="20" t="s">
        <v>3722</v>
      </c>
      <c r="Y2305" s="24" t="s">
        <v>3713</v>
      </c>
      <c r="Z2305" s="16">
        <v>1578.32</v>
      </c>
      <c r="AA2305" s="17">
        <v>1186.7</v>
      </c>
      <c r="AB2305" s="25" t="s">
        <v>5283</v>
      </c>
    </row>
    <row r="2306" spans="1:28" x14ac:dyDescent="0.45">
      <c r="A2306" s="4" t="s">
        <v>3077</v>
      </c>
      <c r="B2306" s="4" t="s">
        <v>3078</v>
      </c>
      <c r="C2306" s="4" t="s">
        <v>2797</v>
      </c>
      <c r="D2306" s="4" t="s">
        <v>2798</v>
      </c>
      <c r="E2306" s="4" t="s">
        <v>96</v>
      </c>
      <c r="F2306" s="5">
        <v>40</v>
      </c>
      <c r="G2306" s="5">
        <v>50.7</v>
      </c>
      <c r="H2306" s="4" t="s">
        <v>2771</v>
      </c>
      <c r="I2306" s="10">
        <v>94</v>
      </c>
      <c r="J2306" s="34">
        <f t="shared" si="140"/>
        <v>0.81779999999999997</v>
      </c>
      <c r="K2306" s="34">
        <f t="shared" si="141"/>
        <v>1.23</v>
      </c>
      <c r="L2306" s="34">
        <f t="shared" si="142"/>
        <v>4.92</v>
      </c>
      <c r="M2306" s="11" t="s">
        <v>5284</v>
      </c>
      <c r="N2306" s="11" t="s">
        <v>5285</v>
      </c>
      <c r="O2306" s="11" t="s">
        <v>5270</v>
      </c>
      <c r="P2306" s="11" t="s">
        <v>5286</v>
      </c>
      <c r="Q2306" s="12">
        <v>40</v>
      </c>
      <c r="R2306" s="12">
        <v>50.7</v>
      </c>
      <c r="S2306" s="12">
        <v>3.9</v>
      </c>
      <c r="T2306" s="13">
        <v>54.33</v>
      </c>
      <c r="U2306" s="13">
        <f t="shared" si="143"/>
        <v>49.41</v>
      </c>
      <c r="V2306" s="14">
        <v>6655.42</v>
      </c>
      <c r="W2306" s="14">
        <v>6655.42</v>
      </c>
      <c r="X2306" s="11">
        <v>10</v>
      </c>
      <c r="Y2306" s="15" t="s">
        <v>3713</v>
      </c>
      <c r="Z2306" s="16">
        <v>6561.42</v>
      </c>
      <c r="AA2306" s="17">
        <v>6980.2</v>
      </c>
      <c r="AB2306" s="18" t="s">
        <v>3714</v>
      </c>
    </row>
    <row r="2307" spans="1:28" x14ac:dyDescent="0.45">
      <c r="A2307" s="2" t="s">
        <v>3079</v>
      </c>
      <c r="B2307" s="2" t="s">
        <v>3080</v>
      </c>
      <c r="C2307" s="2" t="s">
        <v>2797</v>
      </c>
      <c r="D2307" s="2" t="s">
        <v>2798</v>
      </c>
      <c r="E2307" s="2" t="s">
        <v>96</v>
      </c>
      <c r="F2307" s="3">
        <v>40</v>
      </c>
      <c r="G2307" s="3">
        <v>52.6</v>
      </c>
      <c r="H2307" s="2" t="s">
        <v>2771</v>
      </c>
      <c r="I2307" s="19">
        <v>108</v>
      </c>
      <c r="J2307" s="34">
        <f t="shared" si="140"/>
        <v>0.93959999999999999</v>
      </c>
      <c r="K2307" s="34">
        <f t="shared" si="141"/>
        <v>1.41</v>
      </c>
      <c r="L2307" s="34">
        <f t="shared" si="142"/>
        <v>5.64</v>
      </c>
      <c r="M2307" s="20" t="s">
        <v>5395</v>
      </c>
      <c r="N2307" s="20" t="s">
        <v>5254</v>
      </c>
      <c r="O2307" s="20" t="s">
        <v>5251</v>
      </c>
      <c r="P2307" s="20" t="s">
        <v>5255</v>
      </c>
      <c r="Q2307" s="21">
        <v>40</v>
      </c>
      <c r="R2307" s="21">
        <v>52</v>
      </c>
      <c r="S2307" s="21">
        <v>10.9</v>
      </c>
      <c r="T2307" s="22">
        <v>16.649999999999999</v>
      </c>
      <c r="U2307" s="13">
        <f t="shared" si="143"/>
        <v>11.009999999999998</v>
      </c>
      <c r="V2307" s="23">
        <v>2039.62</v>
      </c>
      <c r="W2307" s="23">
        <v>2039.62</v>
      </c>
      <c r="X2307" s="20">
        <v>26</v>
      </c>
      <c r="Y2307" s="24" t="s">
        <v>3713</v>
      </c>
      <c r="Z2307" s="16">
        <v>1931.62</v>
      </c>
      <c r="AA2307" s="17">
        <v>1788.5</v>
      </c>
      <c r="AB2307" s="25" t="s">
        <v>3773</v>
      </c>
    </row>
    <row r="2308" spans="1:28" x14ac:dyDescent="0.45">
      <c r="A2308" s="4" t="s">
        <v>3081</v>
      </c>
      <c r="B2308" s="4" t="s">
        <v>3082</v>
      </c>
      <c r="C2308" s="4" t="s">
        <v>2797</v>
      </c>
      <c r="D2308" s="4" t="s">
        <v>2798</v>
      </c>
      <c r="E2308" s="4" t="s">
        <v>96</v>
      </c>
      <c r="F2308" s="5">
        <v>40</v>
      </c>
      <c r="G2308" s="5">
        <v>55.1</v>
      </c>
      <c r="H2308" s="4" t="s">
        <v>851</v>
      </c>
      <c r="I2308" s="10">
        <v>128</v>
      </c>
      <c r="J2308" s="34">
        <f t="shared" si="140"/>
        <v>1.1135999999999999</v>
      </c>
      <c r="K2308" s="34">
        <f t="shared" si="141"/>
        <v>1.67</v>
      </c>
      <c r="L2308" s="34">
        <f t="shared" si="142"/>
        <v>6.68</v>
      </c>
      <c r="M2308" s="11" t="s">
        <v>5287</v>
      </c>
      <c r="N2308" s="11" t="s">
        <v>5285</v>
      </c>
      <c r="O2308" s="11" t="s">
        <v>5270</v>
      </c>
      <c r="P2308" s="11" t="s">
        <v>5286</v>
      </c>
      <c r="Q2308" s="12">
        <v>40</v>
      </c>
      <c r="R2308" s="12">
        <v>55.1</v>
      </c>
      <c r="S2308" s="12">
        <v>5.9</v>
      </c>
      <c r="T2308" s="13">
        <v>36.700000000000003</v>
      </c>
      <c r="U2308" s="13">
        <f t="shared" si="143"/>
        <v>30.020000000000003</v>
      </c>
      <c r="V2308" s="14">
        <v>4495.75</v>
      </c>
      <c r="W2308" s="14">
        <v>4495.75</v>
      </c>
      <c r="X2308" s="11" t="s">
        <v>3722</v>
      </c>
      <c r="Y2308" s="15" t="s">
        <v>3713</v>
      </c>
      <c r="Z2308" s="16">
        <v>4367.75</v>
      </c>
      <c r="AA2308" s="17">
        <v>3412.3</v>
      </c>
      <c r="AB2308" s="18" t="s">
        <v>3714</v>
      </c>
    </row>
    <row r="2309" spans="1:28" x14ac:dyDescent="0.45">
      <c r="A2309" s="2" t="s">
        <v>3083</v>
      </c>
      <c r="B2309" s="2" t="s">
        <v>3084</v>
      </c>
      <c r="C2309" s="2" t="s">
        <v>2797</v>
      </c>
      <c r="D2309" s="2" t="s">
        <v>2798</v>
      </c>
      <c r="E2309" s="2" t="s">
        <v>96</v>
      </c>
      <c r="F2309" s="3">
        <v>42</v>
      </c>
      <c r="G2309" s="3">
        <v>52.7</v>
      </c>
      <c r="H2309" s="2" t="s">
        <v>2771</v>
      </c>
      <c r="I2309" s="19">
        <v>96</v>
      </c>
      <c r="J2309" s="34">
        <f t="shared" ref="J2309:J2372" si="144">I2309*0.0087</f>
        <v>0.83519999999999994</v>
      </c>
      <c r="K2309" s="34">
        <f t="shared" ref="K2309:K2372" si="145">ROUND(J2309*1.5,2)</f>
        <v>1.25</v>
      </c>
      <c r="L2309" s="34">
        <f t="shared" ref="L2309:L2372" si="146">K2309*4</f>
        <v>5</v>
      </c>
      <c r="M2309" s="20" t="s">
        <v>5288</v>
      </c>
      <c r="N2309" s="20" t="s">
        <v>5230</v>
      </c>
      <c r="O2309" s="20" t="s">
        <v>5231</v>
      </c>
      <c r="P2309" s="20" t="s">
        <v>5232</v>
      </c>
      <c r="Q2309" s="21">
        <v>42</v>
      </c>
      <c r="R2309" s="21">
        <v>53</v>
      </c>
      <c r="S2309" s="21">
        <v>4.2</v>
      </c>
      <c r="T2309" s="22">
        <v>7.49</v>
      </c>
      <c r="U2309" s="13">
        <f t="shared" ref="U2309:U2372" si="147">T2309-L2309</f>
        <v>2.4900000000000002</v>
      </c>
      <c r="V2309" s="23">
        <v>917.52</v>
      </c>
      <c r="W2309" s="23">
        <v>917.52</v>
      </c>
      <c r="X2309" s="20">
        <v>83</v>
      </c>
      <c r="Y2309" s="24" t="s">
        <v>3713</v>
      </c>
      <c r="Z2309" s="16">
        <v>821.52</v>
      </c>
      <c r="AA2309" s="17">
        <v>855.7</v>
      </c>
      <c r="AB2309" s="25" t="s">
        <v>5259</v>
      </c>
    </row>
    <row r="2310" spans="1:28" x14ac:dyDescent="0.45">
      <c r="A2310" s="4" t="s">
        <v>3085</v>
      </c>
      <c r="B2310" s="4" t="s">
        <v>3086</v>
      </c>
      <c r="C2310" s="4" t="s">
        <v>2797</v>
      </c>
      <c r="D2310" s="4" t="s">
        <v>2798</v>
      </c>
      <c r="E2310" s="4" t="s">
        <v>96</v>
      </c>
      <c r="F2310" s="5">
        <v>42</v>
      </c>
      <c r="G2310" s="5">
        <v>57.1</v>
      </c>
      <c r="H2310" s="4" t="s">
        <v>851</v>
      </c>
      <c r="I2310" s="10">
        <v>140</v>
      </c>
      <c r="J2310" s="34">
        <f t="shared" si="144"/>
        <v>1.218</v>
      </c>
      <c r="K2310" s="34">
        <f t="shared" si="145"/>
        <v>1.83</v>
      </c>
      <c r="L2310" s="34">
        <f t="shared" si="146"/>
        <v>7.32</v>
      </c>
      <c r="M2310" s="11" t="s">
        <v>5289</v>
      </c>
      <c r="N2310" s="11" t="s">
        <v>5290</v>
      </c>
      <c r="O2310" s="11" t="s">
        <v>5291</v>
      </c>
      <c r="P2310" s="11" t="s">
        <v>5292</v>
      </c>
      <c r="Q2310" s="12">
        <v>41.148000000000003</v>
      </c>
      <c r="R2310" s="12">
        <v>57.15</v>
      </c>
      <c r="S2310" s="12">
        <v>10.922000000000001</v>
      </c>
      <c r="T2310" s="13">
        <v>8.58</v>
      </c>
      <c r="U2310" s="13">
        <f t="shared" si="147"/>
        <v>1.2599999999999998</v>
      </c>
      <c r="V2310" s="14">
        <v>1051.05</v>
      </c>
      <c r="W2310" s="14">
        <v>1051.05</v>
      </c>
      <c r="X2310" s="11" t="s">
        <v>3722</v>
      </c>
      <c r="Y2310" s="15" t="s">
        <v>3737</v>
      </c>
      <c r="Z2310" s="16">
        <v>911.05</v>
      </c>
      <c r="AA2310" s="17">
        <v>650.70000000000005</v>
      </c>
      <c r="AB2310" s="18" t="s">
        <v>5293</v>
      </c>
    </row>
    <row r="2311" spans="1:28" x14ac:dyDescent="0.45">
      <c r="A2311" s="2" t="s">
        <v>3087</v>
      </c>
      <c r="B2311" s="2" t="s">
        <v>3088</v>
      </c>
      <c r="C2311" s="2" t="s">
        <v>2797</v>
      </c>
      <c r="D2311" s="2" t="s">
        <v>2798</v>
      </c>
      <c r="E2311" s="2" t="s">
        <v>96</v>
      </c>
      <c r="F2311" s="3">
        <v>44.5</v>
      </c>
      <c r="G2311" s="3">
        <v>55.2</v>
      </c>
      <c r="H2311" s="2" t="s">
        <v>2771</v>
      </c>
      <c r="I2311" s="19">
        <v>98</v>
      </c>
      <c r="J2311" s="34">
        <f t="shared" si="144"/>
        <v>0.85259999999999991</v>
      </c>
      <c r="K2311" s="34">
        <f t="shared" si="145"/>
        <v>1.28</v>
      </c>
      <c r="L2311" s="34">
        <f t="shared" si="146"/>
        <v>5.12</v>
      </c>
      <c r="M2311" s="20" t="s">
        <v>5396</v>
      </c>
      <c r="N2311" s="20" t="s">
        <v>5230</v>
      </c>
      <c r="O2311" s="20" t="s">
        <v>5231</v>
      </c>
      <c r="P2311" s="20" t="s">
        <v>5232</v>
      </c>
      <c r="Q2311" s="21">
        <v>44.45</v>
      </c>
      <c r="R2311" s="21">
        <v>55.118000000000002</v>
      </c>
      <c r="S2311" s="21">
        <v>4.0640000000000001</v>
      </c>
      <c r="T2311" s="22">
        <v>7.98</v>
      </c>
      <c r="U2311" s="13">
        <f t="shared" si="147"/>
        <v>2.8600000000000003</v>
      </c>
      <c r="V2311" s="23">
        <v>977.55</v>
      </c>
      <c r="W2311" s="23">
        <v>977.55</v>
      </c>
      <c r="X2311" s="20">
        <v>46</v>
      </c>
      <c r="Y2311" s="24" t="s">
        <v>3737</v>
      </c>
      <c r="Z2311" s="16">
        <v>879.55</v>
      </c>
      <c r="AA2311" s="17">
        <v>897.5</v>
      </c>
      <c r="AB2311" s="25" t="s">
        <v>5397</v>
      </c>
    </row>
    <row r="2312" spans="1:28" x14ac:dyDescent="0.45">
      <c r="A2312" s="4" t="s">
        <v>3089</v>
      </c>
      <c r="B2312" s="4" t="s">
        <v>3090</v>
      </c>
      <c r="C2312" s="4" t="s">
        <v>2797</v>
      </c>
      <c r="D2312" s="4" t="s">
        <v>2798</v>
      </c>
      <c r="E2312" s="4" t="s">
        <v>96</v>
      </c>
      <c r="F2312" s="5">
        <v>45</v>
      </c>
      <c r="G2312" s="5">
        <v>52.7</v>
      </c>
      <c r="H2312" s="4" t="s">
        <v>1104</v>
      </c>
      <c r="I2312" s="10">
        <v>81</v>
      </c>
      <c r="J2312" s="34">
        <f t="shared" si="144"/>
        <v>0.70469999999999999</v>
      </c>
      <c r="K2312" s="34">
        <f t="shared" si="145"/>
        <v>1.06</v>
      </c>
      <c r="L2312" s="34">
        <f t="shared" si="146"/>
        <v>4.24</v>
      </c>
      <c r="M2312" s="11" t="s">
        <v>5398</v>
      </c>
      <c r="N2312" s="11" t="s">
        <v>5254</v>
      </c>
      <c r="O2312" s="11" t="s">
        <v>5251</v>
      </c>
      <c r="P2312" s="11" t="s">
        <v>5255</v>
      </c>
      <c r="Q2312" s="12">
        <v>45</v>
      </c>
      <c r="R2312" s="12">
        <v>53</v>
      </c>
      <c r="S2312" s="12">
        <v>8.1</v>
      </c>
      <c r="T2312" s="13">
        <v>4.43</v>
      </c>
      <c r="U2312" s="13">
        <f t="shared" si="147"/>
        <v>0.1899999999999995</v>
      </c>
      <c r="V2312" s="14">
        <v>542.66999999999996</v>
      </c>
      <c r="W2312" s="14">
        <v>542.66999999999996</v>
      </c>
      <c r="X2312" s="11">
        <v>83</v>
      </c>
      <c r="Y2312" s="15" t="s">
        <v>3713</v>
      </c>
      <c r="Z2312" s="16">
        <v>461.67</v>
      </c>
      <c r="AA2312" s="17">
        <v>570</v>
      </c>
      <c r="AB2312" s="18" t="s">
        <v>5259</v>
      </c>
    </row>
    <row r="2313" spans="1:28" x14ac:dyDescent="0.45">
      <c r="A2313" s="2" t="s">
        <v>3091</v>
      </c>
      <c r="B2313" s="2" t="s">
        <v>3092</v>
      </c>
      <c r="C2313" s="2" t="s">
        <v>2797</v>
      </c>
      <c r="D2313" s="2" t="s">
        <v>2798</v>
      </c>
      <c r="E2313" s="2" t="s">
        <v>96</v>
      </c>
      <c r="F2313" s="3">
        <v>45</v>
      </c>
      <c r="G2313" s="3">
        <v>55.7</v>
      </c>
      <c r="H2313" s="2" t="s">
        <v>2771</v>
      </c>
      <c r="I2313" s="19">
        <v>99</v>
      </c>
      <c r="J2313" s="34">
        <f t="shared" si="144"/>
        <v>0.86129999999999995</v>
      </c>
      <c r="K2313" s="34">
        <f t="shared" si="145"/>
        <v>1.29</v>
      </c>
      <c r="L2313" s="34">
        <f t="shared" si="146"/>
        <v>5.16</v>
      </c>
      <c r="M2313" s="20" t="s">
        <v>5294</v>
      </c>
      <c r="N2313" s="20" t="s">
        <v>5285</v>
      </c>
      <c r="O2313" s="20" t="s">
        <v>5270</v>
      </c>
      <c r="P2313" s="20" t="s">
        <v>5286</v>
      </c>
      <c r="Q2313" s="21">
        <v>45</v>
      </c>
      <c r="R2313" s="21">
        <v>55.7</v>
      </c>
      <c r="S2313" s="21">
        <v>3.9</v>
      </c>
      <c r="T2313" s="22">
        <v>59.89</v>
      </c>
      <c r="U2313" s="13">
        <f t="shared" si="147"/>
        <v>54.730000000000004</v>
      </c>
      <c r="V2313" s="23">
        <v>7336.52</v>
      </c>
      <c r="W2313" s="23">
        <v>7336.52</v>
      </c>
      <c r="X2313" s="20">
        <v>3</v>
      </c>
      <c r="Y2313" s="24" t="s">
        <v>3713</v>
      </c>
      <c r="Z2313" s="16">
        <v>7237.52</v>
      </c>
      <c r="AA2313" s="17">
        <v>7310.6</v>
      </c>
      <c r="AB2313" s="25" t="s">
        <v>3714</v>
      </c>
    </row>
    <row r="2314" spans="1:28" x14ac:dyDescent="0.45">
      <c r="A2314" s="4" t="s">
        <v>3093</v>
      </c>
      <c r="B2314" s="4" t="s">
        <v>3094</v>
      </c>
      <c r="C2314" s="4" t="s">
        <v>2797</v>
      </c>
      <c r="D2314" s="4" t="s">
        <v>2798</v>
      </c>
      <c r="E2314" s="4" t="s">
        <v>96</v>
      </c>
      <c r="F2314" s="5">
        <v>45</v>
      </c>
      <c r="G2314" s="5">
        <v>57.6</v>
      </c>
      <c r="H2314" s="4" t="s">
        <v>2771</v>
      </c>
      <c r="I2314" s="10">
        <v>114</v>
      </c>
      <c r="J2314" s="34">
        <f t="shared" si="144"/>
        <v>0.9917999999999999</v>
      </c>
      <c r="K2314" s="34">
        <f t="shared" si="145"/>
        <v>1.49</v>
      </c>
      <c r="L2314" s="34">
        <f t="shared" si="146"/>
        <v>5.96</v>
      </c>
      <c r="M2314" s="11" t="s">
        <v>5399</v>
      </c>
      <c r="N2314" s="11" t="s">
        <v>5254</v>
      </c>
      <c r="O2314" s="11" t="s">
        <v>5251</v>
      </c>
      <c r="P2314" s="11" t="s">
        <v>5255</v>
      </c>
      <c r="Q2314" s="12">
        <v>45</v>
      </c>
      <c r="R2314" s="12">
        <v>57.7</v>
      </c>
      <c r="S2314" s="12">
        <v>9.5</v>
      </c>
      <c r="T2314" s="13">
        <v>17.059999999999999</v>
      </c>
      <c r="U2314" s="13">
        <f t="shared" si="147"/>
        <v>11.099999999999998</v>
      </c>
      <c r="V2314" s="14">
        <v>2089.85</v>
      </c>
      <c r="W2314" s="14">
        <v>2089.85</v>
      </c>
      <c r="X2314" s="11">
        <v>1</v>
      </c>
      <c r="Y2314" s="15" t="s">
        <v>3713</v>
      </c>
      <c r="Z2314" s="16">
        <v>1975.85</v>
      </c>
      <c r="AA2314" s="17">
        <v>1733.2</v>
      </c>
      <c r="AB2314" s="18" t="s">
        <v>5276</v>
      </c>
    </row>
    <row r="2315" spans="1:28" x14ac:dyDescent="0.45">
      <c r="A2315" s="2" t="s">
        <v>3095</v>
      </c>
      <c r="B2315" s="2" t="s">
        <v>3096</v>
      </c>
      <c r="C2315" s="2" t="s">
        <v>2797</v>
      </c>
      <c r="D2315" s="2" t="s">
        <v>2798</v>
      </c>
      <c r="E2315" s="2" t="s">
        <v>96</v>
      </c>
      <c r="F2315" s="3">
        <v>45</v>
      </c>
      <c r="G2315" s="3">
        <v>60.1</v>
      </c>
      <c r="H2315" s="2" t="s">
        <v>851</v>
      </c>
      <c r="I2315" s="19">
        <v>136</v>
      </c>
      <c r="J2315" s="34">
        <f t="shared" si="144"/>
        <v>1.1831999999999998</v>
      </c>
      <c r="K2315" s="34">
        <f t="shared" si="145"/>
        <v>1.77</v>
      </c>
      <c r="L2315" s="34">
        <f t="shared" si="146"/>
        <v>7.08</v>
      </c>
      <c r="M2315" s="20" t="s">
        <v>5295</v>
      </c>
      <c r="N2315" s="20" t="s">
        <v>5254</v>
      </c>
      <c r="O2315" s="20" t="s">
        <v>5251</v>
      </c>
      <c r="P2315" s="20" t="s">
        <v>5255</v>
      </c>
      <c r="Q2315" s="21">
        <v>45</v>
      </c>
      <c r="R2315" s="21">
        <v>60</v>
      </c>
      <c r="S2315" s="21">
        <v>10</v>
      </c>
      <c r="T2315" s="22">
        <v>6.01</v>
      </c>
      <c r="U2315" s="13">
        <f t="shared" si="147"/>
        <v>-1.0700000000000003</v>
      </c>
      <c r="V2315" s="23">
        <v>736.22</v>
      </c>
      <c r="W2315" s="23">
        <v>736.22</v>
      </c>
      <c r="X2315" s="20">
        <v>254</v>
      </c>
      <c r="Y2315" s="24" t="s">
        <v>3713</v>
      </c>
      <c r="Z2315" s="16">
        <v>600.22</v>
      </c>
      <c r="AA2315" s="17">
        <v>441.3</v>
      </c>
      <c r="AB2315" s="25" t="s">
        <v>5276</v>
      </c>
    </row>
    <row r="2316" spans="1:28" x14ac:dyDescent="0.45">
      <c r="A2316" s="4" t="s">
        <v>3097</v>
      </c>
      <c r="B2316" s="4" t="s">
        <v>3098</v>
      </c>
      <c r="C2316" s="4" t="s">
        <v>2797</v>
      </c>
      <c r="D2316" s="4" t="s">
        <v>2798</v>
      </c>
      <c r="E2316" s="4" t="s">
        <v>96</v>
      </c>
      <c r="F2316" s="5">
        <v>48</v>
      </c>
      <c r="G2316" s="5">
        <v>63.1</v>
      </c>
      <c r="H2316" s="4" t="s">
        <v>851</v>
      </c>
      <c r="I2316" s="10">
        <v>151</v>
      </c>
      <c r="J2316" s="34">
        <f t="shared" si="144"/>
        <v>1.3136999999999999</v>
      </c>
      <c r="K2316" s="34">
        <f t="shared" si="145"/>
        <v>1.97</v>
      </c>
      <c r="L2316" s="34">
        <f t="shared" si="146"/>
        <v>7.88</v>
      </c>
      <c r="M2316" s="11" t="s">
        <v>5296</v>
      </c>
      <c r="N2316" s="11" t="s">
        <v>5297</v>
      </c>
      <c r="O2316" s="11" t="s">
        <v>5251</v>
      </c>
      <c r="P2316" s="11" t="s">
        <v>5298</v>
      </c>
      <c r="Q2316" s="12">
        <v>48</v>
      </c>
      <c r="R2316" s="12">
        <v>63</v>
      </c>
      <c r="S2316" s="12">
        <v>22.5</v>
      </c>
      <c r="T2316" s="13">
        <v>54.44</v>
      </c>
      <c r="U2316" s="13">
        <f t="shared" si="147"/>
        <v>46.559999999999995</v>
      </c>
      <c r="V2316" s="14">
        <v>6668.9</v>
      </c>
      <c r="W2316" s="14">
        <v>6668.9</v>
      </c>
      <c r="X2316" s="11" t="s">
        <v>3722</v>
      </c>
      <c r="Y2316" s="15" t="s">
        <v>3713</v>
      </c>
      <c r="Z2316" s="16">
        <v>6517.9</v>
      </c>
      <c r="AA2316" s="17">
        <v>4316.5</v>
      </c>
      <c r="AB2316" s="18" t="s">
        <v>5276</v>
      </c>
    </row>
    <row r="2317" spans="1:28" x14ac:dyDescent="0.45">
      <c r="A2317" s="2" t="s">
        <v>3099</v>
      </c>
      <c r="B2317" s="2" t="s">
        <v>3100</v>
      </c>
      <c r="C2317" s="2" t="s">
        <v>2797</v>
      </c>
      <c r="D2317" s="2" t="s">
        <v>2798</v>
      </c>
      <c r="E2317" s="2" t="s">
        <v>96</v>
      </c>
      <c r="F2317" s="3">
        <v>50</v>
      </c>
      <c r="G2317" s="3">
        <v>60.7</v>
      </c>
      <c r="H2317" s="2" t="s">
        <v>2771</v>
      </c>
      <c r="I2317" s="19">
        <v>104</v>
      </c>
      <c r="J2317" s="34">
        <f t="shared" si="144"/>
        <v>0.90479999999999994</v>
      </c>
      <c r="K2317" s="34">
        <f t="shared" si="145"/>
        <v>1.36</v>
      </c>
      <c r="L2317" s="34">
        <f t="shared" si="146"/>
        <v>5.44</v>
      </c>
      <c r="M2317" s="20" t="s">
        <v>5299</v>
      </c>
      <c r="N2317" s="20" t="s">
        <v>5230</v>
      </c>
      <c r="O2317" s="20" t="s">
        <v>5231</v>
      </c>
      <c r="P2317" s="20" t="s">
        <v>5232</v>
      </c>
      <c r="Q2317" s="21">
        <v>50</v>
      </c>
      <c r="R2317" s="21">
        <v>61</v>
      </c>
      <c r="S2317" s="21">
        <v>4.2</v>
      </c>
      <c r="T2317" s="22">
        <v>8.0399999999999991</v>
      </c>
      <c r="U2317" s="13">
        <f t="shared" si="147"/>
        <v>2.5999999999999988</v>
      </c>
      <c r="V2317" s="23">
        <v>984.9</v>
      </c>
      <c r="W2317" s="23">
        <v>984.9</v>
      </c>
      <c r="X2317" s="20" t="s">
        <v>3722</v>
      </c>
      <c r="Y2317" s="24" t="s">
        <v>3713</v>
      </c>
      <c r="Z2317" s="16">
        <v>880.9</v>
      </c>
      <c r="AA2317" s="17">
        <v>847</v>
      </c>
      <c r="AB2317" s="25" t="s">
        <v>5259</v>
      </c>
    </row>
    <row r="2318" spans="1:28" x14ac:dyDescent="0.45">
      <c r="A2318" s="4" t="s">
        <v>3101</v>
      </c>
      <c r="B2318" s="4" t="s">
        <v>3102</v>
      </c>
      <c r="C2318" s="4" t="s">
        <v>2797</v>
      </c>
      <c r="D2318" s="4" t="s">
        <v>2798</v>
      </c>
      <c r="E2318" s="4" t="s">
        <v>96</v>
      </c>
      <c r="F2318" s="5">
        <v>50</v>
      </c>
      <c r="G2318" s="5">
        <v>62.6</v>
      </c>
      <c r="H2318" s="4" t="s">
        <v>2771</v>
      </c>
      <c r="I2318" s="10">
        <v>121</v>
      </c>
      <c r="J2318" s="34">
        <f t="shared" si="144"/>
        <v>1.0527</v>
      </c>
      <c r="K2318" s="34">
        <f t="shared" si="145"/>
        <v>1.58</v>
      </c>
      <c r="L2318" s="34">
        <f t="shared" si="146"/>
        <v>6.32</v>
      </c>
      <c r="M2318" s="11" t="s">
        <v>5400</v>
      </c>
      <c r="N2318" s="11" t="s">
        <v>5269</v>
      </c>
      <c r="O2318" s="11" t="s">
        <v>5270</v>
      </c>
      <c r="P2318" s="11" t="s">
        <v>5271</v>
      </c>
      <c r="Q2318" s="12">
        <v>50</v>
      </c>
      <c r="R2318" s="12">
        <v>62.7</v>
      </c>
      <c r="S2318" s="12">
        <v>9.5</v>
      </c>
      <c r="T2318" s="13">
        <v>5.32</v>
      </c>
      <c r="U2318" s="13">
        <f t="shared" si="147"/>
        <v>-1</v>
      </c>
      <c r="V2318" s="14">
        <v>651.70000000000005</v>
      </c>
      <c r="W2318" s="14">
        <v>651.70000000000005</v>
      </c>
      <c r="X2318" s="11">
        <v>27</v>
      </c>
      <c r="Y2318" s="15" t="s">
        <v>3713</v>
      </c>
      <c r="Z2318" s="16">
        <v>530.70000000000005</v>
      </c>
      <c r="AA2318" s="17">
        <v>438.6</v>
      </c>
      <c r="AB2318" s="18" t="s">
        <v>5276</v>
      </c>
    </row>
    <row r="2319" spans="1:28" x14ac:dyDescent="0.45">
      <c r="A2319" s="2" t="s">
        <v>3103</v>
      </c>
      <c r="B2319" s="2" t="s">
        <v>3104</v>
      </c>
      <c r="C2319" s="2" t="s">
        <v>2797</v>
      </c>
      <c r="D2319" s="2" t="s">
        <v>2798</v>
      </c>
      <c r="E2319" s="2" t="s">
        <v>96</v>
      </c>
      <c r="F2319" s="3">
        <v>50</v>
      </c>
      <c r="G2319" s="3">
        <v>65.099999999999994</v>
      </c>
      <c r="H2319" s="2" t="s">
        <v>851</v>
      </c>
      <c r="I2319" s="19">
        <v>145</v>
      </c>
      <c r="J2319" s="34">
        <f t="shared" si="144"/>
        <v>1.2614999999999998</v>
      </c>
      <c r="K2319" s="34">
        <f t="shared" si="145"/>
        <v>1.89</v>
      </c>
      <c r="L2319" s="34">
        <f t="shared" si="146"/>
        <v>7.56</v>
      </c>
      <c r="M2319" s="20" t="s">
        <v>5300</v>
      </c>
      <c r="N2319" s="20" t="s">
        <v>5301</v>
      </c>
      <c r="O2319" s="20" t="s">
        <v>5251</v>
      </c>
      <c r="P2319" s="20" t="s">
        <v>5302</v>
      </c>
      <c r="Q2319" s="21">
        <v>50</v>
      </c>
      <c r="R2319" s="21">
        <v>65</v>
      </c>
      <c r="S2319" s="21">
        <v>10</v>
      </c>
      <c r="T2319" s="22">
        <v>32.5</v>
      </c>
      <c r="U2319" s="13">
        <f t="shared" si="147"/>
        <v>24.94</v>
      </c>
      <c r="V2319" s="23">
        <v>3981.25</v>
      </c>
      <c r="W2319" s="23">
        <v>3981.25</v>
      </c>
      <c r="X2319" s="20" t="s">
        <v>3722</v>
      </c>
      <c r="Y2319" s="24" t="s">
        <v>3713</v>
      </c>
      <c r="Z2319" s="16">
        <v>3836.25</v>
      </c>
      <c r="AA2319" s="17">
        <v>2645.7</v>
      </c>
      <c r="AB2319" s="25" t="s">
        <v>5276</v>
      </c>
    </row>
    <row r="2320" spans="1:28" x14ac:dyDescent="0.45">
      <c r="A2320" s="4" t="s">
        <v>3105</v>
      </c>
      <c r="B2320" s="4" t="s">
        <v>3106</v>
      </c>
      <c r="C2320" s="4" t="s">
        <v>2797</v>
      </c>
      <c r="D2320" s="4" t="s">
        <v>2798</v>
      </c>
      <c r="E2320" s="4" t="s">
        <v>96</v>
      </c>
      <c r="F2320" s="5">
        <v>55</v>
      </c>
      <c r="G2320" s="5">
        <v>65.7</v>
      </c>
      <c r="H2320" s="4" t="s">
        <v>2771</v>
      </c>
      <c r="I2320" s="10">
        <v>114</v>
      </c>
      <c r="J2320" s="34">
        <f t="shared" si="144"/>
        <v>0.9917999999999999</v>
      </c>
      <c r="K2320" s="34">
        <f t="shared" si="145"/>
        <v>1.49</v>
      </c>
      <c r="L2320" s="34">
        <f t="shared" si="146"/>
        <v>5.96</v>
      </c>
      <c r="M2320" s="11" t="s">
        <v>5303</v>
      </c>
      <c r="N2320" s="11" t="s">
        <v>5230</v>
      </c>
      <c r="O2320" s="11" t="s">
        <v>5231</v>
      </c>
      <c r="P2320" s="11" t="s">
        <v>5232</v>
      </c>
      <c r="Q2320" s="12">
        <v>55</v>
      </c>
      <c r="R2320" s="12">
        <v>66</v>
      </c>
      <c r="S2320" s="12">
        <v>4.2</v>
      </c>
      <c r="T2320" s="13">
        <v>10.25</v>
      </c>
      <c r="U2320" s="13">
        <f t="shared" si="147"/>
        <v>4.29</v>
      </c>
      <c r="V2320" s="14">
        <v>1255.6199999999999</v>
      </c>
      <c r="W2320" s="14">
        <v>1255.6199999999999</v>
      </c>
      <c r="X2320" s="11">
        <v>88</v>
      </c>
      <c r="Y2320" s="15" t="s">
        <v>3713</v>
      </c>
      <c r="Z2320" s="16">
        <v>1141.6199999999999</v>
      </c>
      <c r="AA2320" s="17">
        <v>1001.4</v>
      </c>
      <c r="AB2320" s="18" t="s">
        <v>5259</v>
      </c>
    </row>
    <row r="2321" spans="1:28" x14ac:dyDescent="0.45">
      <c r="A2321" s="2" t="s">
        <v>3107</v>
      </c>
      <c r="B2321" s="2" t="s">
        <v>3108</v>
      </c>
      <c r="C2321" s="2" t="s">
        <v>2797</v>
      </c>
      <c r="D2321" s="2" t="s">
        <v>2798</v>
      </c>
      <c r="E2321" s="2" t="s">
        <v>96</v>
      </c>
      <c r="F2321" s="3">
        <v>55</v>
      </c>
      <c r="G2321" s="3">
        <v>70.099999999999994</v>
      </c>
      <c r="H2321" s="2" t="s">
        <v>851</v>
      </c>
      <c r="I2321" s="19">
        <v>167</v>
      </c>
      <c r="J2321" s="34">
        <f t="shared" si="144"/>
        <v>1.4528999999999999</v>
      </c>
      <c r="K2321" s="34">
        <f t="shared" si="145"/>
        <v>2.1800000000000002</v>
      </c>
      <c r="L2321" s="34">
        <f t="shared" si="146"/>
        <v>8.7200000000000006</v>
      </c>
      <c r="M2321" s="20" t="s">
        <v>5304</v>
      </c>
      <c r="N2321" s="20" t="s">
        <v>5254</v>
      </c>
      <c r="O2321" s="20" t="s">
        <v>5251</v>
      </c>
      <c r="P2321" s="20" t="s">
        <v>5255</v>
      </c>
      <c r="Q2321" s="21">
        <v>55</v>
      </c>
      <c r="R2321" s="21">
        <v>70</v>
      </c>
      <c r="S2321" s="21">
        <v>11.8</v>
      </c>
      <c r="T2321" s="22">
        <v>18.32</v>
      </c>
      <c r="U2321" s="13">
        <f t="shared" si="147"/>
        <v>9.6</v>
      </c>
      <c r="V2321" s="23">
        <v>2244.1999999999998</v>
      </c>
      <c r="W2321" s="23">
        <v>2244.1999999999998</v>
      </c>
      <c r="X2321" s="20">
        <v>44</v>
      </c>
      <c r="Y2321" s="24" t="s">
        <v>3713</v>
      </c>
      <c r="Z2321" s="16">
        <v>2077.1999999999998</v>
      </c>
      <c r="AA2321" s="17">
        <v>1243.8</v>
      </c>
      <c r="AB2321" s="25" t="s">
        <v>5276</v>
      </c>
    </row>
    <row r="2322" spans="1:28" x14ac:dyDescent="0.45">
      <c r="A2322" s="4" t="s">
        <v>3109</v>
      </c>
      <c r="B2322" s="4" t="s">
        <v>3110</v>
      </c>
      <c r="C2322" s="4" t="s">
        <v>2797</v>
      </c>
      <c r="D2322" s="4" t="s">
        <v>2798</v>
      </c>
      <c r="E2322" s="4" t="s">
        <v>96</v>
      </c>
      <c r="F2322" s="5">
        <v>56</v>
      </c>
      <c r="G2322" s="5">
        <v>66.7</v>
      </c>
      <c r="H2322" s="4" t="s">
        <v>2771</v>
      </c>
      <c r="I2322" s="10">
        <v>116</v>
      </c>
      <c r="J2322" s="34">
        <f t="shared" si="144"/>
        <v>1.0091999999999999</v>
      </c>
      <c r="K2322" s="34">
        <f t="shared" si="145"/>
        <v>1.51</v>
      </c>
      <c r="L2322" s="34">
        <f t="shared" si="146"/>
        <v>6.04</v>
      </c>
      <c r="M2322" s="11" t="s">
        <v>5305</v>
      </c>
      <c r="N2322" s="11" t="s">
        <v>5230</v>
      </c>
      <c r="O2322" s="11" t="s">
        <v>5231</v>
      </c>
      <c r="P2322" s="11" t="s">
        <v>5232</v>
      </c>
      <c r="Q2322" s="12">
        <v>56</v>
      </c>
      <c r="R2322" s="12">
        <v>67</v>
      </c>
      <c r="S2322" s="12">
        <v>4.2</v>
      </c>
      <c r="T2322" s="13">
        <v>9.91</v>
      </c>
      <c r="U2322" s="13">
        <f t="shared" si="147"/>
        <v>3.87</v>
      </c>
      <c r="V2322" s="14">
        <v>1213.97</v>
      </c>
      <c r="W2322" s="14">
        <v>1213.97</v>
      </c>
      <c r="X2322" s="11">
        <v>81</v>
      </c>
      <c r="Y2322" s="15" t="s">
        <v>3713</v>
      </c>
      <c r="Z2322" s="16">
        <v>1097.97</v>
      </c>
      <c r="AA2322" s="17">
        <v>946.5</v>
      </c>
      <c r="AB2322" s="18" t="s">
        <v>5259</v>
      </c>
    </row>
    <row r="2323" spans="1:28" x14ac:dyDescent="0.45">
      <c r="A2323" s="2" t="s">
        <v>3111</v>
      </c>
      <c r="B2323" s="2" t="s">
        <v>3112</v>
      </c>
      <c r="C2323" s="2" t="s">
        <v>2797</v>
      </c>
      <c r="D2323" s="2" t="s">
        <v>2798</v>
      </c>
      <c r="E2323" s="2" t="s">
        <v>96</v>
      </c>
      <c r="F2323" s="3">
        <v>56</v>
      </c>
      <c r="G2323" s="3">
        <v>68.599999999999994</v>
      </c>
      <c r="H2323" s="2" t="s">
        <v>2771</v>
      </c>
      <c r="I2323" s="19">
        <v>135</v>
      </c>
      <c r="J2323" s="34">
        <f t="shared" si="144"/>
        <v>1.1744999999999999</v>
      </c>
      <c r="K2323" s="34">
        <f t="shared" si="145"/>
        <v>1.76</v>
      </c>
      <c r="L2323" s="34">
        <f t="shared" si="146"/>
        <v>7.04</v>
      </c>
      <c r="M2323" s="20" t="s">
        <v>5401</v>
      </c>
      <c r="N2323" s="20" t="s">
        <v>5402</v>
      </c>
      <c r="O2323" s="20" t="s">
        <v>5270</v>
      </c>
      <c r="P2323" s="20" t="s">
        <v>5403</v>
      </c>
      <c r="Q2323" s="21">
        <v>56</v>
      </c>
      <c r="R2323" s="21">
        <v>68</v>
      </c>
      <c r="S2323" s="21">
        <v>8.5</v>
      </c>
      <c r="T2323" s="22">
        <v>3.96</v>
      </c>
      <c r="U2323" s="13">
        <f t="shared" si="147"/>
        <v>-3.08</v>
      </c>
      <c r="V2323" s="23">
        <v>485.1</v>
      </c>
      <c r="W2323" s="23">
        <v>485.1</v>
      </c>
      <c r="X2323" s="20">
        <v>15</v>
      </c>
      <c r="Y2323" s="24" t="s">
        <v>3713</v>
      </c>
      <c r="Z2323" s="16">
        <v>350.1</v>
      </c>
      <c r="AA2323" s="17">
        <v>259.3</v>
      </c>
      <c r="AB2323" s="25" t="s">
        <v>3773</v>
      </c>
    </row>
    <row r="2324" spans="1:28" x14ac:dyDescent="0.45">
      <c r="A2324" s="4" t="s">
        <v>3113</v>
      </c>
      <c r="B2324" s="4" t="s">
        <v>3114</v>
      </c>
      <c r="C2324" s="4" t="s">
        <v>2797</v>
      </c>
      <c r="D2324" s="4" t="s">
        <v>2798</v>
      </c>
      <c r="E2324" s="4" t="s">
        <v>96</v>
      </c>
      <c r="F2324" s="5">
        <v>56</v>
      </c>
      <c r="G2324" s="5">
        <v>71.099999999999994</v>
      </c>
      <c r="H2324" s="4" t="s">
        <v>851</v>
      </c>
      <c r="I2324" s="10">
        <v>167</v>
      </c>
      <c r="J2324" s="34">
        <f t="shared" si="144"/>
        <v>1.4528999999999999</v>
      </c>
      <c r="K2324" s="34">
        <f t="shared" si="145"/>
        <v>2.1800000000000002</v>
      </c>
      <c r="L2324" s="34">
        <f t="shared" si="146"/>
        <v>8.7200000000000006</v>
      </c>
      <c r="M2324" s="11" t="s">
        <v>5306</v>
      </c>
      <c r="N2324" s="11" t="s">
        <v>5230</v>
      </c>
      <c r="O2324" s="11" t="s">
        <v>5231</v>
      </c>
      <c r="P2324" s="11" t="s">
        <v>5232</v>
      </c>
      <c r="Q2324" s="12">
        <v>56</v>
      </c>
      <c r="R2324" s="12">
        <v>71.099999999999994</v>
      </c>
      <c r="S2324" s="12">
        <v>6</v>
      </c>
      <c r="T2324" s="13">
        <v>35.06</v>
      </c>
      <c r="U2324" s="13">
        <f t="shared" si="147"/>
        <v>26.340000000000003</v>
      </c>
      <c r="V2324" s="14">
        <v>4294.8500000000004</v>
      </c>
      <c r="W2324" s="14">
        <v>4294.8500000000004</v>
      </c>
      <c r="X2324" s="11">
        <v>100</v>
      </c>
      <c r="Y2324" s="15" t="s">
        <v>3713</v>
      </c>
      <c r="Z2324" s="16">
        <v>4127.8500000000004</v>
      </c>
      <c r="AA2324" s="17">
        <v>2471.8000000000002</v>
      </c>
      <c r="AB2324" s="18" t="s">
        <v>3714</v>
      </c>
    </row>
    <row r="2325" spans="1:28" x14ac:dyDescent="0.45">
      <c r="A2325" s="2" t="s">
        <v>3115</v>
      </c>
      <c r="B2325" s="2" t="s">
        <v>3116</v>
      </c>
      <c r="C2325" s="2" t="s">
        <v>2797</v>
      </c>
      <c r="D2325" s="2" t="s">
        <v>2798</v>
      </c>
      <c r="E2325" s="2" t="s">
        <v>96</v>
      </c>
      <c r="F2325" s="3">
        <v>60</v>
      </c>
      <c r="G2325" s="3">
        <v>70.7</v>
      </c>
      <c r="H2325" s="2" t="s">
        <v>2771</v>
      </c>
      <c r="I2325" s="19">
        <v>119</v>
      </c>
      <c r="J2325" s="34">
        <f t="shared" si="144"/>
        <v>1.0352999999999999</v>
      </c>
      <c r="K2325" s="34">
        <f t="shared" si="145"/>
        <v>1.55</v>
      </c>
      <c r="L2325" s="34">
        <f t="shared" si="146"/>
        <v>6.2</v>
      </c>
      <c r="M2325" s="20" t="s">
        <v>5307</v>
      </c>
      <c r="N2325" s="20" t="s">
        <v>5254</v>
      </c>
      <c r="O2325" s="20" t="s">
        <v>5251</v>
      </c>
      <c r="P2325" s="20" t="s">
        <v>5255</v>
      </c>
      <c r="Q2325" s="21">
        <v>60</v>
      </c>
      <c r="R2325" s="21">
        <v>71</v>
      </c>
      <c r="S2325" s="21">
        <v>7</v>
      </c>
      <c r="T2325" s="22">
        <v>19.48</v>
      </c>
      <c r="U2325" s="13">
        <f t="shared" si="147"/>
        <v>13.280000000000001</v>
      </c>
      <c r="V2325" s="23">
        <v>2386.3000000000002</v>
      </c>
      <c r="W2325" s="23">
        <v>2386.3000000000002</v>
      </c>
      <c r="X2325" s="20">
        <v>6</v>
      </c>
      <c r="Y2325" s="24" t="s">
        <v>3713</v>
      </c>
      <c r="Z2325" s="16">
        <v>2267.3000000000002</v>
      </c>
      <c r="AA2325" s="17">
        <v>1905.3</v>
      </c>
      <c r="AB2325" s="25" t="s">
        <v>5259</v>
      </c>
    </row>
    <row r="2326" spans="1:28" x14ac:dyDescent="0.45">
      <c r="A2326" s="4" t="s">
        <v>3117</v>
      </c>
      <c r="B2326" s="4" t="s">
        <v>3118</v>
      </c>
      <c r="C2326" s="4" t="s">
        <v>2797</v>
      </c>
      <c r="D2326" s="4" t="s">
        <v>2798</v>
      </c>
      <c r="E2326" s="4" t="s">
        <v>96</v>
      </c>
      <c r="F2326" s="5">
        <v>60</v>
      </c>
      <c r="G2326" s="5">
        <v>75.099999999999994</v>
      </c>
      <c r="H2326" s="4" t="s">
        <v>851</v>
      </c>
      <c r="I2326" s="10">
        <v>167</v>
      </c>
      <c r="J2326" s="34">
        <f t="shared" si="144"/>
        <v>1.4528999999999999</v>
      </c>
      <c r="K2326" s="34">
        <f t="shared" si="145"/>
        <v>2.1800000000000002</v>
      </c>
      <c r="L2326" s="34">
        <f t="shared" si="146"/>
        <v>8.7200000000000006</v>
      </c>
      <c r="M2326" s="11" t="s">
        <v>5308</v>
      </c>
      <c r="N2326" s="11" t="s">
        <v>5230</v>
      </c>
      <c r="O2326" s="11" t="s">
        <v>5231</v>
      </c>
      <c r="P2326" s="11" t="s">
        <v>5232</v>
      </c>
      <c r="Q2326" s="12">
        <v>60</v>
      </c>
      <c r="R2326" s="12">
        <v>75.099999999999994</v>
      </c>
      <c r="S2326" s="12">
        <v>6.3</v>
      </c>
      <c r="T2326" s="13">
        <v>44.01</v>
      </c>
      <c r="U2326" s="13">
        <f t="shared" si="147"/>
        <v>35.29</v>
      </c>
      <c r="V2326" s="14">
        <v>5391.22</v>
      </c>
      <c r="W2326" s="14">
        <v>5391.22</v>
      </c>
      <c r="X2326" s="11">
        <v>13</v>
      </c>
      <c r="Y2326" s="15" t="s">
        <v>3713</v>
      </c>
      <c r="Z2326" s="16">
        <v>5224.22</v>
      </c>
      <c r="AA2326" s="17">
        <v>3128.3</v>
      </c>
      <c r="AB2326" s="18" t="s">
        <v>3714</v>
      </c>
    </row>
    <row r="2327" spans="1:28" x14ac:dyDescent="0.45">
      <c r="A2327" s="2" t="s">
        <v>3119</v>
      </c>
      <c r="B2327" s="2" t="s">
        <v>3120</v>
      </c>
      <c r="C2327" s="2" t="s">
        <v>2797</v>
      </c>
      <c r="D2327" s="2" t="s">
        <v>2798</v>
      </c>
      <c r="E2327" s="2" t="s">
        <v>96</v>
      </c>
      <c r="F2327" s="3">
        <v>63</v>
      </c>
      <c r="G2327" s="3">
        <v>73.7</v>
      </c>
      <c r="H2327" s="2" t="s">
        <v>2771</v>
      </c>
      <c r="I2327" s="19">
        <v>123</v>
      </c>
      <c r="J2327" s="34">
        <f t="shared" si="144"/>
        <v>1.0700999999999998</v>
      </c>
      <c r="K2327" s="34">
        <f t="shared" si="145"/>
        <v>1.61</v>
      </c>
      <c r="L2327" s="34">
        <f t="shared" si="146"/>
        <v>6.44</v>
      </c>
      <c r="M2327" s="20" t="s">
        <v>5309</v>
      </c>
      <c r="N2327" s="20" t="s">
        <v>5310</v>
      </c>
      <c r="O2327" s="20" t="s">
        <v>5270</v>
      </c>
      <c r="P2327" s="20" t="s">
        <v>5311</v>
      </c>
      <c r="Q2327" s="21">
        <v>63</v>
      </c>
      <c r="R2327" s="21">
        <v>73</v>
      </c>
      <c r="S2327" s="21">
        <v>12</v>
      </c>
      <c r="T2327" s="22">
        <v>6.27</v>
      </c>
      <c r="U2327" s="13">
        <f t="shared" si="147"/>
        <v>-0.17000000000000082</v>
      </c>
      <c r="V2327" s="23">
        <v>768.08</v>
      </c>
      <c r="W2327" s="23">
        <v>768.08</v>
      </c>
      <c r="X2327" s="20">
        <v>60</v>
      </c>
      <c r="Y2327" s="24" t="s">
        <v>3713</v>
      </c>
      <c r="Z2327" s="16">
        <v>645.08000000000004</v>
      </c>
      <c r="AA2327" s="17">
        <v>524.5</v>
      </c>
      <c r="AB2327" s="25" t="s">
        <v>5256</v>
      </c>
    </row>
    <row r="2328" spans="1:28" x14ac:dyDescent="0.45">
      <c r="A2328" s="4" t="s">
        <v>3121</v>
      </c>
      <c r="B2328" s="4" t="s">
        <v>3122</v>
      </c>
      <c r="C2328" s="4" t="s">
        <v>2797</v>
      </c>
      <c r="D2328" s="4" t="s">
        <v>2798</v>
      </c>
      <c r="E2328" s="4" t="s">
        <v>96</v>
      </c>
      <c r="F2328" s="5">
        <v>63</v>
      </c>
      <c r="G2328" s="5">
        <v>75.599999999999994</v>
      </c>
      <c r="H2328" s="4" t="s">
        <v>2771</v>
      </c>
      <c r="I2328" s="10">
        <v>143</v>
      </c>
      <c r="J2328" s="34">
        <f t="shared" si="144"/>
        <v>1.2441</v>
      </c>
      <c r="K2328" s="34">
        <f t="shared" si="145"/>
        <v>1.87</v>
      </c>
      <c r="L2328" s="34">
        <f t="shared" si="146"/>
        <v>7.48</v>
      </c>
      <c r="M2328" s="11" t="s">
        <v>5404</v>
      </c>
      <c r="N2328" s="11" t="s">
        <v>5290</v>
      </c>
      <c r="O2328" s="11" t="s">
        <v>5291</v>
      </c>
      <c r="P2328" s="11" t="s">
        <v>5292</v>
      </c>
      <c r="Q2328" s="12">
        <v>63</v>
      </c>
      <c r="R2328" s="12">
        <v>75</v>
      </c>
      <c r="S2328" s="12">
        <v>10.5</v>
      </c>
      <c r="T2328" s="13">
        <v>9.86</v>
      </c>
      <c r="U2328" s="13">
        <f t="shared" si="147"/>
        <v>2.379999999999999</v>
      </c>
      <c r="V2328" s="14">
        <v>1207.8499999999999</v>
      </c>
      <c r="W2328" s="14">
        <v>1207.8499999999999</v>
      </c>
      <c r="X2328" s="11">
        <v>2</v>
      </c>
      <c r="Y2328" s="15" t="s">
        <v>3713</v>
      </c>
      <c r="Z2328" s="16">
        <v>1064.8499999999999</v>
      </c>
      <c r="AA2328" s="17">
        <v>744.7</v>
      </c>
      <c r="AB2328" s="18" t="s">
        <v>3773</v>
      </c>
    </row>
    <row r="2329" spans="1:28" x14ac:dyDescent="0.45">
      <c r="A2329" s="2" t="s">
        <v>3123</v>
      </c>
      <c r="B2329" s="2" t="s">
        <v>3124</v>
      </c>
      <c r="C2329" s="2" t="s">
        <v>2797</v>
      </c>
      <c r="D2329" s="2" t="s">
        <v>2798</v>
      </c>
      <c r="E2329" s="2" t="s">
        <v>96</v>
      </c>
      <c r="F2329" s="3">
        <v>63</v>
      </c>
      <c r="G2329" s="3">
        <v>78.099999999999994</v>
      </c>
      <c r="H2329" s="2" t="s">
        <v>851</v>
      </c>
      <c r="I2329" s="19">
        <v>183</v>
      </c>
      <c r="J2329" s="34">
        <f t="shared" si="144"/>
        <v>1.5920999999999998</v>
      </c>
      <c r="K2329" s="34">
        <f t="shared" si="145"/>
        <v>2.39</v>
      </c>
      <c r="L2329" s="34">
        <f t="shared" si="146"/>
        <v>9.56</v>
      </c>
      <c r="M2329" s="20" t="s">
        <v>5312</v>
      </c>
      <c r="N2329" s="20" t="s">
        <v>5230</v>
      </c>
      <c r="O2329" s="20" t="s">
        <v>5231</v>
      </c>
      <c r="P2329" s="20" t="s">
        <v>5232</v>
      </c>
      <c r="Q2329" s="21">
        <v>63</v>
      </c>
      <c r="R2329" s="21">
        <v>78.099999999999994</v>
      </c>
      <c r="S2329" s="21">
        <v>6.3</v>
      </c>
      <c r="T2329" s="22">
        <v>28.87</v>
      </c>
      <c r="U2329" s="13">
        <f t="shared" si="147"/>
        <v>19.310000000000002</v>
      </c>
      <c r="V2329" s="23">
        <v>3536.58</v>
      </c>
      <c r="W2329" s="23">
        <v>3536.58</v>
      </c>
      <c r="X2329" s="20">
        <v>98</v>
      </c>
      <c r="Y2329" s="24" t="s">
        <v>3713</v>
      </c>
      <c r="Z2329" s="16">
        <v>3353.58</v>
      </c>
      <c r="AA2329" s="17">
        <v>1832.6</v>
      </c>
      <c r="AB2329" s="25" t="s">
        <v>3714</v>
      </c>
    </row>
    <row r="2330" spans="1:28" x14ac:dyDescent="0.45">
      <c r="A2330" s="4" t="s">
        <v>3125</v>
      </c>
      <c r="B2330" s="4" t="s">
        <v>3126</v>
      </c>
      <c r="C2330" s="4" t="s">
        <v>2797</v>
      </c>
      <c r="D2330" s="4" t="s">
        <v>2798</v>
      </c>
      <c r="E2330" s="4" t="s">
        <v>96</v>
      </c>
      <c r="F2330" s="5">
        <v>65</v>
      </c>
      <c r="G2330" s="5">
        <v>75.7</v>
      </c>
      <c r="H2330" s="4" t="s">
        <v>2771</v>
      </c>
      <c r="I2330" s="10">
        <v>126</v>
      </c>
      <c r="J2330" s="34">
        <f t="shared" si="144"/>
        <v>1.0961999999999998</v>
      </c>
      <c r="K2330" s="34">
        <f t="shared" si="145"/>
        <v>1.64</v>
      </c>
      <c r="L2330" s="34">
        <f t="shared" si="146"/>
        <v>6.56</v>
      </c>
      <c r="M2330" s="11" t="s">
        <v>5313</v>
      </c>
      <c r="N2330" s="11" t="s">
        <v>5230</v>
      </c>
      <c r="O2330" s="11" t="s">
        <v>5231</v>
      </c>
      <c r="P2330" s="11" t="s">
        <v>5232</v>
      </c>
      <c r="Q2330" s="12">
        <v>65</v>
      </c>
      <c r="R2330" s="12">
        <v>76</v>
      </c>
      <c r="S2330" s="12">
        <v>4.2</v>
      </c>
      <c r="T2330" s="13">
        <v>18.690000000000001</v>
      </c>
      <c r="U2330" s="13">
        <f t="shared" si="147"/>
        <v>12.130000000000003</v>
      </c>
      <c r="V2330" s="14">
        <v>2289.52</v>
      </c>
      <c r="W2330" s="14">
        <v>2289.52</v>
      </c>
      <c r="X2330" s="11">
        <v>3</v>
      </c>
      <c r="Y2330" s="15" t="s">
        <v>3713</v>
      </c>
      <c r="Z2330" s="16">
        <v>2163.52</v>
      </c>
      <c r="AA2330" s="17">
        <v>1717.1</v>
      </c>
      <c r="AB2330" s="18" t="s">
        <v>5259</v>
      </c>
    </row>
    <row r="2331" spans="1:28" x14ac:dyDescent="0.45">
      <c r="A2331" s="2" t="s">
        <v>3127</v>
      </c>
      <c r="B2331" s="2" t="s">
        <v>3128</v>
      </c>
      <c r="C2331" s="2" t="s">
        <v>2797</v>
      </c>
      <c r="D2331" s="2" t="s">
        <v>2798</v>
      </c>
      <c r="E2331" s="2" t="s">
        <v>96</v>
      </c>
      <c r="F2331" s="3">
        <v>65</v>
      </c>
      <c r="G2331" s="3">
        <v>80.099999999999994</v>
      </c>
      <c r="H2331" s="2" t="s">
        <v>851</v>
      </c>
      <c r="I2331" s="19">
        <v>183</v>
      </c>
      <c r="J2331" s="34">
        <f t="shared" si="144"/>
        <v>1.5920999999999998</v>
      </c>
      <c r="K2331" s="34">
        <f t="shared" si="145"/>
        <v>2.39</v>
      </c>
      <c r="L2331" s="34">
        <f t="shared" si="146"/>
        <v>9.56</v>
      </c>
      <c r="M2331" s="20" t="s">
        <v>5314</v>
      </c>
      <c r="N2331" s="20" t="s">
        <v>5254</v>
      </c>
      <c r="O2331" s="20" t="s">
        <v>5251</v>
      </c>
      <c r="P2331" s="20" t="s">
        <v>5255</v>
      </c>
      <c r="Q2331" s="21">
        <v>65</v>
      </c>
      <c r="R2331" s="21">
        <v>80</v>
      </c>
      <c r="S2331" s="21">
        <v>9</v>
      </c>
      <c r="T2331" s="22">
        <v>8.4600000000000009</v>
      </c>
      <c r="U2331" s="13">
        <f t="shared" si="147"/>
        <v>-1.0999999999999996</v>
      </c>
      <c r="V2331" s="23">
        <v>1036.3499999999999</v>
      </c>
      <c r="W2331" s="23">
        <v>1036.3499999999999</v>
      </c>
      <c r="X2331" s="20">
        <v>233</v>
      </c>
      <c r="Y2331" s="24" t="s">
        <v>3713</v>
      </c>
      <c r="Z2331" s="16">
        <v>853.34999999999991</v>
      </c>
      <c r="AA2331" s="17">
        <v>466.3</v>
      </c>
      <c r="AB2331" s="25" t="s">
        <v>5276</v>
      </c>
    </row>
    <row r="2332" spans="1:28" x14ac:dyDescent="0.45">
      <c r="A2332" s="4" t="s">
        <v>3129</v>
      </c>
      <c r="B2332" s="4" t="s">
        <v>3130</v>
      </c>
      <c r="C2332" s="4" t="s">
        <v>2797</v>
      </c>
      <c r="D2332" s="4" t="s">
        <v>2798</v>
      </c>
      <c r="E2332" s="4" t="s">
        <v>96</v>
      </c>
      <c r="F2332" s="5">
        <v>65</v>
      </c>
      <c r="G2332" s="5">
        <v>85.5</v>
      </c>
      <c r="H2332" s="4" t="s">
        <v>876</v>
      </c>
      <c r="I2332" s="10">
        <v>310</v>
      </c>
      <c r="J2332" s="34">
        <f t="shared" si="144"/>
        <v>2.6969999999999996</v>
      </c>
      <c r="K2332" s="34">
        <f t="shared" si="145"/>
        <v>4.05</v>
      </c>
      <c r="L2332" s="34">
        <f t="shared" si="146"/>
        <v>16.2</v>
      </c>
      <c r="M2332" s="11" t="s">
        <v>5405</v>
      </c>
      <c r="N2332" s="11" t="s">
        <v>5254</v>
      </c>
      <c r="O2332" s="11" t="s">
        <v>5251</v>
      </c>
      <c r="P2332" s="11" t="s">
        <v>5255</v>
      </c>
      <c r="Q2332" s="12">
        <v>65</v>
      </c>
      <c r="R2332" s="12">
        <v>85</v>
      </c>
      <c r="S2332" s="12">
        <v>12</v>
      </c>
      <c r="T2332" s="13">
        <v>23.14</v>
      </c>
      <c r="U2332" s="13">
        <f t="shared" si="147"/>
        <v>6.9400000000000013</v>
      </c>
      <c r="V2332" s="14">
        <v>2834.65</v>
      </c>
      <c r="W2332" s="14">
        <v>2834.65</v>
      </c>
      <c r="X2332" s="11">
        <v>7</v>
      </c>
      <c r="Y2332" s="15" t="s">
        <v>3713</v>
      </c>
      <c r="Z2332" s="16">
        <v>2524.65</v>
      </c>
      <c r="AA2332" s="17">
        <v>814.4</v>
      </c>
      <c r="AB2332" s="18" t="s">
        <v>3813</v>
      </c>
    </row>
    <row r="2333" spans="1:28" x14ac:dyDescent="0.45">
      <c r="A2333" s="2" t="s">
        <v>3131</v>
      </c>
      <c r="B2333" s="2" t="s">
        <v>3132</v>
      </c>
      <c r="C2333" s="2" t="s">
        <v>2797</v>
      </c>
      <c r="D2333" s="2" t="s">
        <v>2798</v>
      </c>
      <c r="E2333" s="2" t="s">
        <v>96</v>
      </c>
      <c r="F2333" s="3">
        <v>68</v>
      </c>
      <c r="G2333" s="3">
        <v>83.1</v>
      </c>
      <c r="H2333" s="2" t="s">
        <v>851</v>
      </c>
      <c r="I2333" s="19">
        <v>234</v>
      </c>
      <c r="J2333" s="34">
        <f t="shared" si="144"/>
        <v>2.0358000000000001</v>
      </c>
      <c r="K2333" s="34">
        <f t="shared" si="145"/>
        <v>3.05</v>
      </c>
      <c r="L2333" s="34">
        <f t="shared" si="146"/>
        <v>12.2</v>
      </c>
      <c r="M2333" s="20" t="s">
        <v>5315</v>
      </c>
      <c r="N2333" s="20" t="s">
        <v>5230</v>
      </c>
      <c r="O2333" s="20" t="s">
        <v>5231</v>
      </c>
      <c r="P2333" s="20" t="s">
        <v>5232</v>
      </c>
      <c r="Q2333" s="21">
        <v>68</v>
      </c>
      <c r="R2333" s="21">
        <v>83.5</v>
      </c>
      <c r="S2333" s="21">
        <v>6.3</v>
      </c>
      <c r="T2333" s="22">
        <v>17.16</v>
      </c>
      <c r="U2333" s="13">
        <f t="shared" si="147"/>
        <v>4.9600000000000009</v>
      </c>
      <c r="V2333" s="23">
        <v>2102.1</v>
      </c>
      <c r="W2333" s="23">
        <v>2102.1</v>
      </c>
      <c r="X2333" s="20">
        <v>63</v>
      </c>
      <c r="Y2333" s="24" t="s">
        <v>3713</v>
      </c>
      <c r="Z2333" s="16">
        <v>1868.1</v>
      </c>
      <c r="AA2333" s="17">
        <v>798.3</v>
      </c>
      <c r="AB2333" s="25" t="s">
        <v>5283</v>
      </c>
    </row>
    <row r="2334" spans="1:28" x14ac:dyDescent="0.45">
      <c r="A2334" s="4" t="s">
        <v>3133</v>
      </c>
      <c r="B2334" s="4" t="s">
        <v>3134</v>
      </c>
      <c r="C2334" s="4" t="s">
        <v>2797</v>
      </c>
      <c r="D2334" s="4" t="s">
        <v>2798</v>
      </c>
      <c r="E2334" s="4" t="s">
        <v>96</v>
      </c>
      <c r="F2334" s="5">
        <v>70</v>
      </c>
      <c r="G2334" s="5">
        <v>80.7</v>
      </c>
      <c r="H2334" s="4" t="s">
        <v>2771</v>
      </c>
      <c r="I2334" s="10">
        <v>131</v>
      </c>
      <c r="J2334" s="34">
        <f t="shared" si="144"/>
        <v>1.1396999999999999</v>
      </c>
      <c r="K2334" s="34">
        <f t="shared" si="145"/>
        <v>1.71</v>
      </c>
      <c r="L2334" s="34">
        <f t="shared" si="146"/>
        <v>6.84</v>
      </c>
      <c r="M2334" s="11" t="s">
        <v>5233</v>
      </c>
      <c r="N2334" s="11" t="s">
        <v>5230</v>
      </c>
      <c r="O2334" s="11" t="s">
        <v>5231</v>
      </c>
      <c r="P2334" s="11" t="s">
        <v>5232</v>
      </c>
      <c r="Q2334" s="12">
        <v>70</v>
      </c>
      <c r="R2334" s="12">
        <v>81</v>
      </c>
      <c r="S2334" s="12">
        <v>4.2</v>
      </c>
      <c r="T2334" s="13">
        <v>11.38</v>
      </c>
      <c r="U2334" s="13">
        <f t="shared" si="147"/>
        <v>4.5400000000000009</v>
      </c>
      <c r="V2334" s="14">
        <v>1394.05</v>
      </c>
      <c r="W2334" s="14">
        <v>1394.05</v>
      </c>
      <c r="X2334" s="11">
        <v>264</v>
      </c>
      <c r="Y2334" s="15" t="s">
        <v>3713</v>
      </c>
      <c r="Z2334" s="16">
        <v>1263.05</v>
      </c>
      <c r="AA2334" s="17">
        <v>964.2</v>
      </c>
      <c r="AB2334" s="18" t="s">
        <v>5259</v>
      </c>
    </row>
    <row r="2335" spans="1:28" x14ac:dyDescent="0.45">
      <c r="A2335" s="2" t="s">
        <v>3135</v>
      </c>
      <c r="B2335" s="2" t="s">
        <v>3136</v>
      </c>
      <c r="C2335" s="2" t="s">
        <v>2797</v>
      </c>
      <c r="D2335" s="2" t="s">
        <v>2798</v>
      </c>
      <c r="E2335" s="2" t="s">
        <v>96</v>
      </c>
      <c r="F2335" s="3">
        <v>70</v>
      </c>
      <c r="G2335" s="3">
        <v>82.6</v>
      </c>
      <c r="H2335" s="2" t="s">
        <v>2771</v>
      </c>
      <c r="I2335" s="19">
        <v>160</v>
      </c>
      <c r="J2335" s="34">
        <f t="shared" si="144"/>
        <v>1.3919999999999999</v>
      </c>
      <c r="K2335" s="34">
        <f t="shared" si="145"/>
        <v>2.09</v>
      </c>
      <c r="L2335" s="34">
        <f t="shared" si="146"/>
        <v>8.36</v>
      </c>
      <c r="M2335" s="20" t="s">
        <v>5406</v>
      </c>
      <c r="N2335" s="20" t="s">
        <v>5254</v>
      </c>
      <c r="O2335" s="20" t="s">
        <v>5251</v>
      </c>
      <c r="P2335" s="20" t="s">
        <v>5255</v>
      </c>
      <c r="Q2335" s="21">
        <v>70</v>
      </c>
      <c r="R2335" s="21">
        <v>83</v>
      </c>
      <c r="S2335" s="21">
        <v>10</v>
      </c>
      <c r="T2335" s="22">
        <v>8.42</v>
      </c>
      <c r="U2335" s="13">
        <f t="shared" si="147"/>
        <v>6.0000000000000497E-2</v>
      </c>
      <c r="V2335" s="23">
        <v>1031.45</v>
      </c>
      <c r="W2335" s="23">
        <v>1031.45</v>
      </c>
      <c r="X2335" s="20">
        <v>20</v>
      </c>
      <c r="Y2335" s="24" t="s">
        <v>3713</v>
      </c>
      <c r="Z2335" s="16">
        <v>871.45</v>
      </c>
      <c r="AA2335" s="17">
        <v>544.70000000000005</v>
      </c>
      <c r="AB2335" s="25" t="s">
        <v>5283</v>
      </c>
    </row>
    <row r="2336" spans="1:28" x14ac:dyDescent="0.45">
      <c r="A2336" s="4" t="s">
        <v>3137</v>
      </c>
      <c r="B2336" s="4" t="s">
        <v>3138</v>
      </c>
      <c r="C2336" s="4" t="s">
        <v>2797</v>
      </c>
      <c r="D2336" s="4" t="s">
        <v>2798</v>
      </c>
      <c r="E2336" s="4" t="s">
        <v>96</v>
      </c>
      <c r="F2336" s="5">
        <v>70</v>
      </c>
      <c r="G2336" s="5">
        <v>85.1</v>
      </c>
      <c r="H2336" s="4" t="s">
        <v>851</v>
      </c>
      <c r="I2336" s="10">
        <v>192</v>
      </c>
      <c r="J2336" s="34">
        <f t="shared" si="144"/>
        <v>1.6703999999999999</v>
      </c>
      <c r="K2336" s="34">
        <f t="shared" si="145"/>
        <v>2.5099999999999998</v>
      </c>
      <c r="L2336" s="34">
        <f t="shared" si="146"/>
        <v>10.039999999999999</v>
      </c>
      <c r="M2336" s="11" t="s">
        <v>5316</v>
      </c>
      <c r="N2336" s="11" t="s">
        <v>5254</v>
      </c>
      <c r="O2336" s="11" t="s">
        <v>5251</v>
      </c>
      <c r="P2336" s="11" t="s">
        <v>5255</v>
      </c>
      <c r="Q2336" s="12">
        <v>70</v>
      </c>
      <c r="R2336" s="12">
        <v>85</v>
      </c>
      <c r="S2336" s="12">
        <v>9</v>
      </c>
      <c r="T2336" s="13">
        <v>9.69</v>
      </c>
      <c r="U2336" s="13">
        <f t="shared" si="147"/>
        <v>-0.34999999999999964</v>
      </c>
      <c r="V2336" s="14">
        <v>1187.02</v>
      </c>
      <c r="W2336" s="14">
        <v>1187.02</v>
      </c>
      <c r="X2336" s="11">
        <v>122</v>
      </c>
      <c r="Y2336" s="15" t="s">
        <v>3713</v>
      </c>
      <c r="Z2336" s="16">
        <v>995.02</v>
      </c>
      <c r="AA2336" s="17">
        <v>518.20000000000005</v>
      </c>
      <c r="AB2336" s="18" t="s">
        <v>5276</v>
      </c>
    </row>
    <row r="2337" spans="1:28" x14ac:dyDescent="0.45">
      <c r="A2337" s="2" t="s">
        <v>3139</v>
      </c>
      <c r="B2337" s="2" t="s">
        <v>3140</v>
      </c>
      <c r="C2337" s="2" t="s">
        <v>2797</v>
      </c>
      <c r="D2337" s="2" t="s">
        <v>2798</v>
      </c>
      <c r="E2337" s="2" t="s">
        <v>96</v>
      </c>
      <c r="F2337" s="3">
        <v>75</v>
      </c>
      <c r="G2337" s="3">
        <v>85.7</v>
      </c>
      <c r="H2337" s="2" t="s">
        <v>2771</v>
      </c>
      <c r="I2337" s="19">
        <v>143</v>
      </c>
      <c r="J2337" s="34">
        <f t="shared" si="144"/>
        <v>1.2441</v>
      </c>
      <c r="K2337" s="34">
        <f t="shared" si="145"/>
        <v>1.87</v>
      </c>
      <c r="L2337" s="34">
        <f t="shared" si="146"/>
        <v>7.48</v>
      </c>
      <c r="M2337" s="20" t="s">
        <v>5317</v>
      </c>
      <c r="N2337" s="20" t="s">
        <v>5254</v>
      </c>
      <c r="O2337" s="20" t="s">
        <v>5251</v>
      </c>
      <c r="P2337" s="20" t="s">
        <v>5255</v>
      </c>
      <c r="Q2337" s="21">
        <v>75</v>
      </c>
      <c r="R2337" s="21">
        <v>85</v>
      </c>
      <c r="S2337" s="21">
        <v>6</v>
      </c>
      <c r="T2337" s="22">
        <v>7.37</v>
      </c>
      <c r="U2337" s="13">
        <f t="shared" si="147"/>
        <v>-0.11000000000000032</v>
      </c>
      <c r="V2337" s="23">
        <v>902.82</v>
      </c>
      <c r="W2337" s="23">
        <v>902.82</v>
      </c>
      <c r="X2337" s="20">
        <v>132</v>
      </c>
      <c r="Y2337" s="24" t="s">
        <v>3713</v>
      </c>
      <c r="Z2337" s="16">
        <v>759.82</v>
      </c>
      <c r="AA2337" s="17">
        <v>531.29999999999995</v>
      </c>
      <c r="AB2337" s="25" t="s">
        <v>5256</v>
      </c>
    </row>
    <row r="2338" spans="1:28" x14ac:dyDescent="0.45">
      <c r="A2338" s="4" t="s">
        <v>3141</v>
      </c>
      <c r="B2338" s="4" t="s">
        <v>3142</v>
      </c>
      <c r="C2338" s="4" t="s">
        <v>2797</v>
      </c>
      <c r="D2338" s="4" t="s">
        <v>2798</v>
      </c>
      <c r="E2338" s="4" t="s">
        <v>96</v>
      </c>
      <c r="F2338" s="5">
        <v>75</v>
      </c>
      <c r="G2338" s="5">
        <v>90.1</v>
      </c>
      <c r="H2338" s="4" t="s">
        <v>851</v>
      </c>
      <c r="I2338" s="10">
        <v>225</v>
      </c>
      <c r="J2338" s="34">
        <f t="shared" si="144"/>
        <v>1.9574999999999998</v>
      </c>
      <c r="K2338" s="34">
        <f t="shared" si="145"/>
        <v>2.94</v>
      </c>
      <c r="L2338" s="34">
        <f t="shared" si="146"/>
        <v>11.76</v>
      </c>
      <c r="M2338" s="11" t="s">
        <v>5318</v>
      </c>
      <c r="N2338" s="11" t="s">
        <v>5254</v>
      </c>
      <c r="O2338" s="11" t="s">
        <v>5251</v>
      </c>
      <c r="P2338" s="11" t="s">
        <v>5255</v>
      </c>
      <c r="Q2338" s="12">
        <v>75</v>
      </c>
      <c r="R2338" s="12">
        <v>90</v>
      </c>
      <c r="S2338" s="12">
        <v>9</v>
      </c>
      <c r="T2338" s="13">
        <v>11.57</v>
      </c>
      <c r="U2338" s="13">
        <f t="shared" si="147"/>
        <v>-0.1899999999999995</v>
      </c>
      <c r="V2338" s="14">
        <v>1417.32</v>
      </c>
      <c r="W2338" s="14">
        <v>1417.32</v>
      </c>
      <c r="X2338" s="11">
        <v>467</v>
      </c>
      <c r="Y2338" s="15" t="s">
        <v>3713</v>
      </c>
      <c r="Z2338" s="16">
        <v>1192.32</v>
      </c>
      <c r="AA2338" s="17">
        <v>529.9</v>
      </c>
      <c r="AB2338" s="18" t="s">
        <v>5276</v>
      </c>
    </row>
    <row r="2339" spans="1:28" x14ac:dyDescent="0.45">
      <c r="A2339" s="2" t="s">
        <v>3143</v>
      </c>
      <c r="B2339" s="2" t="s">
        <v>3144</v>
      </c>
      <c r="C2339" s="2" t="s">
        <v>2797</v>
      </c>
      <c r="D2339" s="2" t="s">
        <v>2798</v>
      </c>
      <c r="E2339" s="2" t="s">
        <v>96</v>
      </c>
      <c r="F2339" s="3">
        <v>78</v>
      </c>
      <c r="G2339" s="3">
        <v>93.1</v>
      </c>
      <c r="H2339" s="2" t="s">
        <v>851</v>
      </c>
      <c r="I2339" s="19">
        <v>259</v>
      </c>
      <c r="J2339" s="34">
        <f t="shared" si="144"/>
        <v>2.2532999999999999</v>
      </c>
      <c r="K2339" s="34">
        <f t="shared" si="145"/>
        <v>3.38</v>
      </c>
      <c r="L2339" s="34">
        <f t="shared" si="146"/>
        <v>13.52</v>
      </c>
      <c r="M2339" s="20" t="s">
        <v>5319</v>
      </c>
      <c r="N2339" s="20" t="s">
        <v>5285</v>
      </c>
      <c r="O2339" s="20" t="s">
        <v>5270</v>
      </c>
      <c r="P2339" s="20" t="s">
        <v>5286</v>
      </c>
      <c r="Q2339" s="21">
        <v>76.2</v>
      </c>
      <c r="R2339" s="21">
        <v>93.471999999999994</v>
      </c>
      <c r="S2339" s="21">
        <v>4.8259999999999996</v>
      </c>
      <c r="T2339" s="22">
        <v>7.74</v>
      </c>
      <c r="U2339" s="13">
        <f t="shared" si="147"/>
        <v>-5.7799999999999994</v>
      </c>
      <c r="V2339" s="23">
        <v>948.15</v>
      </c>
      <c r="W2339" s="23">
        <v>948.15</v>
      </c>
      <c r="X2339" s="20">
        <v>18</v>
      </c>
      <c r="Y2339" s="24" t="s">
        <v>3737</v>
      </c>
      <c r="Z2339" s="16">
        <v>689.15</v>
      </c>
      <c r="AA2339" s="17">
        <v>266.10000000000002</v>
      </c>
      <c r="AB2339" s="25" t="s">
        <v>5320</v>
      </c>
    </row>
    <row r="2340" spans="1:28" x14ac:dyDescent="0.45">
      <c r="A2340" s="4" t="s">
        <v>3145</v>
      </c>
      <c r="B2340" s="4" t="s">
        <v>3146</v>
      </c>
      <c r="C2340" s="4" t="s">
        <v>2797</v>
      </c>
      <c r="D2340" s="4" t="s">
        <v>2798</v>
      </c>
      <c r="E2340" s="4" t="s">
        <v>96</v>
      </c>
      <c r="F2340" s="5">
        <v>80</v>
      </c>
      <c r="G2340" s="5">
        <v>90.7</v>
      </c>
      <c r="H2340" s="4" t="s">
        <v>2771</v>
      </c>
      <c r="I2340" s="10">
        <v>151</v>
      </c>
      <c r="J2340" s="34">
        <f t="shared" si="144"/>
        <v>1.3136999999999999</v>
      </c>
      <c r="K2340" s="34">
        <f t="shared" si="145"/>
        <v>1.97</v>
      </c>
      <c r="L2340" s="34">
        <f t="shared" si="146"/>
        <v>7.88</v>
      </c>
      <c r="M2340" s="11" t="s">
        <v>5234</v>
      </c>
      <c r="N2340" s="11" t="s">
        <v>5230</v>
      </c>
      <c r="O2340" s="11" t="s">
        <v>5231</v>
      </c>
      <c r="P2340" s="11" t="s">
        <v>5232</v>
      </c>
      <c r="Q2340" s="12">
        <v>80</v>
      </c>
      <c r="R2340" s="12">
        <v>91</v>
      </c>
      <c r="S2340" s="12">
        <v>4.2</v>
      </c>
      <c r="T2340" s="13">
        <v>17.329999999999998</v>
      </c>
      <c r="U2340" s="13">
        <f t="shared" si="147"/>
        <v>9.4499999999999993</v>
      </c>
      <c r="V2340" s="14">
        <v>2122.92</v>
      </c>
      <c r="W2340" s="14">
        <v>2122.92</v>
      </c>
      <c r="X2340" s="11">
        <v>85</v>
      </c>
      <c r="Y2340" s="15" t="s">
        <v>3713</v>
      </c>
      <c r="Z2340" s="16">
        <v>1971.92</v>
      </c>
      <c r="AA2340" s="17">
        <v>1305.9000000000001</v>
      </c>
      <c r="AB2340" s="18" t="s">
        <v>5259</v>
      </c>
    </row>
    <row r="2341" spans="1:28" x14ac:dyDescent="0.45">
      <c r="A2341" s="2" t="s">
        <v>3147</v>
      </c>
      <c r="B2341" s="2" t="s">
        <v>3148</v>
      </c>
      <c r="C2341" s="2" t="s">
        <v>2797</v>
      </c>
      <c r="D2341" s="2" t="s">
        <v>2798</v>
      </c>
      <c r="E2341" s="2" t="s">
        <v>96</v>
      </c>
      <c r="F2341" s="3">
        <v>80</v>
      </c>
      <c r="G2341" s="3">
        <v>95.1</v>
      </c>
      <c r="H2341" s="2" t="s">
        <v>851</v>
      </c>
      <c r="I2341" s="19">
        <v>225</v>
      </c>
      <c r="J2341" s="34">
        <f t="shared" si="144"/>
        <v>1.9574999999999998</v>
      </c>
      <c r="K2341" s="34">
        <f t="shared" si="145"/>
        <v>2.94</v>
      </c>
      <c r="L2341" s="34">
        <f t="shared" si="146"/>
        <v>11.76</v>
      </c>
      <c r="M2341" s="20" t="s">
        <v>5321</v>
      </c>
      <c r="N2341" s="20" t="s">
        <v>5254</v>
      </c>
      <c r="O2341" s="20" t="s">
        <v>5251</v>
      </c>
      <c r="P2341" s="20" t="s">
        <v>5255</v>
      </c>
      <c r="Q2341" s="21">
        <v>80</v>
      </c>
      <c r="R2341" s="21">
        <v>95</v>
      </c>
      <c r="S2341" s="21">
        <v>9</v>
      </c>
      <c r="T2341" s="22">
        <v>10.42</v>
      </c>
      <c r="U2341" s="13">
        <f t="shared" si="147"/>
        <v>-1.3399999999999999</v>
      </c>
      <c r="V2341" s="23">
        <v>1276.45</v>
      </c>
      <c r="W2341" s="23">
        <v>1276.45</v>
      </c>
      <c r="X2341" s="20">
        <v>300</v>
      </c>
      <c r="Y2341" s="24" t="s">
        <v>3713</v>
      </c>
      <c r="Z2341" s="16">
        <v>1051.45</v>
      </c>
      <c r="AA2341" s="17">
        <v>467.3</v>
      </c>
      <c r="AB2341" s="25" t="s">
        <v>5276</v>
      </c>
    </row>
    <row r="2342" spans="1:28" x14ac:dyDescent="0.45">
      <c r="A2342" s="4" t="s">
        <v>3149</v>
      </c>
      <c r="B2342" s="4" t="s">
        <v>3150</v>
      </c>
      <c r="C2342" s="4" t="s">
        <v>2797</v>
      </c>
      <c r="D2342" s="4" t="s">
        <v>2798</v>
      </c>
      <c r="E2342" s="4" t="s">
        <v>96</v>
      </c>
      <c r="F2342" s="5">
        <v>80</v>
      </c>
      <c r="G2342" s="5">
        <v>100.5</v>
      </c>
      <c r="H2342" s="4" t="s">
        <v>876</v>
      </c>
      <c r="I2342" s="10">
        <v>367</v>
      </c>
      <c r="J2342" s="34">
        <f t="shared" si="144"/>
        <v>3.1928999999999998</v>
      </c>
      <c r="K2342" s="34">
        <f t="shared" si="145"/>
        <v>4.79</v>
      </c>
      <c r="L2342" s="34">
        <f t="shared" si="146"/>
        <v>19.16</v>
      </c>
      <c r="M2342" s="11" t="s">
        <v>5322</v>
      </c>
      <c r="N2342" s="11" t="s">
        <v>5230</v>
      </c>
      <c r="O2342" s="11" t="s">
        <v>5231</v>
      </c>
      <c r="P2342" s="11" t="s">
        <v>5232</v>
      </c>
      <c r="Q2342" s="12">
        <v>80</v>
      </c>
      <c r="R2342" s="12">
        <v>100.5</v>
      </c>
      <c r="S2342" s="12">
        <v>8.1</v>
      </c>
      <c r="T2342" s="13">
        <v>23.44</v>
      </c>
      <c r="U2342" s="13">
        <f t="shared" si="147"/>
        <v>4.2800000000000011</v>
      </c>
      <c r="V2342" s="14">
        <v>2871.4</v>
      </c>
      <c r="W2342" s="14">
        <v>2871.4</v>
      </c>
      <c r="X2342" s="11">
        <v>82</v>
      </c>
      <c r="Y2342" s="15" t="s">
        <v>3713</v>
      </c>
      <c r="Z2342" s="16">
        <v>2504.4</v>
      </c>
      <c r="AA2342" s="17">
        <v>682.4</v>
      </c>
      <c r="AB2342" s="18" t="s">
        <v>3714</v>
      </c>
    </row>
    <row r="2343" spans="1:28" x14ac:dyDescent="0.45">
      <c r="A2343" s="2" t="s">
        <v>3151</v>
      </c>
      <c r="B2343" s="2" t="s">
        <v>3152</v>
      </c>
      <c r="C2343" s="2" t="s">
        <v>2797</v>
      </c>
      <c r="D2343" s="2" t="s">
        <v>2798</v>
      </c>
      <c r="E2343" s="2" t="s">
        <v>96</v>
      </c>
      <c r="F2343" s="3">
        <v>82.5</v>
      </c>
      <c r="G2343" s="3">
        <v>98.2</v>
      </c>
      <c r="H2343" s="2" t="s">
        <v>851</v>
      </c>
      <c r="I2343" s="19">
        <v>268</v>
      </c>
      <c r="J2343" s="34">
        <f t="shared" si="144"/>
        <v>2.3315999999999999</v>
      </c>
      <c r="K2343" s="34">
        <f t="shared" si="145"/>
        <v>3.5</v>
      </c>
      <c r="L2343" s="34">
        <f t="shared" si="146"/>
        <v>14</v>
      </c>
      <c r="M2343" s="20" t="s">
        <v>5407</v>
      </c>
      <c r="N2343" s="20" t="s">
        <v>5230</v>
      </c>
      <c r="O2343" s="20" t="s">
        <v>5231</v>
      </c>
      <c r="P2343" s="20" t="s">
        <v>5232</v>
      </c>
      <c r="Q2343" s="21">
        <v>82.55</v>
      </c>
      <c r="R2343" s="21">
        <v>98.298000000000002</v>
      </c>
      <c r="S2343" s="21">
        <v>6.35</v>
      </c>
      <c r="T2343" s="22">
        <v>19.239999999999998</v>
      </c>
      <c r="U2343" s="13">
        <f t="shared" si="147"/>
        <v>5.2399999999999984</v>
      </c>
      <c r="V2343" s="23">
        <v>2356.9</v>
      </c>
      <c r="W2343" s="23">
        <v>2356.9</v>
      </c>
      <c r="X2343" s="20" t="s">
        <v>3722</v>
      </c>
      <c r="Y2343" s="24" t="s">
        <v>3737</v>
      </c>
      <c r="Z2343" s="16">
        <v>2088.9</v>
      </c>
      <c r="AA2343" s="17">
        <v>779.4</v>
      </c>
      <c r="AB2343" s="25" t="s">
        <v>5408</v>
      </c>
    </row>
    <row r="2344" spans="1:28" x14ac:dyDescent="0.45">
      <c r="A2344" s="4" t="s">
        <v>3153</v>
      </c>
      <c r="B2344" s="4" t="s">
        <v>3154</v>
      </c>
      <c r="C2344" s="4" t="s">
        <v>2797</v>
      </c>
      <c r="D2344" s="4" t="s">
        <v>2798</v>
      </c>
      <c r="E2344" s="4" t="s">
        <v>96</v>
      </c>
      <c r="F2344" s="5">
        <v>83</v>
      </c>
      <c r="G2344" s="5">
        <v>98.1</v>
      </c>
      <c r="H2344" s="4" t="s">
        <v>851</v>
      </c>
      <c r="I2344" s="10">
        <v>268</v>
      </c>
      <c r="J2344" s="34">
        <f t="shared" si="144"/>
        <v>2.3315999999999999</v>
      </c>
      <c r="K2344" s="34">
        <f t="shared" si="145"/>
        <v>3.5</v>
      </c>
      <c r="L2344" s="34">
        <f t="shared" si="146"/>
        <v>14</v>
      </c>
      <c r="M2344" s="11" t="s">
        <v>5409</v>
      </c>
      <c r="N2344" s="11" t="s">
        <v>5230</v>
      </c>
      <c r="O2344" s="11" t="s">
        <v>5231</v>
      </c>
      <c r="P2344" s="11" t="s">
        <v>5232</v>
      </c>
      <c r="Q2344" s="12">
        <v>82.55</v>
      </c>
      <c r="R2344" s="12">
        <v>98.043999999999997</v>
      </c>
      <c r="S2344" s="12">
        <v>6.35</v>
      </c>
      <c r="T2344" s="13">
        <v>25.11</v>
      </c>
      <c r="U2344" s="13">
        <f t="shared" si="147"/>
        <v>11.11</v>
      </c>
      <c r="V2344" s="14">
        <v>3075.98</v>
      </c>
      <c r="W2344" s="14">
        <v>3075.98</v>
      </c>
      <c r="X2344" s="11" t="s">
        <v>3722</v>
      </c>
      <c r="Y2344" s="15" t="s">
        <v>3737</v>
      </c>
      <c r="Z2344" s="16">
        <v>2807.98</v>
      </c>
      <c r="AA2344" s="17">
        <v>1047.8</v>
      </c>
      <c r="AB2344" s="18" t="s">
        <v>5410</v>
      </c>
    </row>
    <row r="2345" spans="1:28" x14ac:dyDescent="0.45">
      <c r="A2345" s="2" t="s">
        <v>3155</v>
      </c>
      <c r="B2345" s="2" t="s">
        <v>3156</v>
      </c>
      <c r="C2345" s="2" t="s">
        <v>2797</v>
      </c>
      <c r="D2345" s="2" t="s">
        <v>2798</v>
      </c>
      <c r="E2345" s="2" t="s">
        <v>96</v>
      </c>
      <c r="F2345" s="3">
        <v>85</v>
      </c>
      <c r="G2345" s="3">
        <v>95.7</v>
      </c>
      <c r="H2345" s="2" t="s">
        <v>2771</v>
      </c>
      <c r="I2345" s="19">
        <v>160</v>
      </c>
      <c r="J2345" s="34">
        <f t="shared" si="144"/>
        <v>1.3919999999999999</v>
      </c>
      <c r="K2345" s="34">
        <f t="shared" si="145"/>
        <v>2.09</v>
      </c>
      <c r="L2345" s="34">
        <f t="shared" si="146"/>
        <v>8.36</v>
      </c>
      <c r="M2345" s="20" t="s">
        <v>5235</v>
      </c>
      <c r="N2345" s="20"/>
      <c r="O2345" s="20" t="s">
        <v>5231</v>
      </c>
      <c r="P2345" s="20" t="s">
        <v>5236</v>
      </c>
      <c r="Q2345" s="21">
        <v>85</v>
      </c>
      <c r="R2345" s="21">
        <v>95</v>
      </c>
      <c r="S2345" s="21">
        <v>6.3</v>
      </c>
      <c r="T2345" s="22">
        <v>10.15</v>
      </c>
      <c r="U2345" s="13">
        <f t="shared" si="147"/>
        <v>1.7900000000000009</v>
      </c>
      <c r="V2345" s="23">
        <v>1243.3800000000001</v>
      </c>
      <c r="W2345" s="23">
        <v>1243.3800000000001</v>
      </c>
      <c r="X2345" s="20" t="s">
        <v>3722</v>
      </c>
      <c r="Y2345" s="24" t="s">
        <v>3713</v>
      </c>
      <c r="Z2345" s="16">
        <v>1083.3800000000001</v>
      </c>
      <c r="AA2345" s="17">
        <v>677.1</v>
      </c>
      <c r="AB2345" s="25" t="s">
        <v>5256</v>
      </c>
    </row>
    <row r="2346" spans="1:28" x14ac:dyDescent="0.45">
      <c r="A2346" s="4" t="s">
        <v>3157</v>
      </c>
      <c r="B2346" s="4" t="s">
        <v>3158</v>
      </c>
      <c r="C2346" s="4" t="s">
        <v>2797</v>
      </c>
      <c r="D2346" s="4" t="s">
        <v>2798</v>
      </c>
      <c r="E2346" s="4" t="s">
        <v>96</v>
      </c>
      <c r="F2346" s="5">
        <v>85</v>
      </c>
      <c r="G2346" s="5">
        <v>100.1</v>
      </c>
      <c r="H2346" s="4" t="s">
        <v>851</v>
      </c>
      <c r="I2346" s="10">
        <v>242</v>
      </c>
      <c r="J2346" s="34">
        <f t="shared" si="144"/>
        <v>2.1053999999999999</v>
      </c>
      <c r="K2346" s="34">
        <f t="shared" si="145"/>
        <v>3.16</v>
      </c>
      <c r="L2346" s="34">
        <f t="shared" si="146"/>
        <v>12.64</v>
      </c>
      <c r="M2346" s="11" t="s">
        <v>5323</v>
      </c>
      <c r="N2346" s="11" t="s">
        <v>5254</v>
      </c>
      <c r="O2346" s="11" t="s">
        <v>5251</v>
      </c>
      <c r="P2346" s="11" t="s">
        <v>5255</v>
      </c>
      <c r="Q2346" s="12">
        <v>85</v>
      </c>
      <c r="R2346" s="12">
        <v>100</v>
      </c>
      <c r="S2346" s="12">
        <v>9</v>
      </c>
      <c r="T2346" s="13">
        <v>9.92</v>
      </c>
      <c r="U2346" s="13">
        <f t="shared" si="147"/>
        <v>-2.7200000000000006</v>
      </c>
      <c r="V2346" s="14">
        <v>1215.2</v>
      </c>
      <c r="W2346" s="14">
        <v>1215.2</v>
      </c>
      <c r="X2346" s="11">
        <v>740</v>
      </c>
      <c r="Y2346" s="15" t="s">
        <v>3713</v>
      </c>
      <c r="Z2346" s="16">
        <v>973.2</v>
      </c>
      <c r="AA2346" s="17">
        <v>402.1</v>
      </c>
      <c r="AB2346" s="18" t="s">
        <v>5276</v>
      </c>
    </row>
    <row r="2347" spans="1:28" x14ac:dyDescent="0.45">
      <c r="A2347" s="2" t="s">
        <v>3159</v>
      </c>
      <c r="B2347" s="2" t="s">
        <v>3160</v>
      </c>
      <c r="C2347" s="2" t="s">
        <v>2797</v>
      </c>
      <c r="D2347" s="2" t="s">
        <v>2798</v>
      </c>
      <c r="E2347" s="2" t="s">
        <v>96</v>
      </c>
      <c r="F2347" s="3">
        <v>85</v>
      </c>
      <c r="G2347" s="3">
        <v>105.5</v>
      </c>
      <c r="H2347" s="2" t="s">
        <v>876</v>
      </c>
      <c r="I2347" s="19">
        <v>384</v>
      </c>
      <c r="J2347" s="34">
        <f t="shared" si="144"/>
        <v>3.3407999999999998</v>
      </c>
      <c r="K2347" s="34">
        <f t="shared" si="145"/>
        <v>5.01</v>
      </c>
      <c r="L2347" s="34">
        <f t="shared" si="146"/>
        <v>20.04</v>
      </c>
      <c r="M2347" s="20" t="s">
        <v>5411</v>
      </c>
      <c r="N2347" s="20" t="s">
        <v>5230</v>
      </c>
      <c r="O2347" s="20" t="s">
        <v>5231</v>
      </c>
      <c r="P2347" s="20" t="s">
        <v>5232</v>
      </c>
      <c r="Q2347" s="21">
        <v>85</v>
      </c>
      <c r="R2347" s="21">
        <v>105.5</v>
      </c>
      <c r="S2347" s="21">
        <v>8.1</v>
      </c>
      <c r="T2347" s="22">
        <v>23.69</v>
      </c>
      <c r="U2347" s="13">
        <f t="shared" si="147"/>
        <v>3.6500000000000021</v>
      </c>
      <c r="V2347" s="23">
        <v>2902.02</v>
      </c>
      <c r="W2347" s="23">
        <v>2902.02</v>
      </c>
      <c r="X2347" s="20">
        <v>245</v>
      </c>
      <c r="Y2347" s="24" t="s">
        <v>3713</v>
      </c>
      <c r="Z2347" s="16">
        <v>2518.02</v>
      </c>
      <c r="AA2347" s="17">
        <v>655.7</v>
      </c>
      <c r="AB2347" s="25" t="s">
        <v>3714</v>
      </c>
    </row>
    <row r="2348" spans="1:28" x14ac:dyDescent="0.45">
      <c r="A2348" s="4" t="s">
        <v>3161</v>
      </c>
      <c r="B2348" s="4" t="s">
        <v>3162</v>
      </c>
      <c r="C2348" s="4" t="s">
        <v>2797</v>
      </c>
      <c r="D2348" s="4" t="s">
        <v>2798</v>
      </c>
      <c r="E2348" s="4" t="s">
        <v>96</v>
      </c>
      <c r="F2348" s="5">
        <v>88</v>
      </c>
      <c r="G2348" s="5">
        <v>103.1</v>
      </c>
      <c r="H2348" s="4" t="s">
        <v>851</v>
      </c>
      <c r="I2348" s="10">
        <v>284</v>
      </c>
      <c r="J2348" s="34">
        <f t="shared" si="144"/>
        <v>2.4707999999999997</v>
      </c>
      <c r="K2348" s="34">
        <f t="shared" si="145"/>
        <v>3.71</v>
      </c>
      <c r="L2348" s="34">
        <f t="shared" si="146"/>
        <v>14.84</v>
      </c>
      <c r="M2348" s="11" t="s">
        <v>5324</v>
      </c>
      <c r="N2348" s="11" t="s">
        <v>5274</v>
      </c>
      <c r="O2348" s="11" t="s">
        <v>5251</v>
      </c>
      <c r="P2348" s="11" t="s">
        <v>5275</v>
      </c>
      <c r="Q2348" s="12">
        <v>88.391999999999996</v>
      </c>
      <c r="R2348" s="12">
        <v>104.648</v>
      </c>
      <c r="S2348" s="12">
        <v>29.21</v>
      </c>
      <c r="T2348" s="13">
        <v>165.89</v>
      </c>
      <c r="U2348" s="13">
        <f t="shared" si="147"/>
        <v>151.04999999999998</v>
      </c>
      <c r="V2348" s="14">
        <v>20321.52</v>
      </c>
      <c r="W2348" s="14">
        <v>20321.52</v>
      </c>
      <c r="X2348" s="11" t="s">
        <v>3722</v>
      </c>
      <c r="Y2348" s="15" t="s">
        <v>3737</v>
      </c>
      <c r="Z2348" s="16">
        <v>20037.52</v>
      </c>
      <c r="AA2348" s="17">
        <v>7055.5</v>
      </c>
      <c r="AB2348" s="18" t="s">
        <v>5325</v>
      </c>
    </row>
    <row r="2349" spans="1:28" x14ac:dyDescent="0.45">
      <c r="A2349" s="2" t="s">
        <v>3163</v>
      </c>
      <c r="B2349" s="2" t="s">
        <v>3164</v>
      </c>
      <c r="C2349" s="2" t="s">
        <v>2797</v>
      </c>
      <c r="D2349" s="2" t="s">
        <v>2798</v>
      </c>
      <c r="E2349" s="2" t="s">
        <v>96</v>
      </c>
      <c r="F2349" s="3">
        <v>90</v>
      </c>
      <c r="G2349" s="3">
        <v>100.7</v>
      </c>
      <c r="H2349" s="2" t="s">
        <v>2771</v>
      </c>
      <c r="I2349" s="19">
        <v>175</v>
      </c>
      <c r="J2349" s="34">
        <f t="shared" si="144"/>
        <v>1.5225</v>
      </c>
      <c r="K2349" s="34">
        <f t="shared" si="145"/>
        <v>2.2799999999999998</v>
      </c>
      <c r="L2349" s="34">
        <f t="shared" si="146"/>
        <v>9.1199999999999992</v>
      </c>
      <c r="M2349" s="20" t="s">
        <v>5412</v>
      </c>
      <c r="N2349" s="20" t="s">
        <v>5230</v>
      </c>
      <c r="O2349" s="20" t="s">
        <v>5231</v>
      </c>
      <c r="P2349" s="20" t="s">
        <v>5232</v>
      </c>
      <c r="Q2349" s="21">
        <v>90</v>
      </c>
      <c r="R2349" s="21">
        <v>101</v>
      </c>
      <c r="S2349" s="21">
        <v>4.2</v>
      </c>
      <c r="T2349" s="22">
        <v>16.3</v>
      </c>
      <c r="U2349" s="13">
        <f t="shared" si="147"/>
        <v>7.1800000000000015</v>
      </c>
      <c r="V2349" s="23">
        <v>1996.75</v>
      </c>
      <c r="W2349" s="23">
        <v>1996.75</v>
      </c>
      <c r="X2349" s="20">
        <v>46</v>
      </c>
      <c r="Y2349" s="24" t="s">
        <v>3713</v>
      </c>
      <c r="Z2349" s="16">
        <v>1821.75</v>
      </c>
      <c r="AA2349" s="17">
        <v>1041</v>
      </c>
      <c r="AB2349" s="25" t="s">
        <v>5259</v>
      </c>
    </row>
    <row r="2350" spans="1:28" x14ac:dyDescent="0.45">
      <c r="A2350" s="4" t="s">
        <v>3165</v>
      </c>
      <c r="B2350" s="4" t="s">
        <v>3166</v>
      </c>
      <c r="C2350" s="4" t="s">
        <v>2797</v>
      </c>
      <c r="D2350" s="4" t="s">
        <v>2798</v>
      </c>
      <c r="E2350" s="4" t="s">
        <v>96</v>
      </c>
      <c r="F2350" s="5">
        <v>90</v>
      </c>
      <c r="G2350" s="5">
        <v>105.1</v>
      </c>
      <c r="H2350" s="4" t="s">
        <v>851</v>
      </c>
      <c r="I2350" s="10">
        <v>251</v>
      </c>
      <c r="J2350" s="34">
        <f t="shared" si="144"/>
        <v>2.1837</v>
      </c>
      <c r="K2350" s="34">
        <f t="shared" si="145"/>
        <v>3.28</v>
      </c>
      <c r="L2350" s="34">
        <f t="shared" si="146"/>
        <v>13.12</v>
      </c>
      <c r="M2350" s="11" t="s">
        <v>5326</v>
      </c>
      <c r="N2350" s="11" t="s">
        <v>5254</v>
      </c>
      <c r="O2350" s="11" t="s">
        <v>5251</v>
      </c>
      <c r="P2350" s="11" t="s">
        <v>5255</v>
      </c>
      <c r="Q2350" s="12">
        <v>90</v>
      </c>
      <c r="R2350" s="12">
        <v>105</v>
      </c>
      <c r="S2350" s="12">
        <v>9</v>
      </c>
      <c r="T2350" s="13">
        <v>13.13</v>
      </c>
      <c r="U2350" s="13">
        <f t="shared" si="147"/>
        <v>1.0000000000001563E-2</v>
      </c>
      <c r="V2350" s="14">
        <v>1608.43</v>
      </c>
      <c r="W2350" s="14">
        <v>1608.43</v>
      </c>
      <c r="X2350" s="11">
        <v>184</v>
      </c>
      <c r="Y2350" s="15" t="s">
        <v>3713</v>
      </c>
      <c r="Z2350" s="16">
        <v>1357.43</v>
      </c>
      <c r="AA2350" s="17">
        <v>540.79999999999995</v>
      </c>
      <c r="AB2350" s="18" t="s">
        <v>5276</v>
      </c>
    </row>
    <row r="2351" spans="1:28" x14ac:dyDescent="0.45">
      <c r="A2351" s="2" t="s">
        <v>3167</v>
      </c>
      <c r="B2351" s="2" t="s">
        <v>3168</v>
      </c>
      <c r="C2351" s="2" t="s">
        <v>2797</v>
      </c>
      <c r="D2351" s="2" t="s">
        <v>2798</v>
      </c>
      <c r="E2351" s="2" t="s">
        <v>96</v>
      </c>
      <c r="F2351" s="3">
        <v>90</v>
      </c>
      <c r="G2351" s="3">
        <v>110.5</v>
      </c>
      <c r="H2351" s="2" t="s">
        <v>876</v>
      </c>
      <c r="I2351" s="19">
        <v>409</v>
      </c>
      <c r="J2351" s="34">
        <f t="shared" si="144"/>
        <v>3.5582999999999996</v>
      </c>
      <c r="K2351" s="34">
        <f t="shared" si="145"/>
        <v>5.34</v>
      </c>
      <c r="L2351" s="34">
        <f t="shared" si="146"/>
        <v>21.36</v>
      </c>
      <c r="M2351" s="20" t="s">
        <v>5327</v>
      </c>
      <c r="N2351" s="20" t="s">
        <v>5230</v>
      </c>
      <c r="O2351" s="20" t="s">
        <v>5231</v>
      </c>
      <c r="P2351" s="20" t="s">
        <v>5232</v>
      </c>
      <c r="Q2351" s="21">
        <v>90</v>
      </c>
      <c r="R2351" s="21">
        <v>110.5</v>
      </c>
      <c r="S2351" s="21">
        <v>8.1</v>
      </c>
      <c r="T2351" s="22">
        <v>27.38</v>
      </c>
      <c r="U2351" s="13">
        <f t="shared" si="147"/>
        <v>6.02</v>
      </c>
      <c r="V2351" s="23">
        <v>3354.05</v>
      </c>
      <c r="W2351" s="23">
        <v>3354.05</v>
      </c>
      <c r="X2351" s="20">
        <v>184</v>
      </c>
      <c r="Y2351" s="24" t="s">
        <v>3713</v>
      </c>
      <c r="Z2351" s="16">
        <v>2945.05</v>
      </c>
      <c r="AA2351" s="17">
        <v>720.1</v>
      </c>
      <c r="AB2351" s="25" t="s">
        <v>3714</v>
      </c>
    </row>
    <row r="2352" spans="1:28" x14ac:dyDescent="0.45">
      <c r="A2352" s="4" t="s">
        <v>3169</v>
      </c>
      <c r="B2352" s="4" t="s">
        <v>3170</v>
      </c>
      <c r="C2352" s="4" t="s">
        <v>2797</v>
      </c>
      <c r="D2352" s="4" t="s">
        <v>2798</v>
      </c>
      <c r="E2352" s="4" t="s">
        <v>96</v>
      </c>
      <c r="F2352" s="5">
        <v>92</v>
      </c>
      <c r="G2352" s="5">
        <v>102.7</v>
      </c>
      <c r="H2352" s="4" t="s">
        <v>2771</v>
      </c>
      <c r="I2352" s="10">
        <v>175</v>
      </c>
      <c r="J2352" s="34">
        <f t="shared" si="144"/>
        <v>1.5225</v>
      </c>
      <c r="K2352" s="34">
        <f t="shared" si="145"/>
        <v>2.2799999999999998</v>
      </c>
      <c r="L2352" s="34">
        <f t="shared" si="146"/>
        <v>9.1199999999999992</v>
      </c>
      <c r="M2352" s="11" t="s">
        <v>5413</v>
      </c>
      <c r="N2352" s="11" t="s">
        <v>5269</v>
      </c>
      <c r="O2352" s="11" t="s">
        <v>5270</v>
      </c>
      <c r="P2352" s="11" t="s">
        <v>5271</v>
      </c>
      <c r="Q2352" s="12">
        <v>92</v>
      </c>
      <c r="R2352" s="12">
        <v>101.3</v>
      </c>
      <c r="S2352" s="12">
        <v>8</v>
      </c>
      <c r="T2352" s="13">
        <v>5.73</v>
      </c>
      <c r="U2352" s="13">
        <f t="shared" si="147"/>
        <v>-3.3899999999999988</v>
      </c>
      <c r="V2352" s="14">
        <v>701.92</v>
      </c>
      <c r="W2352" s="14">
        <v>701.92</v>
      </c>
      <c r="X2352" s="11">
        <v>3</v>
      </c>
      <c r="Y2352" s="15" t="s">
        <v>3713</v>
      </c>
      <c r="Z2352" s="16">
        <v>526.91999999999996</v>
      </c>
      <c r="AA2352" s="17">
        <v>301.10000000000002</v>
      </c>
      <c r="AB2352" s="18" t="s">
        <v>5414</v>
      </c>
    </row>
    <row r="2353" spans="1:28" x14ac:dyDescent="0.45">
      <c r="A2353" s="2" t="s">
        <v>3171</v>
      </c>
      <c r="B2353" s="2" t="s">
        <v>3172</v>
      </c>
      <c r="C2353" s="2" t="s">
        <v>2797</v>
      </c>
      <c r="D2353" s="2" t="s">
        <v>2798</v>
      </c>
      <c r="E2353" s="2" t="s">
        <v>96</v>
      </c>
      <c r="F2353" s="3">
        <v>95</v>
      </c>
      <c r="G2353" s="3">
        <v>105.7</v>
      </c>
      <c r="H2353" s="2" t="s">
        <v>2771</v>
      </c>
      <c r="I2353" s="19">
        <v>183</v>
      </c>
      <c r="J2353" s="34">
        <f t="shared" si="144"/>
        <v>1.5920999999999998</v>
      </c>
      <c r="K2353" s="34">
        <f t="shared" si="145"/>
        <v>2.39</v>
      </c>
      <c r="L2353" s="34">
        <f t="shared" si="146"/>
        <v>9.56</v>
      </c>
      <c r="M2353" s="20" t="s">
        <v>5415</v>
      </c>
      <c r="N2353" s="20" t="s">
        <v>5290</v>
      </c>
      <c r="O2353" s="20" t="s">
        <v>5291</v>
      </c>
      <c r="P2353" s="20" t="s">
        <v>5292</v>
      </c>
      <c r="Q2353" s="21">
        <v>95</v>
      </c>
      <c r="R2353" s="21">
        <v>105</v>
      </c>
      <c r="S2353" s="21">
        <v>10.5</v>
      </c>
      <c r="T2353" s="22">
        <v>9.4499999999999993</v>
      </c>
      <c r="U2353" s="13">
        <f t="shared" si="147"/>
        <v>-0.11000000000000121</v>
      </c>
      <c r="V2353" s="23">
        <v>1157.6199999999999</v>
      </c>
      <c r="W2353" s="23">
        <v>1157.6199999999999</v>
      </c>
      <c r="X2353" s="20">
        <v>23</v>
      </c>
      <c r="Y2353" s="24" t="s">
        <v>3713</v>
      </c>
      <c r="Z2353" s="16">
        <v>974.61999999999989</v>
      </c>
      <c r="AA2353" s="17">
        <v>532.6</v>
      </c>
      <c r="AB2353" s="25" t="s">
        <v>5256</v>
      </c>
    </row>
    <row r="2354" spans="1:28" x14ac:dyDescent="0.45">
      <c r="A2354" s="4" t="s">
        <v>3173</v>
      </c>
      <c r="B2354" s="4" t="s">
        <v>3174</v>
      </c>
      <c r="C2354" s="4" t="s">
        <v>2797</v>
      </c>
      <c r="D2354" s="4" t="s">
        <v>2798</v>
      </c>
      <c r="E2354" s="4" t="s">
        <v>96</v>
      </c>
      <c r="F2354" s="5">
        <v>95</v>
      </c>
      <c r="G2354" s="5">
        <v>110.1</v>
      </c>
      <c r="H2354" s="4" t="s">
        <v>851</v>
      </c>
      <c r="I2354" s="10">
        <v>268</v>
      </c>
      <c r="J2354" s="34">
        <f t="shared" si="144"/>
        <v>2.3315999999999999</v>
      </c>
      <c r="K2354" s="34">
        <f t="shared" si="145"/>
        <v>3.5</v>
      </c>
      <c r="L2354" s="34">
        <f t="shared" si="146"/>
        <v>14</v>
      </c>
      <c r="M2354" s="11" t="s">
        <v>5328</v>
      </c>
      <c r="N2354" s="11" t="s">
        <v>5254</v>
      </c>
      <c r="O2354" s="11" t="s">
        <v>5251</v>
      </c>
      <c r="P2354" s="11" t="s">
        <v>5255</v>
      </c>
      <c r="Q2354" s="12">
        <v>95</v>
      </c>
      <c r="R2354" s="12">
        <v>110</v>
      </c>
      <c r="S2354" s="12">
        <v>9</v>
      </c>
      <c r="T2354" s="13">
        <v>10.83</v>
      </c>
      <c r="U2354" s="13">
        <f t="shared" si="147"/>
        <v>-3.17</v>
      </c>
      <c r="V2354" s="14">
        <v>1326.68</v>
      </c>
      <c r="W2354" s="14">
        <v>1326.68</v>
      </c>
      <c r="X2354" s="11">
        <v>65</v>
      </c>
      <c r="Y2354" s="15" t="s">
        <v>3713</v>
      </c>
      <c r="Z2354" s="16">
        <v>1058.68</v>
      </c>
      <c r="AA2354" s="17">
        <v>395</v>
      </c>
      <c r="AB2354" s="18" t="s">
        <v>5276</v>
      </c>
    </row>
    <row r="2355" spans="1:28" x14ac:dyDescent="0.45">
      <c r="A2355" s="2" t="s">
        <v>3175</v>
      </c>
      <c r="B2355" s="2" t="s">
        <v>3176</v>
      </c>
      <c r="C2355" s="2" t="s">
        <v>2797</v>
      </c>
      <c r="D2355" s="2" t="s">
        <v>2798</v>
      </c>
      <c r="E2355" s="2" t="s">
        <v>96</v>
      </c>
      <c r="F2355" s="3">
        <v>98</v>
      </c>
      <c r="G2355" s="3">
        <v>113.1</v>
      </c>
      <c r="H2355" s="2" t="s">
        <v>851</v>
      </c>
      <c r="I2355" s="19">
        <v>318</v>
      </c>
      <c r="J2355" s="34">
        <f t="shared" si="144"/>
        <v>2.7665999999999999</v>
      </c>
      <c r="K2355" s="34">
        <f t="shared" si="145"/>
        <v>4.1500000000000004</v>
      </c>
      <c r="L2355" s="34">
        <f t="shared" si="146"/>
        <v>16.600000000000001</v>
      </c>
      <c r="M2355" s="20" t="s">
        <v>5329</v>
      </c>
      <c r="N2355" s="20" t="s">
        <v>5310</v>
      </c>
      <c r="O2355" s="20" t="s">
        <v>5270</v>
      </c>
      <c r="P2355" s="20" t="s">
        <v>5311</v>
      </c>
      <c r="Q2355" s="21">
        <v>98</v>
      </c>
      <c r="R2355" s="21">
        <v>112</v>
      </c>
      <c r="S2355" s="21">
        <v>8.5</v>
      </c>
      <c r="T2355" s="22">
        <v>42.6</v>
      </c>
      <c r="U2355" s="13">
        <f t="shared" si="147"/>
        <v>26</v>
      </c>
      <c r="V2355" s="23">
        <v>5218.5</v>
      </c>
      <c r="W2355" s="23">
        <v>5218.5</v>
      </c>
      <c r="X2355" s="20">
        <v>23</v>
      </c>
      <c r="Y2355" s="24" t="s">
        <v>3713</v>
      </c>
      <c r="Z2355" s="16">
        <v>4900.5</v>
      </c>
      <c r="AA2355" s="17">
        <v>1541</v>
      </c>
      <c r="AB2355" s="25" t="s">
        <v>5330</v>
      </c>
    </row>
    <row r="2356" spans="1:28" x14ac:dyDescent="0.45">
      <c r="A2356" s="4" t="s">
        <v>3177</v>
      </c>
      <c r="B2356" s="4" t="s">
        <v>3178</v>
      </c>
      <c r="C2356" s="4" t="s">
        <v>2797</v>
      </c>
      <c r="D2356" s="4" t="s">
        <v>2798</v>
      </c>
      <c r="E2356" s="4" t="s">
        <v>96</v>
      </c>
      <c r="F2356" s="5">
        <v>100</v>
      </c>
      <c r="G2356" s="5">
        <v>115.1</v>
      </c>
      <c r="H2356" s="4" t="s">
        <v>851</v>
      </c>
      <c r="I2356" s="10">
        <v>276</v>
      </c>
      <c r="J2356" s="34">
        <f t="shared" si="144"/>
        <v>2.4011999999999998</v>
      </c>
      <c r="K2356" s="34">
        <f t="shared" si="145"/>
        <v>3.6</v>
      </c>
      <c r="L2356" s="34">
        <f t="shared" si="146"/>
        <v>14.4</v>
      </c>
      <c r="M2356" s="11" t="s">
        <v>5331</v>
      </c>
      <c r="N2356" s="11" t="s">
        <v>5254</v>
      </c>
      <c r="O2356" s="11" t="s">
        <v>5251</v>
      </c>
      <c r="P2356" s="11" t="s">
        <v>5255</v>
      </c>
      <c r="Q2356" s="12">
        <v>100</v>
      </c>
      <c r="R2356" s="12">
        <v>115</v>
      </c>
      <c r="S2356" s="12">
        <v>9</v>
      </c>
      <c r="T2356" s="13">
        <v>12.56</v>
      </c>
      <c r="U2356" s="13">
        <f t="shared" si="147"/>
        <v>-1.8399999999999999</v>
      </c>
      <c r="V2356" s="14">
        <v>1538.6</v>
      </c>
      <c r="W2356" s="14">
        <v>1538.6</v>
      </c>
      <c r="X2356" s="11">
        <v>255</v>
      </c>
      <c r="Y2356" s="15" t="s">
        <v>3713</v>
      </c>
      <c r="Z2356" s="16">
        <v>1262.5999999999999</v>
      </c>
      <c r="AA2356" s="17">
        <v>457.5</v>
      </c>
      <c r="AB2356" s="18" t="s">
        <v>5276</v>
      </c>
    </row>
    <row r="2357" spans="1:28" x14ac:dyDescent="0.45">
      <c r="A2357" s="2" t="s">
        <v>3179</v>
      </c>
      <c r="B2357" s="2" t="s">
        <v>3180</v>
      </c>
      <c r="C2357" s="2" t="s">
        <v>2797</v>
      </c>
      <c r="D2357" s="2" t="s">
        <v>2798</v>
      </c>
      <c r="E2357" s="2" t="s">
        <v>96</v>
      </c>
      <c r="F2357" s="3">
        <v>100</v>
      </c>
      <c r="G2357" s="3">
        <v>120.5</v>
      </c>
      <c r="H2357" s="2" t="s">
        <v>876</v>
      </c>
      <c r="I2357" s="19">
        <v>451</v>
      </c>
      <c r="J2357" s="34">
        <f t="shared" si="144"/>
        <v>3.9236999999999997</v>
      </c>
      <c r="K2357" s="34">
        <f t="shared" si="145"/>
        <v>5.89</v>
      </c>
      <c r="L2357" s="34">
        <f t="shared" si="146"/>
        <v>23.56</v>
      </c>
      <c r="M2357" s="20" t="s">
        <v>5332</v>
      </c>
      <c r="N2357" s="20" t="s">
        <v>5230</v>
      </c>
      <c r="O2357" s="20" t="s">
        <v>5231</v>
      </c>
      <c r="P2357" s="20" t="s">
        <v>5232</v>
      </c>
      <c r="Q2357" s="21">
        <v>100</v>
      </c>
      <c r="R2357" s="21">
        <v>120.5</v>
      </c>
      <c r="S2357" s="21">
        <v>8.1</v>
      </c>
      <c r="T2357" s="22">
        <v>36.200000000000003</v>
      </c>
      <c r="U2357" s="13">
        <f t="shared" si="147"/>
        <v>12.640000000000004</v>
      </c>
      <c r="V2357" s="23">
        <v>4434.5</v>
      </c>
      <c r="W2357" s="23">
        <v>4434.5</v>
      </c>
      <c r="X2357" s="20">
        <v>233</v>
      </c>
      <c r="Y2357" s="24" t="s">
        <v>3713</v>
      </c>
      <c r="Z2357" s="16">
        <v>3983.5</v>
      </c>
      <c r="AA2357" s="17">
        <v>883.3</v>
      </c>
      <c r="AB2357" s="25" t="s">
        <v>3714</v>
      </c>
    </row>
    <row r="2358" spans="1:28" x14ac:dyDescent="0.45">
      <c r="A2358" s="4" t="s">
        <v>3181</v>
      </c>
      <c r="B2358" s="4" t="s">
        <v>3182</v>
      </c>
      <c r="C2358" s="4" t="s">
        <v>2797</v>
      </c>
      <c r="D2358" s="4" t="s">
        <v>2798</v>
      </c>
      <c r="E2358" s="4" t="s">
        <v>96</v>
      </c>
      <c r="F2358" s="5">
        <v>103</v>
      </c>
      <c r="G2358" s="5">
        <v>118.1</v>
      </c>
      <c r="H2358" s="4" t="s">
        <v>851</v>
      </c>
      <c r="I2358" s="10">
        <v>326</v>
      </c>
      <c r="J2358" s="34">
        <f t="shared" si="144"/>
        <v>2.8361999999999998</v>
      </c>
      <c r="K2358" s="34">
        <f t="shared" si="145"/>
        <v>4.25</v>
      </c>
      <c r="L2358" s="34">
        <f t="shared" si="146"/>
        <v>17</v>
      </c>
      <c r="M2358" s="11" t="s">
        <v>5416</v>
      </c>
      <c r="N2358" s="11" t="s">
        <v>5230</v>
      </c>
      <c r="O2358" s="11" t="s">
        <v>5231</v>
      </c>
      <c r="P2358" s="11" t="s">
        <v>5232</v>
      </c>
      <c r="Q2358" s="12">
        <v>101.6</v>
      </c>
      <c r="R2358" s="12">
        <v>117.85599999999999</v>
      </c>
      <c r="S2358" s="12">
        <v>5.5880000000000001</v>
      </c>
      <c r="T2358" s="13">
        <v>30.29</v>
      </c>
      <c r="U2358" s="13">
        <f t="shared" si="147"/>
        <v>13.29</v>
      </c>
      <c r="V2358" s="14">
        <v>3710.52</v>
      </c>
      <c r="W2358" s="14">
        <v>3710.52</v>
      </c>
      <c r="X2358" s="11">
        <v>8</v>
      </c>
      <c r="Y2358" s="15" t="s">
        <v>3737</v>
      </c>
      <c r="Z2358" s="16">
        <v>3384.52</v>
      </c>
      <c r="AA2358" s="17">
        <v>1038.2</v>
      </c>
      <c r="AB2358" s="18" t="s">
        <v>5417</v>
      </c>
    </row>
    <row r="2359" spans="1:28" x14ac:dyDescent="0.45">
      <c r="A2359" s="2" t="s">
        <v>3183</v>
      </c>
      <c r="B2359" s="2" t="s">
        <v>3184</v>
      </c>
      <c r="C2359" s="2" t="s">
        <v>2797</v>
      </c>
      <c r="D2359" s="2" t="s">
        <v>2798</v>
      </c>
      <c r="E2359" s="2" t="s">
        <v>96</v>
      </c>
      <c r="F2359" s="3">
        <v>105</v>
      </c>
      <c r="G2359" s="3">
        <v>115.7</v>
      </c>
      <c r="H2359" s="2" t="s">
        <v>2771</v>
      </c>
      <c r="I2359" s="19">
        <v>209</v>
      </c>
      <c r="J2359" s="34">
        <f t="shared" si="144"/>
        <v>1.8182999999999998</v>
      </c>
      <c r="K2359" s="34">
        <f t="shared" si="145"/>
        <v>2.73</v>
      </c>
      <c r="L2359" s="34">
        <f t="shared" si="146"/>
        <v>10.92</v>
      </c>
      <c r="M2359" s="20" t="s">
        <v>5418</v>
      </c>
      <c r="N2359" s="20" t="s">
        <v>5290</v>
      </c>
      <c r="O2359" s="20" t="s">
        <v>5291</v>
      </c>
      <c r="P2359" s="20" t="s">
        <v>5292</v>
      </c>
      <c r="Q2359" s="21">
        <v>105</v>
      </c>
      <c r="R2359" s="21">
        <v>115</v>
      </c>
      <c r="S2359" s="21">
        <v>11</v>
      </c>
      <c r="T2359" s="22">
        <v>16.420000000000002</v>
      </c>
      <c r="U2359" s="13">
        <f t="shared" si="147"/>
        <v>5.5000000000000018</v>
      </c>
      <c r="V2359" s="23">
        <v>2011.45</v>
      </c>
      <c r="W2359" s="23">
        <v>2011.45</v>
      </c>
      <c r="X2359" s="20">
        <v>16</v>
      </c>
      <c r="Y2359" s="24" t="s">
        <v>3713</v>
      </c>
      <c r="Z2359" s="16">
        <v>1802.45</v>
      </c>
      <c r="AA2359" s="17">
        <v>862.4</v>
      </c>
      <c r="AB2359" s="25" t="s">
        <v>5256</v>
      </c>
    </row>
    <row r="2360" spans="1:28" x14ac:dyDescent="0.45">
      <c r="A2360" s="4" t="s">
        <v>3185</v>
      </c>
      <c r="B2360" s="4" t="s">
        <v>3186</v>
      </c>
      <c r="C2360" s="4" t="s">
        <v>2797</v>
      </c>
      <c r="D2360" s="4" t="s">
        <v>2798</v>
      </c>
      <c r="E2360" s="4" t="s">
        <v>96</v>
      </c>
      <c r="F2360" s="5">
        <v>105</v>
      </c>
      <c r="G2360" s="5">
        <v>120.1</v>
      </c>
      <c r="H2360" s="4" t="s">
        <v>851</v>
      </c>
      <c r="I2360" s="10">
        <v>293</v>
      </c>
      <c r="J2360" s="34">
        <f t="shared" si="144"/>
        <v>2.5490999999999997</v>
      </c>
      <c r="K2360" s="34">
        <f t="shared" si="145"/>
        <v>3.82</v>
      </c>
      <c r="L2360" s="34">
        <f t="shared" si="146"/>
        <v>15.28</v>
      </c>
      <c r="M2360" s="11" t="s">
        <v>5333</v>
      </c>
      <c r="N2360" s="11" t="s">
        <v>5301</v>
      </c>
      <c r="O2360" s="11" t="s">
        <v>5251</v>
      </c>
      <c r="P2360" s="11" t="s">
        <v>5302</v>
      </c>
      <c r="Q2360" s="12">
        <v>105</v>
      </c>
      <c r="R2360" s="12">
        <v>120</v>
      </c>
      <c r="S2360" s="12">
        <v>13</v>
      </c>
      <c r="T2360" s="13">
        <v>60.8</v>
      </c>
      <c r="U2360" s="13">
        <f t="shared" si="147"/>
        <v>45.519999999999996</v>
      </c>
      <c r="V2360" s="14">
        <v>7448</v>
      </c>
      <c r="W2360" s="14">
        <v>7448</v>
      </c>
      <c r="X2360" s="11">
        <v>6</v>
      </c>
      <c r="Y2360" s="15" t="s">
        <v>3713</v>
      </c>
      <c r="Z2360" s="16">
        <v>7155</v>
      </c>
      <c r="AA2360" s="17">
        <v>2442</v>
      </c>
      <c r="AB2360" s="18" t="s">
        <v>5276</v>
      </c>
    </row>
    <row r="2361" spans="1:28" x14ac:dyDescent="0.45">
      <c r="A2361" s="2" t="s">
        <v>3187</v>
      </c>
      <c r="B2361" s="2" t="s">
        <v>3188</v>
      </c>
      <c r="C2361" s="2" t="s">
        <v>2797</v>
      </c>
      <c r="D2361" s="2" t="s">
        <v>2798</v>
      </c>
      <c r="E2361" s="2" t="s">
        <v>96</v>
      </c>
      <c r="F2361" s="3">
        <v>105</v>
      </c>
      <c r="G2361" s="3">
        <v>125.5</v>
      </c>
      <c r="H2361" s="2" t="s">
        <v>876</v>
      </c>
      <c r="I2361" s="19">
        <v>468</v>
      </c>
      <c r="J2361" s="34">
        <f t="shared" si="144"/>
        <v>4.0716000000000001</v>
      </c>
      <c r="K2361" s="34">
        <f t="shared" si="145"/>
        <v>6.11</v>
      </c>
      <c r="L2361" s="34">
        <f t="shared" si="146"/>
        <v>24.44</v>
      </c>
      <c r="M2361" s="20" t="s">
        <v>5334</v>
      </c>
      <c r="N2361" s="20" t="s">
        <v>5230</v>
      </c>
      <c r="O2361" s="20" t="s">
        <v>5231</v>
      </c>
      <c r="P2361" s="20" t="s">
        <v>5232</v>
      </c>
      <c r="Q2361" s="21">
        <v>105</v>
      </c>
      <c r="R2361" s="21">
        <v>125.5</v>
      </c>
      <c r="S2361" s="21">
        <v>8.1</v>
      </c>
      <c r="T2361" s="22">
        <v>38.01</v>
      </c>
      <c r="U2361" s="13">
        <f t="shared" si="147"/>
        <v>13.569999999999997</v>
      </c>
      <c r="V2361" s="23">
        <v>4656.22</v>
      </c>
      <c r="W2361" s="23">
        <v>4656.22</v>
      </c>
      <c r="X2361" s="20">
        <v>156</v>
      </c>
      <c r="Y2361" s="24" t="s">
        <v>3713</v>
      </c>
      <c r="Z2361" s="16">
        <v>4188.22</v>
      </c>
      <c r="AA2361" s="17">
        <v>894.9</v>
      </c>
      <c r="AB2361" s="25" t="s">
        <v>3714</v>
      </c>
    </row>
    <row r="2362" spans="1:28" x14ac:dyDescent="0.45">
      <c r="A2362" s="4" t="s">
        <v>3189</v>
      </c>
      <c r="B2362" s="4" t="s">
        <v>3190</v>
      </c>
      <c r="C2362" s="4" t="s">
        <v>2797</v>
      </c>
      <c r="D2362" s="4" t="s">
        <v>2798</v>
      </c>
      <c r="E2362" s="4" t="s">
        <v>96</v>
      </c>
      <c r="F2362" s="5">
        <v>110</v>
      </c>
      <c r="G2362" s="5">
        <v>125.1</v>
      </c>
      <c r="H2362" s="4" t="s">
        <v>851</v>
      </c>
      <c r="I2362" s="10">
        <v>301</v>
      </c>
      <c r="J2362" s="34">
        <f t="shared" si="144"/>
        <v>2.6187</v>
      </c>
      <c r="K2362" s="34">
        <f t="shared" si="145"/>
        <v>3.93</v>
      </c>
      <c r="L2362" s="34">
        <f t="shared" si="146"/>
        <v>15.72</v>
      </c>
      <c r="M2362" s="11" t="s">
        <v>5335</v>
      </c>
      <c r="N2362" s="11" t="s">
        <v>5336</v>
      </c>
      <c r="O2362" s="11" t="s">
        <v>5251</v>
      </c>
      <c r="P2362" s="11" t="s">
        <v>5337</v>
      </c>
      <c r="Q2362" s="12">
        <v>110</v>
      </c>
      <c r="R2362" s="12">
        <v>125</v>
      </c>
      <c r="S2362" s="12">
        <v>30</v>
      </c>
      <c r="T2362" s="13">
        <v>150.56</v>
      </c>
      <c r="U2362" s="13">
        <f t="shared" si="147"/>
        <v>134.84</v>
      </c>
      <c r="V2362" s="14">
        <v>18443.599999999999</v>
      </c>
      <c r="W2362" s="14">
        <v>18443.599999999999</v>
      </c>
      <c r="X2362" s="11" t="s">
        <v>3722</v>
      </c>
      <c r="Y2362" s="15" t="s">
        <v>3713</v>
      </c>
      <c r="Z2362" s="16">
        <v>18142.599999999999</v>
      </c>
      <c r="AA2362" s="17">
        <v>6027.4</v>
      </c>
      <c r="AB2362" s="18" t="s">
        <v>5276</v>
      </c>
    </row>
    <row r="2363" spans="1:28" x14ac:dyDescent="0.45">
      <c r="A2363" s="2" t="s">
        <v>3191</v>
      </c>
      <c r="B2363" s="2" t="s">
        <v>3192</v>
      </c>
      <c r="C2363" s="2" t="s">
        <v>2797</v>
      </c>
      <c r="D2363" s="2" t="s">
        <v>2798</v>
      </c>
      <c r="E2363" s="2" t="s">
        <v>96</v>
      </c>
      <c r="F2363" s="3">
        <v>110</v>
      </c>
      <c r="G2363" s="3">
        <v>130.5</v>
      </c>
      <c r="H2363" s="2" t="s">
        <v>876</v>
      </c>
      <c r="I2363" s="19">
        <v>493</v>
      </c>
      <c r="J2363" s="34">
        <f t="shared" si="144"/>
        <v>4.2890999999999995</v>
      </c>
      <c r="K2363" s="34">
        <f t="shared" si="145"/>
        <v>6.43</v>
      </c>
      <c r="L2363" s="34">
        <f t="shared" si="146"/>
        <v>25.72</v>
      </c>
      <c r="M2363" s="20" t="s">
        <v>5338</v>
      </c>
      <c r="N2363" s="20" t="s">
        <v>5274</v>
      </c>
      <c r="O2363" s="20" t="s">
        <v>5251</v>
      </c>
      <c r="P2363" s="20" t="s">
        <v>5275</v>
      </c>
      <c r="Q2363" s="21">
        <v>110</v>
      </c>
      <c r="R2363" s="21">
        <v>130</v>
      </c>
      <c r="S2363" s="21">
        <v>30</v>
      </c>
      <c r="T2363" s="22">
        <v>57.97</v>
      </c>
      <c r="U2363" s="13">
        <f t="shared" si="147"/>
        <v>32.25</v>
      </c>
      <c r="V2363" s="23">
        <v>7101.32</v>
      </c>
      <c r="W2363" s="23">
        <v>7101.32</v>
      </c>
      <c r="X2363" s="20">
        <v>3</v>
      </c>
      <c r="Y2363" s="24" t="s">
        <v>3713</v>
      </c>
      <c r="Z2363" s="16">
        <v>6608.32</v>
      </c>
      <c r="AA2363" s="17">
        <v>1340.4</v>
      </c>
      <c r="AB2363" s="25" t="s">
        <v>3813</v>
      </c>
    </row>
    <row r="2364" spans="1:28" x14ac:dyDescent="0.45">
      <c r="A2364" s="4" t="s">
        <v>3193</v>
      </c>
      <c r="B2364" s="4" t="s">
        <v>3194</v>
      </c>
      <c r="C2364" s="4" t="s">
        <v>2797</v>
      </c>
      <c r="D2364" s="4" t="s">
        <v>2798</v>
      </c>
      <c r="E2364" s="4" t="s">
        <v>96</v>
      </c>
      <c r="F2364" s="5">
        <v>115</v>
      </c>
      <c r="G2364" s="5">
        <v>130.1</v>
      </c>
      <c r="H2364" s="4" t="s">
        <v>851</v>
      </c>
      <c r="I2364" s="10">
        <v>333</v>
      </c>
      <c r="J2364" s="34">
        <f t="shared" si="144"/>
        <v>2.8971</v>
      </c>
      <c r="K2364" s="34">
        <f t="shared" si="145"/>
        <v>4.3499999999999996</v>
      </c>
      <c r="L2364" s="34">
        <f t="shared" si="146"/>
        <v>17.399999999999999</v>
      </c>
      <c r="M2364" s="11" t="s">
        <v>5339</v>
      </c>
      <c r="N2364" s="11" t="s">
        <v>5254</v>
      </c>
      <c r="O2364" s="11" t="s">
        <v>5251</v>
      </c>
      <c r="P2364" s="11" t="s">
        <v>5255</v>
      </c>
      <c r="Q2364" s="12">
        <v>115</v>
      </c>
      <c r="R2364" s="12">
        <v>130</v>
      </c>
      <c r="S2364" s="12">
        <v>9</v>
      </c>
      <c r="T2364" s="13">
        <v>23.63</v>
      </c>
      <c r="U2364" s="13">
        <f t="shared" si="147"/>
        <v>6.23</v>
      </c>
      <c r="V2364" s="14">
        <v>2894.68</v>
      </c>
      <c r="W2364" s="14">
        <v>2894.68</v>
      </c>
      <c r="X2364" s="11">
        <v>28</v>
      </c>
      <c r="Y2364" s="15" t="s">
        <v>3713</v>
      </c>
      <c r="Z2364" s="16">
        <v>2561.6799999999998</v>
      </c>
      <c r="AA2364" s="17">
        <v>769.3</v>
      </c>
      <c r="AB2364" s="18" t="s">
        <v>5276</v>
      </c>
    </row>
    <row r="2365" spans="1:28" x14ac:dyDescent="0.45">
      <c r="A2365" s="2" t="s">
        <v>3195</v>
      </c>
      <c r="B2365" s="2" t="s">
        <v>3196</v>
      </c>
      <c r="C2365" s="2" t="s">
        <v>2797</v>
      </c>
      <c r="D2365" s="2" t="s">
        <v>2798</v>
      </c>
      <c r="E2365" s="2" t="s">
        <v>96</v>
      </c>
      <c r="F2365" s="3">
        <v>115</v>
      </c>
      <c r="G2365" s="3">
        <v>135.5</v>
      </c>
      <c r="H2365" s="2" t="s">
        <v>876</v>
      </c>
      <c r="I2365" s="19">
        <v>508</v>
      </c>
      <c r="J2365" s="34">
        <f t="shared" si="144"/>
        <v>4.4196</v>
      </c>
      <c r="K2365" s="34">
        <f t="shared" si="145"/>
        <v>6.63</v>
      </c>
      <c r="L2365" s="34">
        <f t="shared" si="146"/>
        <v>26.52</v>
      </c>
      <c r="M2365" s="20" t="s">
        <v>5340</v>
      </c>
      <c r="N2365" s="20" t="s">
        <v>5301</v>
      </c>
      <c r="O2365" s="20" t="s">
        <v>5251</v>
      </c>
      <c r="P2365" s="20" t="s">
        <v>5302</v>
      </c>
      <c r="Q2365" s="21">
        <v>115</v>
      </c>
      <c r="R2365" s="21">
        <v>135</v>
      </c>
      <c r="S2365" s="21">
        <v>14.6</v>
      </c>
      <c r="T2365" s="22">
        <v>76.08</v>
      </c>
      <c r="U2365" s="13">
        <f t="shared" si="147"/>
        <v>49.56</v>
      </c>
      <c r="V2365" s="23">
        <v>9319.7999999999993</v>
      </c>
      <c r="W2365" s="23">
        <v>9319.7999999999993</v>
      </c>
      <c r="X2365" s="20">
        <v>1</v>
      </c>
      <c r="Y2365" s="24" t="s">
        <v>3713</v>
      </c>
      <c r="Z2365" s="16">
        <v>8811.7999999999993</v>
      </c>
      <c r="AA2365" s="17">
        <v>1734.6</v>
      </c>
      <c r="AB2365" s="25" t="s">
        <v>3813</v>
      </c>
    </row>
    <row r="2366" spans="1:28" x14ac:dyDescent="0.45">
      <c r="A2366" s="4" t="s">
        <v>3197</v>
      </c>
      <c r="B2366" s="4" t="s">
        <v>3198</v>
      </c>
      <c r="C2366" s="4" t="s">
        <v>2797</v>
      </c>
      <c r="D2366" s="4" t="s">
        <v>2798</v>
      </c>
      <c r="E2366" s="4" t="s">
        <v>96</v>
      </c>
      <c r="F2366" s="5">
        <v>118</v>
      </c>
      <c r="G2366" s="5">
        <v>133.1</v>
      </c>
      <c r="H2366" s="4" t="s">
        <v>851</v>
      </c>
      <c r="I2366" s="10">
        <v>375</v>
      </c>
      <c r="J2366" s="34">
        <f t="shared" si="144"/>
        <v>3.2624999999999997</v>
      </c>
      <c r="K2366" s="34">
        <f t="shared" si="145"/>
        <v>4.8899999999999997</v>
      </c>
      <c r="L2366" s="34">
        <f t="shared" si="146"/>
        <v>19.559999999999999</v>
      </c>
      <c r="M2366" s="11" t="s">
        <v>5341</v>
      </c>
      <c r="N2366" s="11" t="s">
        <v>5310</v>
      </c>
      <c r="O2366" s="11" t="s">
        <v>5270</v>
      </c>
      <c r="P2366" s="11" t="s">
        <v>5311</v>
      </c>
      <c r="Q2366" s="12">
        <v>118</v>
      </c>
      <c r="R2366" s="12">
        <v>133</v>
      </c>
      <c r="S2366" s="12">
        <v>9</v>
      </c>
      <c r="T2366" s="13">
        <v>24.35</v>
      </c>
      <c r="U2366" s="13">
        <f t="shared" si="147"/>
        <v>4.7900000000000027</v>
      </c>
      <c r="V2366" s="14">
        <v>2982.88</v>
      </c>
      <c r="W2366" s="14">
        <v>2982.88</v>
      </c>
      <c r="X2366" s="11">
        <v>5</v>
      </c>
      <c r="Y2366" s="15" t="s">
        <v>3713</v>
      </c>
      <c r="Z2366" s="16">
        <v>2607.88</v>
      </c>
      <c r="AA2366" s="17">
        <v>695.4</v>
      </c>
      <c r="AB2366" s="18" t="s">
        <v>5276</v>
      </c>
    </row>
    <row r="2367" spans="1:28" x14ac:dyDescent="0.45">
      <c r="A2367" s="2" t="s">
        <v>3199</v>
      </c>
      <c r="B2367" s="2" t="s">
        <v>3200</v>
      </c>
      <c r="C2367" s="2" t="s">
        <v>2797</v>
      </c>
      <c r="D2367" s="2" t="s">
        <v>2798</v>
      </c>
      <c r="E2367" s="2" t="s">
        <v>96</v>
      </c>
      <c r="F2367" s="3">
        <v>120</v>
      </c>
      <c r="G2367" s="3">
        <v>135.1</v>
      </c>
      <c r="H2367" s="2" t="s">
        <v>851</v>
      </c>
      <c r="I2367" s="19">
        <v>333</v>
      </c>
      <c r="J2367" s="34">
        <f t="shared" si="144"/>
        <v>2.8971</v>
      </c>
      <c r="K2367" s="34">
        <f t="shared" si="145"/>
        <v>4.3499999999999996</v>
      </c>
      <c r="L2367" s="34">
        <f t="shared" si="146"/>
        <v>17.399999999999999</v>
      </c>
      <c r="M2367" s="20" t="s">
        <v>5342</v>
      </c>
      <c r="N2367" s="20" t="s">
        <v>5254</v>
      </c>
      <c r="O2367" s="20" t="s">
        <v>5251</v>
      </c>
      <c r="P2367" s="20" t="s">
        <v>5255</v>
      </c>
      <c r="Q2367" s="21">
        <v>120</v>
      </c>
      <c r="R2367" s="21">
        <v>135</v>
      </c>
      <c r="S2367" s="21">
        <v>9</v>
      </c>
      <c r="T2367" s="22">
        <v>15.25</v>
      </c>
      <c r="U2367" s="13">
        <f t="shared" si="147"/>
        <v>-2.1499999999999986</v>
      </c>
      <c r="V2367" s="23">
        <v>1868.12</v>
      </c>
      <c r="W2367" s="23">
        <v>1868.12</v>
      </c>
      <c r="X2367" s="20">
        <v>13</v>
      </c>
      <c r="Y2367" s="24" t="s">
        <v>3713</v>
      </c>
      <c r="Z2367" s="16">
        <v>1535.12</v>
      </c>
      <c r="AA2367" s="17">
        <v>461</v>
      </c>
      <c r="AB2367" s="25" t="s">
        <v>5276</v>
      </c>
    </row>
    <row r="2368" spans="1:28" x14ac:dyDescent="0.45">
      <c r="A2368" s="4" t="s">
        <v>3201</v>
      </c>
      <c r="B2368" s="4" t="s">
        <v>3202</v>
      </c>
      <c r="C2368" s="4" t="s">
        <v>2797</v>
      </c>
      <c r="D2368" s="4" t="s">
        <v>2798</v>
      </c>
      <c r="E2368" s="4" t="s">
        <v>96</v>
      </c>
      <c r="F2368" s="5">
        <v>120</v>
      </c>
      <c r="G2368" s="5">
        <v>140.5</v>
      </c>
      <c r="H2368" s="4" t="s">
        <v>876</v>
      </c>
      <c r="I2368" s="10">
        <v>533</v>
      </c>
      <c r="J2368" s="34">
        <f t="shared" si="144"/>
        <v>4.6370999999999993</v>
      </c>
      <c r="K2368" s="34">
        <f t="shared" si="145"/>
        <v>6.96</v>
      </c>
      <c r="L2368" s="34">
        <f t="shared" si="146"/>
        <v>27.84</v>
      </c>
      <c r="M2368" s="11" t="s">
        <v>5343</v>
      </c>
      <c r="N2368" s="11" t="s">
        <v>5297</v>
      </c>
      <c r="O2368" s="11" t="s">
        <v>5251</v>
      </c>
      <c r="P2368" s="11" t="s">
        <v>5298</v>
      </c>
      <c r="Q2368" s="12">
        <v>120</v>
      </c>
      <c r="R2368" s="12">
        <v>140</v>
      </c>
      <c r="S2368" s="12">
        <v>30</v>
      </c>
      <c r="T2368" s="13">
        <v>125</v>
      </c>
      <c r="U2368" s="13">
        <f t="shared" si="147"/>
        <v>97.16</v>
      </c>
      <c r="V2368" s="14">
        <v>15312.5</v>
      </c>
      <c r="W2368" s="14">
        <v>15312.5</v>
      </c>
      <c r="X2368" s="11">
        <v>4</v>
      </c>
      <c r="Y2368" s="15" t="s">
        <v>3713</v>
      </c>
      <c r="Z2368" s="16">
        <v>14779.5</v>
      </c>
      <c r="AA2368" s="17">
        <v>2772.9</v>
      </c>
      <c r="AB2368" s="18" t="s">
        <v>3813</v>
      </c>
    </row>
    <row r="2369" spans="1:28" x14ac:dyDescent="0.45">
      <c r="A2369" s="2" t="s">
        <v>3203</v>
      </c>
      <c r="B2369" s="2" t="s">
        <v>3204</v>
      </c>
      <c r="C2369" s="2" t="s">
        <v>2797</v>
      </c>
      <c r="D2369" s="2" t="s">
        <v>2798</v>
      </c>
      <c r="E2369" s="2" t="s">
        <v>96</v>
      </c>
      <c r="F2369" s="3">
        <v>125</v>
      </c>
      <c r="G2369" s="3">
        <v>140.1</v>
      </c>
      <c r="H2369" s="2" t="s">
        <v>851</v>
      </c>
      <c r="I2369" s="19">
        <v>342</v>
      </c>
      <c r="J2369" s="34">
        <f t="shared" si="144"/>
        <v>2.9753999999999996</v>
      </c>
      <c r="K2369" s="34">
        <f t="shared" si="145"/>
        <v>4.46</v>
      </c>
      <c r="L2369" s="34">
        <f t="shared" si="146"/>
        <v>17.84</v>
      </c>
      <c r="M2369" s="20" t="s">
        <v>5344</v>
      </c>
      <c r="N2369" s="20" t="s">
        <v>5274</v>
      </c>
      <c r="O2369" s="20" t="s">
        <v>5251</v>
      </c>
      <c r="P2369" s="20" t="s">
        <v>5275</v>
      </c>
      <c r="Q2369" s="21">
        <v>125</v>
      </c>
      <c r="R2369" s="21">
        <v>140</v>
      </c>
      <c r="S2369" s="21">
        <v>27.5</v>
      </c>
      <c r="T2369" s="22">
        <v>129.24</v>
      </c>
      <c r="U2369" s="13">
        <f t="shared" si="147"/>
        <v>111.4</v>
      </c>
      <c r="V2369" s="23">
        <v>15831.9</v>
      </c>
      <c r="W2369" s="23">
        <v>15831.9</v>
      </c>
      <c r="X2369" s="20" t="s">
        <v>3722</v>
      </c>
      <c r="Y2369" s="24" t="s">
        <v>3713</v>
      </c>
      <c r="Z2369" s="16">
        <v>15489.9</v>
      </c>
      <c r="AA2369" s="17">
        <v>4529.2</v>
      </c>
      <c r="AB2369" s="25" t="s">
        <v>5276</v>
      </c>
    </row>
    <row r="2370" spans="1:28" x14ac:dyDescent="0.45">
      <c r="A2370" s="4" t="s">
        <v>3205</v>
      </c>
      <c r="B2370" s="4" t="s">
        <v>3206</v>
      </c>
      <c r="C2370" s="4" t="s">
        <v>2797</v>
      </c>
      <c r="D2370" s="4" t="s">
        <v>2798</v>
      </c>
      <c r="E2370" s="4" t="s">
        <v>96</v>
      </c>
      <c r="F2370" s="5">
        <v>125</v>
      </c>
      <c r="G2370" s="5">
        <v>145.5</v>
      </c>
      <c r="H2370" s="4" t="s">
        <v>876</v>
      </c>
      <c r="I2370" s="10">
        <v>550</v>
      </c>
      <c r="J2370" s="34">
        <f t="shared" si="144"/>
        <v>4.7849999999999993</v>
      </c>
      <c r="K2370" s="34">
        <f t="shared" si="145"/>
        <v>7.18</v>
      </c>
      <c r="L2370" s="34">
        <f t="shared" si="146"/>
        <v>28.72</v>
      </c>
      <c r="M2370" s="11" t="s">
        <v>5345</v>
      </c>
      <c r="N2370" s="11" t="s">
        <v>5230</v>
      </c>
      <c r="O2370" s="11" t="s">
        <v>5231</v>
      </c>
      <c r="P2370" s="11" t="s">
        <v>5232</v>
      </c>
      <c r="Q2370" s="12">
        <v>125</v>
      </c>
      <c r="R2370" s="12">
        <v>145.5</v>
      </c>
      <c r="S2370" s="12">
        <v>8.1</v>
      </c>
      <c r="T2370" s="13">
        <v>47.62</v>
      </c>
      <c r="U2370" s="13">
        <f t="shared" si="147"/>
        <v>18.899999999999999</v>
      </c>
      <c r="V2370" s="14">
        <v>5833.45</v>
      </c>
      <c r="W2370" s="14">
        <v>5833.45</v>
      </c>
      <c r="X2370" s="11">
        <v>57</v>
      </c>
      <c r="Y2370" s="15" t="s">
        <v>3713</v>
      </c>
      <c r="Z2370" s="16">
        <v>5283.45</v>
      </c>
      <c r="AA2370" s="17">
        <v>960.6</v>
      </c>
      <c r="AB2370" s="18" t="s">
        <v>3714</v>
      </c>
    </row>
    <row r="2371" spans="1:28" x14ac:dyDescent="0.45">
      <c r="A2371" s="2" t="s">
        <v>3207</v>
      </c>
      <c r="B2371" s="2" t="s">
        <v>3208</v>
      </c>
      <c r="C2371" s="2" t="s">
        <v>2797</v>
      </c>
      <c r="D2371" s="2" t="s">
        <v>2798</v>
      </c>
      <c r="E2371" s="2" t="s">
        <v>96</v>
      </c>
      <c r="F2371" s="3">
        <v>128</v>
      </c>
      <c r="G2371" s="3">
        <v>143.1</v>
      </c>
      <c r="H2371" s="2" t="s">
        <v>851</v>
      </c>
      <c r="I2371" s="19">
        <v>426</v>
      </c>
      <c r="J2371" s="34">
        <f t="shared" si="144"/>
        <v>3.7061999999999999</v>
      </c>
      <c r="K2371" s="34">
        <f t="shared" si="145"/>
        <v>5.56</v>
      </c>
      <c r="L2371" s="34">
        <f t="shared" si="146"/>
        <v>22.24</v>
      </c>
      <c r="M2371" s="20" t="s">
        <v>5419</v>
      </c>
      <c r="N2371" s="20" t="s">
        <v>5285</v>
      </c>
      <c r="O2371" s="20" t="s">
        <v>5270</v>
      </c>
      <c r="P2371" s="20" t="s">
        <v>5286</v>
      </c>
      <c r="Q2371" s="21">
        <v>127</v>
      </c>
      <c r="R2371" s="21">
        <v>142.74799999999999</v>
      </c>
      <c r="S2371" s="21">
        <v>6.35</v>
      </c>
      <c r="T2371" s="22">
        <v>74.09</v>
      </c>
      <c r="U2371" s="13">
        <f t="shared" si="147"/>
        <v>51.850000000000009</v>
      </c>
      <c r="V2371" s="23">
        <v>9076.02</v>
      </c>
      <c r="W2371" s="23">
        <v>9076.02</v>
      </c>
      <c r="X2371" s="20" t="s">
        <v>3722</v>
      </c>
      <c r="Y2371" s="24" t="s">
        <v>3737</v>
      </c>
      <c r="Z2371" s="16">
        <v>8650.02</v>
      </c>
      <c r="AA2371" s="17">
        <v>2030.5</v>
      </c>
      <c r="AB2371" s="25" t="s">
        <v>5420</v>
      </c>
    </row>
    <row r="2372" spans="1:28" x14ac:dyDescent="0.45">
      <c r="A2372" s="4" t="s">
        <v>3209</v>
      </c>
      <c r="B2372" s="4" t="s">
        <v>3210</v>
      </c>
      <c r="C2372" s="4" t="s">
        <v>2797</v>
      </c>
      <c r="D2372" s="4" t="s">
        <v>2798</v>
      </c>
      <c r="E2372" s="4" t="s">
        <v>96</v>
      </c>
      <c r="F2372" s="5">
        <v>130</v>
      </c>
      <c r="G2372" s="5">
        <v>145.1</v>
      </c>
      <c r="H2372" s="4" t="s">
        <v>851</v>
      </c>
      <c r="I2372" s="10">
        <v>367</v>
      </c>
      <c r="J2372" s="34">
        <f t="shared" si="144"/>
        <v>3.1928999999999998</v>
      </c>
      <c r="K2372" s="34">
        <f t="shared" si="145"/>
        <v>4.79</v>
      </c>
      <c r="L2372" s="34">
        <f t="shared" si="146"/>
        <v>19.16</v>
      </c>
      <c r="M2372" s="11" t="s">
        <v>5346</v>
      </c>
      <c r="N2372" s="11" t="s">
        <v>5254</v>
      </c>
      <c r="O2372" s="11" t="s">
        <v>5251</v>
      </c>
      <c r="P2372" s="11" t="s">
        <v>5255</v>
      </c>
      <c r="Q2372" s="12">
        <v>130</v>
      </c>
      <c r="R2372" s="12">
        <v>145</v>
      </c>
      <c r="S2372" s="12">
        <v>9</v>
      </c>
      <c r="T2372" s="13">
        <v>39.200000000000003</v>
      </c>
      <c r="U2372" s="13">
        <f t="shared" si="147"/>
        <v>20.040000000000003</v>
      </c>
      <c r="V2372" s="14">
        <v>4802</v>
      </c>
      <c r="W2372" s="14">
        <v>4802</v>
      </c>
      <c r="X2372" s="11">
        <v>2</v>
      </c>
      <c r="Y2372" s="15" t="s">
        <v>3713</v>
      </c>
      <c r="Z2372" s="16">
        <v>4435</v>
      </c>
      <c r="AA2372" s="17">
        <v>1208.4000000000001</v>
      </c>
      <c r="AB2372" s="18" t="s">
        <v>5276</v>
      </c>
    </row>
    <row r="2373" spans="1:28" x14ac:dyDescent="0.45">
      <c r="A2373" s="2" t="s">
        <v>3211</v>
      </c>
      <c r="B2373" s="2" t="s">
        <v>3212</v>
      </c>
      <c r="C2373" s="2" t="s">
        <v>2797</v>
      </c>
      <c r="D2373" s="2" t="s">
        <v>2798</v>
      </c>
      <c r="E2373" s="2" t="s">
        <v>96</v>
      </c>
      <c r="F2373" s="3">
        <v>133</v>
      </c>
      <c r="G2373" s="3">
        <v>148.1</v>
      </c>
      <c r="H2373" s="2" t="s">
        <v>851</v>
      </c>
      <c r="I2373" s="19">
        <v>443</v>
      </c>
      <c r="J2373" s="34">
        <f t="shared" ref="J2373:J2436" si="148">I2373*0.0087</f>
        <v>3.8540999999999999</v>
      </c>
      <c r="K2373" s="34">
        <f t="shared" ref="K2373:K2436" si="149">ROUND(J2373*1.5,2)</f>
        <v>5.78</v>
      </c>
      <c r="L2373" s="34">
        <f t="shared" ref="L2373:L2436" si="150">K2373*4</f>
        <v>23.12</v>
      </c>
      <c r="M2373" s="20" t="s">
        <v>5421</v>
      </c>
      <c r="N2373" s="20"/>
      <c r="O2373" s="20" t="s">
        <v>5291</v>
      </c>
      <c r="P2373" s="20" t="s">
        <v>5422</v>
      </c>
      <c r="Q2373" s="21">
        <v>133.35</v>
      </c>
      <c r="R2373" s="21">
        <v>149.09800000000001</v>
      </c>
      <c r="S2373" s="21">
        <v>19.05</v>
      </c>
      <c r="T2373" s="22">
        <v>13.57</v>
      </c>
      <c r="U2373" s="13">
        <f t="shared" ref="U2373:U2436" si="151">T2373-L2373</f>
        <v>-9.5500000000000007</v>
      </c>
      <c r="V2373" s="23">
        <v>1662.32</v>
      </c>
      <c r="W2373" s="23">
        <v>1662.32</v>
      </c>
      <c r="X2373" s="20">
        <v>21</v>
      </c>
      <c r="Y2373" s="24" t="s">
        <v>3737</v>
      </c>
      <c r="Z2373" s="16">
        <v>1219.32</v>
      </c>
      <c r="AA2373" s="17">
        <v>275.2</v>
      </c>
      <c r="AB2373" s="25" t="s">
        <v>5423</v>
      </c>
    </row>
    <row r="2374" spans="1:28" x14ac:dyDescent="0.45">
      <c r="A2374" s="4" t="s">
        <v>3213</v>
      </c>
      <c r="B2374" s="4" t="s">
        <v>3214</v>
      </c>
      <c r="C2374" s="4" t="s">
        <v>2797</v>
      </c>
      <c r="D2374" s="4" t="s">
        <v>2798</v>
      </c>
      <c r="E2374" s="4" t="s">
        <v>96</v>
      </c>
      <c r="F2374" s="5">
        <v>135</v>
      </c>
      <c r="G2374" s="5">
        <v>150.1</v>
      </c>
      <c r="H2374" s="4" t="s">
        <v>851</v>
      </c>
      <c r="I2374" s="10">
        <v>401</v>
      </c>
      <c r="J2374" s="34">
        <f t="shared" si="148"/>
        <v>3.4886999999999997</v>
      </c>
      <c r="K2374" s="34">
        <f t="shared" si="149"/>
        <v>5.23</v>
      </c>
      <c r="L2374" s="34">
        <f t="shared" si="150"/>
        <v>20.92</v>
      </c>
      <c r="M2374" s="11" t="s">
        <v>5347</v>
      </c>
      <c r="N2374" s="11" t="s">
        <v>5310</v>
      </c>
      <c r="O2374" s="11" t="s">
        <v>5270</v>
      </c>
      <c r="P2374" s="11" t="s">
        <v>5311</v>
      </c>
      <c r="Q2374" s="12">
        <v>135</v>
      </c>
      <c r="R2374" s="12">
        <v>150</v>
      </c>
      <c r="S2374" s="12">
        <v>9</v>
      </c>
      <c r="T2374" s="13">
        <v>10.02</v>
      </c>
      <c r="U2374" s="13">
        <f t="shared" si="151"/>
        <v>-10.900000000000002</v>
      </c>
      <c r="V2374" s="14">
        <v>1227.45</v>
      </c>
      <c r="W2374" s="14">
        <v>1227.45</v>
      </c>
      <c r="X2374" s="11">
        <v>10</v>
      </c>
      <c r="Y2374" s="15" t="s">
        <v>3713</v>
      </c>
      <c r="Z2374" s="16">
        <v>826.45</v>
      </c>
      <c r="AA2374" s="17">
        <v>206.1</v>
      </c>
      <c r="AB2374" s="18" t="s">
        <v>5276</v>
      </c>
    </row>
    <row r="2375" spans="1:28" x14ac:dyDescent="0.45">
      <c r="A2375" s="2" t="s">
        <v>3215</v>
      </c>
      <c r="B2375" s="2" t="s">
        <v>3216</v>
      </c>
      <c r="C2375" s="2" t="s">
        <v>2797</v>
      </c>
      <c r="D2375" s="2" t="s">
        <v>2798</v>
      </c>
      <c r="E2375" s="2" t="s">
        <v>96</v>
      </c>
      <c r="F2375" s="3">
        <v>135</v>
      </c>
      <c r="G2375" s="3">
        <v>155.5</v>
      </c>
      <c r="H2375" s="2" t="s">
        <v>876</v>
      </c>
      <c r="I2375" s="19">
        <v>592</v>
      </c>
      <c r="J2375" s="34">
        <f t="shared" si="148"/>
        <v>5.1503999999999994</v>
      </c>
      <c r="K2375" s="34">
        <f t="shared" si="149"/>
        <v>7.73</v>
      </c>
      <c r="L2375" s="34">
        <f t="shared" si="150"/>
        <v>30.92</v>
      </c>
      <c r="M2375" s="20" t="s">
        <v>5348</v>
      </c>
      <c r="N2375" s="20" t="s">
        <v>5349</v>
      </c>
      <c r="O2375" s="20" t="s">
        <v>5270</v>
      </c>
      <c r="P2375" s="20" t="s">
        <v>5350</v>
      </c>
      <c r="Q2375" s="21">
        <v>135</v>
      </c>
      <c r="R2375" s="21">
        <v>155</v>
      </c>
      <c r="S2375" s="21">
        <v>16</v>
      </c>
      <c r="T2375" s="22">
        <v>67</v>
      </c>
      <c r="U2375" s="13">
        <f t="shared" si="151"/>
        <v>36.08</v>
      </c>
      <c r="V2375" s="23">
        <v>8207.5</v>
      </c>
      <c r="W2375" s="23">
        <v>8207.5</v>
      </c>
      <c r="X2375" s="20">
        <v>3</v>
      </c>
      <c r="Y2375" s="24" t="s">
        <v>3713</v>
      </c>
      <c r="Z2375" s="16">
        <v>7615.5</v>
      </c>
      <c r="AA2375" s="17">
        <v>1286.4000000000001</v>
      </c>
      <c r="AB2375" s="25" t="s">
        <v>3813</v>
      </c>
    </row>
    <row r="2376" spans="1:28" x14ac:dyDescent="0.45">
      <c r="A2376" s="4" t="s">
        <v>3217</v>
      </c>
      <c r="B2376" s="4" t="s">
        <v>3218</v>
      </c>
      <c r="C2376" s="4" t="s">
        <v>2797</v>
      </c>
      <c r="D2376" s="4" t="s">
        <v>2798</v>
      </c>
      <c r="E2376" s="4" t="s">
        <v>96</v>
      </c>
      <c r="F2376" s="5">
        <v>136</v>
      </c>
      <c r="G2376" s="5">
        <v>151.1</v>
      </c>
      <c r="H2376" s="4" t="s">
        <v>851</v>
      </c>
      <c r="I2376" s="10">
        <v>451</v>
      </c>
      <c r="J2376" s="34">
        <f t="shared" si="148"/>
        <v>3.9236999999999997</v>
      </c>
      <c r="K2376" s="34">
        <f t="shared" si="149"/>
        <v>5.89</v>
      </c>
      <c r="L2376" s="34">
        <f t="shared" si="150"/>
        <v>23.56</v>
      </c>
      <c r="M2376" s="11" t="s">
        <v>5424</v>
      </c>
      <c r="N2376" s="11" t="s">
        <v>5230</v>
      </c>
      <c r="O2376" s="11" t="s">
        <v>5231</v>
      </c>
      <c r="P2376" s="11" t="s">
        <v>5232</v>
      </c>
      <c r="Q2376" s="12">
        <v>135</v>
      </c>
      <c r="R2376" s="12">
        <v>150.5</v>
      </c>
      <c r="S2376" s="12">
        <v>6.3</v>
      </c>
      <c r="T2376" s="13">
        <v>39.229999999999997</v>
      </c>
      <c r="U2376" s="13">
        <f t="shared" si="151"/>
        <v>15.669999999999998</v>
      </c>
      <c r="V2376" s="14">
        <v>4805.67</v>
      </c>
      <c r="W2376" s="14">
        <v>4805.67</v>
      </c>
      <c r="X2376" s="11">
        <v>103</v>
      </c>
      <c r="Y2376" s="15" t="s">
        <v>3713</v>
      </c>
      <c r="Z2376" s="16">
        <v>4354.67</v>
      </c>
      <c r="AA2376" s="17">
        <v>965.6</v>
      </c>
      <c r="AB2376" s="18" t="s">
        <v>5425</v>
      </c>
    </row>
    <row r="2377" spans="1:28" x14ac:dyDescent="0.45">
      <c r="A2377" s="2" t="s">
        <v>3219</v>
      </c>
      <c r="B2377" s="2" t="s">
        <v>3220</v>
      </c>
      <c r="C2377" s="2" t="s">
        <v>2797</v>
      </c>
      <c r="D2377" s="2" t="s">
        <v>2798</v>
      </c>
      <c r="E2377" s="2" t="s">
        <v>96</v>
      </c>
      <c r="F2377" s="3">
        <v>140</v>
      </c>
      <c r="G2377" s="3">
        <v>155.1</v>
      </c>
      <c r="H2377" s="2" t="s">
        <v>851</v>
      </c>
      <c r="I2377" s="19">
        <v>392</v>
      </c>
      <c r="J2377" s="34">
        <f t="shared" si="148"/>
        <v>3.4103999999999997</v>
      </c>
      <c r="K2377" s="34">
        <f t="shared" si="149"/>
        <v>5.12</v>
      </c>
      <c r="L2377" s="34">
        <f t="shared" si="150"/>
        <v>20.48</v>
      </c>
      <c r="M2377" s="20" t="s">
        <v>5351</v>
      </c>
      <c r="N2377" s="20" t="s">
        <v>5301</v>
      </c>
      <c r="O2377" s="20" t="s">
        <v>5251</v>
      </c>
      <c r="P2377" s="20" t="s">
        <v>5302</v>
      </c>
      <c r="Q2377" s="21">
        <v>140</v>
      </c>
      <c r="R2377" s="21">
        <v>155</v>
      </c>
      <c r="S2377" s="21">
        <v>13</v>
      </c>
      <c r="T2377" s="22">
        <v>69.099999999999994</v>
      </c>
      <c r="U2377" s="13">
        <f t="shared" si="151"/>
        <v>48.61999999999999</v>
      </c>
      <c r="V2377" s="23">
        <v>8464.75</v>
      </c>
      <c r="W2377" s="23">
        <v>8464.75</v>
      </c>
      <c r="X2377" s="20" t="s">
        <v>3722</v>
      </c>
      <c r="Y2377" s="24" t="s">
        <v>3713</v>
      </c>
      <c r="Z2377" s="16">
        <v>8072.75</v>
      </c>
      <c r="AA2377" s="17">
        <v>2059.4</v>
      </c>
      <c r="AB2377" s="25" t="s">
        <v>5276</v>
      </c>
    </row>
    <row r="2378" spans="1:28" x14ac:dyDescent="0.45">
      <c r="A2378" s="4" t="s">
        <v>3221</v>
      </c>
      <c r="B2378" s="4" t="s">
        <v>3222</v>
      </c>
      <c r="C2378" s="4" t="s">
        <v>2797</v>
      </c>
      <c r="D2378" s="4" t="s">
        <v>2798</v>
      </c>
      <c r="E2378" s="4" t="s">
        <v>96</v>
      </c>
      <c r="F2378" s="5">
        <v>140</v>
      </c>
      <c r="G2378" s="5">
        <v>160.5</v>
      </c>
      <c r="H2378" s="4" t="s">
        <v>876</v>
      </c>
      <c r="I2378" s="10">
        <v>601</v>
      </c>
      <c r="J2378" s="34">
        <f t="shared" si="148"/>
        <v>5.2286999999999999</v>
      </c>
      <c r="K2378" s="34">
        <f t="shared" si="149"/>
        <v>7.84</v>
      </c>
      <c r="L2378" s="34">
        <f t="shared" si="150"/>
        <v>31.36</v>
      </c>
      <c r="M2378" s="11" t="s">
        <v>5352</v>
      </c>
      <c r="N2378" s="11" t="s">
        <v>5274</v>
      </c>
      <c r="O2378" s="11" t="s">
        <v>5251</v>
      </c>
      <c r="P2378" s="11" t="s">
        <v>5275</v>
      </c>
      <c r="Q2378" s="12">
        <v>140</v>
      </c>
      <c r="R2378" s="12">
        <v>160</v>
      </c>
      <c r="S2378" s="12">
        <v>35</v>
      </c>
      <c r="T2378" s="13">
        <v>168.62</v>
      </c>
      <c r="U2378" s="13">
        <f t="shared" si="151"/>
        <v>137.26</v>
      </c>
      <c r="V2378" s="14">
        <v>20655.95</v>
      </c>
      <c r="W2378" s="14">
        <v>20655.95</v>
      </c>
      <c r="X2378" s="11">
        <v>1</v>
      </c>
      <c r="Y2378" s="15" t="s">
        <v>3713</v>
      </c>
      <c r="Z2378" s="16">
        <v>20054.95</v>
      </c>
      <c r="AA2378" s="17">
        <v>3336.9</v>
      </c>
      <c r="AB2378" s="18" t="s">
        <v>3813</v>
      </c>
    </row>
    <row r="2379" spans="1:28" x14ac:dyDescent="0.45">
      <c r="A2379" s="2" t="s">
        <v>3223</v>
      </c>
      <c r="B2379" s="2" t="s">
        <v>3224</v>
      </c>
      <c r="C2379" s="2" t="s">
        <v>2797</v>
      </c>
      <c r="D2379" s="2" t="s">
        <v>2798</v>
      </c>
      <c r="E2379" s="2" t="s">
        <v>96</v>
      </c>
      <c r="F2379" s="3">
        <v>145</v>
      </c>
      <c r="G2379" s="3">
        <v>155.69999999999999</v>
      </c>
      <c r="H2379" s="2" t="s">
        <v>2771</v>
      </c>
      <c r="I2379" s="19">
        <v>333</v>
      </c>
      <c r="J2379" s="34">
        <f t="shared" si="148"/>
        <v>2.8971</v>
      </c>
      <c r="K2379" s="34">
        <f t="shared" si="149"/>
        <v>4.3499999999999996</v>
      </c>
      <c r="L2379" s="34">
        <f t="shared" si="150"/>
        <v>17.399999999999999</v>
      </c>
      <c r="M2379" s="20" t="s">
        <v>5426</v>
      </c>
      <c r="N2379" s="20" t="s">
        <v>5280</v>
      </c>
      <c r="O2379" s="20" t="s">
        <v>5270</v>
      </c>
      <c r="P2379" s="20" t="s">
        <v>5281</v>
      </c>
      <c r="Q2379" s="21">
        <v>145</v>
      </c>
      <c r="R2379" s="21">
        <v>155</v>
      </c>
      <c r="S2379" s="21">
        <v>12</v>
      </c>
      <c r="T2379" s="22">
        <v>19.5</v>
      </c>
      <c r="U2379" s="13">
        <f t="shared" si="151"/>
        <v>2.1000000000000014</v>
      </c>
      <c r="V2379" s="23">
        <v>2388.75</v>
      </c>
      <c r="W2379" s="23">
        <v>2388.75</v>
      </c>
      <c r="X2379" s="20">
        <v>1</v>
      </c>
      <c r="Y2379" s="24" t="s">
        <v>3713</v>
      </c>
      <c r="Z2379" s="16">
        <v>2055.75</v>
      </c>
      <c r="AA2379" s="17">
        <v>617.29999999999995</v>
      </c>
      <c r="AB2379" s="25" t="s">
        <v>5256</v>
      </c>
    </row>
    <row r="2380" spans="1:28" x14ac:dyDescent="0.45">
      <c r="A2380" s="4" t="s">
        <v>3225</v>
      </c>
      <c r="B2380" s="4" t="s">
        <v>3226</v>
      </c>
      <c r="C2380" s="4" t="s">
        <v>2797</v>
      </c>
      <c r="D2380" s="4" t="s">
        <v>2798</v>
      </c>
      <c r="E2380" s="4" t="s">
        <v>96</v>
      </c>
      <c r="F2380" s="5">
        <v>145</v>
      </c>
      <c r="G2380" s="5">
        <v>160.1</v>
      </c>
      <c r="H2380" s="4" t="s">
        <v>851</v>
      </c>
      <c r="I2380" s="10">
        <v>451</v>
      </c>
      <c r="J2380" s="34">
        <f t="shared" si="148"/>
        <v>3.9236999999999997</v>
      </c>
      <c r="K2380" s="34">
        <f t="shared" si="149"/>
        <v>5.89</v>
      </c>
      <c r="L2380" s="34">
        <f t="shared" si="150"/>
        <v>23.56</v>
      </c>
      <c r="M2380" s="11" t="s">
        <v>5353</v>
      </c>
      <c r="N2380" s="11" t="s">
        <v>5310</v>
      </c>
      <c r="O2380" s="11" t="s">
        <v>5270</v>
      </c>
      <c r="P2380" s="11" t="s">
        <v>5311</v>
      </c>
      <c r="Q2380" s="12">
        <v>145</v>
      </c>
      <c r="R2380" s="12">
        <v>160</v>
      </c>
      <c r="S2380" s="12">
        <v>9</v>
      </c>
      <c r="T2380" s="13">
        <v>10.64</v>
      </c>
      <c r="U2380" s="13">
        <f t="shared" si="151"/>
        <v>-12.919999999999998</v>
      </c>
      <c r="V2380" s="14">
        <v>1303.4000000000001</v>
      </c>
      <c r="W2380" s="14">
        <v>1303.4000000000001</v>
      </c>
      <c r="X2380" s="11">
        <v>45</v>
      </c>
      <c r="Y2380" s="15" t="s">
        <v>3713</v>
      </c>
      <c r="Z2380" s="16">
        <v>852.40000000000009</v>
      </c>
      <c r="AA2380" s="17">
        <v>189</v>
      </c>
      <c r="AB2380" s="18" t="s">
        <v>5276</v>
      </c>
    </row>
    <row r="2381" spans="1:28" x14ac:dyDescent="0.45">
      <c r="A2381" s="2" t="s">
        <v>3227</v>
      </c>
      <c r="B2381" s="2" t="s">
        <v>3228</v>
      </c>
      <c r="C2381" s="2" t="s">
        <v>2797</v>
      </c>
      <c r="D2381" s="2" t="s">
        <v>2798</v>
      </c>
      <c r="E2381" s="2" t="s">
        <v>96</v>
      </c>
      <c r="F2381" s="3">
        <v>146</v>
      </c>
      <c r="G2381" s="3">
        <v>161.1</v>
      </c>
      <c r="H2381" s="2" t="s">
        <v>851</v>
      </c>
      <c r="I2381" s="19">
        <v>493</v>
      </c>
      <c r="J2381" s="34">
        <f t="shared" si="148"/>
        <v>4.2890999999999995</v>
      </c>
      <c r="K2381" s="34">
        <f t="shared" si="149"/>
        <v>6.43</v>
      </c>
      <c r="L2381" s="34">
        <f t="shared" si="150"/>
        <v>25.72</v>
      </c>
      <c r="M2381" s="20" t="s">
        <v>5427</v>
      </c>
      <c r="N2381" s="20" t="s">
        <v>5310</v>
      </c>
      <c r="O2381" s="20" t="s">
        <v>5270</v>
      </c>
      <c r="P2381" s="20" t="s">
        <v>5311</v>
      </c>
      <c r="Q2381" s="21">
        <v>146.05000000000001</v>
      </c>
      <c r="R2381" s="21">
        <v>161.036</v>
      </c>
      <c r="S2381" s="21">
        <v>9.9060000000000006</v>
      </c>
      <c r="T2381" s="22">
        <v>178.04</v>
      </c>
      <c r="U2381" s="13">
        <f t="shared" si="151"/>
        <v>152.32</v>
      </c>
      <c r="V2381" s="23">
        <v>21809.9</v>
      </c>
      <c r="W2381" s="23">
        <v>21809.9</v>
      </c>
      <c r="X2381" s="20">
        <v>3</v>
      </c>
      <c r="Y2381" s="24" t="s">
        <v>3737</v>
      </c>
      <c r="Z2381" s="16">
        <v>21316.9</v>
      </c>
      <c r="AA2381" s="17">
        <v>4323.8999999999996</v>
      </c>
      <c r="AB2381" s="25" t="s">
        <v>5096</v>
      </c>
    </row>
    <row r="2382" spans="1:28" x14ac:dyDescent="0.45">
      <c r="A2382" s="4" t="s">
        <v>3229</v>
      </c>
      <c r="B2382" s="4" t="s">
        <v>3230</v>
      </c>
      <c r="C2382" s="4" t="s">
        <v>2797</v>
      </c>
      <c r="D2382" s="4" t="s">
        <v>2798</v>
      </c>
      <c r="E2382" s="4" t="s">
        <v>96</v>
      </c>
      <c r="F2382" s="5">
        <v>150</v>
      </c>
      <c r="G2382" s="5">
        <v>165.1</v>
      </c>
      <c r="H2382" s="4" t="s">
        <v>851</v>
      </c>
      <c r="I2382" s="10">
        <v>451</v>
      </c>
      <c r="J2382" s="34">
        <f t="shared" si="148"/>
        <v>3.9236999999999997</v>
      </c>
      <c r="K2382" s="34">
        <f t="shared" si="149"/>
        <v>5.89</v>
      </c>
      <c r="L2382" s="34">
        <f t="shared" si="150"/>
        <v>23.56</v>
      </c>
      <c r="M2382" s="11" t="s">
        <v>5354</v>
      </c>
      <c r="N2382" s="11" t="s">
        <v>5290</v>
      </c>
      <c r="O2382" s="11" t="s">
        <v>5291</v>
      </c>
      <c r="P2382" s="11" t="s">
        <v>5292</v>
      </c>
      <c r="Q2382" s="12">
        <v>150</v>
      </c>
      <c r="R2382" s="12">
        <v>165</v>
      </c>
      <c r="S2382" s="12">
        <v>12.5</v>
      </c>
      <c r="T2382" s="13">
        <v>26.26</v>
      </c>
      <c r="U2382" s="13">
        <f t="shared" si="151"/>
        <v>2.7000000000000028</v>
      </c>
      <c r="V2382" s="14">
        <v>3216.85</v>
      </c>
      <c r="W2382" s="14">
        <v>3216.85</v>
      </c>
      <c r="X2382" s="11">
        <v>75</v>
      </c>
      <c r="Y2382" s="15" t="s">
        <v>3713</v>
      </c>
      <c r="Z2382" s="16">
        <v>2765.85</v>
      </c>
      <c r="AA2382" s="17">
        <v>613.29999999999995</v>
      </c>
      <c r="AB2382" s="18" t="s">
        <v>5276</v>
      </c>
    </row>
    <row r="2383" spans="1:28" x14ac:dyDescent="0.45">
      <c r="A2383" s="2" t="s">
        <v>3231</v>
      </c>
      <c r="B2383" s="2" t="s">
        <v>3232</v>
      </c>
      <c r="C2383" s="2" t="s">
        <v>2797</v>
      </c>
      <c r="D2383" s="2" t="s">
        <v>2798</v>
      </c>
      <c r="E2383" s="2" t="s">
        <v>96</v>
      </c>
      <c r="F2383" s="3">
        <v>150</v>
      </c>
      <c r="G2383" s="3">
        <v>170.5</v>
      </c>
      <c r="H2383" s="2" t="s">
        <v>876</v>
      </c>
      <c r="I2383" s="19">
        <v>643</v>
      </c>
      <c r="J2383" s="34">
        <f t="shared" si="148"/>
        <v>5.5940999999999992</v>
      </c>
      <c r="K2383" s="34">
        <f t="shared" si="149"/>
        <v>8.39</v>
      </c>
      <c r="L2383" s="34">
        <f t="shared" si="150"/>
        <v>33.56</v>
      </c>
      <c r="M2383" s="20" t="s">
        <v>5355</v>
      </c>
      <c r="N2383" s="20" t="s">
        <v>5254</v>
      </c>
      <c r="O2383" s="20" t="s">
        <v>5251</v>
      </c>
      <c r="P2383" s="20" t="s">
        <v>5255</v>
      </c>
      <c r="Q2383" s="21">
        <v>150</v>
      </c>
      <c r="R2383" s="21">
        <v>170</v>
      </c>
      <c r="S2383" s="21">
        <v>12</v>
      </c>
      <c r="T2383" s="22">
        <v>64.72</v>
      </c>
      <c r="U2383" s="13">
        <f t="shared" si="151"/>
        <v>31.159999999999997</v>
      </c>
      <c r="V2383" s="23">
        <v>7928.2</v>
      </c>
      <c r="W2383" s="23">
        <v>7928.2</v>
      </c>
      <c r="X2383" s="20">
        <v>6</v>
      </c>
      <c r="Y2383" s="24" t="s">
        <v>3713</v>
      </c>
      <c r="Z2383" s="16">
        <v>7285.2</v>
      </c>
      <c r="AA2383" s="17">
        <v>1133</v>
      </c>
      <c r="AB2383" s="25" t="s">
        <v>3813</v>
      </c>
    </row>
    <row r="2384" spans="1:28" x14ac:dyDescent="0.45">
      <c r="A2384" s="4" t="s">
        <v>3233</v>
      </c>
      <c r="B2384" s="4" t="s">
        <v>3234</v>
      </c>
      <c r="C2384" s="4" t="s">
        <v>2797</v>
      </c>
      <c r="D2384" s="4" t="s">
        <v>2798</v>
      </c>
      <c r="E2384" s="4" t="s">
        <v>96</v>
      </c>
      <c r="F2384" s="5">
        <v>155</v>
      </c>
      <c r="G2384" s="5">
        <v>170.1</v>
      </c>
      <c r="H2384" s="4" t="s">
        <v>851</v>
      </c>
      <c r="I2384" s="10">
        <v>476</v>
      </c>
      <c r="J2384" s="34">
        <f t="shared" si="148"/>
        <v>4.1411999999999995</v>
      </c>
      <c r="K2384" s="34">
        <f t="shared" si="149"/>
        <v>6.21</v>
      </c>
      <c r="L2384" s="34">
        <f t="shared" si="150"/>
        <v>24.84</v>
      </c>
      <c r="M2384" s="11" t="s">
        <v>5356</v>
      </c>
      <c r="N2384" s="11" t="s">
        <v>5310</v>
      </c>
      <c r="O2384" s="11" t="s">
        <v>5270</v>
      </c>
      <c r="P2384" s="11" t="s">
        <v>5311</v>
      </c>
      <c r="Q2384" s="12">
        <v>155</v>
      </c>
      <c r="R2384" s="12">
        <v>170</v>
      </c>
      <c r="S2384" s="12">
        <v>9</v>
      </c>
      <c r="T2384" s="13">
        <v>11.14</v>
      </c>
      <c r="U2384" s="13">
        <f t="shared" si="151"/>
        <v>-13.7</v>
      </c>
      <c r="V2384" s="14">
        <v>1364.65</v>
      </c>
      <c r="W2384" s="14">
        <v>1364.65</v>
      </c>
      <c r="X2384" s="11" t="s">
        <v>3722</v>
      </c>
      <c r="Y2384" s="15" t="s">
        <v>3713</v>
      </c>
      <c r="Z2384" s="16">
        <v>888.65000000000009</v>
      </c>
      <c r="AA2384" s="17">
        <v>186.7</v>
      </c>
      <c r="AB2384" s="18" t="s">
        <v>5276</v>
      </c>
    </row>
    <row r="2385" spans="1:28" x14ac:dyDescent="0.45">
      <c r="A2385" s="2" t="s">
        <v>3235</v>
      </c>
      <c r="B2385" s="2" t="s">
        <v>3236</v>
      </c>
      <c r="C2385" s="2" t="s">
        <v>2797</v>
      </c>
      <c r="D2385" s="2" t="s">
        <v>2798</v>
      </c>
      <c r="E2385" s="2" t="s">
        <v>96</v>
      </c>
      <c r="F2385" s="3">
        <v>160</v>
      </c>
      <c r="G2385" s="3">
        <v>175.1</v>
      </c>
      <c r="H2385" s="2" t="s">
        <v>851</v>
      </c>
      <c r="I2385" s="19">
        <v>493</v>
      </c>
      <c r="J2385" s="34">
        <f t="shared" si="148"/>
        <v>4.2890999999999995</v>
      </c>
      <c r="K2385" s="34">
        <f t="shared" si="149"/>
        <v>6.43</v>
      </c>
      <c r="L2385" s="34">
        <f t="shared" si="150"/>
        <v>25.72</v>
      </c>
      <c r="M2385" s="20" t="s">
        <v>5357</v>
      </c>
      <c r="N2385" s="20" t="s">
        <v>5290</v>
      </c>
      <c r="O2385" s="20" t="s">
        <v>5291</v>
      </c>
      <c r="P2385" s="20" t="s">
        <v>5292</v>
      </c>
      <c r="Q2385" s="21">
        <v>160</v>
      </c>
      <c r="R2385" s="21">
        <v>175</v>
      </c>
      <c r="S2385" s="21">
        <v>16</v>
      </c>
      <c r="T2385" s="22">
        <v>40.11</v>
      </c>
      <c r="U2385" s="13">
        <f t="shared" si="151"/>
        <v>14.39</v>
      </c>
      <c r="V2385" s="23">
        <v>4913.4799999999996</v>
      </c>
      <c r="W2385" s="23">
        <v>4913.4799999999996</v>
      </c>
      <c r="X2385" s="20">
        <v>15</v>
      </c>
      <c r="Y2385" s="24" t="s">
        <v>3713</v>
      </c>
      <c r="Z2385" s="16">
        <v>4420.4799999999996</v>
      </c>
      <c r="AA2385" s="17">
        <v>896.6</v>
      </c>
      <c r="AB2385" s="25" t="s">
        <v>5276</v>
      </c>
    </row>
    <row r="2386" spans="1:28" x14ac:dyDescent="0.45">
      <c r="A2386" s="4" t="s">
        <v>3237</v>
      </c>
      <c r="B2386" s="4" t="s">
        <v>3238</v>
      </c>
      <c r="C2386" s="4" t="s">
        <v>2797</v>
      </c>
      <c r="D2386" s="4" t="s">
        <v>2798</v>
      </c>
      <c r="E2386" s="4" t="s">
        <v>96</v>
      </c>
      <c r="F2386" s="5">
        <v>160</v>
      </c>
      <c r="G2386" s="5">
        <v>180.5</v>
      </c>
      <c r="H2386" s="4" t="s">
        <v>876</v>
      </c>
      <c r="I2386" s="10">
        <v>675</v>
      </c>
      <c r="J2386" s="34">
        <f t="shared" si="148"/>
        <v>5.8724999999999996</v>
      </c>
      <c r="K2386" s="34">
        <f t="shared" si="149"/>
        <v>8.81</v>
      </c>
      <c r="L2386" s="34">
        <f t="shared" si="150"/>
        <v>35.24</v>
      </c>
      <c r="M2386" s="11" t="s">
        <v>5358</v>
      </c>
      <c r="N2386" s="11" t="s">
        <v>5230</v>
      </c>
      <c r="O2386" s="11" t="s">
        <v>5231</v>
      </c>
      <c r="P2386" s="11" t="s">
        <v>5232</v>
      </c>
      <c r="Q2386" s="12">
        <v>160</v>
      </c>
      <c r="R2386" s="12">
        <v>180.5</v>
      </c>
      <c r="S2386" s="12">
        <v>8.1</v>
      </c>
      <c r="T2386" s="13">
        <v>73.849999999999994</v>
      </c>
      <c r="U2386" s="13">
        <f t="shared" si="151"/>
        <v>38.609999999999992</v>
      </c>
      <c r="V2386" s="14">
        <v>9046.6200000000008</v>
      </c>
      <c r="W2386" s="14">
        <v>9046.6200000000008</v>
      </c>
      <c r="X2386" s="11">
        <v>8</v>
      </c>
      <c r="Y2386" s="15" t="s">
        <v>3713</v>
      </c>
      <c r="Z2386" s="16">
        <v>8371.6200000000008</v>
      </c>
      <c r="AA2386" s="17">
        <v>1240.2</v>
      </c>
      <c r="AB2386" s="18" t="s">
        <v>3714</v>
      </c>
    </row>
    <row r="2387" spans="1:28" x14ac:dyDescent="0.45">
      <c r="A2387" s="2" t="s">
        <v>3239</v>
      </c>
      <c r="B2387" s="2" t="s">
        <v>3240</v>
      </c>
      <c r="C2387" s="2" t="s">
        <v>2797</v>
      </c>
      <c r="D2387" s="2" t="s">
        <v>2798</v>
      </c>
      <c r="E2387" s="2" t="s">
        <v>96</v>
      </c>
      <c r="F2387" s="3">
        <v>165</v>
      </c>
      <c r="G2387" s="3">
        <v>180.1</v>
      </c>
      <c r="H2387" s="2" t="s">
        <v>851</v>
      </c>
      <c r="I2387" s="19">
        <v>550</v>
      </c>
      <c r="J2387" s="34">
        <f t="shared" si="148"/>
        <v>4.7849999999999993</v>
      </c>
      <c r="K2387" s="34">
        <f t="shared" si="149"/>
        <v>7.18</v>
      </c>
      <c r="L2387" s="34">
        <f t="shared" si="150"/>
        <v>28.72</v>
      </c>
      <c r="M2387" s="20" t="s">
        <v>5359</v>
      </c>
      <c r="N2387" s="20" t="s">
        <v>5310</v>
      </c>
      <c r="O2387" s="20" t="s">
        <v>5270</v>
      </c>
      <c r="P2387" s="20" t="s">
        <v>5311</v>
      </c>
      <c r="Q2387" s="21">
        <v>165.1</v>
      </c>
      <c r="R2387" s="21">
        <v>180.84800000000001</v>
      </c>
      <c r="S2387" s="21">
        <v>15.747999999999999</v>
      </c>
      <c r="T2387" s="22">
        <v>30.1</v>
      </c>
      <c r="U2387" s="13">
        <f t="shared" si="151"/>
        <v>1.3800000000000026</v>
      </c>
      <c r="V2387" s="23">
        <v>3687.25</v>
      </c>
      <c r="W2387" s="23">
        <v>3687.25</v>
      </c>
      <c r="X2387" s="20" t="s">
        <v>3722</v>
      </c>
      <c r="Y2387" s="24" t="s">
        <v>3737</v>
      </c>
      <c r="Z2387" s="16">
        <v>3137.25</v>
      </c>
      <c r="AA2387" s="17">
        <v>570.4</v>
      </c>
      <c r="AB2387" s="25" t="s">
        <v>5360</v>
      </c>
    </row>
    <row r="2388" spans="1:28" x14ac:dyDescent="0.45">
      <c r="A2388" s="4" t="s">
        <v>3241</v>
      </c>
      <c r="B2388" s="4" t="s">
        <v>3242</v>
      </c>
      <c r="C2388" s="4" t="s">
        <v>2797</v>
      </c>
      <c r="D2388" s="4" t="s">
        <v>2798</v>
      </c>
      <c r="E2388" s="4" t="s">
        <v>96</v>
      </c>
      <c r="F2388" s="5">
        <v>170</v>
      </c>
      <c r="G2388" s="5">
        <v>185.1</v>
      </c>
      <c r="H2388" s="4" t="s">
        <v>851</v>
      </c>
      <c r="I2388" s="10">
        <v>576</v>
      </c>
      <c r="J2388" s="34">
        <f t="shared" si="148"/>
        <v>5.0111999999999997</v>
      </c>
      <c r="K2388" s="34">
        <f t="shared" si="149"/>
        <v>7.52</v>
      </c>
      <c r="L2388" s="34">
        <f t="shared" si="150"/>
        <v>30.08</v>
      </c>
      <c r="M2388" s="11" t="s">
        <v>5361</v>
      </c>
      <c r="N2388" s="11" t="s">
        <v>5362</v>
      </c>
      <c r="O2388" s="11" t="s">
        <v>5251</v>
      </c>
      <c r="P2388" s="11" t="s">
        <v>5363</v>
      </c>
      <c r="Q2388" s="12">
        <v>170</v>
      </c>
      <c r="R2388" s="12">
        <v>185</v>
      </c>
      <c r="S2388" s="12">
        <v>14.5</v>
      </c>
      <c r="T2388" s="13">
        <v>92.67</v>
      </c>
      <c r="U2388" s="13">
        <f t="shared" si="151"/>
        <v>62.59</v>
      </c>
      <c r="V2388" s="14">
        <v>11352.08</v>
      </c>
      <c r="W2388" s="14">
        <v>11352.08</v>
      </c>
      <c r="X2388" s="11">
        <v>18</v>
      </c>
      <c r="Y2388" s="15" t="s">
        <v>3713</v>
      </c>
      <c r="Z2388" s="16">
        <v>10776.08</v>
      </c>
      <c r="AA2388" s="17">
        <v>1870.8</v>
      </c>
      <c r="AB2388" s="18" t="s">
        <v>5276</v>
      </c>
    </row>
    <row r="2389" spans="1:28" x14ac:dyDescent="0.45">
      <c r="A2389" s="2" t="s">
        <v>3243</v>
      </c>
      <c r="B2389" s="2" t="s">
        <v>3244</v>
      </c>
      <c r="C2389" s="2" t="s">
        <v>2797</v>
      </c>
      <c r="D2389" s="2" t="s">
        <v>2798</v>
      </c>
      <c r="E2389" s="2" t="s">
        <v>96</v>
      </c>
      <c r="F2389" s="3">
        <v>170</v>
      </c>
      <c r="G2389" s="3">
        <v>190.5</v>
      </c>
      <c r="H2389" s="2" t="s">
        <v>876</v>
      </c>
      <c r="I2389" s="19">
        <v>734</v>
      </c>
      <c r="J2389" s="34">
        <f t="shared" si="148"/>
        <v>6.3857999999999997</v>
      </c>
      <c r="K2389" s="34">
        <f t="shared" si="149"/>
        <v>9.58</v>
      </c>
      <c r="L2389" s="34">
        <f t="shared" si="150"/>
        <v>38.32</v>
      </c>
      <c r="M2389" s="20" t="s">
        <v>5364</v>
      </c>
      <c r="N2389" s="20" t="s">
        <v>5254</v>
      </c>
      <c r="O2389" s="20" t="s">
        <v>5251</v>
      </c>
      <c r="P2389" s="20" t="s">
        <v>5255</v>
      </c>
      <c r="Q2389" s="21">
        <v>170</v>
      </c>
      <c r="R2389" s="21">
        <v>190</v>
      </c>
      <c r="S2389" s="21">
        <v>14.5</v>
      </c>
      <c r="T2389" s="22">
        <v>73.650000000000006</v>
      </c>
      <c r="U2389" s="13">
        <f t="shared" si="151"/>
        <v>35.330000000000005</v>
      </c>
      <c r="V2389" s="23">
        <v>9022.1200000000008</v>
      </c>
      <c r="W2389" s="23">
        <v>9022.1200000000008</v>
      </c>
      <c r="X2389" s="20" t="s">
        <v>3722</v>
      </c>
      <c r="Y2389" s="24" t="s">
        <v>3713</v>
      </c>
      <c r="Z2389" s="16">
        <v>8288.1200000000008</v>
      </c>
      <c r="AA2389" s="17">
        <v>1129.2</v>
      </c>
      <c r="AB2389" s="25" t="s">
        <v>3813</v>
      </c>
    </row>
    <row r="2390" spans="1:28" x14ac:dyDescent="0.45">
      <c r="A2390" s="4" t="s">
        <v>3245</v>
      </c>
      <c r="B2390" s="4" t="s">
        <v>3246</v>
      </c>
      <c r="C2390" s="4" t="s">
        <v>2797</v>
      </c>
      <c r="D2390" s="4" t="s">
        <v>2798</v>
      </c>
      <c r="E2390" s="4" t="s">
        <v>96</v>
      </c>
      <c r="F2390" s="5">
        <v>175</v>
      </c>
      <c r="G2390" s="5">
        <v>185.7</v>
      </c>
      <c r="H2390" s="4" t="s">
        <v>2771</v>
      </c>
      <c r="I2390" s="10">
        <v>459</v>
      </c>
      <c r="J2390" s="34">
        <f t="shared" si="148"/>
        <v>3.9932999999999996</v>
      </c>
      <c r="K2390" s="34">
        <f t="shared" si="149"/>
        <v>5.99</v>
      </c>
      <c r="L2390" s="34">
        <f t="shared" si="150"/>
        <v>23.96</v>
      </c>
      <c r="M2390" s="11" t="s">
        <v>5428</v>
      </c>
      <c r="N2390" s="11" t="s">
        <v>5269</v>
      </c>
      <c r="O2390" s="11" t="s">
        <v>5270</v>
      </c>
      <c r="P2390" s="11" t="s">
        <v>5271</v>
      </c>
      <c r="Q2390" s="12">
        <v>175</v>
      </c>
      <c r="R2390" s="12">
        <v>184.5</v>
      </c>
      <c r="S2390" s="12">
        <v>11.5</v>
      </c>
      <c r="T2390" s="13">
        <v>17.27</v>
      </c>
      <c r="U2390" s="13">
        <f t="shared" si="151"/>
        <v>-6.6900000000000013</v>
      </c>
      <c r="V2390" s="14">
        <v>2115.5700000000002</v>
      </c>
      <c r="W2390" s="14">
        <v>2115.5700000000002</v>
      </c>
      <c r="X2390" s="11">
        <v>4</v>
      </c>
      <c r="Y2390" s="15" t="s">
        <v>3713</v>
      </c>
      <c r="Z2390" s="16">
        <v>1656.57</v>
      </c>
      <c r="AA2390" s="17">
        <v>360.9</v>
      </c>
      <c r="AB2390" s="18" t="s">
        <v>3877</v>
      </c>
    </row>
    <row r="2391" spans="1:28" x14ac:dyDescent="0.45">
      <c r="A2391" s="2" t="s">
        <v>3247</v>
      </c>
      <c r="B2391" s="2" t="s">
        <v>3248</v>
      </c>
      <c r="C2391" s="2" t="s">
        <v>2797</v>
      </c>
      <c r="D2391" s="2" t="s">
        <v>2798</v>
      </c>
      <c r="E2391" s="2" t="s">
        <v>96</v>
      </c>
      <c r="F2391" s="3">
        <v>180</v>
      </c>
      <c r="G2391" s="3">
        <v>195.1</v>
      </c>
      <c r="H2391" s="2" t="s">
        <v>851</v>
      </c>
      <c r="I2391" s="19">
        <v>601</v>
      </c>
      <c r="J2391" s="34">
        <f t="shared" si="148"/>
        <v>5.2286999999999999</v>
      </c>
      <c r="K2391" s="34">
        <f t="shared" si="149"/>
        <v>7.84</v>
      </c>
      <c r="L2391" s="34">
        <f t="shared" si="150"/>
        <v>31.36</v>
      </c>
      <c r="M2391" s="20" t="s">
        <v>5365</v>
      </c>
      <c r="N2391" s="20" t="s">
        <v>5362</v>
      </c>
      <c r="O2391" s="20" t="s">
        <v>5251</v>
      </c>
      <c r="P2391" s="20" t="s">
        <v>5363</v>
      </c>
      <c r="Q2391" s="21">
        <v>180</v>
      </c>
      <c r="R2391" s="21">
        <v>195</v>
      </c>
      <c r="S2391" s="21">
        <v>14.5</v>
      </c>
      <c r="T2391" s="22">
        <v>116.23</v>
      </c>
      <c r="U2391" s="13">
        <f t="shared" si="151"/>
        <v>84.87</v>
      </c>
      <c r="V2391" s="23">
        <v>14238.18</v>
      </c>
      <c r="W2391" s="23">
        <v>14238.18</v>
      </c>
      <c r="X2391" s="20" t="s">
        <v>3722</v>
      </c>
      <c r="Y2391" s="24" t="s">
        <v>3713</v>
      </c>
      <c r="Z2391" s="16">
        <v>13637.18</v>
      </c>
      <c r="AA2391" s="17">
        <v>2269.1</v>
      </c>
      <c r="AB2391" s="25" t="s">
        <v>5276</v>
      </c>
    </row>
    <row r="2392" spans="1:28" x14ac:dyDescent="0.45">
      <c r="A2392" s="4" t="s">
        <v>3249</v>
      </c>
      <c r="B2392" s="4" t="s">
        <v>3250</v>
      </c>
      <c r="C2392" s="4" t="s">
        <v>2797</v>
      </c>
      <c r="D2392" s="4" t="s">
        <v>2798</v>
      </c>
      <c r="E2392" s="4" t="s">
        <v>96</v>
      </c>
      <c r="F2392" s="5">
        <v>180</v>
      </c>
      <c r="G2392" s="5">
        <v>200.5</v>
      </c>
      <c r="H2392" s="4" t="s">
        <v>876</v>
      </c>
      <c r="I2392" s="10">
        <v>801</v>
      </c>
      <c r="J2392" s="34">
        <f t="shared" si="148"/>
        <v>6.9686999999999992</v>
      </c>
      <c r="K2392" s="34">
        <f t="shared" si="149"/>
        <v>10.45</v>
      </c>
      <c r="L2392" s="34">
        <f t="shared" si="150"/>
        <v>41.8</v>
      </c>
      <c r="M2392" s="11" t="s">
        <v>5366</v>
      </c>
      <c r="N2392" s="11" t="s">
        <v>5254</v>
      </c>
      <c r="O2392" s="11" t="s">
        <v>5251</v>
      </c>
      <c r="P2392" s="11" t="s">
        <v>5255</v>
      </c>
      <c r="Q2392" s="12">
        <v>180</v>
      </c>
      <c r="R2392" s="12">
        <v>200</v>
      </c>
      <c r="S2392" s="12">
        <v>11.8</v>
      </c>
      <c r="T2392" s="13">
        <v>28.75</v>
      </c>
      <c r="U2392" s="13">
        <f t="shared" si="151"/>
        <v>-13.049999999999997</v>
      </c>
      <c r="V2392" s="14">
        <v>3521.88</v>
      </c>
      <c r="W2392" s="14">
        <v>3521.88</v>
      </c>
      <c r="X2392" s="11">
        <v>8</v>
      </c>
      <c r="Y2392" s="15" t="s">
        <v>3713</v>
      </c>
      <c r="Z2392" s="16">
        <v>2720.88</v>
      </c>
      <c r="AA2392" s="17">
        <v>339.7</v>
      </c>
      <c r="AB2392" s="18" t="s">
        <v>3813</v>
      </c>
    </row>
    <row r="2393" spans="1:28" x14ac:dyDescent="0.45">
      <c r="A2393" s="2" t="s">
        <v>3251</v>
      </c>
      <c r="B2393" s="2" t="s">
        <v>3252</v>
      </c>
      <c r="C2393" s="2" t="s">
        <v>2797</v>
      </c>
      <c r="D2393" s="2" t="s">
        <v>2798</v>
      </c>
      <c r="E2393" s="2" t="s">
        <v>96</v>
      </c>
      <c r="F2393" s="3">
        <v>185</v>
      </c>
      <c r="G2393" s="3">
        <v>200.1</v>
      </c>
      <c r="H2393" s="2" t="s">
        <v>851</v>
      </c>
      <c r="I2393" s="19">
        <v>683</v>
      </c>
      <c r="J2393" s="34">
        <f t="shared" si="148"/>
        <v>5.9420999999999999</v>
      </c>
      <c r="K2393" s="34">
        <f t="shared" si="149"/>
        <v>8.91</v>
      </c>
      <c r="L2393" s="34">
        <f t="shared" si="150"/>
        <v>35.64</v>
      </c>
      <c r="M2393" s="20" t="s">
        <v>5429</v>
      </c>
      <c r="N2393" s="20"/>
      <c r="O2393" s="20" t="s">
        <v>5291</v>
      </c>
      <c r="P2393" s="20" t="s">
        <v>5422</v>
      </c>
      <c r="Q2393" s="21">
        <v>185.67400000000001</v>
      </c>
      <c r="R2393" s="21">
        <v>201.93</v>
      </c>
      <c r="S2393" s="21">
        <v>19.05</v>
      </c>
      <c r="T2393" s="22">
        <v>28.44</v>
      </c>
      <c r="U2393" s="13">
        <f t="shared" si="151"/>
        <v>-7.1999999999999993</v>
      </c>
      <c r="V2393" s="23">
        <v>3483.9</v>
      </c>
      <c r="W2393" s="23">
        <v>3483.9</v>
      </c>
      <c r="X2393" s="20">
        <v>86</v>
      </c>
      <c r="Y2393" s="24" t="s">
        <v>3737</v>
      </c>
      <c r="Z2393" s="16">
        <v>2800.9</v>
      </c>
      <c r="AA2393" s="17">
        <v>410.1</v>
      </c>
      <c r="AB2393" s="25" t="s">
        <v>5430</v>
      </c>
    </row>
    <row r="2394" spans="1:28" x14ac:dyDescent="0.45">
      <c r="A2394" s="4" t="s">
        <v>3253</v>
      </c>
      <c r="B2394" s="4" t="s">
        <v>3254</v>
      </c>
      <c r="C2394" s="4" t="s">
        <v>2797</v>
      </c>
      <c r="D2394" s="4" t="s">
        <v>2798</v>
      </c>
      <c r="E2394" s="4" t="s">
        <v>96</v>
      </c>
      <c r="F2394" s="5">
        <v>190</v>
      </c>
      <c r="G2394" s="5">
        <v>205.1</v>
      </c>
      <c r="H2394" s="4" t="s">
        <v>851</v>
      </c>
      <c r="I2394" s="10">
        <v>700</v>
      </c>
      <c r="J2394" s="34">
        <f t="shared" si="148"/>
        <v>6.09</v>
      </c>
      <c r="K2394" s="34">
        <f t="shared" si="149"/>
        <v>9.14</v>
      </c>
      <c r="L2394" s="34">
        <f t="shared" si="150"/>
        <v>36.56</v>
      </c>
      <c r="M2394" s="11" t="s">
        <v>5431</v>
      </c>
      <c r="N2394" s="11" t="s">
        <v>5362</v>
      </c>
      <c r="O2394" s="11" t="s">
        <v>5251</v>
      </c>
      <c r="P2394" s="11" t="s">
        <v>5363</v>
      </c>
      <c r="Q2394" s="12">
        <v>190</v>
      </c>
      <c r="R2394" s="12">
        <v>205</v>
      </c>
      <c r="S2394" s="12">
        <v>14.5</v>
      </c>
      <c r="T2394" s="13">
        <v>74.540000000000006</v>
      </c>
      <c r="U2394" s="13">
        <f t="shared" si="151"/>
        <v>37.980000000000004</v>
      </c>
      <c r="V2394" s="14">
        <v>9131.15</v>
      </c>
      <c r="W2394" s="14">
        <v>9131.15</v>
      </c>
      <c r="X2394" s="11" t="s">
        <v>3722</v>
      </c>
      <c r="Y2394" s="15" t="s">
        <v>3713</v>
      </c>
      <c r="Z2394" s="16">
        <v>8431.15</v>
      </c>
      <c r="AA2394" s="17">
        <v>1204.4000000000001</v>
      </c>
      <c r="AB2394" s="18" t="s">
        <v>5276</v>
      </c>
    </row>
    <row r="2395" spans="1:28" x14ac:dyDescent="0.45">
      <c r="A2395" s="2" t="s">
        <v>3255</v>
      </c>
      <c r="B2395" s="2" t="s">
        <v>3256</v>
      </c>
      <c r="C2395" s="2" t="s">
        <v>2797</v>
      </c>
      <c r="D2395" s="2" t="s">
        <v>2798</v>
      </c>
      <c r="E2395" s="2" t="s">
        <v>96</v>
      </c>
      <c r="F2395" s="3">
        <v>190</v>
      </c>
      <c r="G2395" s="3">
        <v>210.5</v>
      </c>
      <c r="H2395" s="2" t="s">
        <v>876</v>
      </c>
      <c r="I2395" s="19">
        <v>858</v>
      </c>
      <c r="J2395" s="34">
        <f t="shared" si="148"/>
        <v>7.4645999999999999</v>
      </c>
      <c r="K2395" s="34">
        <f t="shared" si="149"/>
        <v>11.2</v>
      </c>
      <c r="L2395" s="34">
        <f t="shared" si="150"/>
        <v>44.8</v>
      </c>
      <c r="M2395" s="20" t="s">
        <v>5368</v>
      </c>
      <c r="N2395" s="20" t="s">
        <v>5290</v>
      </c>
      <c r="O2395" s="20" t="s">
        <v>5291</v>
      </c>
      <c r="P2395" s="20" t="s">
        <v>5292</v>
      </c>
      <c r="Q2395" s="21">
        <v>190</v>
      </c>
      <c r="R2395" s="21">
        <v>210</v>
      </c>
      <c r="S2395" s="21">
        <v>14.5</v>
      </c>
      <c r="T2395" s="22">
        <v>54.27</v>
      </c>
      <c r="U2395" s="13">
        <f t="shared" si="151"/>
        <v>9.470000000000006</v>
      </c>
      <c r="V2395" s="23">
        <v>6648.08</v>
      </c>
      <c r="W2395" s="23">
        <v>6648.08</v>
      </c>
      <c r="X2395" s="20">
        <v>30</v>
      </c>
      <c r="Y2395" s="24" t="s">
        <v>3713</v>
      </c>
      <c r="Z2395" s="16">
        <v>5790.08</v>
      </c>
      <c r="AA2395" s="17">
        <v>674.8</v>
      </c>
      <c r="AB2395" s="25" t="s">
        <v>3813</v>
      </c>
    </row>
    <row r="2396" spans="1:28" x14ac:dyDescent="0.45">
      <c r="A2396" s="4" t="s">
        <v>3257</v>
      </c>
      <c r="B2396" s="4" t="s">
        <v>3258</v>
      </c>
      <c r="C2396" s="4" t="s">
        <v>2797</v>
      </c>
      <c r="D2396" s="4" t="s">
        <v>2798</v>
      </c>
      <c r="E2396" s="4" t="s">
        <v>96</v>
      </c>
      <c r="F2396" s="5">
        <v>200</v>
      </c>
      <c r="G2396" s="5">
        <v>220.5</v>
      </c>
      <c r="H2396" s="4" t="s">
        <v>876</v>
      </c>
      <c r="I2396" s="10">
        <v>875</v>
      </c>
      <c r="J2396" s="34">
        <f t="shared" si="148"/>
        <v>7.6124999999999998</v>
      </c>
      <c r="K2396" s="34">
        <f t="shared" si="149"/>
        <v>11.42</v>
      </c>
      <c r="L2396" s="34">
        <f t="shared" si="150"/>
        <v>45.68</v>
      </c>
      <c r="M2396" s="11" t="s">
        <v>5369</v>
      </c>
      <c r="N2396" s="11" t="s">
        <v>5254</v>
      </c>
      <c r="O2396" s="11" t="s">
        <v>5251</v>
      </c>
      <c r="P2396" s="11" t="s">
        <v>5255</v>
      </c>
      <c r="Q2396" s="12">
        <v>200</v>
      </c>
      <c r="R2396" s="12">
        <v>220</v>
      </c>
      <c r="S2396" s="12">
        <v>14.5</v>
      </c>
      <c r="T2396" s="13">
        <v>91.54</v>
      </c>
      <c r="U2396" s="13">
        <f t="shared" si="151"/>
        <v>45.860000000000007</v>
      </c>
      <c r="V2396" s="14">
        <v>11213.65</v>
      </c>
      <c r="W2396" s="14">
        <v>11213.65</v>
      </c>
      <c r="X2396" s="11" t="s">
        <v>3722</v>
      </c>
      <c r="Y2396" s="15" t="s">
        <v>3713</v>
      </c>
      <c r="Z2396" s="16">
        <v>10338.65</v>
      </c>
      <c r="AA2396" s="17">
        <v>1181.5999999999999</v>
      </c>
      <c r="AB2396" s="18" t="s">
        <v>3813</v>
      </c>
    </row>
    <row r="2397" spans="1:28" x14ac:dyDescent="0.45">
      <c r="A2397" s="2" t="s">
        <v>3259</v>
      </c>
      <c r="B2397" s="2" t="s">
        <v>3260</v>
      </c>
      <c r="C2397" s="2" t="s">
        <v>2797</v>
      </c>
      <c r="D2397" s="2" t="s">
        <v>2798</v>
      </c>
      <c r="E2397" s="2" t="s">
        <v>96</v>
      </c>
      <c r="F2397" s="3">
        <v>210</v>
      </c>
      <c r="G2397" s="3">
        <v>230.5</v>
      </c>
      <c r="H2397" s="2" t="s">
        <v>876</v>
      </c>
      <c r="I2397" s="19">
        <v>917</v>
      </c>
      <c r="J2397" s="34">
        <f t="shared" si="148"/>
        <v>7.9778999999999991</v>
      </c>
      <c r="K2397" s="34">
        <f t="shared" si="149"/>
        <v>11.97</v>
      </c>
      <c r="L2397" s="34">
        <f t="shared" si="150"/>
        <v>47.88</v>
      </c>
      <c r="M2397" s="20" t="s">
        <v>5370</v>
      </c>
      <c r="N2397" s="20" t="s">
        <v>5290</v>
      </c>
      <c r="O2397" s="20" t="s">
        <v>5291</v>
      </c>
      <c r="P2397" s="20" t="s">
        <v>5292</v>
      </c>
      <c r="Q2397" s="21">
        <v>210</v>
      </c>
      <c r="R2397" s="21">
        <v>230</v>
      </c>
      <c r="S2397" s="21">
        <v>14</v>
      </c>
      <c r="T2397" s="22">
        <v>43.02</v>
      </c>
      <c r="U2397" s="13">
        <f t="shared" si="151"/>
        <v>-4.8599999999999994</v>
      </c>
      <c r="V2397" s="23">
        <v>5269.95</v>
      </c>
      <c r="W2397" s="23">
        <v>5269.95</v>
      </c>
      <c r="X2397" s="20">
        <v>12</v>
      </c>
      <c r="Y2397" s="24" t="s">
        <v>3713</v>
      </c>
      <c r="Z2397" s="16">
        <v>4352.95</v>
      </c>
      <c r="AA2397" s="17">
        <v>474.7</v>
      </c>
      <c r="AB2397" s="25" t="s">
        <v>3813</v>
      </c>
    </row>
    <row r="2398" spans="1:28" x14ac:dyDescent="0.45">
      <c r="A2398" s="4" t="s">
        <v>3261</v>
      </c>
      <c r="B2398" s="4" t="s">
        <v>3262</v>
      </c>
      <c r="C2398" s="4" t="s">
        <v>2797</v>
      </c>
      <c r="D2398" s="4" t="s">
        <v>2798</v>
      </c>
      <c r="E2398" s="4" t="s">
        <v>96</v>
      </c>
      <c r="F2398" s="5">
        <v>220</v>
      </c>
      <c r="G2398" s="5">
        <v>240.5</v>
      </c>
      <c r="H2398" s="4" t="s">
        <v>876</v>
      </c>
      <c r="I2398" s="10">
        <v>959</v>
      </c>
      <c r="J2398" s="34">
        <f t="shared" si="148"/>
        <v>8.3432999999999993</v>
      </c>
      <c r="K2398" s="34">
        <f t="shared" si="149"/>
        <v>12.51</v>
      </c>
      <c r="L2398" s="34">
        <f t="shared" si="150"/>
        <v>50.04</v>
      </c>
      <c r="M2398" s="11" t="s">
        <v>5371</v>
      </c>
      <c r="N2398" s="11" t="s">
        <v>5254</v>
      </c>
      <c r="O2398" s="11" t="s">
        <v>5251</v>
      </c>
      <c r="P2398" s="11" t="s">
        <v>5255</v>
      </c>
      <c r="Q2398" s="12">
        <v>220</v>
      </c>
      <c r="R2398" s="12">
        <v>240</v>
      </c>
      <c r="S2398" s="12">
        <v>14.5</v>
      </c>
      <c r="T2398" s="13">
        <v>91.54</v>
      </c>
      <c r="U2398" s="13">
        <f t="shared" si="151"/>
        <v>41.500000000000007</v>
      </c>
      <c r="V2398" s="14">
        <v>11213.65</v>
      </c>
      <c r="W2398" s="14">
        <v>11213.65</v>
      </c>
      <c r="X2398" s="11">
        <v>2</v>
      </c>
      <c r="Y2398" s="15" t="s">
        <v>3713</v>
      </c>
      <c r="Z2398" s="16">
        <v>10254.65</v>
      </c>
      <c r="AA2398" s="17">
        <v>1069.3</v>
      </c>
      <c r="AB2398" s="18" t="s">
        <v>3813</v>
      </c>
    </row>
    <row r="2399" spans="1:28" x14ac:dyDescent="0.45">
      <c r="A2399" s="2" t="s">
        <v>3263</v>
      </c>
      <c r="B2399" s="2" t="s">
        <v>3264</v>
      </c>
      <c r="C2399" s="2" t="s">
        <v>2797</v>
      </c>
      <c r="D2399" s="2" t="s">
        <v>2798</v>
      </c>
      <c r="E2399" s="2" t="s">
        <v>96</v>
      </c>
      <c r="F2399" s="3">
        <v>230</v>
      </c>
      <c r="G2399" s="3">
        <v>250.5</v>
      </c>
      <c r="H2399" s="2" t="s">
        <v>876</v>
      </c>
      <c r="I2399" s="19">
        <v>1042</v>
      </c>
      <c r="J2399" s="34">
        <f t="shared" si="148"/>
        <v>9.0653999999999986</v>
      </c>
      <c r="K2399" s="34">
        <f t="shared" si="149"/>
        <v>13.6</v>
      </c>
      <c r="L2399" s="34">
        <f t="shared" si="150"/>
        <v>54.4</v>
      </c>
      <c r="M2399" s="20" t="s">
        <v>5372</v>
      </c>
      <c r="N2399" s="20" t="s">
        <v>5362</v>
      </c>
      <c r="O2399" s="20" t="s">
        <v>5251</v>
      </c>
      <c r="P2399" s="20" t="s">
        <v>5363</v>
      </c>
      <c r="Q2399" s="21">
        <v>230</v>
      </c>
      <c r="R2399" s="21">
        <v>250</v>
      </c>
      <c r="S2399" s="21">
        <v>14.5</v>
      </c>
      <c r="T2399" s="22">
        <v>179.16</v>
      </c>
      <c r="U2399" s="13">
        <f t="shared" si="151"/>
        <v>124.75999999999999</v>
      </c>
      <c r="V2399" s="23">
        <v>21947.1</v>
      </c>
      <c r="W2399" s="23">
        <v>21947.1</v>
      </c>
      <c r="X2399" s="20">
        <v>8</v>
      </c>
      <c r="Y2399" s="24" t="s">
        <v>3713</v>
      </c>
      <c r="Z2399" s="16">
        <v>20905.099999999999</v>
      </c>
      <c r="AA2399" s="17">
        <v>2006.2</v>
      </c>
      <c r="AB2399" s="25" t="s">
        <v>3813</v>
      </c>
    </row>
    <row r="2400" spans="1:28" x14ac:dyDescent="0.45">
      <c r="A2400" s="4" t="s">
        <v>3265</v>
      </c>
      <c r="B2400" s="4" t="s">
        <v>3266</v>
      </c>
      <c r="C2400" s="4" t="s">
        <v>2797</v>
      </c>
      <c r="D2400" s="4" t="s">
        <v>2798</v>
      </c>
      <c r="E2400" s="4" t="s">
        <v>96</v>
      </c>
      <c r="F2400" s="5">
        <v>235</v>
      </c>
      <c r="G2400" s="5">
        <v>255.5</v>
      </c>
      <c r="H2400" s="4" t="s">
        <v>876</v>
      </c>
      <c r="I2400" s="10">
        <v>1117</v>
      </c>
      <c r="J2400" s="34">
        <f t="shared" si="148"/>
        <v>9.7179000000000002</v>
      </c>
      <c r="K2400" s="34">
        <f t="shared" si="149"/>
        <v>14.58</v>
      </c>
      <c r="L2400" s="34">
        <f t="shared" si="150"/>
        <v>58.32</v>
      </c>
      <c r="M2400" s="11" t="s">
        <v>5432</v>
      </c>
      <c r="N2400" s="11" t="s">
        <v>5230</v>
      </c>
      <c r="O2400" s="11" t="s">
        <v>5231</v>
      </c>
      <c r="P2400" s="11" t="s">
        <v>5232</v>
      </c>
      <c r="Q2400" s="12">
        <v>235</v>
      </c>
      <c r="R2400" s="12">
        <v>256</v>
      </c>
      <c r="S2400" s="12">
        <v>8.1</v>
      </c>
      <c r="T2400" s="13">
        <v>140.37</v>
      </c>
      <c r="U2400" s="13">
        <f t="shared" si="151"/>
        <v>82.050000000000011</v>
      </c>
      <c r="V2400" s="14">
        <v>17195.32</v>
      </c>
      <c r="W2400" s="14">
        <v>17195.32</v>
      </c>
      <c r="X2400" s="11">
        <v>25</v>
      </c>
      <c r="Y2400" s="15" t="s">
        <v>3713</v>
      </c>
      <c r="Z2400" s="16">
        <v>16078.32</v>
      </c>
      <c r="AA2400" s="17">
        <v>1439.4</v>
      </c>
      <c r="AB2400" s="18" t="s">
        <v>3813</v>
      </c>
    </row>
    <row r="2401" spans="1:28" x14ac:dyDescent="0.45">
      <c r="A2401" s="2" t="s">
        <v>3267</v>
      </c>
      <c r="B2401" s="2" t="s">
        <v>3268</v>
      </c>
      <c r="C2401" s="2" t="s">
        <v>2797</v>
      </c>
      <c r="D2401" s="2" t="s">
        <v>2798</v>
      </c>
      <c r="E2401" s="2" t="s">
        <v>96</v>
      </c>
      <c r="F2401" s="3">
        <v>240</v>
      </c>
      <c r="G2401" s="3">
        <v>260.5</v>
      </c>
      <c r="H2401" s="2" t="s">
        <v>876</v>
      </c>
      <c r="I2401" s="19">
        <v>1101</v>
      </c>
      <c r="J2401" s="34">
        <f t="shared" si="148"/>
        <v>9.5786999999999995</v>
      </c>
      <c r="K2401" s="34">
        <f t="shared" si="149"/>
        <v>14.37</v>
      </c>
      <c r="L2401" s="34">
        <f t="shared" si="150"/>
        <v>57.48</v>
      </c>
      <c r="M2401" s="20" t="s">
        <v>5373</v>
      </c>
      <c r="N2401" s="20" t="s">
        <v>5310</v>
      </c>
      <c r="O2401" s="20" t="s">
        <v>5270</v>
      </c>
      <c r="P2401" s="20" t="s">
        <v>5311</v>
      </c>
      <c r="Q2401" s="21">
        <v>240</v>
      </c>
      <c r="R2401" s="21">
        <v>260</v>
      </c>
      <c r="S2401" s="21">
        <v>15</v>
      </c>
      <c r="T2401" s="22">
        <v>49.29</v>
      </c>
      <c r="U2401" s="13">
        <f t="shared" si="151"/>
        <v>-8.1899999999999977</v>
      </c>
      <c r="V2401" s="23">
        <v>6038.02</v>
      </c>
      <c r="W2401" s="23">
        <v>6038.02</v>
      </c>
      <c r="X2401" s="20" t="s">
        <v>3722</v>
      </c>
      <c r="Y2401" s="24" t="s">
        <v>3713</v>
      </c>
      <c r="Z2401" s="16">
        <v>4937.0200000000004</v>
      </c>
      <c r="AA2401" s="17">
        <v>448.4</v>
      </c>
      <c r="AB2401" s="25" t="s">
        <v>3813</v>
      </c>
    </row>
    <row r="2402" spans="1:28" x14ac:dyDescent="0.45">
      <c r="A2402" s="4" t="s">
        <v>3269</v>
      </c>
      <c r="B2402" s="4" t="s">
        <v>3270</v>
      </c>
      <c r="C2402" s="4" t="s">
        <v>2797</v>
      </c>
      <c r="D2402" s="4" t="s">
        <v>2798</v>
      </c>
      <c r="E2402" s="4" t="s">
        <v>96</v>
      </c>
      <c r="F2402" s="5">
        <v>250</v>
      </c>
      <c r="G2402" s="5">
        <v>270.5</v>
      </c>
      <c r="H2402" s="4" t="s">
        <v>876</v>
      </c>
      <c r="I2402" s="10">
        <v>1160</v>
      </c>
      <c r="J2402" s="34">
        <f t="shared" si="148"/>
        <v>10.091999999999999</v>
      </c>
      <c r="K2402" s="34">
        <f t="shared" si="149"/>
        <v>15.14</v>
      </c>
      <c r="L2402" s="34">
        <f t="shared" si="150"/>
        <v>60.56</v>
      </c>
      <c r="M2402" s="11" t="s">
        <v>5374</v>
      </c>
      <c r="N2402" s="11" t="s">
        <v>5230</v>
      </c>
      <c r="O2402" s="11" t="s">
        <v>5231</v>
      </c>
      <c r="P2402" s="11" t="s">
        <v>5232</v>
      </c>
      <c r="Q2402" s="12">
        <v>250</v>
      </c>
      <c r="R2402" s="12">
        <v>271</v>
      </c>
      <c r="S2402" s="12">
        <v>8.1</v>
      </c>
      <c r="T2402" s="13">
        <v>138.21</v>
      </c>
      <c r="U2402" s="13">
        <f t="shared" si="151"/>
        <v>77.650000000000006</v>
      </c>
      <c r="V2402" s="14">
        <v>16930.73</v>
      </c>
      <c r="W2402" s="14">
        <v>16930.73</v>
      </c>
      <c r="X2402" s="11">
        <v>3</v>
      </c>
      <c r="Y2402" s="15" t="s">
        <v>3713</v>
      </c>
      <c r="Z2402" s="16">
        <v>15770.73</v>
      </c>
      <c r="AA2402" s="17">
        <v>1359.5</v>
      </c>
      <c r="AB2402" s="18" t="s">
        <v>3813</v>
      </c>
    </row>
    <row r="2403" spans="1:28" x14ac:dyDescent="0.45">
      <c r="A2403" s="2" t="s">
        <v>3271</v>
      </c>
      <c r="B2403" s="2" t="s">
        <v>3272</v>
      </c>
      <c r="C2403" s="2" t="s">
        <v>2797</v>
      </c>
      <c r="D2403" s="2" t="s">
        <v>2798</v>
      </c>
      <c r="E2403" s="2" t="s">
        <v>96</v>
      </c>
      <c r="F2403" s="3">
        <v>260</v>
      </c>
      <c r="G2403" s="3">
        <v>284</v>
      </c>
      <c r="H2403" s="2" t="s">
        <v>876</v>
      </c>
      <c r="I2403" s="19">
        <v>1341</v>
      </c>
      <c r="J2403" s="34">
        <f t="shared" si="148"/>
        <v>11.666699999999999</v>
      </c>
      <c r="K2403" s="34">
        <f t="shared" si="149"/>
        <v>17.5</v>
      </c>
      <c r="L2403" s="34">
        <f t="shared" si="150"/>
        <v>70</v>
      </c>
      <c r="M2403" s="20" t="s">
        <v>5375</v>
      </c>
      <c r="N2403" s="20" t="s">
        <v>5230</v>
      </c>
      <c r="O2403" s="20" t="s">
        <v>5231</v>
      </c>
      <c r="P2403" s="20" t="s">
        <v>5232</v>
      </c>
      <c r="Q2403" s="21">
        <v>260</v>
      </c>
      <c r="R2403" s="21">
        <v>284.5</v>
      </c>
      <c r="S2403" s="21">
        <v>8.1</v>
      </c>
      <c r="T2403" s="22">
        <v>179.33</v>
      </c>
      <c r="U2403" s="13">
        <f t="shared" si="151"/>
        <v>109.33000000000001</v>
      </c>
      <c r="V2403" s="23">
        <v>21967.93</v>
      </c>
      <c r="W2403" s="23">
        <v>21967.93</v>
      </c>
      <c r="X2403" s="20">
        <v>24</v>
      </c>
      <c r="Y2403" s="24" t="s">
        <v>3713</v>
      </c>
      <c r="Z2403" s="16">
        <v>20626.93</v>
      </c>
      <c r="AA2403" s="17">
        <v>1538.2</v>
      </c>
      <c r="AB2403" s="25" t="s">
        <v>3813</v>
      </c>
    </row>
    <row r="2404" spans="1:28" x14ac:dyDescent="0.45">
      <c r="A2404" s="4" t="s">
        <v>3273</v>
      </c>
      <c r="B2404" s="4" t="s">
        <v>3274</v>
      </c>
      <c r="C2404" s="4" t="s">
        <v>2797</v>
      </c>
      <c r="D2404" s="4" t="s">
        <v>2798</v>
      </c>
      <c r="E2404" s="4" t="s">
        <v>96</v>
      </c>
      <c r="F2404" s="5">
        <v>280</v>
      </c>
      <c r="G2404" s="5">
        <v>304</v>
      </c>
      <c r="H2404" s="4" t="s">
        <v>876</v>
      </c>
      <c r="I2404" s="10">
        <v>1651</v>
      </c>
      <c r="J2404" s="34">
        <f t="shared" si="148"/>
        <v>14.3637</v>
      </c>
      <c r="K2404" s="34">
        <f t="shared" si="149"/>
        <v>21.55</v>
      </c>
      <c r="L2404" s="34">
        <f t="shared" si="150"/>
        <v>86.2</v>
      </c>
      <c r="M2404" s="11" t="s">
        <v>5376</v>
      </c>
      <c r="N2404" s="11" t="s">
        <v>5377</v>
      </c>
      <c r="O2404" s="11" t="s">
        <v>5291</v>
      </c>
      <c r="P2404" s="11" t="s">
        <v>5378</v>
      </c>
      <c r="Q2404" s="12">
        <v>280</v>
      </c>
      <c r="R2404" s="12">
        <v>305</v>
      </c>
      <c r="S2404" s="12">
        <v>35</v>
      </c>
      <c r="T2404" s="13">
        <v>142.19</v>
      </c>
      <c r="U2404" s="13">
        <f t="shared" si="151"/>
        <v>55.989999999999995</v>
      </c>
      <c r="V2404" s="14">
        <v>17418.28</v>
      </c>
      <c r="W2404" s="14">
        <v>17418.28</v>
      </c>
      <c r="X2404" s="11">
        <v>3</v>
      </c>
      <c r="Y2404" s="15" t="s">
        <v>3713</v>
      </c>
      <c r="Z2404" s="16">
        <v>15767.28</v>
      </c>
      <c r="AA2404" s="17">
        <v>955</v>
      </c>
      <c r="AB2404" s="18" t="s">
        <v>3786</v>
      </c>
    </row>
    <row r="2405" spans="1:28" x14ac:dyDescent="0.45">
      <c r="A2405" s="2" t="s">
        <v>3275</v>
      </c>
      <c r="B2405" s="2" t="s">
        <v>3276</v>
      </c>
      <c r="C2405" s="2" t="s">
        <v>2797</v>
      </c>
      <c r="D2405" s="2" t="s">
        <v>2798</v>
      </c>
      <c r="E2405" s="2" t="s">
        <v>96</v>
      </c>
      <c r="F2405" s="3">
        <v>290</v>
      </c>
      <c r="G2405" s="3">
        <v>314</v>
      </c>
      <c r="H2405" s="2" t="s">
        <v>876</v>
      </c>
      <c r="I2405" s="19">
        <v>1833</v>
      </c>
      <c r="J2405" s="34">
        <f t="shared" si="148"/>
        <v>15.947099999999999</v>
      </c>
      <c r="K2405" s="34">
        <f t="shared" si="149"/>
        <v>23.92</v>
      </c>
      <c r="L2405" s="34">
        <f t="shared" si="150"/>
        <v>95.68</v>
      </c>
      <c r="M2405" s="20" t="s">
        <v>5379</v>
      </c>
      <c r="N2405" s="20" t="s">
        <v>5230</v>
      </c>
      <c r="O2405" s="20" t="s">
        <v>5231</v>
      </c>
      <c r="P2405" s="20" t="s">
        <v>5232</v>
      </c>
      <c r="Q2405" s="21">
        <v>290</v>
      </c>
      <c r="R2405" s="21">
        <v>314.5</v>
      </c>
      <c r="S2405" s="21">
        <v>8.1</v>
      </c>
      <c r="T2405" s="22">
        <v>339.34</v>
      </c>
      <c r="U2405" s="13">
        <f t="shared" si="151"/>
        <v>243.65999999999997</v>
      </c>
      <c r="V2405" s="23">
        <v>41569.15</v>
      </c>
      <c r="W2405" s="23">
        <v>41569.15</v>
      </c>
      <c r="X2405" s="20" t="s">
        <v>3722</v>
      </c>
      <c r="Y2405" s="24" t="s">
        <v>3713</v>
      </c>
      <c r="Z2405" s="16">
        <v>39736.15</v>
      </c>
      <c r="AA2405" s="17">
        <v>2167.8000000000002</v>
      </c>
      <c r="AB2405" s="25" t="s">
        <v>3813</v>
      </c>
    </row>
    <row r="2406" spans="1:28" x14ac:dyDescent="0.45">
      <c r="A2406" s="4" t="s">
        <v>3277</v>
      </c>
      <c r="B2406" s="4" t="s">
        <v>3278</v>
      </c>
      <c r="C2406" s="4" t="s">
        <v>2797</v>
      </c>
      <c r="D2406" s="4" t="s">
        <v>2798</v>
      </c>
      <c r="E2406" s="4" t="s">
        <v>96</v>
      </c>
      <c r="F2406" s="5">
        <v>350</v>
      </c>
      <c r="G2406" s="5">
        <v>374</v>
      </c>
      <c r="H2406" s="4" t="s">
        <v>876</v>
      </c>
      <c r="I2406" s="10">
        <v>2341</v>
      </c>
      <c r="J2406" s="34">
        <f t="shared" si="148"/>
        <v>20.366699999999998</v>
      </c>
      <c r="K2406" s="34">
        <f t="shared" si="149"/>
        <v>30.55</v>
      </c>
      <c r="L2406" s="34">
        <f t="shared" si="150"/>
        <v>122.2</v>
      </c>
      <c r="M2406" s="11" t="s">
        <v>5380</v>
      </c>
      <c r="N2406" s="11" t="s">
        <v>5362</v>
      </c>
      <c r="O2406" s="11" t="s">
        <v>5251</v>
      </c>
      <c r="P2406" s="11" t="s">
        <v>5363</v>
      </c>
      <c r="Q2406" s="12">
        <v>350</v>
      </c>
      <c r="R2406" s="12">
        <v>375</v>
      </c>
      <c r="S2406" s="12">
        <v>18</v>
      </c>
      <c r="T2406" s="13">
        <v>249.05</v>
      </c>
      <c r="U2406" s="13">
        <f t="shared" si="151"/>
        <v>126.85000000000001</v>
      </c>
      <c r="V2406" s="14">
        <v>30508.62</v>
      </c>
      <c r="W2406" s="14">
        <v>30508.62</v>
      </c>
      <c r="X2406" s="11">
        <v>6</v>
      </c>
      <c r="Y2406" s="15" t="s">
        <v>3713</v>
      </c>
      <c r="Z2406" s="16">
        <v>28167.62</v>
      </c>
      <c r="AA2406" s="17">
        <v>1203.2</v>
      </c>
      <c r="AB2406" s="18" t="s">
        <v>3786</v>
      </c>
    </row>
    <row r="2407" spans="1:28" x14ac:dyDescent="0.45">
      <c r="A2407" s="2" t="s">
        <v>3279</v>
      </c>
      <c r="B2407" s="2" t="s">
        <v>3280</v>
      </c>
      <c r="C2407" s="2" t="s">
        <v>2797</v>
      </c>
      <c r="D2407" s="2" t="s">
        <v>2798</v>
      </c>
      <c r="E2407" s="2" t="s">
        <v>96</v>
      </c>
      <c r="F2407" s="3">
        <v>360</v>
      </c>
      <c r="G2407" s="3">
        <v>384</v>
      </c>
      <c r="H2407" s="2" t="s">
        <v>876</v>
      </c>
      <c r="I2407" s="19">
        <v>3024</v>
      </c>
      <c r="J2407" s="34">
        <f t="shared" si="148"/>
        <v>26.308799999999998</v>
      </c>
      <c r="K2407" s="34">
        <f t="shared" si="149"/>
        <v>39.46</v>
      </c>
      <c r="L2407" s="34">
        <f t="shared" si="150"/>
        <v>157.84</v>
      </c>
      <c r="M2407" s="20" t="s">
        <v>5381</v>
      </c>
      <c r="N2407" s="20" t="s">
        <v>5230</v>
      </c>
      <c r="O2407" s="20" t="s">
        <v>5231</v>
      </c>
      <c r="P2407" s="20" t="s">
        <v>5232</v>
      </c>
      <c r="Q2407" s="21">
        <v>360</v>
      </c>
      <c r="R2407" s="21">
        <v>384.5</v>
      </c>
      <c r="S2407" s="21">
        <v>8.1</v>
      </c>
      <c r="T2407" s="22">
        <v>499.16</v>
      </c>
      <c r="U2407" s="13">
        <f t="shared" si="151"/>
        <v>341.32000000000005</v>
      </c>
      <c r="V2407" s="23">
        <v>61147.1</v>
      </c>
      <c r="W2407" s="23">
        <v>61147.1</v>
      </c>
      <c r="X2407" s="20" t="s">
        <v>3722</v>
      </c>
      <c r="Y2407" s="24" t="s">
        <v>3713</v>
      </c>
      <c r="Z2407" s="16">
        <v>58123.1</v>
      </c>
      <c r="AA2407" s="17">
        <v>1922.1</v>
      </c>
      <c r="AB2407" s="25" t="s">
        <v>3813</v>
      </c>
    </row>
    <row r="2408" spans="1:28" x14ac:dyDescent="0.45">
      <c r="A2408" s="4" t="s">
        <v>3284</v>
      </c>
      <c r="B2408" s="4" t="s">
        <v>3285</v>
      </c>
      <c r="C2408" s="4" t="s">
        <v>2797</v>
      </c>
      <c r="D2408" s="4" t="s">
        <v>3281</v>
      </c>
      <c r="E2408" s="4" t="s">
        <v>3282</v>
      </c>
      <c r="F2408" s="5">
        <v>100</v>
      </c>
      <c r="G2408" s="5">
        <v>128.69999999999999</v>
      </c>
      <c r="H2408" s="4" t="s">
        <v>3283</v>
      </c>
      <c r="I2408" s="10">
        <v>54</v>
      </c>
      <c r="J2408" s="34">
        <f t="shared" si="148"/>
        <v>0.4698</v>
      </c>
      <c r="K2408" s="34">
        <f t="shared" si="149"/>
        <v>0.7</v>
      </c>
      <c r="L2408" s="34">
        <f t="shared" si="150"/>
        <v>2.8</v>
      </c>
      <c r="M2408" s="11" t="s">
        <v>5433</v>
      </c>
      <c r="N2408" s="11" t="s">
        <v>5290</v>
      </c>
      <c r="O2408" s="11" t="s">
        <v>5291</v>
      </c>
      <c r="P2408" s="11" t="s">
        <v>5292</v>
      </c>
      <c r="Q2408" s="12">
        <v>101.6</v>
      </c>
      <c r="R2408" s="12">
        <v>127</v>
      </c>
      <c r="S2408" s="12">
        <v>19.05</v>
      </c>
      <c r="T2408" s="13">
        <v>27.85</v>
      </c>
      <c r="U2408" s="13">
        <f t="shared" si="151"/>
        <v>25.05</v>
      </c>
      <c r="V2408" s="14">
        <v>3411.62</v>
      </c>
      <c r="W2408" s="14">
        <v>3411.62</v>
      </c>
      <c r="X2408" s="11">
        <v>87</v>
      </c>
      <c r="Y2408" s="15" t="s">
        <v>3737</v>
      </c>
      <c r="Z2408" s="16">
        <v>3357.62</v>
      </c>
      <c r="AA2408" s="17">
        <v>6217.8</v>
      </c>
      <c r="AB2408" s="18" t="s">
        <v>5434</v>
      </c>
    </row>
    <row r="2409" spans="1:28" x14ac:dyDescent="0.45">
      <c r="A2409" s="2" t="s">
        <v>3286</v>
      </c>
      <c r="B2409" s="2" t="s">
        <v>3287</v>
      </c>
      <c r="C2409" s="2" t="s">
        <v>2797</v>
      </c>
      <c r="D2409" s="2" t="s">
        <v>3281</v>
      </c>
      <c r="E2409" s="2" t="s">
        <v>3282</v>
      </c>
      <c r="F2409" s="3">
        <v>112.5</v>
      </c>
      <c r="G2409" s="3">
        <v>141.19999999999999</v>
      </c>
      <c r="H2409" s="2" t="s">
        <v>3283</v>
      </c>
      <c r="I2409" s="19">
        <v>57</v>
      </c>
      <c r="J2409" s="34">
        <f t="shared" si="148"/>
        <v>0.49589999999999995</v>
      </c>
      <c r="K2409" s="34">
        <f t="shared" si="149"/>
        <v>0.74</v>
      </c>
      <c r="L2409" s="34">
        <f t="shared" si="150"/>
        <v>2.96</v>
      </c>
      <c r="M2409" s="20" t="s">
        <v>5435</v>
      </c>
      <c r="N2409" s="20" t="s">
        <v>5230</v>
      </c>
      <c r="O2409" s="20" t="s">
        <v>5231</v>
      </c>
      <c r="P2409" s="20" t="s">
        <v>5232</v>
      </c>
      <c r="Q2409" s="21">
        <v>114.3</v>
      </c>
      <c r="R2409" s="21">
        <v>140.208</v>
      </c>
      <c r="S2409" s="21">
        <v>5.8419999999999996</v>
      </c>
      <c r="T2409" s="22">
        <v>50.9</v>
      </c>
      <c r="U2409" s="13">
        <f t="shared" si="151"/>
        <v>47.94</v>
      </c>
      <c r="V2409" s="23">
        <v>6235.25</v>
      </c>
      <c r="W2409" s="23">
        <v>6235.25</v>
      </c>
      <c r="X2409" s="20">
        <v>2</v>
      </c>
      <c r="Y2409" s="24" t="s">
        <v>3737</v>
      </c>
      <c r="Z2409" s="16">
        <v>6178.25</v>
      </c>
      <c r="AA2409" s="17">
        <v>10839</v>
      </c>
      <c r="AB2409" s="25" t="s">
        <v>5436</v>
      </c>
    </row>
    <row r="2410" spans="1:28" x14ac:dyDescent="0.45">
      <c r="A2410" s="4" t="s">
        <v>3288</v>
      </c>
      <c r="B2410" s="4" t="s">
        <v>3289</v>
      </c>
      <c r="C2410" s="4" t="s">
        <v>2797</v>
      </c>
      <c r="D2410" s="4" t="s">
        <v>3281</v>
      </c>
      <c r="E2410" s="4" t="s">
        <v>3282</v>
      </c>
      <c r="F2410" s="5">
        <v>125</v>
      </c>
      <c r="G2410" s="5">
        <v>153.69999999999999</v>
      </c>
      <c r="H2410" s="4" t="s">
        <v>3283</v>
      </c>
      <c r="I2410" s="10">
        <v>59</v>
      </c>
      <c r="J2410" s="34">
        <f t="shared" si="148"/>
        <v>0.51329999999999998</v>
      </c>
      <c r="K2410" s="34">
        <f t="shared" si="149"/>
        <v>0.77</v>
      </c>
      <c r="L2410" s="34">
        <f t="shared" si="150"/>
        <v>3.08</v>
      </c>
      <c r="M2410" s="11" t="s">
        <v>5437</v>
      </c>
      <c r="N2410" s="11" t="s">
        <v>5290</v>
      </c>
      <c r="O2410" s="11" t="s">
        <v>5291</v>
      </c>
      <c r="P2410" s="11" t="s">
        <v>5292</v>
      </c>
      <c r="Q2410" s="12">
        <v>127</v>
      </c>
      <c r="R2410" s="12">
        <v>152.4</v>
      </c>
      <c r="S2410" s="12">
        <v>19.05</v>
      </c>
      <c r="T2410" s="13">
        <v>54.41</v>
      </c>
      <c r="U2410" s="13">
        <f t="shared" si="151"/>
        <v>51.33</v>
      </c>
      <c r="V2410" s="14">
        <v>6665.22</v>
      </c>
      <c r="W2410" s="14">
        <v>6665.22</v>
      </c>
      <c r="X2410" s="11">
        <v>5</v>
      </c>
      <c r="Y2410" s="15" t="s">
        <v>3737</v>
      </c>
      <c r="Z2410" s="16">
        <v>6606.22</v>
      </c>
      <c r="AA2410" s="17">
        <v>11197</v>
      </c>
      <c r="AB2410" s="18" t="s">
        <v>5438</v>
      </c>
    </row>
    <row r="2411" spans="1:28" x14ac:dyDescent="0.45">
      <c r="A2411" s="2" t="s">
        <v>3290</v>
      </c>
      <c r="B2411" s="2" t="s">
        <v>3291</v>
      </c>
      <c r="C2411" s="2" t="s">
        <v>2797</v>
      </c>
      <c r="D2411" s="2" t="s">
        <v>3292</v>
      </c>
      <c r="E2411" s="2" t="s">
        <v>3293</v>
      </c>
      <c r="F2411" s="3">
        <v>12.5</v>
      </c>
      <c r="G2411" s="3"/>
      <c r="H2411" s="2"/>
      <c r="I2411" s="19">
        <v>227</v>
      </c>
      <c r="J2411" s="34">
        <f t="shared" si="148"/>
        <v>1.9748999999999999</v>
      </c>
      <c r="K2411" s="34">
        <f t="shared" si="149"/>
        <v>2.96</v>
      </c>
      <c r="L2411" s="34">
        <f t="shared" si="150"/>
        <v>11.84</v>
      </c>
      <c r="M2411" s="20" t="s">
        <v>5439</v>
      </c>
      <c r="N2411" s="20" t="s">
        <v>5254</v>
      </c>
      <c r="O2411" s="20" t="s">
        <v>5251</v>
      </c>
      <c r="P2411" s="20" t="s">
        <v>5255</v>
      </c>
      <c r="Q2411" s="21">
        <v>12.7</v>
      </c>
      <c r="R2411" s="21">
        <v>19.05</v>
      </c>
      <c r="S2411" s="21">
        <v>4.5720000000000001</v>
      </c>
      <c r="T2411" s="22">
        <v>10.76</v>
      </c>
      <c r="U2411" s="13">
        <f t="shared" si="151"/>
        <v>-1.08</v>
      </c>
      <c r="V2411" s="23">
        <v>1318.1</v>
      </c>
      <c r="W2411" s="23">
        <v>1318.1</v>
      </c>
      <c r="X2411" s="20">
        <v>115</v>
      </c>
      <c r="Y2411" s="24" t="s">
        <v>3737</v>
      </c>
      <c r="Z2411" s="16">
        <v>1091.0999999999999</v>
      </c>
      <c r="AA2411" s="17">
        <v>480.7</v>
      </c>
      <c r="AB2411" s="25" t="s">
        <v>5440</v>
      </c>
    </row>
    <row r="2412" spans="1:28" x14ac:dyDescent="0.45">
      <c r="A2412" s="4" t="s">
        <v>3294</v>
      </c>
      <c r="B2412" s="4" t="s">
        <v>7242</v>
      </c>
      <c r="C2412" s="4" t="s">
        <v>2797</v>
      </c>
      <c r="D2412" s="4" t="s">
        <v>3295</v>
      </c>
      <c r="E2412" s="4" t="s">
        <v>6</v>
      </c>
      <c r="F2412" s="5">
        <v>18</v>
      </c>
      <c r="G2412" s="5">
        <v>28</v>
      </c>
      <c r="H2412" s="4" t="s">
        <v>2773</v>
      </c>
      <c r="I2412" s="10">
        <v>158</v>
      </c>
      <c r="J2412" s="34">
        <f t="shared" si="148"/>
        <v>1.3745999999999998</v>
      </c>
      <c r="K2412" s="34">
        <f t="shared" si="149"/>
        <v>2.06</v>
      </c>
      <c r="L2412" s="34">
        <f t="shared" si="150"/>
        <v>8.24</v>
      </c>
      <c r="M2412" s="11" t="s">
        <v>5253</v>
      </c>
      <c r="N2412" s="11" t="s">
        <v>5254</v>
      </c>
      <c r="O2412" s="11" t="s">
        <v>5251</v>
      </c>
      <c r="P2412" s="11" t="s">
        <v>5255</v>
      </c>
      <c r="Q2412" s="12">
        <v>18</v>
      </c>
      <c r="R2412" s="12">
        <v>28</v>
      </c>
      <c r="S2412" s="12">
        <v>7.7</v>
      </c>
      <c r="T2412" s="13">
        <v>12.75</v>
      </c>
      <c r="U2412" s="13">
        <f t="shared" si="151"/>
        <v>4.51</v>
      </c>
      <c r="V2412" s="14">
        <v>1561.88</v>
      </c>
      <c r="W2412" s="14">
        <v>1561.88</v>
      </c>
      <c r="X2412" s="11">
        <v>37</v>
      </c>
      <c r="Y2412" s="15" t="s">
        <v>3713</v>
      </c>
      <c r="Z2412" s="16">
        <v>1403.88</v>
      </c>
      <c r="AA2412" s="17">
        <v>888.5</v>
      </c>
      <c r="AB2412" s="18" t="s">
        <v>3714</v>
      </c>
    </row>
    <row r="2413" spans="1:28" x14ac:dyDescent="0.45">
      <c r="A2413" s="2" t="s">
        <v>3296</v>
      </c>
      <c r="B2413" s="2" t="s">
        <v>7243</v>
      </c>
      <c r="C2413" s="2" t="s">
        <v>2797</v>
      </c>
      <c r="D2413" s="2" t="s">
        <v>3295</v>
      </c>
      <c r="E2413" s="2" t="s">
        <v>6</v>
      </c>
      <c r="F2413" s="3">
        <v>20</v>
      </c>
      <c r="G2413" s="3">
        <v>30</v>
      </c>
      <c r="H2413" s="2" t="s">
        <v>2773</v>
      </c>
      <c r="I2413" s="19">
        <v>168</v>
      </c>
      <c r="J2413" s="34">
        <f t="shared" si="148"/>
        <v>1.4615999999999998</v>
      </c>
      <c r="K2413" s="34">
        <f t="shared" si="149"/>
        <v>2.19</v>
      </c>
      <c r="L2413" s="34">
        <f t="shared" si="150"/>
        <v>8.76</v>
      </c>
      <c r="M2413" s="20" t="s">
        <v>5441</v>
      </c>
      <c r="N2413" s="20" t="s">
        <v>5336</v>
      </c>
      <c r="O2413" s="20" t="s">
        <v>5251</v>
      </c>
      <c r="P2413" s="20" t="s">
        <v>5337</v>
      </c>
      <c r="Q2413" s="21">
        <v>20</v>
      </c>
      <c r="R2413" s="21">
        <v>30</v>
      </c>
      <c r="S2413" s="21">
        <v>18.5</v>
      </c>
      <c r="T2413" s="22">
        <v>80.72</v>
      </c>
      <c r="U2413" s="13">
        <f t="shared" si="151"/>
        <v>71.959999999999994</v>
      </c>
      <c r="V2413" s="23">
        <v>9888.2000000000007</v>
      </c>
      <c r="W2413" s="23">
        <v>9888.2000000000007</v>
      </c>
      <c r="X2413" s="20" t="s">
        <v>3722</v>
      </c>
      <c r="Y2413" s="24" t="s">
        <v>3713</v>
      </c>
      <c r="Z2413" s="16">
        <v>9720.2000000000007</v>
      </c>
      <c r="AA2413" s="17">
        <v>5785.8</v>
      </c>
      <c r="AB2413" s="25" t="s">
        <v>3714</v>
      </c>
    </row>
    <row r="2414" spans="1:28" x14ac:dyDescent="0.45">
      <c r="A2414" s="4" t="s">
        <v>3297</v>
      </c>
      <c r="B2414" s="4" t="s">
        <v>7244</v>
      </c>
      <c r="C2414" s="4" t="s">
        <v>2797</v>
      </c>
      <c r="D2414" s="4" t="s">
        <v>3295</v>
      </c>
      <c r="E2414" s="4" t="s">
        <v>6</v>
      </c>
      <c r="F2414" s="5">
        <v>22</v>
      </c>
      <c r="G2414" s="5">
        <v>32</v>
      </c>
      <c r="H2414" s="4" t="s">
        <v>169</v>
      </c>
      <c r="I2414" s="10">
        <v>163</v>
      </c>
      <c r="J2414" s="34">
        <f t="shared" si="148"/>
        <v>1.4180999999999999</v>
      </c>
      <c r="K2414" s="34">
        <f t="shared" si="149"/>
        <v>2.13</v>
      </c>
      <c r="L2414" s="34">
        <f t="shared" si="150"/>
        <v>8.52</v>
      </c>
      <c r="M2414" s="11" t="s">
        <v>5442</v>
      </c>
      <c r="N2414" s="11" t="s">
        <v>5254</v>
      </c>
      <c r="O2414" s="11" t="s">
        <v>5251</v>
      </c>
      <c r="P2414" s="11" t="s">
        <v>5255</v>
      </c>
      <c r="Q2414" s="12">
        <v>22</v>
      </c>
      <c r="R2414" s="12">
        <v>32</v>
      </c>
      <c r="S2414" s="12">
        <v>10</v>
      </c>
      <c r="T2414" s="13">
        <v>16.73</v>
      </c>
      <c r="U2414" s="13">
        <f t="shared" si="151"/>
        <v>8.2100000000000009</v>
      </c>
      <c r="V2414" s="14">
        <v>2049.4299999999998</v>
      </c>
      <c r="W2414" s="14">
        <v>2049.4299999999998</v>
      </c>
      <c r="X2414" s="11">
        <v>35</v>
      </c>
      <c r="Y2414" s="15" t="s">
        <v>3713</v>
      </c>
      <c r="Z2414" s="16">
        <v>1886.43</v>
      </c>
      <c r="AA2414" s="17">
        <v>1157.3</v>
      </c>
      <c r="AB2414" s="18" t="s">
        <v>3714</v>
      </c>
    </row>
    <row r="2415" spans="1:28" x14ac:dyDescent="0.45">
      <c r="A2415" s="2" t="s">
        <v>3298</v>
      </c>
      <c r="B2415" s="2" t="s">
        <v>7245</v>
      </c>
      <c r="C2415" s="2" t="s">
        <v>2797</v>
      </c>
      <c r="D2415" s="2" t="s">
        <v>3295</v>
      </c>
      <c r="E2415" s="2" t="s">
        <v>6</v>
      </c>
      <c r="F2415" s="3">
        <v>22</v>
      </c>
      <c r="G2415" s="3">
        <v>32</v>
      </c>
      <c r="H2415" s="2" t="s">
        <v>2773</v>
      </c>
      <c r="I2415" s="19">
        <v>177</v>
      </c>
      <c r="J2415" s="34">
        <f t="shared" si="148"/>
        <v>1.5398999999999998</v>
      </c>
      <c r="K2415" s="34">
        <f t="shared" si="149"/>
        <v>2.31</v>
      </c>
      <c r="L2415" s="34">
        <f t="shared" si="150"/>
        <v>9.24</v>
      </c>
      <c r="M2415" s="20" t="s">
        <v>5442</v>
      </c>
      <c r="N2415" s="20" t="s">
        <v>5254</v>
      </c>
      <c r="O2415" s="20" t="s">
        <v>5251</v>
      </c>
      <c r="P2415" s="20" t="s">
        <v>5255</v>
      </c>
      <c r="Q2415" s="21">
        <v>22</v>
      </c>
      <c r="R2415" s="21">
        <v>32</v>
      </c>
      <c r="S2415" s="21">
        <v>10</v>
      </c>
      <c r="T2415" s="22">
        <v>16.73</v>
      </c>
      <c r="U2415" s="13">
        <f t="shared" si="151"/>
        <v>7.49</v>
      </c>
      <c r="V2415" s="23">
        <v>2049.4299999999998</v>
      </c>
      <c r="W2415" s="23">
        <v>2049.4299999999998</v>
      </c>
      <c r="X2415" s="20">
        <v>35</v>
      </c>
      <c r="Y2415" s="24" t="s">
        <v>3713</v>
      </c>
      <c r="Z2415" s="16">
        <v>1872.43</v>
      </c>
      <c r="AA2415" s="17">
        <v>1057.9000000000001</v>
      </c>
      <c r="AB2415" s="25" t="s">
        <v>3714</v>
      </c>
    </row>
    <row r="2416" spans="1:28" x14ac:dyDescent="0.45">
      <c r="A2416" s="4" t="s">
        <v>3299</v>
      </c>
      <c r="B2416" s="4" t="s">
        <v>7246</v>
      </c>
      <c r="C2416" s="4" t="s">
        <v>2797</v>
      </c>
      <c r="D2416" s="4" t="s">
        <v>3295</v>
      </c>
      <c r="E2416" s="4" t="s">
        <v>6</v>
      </c>
      <c r="F2416" s="5">
        <v>25</v>
      </c>
      <c r="G2416" s="5">
        <v>35</v>
      </c>
      <c r="H2416" s="4" t="s">
        <v>2773</v>
      </c>
      <c r="I2416" s="10">
        <v>190</v>
      </c>
      <c r="J2416" s="34">
        <f t="shared" si="148"/>
        <v>1.6529999999999998</v>
      </c>
      <c r="K2416" s="34">
        <f t="shared" si="149"/>
        <v>2.48</v>
      </c>
      <c r="L2416" s="34">
        <f t="shared" si="150"/>
        <v>9.92</v>
      </c>
      <c r="M2416" s="11" t="s">
        <v>5443</v>
      </c>
      <c r="N2416" s="11" t="s">
        <v>5254</v>
      </c>
      <c r="O2416" s="11" t="s">
        <v>5251</v>
      </c>
      <c r="P2416" s="11" t="s">
        <v>5255</v>
      </c>
      <c r="Q2416" s="12">
        <v>25</v>
      </c>
      <c r="R2416" s="12">
        <v>35</v>
      </c>
      <c r="S2416" s="12">
        <v>7.3</v>
      </c>
      <c r="T2416" s="13">
        <v>5.34</v>
      </c>
      <c r="U2416" s="13">
        <f t="shared" si="151"/>
        <v>-4.58</v>
      </c>
      <c r="V2416" s="14">
        <v>654.15</v>
      </c>
      <c r="W2416" s="14">
        <v>654.15</v>
      </c>
      <c r="X2416" s="11">
        <v>256</v>
      </c>
      <c r="Y2416" s="15" t="s">
        <v>3713</v>
      </c>
      <c r="Z2416" s="16">
        <v>464.15</v>
      </c>
      <c r="AA2416" s="17">
        <v>244.3</v>
      </c>
      <c r="AB2416" s="18" t="s">
        <v>3714</v>
      </c>
    </row>
    <row r="2417" spans="1:28" x14ac:dyDescent="0.45">
      <c r="A2417" s="2" t="s">
        <v>3300</v>
      </c>
      <c r="B2417" s="2" t="s">
        <v>7247</v>
      </c>
      <c r="C2417" s="2" t="s">
        <v>2797</v>
      </c>
      <c r="D2417" s="2" t="s">
        <v>3295</v>
      </c>
      <c r="E2417" s="2" t="s">
        <v>6</v>
      </c>
      <c r="F2417" s="3">
        <v>28</v>
      </c>
      <c r="G2417" s="3">
        <v>34</v>
      </c>
      <c r="H2417" s="2" t="s">
        <v>3301</v>
      </c>
      <c r="I2417" s="19">
        <v>155</v>
      </c>
      <c r="J2417" s="34">
        <f t="shared" si="148"/>
        <v>1.3484999999999998</v>
      </c>
      <c r="K2417" s="34">
        <f t="shared" si="149"/>
        <v>2.02</v>
      </c>
      <c r="L2417" s="34">
        <f t="shared" si="150"/>
        <v>8.08</v>
      </c>
      <c r="M2417" s="20" t="s">
        <v>5264</v>
      </c>
      <c r="N2417" s="20" t="s">
        <v>5230</v>
      </c>
      <c r="O2417" s="20" t="s">
        <v>5231</v>
      </c>
      <c r="P2417" s="20" t="s">
        <v>5232</v>
      </c>
      <c r="Q2417" s="21">
        <v>28</v>
      </c>
      <c r="R2417" s="21">
        <v>35.5</v>
      </c>
      <c r="S2417" s="21">
        <v>3.2</v>
      </c>
      <c r="T2417" s="22">
        <v>5.75</v>
      </c>
      <c r="U2417" s="13">
        <f t="shared" si="151"/>
        <v>-2.33</v>
      </c>
      <c r="V2417" s="23">
        <v>704.38</v>
      </c>
      <c r="W2417" s="23">
        <v>704.38</v>
      </c>
      <c r="X2417" s="20">
        <v>341</v>
      </c>
      <c r="Y2417" s="24" t="s">
        <v>3713</v>
      </c>
      <c r="Z2417" s="16">
        <v>549.38</v>
      </c>
      <c r="AA2417" s="17">
        <v>354.4</v>
      </c>
      <c r="AB2417" s="25" t="s">
        <v>5444</v>
      </c>
    </row>
    <row r="2418" spans="1:28" x14ac:dyDescent="0.45">
      <c r="A2418" s="4" t="s">
        <v>3302</v>
      </c>
      <c r="B2418" s="4" t="s">
        <v>7248</v>
      </c>
      <c r="C2418" s="4" t="s">
        <v>2797</v>
      </c>
      <c r="D2418" s="4" t="s">
        <v>3295</v>
      </c>
      <c r="E2418" s="4" t="s">
        <v>6</v>
      </c>
      <c r="F2418" s="5">
        <v>28</v>
      </c>
      <c r="G2418" s="5">
        <v>35</v>
      </c>
      <c r="H2418" s="4" t="s">
        <v>3303</v>
      </c>
      <c r="I2418" s="10">
        <v>157</v>
      </c>
      <c r="J2418" s="34">
        <f t="shared" si="148"/>
        <v>1.3658999999999999</v>
      </c>
      <c r="K2418" s="34">
        <f t="shared" si="149"/>
        <v>2.0499999999999998</v>
      </c>
      <c r="L2418" s="34">
        <f t="shared" si="150"/>
        <v>8.1999999999999993</v>
      </c>
      <c r="M2418" s="11" t="s">
        <v>5264</v>
      </c>
      <c r="N2418" s="11" t="s">
        <v>5230</v>
      </c>
      <c r="O2418" s="11" t="s">
        <v>5231</v>
      </c>
      <c r="P2418" s="11" t="s">
        <v>5232</v>
      </c>
      <c r="Q2418" s="12">
        <v>28</v>
      </c>
      <c r="R2418" s="12">
        <v>35.5</v>
      </c>
      <c r="S2418" s="12">
        <v>3.2</v>
      </c>
      <c r="T2418" s="13">
        <v>5.75</v>
      </c>
      <c r="U2418" s="13">
        <f t="shared" si="151"/>
        <v>-2.4499999999999993</v>
      </c>
      <c r="V2418" s="14">
        <v>704.38</v>
      </c>
      <c r="W2418" s="14">
        <v>704.38</v>
      </c>
      <c r="X2418" s="11">
        <v>341</v>
      </c>
      <c r="Y2418" s="15" t="s">
        <v>3713</v>
      </c>
      <c r="Z2418" s="16">
        <v>547.38</v>
      </c>
      <c r="AA2418" s="17">
        <v>348.6</v>
      </c>
      <c r="AB2418" s="18" t="s">
        <v>3813</v>
      </c>
    </row>
    <row r="2419" spans="1:28" x14ac:dyDescent="0.45">
      <c r="A2419" s="2" t="s">
        <v>3304</v>
      </c>
      <c r="B2419" s="2" t="s">
        <v>7249</v>
      </c>
      <c r="C2419" s="2" t="s">
        <v>2797</v>
      </c>
      <c r="D2419" s="2" t="s">
        <v>3295</v>
      </c>
      <c r="E2419" s="2" t="s">
        <v>6</v>
      </c>
      <c r="F2419" s="3">
        <v>28</v>
      </c>
      <c r="G2419" s="3">
        <v>38</v>
      </c>
      <c r="H2419" s="2" t="s">
        <v>2773</v>
      </c>
      <c r="I2419" s="19">
        <v>202</v>
      </c>
      <c r="J2419" s="34">
        <f t="shared" si="148"/>
        <v>1.7573999999999999</v>
      </c>
      <c r="K2419" s="34">
        <f t="shared" si="149"/>
        <v>2.64</v>
      </c>
      <c r="L2419" s="34">
        <f t="shared" si="150"/>
        <v>10.56</v>
      </c>
      <c r="M2419" s="20" t="s">
        <v>5445</v>
      </c>
      <c r="N2419" s="20" t="s">
        <v>5254</v>
      </c>
      <c r="O2419" s="20" t="s">
        <v>5251</v>
      </c>
      <c r="P2419" s="20" t="s">
        <v>5255</v>
      </c>
      <c r="Q2419" s="21">
        <v>28</v>
      </c>
      <c r="R2419" s="21">
        <v>38</v>
      </c>
      <c r="S2419" s="21">
        <v>7.3</v>
      </c>
      <c r="T2419" s="22">
        <v>3.5</v>
      </c>
      <c r="U2419" s="13">
        <f t="shared" si="151"/>
        <v>-7.0600000000000005</v>
      </c>
      <c r="V2419" s="23">
        <v>428.75</v>
      </c>
      <c r="W2419" s="23">
        <v>428.75</v>
      </c>
      <c r="X2419" s="20">
        <v>250</v>
      </c>
      <c r="Y2419" s="24" t="s">
        <v>3713</v>
      </c>
      <c r="Z2419" s="16">
        <v>226.75</v>
      </c>
      <c r="AA2419" s="17">
        <v>112.3</v>
      </c>
      <c r="AB2419" s="25" t="s">
        <v>3714</v>
      </c>
    </row>
    <row r="2420" spans="1:28" x14ac:dyDescent="0.45">
      <c r="A2420" s="4" t="s">
        <v>3305</v>
      </c>
      <c r="B2420" s="4" t="s">
        <v>7250</v>
      </c>
      <c r="C2420" s="4" t="s">
        <v>2797</v>
      </c>
      <c r="D2420" s="4" t="s">
        <v>3295</v>
      </c>
      <c r="E2420" s="4" t="s">
        <v>6</v>
      </c>
      <c r="F2420" s="5">
        <v>30</v>
      </c>
      <c r="G2420" s="5">
        <v>40</v>
      </c>
      <c r="H2420" s="4" t="s">
        <v>417</v>
      </c>
      <c r="I2420" s="10">
        <v>212</v>
      </c>
      <c r="J2420" s="34">
        <f t="shared" si="148"/>
        <v>1.8443999999999998</v>
      </c>
      <c r="K2420" s="34">
        <f t="shared" si="149"/>
        <v>2.77</v>
      </c>
      <c r="L2420" s="34">
        <f t="shared" si="150"/>
        <v>11.08</v>
      </c>
      <c r="M2420" s="11" t="s">
        <v>5446</v>
      </c>
      <c r="N2420" s="11" t="s">
        <v>5254</v>
      </c>
      <c r="O2420" s="11" t="s">
        <v>5251</v>
      </c>
      <c r="P2420" s="11" t="s">
        <v>5255</v>
      </c>
      <c r="Q2420" s="12">
        <v>30</v>
      </c>
      <c r="R2420" s="12">
        <v>40</v>
      </c>
      <c r="S2420" s="12">
        <v>6</v>
      </c>
      <c r="T2420" s="13">
        <v>16.27</v>
      </c>
      <c r="U2420" s="13">
        <f t="shared" si="151"/>
        <v>5.1899999999999995</v>
      </c>
      <c r="V2420" s="14">
        <v>1993.08</v>
      </c>
      <c r="W2420" s="14">
        <v>1993.08</v>
      </c>
      <c r="X2420" s="11">
        <v>129</v>
      </c>
      <c r="Y2420" s="15" t="s">
        <v>3713</v>
      </c>
      <c r="Z2420" s="16">
        <v>1781.08</v>
      </c>
      <c r="AA2420" s="17">
        <v>840.1</v>
      </c>
      <c r="AB2420" s="18" t="s">
        <v>3714</v>
      </c>
    </row>
    <row r="2421" spans="1:28" x14ac:dyDescent="0.45">
      <c r="A2421" s="2" t="s">
        <v>3306</v>
      </c>
      <c r="B2421" s="2" t="s">
        <v>7251</v>
      </c>
      <c r="C2421" s="2" t="s">
        <v>2797</v>
      </c>
      <c r="D2421" s="2" t="s">
        <v>3295</v>
      </c>
      <c r="E2421" s="2" t="s">
        <v>6</v>
      </c>
      <c r="F2421" s="3">
        <v>32</v>
      </c>
      <c r="G2421" s="3">
        <v>42</v>
      </c>
      <c r="H2421" s="2" t="s">
        <v>3307</v>
      </c>
      <c r="I2421" s="19">
        <v>220</v>
      </c>
      <c r="J2421" s="34">
        <f t="shared" si="148"/>
        <v>1.9139999999999999</v>
      </c>
      <c r="K2421" s="34">
        <f t="shared" si="149"/>
        <v>2.87</v>
      </c>
      <c r="L2421" s="34">
        <f t="shared" si="150"/>
        <v>11.48</v>
      </c>
      <c r="M2421" s="20" t="s">
        <v>5447</v>
      </c>
      <c r="N2421" s="20" t="s">
        <v>5254</v>
      </c>
      <c r="O2421" s="20" t="s">
        <v>5251</v>
      </c>
      <c r="P2421" s="20" t="s">
        <v>5255</v>
      </c>
      <c r="Q2421" s="21">
        <v>32</v>
      </c>
      <c r="R2421" s="21">
        <v>42</v>
      </c>
      <c r="S2421" s="21">
        <v>5.7</v>
      </c>
      <c r="T2421" s="22">
        <v>14.51</v>
      </c>
      <c r="U2421" s="13">
        <f t="shared" si="151"/>
        <v>3.0299999999999994</v>
      </c>
      <c r="V2421" s="23">
        <v>1777.48</v>
      </c>
      <c r="W2421" s="23">
        <v>1777.48</v>
      </c>
      <c r="X2421" s="20">
        <v>7</v>
      </c>
      <c r="Y2421" s="24" t="s">
        <v>3713</v>
      </c>
      <c r="Z2421" s="16">
        <v>1557.48</v>
      </c>
      <c r="AA2421" s="17">
        <v>707.9</v>
      </c>
      <c r="AB2421" s="25" t="s">
        <v>3714</v>
      </c>
    </row>
    <row r="2422" spans="1:28" x14ac:dyDescent="0.45">
      <c r="A2422" s="4" t="s">
        <v>3308</v>
      </c>
      <c r="B2422" s="4" t="s">
        <v>7252</v>
      </c>
      <c r="C2422" s="4" t="s">
        <v>2797</v>
      </c>
      <c r="D2422" s="4" t="s">
        <v>3295</v>
      </c>
      <c r="E2422" s="4" t="s">
        <v>6</v>
      </c>
      <c r="F2422" s="5">
        <v>34</v>
      </c>
      <c r="G2422" s="5">
        <v>44</v>
      </c>
      <c r="H2422" s="4" t="s">
        <v>2773</v>
      </c>
      <c r="I2422" s="10">
        <v>229</v>
      </c>
      <c r="J2422" s="34">
        <f t="shared" si="148"/>
        <v>1.9923</v>
      </c>
      <c r="K2422" s="34">
        <f t="shared" si="149"/>
        <v>2.99</v>
      </c>
      <c r="L2422" s="34">
        <f t="shared" si="150"/>
        <v>11.96</v>
      </c>
      <c r="M2422" s="11" t="s">
        <v>5448</v>
      </c>
      <c r="N2422" s="11" t="s">
        <v>5269</v>
      </c>
      <c r="O2422" s="11" t="s">
        <v>5270</v>
      </c>
      <c r="P2422" s="11" t="s">
        <v>5271</v>
      </c>
      <c r="Q2422" s="12">
        <v>35</v>
      </c>
      <c r="R2422" s="12">
        <v>44</v>
      </c>
      <c r="S2422" s="12">
        <v>7</v>
      </c>
      <c r="T2422" s="13">
        <v>6.42</v>
      </c>
      <c r="U2422" s="13">
        <f t="shared" si="151"/>
        <v>-5.5400000000000009</v>
      </c>
      <c r="V2422" s="14">
        <v>786.45</v>
      </c>
      <c r="W2422" s="14">
        <v>786.45</v>
      </c>
      <c r="X2422" s="11">
        <v>2</v>
      </c>
      <c r="Y2422" s="15" t="s">
        <v>3713</v>
      </c>
      <c r="Z2422" s="16">
        <v>557.45000000000005</v>
      </c>
      <c r="AA2422" s="17">
        <v>243.4</v>
      </c>
      <c r="AB2422" s="18" t="s">
        <v>3819</v>
      </c>
    </row>
    <row r="2423" spans="1:28" x14ac:dyDescent="0.45">
      <c r="A2423" s="2" t="s">
        <v>3309</v>
      </c>
      <c r="B2423" s="2" t="s">
        <v>7253</v>
      </c>
      <c r="C2423" s="2" t="s">
        <v>2797</v>
      </c>
      <c r="D2423" s="2" t="s">
        <v>3295</v>
      </c>
      <c r="E2423" s="2" t="s">
        <v>6</v>
      </c>
      <c r="F2423" s="3">
        <v>35</v>
      </c>
      <c r="G2423" s="3">
        <v>45</v>
      </c>
      <c r="H2423" s="2" t="s">
        <v>2773</v>
      </c>
      <c r="I2423" s="19">
        <v>234</v>
      </c>
      <c r="J2423" s="34">
        <f t="shared" si="148"/>
        <v>2.0358000000000001</v>
      </c>
      <c r="K2423" s="34">
        <f t="shared" si="149"/>
        <v>3.05</v>
      </c>
      <c r="L2423" s="34">
        <f t="shared" si="150"/>
        <v>12.2</v>
      </c>
      <c r="M2423" s="20" t="s">
        <v>5449</v>
      </c>
      <c r="N2423" s="20" t="s">
        <v>5254</v>
      </c>
      <c r="O2423" s="20" t="s">
        <v>5251</v>
      </c>
      <c r="P2423" s="20" t="s">
        <v>5255</v>
      </c>
      <c r="Q2423" s="21">
        <v>35</v>
      </c>
      <c r="R2423" s="21">
        <v>45</v>
      </c>
      <c r="S2423" s="21">
        <v>6</v>
      </c>
      <c r="T2423" s="22">
        <v>12.14</v>
      </c>
      <c r="U2423" s="13">
        <f t="shared" si="151"/>
        <v>-5.9999999999998721E-2</v>
      </c>
      <c r="V2423" s="23">
        <v>1487.15</v>
      </c>
      <c r="W2423" s="23">
        <v>1487.15</v>
      </c>
      <c r="X2423" s="20">
        <v>252</v>
      </c>
      <c r="Y2423" s="24" t="s">
        <v>3713</v>
      </c>
      <c r="Z2423" s="16">
        <v>1253.1500000000001</v>
      </c>
      <c r="AA2423" s="17">
        <v>535.5</v>
      </c>
      <c r="AB2423" s="25" t="s">
        <v>3714</v>
      </c>
    </row>
    <row r="2424" spans="1:28" x14ac:dyDescent="0.45">
      <c r="A2424" s="4" t="s">
        <v>3310</v>
      </c>
      <c r="B2424" s="4" t="s">
        <v>7254</v>
      </c>
      <c r="C2424" s="4" t="s">
        <v>2797</v>
      </c>
      <c r="D2424" s="4" t="s">
        <v>3295</v>
      </c>
      <c r="E2424" s="4" t="s">
        <v>6</v>
      </c>
      <c r="F2424" s="5">
        <v>36</v>
      </c>
      <c r="G2424" s="5">
        <v>44</v>
      </c>
      <c r="H2424" s="4" t="s">
        <v>2773</v>
      </c>
      <c r="I2424" s="10">
        <v>212</v>
      </c>
      <c r="J2424" s="34">
        <f t="shared" si="148"/>
        <v>1.8443999999999998</v>
      </c>
      <c r="K2424" s="34">
        <f t="shared" si="149"/>
        <v>2.77</v>
      </c>
      <c r="L2424" s="34">
        <f t="shared" si="150"/>
        <v>11.08</v>
      </c>
      <c r="M2424" s="11" t="s">
        <v>5450</v>
      </c>
      <c r="N2424" s="11" t="s">
        <v>5254</v>
      </c>
      <c r="O2424" s="11" t="s">
        <v>5251</v>
      </c>
      <c r="P2424" s="11" t="s">
        <v>5255</v>
      </c>
      <c r="Q2424" s="12">
        <v>36</v>
      </c>
      <c r="R2424" s="12">
        <v>44</v>
      </c>
      <c r="S2424" s="12">
        <v>7.5</v>
      </c>
      <c r="T2424" s="13">
        <v>16.38</v>
      </c>
      <c r="U2424" s="13">
        <f t="shared" si="151"/>
        <v>5.2999999999999989</v>
      </c>
      <c r="V2424" s="14">
        <v>2006.55</v>
      </c>
      <c r="W2424" s="14">
        <v>2006.55</v>
      </c>
      <c r="X2424" s="11">
        <v>19</v>
      </c>
      <c r="Y2424" s="15" t="s">
        <v>3713</v>
      </c>
      <c r="Z2424" s="16">
        <v>1794.55</v>
      </c>
      <c r="AA2424" s="17">
        <v>846.5</v>
      </c>
      <c r="AB2424" s="18" t="s">
        <v>3714</v>
      </c>
    </row>
    <row r="2425" spans="1:28" x14ac:dyDescent="0.45">
      <c r="A2425" s="2" t="s">
        <v>3311</v>
      </c>
      <c r="B2425" s="2" t="s">
        <v>7255</v>
      </c>
      <c r="C2425" s="2" t="s">
        <v>2797</v>
      </c>
      <c r="D2425" s="2" t="s">
        <v>3295</v>
      </c>
      <c r="E2425" s="2" t="s">
        <v>6</v>
      </c>
      <c r="F2425" s="3">
        <v>36</v>
      </c>
      <c r="G2425" s="3">
        <v>46</v>
      </c>
      <c r="H2425" s="2" t="s">
        <v>169</v>
      </c>
      <c r="I2425" s="19">
        <v>217</v>
      </c>
      <c r="J2425" s="34">
        <f t="shared" si="148"/>
        <v>1.8878999999999999</v>
      </c>
      <c r="K2425" s="34">
        <f t="shared" si="149"/>
        <v>2.83</v>
      </c>
      <c r="L2425" s="34">
        <f t="shared" si="150"/>
        <v>11.32</v>
      </c>
      <c r="M2425" s="20" t="s">
        <v>5451</v>
      </c>
      <c r="N2425" s="20" t="s">
        <v>5254</v>
      </c>
      <c r="O2425" s="20" t="s">
        <v>5251</v>
      </c>
      <c r="P2425" s="20" t="s">
        <v>5255</v>
      </c>
      <c r="Q2425" s="21">
        <v>36</v>
      </c>
      <c r="R2425" s="21">
        <v>46</v>
      </c>
      <c r="S2425" s="21">
        <v>5.7</v>
      </c>
      <c r="T2425" s="22">
        <v>13.24</v>
      </c>
      <c r="U2425" s="13">
        <f t="shared" si="151"/>
        <v>1.92</v>
      </c>
      <c r="V2425" s="23">
        <v>1621.9</v>
      </c>
      <c r="W2425" s="23">
        <v>1621.9</v>
      </c>
      <c r="X2425" s="20">
        <v>56</v>
      </c>
      <c r="Y2425" s="24" t="s">
        <v>3713</v>
      </c>
      <c r="Z2425" s="16">
        <v>1404.9</v>
      </c>
      <c r="AA2425" s="17">
        <v>647.4</v>
      </c>
      <c r="AB2425" s="25" t="s">
        <v>3714</v>
      </c>
    </row>
    <row r="2426" spans="1:28" x14ac:dyDescent="0.45">
      <c r="A2426" s="4" t="s">
        <v>3312</v>
      </c>
      <c r="B2426" s="4" t="s">
        <v>7256</v>
      </c>
      <c r="C2426" s="4" t="s">
        <v>2797</v>
      </c>
      <c r="D2426" s="4" t="s">
        <v>3295</v>
      </c>
      <c r="E2426" s="4" t="s">
        <v>6</v>
      </c>
      <c r="F2426" s="5">
        <v>36</v>
      </c>
      <c r="G2426" s="5">
        <v>46</v>
      </c>
      <c r="H2426" s="4" t="s">
        <v>2773</v>
      </c>
      <c r="I2426" s="10">
        <v>237</v>
      </c>
      <c r="J2426" s="34">
        <f t="shared" si="148"/>
        <v>2.0619000000000001</v>
      </c>
      <c r="K2426" s="34">
        <f t="shared" si="149"/>
        <v>3.09</v>
      </c>
      <c r="L2426" s="34">
        <f t="shared" si="150"/>
        <v>12.36</v>
      </c>
      <c r="M2426" s="11" t="s">
        <v>5451</v>
      </c>
      <c r="N2426" s="11" t="s">
        <v>5254</v>
      </c>
      <c r="O2426" s="11" t="s">
        <v>5251</v>
      </c>
      <c r="P2426" s="11" t="s">
        <v>5255</v>
      </c>
      <c r="Q2426" s="12">
        <v>36</v>
      </c>
      <c r="R2426" s="12">
        <v>46</v>
      </c>
      <c r="S2426" s="12">
        <v>5.7</v>
      </c>
      <c r="T2426" s="13">
        <v>13.24</v>
      </c>
      <c r="U2426" s="13">
        <f t="shared" si="151"/>
        <v>0.88000000000000078</v>
      </c>
      <c r="V2426" s="14">
        <v>1621.9</v>
      </c>
      <c r="W2426" s="14">
        <v>1621.9</v>
      </c>
      <c r="X2426" s="11">
        <v>56</v>
      </c>
      <c r="Y2426" s="15" t="s">
        <v>3713</v>
      </c>
      <c r="Z2426" s="16">
        <v>1384.9</v>
      </c>
      <c r="AA2426" s="17">
        <v>584.29999999999995</v>
      </c>
      <c r="AB2426" s="18" t="s">
        <v>3714</v>
      </c>
    </row>
    <row r="2427" spans="1:28" x14ac:dyDescent="0.45">
      <c r="A2427" s="2" t="s">
        <v>3313</v>
      </c>
      <c r="B2427" s="2" t="s">
        <v>7257</v>
      </c>
      <c r="C2427" s="2" t="s">
        <v>2797</v>
      </c>
      <c r="D2427" s="2" t="s">
        <v>3295</v>
      </c>
      <c r="E2427" s="2" t="s">
        <v>6</v>
      </c>
      <c r="F2427" s="3">
        <v>40</v>
      </c>
      <c r="G2427" s="3">
        <v>50</v>
      </c>
      <c r="H2427" s="2" t="s">
        <v>3303</v>
      </c>
      <c r="I2427" s="19">
        <v>229</v>
      </c>
      <c r="J2427" s="34">
        <f t="shared" si="148"/>
        <v>1.9923</v>
      </c>
      <c r="K2427" s="34">
        <f t="shared" si="149"/>
        <v>2.99</v>
      </c>
      <c r="L2427" s="34">
        <f t="shared" si="150"/>
        <v>11.96</v>
      </c>
      <c r="M2427" s="20" t="s">
        <v>5452</v>
      </c>
      <c r="N2427" s="20" t="s">
        <v>5254</v>
      </c>
      <c r="O2427" s="20" t="s">
        <v>5251</v>
      </c>
      <c r="P2427" s="20" t="s">
        <v>5255</v>
      </c>
      <c r="Q2427" s="21">
        <v>40</v>
      </c>
      <c r="R2427" s="21">
        <v>50</v>
      </c>
      <c r="S2427" s="21">
        <v>6</v>
      </c>
      <c r="T2427" s="22">
        <v>16.61</v>
      </c>
      <c r="U2427" s="13">
        <f t="shared" si="151"/>
        <v>4.6499999999999986</v>
      </c>
      <c r="V2427" s="23">
        <v>2034.72</v>
      </c>
      <c r="W2427" s="23">
        <v>2034.72</v>
      </c>
      <c r="X2427" s="20">
        <v>88</v>
      </c>
      <c r="Y2427" s="24" t="s">
        <v>3713</v>
      </c>
      <c r="Z2427" s="16">
        <v>1805.72</v>
      </c>
      <c r="AA2427" s="17">
        <v>788.5</v>
      </c>
      <c r="AB2427" s="25" t="s">
        <v>3714</v>
      </c>
    </row>
    <row r="2428" spans="1:28" x14ac:dyDescent="0.45">
      <c r="A2428" s="4" t="s">
        <v>3314</v>
      </c>
      <c r="B2428" s="4" t="s">
        <v>7258</v>
      </c>
      <c r="C2428" s="4" t="s">
        <v>2797</v>
      </c>
      <c r="D2428" s="4" t="s">
        <v>3295</v>
      </c>
      <c r="E2428" s="4" t="s">
        <v>6</v>
      </c>
      <c r="F2428" s="5">
        <v>40</v>
      </c>
      <c r="G2428" s="5">
        <v>50</v>
      </c>
      <c r="H2428" s="4" t="s">
        <v>3301</v>
      </c>
      <c r="I2428" s="10">
        <v>242</v>
      </c>
      <c r="J2428" s="34">
        <f t="shared" si="148"/>
        <v>2.1053999999999999</v>
      </c>
      <c r="K2428" s="34">
        <f t="shared" si="149"/>
        <v>3.16</v>
      </c>
      <c r="L2428" s="34">
        <f t="shared" si="150"/>
        <v>12.64</v>
      </c>
      <c r="M2428" s="11" t="s">
        <v>5452</v>
      </c>
      <c r="N2428" s="11" t="s">
        <v>5254</v>
      </c>
      <c r="O2428" s="11" t="s">
        <v>5251</v>
      </c>
      <c r="P2428" s="11" t="s">
        <v>5255</v>
      </c>
      <c r="Q2428" s="12">
        <v>40</v>
      </c>
      <c r="R2428" s="12">
        <v>50</v>
      </c>
      <c r="S2428" s="12">
        <v>6</v>
      </c>
      <c r="T2428" s="13">
        <v>16.61</v>
      </c>
      <c r="U2428" s="13">
        <f t="shared" si="151"/>
        <v>3.9699999999999989</v>
      </c>
      <c r="V2428" s="14">
        <v>2034.72</v>
      </c>
      <c r="W2428" s="14">
        <v>2034.72</v>
      </c>
      <c r="X2428" s="11">
        <v>88</v>
      </c>
      <c r="Y2428" s="15" t="s">
        <v>3713</v>
      </c>
      <c r="Z2428" s="16">
        <v>1792.72</v>
      </c>
      <c r="AA2428" s="17">
        <v>740.8</v>
      </c>
      <c r="AB2428" s="18" t="s">
        <v>3714</v>
      </c>
    </row>
    <row r="2429" spans="1:28" x14ac:dyDescent="0.45">
      <c r="A2429" s="2" t="s">
        <v>3315</v>
      </c>
      <c r="B2429" s="2" t="s">
        <v>7259</v>
      </c>
      <c r="C2429" s="2" t="s">
        <v>2797</v>
      </c>
      <c r="D2429" s="2" t="s">
        <v>3295</v>
      </c>
      <c r="E2429" s="2" t="s">
        <v>6</v>
      </c>
      <c r="F2429" s="3">
        <v>40</v>
      </c>
      <c r="G2429" s="3">
        <v>50</v>
      </c>
      <c r="H2429" s="2" t="s">
        <v>2773</v>
      </c>
      <c r="I2429" s="19">
        <v>256</v>
      </c>
      <c r="J2429" s="34">
        <f t="shared" si="148"/>
        <v>2.2271999999999998</v>
      </c>
      <c r="K2429" s="34">
        <f t="shared" si="149"/>
        <v>3.34</v>
      </c>
      <c r="L2429" s="34">
        <f t="shared" si="150"/>
        <v>13.36</v>
      </c>
      <c r="M2429" s="20" t="s">
        <v>5452</v>
      </c>
      <c r="N2429" s="20" t="s">
        <v>5254</v>
      </c>
      <c r="O2429" s="20" t="s">
        <v>5251</v>
      </c>
      <c r="P2429" s="20" t="s">
        <v>5255</v>
      </c>
      <c r="Q2429" s="21">
        <v>40</v>
      </c>
      <c r="R2429" s="21">
        <v>50</v>
      </c>
      <c r="S2429" s="21">
        <v>6</v>
      </c>
      <c r="T2429" s="22">
        <v>16.61</v>
      </c>
      <c r="U2429" s="13">
        <f t="shared" si="151"/>
        <v>3.25</v>
      </c>
      <c r="V2429" s="23">
        <v>2034.72</v>
      </c>
      <c r="W2429" s="23">
        <v>2034.72</v>
      </c>
      <c r="X2429" s="20">
        <v>88</v>
      </c>
      <c r="Y2429" s="24" t="s">
        <v>3713</v>
      </c>
      <c r="Z2429" s="16">
        <v>1778.72</v>
      </c>
      <c r="AA2429" s="17">
        <v>694.8</v>
      </c>
      <c r="AB2429" s="25" t="s">
        <v>3714</v>
      </c>
    </row>
    <row r="2430" spans="1:28" x14ac:dyDescent="0.45">
      <c r="A2430" s="4" t="s">
        <v>3316</v>
      </c>
      <c r="B2430" s="4" t="s">
        <v>7260</v>
      </c>
      <c r="C2430" s="4" t="s">
        <v>2797</v>
      </c>
      <c r="D2430" s="4" t="s">
        <v>3295</v>
      </c>
      <c r="E2430" s="4" t="s">
        <v>6</v>
      </c>
      <c r="F2430" s="5">
        <v>40</v>
      </c>
      <c r="G2430" s="5">
        <v>50</v>
      </c>
      <c r="H2430" s="4" t="s">
        <v>3317</v>
      </c>
      <c r="I2430" s="10">
        <v>269</v>
      </c>
      <c r="J2430" s="34">
        <f t="shared" si="148"/>
        <v>2.3403</v>
      </c>
      <c r="K2430" s="34">
        <f t="shared" si="149"/>
        <v>3.51</v>
      </c>
      <c r="L2430" s="34">
        <f t="shared" si="150"/>
        <v>14.04</v>
      </c>
      <c r="M2430" s="11" t="s">
        <v>5452</v>
      </c>
      <c r="N2430" s="11" t="s">
        <v>5254</v>
      </c>
      <c r="O2430" s="11" t="s">
        <v>5251</v>
      </c>
      <c r="P2430" s="11" t="s">
        <v>5255</v>
      </c>
      <c r="Q2430" s="12">
        <v>40</v>
      </c>
      <c r="R2430" s="12">
        <v>50</v>
      </c>
      <c r="S2430" s="12">
        <v>6</v>
      </c>
      <c r="T2430" s="13">
        <v>16.61</v>
      </c>
      <c r="U2430" s="13">
        <f t="shared" si="151"/>
        <v>2.5700000000000003</v>
      </c>
      <c r="V2430" s="14">
        <v>2034.72</v>
      </c>
      <c r="W2430" s="14">
        <v>2034.72</v>
      </c>
      <c r="X2430" s="11">
        <v>88</v>
      </c>
      <c r="Y2430" s="15" t="s">
        <v>3713</v>
      </c>
      <c r="Z2430" s="16">
        <v>1765.72</v>
      </c>
      <c r="AA2430" s="17">
        <v>656.4</v>
      </c>
      <c r="AB2430" s="18" t="s">
        <v>3714</v>
      </c>
    </row>
    <row r="2431" spans="1:28" x14ac:dyDescent="0.45">
      <c r="A2431" s="2" t="s">
        <v>3318</v>
      </c>
      <c r="B2431" s="2" t="s">
        <v>7261</v>
      </c>
      <c r="C2431" s="2" t="s">
        <v>2797</v>
      </c>
      <c r="D2431" s="2" t="s">
        <v>3295</v>
      </c>
      <c r="E2431" s="2" t="s">
        <v>6</v>
      </c>
      <c r="F2431" s="3">
        <v>45</v>
      </c>
      <c r="G2431" s="3">
        <v>55</v>
      </c>
      <c r="H2431" s="2" t="s">
        <v>416</v>
      </c>
      <c r="I2431" s="19">
        <v>251</v>
      </c>
      <c r="J2431" s="34">
        <f t="shared" si="148"/>
        <v>2.1837</v>
      </c>
      <c r="K2431" s="34">
        <f t="shared" si="149"/>
        <v>3.28</v>
      </c>
      <c r="L2431" s="34">
        <f t="shared" si="150"/>
        <v>13.12</v>
      </c>
      <c r="M2431" s="20" t="s">
        <v>5453</v>
      </c>
      <c r="N2431" s="20" t="s">
        <v>5254</v>
      </c>
      <c r="O2431" s="20" t="s">
        <v>5251</v>
      </c>
      <c r="P2431" s="20" t="s">
        <v>5255</v>
      </c>
      <c r="Q2431" s="21">
        <v>45</v>
      </c>
      <c r="R2431" s="21">
        <v>55</v>
      </c>
      <c r="S2431" s="21">
        <v>5.7</v>
      </c>
      <c r="T2431" s="22">
        <v>12.61</v>
      </c>
      <c r="U2431" s="13">
        <f t="shared" si="151"/>
        <v>-0.50999999999999979</v>
      </c>
      <c r="V2431" s="23">
        <v>1544.72</v>
      </c>
      <c r="W2431" s="23">
        <v>1544.72</v>
      </c>
      <c r="X2431" s="20">
        <v>41</v>
      </c>
      <c r="Y2431" s="24" t="s">
        <v>3713</v>
      </c>
      <c r="Z2431" s="16">
        <v>1293.72</v>
      </c>
      <c r="AA2431" s="17">
        <v>515.4</v>
      </c>
      <c r="AB2431" s="25" t="s">
        <v>3714</v>
      </c>
    </row>
    <row r="2432" spans="1:28" x14ac:dyDescent="0.45">
      <c r="A2432" s="4" t="s">
        <v>3319</v>
      </c>
      <c r="B2432" s="4" t="s">
        <v>7262</v>
      </c>
      <c r="C2432" s="4" t="s">
        <v>2797</v>
      </c>
      <c r="D2432" s="4" t="s">
        <v>3295</v>
      </c>
      <c r="E2432" s="4" t="s">
        <v>6</v>
      </c>
      <c r="F2432" s="5">
        <v>45</v>
      </c>
      <c r="G2432" s="5">
        <v>55</v>
      </c>
      <c r="H2432" s="4" t="s">
        <v>3320</v>
      </c>
      <c r="I2432" s="10">
        <v>269</v>
      </c>
      <c r="J2432" s="34">
        <f t="shared" si="148"/>
        <v>2.3403</v>
      </c>
      <c r="K2432" s="34">
        <f t="shared" si="149"/>
        <v>3.51</v>
      </c>
      <c r="L2432" s="34">
        <f t="shared" si="150"/>
        <v>14.04</v>
      </c>
      <c r="M2432" s="11" t="s">
        <v>5453</v>
      </c>
      <c r="N2432" s="11" t="s">
        <v>5254</v>
      </c>
      <c r="O2432" s="11" t="s">
        <v>5251</v>
      </c>
      <c r="P2432" s="11" t="s">
        <v>5255</v>
      </c>
      <c r="Q2432" s="12">
        <v>45</v>
      </c>
      <c r="R2432" s="12">
        <v>55</v>
      </c>
      <c r="S2432" s="12">
        <v>5.7</v>
      </c>
      <c r="T2432" s="13">
        <v>12.61</v>
      </c>
      <c r="U2432" s="13">
        <f t="shared" si="151"/>
        <v>-1.4299999999999997</v>
      </c>
      <c r="V2432" s="14">
        <v>1544.72</v>
      </c>
      <c r="W2432" s="14">
        <v>1544.72</v>
      </c>
      <c r="X2432" s="11">
        <v>41</v>
      </c>
      <c r="Y2432" s="15" t="s">
        <v>3713</v>
      </c>
      <c r="Z2432" s="16">
        <v>1275.72</v>
      </c>
      <c r="AA2432" s="17">
        <v>474.2</v>
      </c>
      <c r="AB2432" s="18" t="s">
        <v>3714</v>
      </c>
    </row>
    <row r="2433" spans="1:28" x14ac:dyDescent="0.45">
      <c r="A2433" s="2" t="s">
        <v>3321</v>
      </c>
      <c r="B2433" s="2" t="s">
        <v>7263</v>
      </c>
      <c r="C2433" s="2" t="s">
        <v>2797</v>
      </c>
      <c r="D2433" s="2" t="s">
        <v>3295</v>
      </c>
      <c r="E2433" s="2" t="s">
        <v>6</v>
      </c>
      <c r="F2433" s="3">
        <v>45</v>
      </c>
      <c r="G2433" s="3">
        <v>55</v>
      </c>
      <c r="H2433" s="2" t="s">
        <v>417</v>
      </c>
      <c r="I2433" s="19">
        <v>276</v>
      </c>
      <c r="J2433" s="34">
        <f t="shared" si="148"/>
        <v>2.4011999999999998</v>
      </c>
      <c r="K2433" s="34">
        <f t="shared" si="149"/>
        <v>3.6</v>
      </c>
      <c r="L2433" s="34">
        <f t="shared" si="150"/>
        <v>14.4</v>
      </c>
      <c r="M2433" s="20" t="s">
        <v>5453</v>
      </c>
      <c r="N2433" s="20" t="s">
        <v>5254</v>
      </c>
      <c r="O2433" s="20" t="s">
        <v>5251</v>
      </c>
      <c r="P2433" s="20" t="s">
        <v>5255</v>
      </c>
      <c r="Q2433" s="21">
        <v>45</v>
      </c>
      <c r="R2433" s="21">
        <v>55</v>
      </c>
      <c r="S2433" s="21">
        <v>5.7</v>
      </c>
      <c r="T2433" s="22">
        <v>12.61</v>
      </c>
      <c r="U2433" s="13">
        <f t="shared" si="151"/>
        <v>-1.7900000000000009</v>
      </c>
      <c r="V2433" s="23">
        <v>1544.72</v>
      </c>
      <c r="W2433" s="23">
        <v>1544.72</v>
      </c>
      <c r="X2433" s="20">
        <v>41</v>
      </c>
      <c r="Y2433" s="24" t="s">
        <v>3713</v>
      </c>
      <c r="Z2433" s="16">
        <v>1268.72</v>
      </c>
      <c r="AA2433" s="17">
        <v>459.7</v>
      </c>
      <c r="AB2433" s="25" t="s">
        <v>3714</v>
      </c>
    </row>
    <row r="2434" spans="1:28" x14ac:dyDescent="0.45">
      <c r="A2434" s="4" t="s">
        <v>3322</v>
      </c>
      <c r="B2434" s="4" t="s">
        <v>7264</v>
      </c>
      <c r="C2434" s="4" t="s">
        <v>2797</v>
      </c>
      <c r="D2434" s="4" t="s">
        <v>3295</v>
      </c>
      <c r="E2434" s="4" t="s">
        <v>6</v>
      </c>
      <c r="F2434" s="5">
        <v>50</v>
      </c>
      <c r="G2434" s="5">
        <v>60</v>
      </c>
      <c r="H2434" s="4" t="s">
        <v>417</v>
      </c>
      <c r="I2434" s="10">
        <v>298</v>
      </c>
      <c r="J2434" s="34">
        <f t="shared" si="148"/>
        <v>2.5926</v>
      </c>
      <c r="K2434" s="34">
        <f t="shared" si="149"/>
        <v>3.89</v>
      </c>
      <c r="L2434" s="34">
        <f t="shared" si="150"/>
        <v>15.56</v>
      </c>
      <c r="M2434" s="11" t="s">
        <v>5454</v>
      </c>
      <c r="N2434" s="11" t="s">
        <v>5254</v>
      </c>
      <c r="O2434" s="11" t="s">
        <v>5251</v>
      </c>
      <c r="P2434" s="11" t="s">
        <v>5255</v>
      </c>
      <c r="Q2434" s="12">
        <v>50</v>
      </c>
      <c r="R2434" s="12">
        <v>60</v>
      </c>
      <c r="S2434" s="12">
        <v>6</v>
      </c>
      <c r="T2434" s="13">
        <v>18.21</v>
      </c>
      <c r="U2434" s="13">
        <f t="shared" si="151"/>
        <v>2.6500000000000004</v>
      </c>
      <c r="V2434" s="14">
        <v>2230.7199999999998</v>
      </c>
      <c r="W2434" s="14">
        <v>2230.7199999999998</v>
      </c>
      <c r="X2434" s="11">
        <v>56</v>
      </c>
      <c r="Y2434" s="15" t="s">
        <v>3713</v>
      </c>
      <c r="Z2434" s="16">
        <v>1932.72</v>
      </c>
      <c r="AA2434" s="17">
        <v>648.6</v>
      </c>
      <c r="AB2434" s="18" t="s">
        <v>3714</v>
      </c>
    </row>
    <row r="2435" spans="1:28" x14ac:dyDescent="0.45">
      <c r="A2435" s="2" t="s">
        <v>3323</v>
      </c>
      <c r="B2435" s="2" t="s">
        <v>7265</v>
      </c>
      <c r="C2435" s="2" t="s">
        <v>2797</v>
      </c>
      <c r="D2435" s="2" t="s">
        <v>3295</v>
      </c>
      <c r="E2435" s="2" t="s">
        <v>6</v>
      </c>
      <c r="F2435" s="3">
        <v>55</v>
      </c>
      <c r="G2435" s="3">
        <v>65</v>
      </c>
      <c r="H2435" s="2" t="s">
        <v>417</v>
      </c>
      <c r="I2435" s="19">
        <v>321</v>
      </c>
      <c r="J2435" s="34">
        <f t="shared" si="148"/>
        <v>2.7927</v>
      </c>
      <c r="K2435" s="34">
        <f t="shared" si="149"/>
        <v>4.1900000000000004</v>
      </c>
      <c r="L2435" s="34">
        <f t="shared" si="150"/>
        <v>16.760000000000002</v>
      </c>
      <c r="M2435" s="20" t="s">
        <v>5455</v>
      </c>
      <c r="N2435" s="20" t="s">
        <v>5254</v>
      </c>
      <c r="O2435" s="20" t="s">
        <v>5251</v>
      </c>
      <c r="P2435" s="20" t="s">
        <v>5255</v>
      </c>
      <c r="Q2435" s="21">
        <v>55</v>
      </c>
      <c r="R2435" s="21">
        <v>65</v>
      </c>
      <c r="S2435" s="21">
        <v>6</v>
      </c>
      <c r="T2435" s="22">
        <v>18.32</v>
      </c>
      <c r="U2435" s="13">
        <f t="shared" si="151"/>
        <v>1.5599999999999987</v>
      </c>
      <c r="V2435" s="23">
        <v>2244.1999999999998</v>
      </c>
      <c r="W2435" s="23">
        <v>2244.1999999999998</v>
      </c>
      <c r="X2435" s="20">
        <v>25</v>
      </c>
      <c r="Y2435" s="24" t="s">
        <v>3713</v>
      </c>
      <c r="Z2435" s="16">
        <v>1923.2</v>
      </c>
      <c r="AA2435" s="17">
        <v>599.1</v>
      </c>
      <c r="AB2435" s="25" t="s">
        <v>3714</v>
      </c>
    </row>
    <row r="2436" spans="1:28" x14ac:dyDescent="0.45">
      <c r="A2436" s="4" t="s">
        <v>3324</v>
      </c>
      <c r="B2436" s="4" t="s">
        <v>7266</v>
      </c>
      <c r="C2436" s="4" t="s">
        <v>2797</v>
      </c>
      <c r="D2436" s="4" t="s">
        <v>3295</v>
      </c>
      <c r="E2436" s="4" t="s">
        <v>6</v>
      </c>
      <c r="F2436" s="5">
        <v>56</v>
      </c>
      <c r="G2436" s="5">
        <v>66</v>
      </c>
      <c r="H2436" s="4" t="s">
        <v>2753</v>
      </c>
      <c r="I2436" s="10">
        <v>380</v>
      </c>
      <c r="J2436" s="34">
        <f t="shared" si="148"/>
        <v>3.3059999999999996</v>
      </c>
      <c r="K2436" s="34">
        <f t="shared" si="149"/>
        <v>4.96</v>
      </c>
      <c r="L2436" s="34">
        <f t="shared" si="150"/>
        <v>19.84</v>
      </c>
      <c r="M2436" s="11" t="s">
        <v>5456</v>
      </c>
      <c r="N2436" s="11" t="s">
        <v>5254</v>
      </c>
      <c r="O2436" s="11" t="s">
        <v>5251</v>
      </c>
      <c r="P2436" s="11" t="s">
        <v>5255</v>
      </c>
      <c r="Q2436" s="12">
        <v>56</v>
      </c>
      <c r="R2436" s="12">
        <v>66</v>
      </c>
      <c r="S2436" s="12">
        <v>10</v>
      </c>
      <c r="T2436" s="13">
        <v>8.6199999999999992</v>
      </c>
      <c r="U2436" s="13">
        <f t="shared" si="151"/>
        <v>-11.22</v>
      </c>
      <c r="V2436" s="14">
        <v>1055.95</v>
      </c>
      <c r="W2436" s="14">
        <v>1055.95</v>
      </c>
      <c r="X2436" s="11">
        <v>160</v>
      </c>
      <c r="Y2436" s="15" t="s">
        <v>3713</v>
      </c>
      <c r="Z2436" s="16">
        <v>675.95</v>
      </c>
      <c r="AA2436" s="17">
        <v>177.9</v>
      </c>
      <c r="AB2436" s="18" t="s">
        <v>3714</v>
      </c>
    </row>
    <row r="2437" spans="1:28" x14ac:dyDescent="0.45">
      <c r="A2437" s="2" t="s">
        <v>3325</v>
      </c>
      <c r="B2437" s="2" t="s">
        <v>7267</v>
      </c>
      <c r="C2437" s="2" t="s">
        <v>2797</v>
      </c>
      <c r="D2437" s="2" t="s">
        <v>3295</v>
      </c>
      <c r="E2437" s="2" t="s">
        <v>6</v>
      </c>
      <c r="F2437" s="3">
        <v>56</v>
      </c>
      <c r="G2437" s="3">
        <v>66</v>
      </c>
      <c r="H2437" s="2" t="s">
        <v>3301</v>
      </c>
      <c r="I2437" s="19">
        <v>306</v>
      </c>
      <c r="J2437" s="34">
        <f t="shared" ref="J2437:J2500" si="152">I2437*0.0087</f>
        <v>2.6621999999999999</v>
      </c>
      <c r="K2437" s="34">
        <f t="shared" ref="K2437:K2500" si="153">ROUND(J2437*1.5,2)</f>
        <v>3.99</v>
      </c>
      <c r="L2437" s="34">
        <f t="shared" ref="L2437:L2500" si="154">K2437*4</f>
        <v>15.96</v>
      </c>
      <c r="M2437" s="20" t="s">
        <v>5456</v>
      </c>
      <c r="N2437" s="20" t="s">
        <v>5254</v>
      </c>
      <c r="O2437" s="20" t="s">
        <v>5251</v>
      </c>
      <c r="P2437" s="20" t="s">
        <v>5255</v>
      </c>
      <c r="Q2437" s="21">
        <v>56</v>
      </c>
      <c r="R2437" s="21">
        <v>66</v>
      </c>
      <c r="S2437" s="21">
        <v>10</v>
      </c>
      <c r="T2437" s="22">
        <v>8.6199999999999992</v>
      </c>
      <c r="U2437" s="13">
        <f t="shared" ref="U2437:U2500" si="155">T2437-L2437</f>
        <v>-7.3400000000000016</v>
      </c>
      <c r="V2437" s="23">
        <v>1055.95</v>
      </c>
      <c r="W2437" s="23">
        <v>1055.95</v>
      </c>
      <c r="X2437" s="20">
        <v>160</v>
      </c>
      <c r="Y2437" s="24" t="s">
        <v>3713</v>
      </c>
      <c r="Z2437" s="16">
        <v>749.95</v>
      </c>
      <c r="AA2437" s="17">
        <v>245.1</v>
      </c>
      <c r="AB2437" s="25" t="s">
        <v>3714</v>
      </c>
    </row>
    <row r="2438" spans="1:28" x14ac:dyDescent="0.45">
      <c r="A2438" s="4" t="s">
        <v>3326</v>
      </c>
      <c r="B2438" s="4" t="s">
        <v>7268</v>
      </c>
      <c r="C2438" s="4" t="s">
        <v>2797</v>
      </c>
      <c r="D2438" s="4" t="s">
        <v>3295</v>
      </c>
      <c r="E2438" s="4" t="s">
        <v>6</v>
      </c>
      <c r="F2438" s="5">
        <v>56</v>
      </c>
      <c r="G2438" s="5">
        <v>71</v>
      </c>
      <c r="H2438" s="4" t="s">
        <v>61</v>
      </c>
      <c r="I2438" s="10">
        <v>473</v>
      </c>
      <c r="J2438" s="34">
        <f t="shared" si="152"/>
        <v>4.1151</v>
      </c>
      <c r="K2438" s="34">
        <f t="shared" si="153"/>
        <v>6.17</v>
      </c>
      <c r="L2438" s="34">
        <f t="shared" si="154"/>
        <v>24.68</v>
      </c>
      <c r="M2438" s="11" t="s">
        <v>5457</v>
      </c>
      <c r="N2438" s="11" t="s">
        <v>5274</v>
      </c>
      <c r="O2438" s="11" t="s">
        <v>5251</v>
      </c>
      <c r="P2438" s="11" t="s">
        <v>5275</v>
      </c>
      <c r="Q2438" s="12">
        <v>56</v>
      </c>
      <c r="R2438" s="12">
        <v>71</v>
      </c>
      <c r="S2438" s="12">
        <v>29</v>
      </c>
      <c r="T2438" s="13">
        <v>66.41</v>
      </c>
      <c r="U2438" s="13">
        <f t="shared" si="155"/>
        <v>41.73</v>
      </c>
      <c r="V2438" s="14">
        <v>8135.22</v>
      </c>
      <c r="W2438" s="14">
        <v>8135.22</v>
      </c>
      <c r="X2438" s="11">
        <v>1</v>
      </c>
      <c r="Y2438" s="15" t="s">
        <v>3713</v>
      </c>
      <c r="Z2438" s="16">
        <v>7662.22</v>
      </c>
      <c r="AA2438" s="17">
        <v>1619.9</v>
      </c>
      <c r="AB2438" s="18" t="s">
        <v>3714</v>
      </c>
    </row>
    <row r="2439" spans="1:28" x14ac:dyDescent="0.45">
      <c r="A2439" s="2" t="s">
        <v>3327</v>
      </c>
      <c r="B2439" s="2" t="s">
        <v>7269</v>
      </c>
      <c r="C2439" s="2" t="s">
        <v>2797</v>
      </c>
      <c r="D2439" s="2" t="s">
        <v>3295</v>
      </c>
      <c r="E2439" s="2" t="s">
        <v>6</v>
      </c>
      <c r="F2439" s="3">
        <v>60</v>
      </c>
      <c r="G2439" s="3">
        <v>70</v>
      </c>
      <c r="H2439" s="2" t="s">
        <v>1098</v>
      </c>
      <c r="I2439" s="19">
        <v>401</v>
      </c>
      <c r="J2439" s="34">
        <f t="shared" si="152"/>
        <v>3.4886999999999997</v>
      </c>
      <c r="K2439" s="34">
        <f t="shared" si="153"/>
        <v>5.23</v>
      </c>
      <c r="L2439" s="34">
        <f t="shared" si="154"/>
        <v>20.92</v>
      </c>
      <c r="M2439" s="20" t="s">
        <v>5458</v>
      </c>
      <c r="N2439" s="20" t="s">
        <v>5254</v>
      </c>
      <c r="O2439" s="20" t="s">
        <v>5251</v>
      </c>
      <c r="P2439" s="20" t="s">
        <v>5255</v>
      </c>
      <c r="Q2439" s="21">
        <v>60</v>
      </c>
      <c r="R2439" s="21">
        <v>70</v>
      </c>
      <c r="S2439" s="21">
        <v>6</v>
      </c>
      <c r="T2439" s="22">
        <v>13.46</v>
      </c>
      <c r="U2439" s="13">
        <f t="shared" si="155"/>
        <v>-7.4600000000000009</v>
      </c>
      <c r="V2439" s="23">
        <v>1648.85</v>
      </c>
      <c r="W2439" s="23">
        <v>1648.85</v>
      </c>
      <c r="X2439" s="20">
        <v>8</v>
      </c>
      <c r="Y2439" s="24" t="s">
        <v>3713</v>
      </c>
      <c r="Z2439" s="16">
        <v>1247.8499999999999</v>
      </c>
      <c r="AA2439" s="17">
        <v>311.2</v>
      </c>
      <c r="AB2439" s="25" t="s">
        <v>3714</v>
      </c>
    </row>
    <row r="2440" spans="1:28" x14ac:dyDescent="0.45">
      <c r="A2440" s="4" t="s">
        <v>3328</v>
      </c>
      <c r="B2440" s="4" t="s">
        <v>7270</v>
      </c>
      <c r="C2440" s="4" t="s">
        <v>2797</v>
      </c>
      <c r="D2440" s="4" t="s">
        <v>3295</v>
      </c>
      <c r="E2440" s="4" t="s">
        <v>6</v>
      </c>
      <c r="F2440" s="5">
        <v>60</v>
      </c>
      <c r="G2440" s="5">
        <v>70</v>
      </c>
      <c r="H2440" s="4" t="s">
        <v>2774</v>
      </c>
      <c r="I2440" s="10">
        <v>439</v>
      </c>
      <c r="J2440" s="34">
        <f t="shared" si="152"/>
        <v>3.8192999999999997</v>
      </c>
      <c r="K2440" s="34">
        <f t="shared" si="153"/>
        <v>5.73</v>
      </c>
      <c r="L2440" s="34">
        <f t="shared" si="154"/>
        <v>22.92</v>
      </c>
      <c r="M2440" s="11" t="s">
        <v>5458</v>
      </c>
      <c r="N2440" s="11" t="s">
        <v>5254</v>
      </c>
      <c r="O2440" s="11" t="s">
        <v>5251</v>
      </c>
      <c r="P2440" s="11" t="s">
        <v>5255</v>
      </c>
      <c r="Q2440" s="12">
        <v>60</v>
      </c>
      <c r="R2440" s="12">
        <v>70</v>
      </c>
      <c r="S2440" s="12">
        <v>6</v>
      </c>
      <c r="T2440" s="13">
        <v>13.46</v>
      </c>
      <c r="U2440" s="13">
        <f t="shared" si="155"/>
        <v>-9.4600000000000009</v>
      </c>
      <c r="V2440" s="14">
        <v>1648.85</v>
      </c>
      <c r="W2440" s="14">
        <v>1648.85</v>
      </c>
      <c r="X2440" s="11">
        <v>8</v>
      </c>
      <c r="Y2440" s="15" t="s">
        <v>3713</v>
      </c>
      <c r="Z2440" s="16">
        <v>1209.8499999999999</v>
      </c>
      <c r="AA2440" s="17">
        <v>275.60000000000002</v>
      </c>
      <c r="AB2440" s="18" t="s">
        <v>3714</v>
      </c>
    </row>
    <row r="2441" spans="1:28" x14ac:dyDescent="0.45">
      <c r="A2441" s="2" t="s">
        <v>3329</v>
      </c>
      <c r="B2441" s="2" t="s">
        <v>7271</v>
      </c>
      <c r="C2441" s="2" t="s">
        <v>2797</v>
      </c>
      <c r="D2441" s="2" t="s">
        <v>3295</v>
      </c>
      <c r="E2441" s="2" t="s">
        <v>6</v>
      </c>
      <c r="F2441" s="3">
        <v>68</v>
      </c>
      <c r="G2441" s="3">
        <v>76</v>
      </c>
      <c r="H2441" s="2" t="s">
        <v>3330</v>
      </c>
      <c r="I2441" s="19">
        <v>293</v>
      </c>
      <c r="J2441" s="34">
        <f t="shared" si="152"/>
        <v>2.5490999999999997</v>
      </c>
      <c r="K2441" s="34">
        <f t="shared" si="153"/>
        <v>3.82</v>
      </c>
      <c r="L2441" s="34">
        <f t="shared" si="154"/>
        <v>15.28</v>
      </c>
      <c r="M2441" s="20" t="s">
        <v>5459</v>
      </c>
      <c r="N2441" s="20" t="s">
        <v>5386</v>
      </c>
      <c r="O2441" s="20" t="s">
        <v>5270</v>
      </c>
      <c r="P2441" s="20" t="s">
        <v>5387</v>
      </c>
      <c r="Q2441" s="21">
        <v>68</v>
      </c>
      <c r="R2441" s="21">
        <v>76</v>
      </c>
      <c r="S2441" s="21">
        <v>8</v>
      </c>
      <c r="T2441" s="22">
        <v>6.79</v>
      </c>
      <c r="U2441" s="13">
        <f t="shared" si="155"/>
        <v>-8.4899999999999984</v>
      </c>
      <c r="V2441" s="23">
        <v>831.78</v>
      </c>
      <c r="W2441" s="23">
        <v>831.78</v>
      </c>
      <c r="X2441" s="20">
        <v>6</v>
      </c>
      <c r="Y2441" s="24" t="s">
        <v>3713</v>
      </c>
      <c r="Z2441" s="16">
        <v>538.78</v>
      </c>
      <c r="AA2441" s="17">
        <v>183.9</v>
      </c>
      <c r="AB2441" s="25" t="s">
        <v>3714</v>
      </c>
    </row>
    <row r="2442" spans="1:28" x14ac:dyDescent="0.45">
      <c r="A2442" s="4" t="s">
        <v>3331</v>
      </c>
      <c r="B2442" s="4" t="s">
        <v>7272</v>
      </c>
      <c r="C2442" s="4" t="s">
        <v>2797</v>
      </c>
      <c r="D2442" s="4" t="s">
        <v>3295</v>
      </c>
      <c r="E2442" s="4" t="s">
        <v>6</v>
      </c>
      <c r="F2442" s="5">
        <v>70</v>
      </c>
      <c r="G2442" s="5">
        <v>82</v>
      </c>
      <c r="H2442" s="4" t="s">
        <v>3332</v>
      </c>
      <c r="I2442" s="10">
        <v>619</v>
      </c>
      <c r="J2442" s="34">
        <f t="shared" si="152"/>
        <v>5.3853</v>
      </c>
      <c r="K2442" s="34">
        <f t="shared" si="153"/>
        <v>8.08</v>
      </c>
      <c r="L2442" s="34">
        <f t="shared" si="154"/>
        <v>32.32</v>
      </c>
      <c r="M2442" s="11" t="s">
        <v>5460</v>
      </c>
      <c r="N2442" s="11" t="s">
        <v>5254</v>
      </c>
      <c r="O2442" s="11" t="s">
        <v>5251</v>
      </c>
      <c r="P2442" s="11" t="s">
        <v>5255</v>
      </c>
      <c r="Q2442" s="12">
        <v>70</v>
      </c>
      <c r="R2442" s="12">
        <v>82</v>
      </c>
      <c r="S2442" s="12">
        <v>8.6999999999999993</v>
      </c>
      <c r="T2442" s="13">
        <v>23.14</v>
      </c>
      <c r="U2442" s="13">
        <f t="shared" si="155"/>
        <v>-9.18</v>
      </c>
      <c r="V2442" s="14">
        <v>2834.65</v>
      </c>
      <c r="W2442" s="14">
        <v>2834.65</v>
      </c>
      <c r="X2442" s="11">
        <v>56</v>
      </c>
      <c r="Y2442" s="15" t="s">
        <v>3713</v>
      </c>
      <c r="Z2442" s="16">
        <v>2215.65</v>
      </c>
      <c r="AA2442" s="17">
        <v>357.9</v>
      </c>
      <c r="AB2442" s="18" t="s">
        <v>3714</v>
      </c>
    </row>
    <row r="2443" spans="1:28" x14ac:dyDescent="0.45">
      <c r="A2443" s="2" t="s">
        <v>3333</v>
      </c>
      <c r="B2443" s="2" t="s">
        <v>7273</v>
      </c>
      <c r="C2443" s="2" t="s">
        <v>2797</v>
      </c>
      <c r="D2443" s="2" t="s">
        <v>3295</v>
      </c>
      <c r="E2443" s="2" t="s">
        <v>6</v>
      </c>
      <c r="F2443" s="3">
        <v>70</v>
      </c>
      <c r="G2443" s="3">
        <v>82</v>
      </c>
      <c r="H2443" s="2" t="s">
        <v>3334</v>
      </c>
      <c r="I2443" s="19">
        <v>483</v>
      </c>
      <c r="J2443" s="34">
        <f t="shared" si="152"/>
        <v>4.2020999999999997</v>
      </c>
      <c r="K2443" s="34">
        <f t="shared" si="153"/>
        <v>6.3</v>
      </c>
      <c r="L2443" s="34">
        <f t="shared" si="154"/>
        <v>25.2</v>
      </c>
      <c r="M2443" s="20" t="s">
        <v>5460</v>
      </c>
      <c r="N2443" s="20" t="s">
        <v>5254</v>
      </c>
      <c r="O2443" s="20" t="s">
        <v>5251</v>
      </c>
      <c r="P2443" s="20" t="s">
        <v>5255</v>
      </c>
      <c r="Q2443" s="21">
        <v>70</v>
      </c>
      <c r="R2443" s="21">
        <v>82</v>
      </c>
      <c r="S2443" s="21">
        <v>8.6999999999999993</v>
      </c>
      <c r="T2443" s="22">
        <v>23.14</v>
      </c>
      <c r="U2443" s="13">
        <f t="shared" si="155"/>
        <v>-2.0599999999999987</v>
      </c>
      <c r="V2443" s="23">
        <v>2834.65</v>
      </c>
      <c r="W2443" s="23">
        <v>2834.65</v>
      </c>
      <c r="X2443" s="20">
        <v>56</v>
      </c>
      <c r="Y2443" s="24" t="s">
        <v>3713</v>
      </c>
      <c r="Z2443" s="16">
        <v>2351.65</v>
      </c>
      <c r="AA2443" s="17">
        <v>486.9</v>
      </c>
      <c r="AB2443" s="25" t="s">
        <v>3714</v>
      </c>
    </row>
    <row r="2444" spans="1:28" x14ac:dyDescent="0.45">
      <c r="A2444" s="4" t="s">
        <v>3335</v>
      </c>
      <c r="B2444" s="4" t="s">
        <v>7274</v>
      </c>
      <c r="C2444" s="4" t="s">
        <v>2797</v>
      </c>
      <c r="D2444" s="4" t="s">
        <v>3295</v>
      </c>
      <c r="E2444" s="4" t="s">
        <v>6</v>
      </c>
      <c r="F2444" s="5">
        <v>70</v>
      </c>
      <c r="G2444" s="5">
        <v>85</v>
      </c>
      <c r="H2444" s="4" t="s">
        <v>416</v>
      </c>
      <c r="I2444" s="10">
        <v>505</v>
      </c>
      <c r="J2444" s="34">
        <f t="shared" si="152"/>
        <v>4.3934999999999995</v>
      </c>
      <c r="K2444" s="34">
        <f t="shared" si="153"/>
        <v>6.59</v>
      </c>
      <c r="L2444" s="34">
        <f t="shared" si="154"/>
        <v>26.36</v>
      </c>
      <c r="M2444" s="11" t="s">
        <v>5316</v>
      </c>
      <c r="N2444" s="11" t="s">
        <v>5254</v>
      </c>
      <c r="O2444" s="11" t="s">
        <v>5251</v>
      </c>
      <c r="P2444" s="11" t="s">
        <v>5255</v>
      </c>
      <c r="Q2444" s="12">
        <v>70</v>
      </c>
      <c r="R2444" s="12">
        <v>85</v>
      </c>
      <c r="S2444" s="12">
        <v>9</v>
      </c>
      <c r="T2444" s="13">
        <v>9.69</v>
      </c>
      <c r="U2444" s="13">
        <f t="shared" si="155"/>
        <v>-16.670000000000002</v>
      </c>
      <c r="V2444" s="14">
        <v>1187.02</v>
      </c>
      <c r="W2444" s="14">
        <v>1187.02</v>
      </c>
      <c r="X2444" s="11">
        <v>122</v>
      </c>
      <c r="Y2444" s="15" t="s">
        <v>3713</v>
      </c>
      <c r="Z2444" s="16">
        <v>682.02</v>
      </c>
      <c r="AA2444" s="17">
        <v>135.1</v>
      </c>
      <c r="AB2444" s="18" t="s">
        <v>3714</v>
      </c>
    </row>
    <row r="2445" spans="1:28" x14ac:dyDescent="0.45">
      <c r="A2445" s="2" t="s">
        <v>3336</v>
      </c>
      <c r="B2445" s="2" t="s">
        <v>7275</v>
      </c>
      <c r="C2445" s="2" t="s">
        <v>2797</v>
      </c>
      <c r="D2445" s="2" t="s">
        <v>3295</v>
      </c>
      <c r="E2445" s="2" t="s">
        <v>6</v>
      </c>
      <c r="F2445" s="3">
        <v>70</v>
      </c>
      <c r="G2445" s="3">
        <v>85</v>
      </c>
      <c r="H2445" s="2" t="s">
        <v>61</v>
      </c>
      <c r="I2445" s="19">
        <v>564</v>
      </c>
      <c r="J2445" s="34">
        <f t="shared" si="152"/>
        <v>4.9067999999999996</v>
      </c>
      <c r="K2445" s="34">
        <f t="shared" si="153"/>
        <v>7.36</v>
      </c>
      <c r="L2445" s="34">
        <f t="shared" si="154"/>
        <v>29.44</v>
      </c>
      <c r="M2445" s="20" t="s">
        <v>5316</v>
      </c>
      <c r="N2445" s="20" t="s">
        <v>5254</v>
      </c>
      <c r="O2445" s="20" t="s">
        <v>5251</v>
      </c>
      <c r="P2445" s="20" t="s">
        <v>5255</v>
      </c>
      <c r="Q2445" s="21">
        <v>70</v>
      </c>
      <c r="R2445" s="21">
        <v>85</v>
      </c>
      <c r="S2445" s="21">
        <v>9</v>
      </c>
      <c r="T2445" s="22">
        <v>9.69</v>
      </c>
      <c r="U2445" s="13">
        <f t="shared" si="155"/>
        <v>-19.75</v>
      </c>
      <c r="V2445" s="23">
        <v>1187.02</v>
      </c>
      <c r="W2445" s="23">
        <v>1187.02</v>
      </c>
      <c r="X2445" s="20">
        <v>122</v>
      </c>
      <c r="Y2445" s="24" t="s">
        <v>3713</v>
      </c>
      <c r="Z2445" s="16">
        <v>623.02</v>
      </c>
      <c r="AA2445" s="17">
        <v>110.5</v>
      </c>
      <c r="AB2445" s="25" t="s">
        <v>3714</v>
      </c>
    </row>
    <row r="2446" spans="1:28" x14ac:dyDescent="0.45">
      <c r="A2446" s="4" t="s">
        <v>3337</v>
      </c>
      <c r="B2446" s="4" t="s">
        <v>7276</v>
      </c>
      <c r="C2446" s="4" t="s">
        <v>2797</v>
      </c>
      <c r="D2446" s="4" t="s">
        <v>3295</v>
      </c>
      <c r="E2446" s="4" t="s">
        <v>6</v>
      </c>
      <c r="F2446" s="5">
        <v>80</v>
      </c>
      <c r="G2446" s="5">
        <v>95</v>
      </c>
      <c r="H2446" s="4" t="s">
        <v>61</v>
      </c>
      <c r="I2446" s="10">
        <v>629</v>
      </c>
      <c r="J2446" s="34">
        <f t="shared" si="152"/>
        <v>5.4722999999999997</v>
      </c>
      <c r="K2446" s="34">
        <f t="shared" si="153"/>
        <v>8.2100000000000009</v>
      </c>
      <c r="L2446" s="34">
        <f t="shared" si="154"/>
        <v>32.840000000000003</v>
      </c>
      <c r="M2446" s="11" t="s">
        <v>5321</v>
      </c>
      <c r="N2446" s="11" t="s">
        <v>5254</v>
      </c>
      <c r="O2446" s="11" t="s">
        <v>5251</v>
      </c>
      <c r="P2446" s="11" t="s">
        <v>5255</v>
      </c>
      <c r="Q2446" s="12">
        <v>80</v>
      </c>
      <c r="R2446" s="12">
        <v>95</v>
      </c>
      <c r="S2446" s="12">
        <v>9</v>
      </c>
      <c r="T2446" s="13">
        <v>10.42</v>
      </c>
      <c r="U2446" s="13">
        <f t="shared" si="155"/>
        <v>-22.42</v>
      </c>
      <c r="V2446" s="14">
        <v>1276.45</v>
      </c>
      <c r="W2446" s="14">
        <v>1276.45</v>
      </c>
      <c r="X2446" s="11">
        <v>300</v>
      </c>
      <c r="Y2446" s="15" t="s">
        <v>3713</v>
      </c>
      <c r="Z2446" s="16">
        <v>647.45000000000005</v>
      </c>
      <c r="AA2446" s="17">
        <v>102.9</v>
      </c>
      <c r="AB2446" s="18" t="s">
        <v>3714</v>
      </c>
    </row>
    <row r="2447" spans="1:28" x14ac:dyDescent="0.45">
      <c r="A2447" s="2" t="s">
        <v>3338</v>
      </c>
      <c r="B2447" s="2" t="s">
        <v>7277</v>
      </c>
      <c r="C2447" s="2" t="s">
        <v>2797</v>
      </c>
      <c r="D2447" s="2" t="s">
        <v>3295</v>
      </c>
      <c r="E2447" s="2" t="s">
        <v>6</v>
      </c>
      <c r="F2447" s="3">
        <v>90</v>
      </c>
      <c r="G2447" s="3">
        <v>105</v>
      </c>
      <c r="H2447" s="2" t="s">
        <v>61</v>
      </c>
      <c r="I2447" s="19">
        <v>693</v>
      </c>
      <c r="J2447" s="34">
        <f t="shared" si="152"/>
        <v>6.0290999999999997</v>
      </c>
      <c r="K2447" s="34">
        <f t="shared" si="153"/>
        <v>9.0399999999999991</v>
      </c>
      <c r="L2447" s="34">
        <f t="shared" si="154"/>
        <v>36.159999999999997</v>
      </c>
      <c r="M2447" s="20" t="s">
        <v>5326</v>
      </c>
      <c r="N2447" s="20" t="s">
        <v>5254</v>
      </c>
      <c r="O2447" s="20" t="s">
        <v>5251</v>
      </c>
      <c r="P2447" s="20" t="s">
        <v>5255</v>
      </c>
      <c r="Q2447" s="21">
        <v>90</v>
      </c>
      <c r="R2447" s="21">
        <v>105</v>
      </c>
      <c r="S2447" s="21">
        <v>9</v>
      </c>
      <c r="T2447" s="22">
        <v>13.13</v>
      </c>
      <c r="U2447" s="13">
        <f t="shared" si="155"/>
        <v>-23.029999999999994</v>
      </c>
      <c r="V2447" s="23">
        <v>1608.43</v>
      </c>
      <c r="W2447" s="23">
        <v>1608.43</v>
      </c>
      <c r="X2447" s="20">
        <v>184</v>
      </c>
      <c r="Y2447" s="24" t="s">
        <v>3713</v>
      </c>
      <c r="Z2447" s="16">
        <v>915.43000000000006</v>
      </c>
      <c r="AA2447" s="17">
        <v>132.1</v>
      </c>
      <c r="AB2447" s="25" t="s">
        <v>3714</v>
      </c>
    </row>
    <row r="2448" spans="1:28" x14ac:dyDescent="0.45">
      <c r="A2448" s="4" t="s">
        <v>3339</v>
      </c>
      <c r="B2448" s="4" t="s">
        <v>7278</v>
      </c>
      <c r="C2448" s="4" t="s">
        <v>2797</v>
      </c>
      <c r="D2448" s="4" t="s">
        <v>3295</v>
      </c>
      <c r="E2448" s="4" t="s">
        <v>6</v>
      </c>
      <c r="F2448" s="5">
        <v>90</v>
      </c>
      <c r="G2448" s="5">
        <v>110</v>
      </c>
      <c r="H2448" s="4" t="s">
        <v>2775</v>
      </c>
      <c r="I2448" s="10">
        <v>1222</v>
      </c>
      <c r="J2448" s="34">
        <f t="shared" si="152"/>
        <v>10.631399999999999</v>
      </c>
      <c r="K2448" s="34">
        <f t="shared" si="153"/>
        <v>15.95</v>
      </c>
      <c r="L2448" s="34">
        <f t="shared" si="154"/>
        <v>63.8</v>
      </c>
      <c r="M2448" s="11" t="s">
        <v>5461</v>
      </c>
      <c r="N2448" s="11" t="s">
        <v>5274</v>
      </c>
      <c r="O2448" s="11" t="s">
        <v>5251</v>
      </c>
      <c r="P2448" s="11" t="s">
        <v>5275</v>
      </c>
      <c r="Q2448" s="12">
        <v>90</v>
      </c>
      <c r="R2448" s="12">
        <v>110</v>
      </c>
      <c r="S2448" s="12">
        <v>35</v>
      </c>
      <c r="T2448" s="13">
        <v>62.89</v>
      </c>
      <c r="U2448" s="13">
        <f t="shared" si="155"/>
        <v>-0.90999999999999659</v>
      </c>
      <c r="V2448" s="14">
        <v>7704.02</v>
      </c>
      <c r="W2448" s="14">
        <v>7704.02</v>
      </c>
      <c r="X2448" s="11">
        <v>1</v>
      </c>
      <c r="Y2448" s="15" t="s">
        <v>3713</v>
      </c>
      <c r="Z2448" s="16">
        <v>6482.02</v>
      </c>
      <c r="AA2448" s="17">
        <v>530.4</v>
      </c>
      <c r="AB2448" s="18" t="s">
        <v>3714</v>
      </c>
    </row>
    <row r="2449" spans="1:28" x14ac:dyDescent="0.45">
      <c r="A2449" s="2" t="s">
        <v>3340</v>
      </c>
      <c r="B2449" s="2" t="s">
        <v>7279</v>
      </c>
      <c r="C2449" s="2" t="s">
        <v>2797</v>
      </c>
      <c r="D2449" s="2" t="s">
        <v>3295</v>
      </c>
      <c r="E2449" s="2" t="s">
        <v>6</v>
      </c>
      <c r="F2449" s="3">
        <v>100</v>
      </c>
      <c r="G2449" s="3">
        <v>120</v>
      </c>
      <c r="H2449" s="2" t="s">
        <v>2772</v>
      </c>
      <c r="I2449" s="19">
        <v>1141</v>
      </c>
      <c r="J2449" s="34">
        <f t="shared" si="152"/>
        <v>9.9266999999999985</v>
      </c>
      <c r="K2449" s="34">
        <f t="shared" si="153"/>
        <v>14.89</v>
      </c>
      <c r="L2449" s="34">
        <f t="shared" si="154"/>
        <v>59.56</v>
      </c>
      <c r="M2449" s="20" t="s">
        <v>5462</v>
      </c>
      <c r="N2449" s="20" t="s">
        <v>5274</v>
      </c>
      <c r="O2449" s="20" t="s">
        <v>5251</v>
      </c>
      <c r="P2449" s="20" t="s">
        <v>5275</v>
      </c>
      <c r="Q2449" s="21">
        <v>100</v>
      </c>
      <c r="R2449" s="21">
        <v>120</v>
      </c>
      <c r="S2449" s="21">
        <v>30</v>
      </c>
      <c r="T2449" s="22">
        <v>59.68</v>
      </c>
      <c r="U2449" s="13">
        <f t="shared" si="155"/>
        <v>0.11999999999999744</v>
      </c>
      <c r="V2449" s="23">
        <v>7310.8</v>
      </c>
      <c r="W2449" s="23">
        <v>7310.8</v>
      </c>
      <c r="X2449" s="20">
        <v>11</v>
      </c>
      <c r="Y2449" s="24" t="s">
        <v>3713</v>
      </c>
      <c r="Z2449" s="16">
        <v>6169.8</v>
      </c>
      <c r="AA2449" s="17">
        <v>540.70000000000005</v>
      </c>
      <c r="AB2449" s="25" t="s">
        <v>3714</v>
      </c>
    </row>
    <row r="2450" spans="1:28" x14ac:dyDescent="0.45">
      <c r="A2450" s="4" t="s">
        <v>3341</v>
      </c>
      <c r="B2450" s="4" t="s">
        <v>7280</v>
      </c>
      <c r="C2450" s="4" t="s">
        <v>2797</v>
      </c>
      <c r="D2450" s="4" t="s">
        <v>3295</v>
      </c>
      <c r="E2450" s="4" t="s">
        <v>6</v>
      </c>
      <c r="F2450" s="5">
        <v>125</v>
      </c>
      <c r="G2450" s="5">
        <v>140</v>
      </c>
      <c r="H2450" s="4" t="s">
        <v>2772</v>
      </c>
      <c r="I2450" s="10">
        <v>1097</v>
      </c>
      <c r="J2450" s="34">
        <f t="shared" si="152"/>
        <v>9.5438999999999989</v>
      </c>
      <c r="K2450" s="34">
        <f t="shared" si="153"/>
        <v>14.32</v>
      </c>
      <c r="L2450" s="34">
        <f t="shared" si="154"/>
        <v>57.28</v>
      </c>
      <c r="M2450" s="11" t="s">
        <v>5344</v>
      </c>
      <c r="N2450" s="11" t="s">
        <v>5274</v>
      </c>
      <c r="O2450" s="11" t="s">
        <v>5251</v>
      </c>
      <c r="P2450" s="11" t="s">
        <v>5275</v>
      </c>
      <c r="Q2450" s="12">
        <v>125</v>
      </c>
      <c r="R2450" s="12">
        <v>140</v>
      </c>
      <c r="S2450" s="12">
        <v>27.5</v>
      </c>
      <c r="T2450" s="13">
        <v>129.24</v>
      </c>
      <c r="U2450" s="13">
        <f t="shared" si="155"/>
        <v>71.960000000000008</v>
      </c>
      <c r="V2450" s="14">
        <v>15831.9</v>
      </c>
      <c r="W2450" s="14">
        <v>15831.9</v>
      </c>
      <c r="X2450" s="11" t="s">
        <v>3722</v>
      </c>
      <c r="Y2450" s="15" t="s">
        <v>3713</v>
      </c>
      <c r="Z2450" s="16">
        <v>14734.9</v>
      </c>
      <c r="AA2450" s="17">
        <v>1343.2</v>
      </c>
      <c r="AB2450" s="18" t="s">
        <v>3714</v>
      </c>
    </row>
    <row r="2451" spans="1:28" x14ac:dyDescent="0.45">
      <c r="A2451" s="2" t="s">
        <v>3342</v>
      </c>
      <c r="B2451" s="2" t="s">
        <v>7281</v>
      </c>
      <c r="C2451" s="2" t="s">
        <v>2797</v>
      </c>
      <c r="D2451" s="2" t="s">
        <v>3295</v>
      </c>
      <c r="E2451" s="2" t="s">
        <v>6</v>
      </c>
      <c r="F2451" s="3">
        <v>135</v>
      </c>
      <c r="G2451" s="3">
        <v>150</v>
      </c>
      <c r="H2451" s="2" t="s">
        <v>2753</v>
      </c>
      <c r="I2451" s="19">
        <v>1049</v>
      </c>
      <c r="J2451" s="34">
        <f t="shared" si="152"/>
        <v>9.1262999999999987</v>
      </c>
      <c r="K2451" s="34">
        <f t="shared" si="153"/>
        <v>13.69</v>
      </c>
      <c r="L2451" s="34">
        <f t="shared" si="154"/>
        <v>54.76</v>
      </c>
      <c r="M2451" s="20" t="s">
        <v>5347</v>
      </c>
      <c r="N2451" s="20" t="s">
        <v>5310</v>
      </c>
      <c r="O2451" s="20" t="s">
        <v>5270</v>
      </c>
      <c r="P2451" s="20" t="s">
        <v>5311</v>
      </c>
      <c r="Q2451" s="21">
        <v>135</v>
      </c>
      <c r="R2451" s="21">
        <v>150</v>
      </c>
      <c r="S2451" s="21">
        <v>9</v>
      </c>
      <c r="T2451" s="22">
        <v>10.02</v>
      </c>
      <c r="U2451" s="13">
        <f t="shared" si="155"/>
        <v>-44.739999999999995</v>
      </c>
      <c r="V2451" s="23">
        <v>1227.45</v>
      </c>
      <c r="W2451" s="23">
        <v>1227.45</v>
      </c>
      <c r="X2451" s="20">
        <v>10</v>
      </c>
      <c r="Y2451" s="24" t="s">
        <v>3713</v>
      </c>
      <c r="Z2451" s="16">
        <v>178.45</v>
      </c>
      <c r="AA2451" s="17">
        <v>17</v>
      </c>
      <c r="AB2451" s="25" t="s">
        <v>3714</v>
      </c>
    </row>
    <row r="2452" spans="1:28" x14ac:dyDescent="0.45">
      <c r="A2452" s="4" t="s">
        <v>3343</v>
      </c>
      <c r="B2452" s="4" t="s">
        <v>7282</v>
      </c>
      <c r="C2452" s="4" t="s">
        <v>2797</v>
      </c>
      <c r="D2452" s="4" t="s">
        <v>3295</v>
      </c>
      <c r="E2452" s="4" t="s">
        <v>6</v>
      </c>
      <c r="F2452" s="5">
        <v>140</v>
      </c>
      <c r="G2452" s="5">
        <v>160</v>
      </c>
      <c r="H2452" s="4" t="s">
        <v>2772</v>
      </c>
      <c r="I2452" s="10">
        <v>1530</v>
      </c>
      <c r="J2452" s="34">
        <f t="shared" si="152"/>
        <v>13.311</v>
      </c>
      <c r="K2452" s="34">
        <f t="shared" si="153"/>
        <v>19.97</v>
      </c>
      <c r="L2452" s="34">
        <f t="shared" si="154"/>
        <v>79.88</v>
      </c>
      <c r="M2452" s="11" t="s">
        <v>5352</v>
      </c>
      <c r="N2452" s="11" t="s">
        <v>5274</v>
      </c>
      <c r="O2452" s="11" t="s">
        <v>5251</v>
      </c>
      <c r="P2452" s="11" t="s">
        <v>5275</v>
      </c>
      <c r="Q2452" s="12">
        <v>140</v>
      </c>
      <c r="R2452" s="12">
        <v>160</v>
      </c>
      <c r="S2452" s="12">
        <v>35</v>
      </c>
      <c r="T2452" s="13">
        <v>168.62</v>
      </c>
      <c r="U2452" s="13">
        <f t="shared" si="155"/>
        <v>88.740000000000009</v>
      </c>
      <c r="V2452" s="14">
        <v>20655.95</v>
      </c>
      <c r="W2452" s="14">
        <v>20655.95</v>
      </c>
      <c r="X2452" s="11">
        <v>1</v>
      </c>
      <c r="Y2452" s="15" t="s">
        <v>3713</v>
      </c>
      <c r="Z2452" s="16">
        <v>19125.95</v>
      </c>
      <c r="AA2452" s="17">
        <v>1250.0999999999999</v>
      </c>
      <c r="AB2452" s="18" t="s">
        <v>3714</v>
      </c>
    </row>
    <row r="2453" spans="1:28" x14ac:dyDescent="0.45">
      <c r="A2453" s="2" t="s">
        <v>3345</v>
      </c>
      <c r="B2453" s="2" t="s">
        <v>3346</v>
      </c>
      <c r="C2453" s="2" t="s">
        <v>2797</v>
      </c>
      <c r="D2453" s="2" t="s">
        <v>3347</v>
      </c>
      <c r="E2453" s="2" t="s">
        <v>96</v>
      </c>
      <c r="F2453" s="3">
        <v>25</v>
      </c>
      <c r="G2453" s="3">
        <v>37</v>
      </c>
      <c r="H2453" s="2" t="s">
        <v>3348</v>
      </c>
      <c r="I2453" s="19">
        <v>276</v>
      </c>
      <c r="J2453" s="34">
        <f t="shared" si="152"/>
        <v>2.4011999999999998</v>
      </c>
      <c r="K2453" s="34">
        <f t="shared" si="153"/>
        <v>3.6</v>
      </c>
      <c r="L2453" s="34">
        <f t="shared" si="154"/>
        <v>14.4</v>
      </c>
      <c r="M2453" s="20" t="s">
        <v>5463</v>
      </c>
      <c r="N2453" s="20" t="s">
        <v>5274</v>
      </c>
      <c r="O2453" s="20" t="s">
        <v>5251</v>
      </c>
      <c r="P2453" s="20" t="s">
        <v>5275</v>
      </c>
      <c r="Q2453" s="21">
        <v>25</v>
      </c>
      <c r="R2453" s="21">
        <v>37</v>
      </c>
      <c r="S2453" s="21">
        <v>19</v>
      </c>
      <c r="T2453" s="22">
        <v>36.53</v>
      </c>
      <c r="U2453" s="13">
        <f t="shared" si="155"/>
        <v>22.130000000000003</v>
      </c>
      <c r="V2453" s="23">
        <v>4474.92</v>
      </c>
      <c r="W2453" s="23">
        <v>4474.92</v>
      </c>
      <c r="X2453" s="20" t="s">
        <v>3722</v>
      </c>
      <c r="Y2453" s="24" t="s">
        <v>3713</v>
      </c>
      <c r="Z2453" s="16">
        <v>4198.92</v>
      </c>
      <c r="AA2453" s="17">
        <v>1521.3</v>
      </c>
      <c r="AB2453" s="25" t="s">
        <v>3714</v>
      </c>
    </row>
    <row r="2454" spans="1:28" x14ac:dyDescent="0.45">
      <c r="A2454" s="4" t="s">
        <v>3349</v>
      </c>
      <c r="B2454" s="4" t="s">
        <v>3350</v>
      </c>
      <c r="C2454" s="4" t="s">
        <v>2797</v>
      </c>
      <c r="D2454" s="4" t="s">
        <v>3347</v>
      </c>
      <c r="E2454" s="4" t="s">
        <v>96</v>
      </c>
      <c r="F2454" s="5">
        <v>28</v>
      </c>
      <c r="G2454" s="5">
        <v>40</v>
      </c>
      <c r="H2454" s="4" t="s">
        <v>3348</v>
      </c>
      <c r="I2454" s="10">
        <v>276</v>
      </c>
      <c r="J2454" s="34">
        <f t="shared" si="152"/>
        <v>2.4011999999999998</v>
      </c>
      <c r="K2454" s="34">
        <f t="shared" si="153"/>
        <v>3.6</v>
      </c>
      <c r="L2454" s="34">
        <f t="shared" si="154"/>
        <v>14.4</v>
      </c>
      <c r="M2454" s="11" t="s">
        <v>5464</v>
      </c>
      <c r="N2454" s="11" t="s">
        <v>5290</v>
      </c>
      <c r="O2454" s="11" t="s">
        <v>5291</v>
      </c>
      <c r="P2454" s="11" t="s">
        <v>5292</v>
      </c>
      <c r="Q2454" s="12">
        <v>28</v>
      </c>
      <c r="R2454" s="12">
        <v>40</v>
      </c>
      <c r="S2454" s="12">
        <v>9</v>
      </c>
      <c r="T2454" s="13">
        <v>6.03</v>
      </c>
      <c r="U2454" s="13">
        <f t="shared" si="155"/>
        <v>-8.370000000000001</v>
      </c>
      <c r="V2454" s="14">
        <v>738.68</v>
      </c>
      <c r="W2454" s="14">
        <v>738.68</v>
      </c>
      <c r="X2454" s="11">
        <v>136</v>
      </c>
      <c r="Y2454" s="15" t="s">
        <v>3713</v>
      </c>
      <c r="Z2454" s="16">
        <v>462.67999999999989</v>
      </c>
      <c r="AA2454" s="17">
        <v>167.6</v>
      </c>
      <c r="AB2454" s="18" t="s">
        <v>3714</v>
      </c>
    </row>
    <row r="2455" spans="1:28" x14ac:dyDescent="0.45">
      <c r="A2455" s="2" t="s">
        <v>3351</v>
      </c>
      <c r="B2455" s="2" t="s">
        <v>3352</v>
      </c>
      <c r="C2455" s="2" t="s">
        <v>2797</v>
      </c>
      <c r="D2455" s="2" t="s">
        <v>3347</v>
      </c>
      <c r="E2455" s="2" t="s">
        <v>96</v>
      </c>
      <c r="F2455" s="3">
        <v>30</v>
      </c>
      <c r="G2455" s="3">
        <v>42</v>
      </c>
      <c r="H2455" s="2" t="s">
        <v>3348</v>
      </c>
      <c r="I2455" s="19">
        <v>283</v>
      </c>
      <c r="J2455" s="34">
        <f t="shared" si="152"/>
        <v>2.4621</v>
      </c>
      <c r="K2455" s="34">
        <f t="shared" si="153"/>
        <v>3.69</v>
      </c>
      <c r="L2455" s="34">
        <f t="shared" si="154"/>
        <v>14.76</v>
      </c>
      <c r="M2455" s="20" t="s">
        <v>5465</v>
      </c>
      <c r="N2455" s="20" t="s">
        <v>5254</v>
      </c>
      <c r="O2455" s="20" t="s">
        <v>5251</v>
      </c>
      <c r="P2455" s="20" t="s">
        <v>5255</v>
      </c>
      <c r="Q2455" s="21">
        <v>30</v>
      </c>
      <c r="R2455" s="21">
        <v>42</v>
      </c>
      <c r="S2455" s="21">
        <v>11</v>
      </c>
      <c r="T2455" s="22">
        <v>15.38</v>
      </c>
      <c r="U2455" s="13">
        <f t="shared" si="155"/>
        <v>0.62000000000000099</v>
      </c>
      <c r="V2455" s="23">
        <v>1884.05</v>
      </c>
      <c r="W2455" s="23">
        <v>1884.05</v>
      </c>
      <c r="X2455" s="20">
        <v>65</v>
      </c>
      <c r="Y2455" s="24" t="s">
        <v>3713</v>
      </c>
      <c r="Z2455" s="16">
        <v>1601.05</v>
      </c>
      <c r="AA2455" s="17">
        <v>565.70000000000005</v>
      </c>
      <c r="AB2455" s="25" t="s">
        <v>3714</v>
      </c>
    </row>
    <row r="2456" spans="1:28" x14ac:dyDescent="0.45">
      <c r="A2456" s="4" t="s">
        <v>3353</v>
      </c>
      <c r="B2456" s="4" t="s">
        <v>3354</v>
      </c>
      <c r="C2456" s="4" t="s">
        <v>2797</v>
      </c>
      <c r="D2456" s="4" t="s">
        <v>3347</v>
      </c>
      <c r="E2456" s="4" t="s">
        <v>96</v>
      </c>
      <c r="F2456" s="5">
        <v>32</v>
      </c>
      <c r="G2456" s="5">
        <v>47</v>
      </c>
      <c r="H2456" s="4" t="s">
        <v>3348</v>
      </c>
      <c r="I2456" s="10">
        <v>301</v>
      </c>
      <c r="J2456" s="34">
        <f t="shared" si="152"/>
        <v>2.6187</v>
      </c>
      <c r="K2456" s="34">
        <f t="shared" si="153"/>
        <v>3.93</v>
      </c>
      <c r="L2456" s="34">
        <f t="shared" si="154"/>
        <v>15.72</v>
      </c>
      <c r="M2456" s="11" t="s">
        <v>5466</v>
      </c>
      <c r="N2456" s="11" t="s">
        <v>5377</v>
      </c>
      <c r="O2456" s="11" t="s">
        <v>5291</v>
      </c>
      <c r="P2456" s="11" t="s">
        <v>5378</v>
      </c>
      <c r="Q2456" s="12">
        <v>32</v>
      </c>
      <c r="R2456" s="12">
        <v>47</v>
      </c>
      <c r="S2456" s="12">
        <v>22.5</v>
      </c>
      <c r="T2456" s="13">
        <v>14</v>
      </c>
      <c r="U2456" s="13">
        <f t="shared" si="155"/>
        <v>-1.7200000000000006</v>
      </c>
      <c r="V2456" s="14">
        <v>1715</v>
      </c>
      <c r="W2456" s="14">
        <v>1715</v>
      </c>
      <c r="X2456" s="11">
        <v>3</v>
      </c>
      <c r="Y2456" s="15" t="s">
        <v>3713</v>
      </c>
      <c r="Z2456" s="16">
        <v>1414</v>
      </c>
      <c r="AA2456" s="17">
        <v>469.8</v>
      </c>
      <c r="AB2456" s="18" t="s">
        <v>3714</v>
      </c>
    </row>
    <row r="2457" spans="1:28" x14ac:dyDescent="0.45">
      <c r="A2457" s="2" t="s">
        <v>3355</v>
      </c>
      <c r="B2457" s="2" t="s">
        <v>3356</v>
      </c>
      <c r="C2457" s="2" t="s">
        <v>2797</v>
      </c>
      <c r="D2457" s="2" t="s">
        <v>3347</v>
      </c>
      <c r="E2457" s="2" t="s">
        <v>96</v>
      </c>
      <c r="F2457" s="3">
        <v>35</v>
      </c>
      <c r="G2457" s="3">
        <v>50</v>
      </c>
      <c r="H2457" s="2" t="s">
        <v>3348</v>
      </c>
      <c r="I2457" s="19">
        <v>310</v>
      </c>
      <c r="J2457" s="34">
        <f t="shared" si="152"/>
        <v>2.6969999999999996</v>
      </c>
      <c r="K2457" s="34">
        <f t="shared" si="153"/>
        <v>4.05</v>
      </c>
      <c r="L2457" s="34">
        <f t="shared" si="154"/>
        <v>16.2</v>
      </c>
      <c r="M2457" s="20" t="s">
        <v>5273</v>
      </c>
      <c r="N2457" s="20" t="s">
        <v>5274</v>
      </c>
      <c r="O2457" s="20" t="s">
        <v>5251</v>
      </c>
      <c r="P2457" s="20" t="s">
        <v>5275</v>
      </c>
      <c r="Q2457" s="21">
        <v>35</v>
      </c>
      <c r="R2457" s="21">
        <v>50</v>
      </c>
      <c r="S2457" s="21">
        <v>22.5</v>
      </c>
      <c r="T2457" s="22">
        <v>34.479999999999997</v>
      </c>
      <c r="U2457" s="13">
        <f t="shared" si="155"/>
        <v>18.279999999999998</v>
      </c>
      <c r="V2457" s="23">
        <v>4223.8</v>
      </c>
      <c r="W2457" s="23">
        <v>4223.8</v>
      </c>
      <c r="X2457" s="20" t="s">
        <v>3722</v>
      </c>
      <c r="Y2457" s="24" t="s">
        <v>3713</v>
      </c>
      <c r="Z2457" s="16">
        <v>3913.8</v>
      </c>
      <c r="AA2457" s="17">
        <v>1262.5</v>
      </c>
      <c r="AB2457" s="25" t="s">
        <v>3714</v>
      </c>
    </row>
    <row r="2458" spans="1:28" x14ac:dyDescent="0.45">
      <c r="A2458" s="4" t="s">
        <v>3357</v>
      </c>
      <c r="B2458" s="4" t="s">
        <v>3358</v>
      </c>
      <c r="C2458" s="4" t="s">
        <v>2797</v>
      </c>
      <c r="D2458" s="4" t="s">
        <v>3347</v>
      </c>
      <c r="E2458" s="4" t="s">
        <v>96</v>
      </c>
      <c r="F2458" s="5">
        <v>36</v>
      </c>
      <c r="G2458" s="5">
        <v>48</v>
      </c>
      <c r="H2458" s="4" t="s">
        <v>2777</v>
      </c>
      <c r="I2458" s="10">
        <v>283</v>
      </c>
      <c r="J2458" s="34">
        <f t="shared" si="152"/>
        <v>2.4621</v>
      </c>
      <c r="K2458" s="34">
        <f t="shared" si="153"/>
        <v>3.69</v>
      </c>
      <c r="L2458" s="34">
        <f t="shared" si="154"/>
        <v>14.76</v>
      </c>
      <c r="M2458" s="11" t="s">
        <v>5467</v>
      </c>
      <c r="N2458" s="11" t="s">
        <v>5290</v>
      </c>
      <c r="O2458" s="11" t="s">
        <v>5291</v>
      </c>
      <c r="P2458" s="11" t="s">
        <v>5292</v>
      </c>
      <c r="Q2458" s="12">
        <v>36</v>
      </c>
      <c r="R2458" s="12">
        <v>48</v>
      </c>
      <c r="S2458" s="12">
        <v>9</v>
      </c>
      <c r="T2458" s="13">
        <v>5.78</v>
      </c>
      <c r="U2458" s="13">
        <f t="shared" si="155"/>
        <v>-8.98</v>
      </c>
      <c r="V2458" s="14">
        <v>708.05</v>
      </c>
      <c r="W2458" s="14">
        <v>708.05</v>
      </c>
      <c r="X2458" s="11">
        <v>32</v>
      </c>
      <c r="Y2458" s="15" t="s">
        <v>3713</v>
      </c>
      <c r="Z2458" s="16">
        <v>425.05</v>
      </c>
      <c r="AA2458" s="17">
        <v>150.19999999999999</v>
      </c>
      <c r="AB2458" s="18" t="s">
        <v>3714</v>
      </c>
    </row>
    <row r="2459" spans="1:28" x14ac:dyDescent="0.45">
      <c r="A2459" s="2" t="s">
        <v>3359</v>
      </c>
      <c r="B2459" s="2" t="s">
        <v>3360</v>
      </c>
      <c r="C2459" s="2" t="s">
        <v>2797</v>
      </c>
      <c r="D2459" s="2" t="s">
        <v>3347</v>
      </c>
      <c r="E2459" s="2" t="s">
        <v>96</v>
      </c>
      <c r="F2459" s="3">
        <v>36</v>
      </c>
      <c r="G2459" s="3">
        <v>48</v>
      </c>
      <c r="H2459" s="2" t="s">
        <v>3348</v>
      </c>
      <c r="I2459" s="19">
        <v>291</v>
      </c>
      <c r="J2459" s="34">
        <f t="shared" si="152"/>
        <v>2.5316999999999998</v>
      </c>
      <c r="K2459" s="34">
        <f t="shared" si="153"/>
        <v>3.8</v>
      </c>
      <c r="L2459" s="34">
        <f t="shared" si="154"/>
        <v>15.2</v>
      </c>
      <c r="M2459" s="20" t="s">
        <v>5467</v>
      </c>
      <c r="N2459" s="20" t="s">
        <v>5290</v>
      </c>
      <c r="O2459" s="20" t="s">
        <v>5291</v>
      </c>
      <c r="P2459" s="20" t="s">
        <v>5292</v>
      </c>
      <c r="Q2459" s="21">
        <v>36</v>
      </c>
      <c r="R2459" s="21">
        <v>48</v>
      </c>
      <c r="S2459" s="21">
        <v>9</v>
      </c>
      <c r="T2459" s="22">
        <v>5.78</v>
      </c>
      <c r="U2459" s="13">
        <f t="shared" si="155"/>
        <v>-9.4199999999999982</v>
      </c>
      <c r="V2459" s="23">
        <v>708.05</v>
      </c>
      <c r="W2459" s="23">
        <v>708.05</v>
      </c>
      <c r="X2459" s="20">
        <v>32</v>
      </c>
      <c r="Y2459" s="24" t="s">
        <v>3713</v>
      </c>
      <c r="Z2459" s="16">
        <v>417.05</v>
      </c>
      <c r="AA2459" s="17">
        <v>143.30000000000001</v>
      </c>
      <c r="AB2459" s="25" t="s">
        <v>3714</v>
      </c>
    </row>
    <row r="2460" spans="1:28" x14ac:dyDescent="0.45">
      <c r="A2460" s="4" t="s">
        <v>3361</v>
      </c>
      <c r="B2460" s="4" t="s">
        <v>3362</v>
      </c>
      <c r="C2460" s="4" t="s">
        <v>2797</v>
      </c>
      <c r="D2460" s="4" t="s">
        <v>3347</v>
      </c>
      <c r="E2460" s="4" t="s">
        <v>96</v>
      </c>
      <c r="F2460" s="5">
        <v>36</v>
      </c>
      <c r="G2460" s="5">
        <v>51</v>
      </c>
      <c r="H2460" s="4" t="s">
        <v>3348</v>
      </c>
      <c r="I2460" s="10">
        <v>310</v>
      </c>
      <c r="J2460" s="34">
        <f t="shared" si="152"/>
        <v>2.6969999999999996</v>
      </c>
      <c r="K2460" s="34">
        <f t="shared" si="153"/>
        <v>4.05</v>
      </c>
      <c r="L2460" s="34">
        <f t="shared" si="154"/>
        <v>16.2</v>
      </c>
      <c r="M2460" s="11" t="s">
        <v>5468</v>
      </c>
      <c r="N2460" s="11" t="s">
        <v>5377</v>
      </c>
      <c r="O2460" s="11" t="s">
        <v>5291</v>
      </c>
      <c r="P2460" s="11" t="s">
        <v>5378</v>
      </c>
      <c r="Q2460" s="12">
        <v>36</v>
      </c>
      <c r="R2460" s="12">
        <v>51</v>
      </c>
      <c r="S2460" s="12">
        <v>22.5</v>
      </c>
      <c r="T2460" s="13">
        <v>49.87</v>
      </c>
      <c r="U2460" s="13">
        <f t="shared" si="155"/>
        <v>33.67</v>
      </c>
      <c r="V2460" s="14">
        <v>6109.08</v>
      </c>
      <c r="W2460" s="14">
        <v>6109.08</v>
      </c>
      <c r="X2460" s="11">
        <v>5</v>
      </c>
      <c r="Y2460" s="15" t="s">
        <v>3713</v>
      </c>
      <c r="Z2460" s="16">
        <v>5799.08</v>
      </c>
      <c r="AA2460" s="17">
        <v>1870.7</v>
      </c>
      <c r="AB2460" s="18" t="s">
        <v>3714</v>
      </c>
    </row>
    <row r="2461" spans="1:28" x14ac:dyDescent="0.45">
      <c r="A2461" s="2" t="s">
        <v>3363</v>
      </c>
      <c r="B2461" s="2" t="s">
        <v>3364</v>
      </c>
      <c r="C2461" s="2" t="s">
        <v>2797</v>
      </c>
      <c r="D2461" s="2" t="s">
        <v>3347</v>
      </c>
      <c r="E2461" s="2" t="s">
        <v>96</v>
      </c>
      <c r="F2461" s="3">
        <v>40</v>
      </c>
      <c r="G2461" s="3">
        <v>55</v>
      </c>
      <c r="H2461" s="2" t="s">
        <v>3348</v>
      </c>
      <c r="I2461" s="19">
        <v>320</v>
      </c>
      <c r="J2461" s="34">
        <f t="shared" si="152"/>
        <v>2.7839999999999998</v>
      </c>
      <c r="K2461" s="34">
        <f t="shared" si="153"/>
        <v>4.18</v>
      </c>
      <c r="L2461" s="34">
        <f t="shared" si="154"/>
        <v>16.72</v>
      </c>
      <c r="M2461" s="20" t="s">
        <v>5469</v>
      </c>
      <c r="N2461" s="20" t="s">
        <v>5274</v>
      </c>
      <c r="O2461" s="20" t="s">
        <v>5251</v>
      </c>
      <c r="P2461" s="20" t="s">
        <v>5275</v>
      </c>
      <c r="Q2461" s="21">
        <v>40</v>
      </c>
      <c r="R2461" s="21">
        <v>55</v>
      </c>
      <c r="S2461" s="21">
        <v>22.5</v>
      </c>
      <c r="T2461" s="22">
        <v>33.32</v>
      </c>
      <c r="U2461" s="13">
        <f t="shared" si="155"/>
        <v>16.600000000000001</v>
      </c>
      <c r="V2461" s="23">
        <v>4081.7</v>
      </c>
      <c r="W2461" s="23">
        <v>4081.7</v>
      </c>
      <c r="X2461" s="20">
        <v>7</v>
      </c>
      <c r="Y2461" s="24" t="s">
        <v>3713</v>
      </c>
      <c r="Z2461" s="16">
        <v>3761.7</v>
      </c>
      <c r="AA2461" s="17">
        <v>1175.5</v>
      </c>
      <c r="AB2461" s="25" t="s">
        <v>3714</v>
      </c>
    </row>
    <row r="2462" spans="1:28" x14ac:dyDescent="0.45">
      <c r="A2462" s="4" t="s">
        <v>3365</v>
      </c>
      <c r="B2462" s="4" t="s">
        <v>3366</v>
      </c>
      <c r="C2462" s="4" t="s">
        <v>2797</v>
      </c>
      <c r="D2462" s="4" t="s">
        <v>3347</v>
      </c>
      <c r="E2462" s="4" t="s">
        <v>96</v>
      </c>
      <c r="F2462" s="5">
        <v>45</v>
      </c>
      <c r="G2462" s="5">
        <v>60</v>
      </c>
      <c r="H2462" s="4" t="s">
        <v>3348</v>
      </c>
      <c r="I2462" s="10">
        <v>328</v>
      </c>
      <c r="J2462" s="34">
        <f t="shared" si="152"/>
        <v>2.8535999999999997</v>
      </c>
      <c r="K2462" s="34">
        <f t="shared" si="153"/>
        <v>4.28</v>
      </c>
      <c r="L2462" s="34">
        <f t="shared" si="154"/>
        <v>17.12</v>
      </c>
      <c r="M2462" s="11" t="s">
        <v>5295</v>
      </c>
      <c r="N2462" s="11" t="s">
        <v>5254</v>
      </c>
      <c r="O2462" s="11" t="s">
        <v>5251</v>
      </c>
      <c r="P2462" s="11" t="s">
        <v>5255</v>
      </c>
      <c r="Q2462" s="12">
        <v>45</v>
      </c>
      <c r="R2462" s="12">
        <v>60</v>
      </c>
      <c r="S2462" s="12">
        <v>10</v>
      </c>
      <c r="T2462" s="13">
        <v>6.01</v>
      </c>
      <c r="U2462" s="13">
        <f t="shared" si="155"/>
        <v>-11.110000000000001</v>
      </c>
      <c r="V2462" s="14">
        <v>736.22</v>
      </c>
      <c r="W2462" s="14">
        <v>736.22</v>
      </c>
      <c r="X2462" s="11">
        <v>254</v>
      </c>
      <c r="Y2462" s="15" t="s">
        <v>3713</v>
      </c>
      <c r="Z2462" s="16">
        <v>408.22</v>
      </c>
      <c r="AA2462" s="17">
        <v>124.5</v>
      </c>
      <c r="AB2462" s="18" t="s">
        <v>3714</v>
      </c>
    </row>
    <row r="2463" spans="1:28" x14ac:dyDescent="0.45">
      <c r="A2463" s="2" t="s">
        <v>3367</v>
      </c>
      <c r="B2463" s="2" t="s">
        <v>3368</v>
      </c>
      <c r="C2463" s="2" t="s">
        <v>2797</v>
      </c>
      <c r="D2463" s="2" t="s">
        <v>3347</v>
      </c>
      <c r="E2463" s="2" t="s">
        <v>96</v>
      </c>
      <c r="F2463" s="3">
        <v>45</v>
      </c>
      <c r="G2463" s="3">
        <v>63</v>
      </c>
      <c r="H2463" s="2" t="s">
        <v>2778</v>
      </c>
      <c r="I2463" s="19">
        <v>401</v>
      </c>
      <c r="J2463" s="34">
        <f t="shared" si="152"/>
        <v>3.4886999999999997</v>
      </c>
      <c r="K2463" s="34">
        <f t="shared" si="153"/>
        <v>5.23</v>
      </c>
      <c r="L2463" s="34">
        <f t="shared" si="154"/>
        <v>20.92</v>
      </c>
      <c r="M2463" s="20" t="s">
        <v>5470</v>
      </c>
      <c r="N2463" s="20" t="s">
        <v>5290</v>
      </c>
      <c r="O2463" s="20" t="s">
        <v>5291</v>
      </c>
      <c r="P2463" s="20" t="s">
        <v>5292</v>
      </c>
      <c r="Q2463" s="21">
        <v>45</v>
      </c>
      <c r="R2463" s="21">
        <v>63</v>
      </c>
      <c r="S2463" s="21">
        <v>10.5</v>
      </c>
      <c r="T2463" s="22">
        <v>7.41</v>
      </c>
      <c r="U2463" s="13">
        <f t="shared" si="155"/>
        <v>-13.510000000000002</v>
      </c>
      <c r="V2463" s="23">
        <v>907.72</v>
      </c>
      <c r="W2463" s="23">
        <v>907.72</v>
      </c>
      <c r="X2463" s="20">
        <v>58</v>
      </c>
      <c r="Y2463" s="24" t="s">
        <v>3713</v>
      </c>
      <c r="Z2463" s="16">
        <v>506.72</v>
      </c>
      <c r="AA2463" s="17">
        <v>126.4</v>
      </c>
      <c r="AB2463" s="25" t="s">
        <v>3714</v>
      </c>
    </row>
    <row r="2464" spans="1:28" x14ac:dyDescent="0.45">
      <c r="A2464" s="4" t="s">
        <v>3369</v>
      </c>
      <c r="B2464" s="4" t="s">
        <v>3370</v>
      </c>
      <c r="C2464" s="4" t="s">
        <v>2797</v>
      </c>
      <c r="D2464" s="4" t="s">
        <v>3347</v>
      </c>
      <c r="E2464" s="4" t="s">
        <v>96</v>
      </c>
      <c r="F2464" s="5">
        <v>45</v>
      </c>
      <c r="G2464" s="5">
        <v>65</v>
      </c>
      <c r="H2464" s="4" t="s">
        <v>2778</v>
      </c>
      <c r="I2464" s="10">
        <v>416</v>
      </c>
      <c r="J2464" s="34">
        <f t="shared" si="152"/>
        <v>3.6191999999999998</v>
      </c>
      <c r="K2464" s="34">
        <f t="shared" si="153"/>
        <v>5.43</v>
      </c>
      <c r="L2464" s="34">
        <f t="shared" si="154"/>
        <v>21.72</v>
      </c>
      <c r="M2464" s="11" t="s">
        <v>5471</v>
      </c>
      <c r="N2464" s="11" t="s">
        <v>5377</v>
      </c>
      <c r="O2464" s="11" t="s">
        <v>5291</v>
      </c>
      <c r="P2464" s="11" t="s">
        <v>5378</v>
      </c>
      <c r="Q2464" s="12">
        <v>45</v>
      </c>
      <c r="R2464" s="12">
        <v>65</v>
      </c>
      <c r="S2464" s="12">
        <v>28</v>
      </c>
      <c r="T2464" s="13">
        <v>14.33</v>
      </c>
      <c r="U2464" s="13">
        <f t="shared" si="155"/>
        <v>-7.3899999999999988</v>
      </c>
      <c r="V2464" s="14">
        <v>1755.42</v>
      </c>
      <c r="W2464" s="14">
        <v>1755.42</v>
      </c>
      <c r="X2464" s="11">
        <v>2</v>
      </c>
      <c r="Y2464" s="15" t="s">
        <v>3713</v>
      </c>
      <c r="Z2464" s="16">
        <v>1339.42</v>
      </c>
      <c r="AA2464" s="17">
        <v>322</v>
      </c>
      <c r="AB2464" s="18" t="s">
        <v>3714</v>
      </c>
    </row>
    <row r="2465" spans="1:28" x14ac:dyDescent="0.45">
      <c r="A2465" s="2" t="s">
        <v>3371</v>
      </c>
      <c r="B2465" s="2" t="s">
        <v>3372</v>
      </c>
      <c r="C2465" s="2" t="s">
        <v>2797</v>
      </c>
      <c r="D2465" s="2" t="s">
        <v>3347</v>
      </c>
      <c r="E2465" s="2" t="s">
        <v>96</v>
      </c>
      <c r="F2465" s="3">
        <v>50</v>
      </c>
      <c r="G2465" s="3">
        <v>65</v>
      </c>
      <c r="H2465" s="2" t="s">
        <v>3348</v>
      </c>
      <c r="I2465" s="19">
        <v>347</v>
      </c>
      <c r="J2465" s="34">
        <f t="shared" si="152"/>
        <v>3.0188999999999999</v>
      </c>
      <c r="K2465" s="34">
        <f t="shared" si="153"/>
        <v>4.53</v>
      </c>
      <c r="L2465" s="34">
        <f t="shared" si="154"/>
        <v>18.12</v>
      </c>
      <c r="M2465" s="20" t="s">
        <v>5300</v>
      </c>
      <c r="N2465" s="20" t="s">
        <v>5301</v>
      </c>
      <c r="O2465" s="20" t="s">
        <v>5251</v>
      </c>
      <c r="P2465" s="20" t="s">
        <v>5302</v>
      </c>
      <c r="Q2465" s="21">
        <v>50</v>
      </c>
      <c r="R2465" s="21">
        <v>65</v>
      </c>
      <c r="S2465" s="21">
        <v>10</v>
      </c>
      <c r="T2465" s="22">
        <v>32.5</v>
      </c>
      <c r="U2465" s="13">
        <f t="shared" si="155"/>
        <v>14.379999999999999</v>
      </c>
      <c r="V2465" s="23">
        <v>3981.25</v>
      </c>
      <c r="W2465" s="23">
        <v>3981.25</v>
      </c>
      <c r="X2465" s="20" t="s">
        <v>3722</v>
      </c>
      <c r="Y2465" s="24" t="s">
        <v>3713</v>
      </c>
      <c r="Z2465" s="16">
        <v>3634.25</v>
      </c>
      <c r="AA2465" s="17">
        <v>1047.3</v>
      </c>
      <c r="AB2465" s="25" t="s">
        <v>3714</v>
      </c>
    </row>
    <row r="2466" spans="1:28" x14ac:dyDescent="0.45">
      <c r="A2466" s="4" t="s">
        <v>3373</v>
      </c>
      <c r="B2466" s="4" t="s">
        <v>3374</v>
      </c>
      <c r="C2466" s="4" t="s">
        <v>2797</v>
      </c>
      <c r="D2466" s="4" t="s">
        <v>3347</v>
      </c>
      <c r="E2466" s="4" t="s">
        <v>96</v>
      </c>
      <c r="F2466" s="5">
        <v>50</v>
      </c>
      <c r="G2466" s="5">
        <v>70</v>
      </c>
      <c r="H2466" s="4" t="s">
        <v>2778</v>
      </c>
      <c r="I2466" s="10">
        <v>443</v>
      </c>
      <c r="J2466" s="34">
        <f t="shared" si="152"/>
        <v>3.8540999999999999</v>
      </c>
      <c r="K2466" s="34">
        <f t="shared" si="153"/>
        <v>5.78</v>
      </c>
      <c r="L2466" s="34">
        <f t="shared" si="154"/>
        <v>23.12</v>
      </c>
      <c r="M2466" s="11" t="s">
        <v>5472</v>
      </c>
      <c r="N2466" s="11" t="s">
        <v>5377</v>
      </c>
      <c r="O2466" s="11" t="s">
        <v>5291</v>
      </c>
      <c r="P2466" s="11" t="s">
        <v>5378</v>
      </c>
      <c r="Q2466" s="12">
        <v>50</v>
      </c>
      <c r="R2466" s="12">
        <v>70</v>
      </c>
      <c r="S2466" s="12">
        <v>30</v>
      </c>
      <c r="T2466" s="13">
        <v>19.23</v>
      </c>
      <c r="U2466" s="13">
        <f t="shared" si="155"/>
        <v>-3.8900000000000006</v>
      </c>
      <c r="V2466" s="14">
        <v>2355.6799999999998</v>
      </c>
      <c r="W2466" s="14">
        <v>2355.6799999999998</v>
      </c>
      <c r="X2466" s="11">
        <v>13</v>
      </c>
      <c r="Y2466" s="15" t="s">
        <v>3713</v>
      </c>
      <c r="Z2466" s="16">
        <v>1912.68</v>
      </c>
      <c r="AA2466" s="17">
        <v>431.8</v>
      </c>
      <c r="AB2466" s="18" t="s">
        <v>3714</v>
      </c>
    </row>
    <row r="2467" spans="1:28" x14ac:dyDescent="0.45">
      <c r="A2467" s="2" t="s">
        <v>3375</v>
      </c>
      <c r="B2467" s="2" t="s">
        <v>3376</v>
      </c>
      <c r="C2467" s="2" t="s">
        <v>2797</v>
      </c>
      <c r="D2467" s="2" t="s">
        <v>3347</v>
      </c>
      <c r="E2467" s="2" t="s">
        <v>96</v>
      </c>
      <c r="F2467" s="3">
        <v>55</v>
      </c>
      <c r="G2467" s="3">
        <v>70</v>
      </c>
      <c r="H2467" s="2" t="s">
        <v>418</v>
      </c>
      <c r="I2467" s="19">
        <v>434</v>
      </c>
      <c r="J2467" s="34">
        <f t="shared" si="152"/>
        <v>3.7757999999999998</v>
      </c>
      <c r="K2467" s="34">
        <f t="shared" si="153"/>
        <v>5.66</v>
      </c>
      <c r="L2467" s="34">
        <f t="shared" si="154"/>
        <v>22.64</v>
      </c>
      <c r="M2467" s="20" t="s">
        <v>5304</v>
      </c>
      <c r="N2467" s="20" t="s">
        <v>5254</v>
      </c>
      <c r="O2467" s="20" t="s">
        <v>5251</v>
      </c>
      <c r="P2467" s="20" t="s">
        <v>5255</v>
      </c>
      <c r="Q2467" s="21">
        <v>55</v>
      </c>
      <c r="R2467" s="21">
        <v>70</v>
      </c>
      <c r="S2467" s="21">
        <v>11.8</v>
      </c>
      <c r="T2467" s="22">
        <v>18.32</v>
      </c>
      <c r="U2467" s="13">
        <f t="shared" si="155"/>
        <v>-4.32</v>
      </c>
      <c r="V2467" s="23">
        <v>2244.1999999999998</v>
      </c>
      <c r="W2467" s="23">
        <v>2244.1999999999998</v>
      </c>
      <c r="X2467" s="20">
        <v>44</v>
      </c>
      <c r="Y2467" s="24" t="s">
        <v>3713</v>
      </c>
      <c r="Z2467" s="16">
        <v>1810.2</v>
      </c>
      <c r="AA2467" s="17">
        <v>417.1</v>
      </c>
      <c r="AB2467" s="25" t="s">
        <v>3714</v>
      </c>
    </row>
    <row r="2468" spans="1:28" x14ac:dyDescent="0.45">
      <c r="A2468" s="4" t="s">
        <v>3377</v>
      </c>
      <c r="B2468" s="4" t="s">
        <v>3378</v>
      </c>
      <c r="C2468" s="4" t="s">
        <v>2797</v>
      </c>
      <c r="D2468" s="4" t="s">
        <v>3347</v>
      </c>
      <c r="E2468" s="4" t="s">
        <v>96</v>
      </c>
      <c r="F2468" s="5">
        <v>55</v>
      </c>
      <c r="G2468" s="5">
        <v>75</v>
      </c>
      <c r="H2468" s="4" t="s">
        <v>3379</v>
      </c>
      <c r="I2468" s="10">
        <v>512</v>
      </c>
      <c r="J2468" s="34">
        <f t="shared" si="152"/>
        <v>4.4543999999999997</v>
      </c>
      <c r="K2468" s="34">
        <f t="shared" si="153"/>
        <v>6.68</v>
      </c>
      <c r="L2468" s="34">
        <f t="shared" si="154"/>
        <v>26.72</v>
      </c>
      <c r="M2468" s="11" t="s">
        <v>5473</v>
      </c>
      <c r="N2468" s="11" t="s">
        <v>5274</v>
      </c>
      <c r="O2468" s="11" t="s">
        <v>5251</v>
      </c>
      <c r="P2468" s="11" t="s">
        <v>5275</v>
      </c>
      <c r="Q2468" s="12">
        <v>55</v>
      </c>
      <c r="R2468" s="12">
        <v>75</v>
      </c>
      <c r="S2468" s="12">
        <v>30</v>
      </c>
      <c r="T2468" s="13">
        <v>39.67</v>
      </c>
      <c r="U2468" s="13">
        <f t="shared" si="155"/>
        <v>12.950000000000003</v>
      </c>
      <c r="V2468" s="14">
        <v>4859.58</v>
      </c>
      <c r="W2468" s="14">
        <v>4859.58</v>
      </c>
      <c r="X2468" s="11" t="s">
        <v>3722</v>
      </c>
      <c r="Y2468" s="15" t="s">
        <v>3713</v>
      </c>
      <c r="Z2468" s="16">
        <v>4347.58</v>
      </c>
      <c r="AA2468" s="17">
        <v>849.1</v>
      </c>
      <c r="AB2468" s="18" t="s">
        <v>3714</v>
      </c>
    </row>
    <row r="2469" spans="1:28" x14ac:dyDescent="0.45">
      <c r="A2469" s="2" t="s">
        <v>3380</v>
      </c>
      <c r="B2469" s="2" t="s">
        <v>3381</v>
      </c>
      <c r="C2469" s="2" t="s">
        <v>2797</v>
      </c>
      <c r="D2469" s="2" t="s">
        <v>3347</v>
      </c>
      <c r="E2469" s="2" t="s">
        <v>96</v>
      </c>
      <c r="F2469" s="3">
        <v>56</v>
      </c>
      <c r="G2469" s="3">
        <v>71</v>
      </c>
      <c r="H2469" s="2" t="s">
        <v>3348</v>
      </c>
      <c r="I2469" s="19">
        <v>372</v>
      </c>
      <c r="J2469" s="34">
        <f t="shared" si="152"/>
        <v>3.2363999999999997</v>
      </c>
      <c r="K2469" s="34">
        <f t="shared" si="153"/>
        <v>4.8499999999999996</v>
      </c>
      <c r="L2469" s="34">
        <f t="shared" si="154"/>
        <v>19.399999999999999</v>
      </c>
      <c r="M2469" s="20" t="s">
        <v>5457</v>
      </c>
      <c r="N2469" s="20" t="s">
        <v>5274</v>
      </c>
      <c r="O2469" s="20" t="s">
        <v>5251</v>
      </c>
      <c r="P2469" s="20" t="s">
        <v>5275</v>
      </c>
      <c r="Q2469" s="21">
        <v>56</v>
      </c>
      <c r="R2469" s="21">
        <v>71</v>
      </c>
      <c r="S2469" s="21">
        <v>29</v>
      </c>
      <c r="T2469" s="22">
        <v>66.41</v>
      </c>
      <c r="U2469" s="13">
        <f t="shared" si="155"/>
        <v>47.01</v>
      </c>
      <c r="V2469" s="23">
        <v>8135.22</v>
      </c>
      <c r="W2469" s="23">
        <v>8135.22</v>
      </c>
      <c r="X2469" s="20">
        <v>1</v>
      </c>
      <c r="Y2469" s="24" t="s">
        <v>3713</v>
      </c>
      <c r="Z2469" s="16">
        <v>7763.22</v>
      </c>
      <c r="AA2469" s="17">
        <v>2086.9</v>
      </c>
      <c r="AB2469" s="25" t="s">
        <v>3714</v>
      </c>
    </row>
    <row r="2470" spans="1:28" x14ac:dyDescent="0.45">
      <c r="A2470" s="4" t="s">
        <v>3382</v>
      </c>
      <c r="B2470" s="4" t="s">
        <v>3383</v>
      </c>
      <c r="C2470" s="4" t="s">
        <v>2797</v>
      </c>
      <c r="D2470" s="4" t="s">
        <v>3347</v>
      </c>
      <c r="E2470" s="4" t="s">
        <v>96</v>
      </c>
      <c r="F2470" s="5">
        <v>56</v>
      </c>
      <c r="G2470" s="5">
        <v>76</v>
      </c>
      <c r="H2470" s="4" t="s">
        <v>3379</v>
      </c>
      <c r="I2470" s="10">
        <v>523</v>
      </c>
      <c r="J2470" s="34">
        <f t="shared" si="152"/>
        <v>4.5500999999999996</v>
      </c>
      <c r="K2470" s="34">
        <f t="shared" si="153"/>
        <v>6.83</v>
      </c>
      <c r="L2470" s="34">
        <f t="shared" si="154"/>
        <v>27.32</v>
      </c>
      <c r="M2470" s="11" t="s">
        <v>5474</v>
      </c>
      <c r="N2470" s="11" t="s">
        <v>5377</v>
      </c>
      <c r="O2470" s="11" t="s">
        <v>5291</v>
      </c>
      <c r="P2470" s="11" t="s">
        <v>5378</v>
      </c>
      <c r="Q2470" s="12">
        <v>56</v>
      </c>
      <c r="R2470" s="12">
        <v>76</v>
      </c>
      <c r="S2470" s="12">
        <v>28</v>
      </c>
      <c r="T2470" s="13">
        <v>20.32</v>
      </c>
      <c r="U2470" s="13">
        <f t="shared" si="155"/>
        <v>-7</v>
      </c>
      <c r="V2470" s="14">
        <v>2489.1999999999998</v>
      </c>
      <c r="W2470" s="14">
        <v>2489.1999999999998</v>
      </c>
      <c r="X2470" s="11">
        <v>1</v>
      </c>
      <c r="Y2470" s="15" t="s">
        <v>3713</v>
      </c>
      <c r="Z2470" s="16">
        <v>1966.2</v>
      </c>
      <c r="AA2470" s="17">
        <v>375.9</v>
      </c>
      <c r="AB2470" s="18" t="s">
        <v>3714</v>
      </c>
    </row>
    <row r="2471" spans="1:28" x14ac:dyDescent="0.45">
      <c r="A2471" s="2" t="s">
        <v>3384</v>
      </c>
      <c r="B2471" s="2" t="s">
        <v>3385</v>
      </c>
      <c r="C2471" s="2" t="s">
        <v>2797</v>
      </c>
      <c r="D2471" s="2" t="s">
        <v>3347</v>
      </c>
      <c r="E2471" s="2" t="s">
        <v>96</v>
      </c>
      <c r="F2471" s="3">
        <v>60</v>
      </c>
      <c r="G2471" s="3">
        <v>75</v>
      </c>
      <c r="H2471" s="2" t="s">
        <v>3348</v>
      </c>
      <c r="I2471" s="19">
        <v>382</v>
      </c>
      <c r="J2471" s="34">
        <f t="shared" si="152"/>
        <v>3.3233999999999999</v>
      </c>
      <c r="K2471" s="34">
        <f t="shared" si="153"/>
        <v>4.99</v>
      </c>
      <c r="L2471" s="34">
        <f t="shared" si="154"/>
        <v>19.96</v>
      </c>
      <c r="M2471" s="20" t="s">
        <v>5475</v>
      </c>
      <c r="N2471" s="20" t="s">
        <v>5274</v>
      </c>
      <c r="O2471" s="20" t="s">
        <v>5251</v>
      </c>
      <c r="P2471" s="20" t="s">
        <v>5275</v>
      </c>
      <c r="Q2471" s="21">
        <v>60</v>
      </c>
      <c r="R2471" s="21">
        <v>75</v>
      </c>
      <c r="S2471" s="21">
        <v>25</v>
      </c>
      <c r="T2471" s="22">
        <v>65.650000000000006</v>
      </c>
      <c r="U2471" s="13">
        <f t="shared" si="155"/>
        <v>45.690000000000005</v>
      </c>
      <c r="V2471" s="23">
        <v>8042.13</v>
      </c>
      <c r="W2471" s="23">
        <v>8042.13</v>
      </c>
      <c r="X2471" s="20">
        <v>10</v>
      </c>
      <c r="Y2471" s="24" t="s">
        <v>3713</v>
      </c>
      <c r="Z2471" s="16">
        <v>7660.13</v>
      </c>
      <c r="AA2471" s="17">
        <v>2005.3</v>
      </c>
      <c r="AB2471" s="25" t="s">
        <v>3714</v>
      </c>
    </row>
    <row r="2472" spans="1:28" x14ac:dyDescent="0.45">
      <c r="A2472" s="4" t="s">
        <v>3386</v>
      </c>
      <c r="B2472" s="4" t="s">
        <v>3387</v>
      </c>
      <c r="C2472" s="4" t="s">
        <v>2797</v>
      </c>
      <c r="D2472" s="4" t="s">
        <v>3347</v>
      </c>
      <c r="E2472" s="4" t="s">
        <v>96</v>
      </c>
      <c r="F2472" s="5">
        <v>60</v>
      </c>
      <c r="G2472" s="5">
        <v>80</v>
      </c>
      <c r="H2472" s="4" t="s">
        <v>3379</v>
      </c>
      <c r="I2472" s="10">
        <v>539</v>
      </c>
      <c r="J2472" s="34">
        <f t="shared" si="152"/>
        <v>4.6892999999999994</v>
      </c>
      <c r="K2472" s="34">
        <f t="shared" si="153"/>
        <v>7.03</v>
      </c>
      <c r="L2472" s="34">
        <f t="shared" si="154"/>
        <v>28.12</v>
      </c>
      <c r="M2472" s="11" t="s">
        <v>5476</v>
      </c>
      <c r="N2472" s="11" t="s">
        <v>5377</v>
      </c>
      <c r="O2472" s="11" t="s">
        <v>5291</v>
      </c>
      <c r="P2472" s="11" t="s">
        <v>5378</v>
      </c>
      <c r="Q2472" s="12">
        <v>60</v>
      </c>
      <c r="R2472" s="12">
        <v>80</v>
      </c>
      <c r="S2472" s="12">
        <v>30</v>
      </c>
      <c r="T2472" s="13">
        <v>20.92</v>
      </c>
      <c r="U2472" s="13">
        <f t="shared" si="155"/>
        <v>-7.1999999999999993</v>
      </c>
      <c r="V2472" s="14">
        <v>2562.6999999999998</v>
      </c>
      <c r="W2472" s="14">
        <v>2562.6999999999998</v>
      </c>
      <c r="X2472" s="11">
        <v>4</v>
      </c>
      <c r="Y2472" s="15" t="s">
        <v>3713</v>
      </c>
      <c r="Z2472" s="16">
        <v>2023.7</v>
      </c>
      <c r="AA2472" s="17">
        <v>375.5</v>
      </c>
      <c r="AB2472" s="18" t="s">
        <v>3714</v>
      </c>
    </row>
    <row r="2473" spans="1:28" x14ac:dyDescent="0.45">
      <c r="A2473" s="2" t="s">
        <v>3388</v>
      </c>
      <c r="B2473" s="2" t="s">
        <v>3389</v>
      </c>
      <c r="C2473" s="2" t="s">
        <v>2797</v>
      </c>
      <c r="D2473" s="2" t="s">
        <v>3347</v>
      </c>
      <c r="E2473" s="2" t="s">
        <v>96</v>
      </c>
      <c r="F2473" s="3">
        <v>63</v>
      </c>
      <c r="G2473" s="3">
        <v>78</v>
      </c>
      <c r="H2473" s="2" t="s">
        <v>3348</v>
      </c>
      <c r="I2473" s="19">
        <v>382</v>
      </c>
      <c r="J2473" s="34">
        <f t="shared" si="152"/>
        <v>3.3233999999999999</v>
      </c>
      <c r="K2473" s="34">
        <f t="shared" si="153"/>
        <v>4.99</v>
      </c>
      <c r="L2473" s="34">
        <f t="shared" si="154"/>
        <v>19.96</v>
      </c>
      <c r="M2473" s="20" t="s">
        <v>5477</v>
      </c>
      <c r="N2473" s="20" t="s">
        <v>5254</v>
      </c>
      <c r="O2473" s="20" t="s">
        <v>5251</v>
      </c>
      <c r="P2473" s="20" t="s">
        <v>5255</v>
      </c>
      <c r="Q2473" s="21">
        <v>63</v>
      </c>
      <c r="R2473" s="21">
        <v>78</v>
      </c>
      <c r="S2473" s="21">
        <v>10</v>
      </c>
      <c r="T2473" s="22">
        <v>18.420000000000002</v>
      </c>
      <c r="U2473" s="13">
        <f t="shared" si="155"/>
        <v>-1.5399999999999991</v>
      </c>
      <c r="V2473" s="23">
        <v>2256.4499999999998</v>
      </c>
      <c r="W2473" s="23">
        <v>2256.4499999999998</v>
      </c>
      <c r="X2473" s="20">
        <v>17</v>
      </c>
      <c r="Y2473" s="24" t="s">
        <v>3713</v>
      </c>
      <c r="Z2473" s="16">
        <v>1874.45</v>
      </c>
      <c r="AA2473" s="17">
        <v>490.7</v>
      </c>
      <c r="AB2473" s="25" t="s">
        <v>3714</v>
      </c>
    </row>
    <row r="2474" spans="1:28" x14ac:dyDescent="0.45">
      <c r="A2474" s="4" t="s">
        <v>3390</v>
      </c>
      <c r="B2474" s="4" t="s">
        <v>3391</v>
      </c>
      <c r="C2474" s="4" t="s">
        <v>2797</v>
      </c>
      <c r="D2474" s="4" t="s">
        <v>3347</v>
      </c>
      <c r="E2474" s="4" t="s">
        <v>96</v>
      </c>
      <c r="F2474" s="5">
        <v>63</v>
      </c>
      <c r="G2474" s="5">
        <v>83</v>
      </c>
      <c r="H2474" s="4" t="s">
        <v>3379</v>
      </c>
      <c r="I2474" s="10">
        <v>557</v>
      </c>
      <c r="J2474" s="34">
        <f t="shared" si="152"/>
        <v>4.8458999999999994</v>
      </c>
      <c r="K2474" s="34">
        <f t="shared" si="153"/>
        <v>7.27</v>
      </c>
      <c r="L2474" s="34">
        <f t="shared" si="154"/>
        <v>29.08</v>
      </c>
      <c r="M2474" s="11" t="s">
        <v>5478</v>
      </c>
      <c r="N2474" s="11" t="s">
        <v>5274</v>
      </c>
      <c r="O2474" s="11" t="s">
        <v>5251</v>
      </c>
      <c r="P2474" s="11" t="s">
        <v>5275</v>
      </c>
      <c r="Q2474" s="12">
        <v>63</v>
      </c>
      <c r="R2474" s="12">
        <v>83</v>
      </c>
      <c r="S2474" s="12">
        <v>30</v>
      </c>
      <c r="T2474" s="13">
        <v>44.1</v>
      </c>
      <c r="U2474" s="13">
        <f t="shared" si="155"/>
        <v>15.020000000000003</v>
      </c>
      <c r="V2474" s="14">
        <v>5402.25</v>
      </c>
      <c r="W2474" s="14">
        <v>5402.25</v>
      </c>
      <c r="X2474" s="11" t="s">
        <v>3722</v>
      </c>
      <c r="Y2474" s="15" t="s">
        <v>3713</v>
      </c>
      <c r="Z2474" s="16">
        <v>4845.25</v>
      </c>
      <c r="AA2474" s="17">
        <v>869.9</v>
      </c>
      <c r="AB2474" s="18" t="s">
        <v>3714</v>
      </c>
    </row>
    <row r="2475" spans="1:28" x14ac:dyDescent="0.45">
      <c r="A2475" s="2" t="s">
        <v>3392</v>
      </c>
      <c r="B2475" s="2" t="s">
        <v>3393</v>
      </c>
      <c r="C2475" s="2" t="s">
        <v>2797</v>
      </c>
      <c r="D2475" s="2" t="s">
        <v>3347</v>
      </c>
      <c r="E2475" s="2" t="s">
        <v>96</v>
      </c>
      <c r="F2475" s="3">
        <v>70</v>
      </c>
      <c r="G2475" s="3">
        <v>85</v>
      </c>
      <c r="H2475" s="2" t="s">
        <v>3348</v>
      </c>
      <c r="I2475" s="19">
        <v>401</v>
      </c>
      <c r="J2475" s="34">
        <f t="shared" si="152"/>
        <v>3.4886999999999997</v>
      </c>
      <c r="K2475" s="34">
        <f t="shared" si="153"/>
        <v>5.23</v>
      </c>
      <c r="L2475" s="34">
        <f t="shared" si="154"/>
        <v>20.92</v>
      </c>
      <c r="M2475" s="20" t="s">
        <v>5316</v>
      </c>
      <c r="N2475" s="20" t="s">
        <v>5254</v>
      </c>
      <c r="O2475" s="20" t="s">
        <v>5251</v>
      </c>
      <c r="P2475" s="20" t="s">
        <v>5255</v>
      </c>
      <c r="Q2475" s="21">
        <v>70</v>
      </c>
      <c r="R2475" s="21">
        <v>85</v>
      </c>
      <c r="S2475" s="21">
        <v>9</v>
      </c>
      <c r="T2475" s="22">
        <v>9.69</v>
      </c>
      <c r="U2475" s="13">
        <f t="shared" si="155"/>
        <v>-11.230000000000002</v>
      </c>
      <c r="V2475" s="23">
        <v>1187.02</v>
      </c>
      <c r="W2475" s="23">
        <v>1187.02</v>
      </c>
      <c r="X2475" s="20">
        <v>122</v>
      </c>
      <c r="Y2475" s="24" t="s">
        <v>3713</v>
      </c>
      <c r="Z2475" s="16">
        <v>786.02</v>
      </c>
      <c r="AA2475" s="17">
        <v>196</v>
      </c>
      <c r="AB2475" s="25" t="s">
        <v>3714</v>
      </c>
    </row>
    <row r="2476" spans="1:28" x14ac:dyDescent="0.45">
      <c r="A2476" s="4" t="s">
        <v>3394</v>
      </c>
      <c r="B2476" s="4" t="s">
        <v>3395</v>
      </c>
      <c r="C2476" s="4" t="s">
        <v>2797</v>
      </c>
      <c r="D2476" s="4" t="s">
        <v>3347</v>
      </c>
      <c r="E2476" s="4" t="s">
        <v>96</v>
      </c>
      <c r="F2476" s="5">
        <v>70</v>
      </c>
      <c r="G2476" s="5">
        <v>90</v>
      </c>
      <c r="H2476" s="4" t="s">
        <v>3396</v>
      </c>
      <c r="I2476" s="10">
        <v>619</v>
      </c>
      <c r="J2476" s="34">
        <f t="shared" si="152"/>
        <v>5.3853</v>
      </c>
      <c r="K2476" s="34">
        <f t="shared" si="153"/>
        <v>8.08</v>
      </c>
      <c r="L2476" s="34">
        <f t="shared" si="154"/>
        <v>32.32</v>
      </c>
      <c r="M2476" s="11" t="s">
        <v>5479</v>
      </c>
      <c r="N2476" s="11" t="s">
        <v>5274</v>
      </c>
      <c r="O2476" s="11" t="s">
        <v>5251</v>
      </c>
      <c r="P2476" s="11" t="s">
        <v>5275</v>
      </c>
      <c r="Q2476" s="12">
        <v>70</v>
      </c>
      <c r="R2476" s="12">
        <v>90</v>
      </c>
      <c r="S2476" s="12">
        <v>30</v>
      </c>
      <c r="T2476" s="13">
        <v>45.6</v>
      </c>
      <c r="U2476" s="13">
        <f t="shared" si="155"/>
        <v>13.280000000000001</v>
      </c>
      <c r="V2476" s="14">
        <v>5586</v>
      </c>
      <c r="W2476" s="14">
        <v>5586</v>
      </c>
      <c r="X2476" s="11">
        <v>3</v>
      </c>
      <c r="Y2476" s="15" t="s">
        <v>3713</v>
      </c>
      <c r="Z2476" s="16">
        <v>4967</v>
      </c>
      <c r="AA2476" s="17">
        <v>802.4</v>
      </c>
      <c r="AB2476" s="18" t="s">
        <v>3714</v>
      </c>
    </row>
    <row r="2477" spans="1:28" x14ac:dyDescent="0.45">
      <c r="A2477" s="2" t="s">
        <v>3397</v>
      </c>
      <c r="B2477" s="2" t="s">
        <v>3398</v>
      </c>
      <c r="C2477" s="2" t="s">
        <v>2797</v>
      </c>
      <c r="D2477" s="2" t="s">
        <v>3347</v>
      </c>
      <c r="E2477" s="2" t="s">
        <v>96</v>
      </c>
      <c r="F2477" s="3">
        <v>75</v>
      </c>
      <c r="G2477" s="3">
        <v>90</v>
      </c>
      <c r="H2477" s="2" t="s">
        <v>3348</v>
      </c>
      <c r="I2477" s="19">
        <v>453</v>
      </c>
      <c r="J2477" s="34">
        <f t="shared" si="152"/>
        <v>3.9410999999999996</v>
      </c>
      <c r="K2477" s="34">
        <f t="shared" si="153"/>
        <v>5.91</v>
      </c>
      <c r="L2477" s="34">
        <f t="shared" si="154"/>
        <v>23.64</v>
      </c>
      <c r="M2477" s="20" t="s">
        <v>5318</v>
      </c>
      <c r="N2477" s="20" t="s">
        <v>5254</v>
      </c>
      <c r="O2477" s="20" t="s">
        <v>5251</v>
      </c>
      <c r="P2477" s="20" t="s">
        <v>5255</v>
      </c>
      <c r="Q2477" s="21">
        <v>75</v>
      </c>
      <c r="R2477" s="21">
        <v>90</v>
      </c>
      <c r="S2477" s="21">
        <v>9</v>
      </c>
      <c r="T2477" s="22">
        <v>11.57</v>
      </c>
      <c r="U2477" s="13">
        <f t="shared" si="155"/>
        <v>-12.07</v>
      </c>
      <c r="V2477" s="23">
        <v>1417.32</v>
      </c>
      <c r="W2477" s="23">
        <v>1417.32</v>
      </c>
      <c r="X2477" s="20">
        <v>467</v>
      </c>
      <c r="Y2477" s="24" t="s">
        <v>3713</v>
      </c>
      <c r="Z2477" s="16">
        <v>964.31999999999994</v>
      </c>
      <c r="AA2477" s="17">
        <v>212.9</v>
      </c>
      <c r="AB2477" s="25" t="s">
        <v>3714</v>
      </c>
    </row>
    <row r="2478" spans="1:28" x14ac:dyDescent="0.45">
      <c r="A2478" s="4" t="s">
        <v>3399</v>
      </c>
      <c r="B2478" s="4" t="s">
        <v>3400</v>
      </c>
      <c r="C2478" s="4" t="s">
        <v>2797</v>
      </c>
      <c r="D2478" s="4" t="s">
        <v>3347</v>
      </c>
      <c r="E2478" s="4" t="s">
        <v>96</v>
      </c>
      <c r="F2478" s="5">
        <v>75</v>
      </c>
      <c r="G2478" s="5">
        <v>95</v>
      </c>
      <c r="H2478" s="4" t="s">
        <v>3401</v>
      </c>
      <c r="I2478" s="10">
        <v>671</v>
      </c>
      <c r="J2478" s="34">
        <f t="shared" si="152"/>
        <v>5.8376999999999999</v>
      </c>
      <c r="K2478" s="34">
        <f t="shared" si="153"/>
        <v>8.76</v>
      </c>
      <c r="L2478" s="34">
        <f t="shared" si="154"/>
        <v>35.04</v>
      </c>
      <c r="M2478" s="11" t="s">
        <v>5480</v>
      </c>
      <c r="N2478" s="11" t="s">
        <v>5254</v>
      </c>
      <c r="O2478" s="11" t="s">
        <v>5251</v>
      </c>
      <c r="P2478" s="11" t="s">
        <v>5255</v>
      </c>
      <c r="Q2478" s="12">
        <v>75</v>
      </c>
      <c r="R2478" s="12">
        <v>95</v>
      </c>
      <c r="S2478" s="12">
        <v>12</v>
      </c>
      <c r="T2478" s="13">
        <v>14.86</v>
      </c>
      <c r="U2478" s="13">
        <f t="shared" si="155"/>
        <v>-20.18</v>
      </c>
      <c r="V2478" s="14">
        <v>1820.35</v>
      </c>
      <c r="W2478" s="14">
        <v>1820.35</v>
      </c>
      <c r="X2478" s="11">
        <v>71</v>
      </c>
      <c r="Y2478" s="15" t="s">
        <v>3713</v>
      </c>
      <c r="Z2478" s="16">
        <v>1149.3499999999999</v>
      </c>
      <c r="AA2478" s="17">
        <v>171.3</v>
      </c>
      <c r="AB2478" s="18" t="s">
        <v>3714</v>
      </c>
    </row>
    <row r="2479" spans="1:28" x14ac:dyDescent="0.45">
      <c r="A2479" s="2" t="s">
        <v>3402</v>
      </c>
      <c r="B2479" s="2" t="s">
        <v>3403</v>
      </c>
      <c r="C2479" s="2" t="s">
        <v>2797</v>
      </c>
      <c r="D2479" s="2" t="s">
        <v>3347</v>
      </c>
      <c r="E2479" s="2" t="s">
        <v>96</v>
      </c>
      <c r="F2479" s="3">
        <v>80</v>
      </c>
      <c r="G2479" s="3">
        <v>95</v>
      </c>
      <c r="H2479" s="2" t="s">
        <v>3348</v>
      </c>
      <c r="I2479" s="19">
        <v>459</v>
      </c>
      <c r="J2479" s="34">
        <f t="shared" si="152"/>
        <v>3.9932999999999996</v>
      </c>
      <c r="K2479" s="34">
        <f t="shared" si="153"/>
        <v>5.99</v>
      </c>
      <c r="L2479" s="34">
        <f t="shared" si="154"/>
        <v>23.96</v>
      </c>
      <c r="M2479" s="20" t="s">
        <v>5321</v>
      </c>
      <c r="N2479" s="20" t="s">
        <v>5254</v>
      </c>
      <c r="O2479" s="20" t="s">
        <v>5251</v>
      </c>
      <c r="P2479" s="20" t="s">
        <v>5255</v>
      </c>
      <c r="Q2479" s="21">
        <v>80</v>
      </c>
      <c r="R2479" s="21">
        <v>95</v>
      </c>
      <c r="S2479" s="21">
        <v>9</v>
      </c>
      <c r="T2479" s="22">
        <v>10.42</v>
      </c>
      <c r="U2479" s="13">
        <f t="shared" si="155"/>
        <v>-13.540000000000001</v>
      </c>
      <c r="V2479" s="23">
        <v>1276.45</v>
      </c>
      <c r="W2479" s="23">
        <v>1276.45</v>
      </c>
      <c r="X2479" s="20">
        <v>300</v>
      </c>
      <c r="Y2479" s="24" t="s">
        <v>3713</v>
      </c>
      <c r="Z2479" s="16">
        <v>817.45</v>
      </c>
      <c r="AA2479" s="17">
        <v>178.1</v>
      </c>
      <c r="AB2479" s="25" t="s">
        <v>3714</v>
      </c>
    </row>
    <row r="2480" spans="1:28" x14ac:dyDescent="0.45">
      <c r="A2480" s="4" t="s">
        <v>3404</v>
      </c>
      <c r="B2480" s="4" t="s">
        <v>3405</v>
      </c>
      <c r="C2480" s="4" t="s">
        <v>2797</v>
      </c>
      <c r="D2480" s="4" t="s">
        <v>3347</v>
      </c>
      <c r="E2480" s="4" t="s">
        <v>96</v>
      </c>
      <c r="F2480" s="5">
        <v>80</v>
      </c>
      <c r="G2480" s="5">
        <v>100</v>
      </c>
      <c r="H2480" s="4" t="s">
        <v>3401</v>
      </c>
      <c r="I2480" s="10">
        <v>700</v>
      </c>
      <c r="J2480" s="34">
        <f t="shared" si="152"/>
        <v>6.09</v>
      </c>
      <c r="K2480" s="34">
        <f t="shared" si="153"/>
        <v>9.14</v>
      </c>
      <c r="L2480" s="34">
        <f t="shared" si="154"/>
        <v>36.56</v>
      </c>
      <c r="M2480" s="11" t="s">
        <v>5481</v>
      </c>
      <c r="N2480" s="11" t="s">
        <v>5274</v>
      </c>
      <c r="O2480" s="11" t="s">
        <v>5251</v>
      </c>
      <c r="P2480" s="11" t="s">
        <v>5275</v>
      </c>
      <c r="Q2480" s="12">
        <v>80</v>
      </c>
      <c r="R2480" s="12">
        <v>100</v>
      </c>
      <c r="S2480" s="12">
        <v>30</v>
      </c>
      <c r="T2480" s="13">
        <v>70.98</v>
      </c>
      <c r="U2480" s="13">
        <f t="shared" si="155"/>
        <v>34.42</v>
      </c>
      <c r="V2480" s="14">
        <v>8695.0499999999993</v>
      </c>
      <c r="W2480" s="14">
        <v>8695.0499999999993</v>
      </c>
      <c r="X2480" s="11" t="s">
        <v>3722</v>
      </c>
      <c r="Y2480" s="15" t="s">
        <v>3713</v>
      </c>
      <c r="Z2480" s="16">
        <v>7995.0499999999993</v>
      </c>
      <c r="AA2480" s="17">
        <v>1142.0999999999999</v>
      </c>
      <c r="AB2480" s="18" t="s">
        <v>3714</v>
      </c>
    </row>
    <row r="2481" spans="1:28" x14ac:dyDescent="0.45">
      <c r="A2481" s="2" t="s">
        <v>3406</v>
      </c>
      <c r="B2481" s="2" t="s">
        <v>3407</v>
      </c>
      <c r="C2481" s="2" t="s">
        <v>2797</v>
      </c>
      <c r="D2481" s="2" t="s">
        <v>3347</v>
      </c>
      <c r="E2481" s="2" t="s">
        <v>96</v>
      </c>
      <c r="F2481" s="3">
        <v>85</v>
      </c>
      <c r="G2481" s="3">
        <v>105</v>
      </c>
      <c r="H2481" s="2" t="s">
        <v>3401</v>
      </c>
      <c r="I2481" s="19">
        <v>725</v>
      </c>
      <c r="J2481" s="34">
        <f t="shared" si="152"/>
        <v>6.3074999999999992</v>
      </c>
      <c r="K2481" s="34">
        <f t="shared" si="153"/>
        <v>9.4600000000000009</v>
      </c>
      <c r="L2481" s="34">
        <f t="shared" si="154"/>
        <v>37.840000000000003</v>
      </c>
      <c r="M2481" s="20" t="s">
        <v>5482</v>
      </c>
      <c r="N2481" s="20" t="s">
        <v>5254</v>
      </c>
      <c r="O2481" s="20" t="s">
        <v>5251</v>
      </c>
      <c r="P2481" s="20" t="s">
        <v>5255</v>
      </c>
      <c r="Q2481" s="21">
        <v>85</v>
      </c>
      <c r="R2481" s="21">
        <v>105</v>
      </c>
      <c r="S2481" s="21">
        <v>12</v>
      </c>
      <c r="T2481" s="22">
        <v>26.95</v>
      </c>
      <c r="U2481" s="13">
        <f t="shared" si="155"/>
        <v>-10.890000000000004</v>
      </c>
      <c r="V2481" s="23">
        <v>3301.38</v>
      </c>
      <c r="W2481" s="23">
        <v>3301.38</v>
      </c>
      <c r="X2481" s="20">
        <v>41</v>
      </c>
      <c r="Y2481" s="24" t="s">
        <v>3713</v>
      </c>
      <c r="Z2481" s="16">
        <v>2576.38</v>
      </c>
      <c r="AA2481" s="17">
        <v>355.4</v>
      </c>
      <c r="AB2481" s="25" t="s">
        <v>3714</v>
      </c>
    </row>
    <row r="2482" spans="1:28" x14ac:dyDescent="0.45">
      <c r="A2482" s="4" t="s">
        <v>3408</v>
      </c>
      <c r="B2482" s="4" t="s">
        <v>3409</v>
      </c>
      <c r="C2482" s="4" t="s">
        <v>2797</v>
      </c>
      <c r="D2482" s="4" t="s">
        <v>3347</v>
      </c>
      <c r="E2482" s="4" t="s">
        <v>96</v>
      </c>
      <c r="F2482" s="5">
        <v>90</v>
      </c>
      <c r="G2482" s="5">
        <v>105</v>
      </c>
      <c r="H2482" s="4" t="s">
        <v>3410</v>
      </c>
      <c r="I2482" s="10">
        <v>512</v>
      </c>
      <c r="J2482" s="34">
        <f t="shared" si="152"/>
        <v>4.4543999999999997</v>
      </c>
      <c r="K2482" s="34">
        <f t="shared" si="153"/>
        <v>6.68</v>
      </c>
      <c r="L2482" s="34">
        <f t="shared" si="154"/>
        <v>26.72</v>
      </c>
      <c r="M2482" s="11" t="s">
        <v>5326</v>
      </c>
      <c r="N2482" s="11" t="s">
        <v>5254</v>
      </c>
      <c r="O2482" s="11" t="s">
        <v>5251</v>
      </c>
      <c r="P2482" s="11" t="s">
        <v>5255</v>
      </c>
      <c r="Q2482" s="12">
        <v>90</v>
      </c>
      <c r="R2482" s="12">
        <v>105</v>
      </c>
      <c r="S2482" s="12">
        <v>9</v>
      </c>
      <c r="T2482" s="13">
        <v>13.13</v>
      </c>
      <c r="U2482" s="13">
        <f t="shared" si="155"/>
        <v>-13.589999999999998</v>
      </c>
      <c r="V2482" s="14">
        <v>1608.43</v>
      </c>
      <c r="W2482" s="14">
        <v>1608.43</v>
      </c>
      <c r="X2482" s="11">
        <v>184</v>
      </c>
      <c r="Y2482" s="15" t="s">
        <v>3713</v>
      </c>
      <c r="Z2482" s="16">
        <v>1096.43</v>
      </c>
      <c r="AA2482" s="17">
        <v>214.1</v>
      </c>
      <c r="AB2482" s="18" t="s">
        <v>3714</v>
      </c>
    </row>
    <row r="2483" spans="1:28" x14ac:dyDescent="0.45">
      <c r="A2483" s="2" t="s">
        <v>3411</v>
      </c>
      <c r="B2483" s="2" t="s">
        <v>3412</v>
      </c>
      <c r="C2483" s="2" t="s">
        <v>2797</v>
      </c>
      <c r="D2483" s="2" t="s">
        <v>3347</v>
      </c>
      <c r="E2483" s="2" t="s">
        <v>96</v>
      </c>
      <c r="F2483" s="3">
        <v>90</v>
      </c>
      <c r="G2483" s="3">
        <v>110</v>
      </c>
      <c r="H2483" s="2" t="s">
        <v>3401</v>
      </c>
      <c r="I2483" s="19">
        <v>759</v>
      </c>
      <c r="J2483" s="34">
        <f t="shared" si="152"/>
        <v>6.6032999999999999</v>
      </c>
      <c r="K2483" s="34">
        <f t="shared" si="153"/>
        <v>9.9</v>
      </c>
      <c r="L2483" s="34">
        <f t="shared" si="154"/>
        <v>39.6</v>
      </c>
      <c r="M2483" s="20" t="s">
        <v>5461</v>
      </c>
      <c r="N2483" s="20" t="s">
        <v>5274</v>
      </c>
      <c r="O2483" s="20" t="s">
        <v>5251</v>
      </c>
      <c r="P2483" s="20" t="s">
        <v>5275</v>
      </c>
      <c r="Q2483" s="21">
        <v>90</v>
      </c>
      <c r="R2483" s="21">
        <v>110</v>
      </c>
      <c r="S2483" s="21">
        <v>35</v>
      </c>
      <c r="T2483" s="22">
        <v>62.89</v>
      </c>
      <c r="U2483" s="13">
        <f t="shared" si="155"/>
        <v>23.29</v>
      </c>
      <c r="V2483" s="23">
        <v>7704.02</v>
      </c>
      <c r="W2483" s="23">
        <v>7704.02</v>
      </c>
      <c r="X2483" s="20">
        <v>1</v>
      </c>
      <c r="Y2483" s="24" t="s">
        <v>3713</v>
      </c>
      <c r="Z2483" s="16">
        <v>6945.02</v>
      </c>
      <c r="AA2483" s="17">
        <v>915</v>
      </c>
      <c r="AB2483" s="25" t="s">
        <v>3714</v>
      </c>
    </row>
    <row r="2484" spans="1:28" x14ac:dyDescent="0.45">
      <c r="A2484" s="4" t="s">
        <v>3413</v>
      </c>
      <c r="B2484" s="4" t="s">
        <v>3414</v>
      </c>
      <c r="C2484" s="4" t="s">
        <v>2797</v>
      </c>
      <c r="D2484" s="4" t="s">
        <v>3347</v>
      </c>
      <c r="E2484" s="4" t="s">
        <v>96</v>
      </c>
      <c r="F2484" s="5">
        <v>95</v>
      </c>
      <c r="G2484" s="5">
        <v>115</v>
      </c>
      <c r="H2484" s="4" t="s">
        <v>3401</v>
      </c>
      <c r="I2484" s="10">
        <v>786</v>
      </c>
      <c r="J2484" s="34">
        <f t="shared" si="152"/>
        <v>6.8381999999999996</v>
      </c>
      <c r="K2484" s="34">
        <f t="shared" si="153"/>
        <v>10.26</v>
      </c>
      <c r="L2484" s="34">
        <f t="shared" si="154"/>
        <v>41.04</v>
      </c>
      <c r="M2484" s="11" t="s">
        <v>5483</v>
      </c>
      <c r="N2484" s="11" t="s">
        <v>5254</v>
      </c>
      <c r="O2484" s="11" t="s">
        <v>5251</v>
      </c>
      <c r="P2484" s="11" t="s">
        <v>5255</v>
      </c>
      <c r="Q2484" s="12">
        <v>95</v>
      </c>
      <c r="R2484" s="12">
        <v>115</v>
      </c>
      <c r="S2484" s="12">
        <v>12</v>
      </c>
      <c r="T2484" s="13">
        <v>13.22</v>
      </c>
      <c r="U2484" s="13">
        <f t="shared" si="155"/>
        <v>-27.82</v>
      </c>
      <c r="V2484" s="14">
        <v>1619.45</v>
      </c>
      <c r="W2484" s="14">
        <v>1619.45</v>
      </c>
      <c r="X2484" s="11">
        <v>49</v>
      </c>
      <c r="Y2484" s="15" t="s">
        <v>3713</v>
      </c>
      <c r="Z2484" s="16">
        <v>833.45</v>
      </c>
      <c r="AA2484" s="17">
        <v>106</v>
      </c>
      <c r="AB2484" s="18" t="s">
        <v>3714</v>
      </c>
    </row>
    <row r="2485" spans="1:28" x14ac:dyDescent="0.45">
      <c r="A2485" s="2" t="s">
        <v>3415</v>
      </c>
      <c r="B2485" s="2" t="s">
        <v>3416</v>
      </c>
      <c r="C2485" s="2" t="s">
        <v>2797</v>
      </c>
      <c r="D2485" s="2" t="s">
        <v>3347</v>
      </c>
      <c r="E2485" s="2" t="s">
        <v>96</v>
      </c>
      <c r="F2485" s="3">
        <v>100</v>
      </c>
      <c r="G2485" s="3">
        <v>120</v>
      </c>
      <c r="H2485" s="2" t="s">
        <v>3401</v>
      </c>
      <c r="I2485" s="19">
        <v>804</v>
      </c>
      <c r="J2485" s="34">
        <f t="shared" si="152"/>
        <v>6.9947999999999997</v>
      </c>
      <c r="K2485" s="34">
        <f t="shared" si="153"/>
        <v>10.49</v>
      </c>
      <c r="L2485" s="34">
        <f t="shared" si="154"/>
        <v>41.96</v>
      </c>
      <c r="M2485" s="20" t="s">
        <v>5462</v>
      </c>
      <c r="N2485" s="20" t="s">
        <v>5274</v>
      </c>
      <c r="O2485" s="20" t="s">
        <v>5251</v>
      </c>
      <c r="P2485" s="20" t="s">
        <v>5275</v>
      </c>
      <c r="Q2485" s="21">
        <v>100</v>
      </c>
      <c r="R2485" s="21">
        <v>120</v>
      </c>
      <c r="S2485" s="21">
        <v>30</v>
      </c>
      <c r="T2485" s="22">
        <v>59.68</v>
      </c>
      <c r="U2485" s="13">
        <f t="shared" si="155"/>
        <v>17.72</v>
      </c>
      <c r="V2485" s="23">
        <v>7310.8</v>
      </c>
      <c r="W2485" s="23">
        <v>7310.8</v>
      </c>
      <c r="X2485" s="20">
        <v>11</v>
      </c>
      <c r="Y2485" s="24" t="s">
        <v>3713</v>
      </c>
      <c r="Z2485" s="16">
        <v>6506.8</v>
      </c>
      <c r="AA2485" s="17">
        <v>809.3</v>
      </c>
      <c r="AB2485" s="25" t="s">
        <v>3714</v>
      </c>
    </row>
    <row r="2486" spans="1:28" x14ac:dyDescent="0.45">
      <c r="A2486" s="4" t="s">
        <v>3417</v>
      </c>
      <c r="B2486" s="4" t="s">
        <v>3418</v>
      </c>
      <c r="C2486" s="4" t="s">
        <v>2797</v>
      </c>
      <c r="D2486" s="4" t="s">
        <v>3347</v>
      </c>
      <c r="E2486" s="4" t="s">
        <v>96</v>
      </c>
      <c r="F2486" s="5">
        <v>100</v>
      </c>
      <c r="G2486" s="5">
        <v>125</v>
      </c>
      <c r="H2486" s="4" t="s">
        <v>3401</v>
      </c>
      <c r="I2486" s="10">
        <v>944</v>
      </c>
      <c r="J2486" s="34">
        <f t="shared" si="152"/>
        <v>8.2127999999999997</v>
      </c>
      <c r="K2486" s="34">
        <f t="shared" si="153"/>
        <v>12.32</v>
      </c>
      <c r="L2486" s="34">
        <f t="shared" si="154"/>
        <v>49.28</v>
      </c>
      <c r="M2486" s="11" t="s">
        <v>5484</v>
      </c>
      <c r="N2486" s="11" t="s">
        <v>5280</v>
      </c>
      <c r="O2486" s="11" t="s">
        <v>5270</v>
      </c>
      <c r="P2486" s="11" t="s">
        <v>5281</v>
      </c>
      <c r="Q2486" s="12">
        <v>100</v>
      </c>
      <c r="R2486" s="12">
        <v>125</v>
      </c>
      <c r="S2486" s="12">
        <v>15</v>
      </c>
      <c r="T2486" s="13">
        <v>80.989999999999995</v>
      </c>
      <c r="U2486" s="13">
        <f t="shared" si="155"/>
        <v>31.709999999999994</v>
      </c>
      <c r="V2486" s="14">
        <v>9921.2800000000007</v>
      </c>
      <c r="W2486" s="14">
        <v>9921.2800000000007</v>
      </c>
      <c r="X2486" s="11" t="s">
        <v>3722</v>
      </c>
      <c r="Y2486" s="15" t="s">
        <v>3713</v>
      </c>
      <c r="Z2486" s="16">
        <v>8977.2800000000007</v>
      </c>
      <c r="AA2486" s="17">
        <v>951</v>
      </c>
      <c r="AB2486" s="18" t="s">
        <v>3714</v>
      </c>
    </row>
    <row r="2487" spans="1:28" x14ac:dyDescent="0.45">
      <c r="A2487" s="2" t="s">
        <v>3419</v>
      </c>
      <c r="B2487" s="2" t="s">
        <v>3420</v>
      </c>
      <c r="C2487" s="2" t="s">
        <v>2797</v>
      </c>
      <c r="D2487" s="2" t="s">
        <v>3347</v>
      </c>
      <c r="E2487" s="2" t="s">
        <v>96</v>
      </c>
      <c r="F2487" s="3">
        <v>110</v>
      </c>
      <c r="G2487" s="3">
        <v>130</v>
      </c>
      <c r="H2487" s="2" t="s">
        <v>3401</v>
      </c>
      <c r="I2487" s="19">
        <v>884</v>
      </c>
      <c r="J2487" s="34">
        <f t="shared" si="152"/>
        <v>7.6907999999999994</v>
      </c>
      <c r="K2487" s="34">
        <f t="shared" si="153"/>
        <v>11.54</v>
      </c>
      <c r="L2487" s="34">
        <f t="shared" si="154"/>
        <v>46.16</v>
      </c>
      <c r="M2487" s="20" t="s">
        <v>5338</v>
      </c>
      <c r="N2487" s="20" t="s">
        <v>5274</v>
      </c>
      <c r="O2487" s="20" t="s">
        <v>5251</v>
      </c>
      <c r="P2487" s="20" t="s">
        <v>5275</v>
      </c>
      <c r="Q2487" s="21">
        <v>110</v>
      </c>
      <c r="R2487" s="21">
        <v>130</v>
      </c>
      <c r="S2487" s="21">
        <v>30</v>
      </c>
      <c r="T2487" s="22">
        <v>57.97</v>
      </c>
      <c r="U2487" s="13">
        <f t="shared" si="155"/>
        <v>11.810000000000002</v>
      </c>
      <c r="V2487" s="23">
        <v>7101.32</v>
      </c>
      <c r="W2487" s="23">
        <v>7101.32</v>
      </c>
      <c r="X2487" s="20">
        <v>3</v>
      </c>
      <c r="Y2487" s="24" t="s">
        <v>3713</v>
      </c>
      <c r="Z2487" s="16">
        <v>6217.32</v>
      </c>
      <c r="AA2487" s="17">
        <v>703.3</v>
      </c>
      <c r="AB2487" s="25" t="s">
        <v>3714</v>
      </c>
    </row>
    <row r="2488" spans="1:28" x14ac:dyDescent="0.45">
      <c r="A2488" s="4" t="s">
        <v>3421</v>
      </c>
      <c r="B2488" s="4" t="s">
        <v>3422</v>
      </c>
      <c r="C2488" s="4" t="s">
        <v>2797</v>
      </c>
      <c r="D2488" s="4" t="s">
        <v>3347</v>
      </c>
      <c r="E2488" s="4" t="s">
        <v>96</v>
      </c>
      <c r="F2488" s="5">
        <v>110</v>
      </c>
      <c r="G2488" s="5">
        <v>135</v>
      </c>
      <c r="H2488" s="4" t="s">
        <v>3401</v>
      </c>
      <c r="I2488" s="10">
        <v>1042</v>
      </c>
      <c r="J2488" s="34">
        <f t="shared" si="152"/>
        <v>9.0653999999999986</v>
      </c>
      <c r="K2488" s="34">
        <f t="shared" si="153"/>
        <v>13.6</v>
      </c>
      <c r="L2488" s="34">
        <f t="shared" si="154"/>
        <v>54.4</v>
      </c>
      <c r="M2488" s="11" t="s">
        <v>5485</v>
      </c>
      <c r="N2488" s="11" t="s">
        <v>5290</v>
      </c>
      <c r="O2488" s="11" t="s">
        <v>5291</v>
      </c>
      <c r="P2488" s="11" t="s">
        <v>5292</v>
      </c>
      <c r="Q2488" s="12">
        <v>110</v>
      </c>
      <c r="R2488" s="12">
        <v>135</v>
      </c>
      <c r="S2488" s="12">
        <v>15</v>
      </c>
      <c r="T2488" s="13">
        <v>20.02</v>
      </c>
      <c r="U2488" s="13">
        <f t="shared" si="155"/>
        <v>-34.379999999999995</v>
      </c>
      <c r="V2488" s="14">
        <v>2452.4499999999998</v>
      </c>
      <c r="W2488" s="14">
        <v>2452.4499999999998</v>
      </c>
      <c r="X2488" s="11">
        <v>48</v>
      </c>
      <c r="Y2488" s="15" t="s">
        <v>3713</v>
      </c>
      <c r="Z2488" s="16">
        <v>1410.45</v>
      </c>
      <c r="AA2488" s="17">
        <v>135.4</v>
      </c>
      <c r="AB2488" s="18" t="s">
        <v>3714</v>
      </c>
    </row>
    <row r="2489" spans="1:28" x14ac:dyDescent="0.45">
      <c r="A2489" s="2" t="s">
        <v>3424</v>
      </c>
      <c r="B2489" s="2" t="s">
        <v>3425</v>
      </c>
      <c r="C2489" s="2" t="s">
        <v>2797</v>
      </c>
      <c r="D2489" s="2" t="s">
        <v>3347</v>
      </c>
      <c r="E2489" s="2" t="s">
        <v>96</v>
      </c>
      <c r="F2489" s="3">
        <v>115</v>
      </c>
      <c r="G2489" s="3">
        <v>140</v>
      </c>
      <c r="H2489" s="2" t="s">
        <v>3426</v>
      </c>
      <c r="I2489" s="19">
        <v>1192</v>
      </c>
      <c r="J2489" s="34">
        <f t="shared" si="152"/>
        <v>10.3704</v>
      </c>
      <c r="K2489" s="34">
        <f t="shared" si="153"/>
        <v>15.56</v>
      </c>
      <c r="L2489" s="34">
        <f t="shared" si="154"/>
        <v>62.24</v>
      </c>
      <c r="M2489" s="20" t="s">
        <v>5435</v>
      </c>
      <c r="N2489" s="20" t="s">
        <v>5230</v>
      </c>
      <c r="O2489" s="20" t="s">
        <v>5231</v>
      </c>
      <c r="P2489" s="20" t="s">
        <v>5232</v>
      </c>
      <c r="Q2489" s="21">
        <v>114.3</v>
      </c>
      <c r="R2489" s="21">
        <v>140.208</v>
      </c>
      <c r="S2489" s="21">
        <v>5.8419999999999996</v>
      </c>
      <c r="T2489" s="22">
        <v>50.9</v>
      </c>
      <c r="U2489" s="13">
        <f t="shared" si="155"/>
        <v>-11.340000000000003</v>
      </c>
      <c r="V2489" s="23">
        <v>6235.25</v>
      </c>
      <c r="W2489" s="23">
        <v>6235.25</v>
      </c>
      <c r="X2489" s="20">
        <v>2</v>
      </c>
      <c r="Y2489" s="24" t="s">
        <v>3737</v>
      </c>
      <c r="Z2489" s="16">
        <v>5043.25</v>
      </c>
      <c r="AA2489" s="17">
        <v>423.1</v>
      </c>
      <c r="AB2489" s="25" t="s">
        <v>5486</v>
      </c>
    </row>
    <row r="2490" spans="1:28" x14ac:dyDescent="0.45">
      <c r="A2490" s="4" t="s">
        <v>3427</v>
      </c>
      <c r="B2490" s="4" t="s">
        <v>3428</v>
      </c>
      <c r="C2490" s="4" t="s">
        <v>2797</v>
      </c>
      <c r="D2490" s="4" t="s">
        <v>3347</v>
      </c>
      <c r="E2490" s="4" t="s">
        <v>96</v>
      </c>
      <c r="F2490" s="5">
        <v>120</v>
      </c>
      <c r="G2490" s="5">
        <v>140</v>
      </c>
      <c r="H2490" s="4" t="s">
        <v>3401</v>
      </c>
      <c r="I2490" s="10">
        <v>929</v>
      </c>
      <c r="J2490" s="34">
        <f t="shared" si="152"/>
        <v>8.0823</v>
      </c>
      <c r="K2490" s="34">
        <f t="shared" si="153"/>
        <v>12.12</v>
      </c>
      <c r="L2490" s="34">
        <f t="shared" si="154"/>
        <v>48.48</v>
      </c>
      <c r="M2490" s="11" t="s">
        <v>5343</v>
      </c>
      <c r="N2490" s="11" t="s">
        <v>5297</v>
      </c>
      <c r="O2490" s="11" t="s">
        <v>5251</v>
      </c>
      <c r="P2490" s="11" t="s">
        <v>5298</v>
      </c>
      <c r="Q2490" s="12">
        <v>120</v>
      </c>
      <c r="R2490" s="12">
        <v>140</v>
      </c>
      <c r="S2490" s="12">
        <v>30</v>
      </c>
      <c r="T2490" s="13">
        <v>125</v>
      </c>
      <c r="U2490" s="13">
        <f t="shared" si="155"/>
        <v>76.52000000000001</v>
      </c>
      <c r="V2490" s="14">
        <v>15312.5</v>
      </c>
      <c r="W2490" s="14">
        <v>15312.5</v>
      </c>
      <c r="X2490" s="11">
        <v>4</v>
      </c>
      <c r="Y2490" s="15" t="s">
        <v>3713</v>
      </c>
      <c r="Z2490" s="16">
        <v>14383.5</v>
      </c>
      <c r="AA2490" s="17">
        <v>1548.3</v>
      </c>
      <c r="AB2490" s="18" t="s">
        <v>3714</v>
      </c>
    </row>
    <row r="2491" spans="1:28" x14ac:dyDescent="0.45">
      <c r="A2491" s="2" t="s">
        <v>3429</v>
      </c>
      <c r="B2491" s="2" t="s">
        <v>3430</v>
      </c>
      <c r="C2491" s="2" t="s">
        <v>2797</v>
      </c>
      <c r="D2491" s="2" t="s">
        <v>3347</v>
      </c>
      <c r="E2491" s="2" t="s">
        <v>96</v>
      </c>
      <c r="F2491" s="3">
        <v>120</v>
      </c>
      <c r="G2491" s="3">
        <v>145</v>
      </c>
      <c r="H2491" s="2" t="s">
        <v>3426</v>
      </c>
      <c r="I2491" s="19">
        <v>1235</v>
      </c>
      <c r="J2491" s="34">
        <f t="shared" si="152"/>
        <v>10.744499999999999</v>
      </c>
      <c r="K2491" s="34">
        <f t="shared" si="153"/>
        <v>16.12</v>
      </c>
      <c r="L2491" s="34">
        <f t="shared" si="154"/>
        <v>64.48</v>
      </c>
      <c r="M2491" s="20" t="s">
        <v>5487</v>
      </c>
      <c r="N2491" s="20" t="s">
        <v>5290</v>
      </c>
      <c r="O2491" s="20" t="s">
        <v>5291</v>
      </c>
      <c r="P2491" s="20" t="s">
        <v>5292</v>
      </c>
      <c r="Q2491" s="21">
        <v>120</v>
      </c>
      <c r="R2491" s="21">
        <v>145</v>
      </c>
      <c r="S2491" s="21">
        <v>18.8</v>
      </c>
      <c r="T2491" s="22">
        <v>73.069999999999993</v>
      </c>
      <c r="U2491" s="13">
        <f t="shared" si="155"/>
        <v>8.5899999999999892</v>
      </c>
      <c r="V2491" s="23">
        <v>8951.07</v>
      </c>
      <c r="W2491" s="23">
        <v>8951.07</v>
      </c>
      <c r="X2491" s="20">
        <v>6</v>
      </c>
      <c r="Y2491" s="24" t="s">
        <v>3713</v>
      </c>
      <c r="Z2491" s="16">
        <v>7716.07</v>
      </c>
      <c r="AA2491" s="17">
        <v>624.79999999999995</v>
      </c>
      <c r="AB2491" s="25" t="s">
        <v>3714</v>
      </c>
    </row>
    <row r="2492" spans="1:28" x14ac:dyDescent="0.45">
      <c r="A2492" s="4" t="s">
        <v>3431</v>
      </c>
      <c r="B2492" s="4" t="s">
        <v>3432</v>
      </c>
      <c r="C2492" s="4" t="s">
        <v>2797</v>
      </c>
      <c r="D2492" s="4" t="s">
        <v>3347</v>
      </c>
      <c r="E2492" s="4" t="s">
        <v>96</v>
      </c>
      <c r="F2492" s="5">
        <v>125</v>
      </c>
      <c r="G2492" s="5">
        <v>150</v>
      </c>
      <c r="H2492" s="4" t="s">
        <v>3426</v>
      </c>
      <c r="I2492" s="10">
        <v>1281</v>
      </c>
      <c r="J2492" s="34">
        <f t="shared" si="152"/>
        <v>11.144699999999998</v>
      </c>
      <c r="K2492" s="34">
        <f t="shared" si="153"/>
        <v>16.72</v>
      </c>
      <c r="L2492" s="34">
        <f t="shared" si="154"/>
        <v>66.88</v>
      </c>
      <c r="M2492" s="11" t="s">
        <v>5488</v>
      </c>
      <c r="N2492" s="11" t="s">
        <v>5274</v>
      </c>
      <c r="O2492" s="11" t="s">
        <v>5251</v>
      </c>
      <c r="P2492" s="11" t="s">
        <v>5275</v>
      </c>
      <c r="Q2492" s="12">
        <v>125</v>
      </c>
      <c r="R2492" s="12">
        <v>150</v>
      </c>
      <c r="S2492" s="12">
        <v>43</v>
      </c>
      <c r="T2492" s="13">
        <v>150.63999999999999</v>
      </c>
      <c r="U2492" s="13">
        <f t="shared" si="155"/>
        <v>83.759999999999991</v>
      </c>
      <c r="V2492" s="14">
        <v>18453.400000000001</v>
      </c>
      <c r="W2492" s="14">
        <v>18453.400000000001</v>
      </c>
      <c r="X2492" s="11" t="s">
        <v>3722</v>
      </c>
      <c r="Y2492" s="15" t="s">
        <v>3713</v>
      </c>
      <c r="Z2492" s="16">
        <v>17172.400000000001</v>
      </c>
      <c r="AA2492" s="17">
        <v>1340.5</v>
      </c>
      <c r="AB2492" s="18" t="s">
        <v>3714</v>
      </c>
    </row>
    <row r="2493" spans="1:28" x14ac:dyDescent="0.45">
      <c r="A2493" s="2" t="s">
        <v>3433</v>
      </c>
      <c r="B2493" s="2" t="s">
        <v>3434</v>
      </c>
      <c r="C2493" s="2" t="s">
        <v>2797</v>
      </c>
      <c r="D2493" s="2" t="s">
        <v>3347</v>
      </c>
      <c r="E2493" s="2" t="s">
        <v>96</v>
      </c>
      <c r="F2493" s="3">
        <v>130</v>
      </c>
      <c r="G2493" s="3">
        <v>155</v>
      </c>
      <c r="H2493" s="2" t="s">
        <v>3423</v>
      </c>
      <c r="I2493" s="19">
        <v>1412</v>
      </c>
      <c r="J2493" s="34">
        <f t="shared" si="152"/>
        <v>12.2844</v>
      </c>
      <c r="K2493" s="34">
        <f t="shared" si="153"/>
        <v>18.43</v>
      </c>
      <c r="L2493" s="34">
        <f t="shared" si="154"/>
        <v>73.72</v>
      </c>
      <c r="M2493" s="20" t="s">
        <v>5489</v>
      </c>
      <c r="N2493" s="20" t="s">
        <v>5290</v>
      </c>
      <c r="O2493" s="20" t="s">
        <v>5291</v>
      </c>
      <c r="P2493" s="20" t="s">
        <v>5292</v>
      </c>
      <c r="Q2493" s="21">
        <v>130</v>
      </c>
      <c r="R2493" s="21">
        <v>155</v>
      </c>
      <c r="S2493" s="21">
        <v>18.3</v>
      </c>
      <c r="T2493" s="22">
        <v>53.79</v>
      </c>
      <c r="U2493" s="13">
        <f t="shared" si="155"/>
        <v>-19.93</v>
      </c>
      <c r="V2493" s="23">
        <v>6589.28</v>
      </c>
      <c r="W2493" s="23">
        <v>6589.28</v>
      </c>
      <c r="X2493" s="20">
        <v>2</v>
      </c>
      <c r="Y2493" s="24" t="s">
        <v>3713</v>
      </c>
      <c r="Z2493" s="16">
        <v>5177.28</v>
      </c>
      <c r="AA2493" s="17">
        <v>366.7</v>
      </c>
      <c r="AB2493" s="25" t="s">
        <v>3714</v>
      </c>
    </row>
    <row r="2494" spans="1:28" x14ac:dyDescent="0.45">
      <c r="A2494" s="4"/>
      <c r="B2494" s="4" t="s">
        <v>3435</v>
      </c>
      <c r="C2494" s="4" t="s">
        <v>2797</v>
      </c>
      <c r="D2494" s="4" t="s">
        <v>3347</v>
      </c>
      <c r="E2494" s="4" t="s">
        <v>96</v>
      </c>
      <c r="F2494" s="5">
        <v>140</v>
      </c>
      <c r="G2494" s="5">
        <v>155</v>
      </c>
      <c r="H2494" s="4" t="s">
        <v>3423</v>
      </c>
      <c r="I2494" s="10">
        <v>1782</v>
      </c>
      <c r="J2494" s="34">
        <f t="shared" si="152"/>
        <v>15.503399999999999</v>
      </c>
      <c r="K2494" s="34">
        <f t="shared" si="153"/>
        <v>23.26</v>
      </c>
      <c r="L2494" s="34">
        <f t="shared" si="154"/>
        <v>93.04</v>
      </c>
      <c r="M2494" s="11" t="s">
        <v>5351</v>
      </c>
      <c r="N2494" s="11" t="s">
        <v>5301</v>
      </c>
      <c r="O2494" s="11" t="s">
        <v>5251</v>
      </c>
      <c r="P2494" s="11" t="s">
        <v>5302</v>
      </c>
      <c r="Q2494" s="12">
        <v>140</v>
      </c>
      <c r="R2494" s="12">
        <v>155</v>
      </c>
      <c r="S2494" s="12">
        <v>13</v>
      </c>
      <c r="T2494" s="13">
        <v>69.099999999999994</v>
      </c>
      <c r="U2494" s="13">
        <f t="shared" si="155"/>
        <v>-23.940000000000012</v>
      </c>
      <c r="V2494" s="14">
        <v>8464.75</v>
      </c>
      <c r="W2494" s="14">
        <v>8464.75</v>
      </c>
      <c r="X2494" s="11" t="s">
        <v>3722</v>
      </c>
      <c r="Y2494" s="15" t="s">
        <v>3713</v>
      </c>
      <c r="Z2494" s="16">
        <v>6682.75</v>
      </c>
      <c r="AA2494" s="17">
        <v>375</v>
      </c>
      <c r="AB2494" s="18" t="s">
        <v>3714</v>
      </c>
    </row>
    <row r="2495" spans="1:28" x14ac:dyDescent="0.45">
      <c r="A2495" s="2" t="s">
        <v>3436</v>
      </c>
      <c r="B2495" s="2" t="s">
        <v>3437</v>
      </c>
      <c r="C2495" s="2" t="s">
        <v>2797</v>
      </c>
      <c r="D2495" s="2" t="s">
        <v>3347</v>
      </c>
      <c r="E2495" s="2" t="s">
        <v>96</v>
      </c>
      <c r="F2495" s="3">
        <v>140</v>
      </c>
      <c r="G2495" s="3">
        <v>165</v>
      </c>
      <c r="H2495" s="2" t="s">
        <v>3426</v>
      </c>
      <c r="I2495" s="19">
        <v>1412</v>
      </c>
      <c r="J2495" s="34">
        <f t="shared" si="152"/>
        <v>12.2844</v>
      </c>
      <c r="K2495" s="34">
        <f t="shared" si="153"/>
        <v>18.43</v>
      </c>
      <c r="L2495" s="34">
        <f t="shared" si="154"/>
        <v>73.72</v>
      </c>
      <c r="M2495" s="20" t="s">
        <v>5490</v>
      </c>
      <c r="N2495" s="20" t="s">
        <v>5491</v>
      </c>
      <c r="O2495" s="20" t="s">
        <v>5251</v>
      </c>
      <c r="P2495" s="20" t="s">
        <v>5492</v>
      </c>
      <c r="Q2495" s="21">
        <v>140</v>
      </c>
      <c r="R2495" s="21">
        <v>165</v>
      </c>
      <c r="S2495" s="21">
        <v>34</v>
      </c>
      <c r="T2495" s="22">
        <v>225.77</v>
      </c>
      <c r="U2495" s="13">
        <f t="shared" si="155"/>
        <v>152.05000000000001</v>
      </c>
      <c r="V2495" s="23">
        <v>27656.82</v>
      </c>
      <c r="W2495" s="23">
        <v>27656.82</v>
      </c>
      <c r="X2495" s="20">
        <v>3</v>
      </c>
      <c r="Y2495" s="24" t="s">
        <v>3713</v>
      </c>
      <c r="Z2495" s="16">
        <v>26244.82</v>
      </c>
      <c r="AA2495" s="17">
        <v>1858.7</v>
      </c>
      <c r="AB2495" s="25" t="s">
        <v>3714</v>
      </c>
    </row>
    <row r="2496" spans="1:28" x14ac:dyDescent="0.45">
      <c r="A2496" s="4" t="s">
        <v>3438</v>
      </c>
      <c r="B2496" s="4" t="s">
        <v>3439</v>
      </c>
      <c r="C2496" s="4" t="s">
        <v>2797</v>
      </c>
      <c r="D2496" s="4" t="s">
        <v>3347</v>
      </c>
      <c r="E2496" s="4" t="s">
        <v>96</v>
      </c>
      <c r="F2496" s="5">
        <v>140</v>
      </c>
      <c r="G2496" s="5">
        <v>170</v>
      </c>
      <c r="H2496" s="4" t="s">
        <v>3401</v>
      </c>
      <c r="I2496" s="10">
        <v>1765</v>
      </c>
      <c r="J2496" s="34">
        <f t="shared" si="152"/>
        <v>15.355499999999999</v>
      </c>
      <c r="K2496" s="34">
        <f t="shared" si="153"/>
        <v>23.03</v>
      </c>
      <c r="L2496" s="34">
        <f t="shared" si="154"/>
        <v>92.12</v>
      </c>
      <c r="M2496" s="11" t="s">
        <v>5493</v>
      </c>
      <c r="N2496" s="11" t="s">
        <v>5290</v>
      </c>
      <c r="O2496" s="11" t="s">
        <v>5291</v>
      </c>
      <c r="P2496" s="11" t="s">
        <v>5292</v>
      </c>
      <c r="Q2496" s="12">
        <v>140</v>
      </c>
      <c r="R2496" s="12">
        <v>170</v>
      </c>
      <c r="S2496" s="12">
        <v>22.8</v>
      </c>
      <c r="T2496" s="13">
        <v>32.03</v>
      </c>
      <c r="U2496" s="13">
        <f t="shared" si="155"/>
        <v>-60.09</v>
      </c>
      <c r="V2496" s="14">
        <v>3923.68</v>
      </c>
      <c r="W2496" s="14">
        <v>3923.68</v>
      </c>
      <c r="X2496" s="11" t="s">
        <v>3722</v>
      </c>
      <c r="Y2496" s="15" t="s">
        <v>3713</v>
      </c>
      <c r="Z2496" s="16">
        <v>2158.6799999999998</v>
      </c>
      <c r="AA2496" s="17">
        <v>122.3</v>
      </c>
      <c r="AB2496" s="18" t="s">
        <v>3714</v>
      </c>
    </row>
    <row r="2497" spans="1:28" x14ac:dyDescent="0.45">
      <c r="A2497" s="2" t="s">
        <v>3441</v>
      </c>
      <c r="B2497" s="2" t="s">
        <v>3442</v>
      </c>
      <c r="C2497" s="2" t="s">
        <v>2797</v>
      </c>
      <c r="D2497" s="2" t="s">
        <v>3347</v>
      </c>
      <c r="E2497" s="2" t="s">
        <v>96</v>
      </c>
      <c r="F2497" s="3">
        <v>170</v>
      </c>
      <c r="G2497" s="3">
        <v>195</v>
      </c>
      <c r="H2497" s="2" t="s">
        <v>3426</v>
      </c>
      <c r="I2497" s="19">
        <v>1678</v>
      </c>
      <c r="J2497" s="34">
        <f t="shared" si="152"/>
        <v>14.598599999999999</v>
      </c>
      <c r="K2497" s="34">
        <f t="shared" si="153"/>
        <v>21.9</v>
      </c>
      <c r="L2497" s="34">
        <f t="shared" si="154"/>
        <v>87.6</v>
      </c>
      <c r="M2497" s="20" t="s">
        <v>5494</v>
      </c>
      <c r="N2497" s="20" t="s">
        <v>5377</v>
      </c>
      <c r="O2497" s="20" t="s">
        <v>5291</v>
      </c>
      <c r="P2497" s="20" t="s">
        <v>5378</v>
      </c>
      <c r="Q2497" s="21">
        <v>170</v>
      </c>
      <c r="R2497" s="21">
        <v>195</v>
      </c>
      <c r="S2497" s="21">
        <v>35</v>
      </c>
      <c r="T2497" s="22">
        <v>57.41</v>
      </c>
      <c r="U2497" s="13">
        <f t="shared" si="155"/>
        <v>-30.189999999999998</v>
      </c>
      <c r="V2497" s="23">
        <v>7032.72</v>
      </c>
      <c r="W2497" s="23">
        <v>7032.72</v>
      </c>
      <c r="X2497" s="20" t="s">
        <v>3722</v>
      </c>
      <c r="Y2497" s="24" t="s">
        <v>3713</v>
      </c>
      <c r="Z2497" s="16">
        <v>5354.72</v>
      </c>
      <c r="AA2497" s="17">
        <v>319.10000000000002</v>
      </c>
      <c r="AB2497" s="25" t="s">
        <v>3714</v>
      </c>
    </row>
    <row r="2498" spans="1:28" x14ac:dyDescent="0.45">
      <c r="A2498" s="4" t="s">
        <v>3443</v>
      </c>
      <c r="B2498" s="4" t="s">
        <v>3444</v>
      </c>
      <c r="C2498" s="4" t="s">
        <v>2797</v>
      </c>
      <c r="D2498" s="4" t="s">
        <v>3347</v>
      </c>
      <c r="E2498" s="4" t="s">
        <v>96</v>
      </c>
      <c r="F2498" s="5">
        <v>180</v>
      </c>
      <c r="G2498" s="5">
        <v>210</v>
      </c>
      <c r="H2498" s="4" t="s">
        <v>3440</v>
      </c>
      <c r="I2498" s="10">
        <v>2471</v>
      </c>
      <c r="J2498" s="34">
        <f t="shared" si="152"/>
        <v>21.497699999999998</v>
      </c>
      <c r="K2498" s="34">
        <f t="shared" si="153"/>
        <v>32.25</v>
      </c>
      <c r="L2498" s="34">
        <f t="shared" si="154"/>
        <v>129</v>
      </c>
      <c r="M2498" s="11" t="s">
        <v>5495</v>
      </c>
      <c r="N2498" s="11" t="s">
        <v>5274</v>
      </c>
      <c r="O2498" s="11" t="s">
        <v>5251</v>
      </c>
      <c r="P2498" s="11" t="s">
        <v>5275</v>
      </c>
      <c r="Q2498" s="12">
        <v>180</v>
      </c>
      <c r="R2498" s="12">
        <v>210</v>
      </c>
      <c r="S2498" s="12">
        <v>55</v>
      </c>
      <c r="T2498" s="13">
        <v>282.64</v>
      </c>
      <c r="U2498" s="13">
        <f t="shared" si="155"/>
        <v>153.63999999999999</v>
      </c>
      <c r="V2498" s="14">
        <v>34623.4</v>
      </c>
      <c r="W2498" s="14">
        <v>34623.4</v>
      </c>
      <c r="X2498" s="11">
        <v>3</v>
      </c>
      <c r="Y2498" s="15" t="s">
        <v>3713</v>
      </c>
      <c r="Z2498" s="16">
        <v>32152.400000000001</v>
      </c>
      <c r="AA2498" s="17">
        <v>1301.2</v>
      </c>
      <c r="AB2498" s="18" t="s">
        <v>3714</v>
      </c>
    </row>
    <row r="2499" spans="1:28" x14ac:dyDescent="0.45">
      <c r="A2499" s="2" t="s">
        <v>3445</v>
      </c>
      <c r="B2499" s="2" t="s">
        <v>3446</v>
      </c>
      <c r="C2499" s="2" t="s">
        <v>2797</v>
      </c>
      <c r="D2499" s="2" t="s">
        <v>3347</v>
      </c>
      <c r="E2499" s="2" t="s">
        <v>96</v>
      </c>
      <c r="F2499" s="3">
        <v>200</v>
      </c>
      <c r="G2499" s="3">
        <v>220</v>
      </c>
      <c r="H2499" s="2" t="s">
        <v>3423</v>
      </c>
      <c r="I2499" s="19">
        <v>1765</v>
      </c>
      <c r="J2499" s="34">
        <f t="shared" si="152"/>
        <v>15.355499999999999</v>
      </c>
      <c r="K2499" s="34">
        <f t="shared" si="153"/>
        <v>23.03</v>
      </c>
      <c r="L2499" s="34">
        <f t="shared" si="154"/>
        <v>92.12</v>
      </c>
      <c r="M2499" s="20" t="s">
        <v>5369</v>
      </c>
      <c r="N2499" s="20" t="s">
        <v>5254</v>
      </c>
      <c r="O2499" s="20" t="s">
        <v>5251</v>
      </c>
      <c r="P2499" s="20" t="s">
        <v>5255</v>
      </c>
      <c r="Q2499" s="21">
        <v>200</v>
      </c>
      <c r="R2499" s="21">
        <v>220</v>
      </c>
      <c r="S2499" s="21">
        <v>14.5</v>
      </c>
      <c r="T2499" s="22">
        <v>91.54</v>
      </c>
      <c r="U2499" s="13">
        <f t="shared" si="155"/>
        <v>-0.57999999999999829</v>
      </c>
      <c r="V2499" s="23">
        <v>11213.65</v>
      </c>
      <c r="W2499" s="23">
        <v>11213.65</v>
      </c>
      <c r="X2499" s="20" t="s">
        <v>3722</v>
      </c>
      <c r="Y2499" s="24" t="s">
        <v>3713</v>
      </c>
      <c r="Z2499" s="16">
        <v>9448.65</v>
      </c>
      <c r="AA2499" s="17">
        <v>535.29999999999995</v>
      </c>
      <c r="AB2499" s="25" t="s">
        <v>3714</v>
      </c>
    </row>
    <row r="2500" spans="1:28" x14ac:dyDescent="0.45">
      <c r="A2500" s="4" t="s">
        <v>3447</v>
      </c>
      <c r="B2500" s="4" t="s">
        <v>3448</v>
      </c>
      <c r="C2500" s="4" t="s">
        <v>2797</v>
      </c>
      <c r="D2500" s="4" t="s">
        <v>3347</v>
      </c>
      <c r="E2500" s="4" t="s">
        <v>96</v>
      </c>
      <c r="F2500" s="5">
        <v>200</v>
      </c>
      <c r="G2500" s="5">
        <v>230</v>
      </c>
      <c r="H2500" s="4" t="s">
        <v>3440</v>
      </c>
      <c r="I2500" s="10">
        <v>2737</v>
      </c>
      <c r="J2500" s="34">
        <f t="shared" si="152"/>
        <v>23.811899999999998</v>
      </c>
      <c r="K2500" s="34">
        <f t="shared" si="153"/>
        <v>35.72</v>
      </c>
      <c r="L2500" s="34">
        <f t="shared" si="154"/>
        <v>142.88</v>
      </c>
      <c r="M2500" s="11" t="s">
        <v>5496</v>
      </c>
      <c r="N2500" s="11" t="s">
        <v>5497</v>
      </c>
      <c r="O2500" s="11" t="s">
        <v>5270</v>
      </c>
      <c r="P2500" s="11" t="s">
        <v>5498</v>
      </c>
      <c r="Q2500" s="12">
        <v>200</v>
      </c>
      <c r="R2500" s="12">
        <v>230</v>
      </c>
      <c r="S2500" s="12">
        <v>22.7</v>
      </c>
      <c r="T2500" s="13">
        <v>309.07</v>
      </c>
      <c r="U2500" s="13">
        <f t="shared" si="155"/>
        <v>166.19</v>
      </c>
      <c r="V2500" s="14">
        <v>37861.07</v>
      </c>
      <c r="W2500" s="14">
        <v>37861.07</v>
      </c>
      <c r="X2500" s="11">
        <v>26</v>
      </c>
      <c r="Y2500" s="15" t="s">
        <v>3713</v>
      </c>
      <c r="Z2500" s="16">
        <v>35124.07</v>
      </c>
      <c r="AA2500" s="17">
        <v>1283.3</v>
      </c>
      <c r="AB2500" s="18" t="s">
        <v>3714</v>
      </c>
    </row>
    <row r="2501" spans="1:28" x14ac:dyDescent="0.45">
      <c r="A2501" s="2" t="s">
        <v>3449</v>
      </c>
      <c r="B2501" s="2" t="s">
        <v>3450</v>
      </c>
      <c r="C2501" s="2" t="s">
        <v>2797</v>
      </c>
      <c r="D2501" s="2" t="s">
        <v>3347</v>
      </c>
      <c r="E2501" s="2" t="s">
        <v>96</v>
      </c>
      <c r="F2501" s="3">
        <v>220</v>
      </c>
      <c r="G2501" s="3">
        <v>250</v>
      </c>
      <c r="H2501" s="2" t="s">
        <v>3440</v>
      </c>
      <c r="I2501" s="19">
        <v>2999</v>
      </c>
      <c r="J2501" s="34">
        <f t="shared" ref="J2501:J2564" si="156">I2501*0.0087</f>
        <v>26.091299999999997</v>
      </c>
      <c r="K2501" s="34">
        <f t="shared" ref="K2501:K2564" si="157">ROUND(J2501*1.5,2)</f>
        <v>39.14</v>
      </c>
      <c r="L2501" s="34">
        <f t="shared" ref="L2501:L2564" si="158">K2501*4</f>
        <v>156.56</v>
      </c>
      <c r="M2501" s="20" t="s">
        <v>5499</v>
      </c>
      <c r="N2501" s="20" t="s">
        <v>5285</v>
      </c>
      <c r="O2501" s="20" t="s">
        <v>5270</v>
      </c>
      <c r="P2501" s="20" t="s">
        <v>5500</v>
      </c>
      <c r="Q2501" s="21">
        <v>220</v>
      </c>
      <c r="R2501" s="21">
        <v>250</v>
      </c>
      <c r="S2501" s="21">
        <v>18.2</v>
      </c>
      <c r="T2501" s="22">
        <v>427.11</v>
      </c>
      <c r="U2501" s="13">
        <f t="shared" ref="U2501:U2564" si="159">T2501-L2501</f>
        <v>270.55</v>
      </c>
      <c r="V2501" s="23">
        <v>52320.98</v>
      </c>
      <c r="W2501" s="23">
        <v>52320.98</v>
      </c>
      <c r="X2501" s="20" t="s">
        <v>3722</v>
      </c>
      <c r="Y2501" s="24" t="s">
        <v>3713</v>
      </c>
      <c r="Z2501" s="16">
        <v>49321.98</v>
      </c>
      <c r="AA2501" s="17">
        <v>1644.6</v>
      </c>
      <c r="AB2501" s="25" t="s">
        <v>3714</v>
      </c>
    </row>
    <row r="2502" spans="1:28" x14ac:dyDescent="0.45">
      <c r="A2502" s="4" t="s">
        <v>3452</v>
      </c>
      <c r="B2502" s="4" t="s">
        <v>3453</v>
      </c>
      <c r="C2502" s="4" t="s">
        <v>2797</v>
      </c>
      <c r="D2502" s="4" t="s">
        <v>3451</v>
      </c>
      <c r="E2502" s="4" t="s">
        <v>256</v>
      </c>
      <c r="F2502" s="5">
        <v>40</v>
      </c>
      <c r="G2502" s="5">
        <v>55.5</v>
      </c>
      <c r="H2502" s="4" t="s">
        <v>851</v>
      </c>
      <c r="I2502" s="10">
        <v>116</v>
      </c>
      <c r="J2502" s="34">
        <f t="shared" si="156"/>
        <v>1.0091999999999999</v>
      </c>
      <c r="K2502" s="34">
        <f t="shared" si="157"/>
        <v>1.51</v>
      </c>
      <c r="L2502" s="34">
        <f t="shared" si="158"/>
        <v>6.04</v>
      </c>
      <c r="M2502" s="11" t="s">
        <v>5501</v>
      </c>
      <c r="N2502" s="11" t="s">
        <v>5230</v>
      </c>
      <c r="O2502" s="11" t="s">
        <v>5231</v>
      </c>
      <c r="P2502" s="11" t="s">
        <v>5232</v>
      </c>
      <c r="Q2502" s="12">
        <v>40</v>
      </c>
      <c r="R2502" s="12">
        <v>55.5</v>
      </c>
      <c r="S2502" s="12">
        <v>6.3</v>
      </c>
      <c r="T2502" s="13">
        <v>10.79</v>
      </c>
      <c r="U2502" s="13">
        <f t="shared" si="159"/>
        <v>4.7499999999999991</v>
      </c>
      <c r="V2502" s="14">
        <v>1321.78</v>
      </c>
      <c r="W2502" s="14">
        <v>1321.78</v>
      </c>
      <c r="X2502" s="11">
        <v>148</v>
      </c>
      <c r="Y2502" s="15" t="s">
        <v>3713</v>
      </c>
      <c r="Z2502" s="16">
        <v>1205.78</v>
      </c>
      <c r="AA2502" s="17">
        <v>1039.5</v>
      </c>
      <c r="AB2502" s="18" t="s">
        <v>3714</v>
      </c>
    </row>
    <row r="2503" spans="1:28" x14ac:dyDescent="0.45">
      <c r="A2503" s="2" t="s">
        <v>3454</v>
      </c>
      <c r="B2503" s="2" t="s">
        <v>3455</v>
      </c>
      <c r="C2503" s="2" t="s">
        <v>2797</v>
      </c>
      <c r="D2503" s="2" t="s">
        <v>3451</v>
      </c>
      <c r="E2503" s="2" t="s">
        <v>256</v>
      </c>
      <c r="F2503" s="3">
        <v>45</v>
      </c>
      <c r="G2503" s="3">
        <v>60.5</v>
      </c>
      <c r="H2503" s="2" t="s">
        <v>851</v>
      </c>
      <c r="I2503" s="19">
        <v>124</v>
      </c>
      <c r="J2503" s="34">
        <f t="shared" si="156"/>
        <v>1.0788</v>
      </c>
      <c r="K2503" s="34">
        <f t="shared" si="157"/>
        <v>1.62</v>
      </c>
      <c r="L2503" s="34">
        <f t="shared" si="158"/>
        <v>6.48</v>
      </c>
      <c r="M2503" s="20" t="s">
        <v>5502</v>
      </c>
      <c r="N2503" s="20"/>
      <c r="O2503" s="20" t="s">
        <v>5231</v>
      </c>
      <c r="P2503" s="20" t="s">
        <v>5242</v>
      </c>
      <c r="Q2503" s="21">
        <v>45</v>
      </c>
      <c r="R2503" s="21">
        <v>60.5</v>
      </c>
      <c r="S2503" s="21">
        <v>6.3</v>
      </c>
      <c r="T2503" s="22">
        <v>7.78</v>
      </c>
      <c r="U2503" s="13">
        <f t="shared" si="159"/>
        <v>1.2999999999999998</v>
      </c>
      <c r="V2503" s="23">
        <v>953.05</v>
      </c>
      <c r="W2503" s="23">
        <v>953.05</v>
      </c>
      <c r="X2503" s="20" t="s">
        <v>3722</v>
      </c>
      <c r="Y2503" s="24" t="s">
        <v>3713</v>
      </c>
      <c r="Z2503" s="16">
        <v>829.05</v>
      </c>
      <c r="AA2503" s="17">
        <v>668.6</v>
      </c>
      <c r="AB2503" s="25" t="s">
        <v>3714</v>
      </c>
    </row>
    <row r="2504" spans="1:28" x14ac:dyDescent="0.45">
      <c r="A2504" s="4" t="s">
        <v>3456</v>
      </c>
      <c r="B2504" s="4" t="s">
        <v>3457</v>
      </c>
      <c r="C2504" s="4" t="s">
        <v>2797</v>
      </c>
      <c r="D2504" s="4" t="s">
        <v>3451</v>
      </c>
      <c r="E2504" s="4" t="s">
        <v>256</v>
      </c>
      <c r="F2504" s="5">
        <v>50</v>
      </c>
      <c r="G2504" s="5">
        <v>65.5</v>
      </c>
      <c r="H2504" s="4" t="s">
        <v>851</v>
      </c>
      <c r="I2504" s="10">
        <v>133</v>
      </c>
      <c r="J2504" s="34">
        <f t="shared" si="156"/>
        <v>1.1571</v>
      </c>
      <c r="K2504" s="34">
        <f t="shared" si="157"/>
        <v>1.74</v>
      </c>
      <c r="L2504" s="34">
        <f t="shared" si="158"/>
        <v>6.96</v>
      </c>
      <c r="M2504" s="11" t="s">
        <v>5503</v>
      </c>
      <c r="N2504" s="11" t="s">
        <v>5230</v>
      </c>
      <c r="O2504" s="11" t="s">
        <v>5231</v>
      </c>
      <c r="P2504" s="11" t="s">
        <v>5232</v>
      </c>
      <c r="Q2504" s="12">
        <v>50</v>
      </c>
      <c r="R2504" s="12">
        <v>65.5</v>
      </c>
      <c r="S2504" s="12">
        <v>6.3</v>
      </c>
      <c r="T2504" s="13">
        <v>13.58</v>
      </c>
      <c r="U2504" s="13">
        <f t="shared" si="159"/>
        <v>6.62</v>
      </c>
      <c r="V2504" s="14">
        <v>1663.55</v>
      </c>
      <c r="W2504" s="14">
        <v>1663.55</v>
      </c>
      <c r="X2504" s="11">
        <v>623</v>
      </c>
      <c r="Y2504" s="15" t="s">
        <v>3713</v>
      </c>
      <c r="Z2504" s="16">
        <v>1530.55</v>
      </c>
      <c r="AA2504" s="17">
        <v>1150.8</v>
      </c>
      <c r="AB2504" s="18" t="s">
        <v>3714</v>
      </c>
    </row>
    <row r="2505" spans="1:28" x14ac:dyDescent="0.45">
      <c r="A2505" s="2" t="s">
        <v>3458</v>
      </c>
      <c r="B2505" s="2" t="s">
        <v>3459</v>
      </c>
      <c r="C2505" s="2" t="s">
        <v>2797</v>
      </c>
      <c r="D2505" s="2" t="s">
        <v>3451</v>
      </c>
      <c r="E2505" s="2" t="s">
        <v>256</v>
      </c>
      <c r="F2505" s="3">
        <v>55</v>
      </c>
      <c r="G2505" s="3">
        <v>70.5</v>
      </c>
      <c r="H2505" s="2" t="s">
        <v>851</v>
      </c>
      <c r="I2505" s="19">
        <v>158</v>
      </c>
      <c r="J2505" s="34">
        <f t="shared" si="156"/>
        <v>1.3745999999999998</v>
      </c>
      <c r="K2505" s="34">
        <f t="shared" si="157"/>
        <v>2.06</v>
      </c>
      <c r="L2505" s="34">
        <f t="shared" si="158"/>
        <v>8.24</v>
      </c>
      <c r="M2505" s="20" t="s">
        <v>5504</v>
      </c>
      <c r="N2505" s="20" t="s">
        <v>5505</v>
      </c>
      <c r="O2505" s="20" t="s">
        <v>5251</v>
      </c>
      <c r="P2505" s="20" t="s">
        <v>5506</v>
      </c>
      <c r="Q2505" s="21">
        <v>55</v>
      </c>
      <c r="R2505" s="21">
        <v>70.5</v>
      </c>
      <c r="S2505" s="21">
        <v>6</v>
      </c>
      <c r="T2505" s="22">
        <v>22.55</v>
      </c>
      <c r="U2505" s="13">
        <f t="shared" si="159"/>
        <v>14.31</v>
      </c>
      <c r="V2505" s="23">
        <v>2762.38</v>
      </c>
      <c r="W2505" s="23">
        <v>2762.38</v>
      </c>
      <c r="X2505" s="20">
        <v>6</v>
      </c>
      <c r="Y2505" s="24" t="s">
        <v>3713</v>
      </c>
      <c r="Z2505" s="16">
        <v>2604.38</v>
      </c>
      <c r="AA2505" s="17">
        <v>1648.3</v>
      </c>
      <c r="AB2505" s="25" t="s">
        <v>3714</v>
      </c>
    </row>
    <row r="2506" spans="1:28" x14ac:dyDescent="0.45">
      <c r="A2506" s="4" t="s">
        <v>3460</v>
      </c>
      <c r="B2506" s="4" t="s">
        <v>3461</v>
      </c>
      <c r="C2506" s="4" t="s">
        <v>2797</v>
      </c>
      <c r="D2506" s="4" t="s">
        <v>3451</v>
      </c>
      <c r="E2506" s="4" t="s">
        <v>256</v>
      </c>
      <c r="F2506" s="5">
        <v>56</v>
      </c>
      <c r="G2506" s="5">
        <v>71.5</v>
      </c>
      <c r="H2506" s="4" t="s">
        <v>851</v>
      </c>
      <c r="I2506" s="10">
        <v>158</v>
      </c>
      <c r="J2506" s="34">
        <f t="shared" si="156"/>
        <v>1.3745999999999998</v>
      </c>
      <c r="K2506" s="34">
        <f t="shared" si="157"/>
        <v>2.06</v>
      </c>
      <c r="L2506" s="34">
        <f t="shared" si="158"/>
        <v>8.24</v>
      </c>
      <c r="M2506" s="11" t="s">
        <v>5507</v>
      </c>
      <c r="N2506" s="11" t="s">
        <v>5250</v>
      </c>
      <c r="O2506" s="11" t="s">
        <v>5251</v>
      </c>
      <c r="P2506" s="11" t="s">
        <v>5252</v>
      </c>
      <c r="Q2506" s="12">
        <v>56</v>
      </c>
      <c r="R2506" s="12">
        <v>71.5</v>
      </c>
      <c r="S2506" s="12">
        <v>6</v>
      </c>
      <c r="T2506" s="13">
        <v>12.47</v>
      </c>
      <c r="U2506" s="13">
        <f t="shared" si="159"/>
        <v>4.2300000000000004</v>
      </c>
      <c r="V2506" s="14">
        <v>1527.58</v>
      </c>
      <c r="W2506" s="14">
        <v>1527.58</v>
      </c>
      <c r="X2506" s="11">
        <v>18</v>
      </c>
      <c r="Y2506" s="15" t="s">
        <v>3713</v>
      </c>
      <c r="Z2506" s="16">
        <v>1369.58</v>
      </c>
      <c r="AA2506" s="17">
        <v>866.8</v>
      </c>
      <c r="AB2506" s="18" t="s">
        <v>3714</v>
      </c>
    </row>
    <row r="2507" spans="1:28" x14ac:dyDescent="0.45">
      <c r="A2507" s="2" t="s">
        <v>3462</v>
      </c>
      <c r="B2507" s="2" t="s">
        <v>3463</v>
      </c>
      <c r="C2507" s="2" t="s">
        <v>2797</v>
      </c>
      <c r="D2507" s="2" t="s">
        <v>3451</v>
      </c>
      <c r="E2507" s="2" t="s">
        <v>256</v>
      </c>
      <c r="F2507" s="3">
        <v>60</v>
      </c>
      <c r="G2507" s="3">
        <v>75.5</v>
      </c>
      <c r="H2507" s="2" t="s">
        <v>851</v>
      </c>
      <c r="I2507" s="19">
        <v>148</v>
      </c>
      <c r="J2507" s="34">
        <f t="shared" si="156"/>
        <v>1.2875999999999999</v>
      </c>
      <c r="K2507" s="34">
        <f t="shared" si="157"/>
        <v>1.93</v>
      </c>
      <c r="L2507" s="34">
        <f t="shared" si="158"/>
        <v>7.72</v>
      </c>
      <c r="M2507" s="20" t="s">
        <v>5508</v>
      </c>
      <c r="N2507" s="20" t="s">
        <v>5505</v>
      </c>
      <c r="O2507" s="20" t="s">
        <v>5251</v>
      </c>
      <c r="P2507" s="20" t="s">
        <v>5506</v>
      </c>
      <c r="Q2507" s="21">
        <v>60</v>
      </c>
      <c r="R2507" s="21">
        <v>75.5</v>
      </c>
      <c r="S2507" s="21">
        <v>6</v>
      </c>
      <c r="T2507" s="22">
        <v>20.79</v>
      </c>
      <c r="U2507" s="13">
        <f t="shared" si="159"/>
        <v>13.07</v>
      </c>
      <c r="V2507" s="23">
        <v>2546.7800000000002</v>
      </c>
      <c r="W2507" s="23">
        <v>2546.7800000000002</v>
      </c>
      <c r="X2507" s="20">
        <v>87</v>
      </c>
      <c r="Y2507" s="24" t="s">
        <v>3713</v>
      </c>
      <c r="Z2507" s="16">
        <v>2398.7800000000002</v>
      </c>
      <c r="AA2507" s="17">
        <v>1620.8</v>
      </c>
      <c r="AB2507" s="25" t="s">
        <v>3714</v>
      </c>
    </row>
    <row r="2508" spans="1:28" x14ac:dyDescent="0.45">
      <c r="A2508" s="4" t="s">
        <v>3464</v>
      </c>
      <c r="B2508" s="4" t="s">
        <v>3465</v>
      </c>
      <c r="C2508" s="4" t="s">
        <v>2797</v>
      </c>
      <c r="D2508" s="4" t="s">
        <v>3451</v>
      </c>
      <c r="E2508" s="4" t="s">
        <v>256</v>
      </c>
      <c r="F2508" s="5">
        <v>63</v>
      </c>
      <c r="G2508" s="5">
        <v>78.5</v>
      </c>
      <c r="H2508" s="4" t="s">
        <v>851</v>
      </c>
      <c r="I2508" s="10">
        <v>165</v>
      </c>
      <c r="J2508" s="34">
        <f t="shared" si="156"/>
        <v>1.4355</v>
      </c>
      <c r="K2508" s="34">
        <f t="shared" si="157"/>
        <v>2.15</v>
      </c>
      <c r="L2508" s="34">
        <f t="shared" si="158"/>
        <v>8.6</v>
      </c>
      <c r="M2508" s="11" t="s">
        <v>5509</v>
      </c>
      <c r="N2508" s="11" t="s">
        <v>5230</v>
      </c>
      <c r="O2508" s="11" t="s">
        <v>5231</v>
      </c>
      <c r="P2508" s="11" t="s">
        <v>5232</v>
      </c>
      <c r="Q2508" s="12">
        <v>63</v>
      </c>
      <c r="R2508" s="12">
        <v>78.5</v>
      </c>
      <c r="S2508" s="12">
        <v>6.3</v>
      </c>
      <c r="T2508" s="13">
        <v>11.9</v>
      </c>
      <c r="U2508" s="13">
        <f t="shared" si="159"/>
        <v>3.3000000000000007</v>
      </c>
      <c r="V2508" s="14">
        <v>1457.75</v>
      </c>
      <c r="W2508" s="14">
        <v>1457.75</v>
      </c>
      <c r="X2508" s="11">
        <v>331</v>
      </c>
      <c r="Y2508" s="15" t="s">
        <v>3713</v>
      </c>
      <c r="Z2508" s="16">
        <v>1292.75</v>
      </c>
      <c r="AA2508" s="17">
        <v>783.5</v>
      </c>
      <c r="AB2508" s="18" t="s">
        <v>3714</v>
      </c>
    </row>
    <row r="2509" spans="1:28" x14ac:dyDescent="0.45">
      <c r="A2509" s="2" t="s">
        <v>3466</v>
      </c>
      <c r="B2509" s="2" t="s">
        <v>3467</v>
      </c>
      <c r="C2509" s="2" t="s">
        <v>2797</v>
      </c>
      <c r="D2509" s="2" t="s">
        <v>3451</v>
      </c>
      <c r="E2509" s="2" t="s">
        <v>256</v>
      </c>
      <c r="F2509" s="3">
        <v>65</v>
      </c>
      <c r="G2509" s="3">
        <v>80.5</v>
      </c>
      <c r="H2509" s="2" t="s">
        <v>851</v>
      </c>
      <c r="I2509" s="19">
        <v>182</v>
      </c>
      <c r="J2509" s="34">
        <f t="shared" si="156"/>
        <v>1.5833999999999999</v>
      </c>
      <c r="K2509" s="34">
        <f t="shared" si="157"/>
        <v>2.38</v>
      </c>
      <c r="L2509" s="34">
        <f t="shared" si="158"/>
        <v>9.52</v>
      </c>
      <c r="M2509" s="20" t="s">
        <v>5510</v>
      </c>
      <c r="N2509" s="20" t="s">
        <v>5250</v>
      </c>
      <c r="O2509" s="20" t="s">
        <v>5251</v>
      </c>
      <c r="P2509" s="20" t="s">
        <v>5252</v>
      </c>
      <c r="Q2509" s="21">
        <v>65</v>
      </c>
      <c r="R2509" s="21">
        <v>80.5</v>
      </c>
      <c r="S2509" s="21">
        <v>6</v>
      </c>
      <c r="T2509" s="22">
        <v>15.87</v>
      </c>
      <c r="U2509" s="13">
        <f t="shared" si="159"/>
        <v>6.35</v>
      </c>
      <c r="V2509" s="23">
        <v>1944.07</v>
      </c>
      <c r="W2509" s="23">
        <v>1944.07</v>
      </c>
      <c r="X2509" s="20">
        <v>3</v>
      </c>
      <c r="Y2509" s="24" t="s">
        <v>3713</v>
      </c>
      <c r="Z2509" s="16">
        <v>1762.07</v>
      </c>
      <c r="AA2509" s="17">
        <v>968.2</v>
      </c>
      <c r="AB2509" s="25" t="s">
        <v>3714</v>
      </c>
    </row>
    <row r="2510" spans="1:28" x14ac:dyDescent="0.45">
      <c r="A2510" s="4" t="s">
        <v>3468</v>
      </c>
      <c r="B2510" s="4" t="s">
        <v>3469</v>
      </c>
      <c r="C2510" s="4" t="s">
        <v>2797</v>
      </c>
      <c r="D2510" s="4" t="s">
        <v>3451</v>
      </c>
      <c r="E2510" s="4" t="s">
        <v>256</v>
      </c>
      <c r="F2510" s="5">
        <v>70</v>
      </c>
      <c r="G2510" s="5">
        <v>85.5</v>
      </c>
      <c r="H2510" s="4" t="s">
        <v>851</v>
      </c>
      <c r="I2510" s="10">
        <v>173</v>
      </c>
      <c r="J2510" s="34">
        <f t="shared" si="156"/>
        <v>1.5050999999999999</v>
      </c>
      <c r="K2510" s="34">
        <f t="shared" si="157"/>
        <v>2.2599999999999998</v>
      </c>
      <c r="L2510" s="34">
        <f t="shared" si="158"/>
        <v>9.0399999999999991</v>
      </c>
      <c r="M2510" s="11" t="s">
        <v>5511</v>
      </c>
      <c r="N2510" s="11" t="s">
        <v>5505</v>
      </c>
      <c r="O2510" s="11" t="s">
        <v>5251</v>
      </c>
      <c r="P2510" s="11" t="s">
        <v>5506</v>
      </c>
      <c r="Q2510" s="12">
        <v>70</v>
      </c>
      <c r="R2510" s="12">
        <v>85.5</v>
      </c>
      <c r="S2510" s="12">
        <v>6</v>
      </c>
      <c r="T2510" s="13">
        <v>20.6</v>
      </c>
      <c r="U2510" s="13">
        <f t="shared" si="159"/>
        <v>11.560000000000002</v>
      </c>
      <c r="V2510" s="14">
        <v>2523.5</v>
      </c>
      <c r="W2510" s="14">
        <v>2523.5</v>
      </c>
      <c r="X2510" s="11">
        <v>50</v>
      </c>
      <c r="Y2510" s="15" t="s">
        <v>3713</v>
      </c>
      <c r="Z2510" s="16">
        <v>2350.5</v>
      </c>
      <c r="AA2510" s="17">
        <v>1358.7</v>
      </c>
      <c r="AB2510" s="18" t="s">
        <v>3714</v>
      </c>
    </row>
    <row r="2511" spans="1:28" x14ac:dyDescent="0.45">
      <c r="A2511" s="2" t="s">
        <v>3470</v>
      </c>
      <c r="B2511" s="2" t="s">
        <v>3471</v>
      </c>
      <c r="C2511" s="2" t="s">
        <v>2797</v>
      </c>
      <c r="D2511" s="2" t="s">
        <v>3451</v>
      </c>
      <c r="E2511" s="2" t="s">
        <v>256</v>
      </c>
      <c r="F2511" s="3">
        <v>75</v>
      </c>
      <c r="G2511" s="3">
        <v>90.5</v>
      </c>
      <c r="H2511" s="2" t="s">
        <v>851</v>
      </c>
      <c r="I2511" s="19">
        <v>207</v>
      </c>
      <c r="J2511" s="34">
        <f t="shared" si="156"/>
        <v>1.8008999999999999</v>
      </c>
      <c r="K2511" s="34">
        <f t="shared" si="157"/>
        <v>2.7</v>
      </c>
      <c r="L2511" s="34">
        <f t="shared" si="158"/>
        <v>10.8</v>
      </c>
      <c r="M2511" s="20" t="s">
        <v>5512</v>
      </c>
      <c r="N2511" s="20" t="s">
        <v>5250</v>
      </c>
      <c r="O2511" s="20" t="s">
        <v>5251</v>
      </c>
      <c r="P2511" s="20" t="s">
        <v>5252</v>
      </c>
      <c r="Q2511" s="21">
        <v>75</v>
      </c>
      <c r="R2511" s="21">
        <v>90.5</v>
      </c>
      <c r="S2511" s="21">
        <v>6</v>
      </c>
      <c r="T2511" s="22">
        <v>15.27</v>
      </c>
      <c r="U2511" s="13">
        <f t="shared" si="159"/>
        <v>4.4699999999999989</v>
      </c>
      <c r="V2511" s="23">
        <v>1870.58</v>
      </c>
      <c r="W2511" s="23">
        <v>1870.58</v>
      </c>
      <c r="X2511" s="20">
        <v>101</v>
      </c>
      <c r="Y2511" s="24" t="s">
        <v>3713</v>
      </c>
      <c r="Z2511" s="16">
        <v>1663.58</v>
      </c>
      <c r="AA2511" s="17">
        <v>803.7</v>
      </c>
      <c r="AB2511" s="25" t="s">
        <v>3714</v>
      </c>
    </row>
    <row r="2512" spans="1:28" x14ac:dyDescent="0.45">
      <c r="A2512" s="4" t="s">
        <v>3472</v>
      </c>
      <c r="B2512" s="4" t="s">
        <v>3473</v>
      </c>
      <c r="C2512" s="4" t="s">
        <v>2797</v>
      </c>
      <c r="D2512" s="4" t="s">
        <v>3451</v>
      </c>
      <c r="E2512" s="4" t="s">
        <v>256</v>
      </c>
      <c r="F2512" s="5">
        <v>80</v>
      </c>
      <c r="G2512" s="5">
        <v>95.5</v>
      </c>
      <c r="H2512" s="4" t="s">
        <v>851</v>
      </c>
      <c r="I2512" s="10">
        <v>207</v>
      </c>
      <c r="J2512" s="34">
        <f t="shared" si="156"/>
        <v>1.8008999999999999</v>
      </c>
      <c r="K2512" s="34">
        <f t="shared" si="157"/>
        <v>2.7</v>
      </c>
      <c r="L2512" s="34">
        <f t="shared" si="158"/>
        <v>10.8</v>
      </c>
      <c r="M2512" s="11" t="s">
        <v>5513</v>
      </c>
      <c r="N2512" s="11" t="s">
        <v>5250</v>
      </c>
      <c r="O2512" s="11" t="s">
        <v>5251</v>
      </c>
      <c r="P2512" s="11" t="s">
        <v>5252</v>
      </c>
      <c r="Q2512" s="12">
        <v>80</v>
      </c>
      <c r="R2512" s="12">
        <v>95.5</v>
      </c>
      <c r="S2512" s="12">
        <v>6</v>
      </c>
      <c r="T2512" s="13">
        <v>16.04</v>
      </c>
      <c r="U2512" s="13">
        <f t="shared" si="159"/>
        <v>5.2399999999999984</v>
      </c>
      <c r="V2512" s="14">
        <v>1964.9</v>
      </c>
      <c r="W2512" s="14">
        <v>1964.9</v>
      </c>
      <c r="X2512" s="11">
        <v>16</v>
      </c>
      <c r="Y2512" s="15" t="s">
        <v>3713</v>
      </c>
      <c r="Z2512" s="16">
        <v>1757.9</v>
      </c>
      <c r="AA2512" s="17">
        <v>849.2</v>
      </c>
      <c r="AB2512" s="18" t="s">
        <v>3714</v>
      </c>
    </row>
    <row r="2513" spans="1:28" x14ac:dyDescent="0.45">
      <c r="A2513" s="2" t="s">
        <v>3474</v>
      </c>
      <c r="B2513" s="2" t="s">
        <v>3475</v>
      </c>
      <c r="C2513" s="2" t="s">
        <v>2797</v>
      </c>
      <c r="D2513" s="2" t="s">
        <v>3451</v>
      </c>
      <c r="E2513" s="2" t="s">
        <v>256</v>
      </c>
      <c r="F2513" s="3">
        <v>85</v>
      </c>
      <c r="G2513" s="3">
        <v>100.5</v>
      </c>
      <c r="H2513" s="2" t="s">
        <v>851</v>
      </c>
      <c r="I2513" s="19">
        <v>222</v>
      </c>
      <c r="J2513" s="34">
        <f t="shared" si="156"/>
        <v>1.9313999999999998</v>
      </c>
      <c r="K2513" s="34">
        <f t="shared" si="157"/>
        <v>2.9</v>
      </c>
      <c r="L2513" s="34">
        <f t="shared" si="158"/>
        <v>11.6</v>
      </c>
      <c r="M2513" s="20" t="s">
        <v>5514</v>
      </c>
      <c r="N2513" s="20" t="s">
        <v>5250</v>
      </c>
      <c r="O2513" s="20" t="s">
        <v>5251</v>
      </c>
      <c r="P2513" s="20" t="s">
        <v>5252</v>
      </c>
      <c r="Q2513" s="21">
        <v>85</v>
      </c>
      <c r="R2513" s="21">
        <v>100.5</v>
      </c>
      <c r="S2513" s="21">
        <v>6</v>
      </c>
      <c r="T2513" s="22">
        <v>17.5</v>
      </c>
      <c r="U2513" s="13">
        <f t="shared" si="159"/>
        <v>5.9</v>
      </c>
      <c r="V2513" s="23">
        <v>2143.75</v>
      </c>
      <c r="W2513" s="23">
        <v>2143.75</v>
      </c>
      <c r="X2513" s="20">
        <v>45</v>
      </c>
      <c r="Y2513" s="24" t="s">
        <v>3713</v>
      </c>
      <c r="Z2513" s="16">
        <v>1921.75</v>
      </c>
      <c r="AA2513" s="17">
        <v>865.7</v>
      </c>
      <c r="AB2513" s="25" t="s">
        <v>3714</v>
      </c>
    </row>
    <row r="2514" spans="1:28" x14ac:dyDescent="0.45">
      <c r="A2514" s="4" t="s">
        <v>3476</v>
      </c>
      <c r="B2514" s="4" t="s">
        <v>3477</v>
      </c>
      <c r="C2514" s="4" t="s">
        <v>2797</v>
      </c>
      <c r="D2514" s="4" t="s">
        <v>3451</v>
      </c>
      <c r="E2514" s="4" t="s">
        <v>256</v>
      </c>
      <c r="F2514" s="5">
        <v>90</v>
      </c>
      <c r="G2514" s="5">
        <v>105.5</v>
      </c>
      <c r="H2514" s="4" t="s">
        <v>851</v>
      </c>
      <c r="I2514" s="10">
        <v>230</v>
      </c>
      <c r="J2514" s="34">
        <f t="shared" si="156"/>
        <v>2.0009999999999999</v>
      </c>
      <c r="K2514" s="34">
        <f t="shared" si="157"/>
        <v>3</v>
      </c>
      <c r="L2514" s="34">
        <f t="shared" si="158"/>
        <v>12</v>
      </c>
      <c r="M2514" s="11" t="s">
        <v>5515</v>
      </c>
      <c r="N2514" s="11" t="s">
        <v>5250</v>
      </c>
      <c r="O2514" s="11" t="s">
        <v>5251</v>
      </c>
      <c r="P2514" s="11" t="s">
        <v>5252</v>
      </c>
      <c r="Q2514" s="12">
        <v>90</v>
      </c>
      <c r="R2514" s="12">
        <v>105.5</v>
      </c>
      <c r="S2514" s="12">
        <v>6</v>
      </c>
      <c r="T2514" s="13">
        <v>17.25</v>
      </c>
      <c r="U2514" s="13">
        <f t="shared" si="159"/>
        <v>5.25</v>
      </c>
      <c r="V2514" s="14">
        <v>2113.12</v>
      </c>
      <c r="W2514" s="14">
        <v>2113.12</v>
      </c>
      <c r="X2514" s="11">
        <v>22</v>
      </c>
      <c r="Y2514" s="15" t="s">
        <v>3713</v>
      </c>
      <c r="Z2514" s="16">
        <v>1883.12</v>
      </c>
      <c r="AA2514" s="17">
        <v>818.7</v>
      </c>
      <c r="AB2514" s="18" t="s">
        <v>3714</v>
      </c>
    </row>
    <row r="2515" spans="1:28" x14ac:dyDescent="0.45">
      <c r="A2515" s="2" t="s">
        <v>3478</v>
      </c>
      <c r="B2515" s="2" t="s">
        <v>3479</v>
      </c>
      <c r="C2515" s="2" t="s">
        <v>2797</v>
      </c>
      <c r="D2515" s="2" t="s">
        <v>3451</v>
      </c>
      <c r="E2515" s="2" t="s">
        <v>256</v>
      </c>
      <c r="F2515" s="3">
        <v>95</v>
      </c>
      <c r="G2515" s="3">
        <v>110.5</v>
      </c>
      <c r="H2515" s="2" t="s">
        <v>851</v>
      </c>
      <c r="I2515" s="19">
        <v>247</v>
      </c>
      <c r="J2515" s="34">
        <f t="shared" si="156"/>
        <v>2.1488999999999998</v>
      </c>
      <c r="K2515" s="34">
        <f t="shared" si="157"/>
        <v>3.22</v>
      </c>
      <c r="L2515" s="34">
        <f t="shared" si="158"/>
        <v>12.88</v>
      </c>
      <c r="M2515" s="20" t="s">
        <v>5516</v>
      </c>
      <c r="N2515" s="20" t="s">
        <v>5250</v>
      </c>
      <c r="O2515" s="20" t="s">
        <v>5251</v>
      </c>
      <c r="P2515" s="20" t="s">
        <v>5252</v>
      </c>
      <c r="Q2515" s="21">
        <v>95</v>
      </c>
      <c r="R2515" s="21">
        <v>110.5</v>
      </c>
      <c r="S2515" s="21">
        <v>6</v>
      </c>
      <c r="T2515" s="22">
        <v>18.440000000000001</v>
      </c>
      <c r="U2515" s="13">
        <f t="shared" si="159"/>
        <v>5.5600000000000005</v>
      </c>
      <c r="V2515" s="23">
        <v>2258.9</v>
      </c>
      <c r="W2515" s="23">
        <v>2258.9</v>
      </c>
      <c r="X2515" s="20">
        <v>23</v>
      </c>
      <c r="Y2515" s="24" t="s">
        <v>3713</v>
      </c>
      <c r="Z2515" s="16">
        <v>2011.9</v>
      </c>
      <c r="AA2515" s="17">
        <v>814.5</v>
      </c>
      <c r="AB2515" s="25" t="s">
        <v>3714</v>
      </c>
    </row>
    <row r="2516" spans="1:28" x14ac:dyDescent="0.45">
      <c r="A2516" s="4" t="s">
        <v>3480</v>
      </c>
      <c r="B2516" s="4" t="s">
        <v>3481</v>
      </c>
      <c r="C2516" s="4" t="s">
        <v>2797</v>
      </c>
      <c r="D2516" s="4" t="s">
        <v>3451</v>
      </c>
      <c r="E2516" s="4" t="s">
        <v>256</v>
      </c>
      <c r="F2516" s="5">
        <v>100</v>
      </c>
      <c r="G2516" s="5">
        <v>115.5</v>
      </c>
      <c r="H2516" s="4" t="s">
        <v>851</v>
      </c>
      <c r="I2516" s="10">
        <v>263</v>
      </c>
      <c r="J2516" s="34">
        <f t="shared" si="156"/>
        <v>2.2881</v>
      </c>
      <c r="K2516" s="34">
        <f t="shared" si="157"/>
        <v>3.43</v>
      </c>
      <c r="L2516" s="34">
        <f t="shared" si="158"/>
        <v>13.72</v>
      </c>
      <c r="M2516" s="11" t="s">
        <v>5517</v>
      </c>
      <c r="N2516" s="11" t="s">
        <v>5250</v>
      </c>
      <c r="O2516" s="11" t="s">
        <v>5251</v>
      </c>
      <c r="P2516" s="11" t="s">
        <v>5252</v>
      </c>
      <c r="Q2516" s="12">
        <v>100</v>
      </c>
      <c r="R2516" s="12">
        <v>115.5</v>
      </c>
      <c r="S2516" s="12">
        <v>6</v>
      </c>
      <c r="T2516" s="13">
        <v>21.3</v>
      </c>
      <c r="U2516" s="13">
        <f t="shared" si="159"/>
        <v>7.58</v>
      </c>
      <c r="V2516" s="14">
        <v>2609.25</v>
      </c>
      <c r="W2516" s="14">
        <v>2609.25</v>
      </c>
      <c r="X2516" s="11">
        <v>25</v>
      </c>
      <c r="Y2516" s="15" t="s">
        <v>3713</v>
      </c>
      <c r="Z2516" s="16">
        <v>2346.25</v>
      </c>
      <c r="AA2516" s="17">
        <v>892.1</v>
      </c>
      <c r="AB2516" s="18" t="s">
        <v>3714</v>
      </c>
    </row>
    <row r="2517" spans="1:28" x14ac:dyDescent="0.45">
      <c r="A2517" s="2" t="s">
        <v>3482</v>
      </c>
      <c r="B2517" s="2" t="s">
        <v>3483</v>
      </c>
      <c r="C2517" s="2" t="s">
        <v>2797</v>
      </c>
      <c r="D2517" s="2" t="s">
        <v>3451</v>
      </c>
      <c r="E2517" s="2" t="s">
        <v>256</v>
      </c>
      <c r="F2517" s="3">
        <v>105</v>
      </c>
      <c r="G2517" s="3">
        <v>120.5</v>
      </c>
      <c r="H2517" s="2" t="s">
        <v>851</v>
      </c>
      <c r="I2517" s="19">
        <v>271</v>
      </c>
      <c r="J2517" s="34">
        <f t="shared" si="156"/>
        <v>2.3576999999999999</v>
      </c>
      <c r="K2517" s="34">
        <f t="shared" si="157"/>
        <v>3.54</v>
      </c>
      <c r="L2517" s="34">
        <f t="shared" si="158"/>
        <v>14.16</v>
      </c>
      <c r="M2517" s="20" t="s">
        <v>5518</v>
      </c>
      <c r="N2517" s="20"/>
      <c r="O2517" s="20" t="s">
        <v>5231</v>
      </c>
      <c r="P2517" s="20" t="s">
        <v>5519</v>
      </c>
      <c r="Q2517" s="21">
        <v>105</v>
      </c>
      <c r="R2517" s="21">
        <v>120.5</v>
      </c>
      <c r="S2517" s="21">
        <v>6.3</v>
      </c>
      <c r="T2517" s="22">
        <v>14.25</v>
      </c>
      <c r="U2517" s="13">
        <f t="shared" si="159"/>
        <v>8.9999999999999858E-2</v>
      </c>
      <c r="V2517" s="23">
        <v>1745.62</v>
      </c>
      <c r="W2517" s="23">
        <v>1745.62</v>
      </c>
      <c r="X2517" s="20">
        <v>5</v>
      </c>
      <c r="Y2517" s="24" t="s">
        <v>3713</v>
      </c>
      <c r="Z2517" s="16">
        <v>1474.62</v>
      </c>
      <c r="AA2517" s="17">
        <v>544.1</v>
      </c>
      <c r="AB2517" s="25" t="s">
        <v>3714</v>
      </c>
    </row>
    <row r="2518" spans="1:28" x14ac:dyDescent="0.45">
      <c r="A2518" s="4" t="s">
        <v>3484</v>
      </c>
      <c r="B2518" s="4" t="s">
        <v>3485</v>
      </c>
      <c r="C2518" s="4" t="s">
        <v>2797</v>
      </c>
      <c r="D2518" s="4" t="s">
        <v>3451</v>
      </c>
      <c r="E2518" s="4" t="s">
        <v>256</v>
      </c>
      <c r="F2518" s="5">
        <v>110</v>
      </c>
      <c r="G2518" s="5">
        <v>125.5</v>
      </c>
      <c r="H2518" s="4" t="s">
        <v>851</v>
      </c>
      <c r="I2518" s="10">
        <v>279</v>
      </c>
      <c r="J2518" s="34">
        <f t="shared" si="156"/>
        <v>2.4272999999999998</v>
      </c>
      <c r="K2518" s="34">
        <f t="shared" si="157"/>
        <v>3.64</v>
      </c>
      <c r="L2518" s="34">
        <f t="shared" si="158"/>
        <v>14.56</v>
      </c>
      <c r="M2518" s="11" t="s">
        <v>5520</v>
      </c>
      <c r="N2518" s="11" t="s">
        <v>5505</v>
      </c>
      <c r="O2518" s="11" t="s">
        <v>5251</v>
      </c>
      <c r="P2518" s="11" t="s">
        <v>5506</v>
      </c>
      <c r="Q2518" s="12">
        <v>110</v>
      </c>
      <c r="R2518" s="12">
        <v>125.5</v>
      </c>
      <c r="S2518" s="12">
        <v>6</v>
      </c>
      <c r="T2518" s="13">
        <v>41.94</v>
      </c>
      <c r="U2518" s="13">
        <f t="shared" si="159"/>
        <v>27.379999999999995</v>
      </c>
      <c r="V2518" s="14">
        <v>5137.6499999999996</v>
      </c>
      <c r="W2518" s="14">
        <v>5137.6499999999996</v>
      </c>
      <c r="X2518" s="11">
        <v>150</v>
      </c>
      <c r="Y2518" s="15" t="s">
        <v>3713</v>
      </c>
      <c r="Z2518" s="16">
        <v>4858.6499999999996</v>
      </c>
      <c r="AA2518" s="17">
        <v>1741.5</v>
      </c>
      <c r="AB2518" s="18" t="s">
        <v>3714</v>
      </c>
    </row>
    <row r="2519" spans="1:28" x14ac:dyDescent="0.45">
      <c r="A2519" s="2" t="s">
        <v>3486</v>
      </c>
      <c r="B2519" s="2" t="s">
        <v>3487</v>
      </c>
      <c r="C2519" s="2" t="s">
        <v>2797</v>
      </c>
      <c r="D2519" s="2" t="s">
        <v>3451</v>
      </c>
      <c r="E2519" s="2" t="s">
        <v>256</v>
      </c>
      <c r="F2519" s="3">
        <v>115</v>
      </c>
      <c r="G2519" s="3">
        <v>130.5</v>
      </c>
      <c r="H2519" s="2" t="s">
        <v>851</v>
      </c>
      <c r="I2519" s="19">
        <v>296</v>
      </c>
      <c r="J2519" s="34">
        <f t="shared" si="156"/>
        <v>2.5751999999999997</v>
      </c>
      <c r="K2519" s="34">
        <f t="shared" si="157"/>
        <v>3.86</v>
      </c>
      <c r="L2519" s="34">
        <f t="shared" si="158"/>
        <v>15.44</v>
      </c>
      <c r="M2519" s="20" t="s">
        <v>5521</v>
      </c>
      <c r="N2519" s="20"/>
      <c r="O2519" s="20" t="s">
        <v>5231</v>
      </c>
      <c r="P2519" s="20" t="s">
        <v>5519</v>
      </c>
      <c r="Q2519" s="21">
        <v>115</v>
      </c>
      <c r="R2519" s="21">
        <v>130.5</v>
      </c>
      <c r="S2519" s="21">
        <v>6.3</v>
      </c>
      <c r="T2519" s="22">
        <v>15.4</v>
      </c>
      <c r="U2519" s="13">
        <f t="shared" si="159"/>
        <v>-3.9999999999999147E-2</v>
      </c>
      <c r="V2519" s="23">
        <v>1886.5</v>
      </c>
      <c r="W2519" s="23">
        <v>1886.5</v>
      </c>
      <c r="X2519" s="20" t="s">
        <v>3722</v>
      </c>
      <c r="Y2519" s="24" t="s">
        <v>3713</v>
      </c>
      <c r="Z2519" s="16">
        <v>1590.5</v>
      </c>
      <c r="AA2519" s="17">
        <v>537.29999999999995</v>
      </c>
      <c r="AB2519" s="25" t="s">
        <v>3714</v>
      </c>
    </row>
    <row r="2520" spans="1:28" x14ac:dyDescent="0.45">
      <c r="A2520" s="4" t="s">
        <v>3488</v>
      </c>
      <c r="B2520" s="4" t="s">
        <v>3489</v>
      </c>
      <c r="C2520" s="4" t="s">
        <v>2797</v>
      </c>
      <c r="D2520" s="4" t="s">
        <v>3451</v>
      </c>
      <c r="E2520" s="4" t="s">
        <v>256</v>
      </c>
      <c r="F2520" s="5">
        <v>120</v>
      </c>
      <c r="G2520" s="5">
        <v>135.5</v>
      </c>
      <c r="H2520" s="4" t="s">
        <v>851</v>
      </c>
      <c r="I2520" s="10">
        <v>311</v>
      </c>
      <c r="J2520" s="34">
        <f t="shared" si="156"/>
        <v>2.7056999999999998</v>
      </c>
      <c r="K2520" s="34">
        <f t="shared" si="157"/>
        <v>4.0599999999999996</v>
      </c>
      <c r="L2520" s="34">
        <f t="shared" si="158"/>
        <v>16.239999999999998</v>
      </c>
      <c r="M2520" s="11" t="s">
        <v>5522</v>
      </c>
      <c r="N2520" s="11" t="s">
        <v>5230</v>
      </c>
      <c r="O2520" s="11" t="s">
        <v>5231</v>
      </c>
      <c r="P2520" s="11" t="s">
        <v>5232</v>
      </c>
      <c r="Q2520" s="12">
        <v>120</v>
      </c>
      <c r="R2520" s="12">
        <v>135.5</v>
      </c>
      <c r="S2520" s="12">
        <v>6.3</v>
      </c>
      <c r="T2520" s="13">
        <v>35.35</v>
      </c>
      <c r="U2520" s="13">
        <f t="shared" si="159"/>
        <v>19.110000000000003</v>
      </c>
      <c r="V2520" s="14">
        <v>4330.38</v>
      </c>
      <c r="W2520" s="14">
        <v>4330.38</v>
      </c>
      <c r="X2520" s="11">
        <v>184</v>
      </c>
      <c r="Y2520" s="15" t="s">
        <v>3713</v>
      </c>
      <c r="Z2520" s="16">
        <v>4019.38</v>
      </c>
      <c r="AA2520" s="17">
        <v>1292.4000000000001</v>
      </c>
      <c r="AB2520" s="18" t="s">
        <v>3714</v>
      </c>
    </row>
    <row r="2521" spans="1:28" x14ac:dyDescent="0.45">
      <c r="A2521" s="2" t="s">
        <v>3490</v>
      </c>
      <c r="B2521" s="2" t="s">
        <v>3491</v>
      </c>
      <c r="C2521" s="2" t="s">
        <v>2797</v>
      </c>
      <c r="D2521" s="2" t="s">
        <v>3451</v>
      </c>
      <c r="E2521" s="2" t="s">
        <v>256</v>
      </c>
      <c r="F2521" s="3">
        <v>125</v>
      </c>
      <c r="G2521" s="3">
        <v>140.5</v>
      </c>
      <c r="H2521" s="2" t="s">
        <v>851</v>
      </c>
      <c r="I2521" s="19">
        <v>328</v>
      </c>
      <c r="J2521" s="34">
        <f t="shared" si="156"/>
        <v>2.8535999999999997</v>
      </c>
      <c r="K2521" s="34">
        <f t="shared" si="157"/>
        <v>4.28</v>
      </c>
      <c r="L2521" s="34">
        <f t="shared" si="158"/>
        <v>17.12</v>
      </c>
      <c r="M2521" s="20" t="s">
        <v>5523</v>
      </c>
      <c r="N2521" s="20" t="s">
        <v>5250</v>
      </c>
      <c r="O2521" s="20" t="s">
        <v>5251</v>
      </c>
      <c r="P2521" s="20" t="s">
        <v>5252</v>
      </c>
      <c r="Q2521" s="21">
        <v>125</v>
      </c>
      <c r="R2521" s="21">
        <v>140.5</v>
      </c>
      <c r="S2521" s="21">
        <v>6</v>
      </c>
      <c r="T2521" s="22">
        <v>22.47</v>
      </c>
      <c r="U2521" s="13">
        <f t="shared" si="159"/>
        <v>5.3499999999999979</v>
      </c>
      <c r="V2521" s="23">
        <v>2752.58</v>
      </c>
      <c r="W2521" s="23">
        <v>2752.58</v>
      </c>
      <c r="X2521" s="20" t="s">
        <v>3722</v>
      </c>
      <c r="Y2521" s="24" t="s">
        <v>3713</v>
      </c>
      <c r="Z2521" s="16">
        <v>2424.58</v>
      </c>
      <c r="AA2521" s="17">
        <v>739.2</v>
      </c>
      <c r="AB2521" s="25" t="s">
        <v>3714</v>
      </c>
    </row>
    <row r="2522" spans="1:28" x14ac:dyDescent="0.45">
      <c r="A2522" s="4" t="s">
        <v>3492</v>
      </c>
      <c r="B2522" s="4" t="s">
        <v>3493</v>
      </c>
      <c r="C2522" s="4" t="s">
        <v>2797</v>
      </c>
      <c r="D2522" s="4" t="s">
        <v>3451</v>
      </c>
      <c r="E2522" s="4" t="s">
        <v>256</v>
      </c>
      <c r="F2522" s="5">
        <v>130</v>
      </c>
      <c r="G2522" s="5">
        <v>145.5</v>
      </c>
      <c r="H2522" s="4" t="s">
        <v>851</v>
      </c>
      <c r="I2522" s="10">
        <v>337</v>
      </c>
      <c r="J2522" s="34">
        <f t="shared" si="156"/>
        <v>2.9318999999999997</v>
      </c>
      <c r="K2522" s="34">
        <f t="shared" si="157"/>
        <v>4.4000000000000004</v>
      </c>
      <c r="L2522" s="34">
        <f t="shared" si="158"/>
        <v>17.600000000000001</v>
      </c>
      <c r="M2522" s="11" t="s">
        <v>5524</v>
      </c>
      <c r="N2522" s="11" t="s">
        <v>5250</v>
      </c>
      <c r="O2522" s="11" t="s">
        <v>5251</v>
      </c>
      <c r="P2522" s="11" t="s">
        <v>5252</v>
      </c>
      <c r="Q2522" s="12">
        <v>130</v>
      </c>
      <c r="R2522" s="12">
        <v>145.5</v>
      </c>
      <c r="S2522" s="12">
        <v>6</v>
      </c>
      <c r="T2522" s="13">
        <v>23.44</v>
      </c>
      <c r="U2522" s="13">
        <f t="shared" si="159"/>
        <v>5.84</v>
      </c>
      <c r="V2522" s="14">
        <v>2871.4</v>
      </c>
      <c r="W2522" s="14">
        <v>2871.4</v>
      </c>
      <c r="X2522" s="11">
        <v>13</v>
      </c>
      <c r="Y2522" s="15" t="s">
        <v>3713</v>
      </c>
      <c r="Z2522" s="16">
        <v>2534.4</v>
      </c>
      <c r="AA2522" s="17">
        <v>752</v>
      </c>
      <c r="AB2522" s="18" t="s">
        <v>3714</v>
      </c>
    </row>
    <row r="2523" spans="1:28" x14ac:dyDescent="0.45">
      <c r="A2523" s="2" t="s">
        <v>3494</v>
      </c>
      <c r="B2523" s="2" t="s">
        <v>3495</v>
      </c>
      <c r="C2523" s="2" t="s">
        <v>2797</v>
      </c>
      <c r="D2523" s="2" t="s">
        <v>3451</v>
      </c>
      <c r="E2523" s="2" t="s">
        <v>256</v>
      </c>
      <c r="F2523" s="3">
        <v>133</v>
      </c>
      <c r="G2523" s="3">
        <v>148.5</v>
      </c>
      <c r="H2523" s="2" t="s">
        <v>851</v>
      </c>
      <c r="I2523" s="19">
        <v>387</v>
      </c>
      <c r="J2523" s="34">
        <f t="shared" si="156"/>
        <v>3.3668999999999998</v>
      </c>
      <c r="K2523" s="34">
        <f t="shared" si="157"/>
        <v>5.05</v>
      </c>
      <c r="L2523" s="34">
        <f t="shared" si="158"/>
        <v>20.2</v>
      </c>
      <c r="M2523" s="20" t="s">
        <v>5421</v>
      </c>
      <c r="N2523" s="20"/>
      <c r="O2523" s="20" t="s">
        <v>5291</v>
      </c>
      <c r="P2523" s="20" t="s">
        <v>5422</v>
      </c>
      <c r="Q2523" s="21">
        <v>133.35</v>
      </c>
      <c r="R2523" s="21">
        <v>149.09800000000001</v>
      </c>
      <c r="S2523" s="21">
        <v>19.05</v>
      </c>
      <c r="T2523" s="22">
        <v>13.57</v>
      </c>
      <c r="U2523" s="13">
        <f t="shared" si="159"/>
        <v>-6.629999999999999</v>
      </c>
      <c r="V2523" s="23">
        <v>1662.32</v>
      </c>
      <c r="W2523" s="23">
        <v>1662.32</v>
      </c>
      <c r="X2523" s="20">
        <v>21</v>
      </c>
      <c r="Y2523" s="24" t="s">
        <v>3737</v>
      </c>
      <c r="Z2523" s="16">
        <v>1275.32</v>
      </c>
      <c r="AA2523" s="17">
        <v>329.5</v>
      </c>
      <c r="AB2523" s="25" t="s">
        <v>5525</v>
      </c>
    </row>
    <row r="2524" spans="1:28" x14ac:dyDescent="0.45">
      <c r="A2524" s="4" t="s">
        <v>3496</v>
      </c>
      <c r="B2524" s="4" t="s">
        <v>3497</v>
      </c>
      <c r="C2524" s="4" t="s">
        <v>2797</v>
      </c>
      <c r="D2524" s="4" t="s">
        <v>3451</v>
      </c>
      <c r="E2524" s="4" t="s">
        <v>256</v>
      </c>
      <c r="F2524" s="5">
        <v>135</v>
      </c>
      <c r="G2524" s="5">
        <v>150.5</v>
      </c>
      <c r="H2524" s="4" t="s">
        <v>851</v>
      </c>
      <c r="I2524" s="10">
        <v>387</v>
      </c>
      <c r="J2524" s="34">
        <f t="shared" si="156"/>
        <v>3.3668999999999998</v>
      </c>
      <c r="K2524" s="34">
        <f t="shared" si="157"/>
        <v>5.05</v>
      </c>
      <c r="L2524" s="34">
        <f t="shared" si="158"/>
        <v>20.2</v>
      </c>
      <c r="M2524" s="11" t="s">
        <v>5424</v>
      </c>
      <c r="N2524" s="11" t="s">
        <v>5230</v>
      </c>
      <c r="O2524" s="11" t="s">
        <v>5231</v>
      </c>
      <c r="P2524" s="11" t="s">
        <v>5232</v>
      </c>
      <c r="Q2524" s="12">
        <v>135</v>
      </c>
      <c r="R2524" s="12">
        <v>150.5</v>
      </c>
      <c r="S2524" s="12">
        <v>6.3</v>
      </c>
      <c r="T2524" s="13">
        <v>39.229999999999997</v>
      </c>
      <c r="U2524" s="13">
        <f t="shared" si="159"/>
        <v>19.029999999999998</v>
      </c>
      <c r="V2524" s="14">
        <v>4805.67</v>
      </c>
      <c r="W2524" s="14">
        <v>4805.67</v>
      </c>
      <c r="X2524" s="11">
        <v>103</v>
      </c>
      <c r="Y2524" s="15" t="s">
        <v>3713</v>
      </c>
      <c r="Z2524" s="16">
        <v>4418.67</v>
      </c>
      <c r="AA2524" s="17">
        <v>1141.8</v>
      </c>
      <c r="AB2524" s="18" t="s">
        <v>3714</v>
      </c>
    </row>
    <row r="2525" spans="1:28" x14ac:dyDescent="0.45">
      <c r="A2525" s="2" t="s">
        <v>3498</v>
      </c>
      <c r="B2525" s="2" t="s">
        <v>3499</v>
      </c>
      <c r="C2525" s="2" t="s">
        <v>2797</v>
      </c>
      <c r="D2525" s="2" t="s">
        <v>3451</v>
      </c>
      <c r="E2525" s="2" t="s">
        <v>256</v>
      </c>
      <c r="F2525" s="3">
        <v>140</v>
      </c>
      <c r="G2525" s="3">
        <v>155.5</v>
      </c>
      <c r="H2525" s="2" t="s">
        <v>851</v>
      </c>
      <c r="I2525" s="19">
        <v>360</v>
      </c>
      <c r="J2525" s="34">
        <f t="shared" si="156"/>
        <v>3.1319999999999997</v>
      </c>
      <c r="K2525" s="34">
        <f t="shared" si="157"/>
        <v>4.7</v>
      </c>
      <c r="L2525" s="34">
        <f t="shared" si="158"/>
        <v>18.8</v>
      </c>
      <c r="M2525" s="20" t="s">
        <v>5526</v>
      </c>
      <c r="N2525" s="20"/>
      <c r="O2525" s="20" t="s">
        <v>5231</v>
      </c>
      <c r="P2525" s="20" t="s">
        <v>5242</v>
      </c>
      <c r="Q2525" s="21">
        <v>140</v>
      </c>
      <c r="R2525" s="21">
        <v>155.5</v>
      </c>
      <c r="S2525" s="21">
        <v>6.3</v>
      </c>
      <c r="T2525" s="22">
        <v>55.7</v>
      </c>
      <c r="U2525" s="13">
        <f t="shared" si="159"/>
        <v>36.900000000000006</v>
      </c>
      <c r="V2525" s="23">
        <v>6823.25</v>
      </c>
      <c r="W2525" s="23">
        <v>6823.25</v>
      </c>
      <c r="X2525" s="20">
        <v>20</v>
      </c>
      <c r="Y2525" s="24" t="s">
        <v>3713</v>
      </c>
      <c r="Z2525" s="16">
        <v>6463.25</v>
      </c>
      <c r="AA2525" s="17">
        <v>1795.3</v>
      </c>
      <c r="AB2525" s="25" t="s">
        <v>3714</v>
      </c>
    </row>
    <row r="2526" spans="1:28" x14ac:dyDescent="0.45">
      <c r="A2526" s="4" t="s">
        <v>3500</v>
      </c>
      <c r="B2526" s="4" t="s">
        <v>3501</v>
      </c>
      <c r="C2526" s="4" t="s">
        <v>2797</v>
      </c>
      <c r="D2526" s="4" t="s">
        <v>3451</v>
      </c>
      <c r="E2526" s="4" t="s">
        <v>256</v>
      </c>
      <c r="F2526" s="5">
        <v>145</v>
      </c>
      <c r="G2526" s="5">
        <v>160.5</v>
      </c>
      <c r="H2526" s="4" t="s">
        <v>851</v>
      </c>
      <c r="I2526" s="10">
        <v>421</v>
      </c>
      <c r="J2526" s="34">
        <f t="shared" si="156"/>
        <v>3.6626999999999996</v>
      </c>
      <c r="K2526" s="34">
        <f t="shared" si="157"/>
        <v>5.49</v>
      </c>
      <c r="L2526" s="34">
        <f t="shared" si="158"/>
        <v>21.96</v>
      </c>
      <c r="M2526" s="11" t="s">
        <v>5527</v>
      </c>
      <c r="N2526" s="11" t="s">
        <v>5285</v>
      </c>
      <c r="O2526" s="11" t="s">
        <v>5270</v>
      </c>
      <c r="P2526" s="11" t="s">
        <v>5286</v>
      </c>
      <c r="Q2526" s="12">
        <v>145</v>
      </c>
      <c r="R2526" s="12">
        <v>160.5</v>
      </c>
      <c r="S2526" s="12">
        <v>6</v>
      </c>
      <c r="T2526" s="13">
        <v>57.18</v>
      </c>
      <c r="U2526" s="13">
        <f t="shared" si="159"/>
        <v>35.22</v>
      </c>
      <c r="V2526" s="14">
        <v>7004.55</v>
      </c>
      <c r="W2526" s="14">
        <v>7004.55</v>
      </c>
      <c r="X2526" s="11">
        <v>52</v>
      </c>
      <c r="Y2526" s="15" t="s">
        <v>3713</v>
      </c>
      <c r="Z2526" s="16">
        <v>6583.55</v>
      </c>
      <c r="AA2526" s="17">
        <v>1563.8</v>
      </c>
      <c r="AB2526" s="18" t="s">
        <v>3714</v>
      </c>
    </row>
    <row r="2527" spans="1:28" x14ac:dyDescent="0.45">
      <c r="A2527" s="2" t="s">
        <v>3502</v>
      </c>
      <c r="B2527" s="2" t="s">
        <v>3503</v>
      </c>
      <c r="C2527" s="2" t="s">
        <v>2797</v>
      </c>
      <c r="D2527" s="2" t="s">
        <v>3451</v>
      </c>
      <c r="E2527" s="2" t="s">
        <v>256</v>
      </c>
      <c r="F2527" s="3">
        <v>150</v>
      </c>
      <c r="G2527" s="3">
        <v>165.5</v>
      </c>
      <c r="H2527" s="2" t="s">
        <v>851</v>
      </c>
      <c r="I2527" s="19">
        <v>427</v>
      </c>
      <c r="J2527" s="34">
        <f t="shared" si="156"/>
        <v>3.7148999999999996</v>
      </c>
      <c r="K2527" s="34">
        <f t="shared" si="157"/>
        <v>5.57</v>
      </c>
      <c r="L2527" s="34">
        <f t="shared" si="158"/>
        <v>22.28</v>
      </c>
      <c r="M2527" s="20" t="s">
        <v>5528</v>
      </c>
      <c r="N2527" s="20"/>
      <c r="O2527" s="20" t="s">
        <v>5231</v>
      </c>
      <c r="P2527" s="20" t="s">
        <v>5242</v>
      </c>
      <c r="Q2527" s="21">
        <v>150</v>
      </c>
      <c r="R2527" s="21">
        <v>165.5</v>
      </c>
      <c r="S2527" s="21">
        <v>6.3</v>
      </c>
      <c r="T2527" s="22">
        <v>20.95</v>
      </c>
      <c r="U2527" s="13">
        <f t="shared" si="159"/>
        <v>-1.3300000000000018</v>
      </c>
      <c r="V2527" s="23">
        <v>2566.38</v>
      </c>
      <c r="W2527" s="23">
        <v>2566.38</v>
      </c>
      <c r="X2527" s="20">
        <v>9</v>
      </c>
      <c r="Y2527" s="24" t="s">
        <v>3713</v>
      </c>
      <c r="Z2527" s="16">
        <v>2139.38</v>
      </c>
      <c r="AA2527" s="17">
        <v>501</v>
      </c>
      <c r="AB2527" s="25" t="s">
        <v>3714</v>
      </c>
    </row>
    <row r="2528" spans="1:28" x14ac:dyDescent="0.45">
      <c r="A2528" s="4" t="s">
        <v>3504</v>
      </c>
      <c r="B2528" s="4" t="s">
        <v>3505</v>
      </c>
      <c r="C2528" s="4" t="s">
        <v>2797</v>
      </c>
      <c r="D2528" s="4" t="s">
        <v>3451</v>
      </c>
      <c r="E2528" s="4" t="s">
        <v>256</v>
      </c>
      <c r="F2528" s="5">
        <v>150</v>
      </c>
      <c r="G2528" s="5">
        <v>170.1</v>
      </c>
      <c r="H2528" s="4" t="s">
        <v>876</v>
      </c>
      <c r="I2528" s="10">
        <v>682</v>
      </c>
      <c r="J2528" s="34">
        <f t="shared" si="156"/>
        <v>5.9333999999999998</v>
      </c>
      <c r="K2528" s="34">
        <f t="shared" si="157"/>
        <v>8.9</v>
      </c>
      <c r="L2528" s="34">
        <f t="shared" si="158"/>
        <v>35.6</v>
      </c>
      <c r="M2528" s="11" t="s">
        <v>5355</v>
      </c>
      <c r="N2528" s="11" t="s">
        <v>5254</v>
      </c>
      <c r="O2528" s="11" t="s">
        <v>5251</v>
      </c>
      <c r="P2528" s="11" t="s">
        <v>5255</v>
      </c>
      <c r="Q2528" s="12">
        <v>150</v>
      </c>
      <c r="R2528" s="12">
        <v>170</v>
      </c>
      <c r="S2528" s="12">
        <v>12</v>
      </c>
      <c r="T2528" s="13">
        <v>64.72</v>
      </c>
      <c r="U2528" s="13">
        <f t="shared" si="159"/>
        <v>29.119999999999997</v>
      </c>
      <c r="V2528" s="14">
        <v>7928.2</v>
      </c>
      <c r="W2528" s="14">
        <v>7928.2</v>
      </c>
      <c r="X2528" s="11">
        <v>6</v>
      </c>
      <c r="Y2528" s="15" t="s">
        <v>3713</v>
      </c>
      <c r="Z2528" s="16">
        <v>7246.2</v>
      </c>
      <c r="AA2528" s="17">
        <v>1062.5</v>
      </c>
      <c r="AB2528" s="18" t="s">
        <v>5276</v>
      </c>
    </row>
    <row r="2529" spans="1:28" x14ac:dyDescent="0.45">
      <c r="A2529" s="2" t="s">
        <v>3506</v>
      </c>
      <c r="B2529" s="2" t="s">
        <v>3507</v>
      </c>
      <c r="C2529" s="2" t="s">
        <v>2797</v>
      </c>
      <c r="D2529" s="2" t="s">
        <v>3451</v>
      </c>
      <c r="E2529" s="2" t="s">
        <v>256</v>
      </c>
      <c r="F2529" s="3">
        <v>155</v>
      </c>
      <c r="G2529" s="3">
        <v>170.5</v>
      </c>
      <c r="H2529" s="2" t="s">
        <v>851</v>
      </c>
      <c r="I2529" s="19">
        <v>424</v>
      </c>
      <c r="J2529" s="34">
        <f t="shared" si="156"/>
        <v>3.6887999999999996</v>
      </c>
      <c r="K2529" s="34">
        <f t="shared" si="157"/>
        <v>5.53</v>
      </c>
      <c r="L2529" s="34">
        <f t="shared" si="158"/>
        <v>22.12</v>
      </c>
      <c r="M2529" s="20" t="s">
        <v>5529</v>
      </c>
      <c r="N2529" s="20" t="s">
        <v>5230</v>
      </c>
      <c r="O2529" s="20" t="s">
        <v>5231</v>
      </c>
      <c r="P2529" s="20" t="s">
        <v>5232</v>
      </c>
      <c r="Q2529" s="21">
        <v>155</v>
      </c>
      <c r="R2529" s="21">
        <v>170.5</v>
      </c>
      <c r="S2529" s="21">
        <v>6.3</v>
      </c>
      <c r="T2529" s="22">
        <v>42.67</v>
      </c>
      <c r="U2529" s="13">
        <f t="shared" si="159"/>
        <v>20.55</v>
      </c>
      <c r="V2529" s="23">
        <v>5227.08</v>
      </c>
      <c r="W2529" s="23">
        <v>5227.08</v>
      </c>
      <c r="X2529" s="20">
        <v>225</v>
      </c>
      <c r="Y2529" s="24" t="s">
        <v>3713</v>
      </c>
      <c r="Z2529" s="16">
        <v>4803.08</v>
      </c>
      <c r="AA2529" s="17">
        <v>1132.8</v>
      </c>
      <c r="AB2529" s="25" t="s">
        <v>3714</v>
      </c>
    </row>
    <row r="2530" spans="1:28" x14ac:dyDescent="0.45">
      <c r="A2530" s="4" t="s">
        <v>3508</v>
      </c>
      <c r="B2530" s="4" t="s">
        <v>3509</v>
      </c>
      <c r="C2530" s="4" t="s">
        <v>2797</v>
      </c>
      <c r="D2530" s="4" t="s">
        <v>3451</v>
      </c>
      <c r="E2530" s="4" t="s">
        <v>256</v>
      </c>
      <c r="F2530" s="5">
        <v>160</v>
      </c>
      <c r="G2530" s="5">
        <v>175.5</v>
      </c>
      <c r="H2530" s="4" t="s">
        <v>851</v>
      </c>
      <c r="I2530" s="10">
        <v>444</v>
      </c>
      <c r="J2530" s="34">
        <f t="shared" si="156"/>
        <v>3.8627999999999996</v>
      </c>
      <c r="K2530" s="34">
        <f t="shared" si="157"/>
        <v>5.79</v>
      </c>
      <c r="L2530" s="34">
        <f t="shared" si="158"/>
        <v>23.16</v>
      </c>
      <c r="M2530" s="11" t="s">
        <v>5530</v>
      </c>
      <c r="N2530" s="11" t="s">
        <v>5230</v>
      </c>
      <c r="O2530" s="11" t="s">
        <v>5231</v>
      </c>
      <c r="P2530" s="11" t="s">
        <v>5232</v>
      </c>
      <c r="Q2530" s="12">
        <v>160</v>
      </c>
      <c r="R2530" s="12">
        <v>175.5</v>
      </c>
      <c r="S2530" s="12">
        <v>6.3</v>
      </c>
      <c r="T2530" s="13">
        <v>45.67</v>
      </c>
      <c r="U2530" s="13">
        <f t="shared" si="159"/>
        <v>22.51</v>
      </c>
      <c r="V2530" s="14">
        <v>5594.58</v>
      </c>
      <c r="W2530" s="14">
        <v>5594.58</v>
      </c>
      <c r="X2530" s="11">
        <v>136</v>
      </c>
      <c r="Y2530" s="15" t="s">
        <v>3713</v>
      </c>
      <c r="Z2530" s="16">
        <v>5150.58</v>
      </c>
      <c r="AA2530" s="17">
        <v>1160</v>
      </c>
      <c r="AB2530" s="18" t="s">
        <v>3714</v>
      </c>
    </row>
    <row r="2531" spans="1:28" x14ac:dyDescent="0.45">
      <c r="A2531" s="2" t="s">
        <v>3510</v>
      </c>
      <c r="B2531" s="2" t="s">
        <v>3511</v>
      </c>
      <c r="C2531" s="2" t="s">
        <v>2797</v>
      </c>
      <c r="D2531" s="2" t="s">
        <v>3451</v>
      </c>
      <c r="E2531" s="2" t="s">
        <v>256</v>
      </c>
      <c r="F2531" s="3">
        <v>170</v>
      </c>
      <c r="G2531" s="3">
        <v>185.5</v>
      </c>
      <c r="H2531" s="2" t="s">
        <v>851</v>
      </c>
      <c r="I2531" s="19">
        <v>525</v>
      </c>
      <c r="J2531" s="34">
        <f t="shared" si="156"/>
        <v>4.5674999999999999</v>
      </c>
      <c r="K2531" s="34">
        <f t="shared" si="157"/>
        <v>6.85</v>
      </c>
      <c r="L2531" s="34">
        <f t="shared" si="158"/>
        <v>27.4</v>
      </c>
      <c r="M2531" s="20" t="s">
        <v>5531</v>
      </c>
      <c r="N2531" s="20" t="s">
        <v>5230</v>
      </c>
      <c r="O2531" s="20" t="s">
        <v>5231</v>
      </c>
      <c r="P2531" s="20" t="s">
        <v>5232</v>
      </c>
      <c r="Q2531" s="21">
        <v>170</v>
      </c>
      <c r="R2531" s="21">
        <v>185.5</v>
      </c>
      <c r="S2531" s="21">
        <v>6.3</v>
      </c>
      <c r="T2531" s="22">
        <v>63.25</v>
      </c>
      <c r="U2531" s="13">
        <f t="shared" si="159"/>
        <v>35.85</v>
      </c>
      <c r="V2531" s="23">
        <v>7748.12</v>
      </c>
      <c r="W2531" s="23">
        <v>7748.12</v>
      </c>
      <c r="X2531" s="20">
        <v>27</v>
      </c>
      <c r="Y2531" s="24" t="s">
        <v>3713</v>
      </c>
      <c r="Z2531" s="16">
        <v>7223.12</v>
      </c>
      <c r="AA2531" s="17">
        <v>1375.8</v>
      </c>
      <c r="AB2531" s="25" t="s">
        <v>3714</v>
      </c>
    </row>
    <row r="2532" spans="1:28" x14ac:dyDescent="0.45">
      <c r="A2532" s="4" t="s">
        <v>3512</v>
      </c>
      <c r="B2532" s="4" t="s">
        <v>3513</v>
      </c>
      <c r="C2532" s="4" t="s">
        <v>2797</v>
      </c>
      <c r="D2532" s="4" t="s">
        <v>3451</v>
      </c>
      <c r="E2532" s="4" t="s">
        <v>256</v>
      </c>
      <c r="F2532" s="5">
        <v>180</v>
      </c>
      <c r="G2532" s="5">
        <v>195.5</v>
      </c>
      <c r="H2532" s="4" t="s">
        <v>851</v>
      </c>
      <c r="I2532" s="10">
        <v>559</v>
      </c>
      <c r="J2532" s="34">
        <f t="shared" si="156"/>
        <v>4.8632999999999997</v>
      </c>
      <c r="K2532" s="34">
        <f t="shared" si="157"/>
        <v>7.29</v>
      </c>
      <c r="L2532" s="34">
        <f t="shared" si="158"/>
        <v>29.16</v>
      </c>
      <c r="M2532" s="11" t="s">
        <v>5532</v>
      </c>
      <c r="N2532" s="11" t="s">
        <v>5230</v>
      </c>
      <c r="O2532" s="11" t="s">
        <v>5231</v>
      </c>
      <c r="P2532" s="11" t="s">
        <v>5232</v>
      </c>
      <c r="Q2532" s="12">
        <v>180</v>
      </c>
      <c r="R2532" s="12">
        <v>195.5</v>
      </c>
      <c r="S2532" s="12">
        <v>6.3</v>
      </c>
      <c r="T2532" s="13">
        <v>50.89</v>
      </c>
      <c r="U2532" s="13">
        <f t="shared" si="159"/>
        <v>21.73</v>
      </c>
      <c r="V2532" s="14">
        <v>6234.02</v>
      </c>
      <c r="W2532" s="14">
        <v>6234.02</v>
      </c>
      <c r="X2532" s="11">
        <v>139</v>
      </c>
      <c r="Y2532" s="15" t="s">
        <v>3713</v>
      </c>
      <c r="Z2532" s="16">
        <v>5675.02</v>
      </c>
      <c r="AA2532" s="17">
        <v>1015.2</v>
      </c>
      <c r="AB2532" s="18" t="s">
        <v>3714</v>
      </c>
    </row>
    <row r="2533" spans="1:28" x14ac:dyDescent="0.45">
      <c r="A2533" s="2" t="s">
        <v>3514</v>
      </c>
      <c r="B2533" s="2" t="s">
        <v>3515</v>
      </c>
      <c r="C2533" s="2" t="s">
        <v>2797</v>
      </c>
      <c r="D2533" s="2" t="s">
        <v>3451</v>
      </c>
      <c r="E2533" s="2" t="s">
        <v>256</v>
      </c>
      <c r="F2533" s="3">
        <v>190</v>
      </c>
      <c r="G2533" s="3">
        <v>205.5</v>
      </c>
      <c r="H2533" s="2" t="s">
        <v>851</v>
      </c>
      <c r="I2533" s="19">
        <v>599</v>
      </c>
      <c r="J2533" s="34">
        <f t="shared" si="156"/>
        <v>5.2112999999999996</v>
      </c>
      <c r="K2533" s="34">
        <f t="shared" si="157"/>
        <v>7.82</v>
      </c>
      <c r="L2533" s="34">
        <f t="shared" si="158"/>
        <v>31.28</v>
      </c>
      <c r="M2533" s="20" t="s">
        <v>5367</v>
      </c>
      <c r="N2533" s="20" t="s">
        <v>5230</v>
      </c>
      <c r="O2533" s="20" t="s">
        <v>5231</v>
      </c>
      <c r="P2533" s="20" t="s">
        <v>5232</v>
      </c>
      <c r="Q2533" s="21">
        <v>190</v>
      </c>
      <c r="R2533" s="21">
        <v>205.5</v>
      </c>
      <c r="S2533" s="21">
        <v>6.3</v>
      </c>
      <c r="T2533" s="22">
        <v>52.59</v>
      </c>
      <c r="U2533" s="13">
        <f t="shared" si="159"/>
        <v>21.310000000000002</v>
      </c>
      <c r="V2533" s="23">
        <v>6442.28</v>
      </c>
      <c r="W2533" s="23">
        <v>6442.28</v>
      </c>
      <c r="X2533" s="20">
        <v>82</v>
      </c>
      <c r="Y2533" s="24" t="s">
        <v>3713</v>
      </c>
      <c r="Z2533" s="16">
        <v>5843.28</v>
      </c>
      <c r="AA2533" s="17">
        <v>975.5</v>
      </c>
      <c r="AB2533" s="25" t="s">
        <v>3714</v>
      </c>
    </row>
    <row r="2534" spans="1:28" x14ac:dyDescent="0.45">
      <c r="A2534" s="4" t="s">
        <v>3516</v>
      </c>
      <c r="B2534" s="4" t="s">
        <v>3517</v>
      </c>
      <c r="C2534" s="4" t="s">
        <v>2797</v>
      </c>
      <c r="D2534" s="4" t="s">
        <v>3451</v>
      </c>
      <c r="E2534" s="4" t="s">
        <v>256</v>
      </c>
      <c r="F2534" s="5">
        <v>200</v>
      </c>
      <c r="G2534" s="5">
        <v>221</v>
      </c>
      <c r="H2534" s="4" t="s">
        <v>876</v>
      </c>
      <c r="I2534" s="10">
        <v>764</v>
      </c>
      <c r="J2534" s="34">
        <f t="shared" si="156"/>
        <v>6.6467999999999998</v>
      </c>
      <c r="K2534" s="34">
        <f t="shared" si="157"/>
        <v>9.9700000000000006</v>
      </c>
      <c r="L2534" s="34">
        <f t="shared" si="158"/>
        <v>39.880000000000003</v>
      </c>
      <c r="M2534" s="11" t="s">
        <v>5533</v>
      </c>
      <c r="N2534" s="11" t="s">
        <v>5230</v>
      </c>
      <c r="O2534" s="11" t="s">
        <v>5231</v>
      </c>
      <c r="P2534" s="11" t="s">
        <v>5232</v>
      </c>
      <c r="Q2534" s="12">
        <v>200</v>
      </c>
      <c r="R2534" s="12">
        <v>221</v>
      </c>
      <c r="S2534" s="12">
        <v>8.1</v>
      </c>
      <c r="T2534" s="13">
        <v>83.09</v>
      </c>
      <c r="U2534" s="13">
        <f t="shared" si="159"/>
        <v>43.21</v>
      </c>
      <c r="V2534" s="14">
        <v>10178.52</v>
      </c>
      <c r="W2534" s="14">
        <v>10178.52</v>
      </c>
      <c r="X2534" s="11">
        <v>96</v>
      </c>
      <c r="Y2534" s="15" t="s">
        <v>3713</v>
      </c>
      <c r="Z2534" s="16">
        <v>9414.52</v>
      </c>
      <c r="AA2534" s="17">
        <v>1232.3</v>
      </c>
      <c r="AB2534" s="18" t="s">
        <v>3714</v>
      </c>
    </row>
    <row r="2535" spans="1:28" x14ac:dyDescent="0.45">
      <c r="A2535" s="2" t="s">
        <v>3518</v>
      </c>
      <c r="B2535" s="2" t="s">
        <v>3519</v>
      </c>
      <c r="C2535" s="2" t="s">
        <v>2797</v>
      </c>
      <c r="D2535" s="2" t="s">
        <v>2779</v>
      </c>
      <c r="E2535" s="2" t="s">
        <v>6</v>
      </c>
      <c r="F2535" s="3">
        <v>14</v>
      </c>
      <c r="G2535" s="3">
        <v>22</v>
      </c>
      <c r="H2535" s="2" t="s">
        <v>417</v>
      </c>
      <c r="I2535" s="19">
        <v>163</v>
      </c>
      <c r="J2535" s="34">
        <f t="shared" si="156"/>
        <v>1.4180999999999999</v>
      </c>
      <c r="K2535" s="34">
        <f t="shared" si="157"/>
        <v>2.13</v>
      </c>
      <c r="L2535" s="34">
        <f t="shared" si="158"/>
        <v>8.52</v>
      </c>
      <c r="M2535" s="20" t="s">
        <v>5534</v>
      </c>
      <c r="N2535" s="20" t="s">
        <v>5402</v>
      </c>
      <c r="O2535" s="20" t="s">
        <v>5270</v>
      </c>
      <c r="P2535" s="20" t="s">
        <v>5403</v>
      </c>
      <c r="Q2535" s="21">
        <v>14</v>
      </c>
      <c r="R2535" s="21">
        <v>22</v>
      </c>
      <c r="S2535" s="21">
        <v>5.5</v>
      </c>
      <c r="T2535" s="22">
        <v>2.13</v>
      </c>
      <c r="U2535" s="13">
        <f t="shared" si="159"/>
        <v>-6.39</v>
      </c>
      <c r="V2535" s="23">
        <v>260.92</v>
      </c>
      <c r="W2535" s="23">
        <v>260.92</v>
      </c>
      <c r="X2535" s="20">
        <v>46</v>
      </c>
      <c r="Y2535" s="24" t="s">
        <v>3713</v>
      </c>
      <c r="Z2535" s="16">
        <v>97.920000000000016</v>
      </c>
      <c r="AA2535" s="17">
        <v>60.1</v>
      </c>
      <c r="AB2535" s="25" t="s">
        <v>3714</v>
      </c>
    </row>
    <row r="2536" spans="1:28" x14ac:dyDescent="0.45">
      <c r="A2536" s="4" t="s">
        <v>3520</v>
      </c>
      <c r="B2536" s="4" t="s">
        <v>3521</v>
      </c>
      <c r="C2536" s="4" t="s">
        <v>2797</v>
      </c>
      <c r="D2536" s="4" t="s">
        <v>2779</v>
      </c>
      <c r="E2536" s="4" t="s">
        <v>6</v>
      </c>
      <c r="F2536" s="5">
        <v>16</v>
      </c>
      <c r="G2536" s="5">
        <v>24</v>
      </c>
      <c r="H2536" s="4" t="s">
        <v>417</v>
      </c>
      <c r="I2536" s="10">
        <v>183</v>
      </c>
      <c r="J2536" s="34">
        <f t="shared" si="156"/>
        <v>1.5920999999999998</v>
      </c>
      <c r="K2536" s="34">
        <f t="shared" si="157"/>
        <v>2.39</v>
      </c>
      <c r="L2536" s="34">
        <f t="shared" si="158"/>
        <v>9.56</v>
      </c>
      <c r="M2536" s="11" t="s">
        <v>5535</v>
      </c>
      <c r="N2536" s="11" t="s">
        <v>5254</v>
      </c>
      <c r="O2536" s="11" t="s">
        <v>5251</v>
      </c>
      <c r="P2536" s="11" t="s">
        <v>5255</v>
      </c>
      <c r="Q2536" s="12">
        <v>16</v>
      </c>
      <c r="R2536" s="12">
        <v>24</v>
      </c>
      <c r="S2536" s="12">
        <v>5.8</v>
      </c>
      <c r="T2536" s="13">
        <v>5.01</v>
      </c>
      <c r="U2536" s="13">
        <f t="shared" si="159"/>
        <v>-4.5500000000000007</v>
      </c>
      <c r="V2536" s="14">
        <v>613.72</v>
      </c>
      <c r="W2536" s="14">
        <v>613.72</v>
      </c>
      <c r="X2536" s="11">
        <v>428</v>
      </c>
      <c r="Y2536" s="15" t="s">
        <v>3713</v>
      </c>
      <c r="Z2536" s="16">
        <v>430.72</v>
      </c>
      <c r="AA2536" s="17">
        <v>235.4</v>
      </c>
      <c r="AB2536" s="18" t="s">
        <v>3714</v>
      </c>
    </row>
    <row r="2537" spans="1:28" x14ac:dyDescent="0.45">
      <c r="A2537" s="2" t="s">
        <v>3522</v>
      </c>
      <c r="B2537" s="2" t="s">
        <v>3523</v>
      </c>
      <c r="C2537" s="2" t="s">
        <v>2797</v>
      </c>
      <c r="D2537" s="2" t="s">
        <v>2779</v>
      </c>
      <c r="E2537" s="2" t="s">
        <v>6</v>
      </c>
      <c r="F2537" s="3">
        <v>18</v>
      </c>
      <c r="G2537" s="3">
        <v>26</v>
      </c>
      <c r="H2537" s="2" t="s">
        <v>417</v>
      </c>
      <c r="I2537" s="19">
        <v>192</v>
      </c>
      <c r="J2537" s="34">
        <f t="shared" si="156"/>
        <v>1.6703999999999999</v>
      </c>
      <c r="K2537" s="34">
        <f t="shared" si="157"/>
        <v>2.5099999999999998</v>
      </c>
      <c r="L2537" s="34">
        <f t="shared" si="158"/>
        <v>10.039999999999999</v>
      </c>
      <c r="M2537" s="20" t="s">
        <v>5536</v>
      </c>
      <c r="N2537" s="20" t="s">
        <v>5254</v>
      </c>
      <c r="O2537" s="20" t="s">
        <v>5251</v>
      </c>
      <c r="P2537" s="20" t="s">
        <v>5255</v>
      </c>
      <c r="Q2537" s="21">
        <v>18</v>
      </c>
      <c r="R2537" s="21">
        <v>26</v>
      </c>
      <c r="S2537" s="21">
        <v>5</v>
      </c>
      <c r="T2537" s="22">
        <v>12.72</v>
      </c>
      <c r="U2537" s="13">
        <f t="shared" si="159"/>
        <v>2.6800000000000015</v>
      </c>
      <c r="V2537" s="23">
        <v>1558.2</v>
      </c>
      <c r="W2537" s="23">
        <v>1558.2</v>
      </c>
      <c r="X2537" s="20">
        <v>26</v>
      </c>
      <c r="Y2537" s="24" t="s">
        <v>3713</v>
      </c>
      <c r="Z2537" s="16">
        <v>1366.2</v>
      </c>
      <c r="AA2537" s="17">
        <v>711.6</v>
      </c>
      <c r="AB2537" s="25" t="s">
        <v>3714</v>
      </c>
    </row>
    <row r="2538" spans="1:28" x14ac:dyDescent="0.45">
      <c r="A2538" s="4" t="s">
        <v>3524</v>
      </c>
      <c r="B2538" s="4" t="s">
        <v>3525</v>
      </c>
      <c r="C2538" s="4" t="s">
        <v>2797</v>
      </c>
      <c r="D2538" s="4" t="s">
        <v>2779</v>
      </c>
      <c r="E2538" s="4" t="s">
        <v>6</v>
      </c>
      <c r="F2538" s="5">
        <v>20</v>
      </c>
      <c r="G2538" s="5">
        <v>28</v>
      </c>
      <c r="H2538" s="4" t="s">
        <v>417</v>
      </c>
      <c r="I2538" s="10">
        <v>200</v>
      </c>
      <c r="J2538" s="34">
        <f t="shared" si="156"/>
        <v>1.7399999999999998</v>
      </c>
      <c r="K2538" s="34">
        <f t="shared" si="157"/>
        <v>2.61</v>
      </c>
      <c r="L2538" s="34">
        <f t="shared" si="158"/>
        <v>10.44</v>
      </c>
      <c r="M2538" s="11" t="s">
        <v>5537</v>
      </c>
      <c r="N2538" s="11" t="s">
        <v>5254</v>
      </c>
      <c r="O2538" s="11" t="s">
        <v>5251</v>
      </c>
      <c r="P2538" s="11" t="s">
        <v>5255</v>
      </c>
      <c r="Q2538" s="12">
        <v>20</v>
      </c>
      <c r="R2538" s="12">
        <v>28</v>
      </c>
      <c r="S2538" s="12">
        <v>5</v>
      </c>
      <c r="T2538" s="13">
        <v>12.81</v>
      </c>
      <c r="U2538" s="13">
        <f t="shared" si="159"/>
        <v>2.370000000000001</v>
      </c>
      <c r="V2538" s="14">
        <v>1569.22</v>
      </c>
      <c r="W2538" s="14">
        <v>1569.22</v>
      </c>
      <c r="X2538" s="11">
        <v>35</v>
      </c>
      <c r="Y2538" s="15" t="s">
        <v>3713</v>
      </c>
      <c r="Z2538" s="16">
        <v>1369.22</v>
      </c>
      <c r="AA2538" s="17">
        <v>684.6</v>
      </c>
      <c r="AB2538" s="18" t="s">
        <v>3714</v>
      </c>
    </row>
    <row r="2539" spans="1:28" x14ac:dyDescent="0.45">
      <c r="A2539" s="2" t="s">
        <v>3526</v>
      </c>
      <c r="B2539" s="2" t="s">
        <v>3527</v>
      </c>
      <c r="C2539" s="2" t="s">
        <v>2797</v>
      </c>
      <c r="D2539" s="2" t="s">
        <v>2779</v>
      </c>
      <c r="E2539" s="2" t="s">
        <v>6</v>
      </c>
      <c r="F2539" s="3">
        <v>22</v>
      </c>
      <c r="G2539" s="3">
        <v>30</v>
      </c>
      <c r="H2539" s="2" t="s">
        <v>417</v>
      </c>
      <c r="I2539" s="19">
        <v>219</v>
      </c>
      <c r="J2539" s="34">
        <f t="shared" si="156"/>
        <v>1.9052999999999998</v>
      </c>
      <c r="K2539" s="34">
        <f t="shared" si="157"/>
        <v>2.86</v>
      </c>
      <c r="L2539" s="34">
        <f t="shared" si="158"/>
        <v>11.44</v>
      </c>
      <c r="M2539" s="20" t="s">
        <v>5538</v>
      </c>
      <c r="N2539" s="20" t="s">
        <v>5254</v>
      </c>
      <c r="O2539" s="20" t="s">
        <v>5251</v>
      </c>
      <c r="P2539" s="20" t="s">
        <v>5255</v>
      </c>
      <c r="Q2539" s="21">
        <v>22</v>
      </c>
      <c r="R2539" s="21">
        <v>30</v>
      </c>
      <c r="S2539" s="21">
        <v>5.7</v>
      </c>
      <c r="T2539" s="22">
        <v>3.36</v>
      </c>
      <c r="U2539" s="13">
        <f t="shared" si="159"/>
        <v>-8.08</v>
      </c>
      <c r="V2539" s="23">
        <v>411.6</v>
      </c>
      <c r="W2539" s="23">
        <v>411.6</v>
      </c>
      <c r="X2539" s="20">
        <v>572</v>
      </c>
      <c r="Y2539" s="24" t="s">
        <v>3713</v>
      </c>
      <c r="Z2539" s="16">
        <v>192.6</v>
      </c>
      <c r="AA2539" s="17">
        <v>87.9</v>
      </c>
      <c r="AB2539" s="25" t="s">
        <v>3714</v>
      </c>
    </row>
    <row r="2540" spans="1:28" x14ac:dyDescent="0.45">
      <c r="A2540" s="4" t="s">
        <v>3528</v>
      </c>
      <c r="B2540" s="4" t="s">
        <v>3529</v>
      </c>
      <c r="C2540" s="4" t="s">
        <v>2797</v>
      </c>
      <c r="D2540" s="4" t="s">
        <v>2779</v>
      </c>
      <c r="E2540" s="4" t="s">
        <v>6</v>
      </c>
      <c r="F2540" s="5">
        <v>25</v>
      </c>
      <c r="G2540" s="5">
        <v>33</v>
      </c>
      <c r="H2540" s="4" t="s">
        <v>417</v>
      </c>
      <c r="I2540" s="10">
        <v>229</v>
      </c>
      <c r="J2540" s="34">
        <f t="shared" si="156"/>
        <v>1.9923</v>
      </c>
      <c r="K2540" s="34">
        <f t="shared" si="157"/>
        <v>2.99</v>
      </c>
      <c r="L2540" s="34">
        <f t="shared" si="158"/>
        <v>11.96</v>
      </c>
      <c r="M2540" s="11" t="s">
        <v>5539</v>
      </c>
      <c r="N2540" s="11" t="s">
        <v>5254</v>
      </c>
      <c r="O2540" s="11" t="s">
        <v>5251</v>
      </c>
      <c r="P2540" s="11" t="s">
        <v>5255</v>
      </c>
      <c r="Q2540" s="12">
        <v>25</v>
      </c>
      <c r="R2540" s="12">
        <v>33</v>
      </c>
      <c r="S2540" s="12">
        <v>5</v>
      </c>
      <c r="T2540" s="13">
        <v>11.5</v>
      </c>
      <c r="U2540" s="13">
        <f t="shared" si="159"/>
        <v>-0.46000000000000085</v>
      </c>
      <c r="V2540" s="14">
        <v>1408.75</v>
      </c>
      <c r="W2540" s="14">
        <v>1408.75</v>
      </c>
      <c r="X2540" s="11">
        <v>22</v>
      </c>
      <c r="Y2540" s="15" t="s">
        <v>3713</v>
      </c>
      <c r="Z2540" s="16">
        <v>1179.75</v>
      </c>
      <c r="AA2540" s="17">
        <v>515.20000000000005</v>
      </c>
      <c r="AB2540" s="18" t="s">
        <v>3714</v>
      </c>
    </row>
    <row r="2541" spans="1:28" x14ac:dyDescent="0.45">
      <c r="A2541" s="2" t="s">
        <v>3530</v>
      </c>
      <c r="B2541" s="2" t="s">
        <v>3531</v>
      </c>
      <c r="C2541" s="2" t="s">
        <v>2797</v>
      </c>
      <c r="D2541" s="2" t="s">
        <v>2779</v>
      </c>
      <c r="E2541" s="2" t="s">
        <v>6</v>
      </c>
      <c r="F2541" s="3">
        <v>28</v>
      </c>
      <c r="G2541" s="3">
        <v>36</v>
      </c>
      <c r="H2541" s="2" t="s">
        <v>417</v>
      </c>
      <c r="I2541" s="19">
        <v>247</v>
      </c>
      <c r="J2541" s="34">
        <f t="shared" si="156"/>
        <v>2.1488999999999998</v>
      </c>
      <c r="K2541" s="34">
        <f t="shared" si="157"/>
        <v>3.22</v>
      </c>
      <c r="L2541" s="34">
        <f t="shared" si="158"/>
        <v>12.88</v>
      </c>
      <c r="M2541" s="20" t="s">
        <v>5540</v>
      </c>
      <c r="N2541" s="20" t="s">
        <v>5541</v>
      </c>
      <c r="O2541" s="20" t="s">
        <v>5251</v>
      </c>
      <c r="P2541" s="20" t="s">
        <v>5542</v>
      </c>
      <c r="Q2541" s="21">
        <v>28</v>
      </c>
      <c r="R2541" s="21">
        <v>36</v>
      </c>
      <c r="S2541" s="21">
        <v>5.3</v>
      </c>
      <c r="T2541" s="22">
        <v>9.0500000000000007</v>
      </c>
      <c r="U2541" s="13">
        <f t="shared" si="159"/>
        <v>-3.83</v>
      </c>
      <c r="V2541" s="23">
        <v>1108.6199999999999</v>
      </c>
      <c r="W2541" s="23">
        <v>1108.6199999999999</v>
      </c>
      <c r="X2541" s="20">
        <v>201</v>
      </c>
      <c r="Y2541" s="24" t="s">
        <v>3713</v>
      </c>
      <c r="Z2541" s="16">
        <v>861.61999999999989</v>
      </c>
      <c r="AA2541" s="17">
        <v>348.8</v>
      </c>
      <c r="AB2541" s="25" t="s">
        <v>3714</v>
      </c>
    </row>
    <row r="2542" spans="1:28" x14ac:dyDescent="0.45">
      <c r="A2542" s="4" t="s">
        <v>3532</v>
      </c>
      <c r="B2542" s="4" t="s">
        <v>3533</v>
      </c>
      <c r="C2542" s="4" t="s">
        <v>2797</v>
      </c>
      <c r="D2542" s="4" t="s">
        <v>2779</v>
      </c>
      <c r="E2542" s="4" t="s">
        <v>6</v>
      </c>
      <c r="F2542" s="5">
        <v>30</v>
      </c>
      <c r="G2542" s="5">
        <v>38</v>
      </c>
      <c r="H2542" s="4" t="s">
        <v>417</v>
      </c>
      <c r="I2542" s="10">
        <v>257</v>
      </c>
      <c r="J2542" s="34">
        <f t="shared" si="156"/>
        <v>2.2359</v>
      </c>
      <c r="K2542" s="34">
        <f t="shared" si="157"/>
        <v>3.35</v>
      </c>
      <c r="L2542" s="34">
        <f t="shared" si="158"/>
        <v>13.4</v>
      </c>
      <c r="M2542" s="11" t="s">
        <v>5543</v>
      </c>
      <c r="N2542" s="11" t="s">
        <v>5254</v>
      </c>
      <c r="O2542" s="11" t="s">
        <v>5251</v>
      </c>
      <c r="P2542" s="11" t="s">
        <v>5255</v>
      </c>
      <c r="Q2542" s="12">
        <v>30</v>
      </c>
      <c r="R2542" s="12">
        <v>38</v>
      </c>
      <c r="S2542" s="12">
        <v>5.7</v>
      </c>
      <c r="T2542" s="13">
        <v>16.559999999999999</v>
      </c>
      <c r="U2542" s="13">
        <f t="shared" si="159"/>
        <v>3.1599999999999984</v>
      </c>
      <c r="V2542" s="14">
        <v>2028.6</v>
      </c>
      <c r="W2542" s="14">
        <v>2028.6</v>
      </c>
      <c r="X2542" s="11">
        <v>231</v>
      </c>
      <c r="Y2542" s="15" t="s">
        <v>3713</v>
      </c>
      <c r="Z2542" s="16">
        <v>1771.6</v>
      </c>
      <c r="AA2542" s="17">
        <v>689.3</v>
      </c>
      <c r="AB2542" s="18" t="s">
        <v>3714</v>
      </c>
    </row>
    <row r="2543" spans="1:28" x14ac:dyDescent="0.45">
      <c r="A2543" s="2" t="s">
        <v>3534</v>
      </c>
      <c r="B2543" s="2" t="s">
        <v>3535</v>
      </c>
      <c r="C2543" s="2" t="s">
        <v>2797</v>
      </c>
      <c r="D2543" s="2" t="s">
        <v>2779</v>
      </c>
      <c r="E2543" s="2" t="s">
        <v>6</v>
      </c>
      <c r="F2543" s="3">
        <v>32</v>
      </c>
      <c r="G2543" s="3">
        <v>40</v>
      </c>
      <c r="H2543" s="2" t="s">
        <v>417</v>
      </c>
      <c r="I2543" s="19">
        <v>259</v>
      </c>
      <c r="J2543" s="34">
        <f t="shared" si="156"/>
        <v>2.2532999999999999</v>
      </c>
      <c r="K2543" s="34">
        <f t="shared" si="157"/>
        <v>3.38</v>
      </c>
      <c r="L2543" s="34">
        <f t="shared" si="158"/>
        <v>13.52</v>
      </c>
      <c r="M2543" s="20" t="s">
        <v>5544</v>
      </c>
      <c r="N2543" s="20" t="s">
        <v>5254</v>
      </c>
      <c r="O2543" s="20" t="s">
        <v>5251</v>
      </c>
      <c r="P2543" s="20" t="s">
        <v>5255</v>
      </c>
      <c r="Q2543" s="21">
        <v>32</v>
      </c>
      <c r="R2543" s="21">
        <v>40</v>
      </c>
      <c r="S2543" s="21">
        <v>6</v>
      </c>
      <c r="T2543" s="22">
        <v>16.27</v>
      </c>
      <c r="U2543" s="13">
        <f t="shared" si="159"/>
        <v>2.75</v>
      </c>
      <c r="V2543" s="23">
        <v>1993.08</v>
      </c>
      <c r="W2543" s="23">
        <v>1993.08</v>
      </c>
      <c r="X2543" s="20">
        <v>58</v>
      </c>
      <c r="Y2543" s="24" t="s">
        <v>3713</v>
      </c>
      <c r="Z2543" s="16">
        <v>1734.08</v>
      </c>
      <c r="AA2543" s="17">
        <v>669.5</v>
      </c>
      <c r="AB2543" s="25" t="s">
        <v>3714</v>
      </c>
    </row>
    <row r="2544" spans="1:28" x14ac:dyDescent="0.45">
      <c r="A2544" s="4" t="s">
        <v>3536</v>
      </c>
      <c r="B2544" s="4" t="s">
        <v>3537</v>
      </c>
      <c r="C2544" s="4" t="s">
        <v>2797</v>
      </c>
      <c r="D2544" s="4" t="s">
        <v>2779</v>
      </c>
      <c r="E2544" s="4" t="s">
        <v>6</v>
      </c>
      <c r="F2544" s="5">
        <v>35</v>
      </c>
      <c r="G2544" s="5">
        <v>43</v>
      </c>
      <c r="H2544" s="4" t="s">
        <v>417</v>
      </c>
      <c r="I2544" s="10">
        <v>263</v>
      </c>
      <c r="J2544" s="34">
        <f t="shared" si="156"/>
        <v>2.2881</v>
      </c>
      <c r="K2544" s="34">
        <f t="shared" si="157"/>
        <v>3.43</v>
      </c>
      <c r="L2544" s="34">
        <f t="shared" si="158"/>
        <v>13.72</v>
      </c>
      <c r="M2544" s="11" t="s">
        <v>5545</v>
      </c>
      <c r="N2544" s="11" t="s">
        <v>5254</v>
      </c>
      <c r="O2544" s="11" t="s">
        <v>5251</v>
      </c>
      <c r="P2544" s="11" t="s">
        <v>5255</v>
      </c>
      <c r="Q2544" s="12">
        <v>35</v>
      </c>
      <c r="R2544" s="12">
        <v>43</v>
      </c>
      <c r="S2544" s="12">
        <v>5.7</v>
      </c>
      <c r="T2544" s="13">
        <v>10.3</v>
      </c>
      <c r="U2544" s="13">
        <f t="shared" si="159"/>
        <v>-3.42</v>
      </c>
      <c r="V2544" s="14">
        <v>1261.75</v>
      </c>
      <c r="W2544" s="14">
        <v>1261.75</v>
      </c>
      <c r="X2544" s="11">
        <v>126</v>
      </c>
      <c r="Y2544" s="15" t="s">
        <v>3713</v>
      </c>
      <c r="Z2544" s="16">
        <v>998.75</v>
      </c>
      <c r="AA2544" s="17">
        <v>379.8</v>
      </c>
      <c r="AB2544" s="18" t="s">
        <v>3714</v>
      </c>
    </row>
    <row r="2545" spans="1:28" x14ac:dyDescent="0.45">
      <c r="A2545" s="2" t="s">
        <v>3538</v>
      </c>
      <c r="B2545" s="2" t="s">
        <v>3539</v>
      </c>
      <c r="C2545" s="2" t="s">
        <v>2797</v>
      </c>
      <c r="D2545" s="2" t="s">
        <v>2779</v>
      </c>
      <c r="E2545" s="2" t="s">
        <v>6</v>
      </c>
      <c r="F2545" s="3">
        <v>35</v>
      </c>
      <c r="G2545" s="3">
        <v>45</v>
      </c>
      <c r="H2545" s="2" t="s">
        <v>562</v>
      </c>
      <c r="I2545" s="19">
        <v>374</v>
      </c>
      <c r="J2545" s="34">
        <f t="shared" si="156"/>
        <v>3.2537999999999996</v>
      </c>
      <c r="K2545" s="34">
        <f t="shared" si="157"/>
        <v>4.88</v>
      </c>
      <c r="L2545" s="34">
        <f t="shared" si="158"/>
        <v>19.52</v>
      </c>
      <c r="M2545" s="20" t="s">
        <v>5449</v>
      </c>
      <c r="N2545" s="20" t="s">
        <v>5254</v>
      </c>
      <c r="O2545" s="20" t="s">
        <v>5251</v>
      </c>
      <c r="P2545" s="20" t="s">
        <v>5255</v>
      </c>
      <c r="Q2545" s="21">
        <v>35</v>
      </c>
      <c r="R2545" s="21">
        <v>45</v>
      </c>
      <c r="S2545" s="21">
        <v>6</v>
      </c>
      <c r="T2545" s="22">
        <v>12.14</v>
      </c>
      <c r="U2545" s="13">
        <f t="shared" si="159"/>
        <v>-7.379999999999999</v>
      </c>
      <c r="V2545" s="23">
        <v>1487.15</v>
      </c>
      <c r="W2545" s="23">
        <v>1487.15</v>
      </c>
      <c r="X2545" s="20">
        <v>252</v>
      </c>
      <c r="Y2545" s="24" t="s">
        <v>3713</v>
      </c>
      <c r="Z2545" s="16">
        <v>1113.1500000000001</v>
      </c>
      <c r="AA2545" s="17">
        <v>297.60000000000002</v>
      </c>
      <c r="AB2545" s="25" t="s">
        <v>3714</v>
      </c>
    </row>
    <row r="2546" spans="1:28" x14ac:dyDescent="0.45">
      <c r="A2546" s="4" t="s">
        <v>3540</v>
      </c>
      <c r="B2546" s="4" t="s">
        <v>3541</v>
      </c>
      <c r="C2546" s="4" t="s">
        <v>2797</v>
      </c>
      <c r="D2546" s="4" t="s">
        <v>2779</v>
      </c>
      <c r="E2546" s="4" t="s">
        <v>6</v>
      </c>
      <c r="F2546" s="5">
        <v>36</v>
      </c>
      <c r="G2546" s="5">
        <v>44</v>
      </c>
      <c r="H2546" s="4" t="s">
        <v>419</v>
      </c>
      <c r="I2546" s="10">
        <v>291</v>
      </c>
      <c r="J2546" s="34">
        <f t="shared" si="156"/>
        <v>2.5316999999999998</v>
      </c>
      <c r="K2546" s="34">
        <f t="shared" si="157"/>
        <v>3.8</v>
      </c>
      <c r="L2546" s="34">
        <f t="shared" si="158"/>
        <v>15.2</v>
      </c>
      <c r="M2546" s="11" t="s">
        <v>5450</v>
      </c>
      <c r="N2546" s="11" t="s">
        <v>5254</v>
      </c>
      <c r="O2546" s="11" t="s">
        <v>5251</v>
      </c>
      <c r="P2546" s="11" t="s">
        <v>5255</v>
      </c>
      <c r="Q2546" s="12">
        <v>36</v>
      </c>
      <c r="R2546" s="12">
        <v>44</v>
      </c>
      <c r="S2546" s="12">
        <v>7.5</v>
      </c>
      <c r="T2546" s="13">
        <v>16.38</v>
      </c>
      <c r="U2546" s="13">
        <f t="shared" si="159"/>
        <v>1.1799999999999997</v>
      </c>
      <c r="V2546" s="14">
        <v>2006.55</v>
      </c>
      <c r="W2546" s="14">
        <v>2006.55</v>
      </c>
      <c r="X2546" s="11">
        <v>19</v>
      </c>
      <c r="Y2546" s="15" t="s">
        <v>3713</v>
      </c>
      <c r="Z2546" s="16">
        <v>1715.55</v>
      </c>
      <c r="AA2546" s="17">
        <v>589.5</v>
      </c>
      <c r="AB2546" s="18" t="s">
        <v>3714</v>
      </c>
    </row>
    <row r="2547" spans="1:28" x14ac:dyDescent="0.45">
      <c r="A2547" s="2" t="s">
        <v>3542</v>
      </c>
      <c r="B2547" s="2" t="s">
        <v>3543</v>
      </c>
      <c r="C2547" s="2" t="s">
        <v>2797</v>
      </c>
      <c r="D2547" s="2" t="s">
        <v>2779</v>
      </c>
      <c r="E2547" s="2" t="s">
        <v>6</v>
      </c>
      <c r="F2547" s="3">
        <v>40</v>
      </c>
      <c r="G2547" s="3">
        <v>48</v>
      </c>
      <c r="H2547" s="2" t="s">
        <v>419</v>
      </c>
      <c r="I2547" s="19">
        <v>318</v>
      </c>
      <c r="J2547" s="34">
        <f t="shared" si="156"/>
        <v>2.7665999999999999</v>
      </c>
      <c r="K2547" s="34">
        <f t="shared" si="157"/>
        <v>4.1500000000000004</v>
      </c>
      <c r="L2547" s="34">
        <f t="shared" si="158"/>
        <v>16.600000000000001</v>
      </c>
      <c r="M2547" s="20" t="s">
        <v>5546</v>
      </c>
      <c r="N2547" s="20" t="s">
        <v>5254</v>
      </c>
      <c r="O2547" s="20" t="s">
        <v>5251</v>
      </c>
      <c r="P2547" s="20" t="s">
        <v>5255</v>
      </c>
      <c r="Q2547" s="21">
        <v>40</v>
      </c>
      <c r="R2547" s="21">
        <v>48</v>
      </c>
      <c r="S2547" s="21">
        <v>5.7</v>
      </c>
      <c r="T2547" s="22">
        <v>7.94</v>
      </c>
      <c r="U2547" s="13">
        <f t="shared" si="159"/>
        <v>-8.66</v>
      </c>
      <c r="V2547" s="23">
        <v>972.65</v>
      </c>
      <c r="W2547" s="23">
        <v>972.65</v>
      </c>
      <c r="X2547" s="20">
        <v>56</v>
      </c>
      <c r="Y2547" s="24" t="s">
        <v>3713</v>
      </c>
      <c r="Z2547" s="16">
        <v>654.65</v>
      </c>
      <c r="AA2547" s="17">
        <v>205.9</v>
      </c>
      <c r="AB2547" s="25" t="s">
        <v>3714</v>
      </c>
    </row>
    <row r="2548" spans="1:28" x14ac:dyDescent="0.45">
      <c r="A2548" s="4" t="s">
        <v>3544</v>
      </c>
      <c r="B2548" s="4" t="s">
        <v>3545</v>
      </c>
      <c r="C2548" s="4" t="s">
        <v>2797</v>
      </c>
      <c r="D2548" s="4" t="s">
        <v>2779</v>
      </c>
      <c r="E2548" s="4" t="s">
        <v>6</v>
      </c>
      <c r="F2548" s="5">
        <v>45</v>
      </c>
      <c r="G2548" s="5">
        <v>55</v>
      </c>
      <c r="H2548" s="4" t="s">
        <v>562</v>
      </c>
      <c r="I2548" s="10">
        <v>463</v>
      </c>
      <c r="J2548" s="34">
        <f t="shared" si="156"/>
        <v>4.0280999999999993</v>
      </c>
      <c r="K2548" s="34">
        <f t="shared" si="157"/>
        <v>6.04</v>
      </c>
      <c r="L2548" s="34">
        <f t="shared" si="158"/>
        <v>24.16</v>
      </c>
      <c r="M2548" s="11" t="s">
        <v>5453</v>
      </c>
      <c r="N2548" s="11" t="s">
        <v>5254</v>
      </c>
      <c r="O2548" s="11" t="s">
        <v>5251</v>
      </c>
      <c r="P2548" s="11" t="s">
        <v>5255</v>
      </c>
      <c r="Q2548" s="12">
        <v>45</v>
      </c>
      <c r="R2548" s="12">
        <v>55</v>
      </c>
      <c r="S2548" s="12">
        <v>5.7</v>
      </c>
      <c r="T2548" s="13">
        <v>12.61</v>
      </c>
      <c r="U2548" s="13">
        <f t="shared" si="159"/>
        <v>-11.55</v>
      </c>
      <c r="V2548" s="14">
        <v>1544.72</v>
      </c>
      <c r="W2548" s="14">
        <v>1544.72</v>
      </c>
      <c r="X2548" s="11">
        <v>41</v>
      </c>
      <c r="Y2548" s="15" t="s">
        <v>3713</v>
      </c>
      <c r="Z2548" s="16">
        <v>1081.72</v>
      </c>
      <c r="AA2548" s="17">
        <v>233.6</v>
      </c>
      <c r="AB2548" s="18" t="s">
        <v>3714</v>
      </c>
    </row>
    <row r="2549" spans="1:28" x14ac:dyDescent="0.45">
      <c r="A2549" s="2" t="s">
        <v>3546</v>
      </c>
      <c r="B2549" s="2" t="s">
        <v>3547</v>
      </c>
      <c r="C2549" s="2" t="s">
        <v>2797</v>
      </c>
      <c r="D2549" s="2" t="s">
        <v>2779</v>
      </c>
      <c r="E2549" s="2" t="s">
        <v>6</v>
      </c>
      <c r="F2549" s="3">
        <v>50</v>
      </c>
      <c r="G2549" s="3">
        <v>60</v>
      </c>
      <c r="H2549" s="2" t="s">
        <v>562</v>
      </c>
      <c r="I2549" s="19">
        <v>486</v>
      </c>
      <c r="J2549" s="34">
        <f t="shared" si="156"/>
        <v>4.2281999999999993</v>
      </c>
      <c r="K2549" s="34">
        <f t="shared" si="157"/>
        <v>6.34</v>
      </c>
      <c r="L2549" s="34">
        <f t="shared" si="158"/>
        <v>25.36</v>
      </c>
      <c r="M2549" s="20" t="s">
        <v>5454</v>
      </c>
      <c r="N2549" s="20" t="s">
        <v>5254</v>
      </c>
      <c r="O2549" s="20" t="s">
        <v>5251</v>
      </c>
      <c r="P2549" s="20" t="s">
        <v>5255</v>
      </c>
      <c r="Q2549" s="21">
        <v>50</v>
      </c>
      <c r="R2549" s="21">
        <v>60</v>
      </c>
      <c r="S2549" s="21">
        <v>6</v>
      </c>
      <c r="T2549" s="22">
        <v>18.21</v>
      </c>
      <c r="U2549" s="13">
        <f t="shared" si="159"/>
        <v>-7.1499999999999986</v>
      </c>
      <c r="V2549" s="23">
        <v>2230.7199999999998</v>
      </c>
      <c r="W2549" s="23">
        <v>2230.7199999999998</v>
      </c>
      <c r="X2549" s="20">
        <v>56</v>
      </c>
      <c r="Y2549" s="24" t="s">
        <v>3713</v>
      </c>
      <c r="Z2549" s="16">
        <v>1744.72</v>
      </c>
      <c r="AA2549" s="17">
        <v>359</v>
      </c>
      <c r="AB2549" s="25" t="s">
        <v>3714</v>
      </c>
    </row>
    <row r="2550" spans="1:28" x14ac:dyDescent="0.45">
      <c r="A2550" s="4" t="s">
        <v>3548</v>
      </c>
      <c r="B2550" s="4" t="s">
        <v>3549</v>
      </c>
      <c r="C2550" s="4" t="s">
        <v>2797</v>
      </c>
      <c r="D2550" s="4" t="s">
        <v>2779</v>
      </c>
      <c r="E2550" s="4" t="s">
        <v>6</v>
      </c>
      <c r="F2550" s="5">
        <v>55</v>
      </c>
      <c r="G2550" s="5">
        <v>65</v>
      </c>
      <c r="H2550" s="4" t="s">
        <v>562</v>
      </c>
      <c r="I2550" s="10">
        <v>565</v>
      </c>
      <c r="J2550" s="34">
        <f t="shared" si="156"/>
        <v>4.9154999999999998</v>
      </c>
      <c r="K2550" s="34">
        <f t="shared" si="157"/>
        <v>7.37</v>
      </c>
      <c r="L2550" s="34">
        <f t="shared" si="158"/>
        <v>29.48</v>
      </c>
      <c r="M2550" s="11" t="s">
        <v>5455</v>
      </c>
      <c r="N2550" s="11" t="s">
        <v>5254</v>
      </c>
      <c r="O2550" s="11" t="s">
        <v>5251</v>
      </c>
      <c r="P2550" s="11" t="s">
        <v>5255</v>
      </c>
      <c r="Q2550" s="12">
        <v>55</v>
      </c>
      <c r="R2550" s="12">
        <v>65</v>
      </c>
      <c r="S2550" s="12">
        <v>6</v>
      </c>
      <c r="T2550" s="13">
        <v>18.32</v>
      </c>
      <c r="U2550" s="13">
        <f t="shared" si="159"/>
        <v>-11.16</v>
      </c>
      <c r="V2550" s="14">
        <v>2244.1999999999998</v>
      </c>
      <c r="W2550" s="14">
        <v>2244.1999999999998</v>
      </c>
      <c r="X2550" s="11">
        <v>25</v>
      </c>
      <c r="Y2550" s="15" t="s">
        <v>3713</v>
      </c>
      <c r="Z2550" s="16">
        <v>1679.2</v>
      </c>
      <c r="AA2550" s="17">
        <v>297.2</v>
      </c>
      <c r="AB2550" s="18" t="s">
        <v>3714</v>
      </c>
    </row>
    <row r="2551" spans="1:28" x14ac:dyDescent="0.45">
      <c r="A2551" s="2" t="s">
        <v>3550</v>
      </c>
      <c r="B2551" s="2" t="s">
        <v>3551</v>
      </c>
      <c r="C2551" s="2" t="s">
        <v>2797</v>
      </c>
      <c r="D2551" s="2" t="s">
        <v>2779</v>
      </c>
      <c r="E2551" s="2" t="s">
        <v>6</v>
      </c>
      <c r="F2551" s="3">
        <v>56</v>
      </c>
      <c r="G2551" s="3">
        <v>71</v>
      </c>
      <c r="H2551" s="2" t="s">
        <v>2774</v>
      </c>
      <c r="I2551" s="19">
        <v>613</v>
      </c>
      <c r="J2551" s="34">
        <f t="shared" si="156"/>
        <v>5.3331</v>
      </c>
      <c r="K2551" s="34">
        <f t="shared" si="157"/>
        <v>8</v>
      </c>
      <c r="L2551" s="34">
        <f t="shared" si="158"/>
        <v>32</v>
      </c>
      <c r="M2551" s="20" t="s">
        <v>5457</v>
      </c>
      <c r="N2551" s="20" t="s">
        <v>5274</v>
      </c>
      <c r="O2551" s="20" t="s">
        <v>5251</v>
      </c>
      <c r="P2551" s="20" t="s">
        <v>5275</v>
      </c>
      <c r="Q2551" s="21">
        <v>56</v>
      </c>
      <c r="R2551" s="21">
        <v>71</v>
      </c>
      <c r="S2551" s="21">
        <v>29</v>
      </c>
      <c r="T2551" s="22">
        <v>66.41</v>
      </c>
      <c r="U2551" s="13">
        <f t="shared" si="159"/>
        <v>34.409999999999997</v>
      </c>
      <c r="V2551" s="23">
        <v>8135.22</v>
      </c>
      <c r="W2551" s="23">
        <v>8135.22</v>
      </c>
      <c r="X2551" s="20">
        <v>1</v>
      </c>
      <c r="Y2551" s="24" t="s">
        <v>3713</v>
      </c>
      <c r="Z2551" s="16">
        <v>7522.22</v>
      </c>
      <c r="AA2551" s="17">
        <v>1227.0999999999999</v>
      </c>
      <c r="AB2551" s="25" t="s">
        <v>3714</v>
      </c>
    </row>
    <row r="2552" spans="1:28" x14ac:dyDescent="0.45">
      <c r="A2552" s="4" t="s">
        <v>3552</v>
      </c>
      <c r="B2552" s="4" t="s">
        <v>3553</v>
      </c>
      <c r="C2552" s="4" t="s">
        <v>2797</v>
      </c>
      <c r="D2552" s="4" t="s">
        <v>2779</v>
      </c>
      <c r="E2552" s="4" t="s">
        <v>6</v>
      </c>
      <c r="F2552" s="5">
        <v>60</v>
      </c>
      <c r="G2552" s="5">
        <v>75</v>
      </c>
      <c r="H2552" s="4" t="s">
        <v>2774</v>
      </c>
      <c r="I2552" s="10">
        <v>677</v>
      </c>
      <c r="J2552" s="34">
        <f t="shared" si="156"/>
        <v>5.8898999999999999</v>
      </c>
      <c r="K2552" s="34">
        <f t="shared" si="157"/>
        <v>8.83</v>
      </c>
      <c r="L2552" s="34">
        <f t="shared" si="158"/>
        <v>35.32</v>
      </c>
      <c r="M2552" s="11" t="s">
        <v>5475</v>
      </c>
      <c r="N2552" s="11" t="s">
        <v>5274</v>
      </c>
      <c r="O2552" s="11" t="s">
        <v>5251</v>
      </c>
      <c r="P2552" s="11" t="s">
        <v>5275</v>
      </c>
      <c r="Q2552" s="12">
        <v>60</v>
      </c>
      <c r="R2552" s="12">
        <v>75</v>
      </c>
      <c r="S2552" s="12">
        <v>25</v>
      </c>
      <c r="T2552" s="13">
        <v>65.650000000000006</v>
      </c>
      <c r="U2552" s="13">
        <f t="shared" si="159"/>
        <v>30.330000000000005</v>
      </c>
      <c r="V2552" s="14">
        <v>8042.13</v>
      </c>
      <c r="W2552" s="14">
        <v>8042.13</v>
      </c>
      <c r="X2552" s="11">
        <v>10</v>
      </c>
      <c r="Y2552" s="15" t="s">
        <v>3713</v>
      </c>
      <c r="Z2552" s="16">
        <v>7365.13</v>
      </c>
      <c r="AA2552" s="17">
        <v>1087.9000000000001</v>
      </c>
      <c r="AB2552" s="18" t="s">
        <v>3714</v>
      </c>
    </row>
    <row r="2553" spans="1:28" x14ac:dyDescent="0.45">
      <c r="A2553" s="2" t="s">
        <v>3554</v>
      </c>
      <c r="B2553" s="2" t="s">
        <v>3555</v>
      </c>
      <c r="C2553" s="2" t="s">
        <v>2797</v>
      </c>
      <c r="D2553" s="2" t="s">
        <v>2779</v>
      </c>
      <c r="E2553" s="2" t="s">
        <v>6</v>
      </c>
      <c r="F2553" s="3">
        <v>63</v>
      </c>
      <c r="G2553" s="3">
        <v>78</v>
      </c>
      <c r="H2553" s="2" t="s">
        <v>2774</v>
      </c>
      <c r="I2553" s="19">
        <v>724</v>
      </c>
      <c r="J2553" s="34">
        <f t="shared" si="156"/>
        <v>6.2988</v>
      </c>
      <c r="K2553" s="34">
        <f t="shared" si="157"/>
        <v>9.4499999999999993</v>
      </c>
      <c r="L2553" s="34">
        <f t="shared" si="158"/>
        <v>37.799999999999997</v>
      </c>
      <c r="M2553" s="20" t="s">
        <v>5477</v>
      </c>
      <c r="N2553" s="20" t="s">
        <v>5254</v>
      </c>
      <c r="O2553" s="20" t="s">
        <v>5251</v>
      </c>
      <c r="P2553" s="20" t="s">
        <v>5255</v>
      </c>
      <c r="Q2553" s="21">
        <v>63</v>
      </c>
      <c r="R2553" s="21">
        <v>78</v>
      </c>
      <c r="S2553" s="21">
        <v>10</v>
      </c>
      <c r="T2553" s="22">
        <v>18.420000000000002</v>
      </c>
      <c r="U2553" s="13">
        <f t="shared" si="159"/>
        <v>-19.379999999999995</v>
      </c>
      <c r="V2553" s="23">
        <v>2256.4499999999998</v>
      </c>
      <c r="W2553" s="23">
        <v>2256.4499999999998</v>
      </c>
      <c r="X2553" s="20">
        <v>17</v>
      </c>
      <c r="Y2553" s="24" t="s">
        <v>3713</v>
      </c>
      <c r="Z2553" s="16">
        <v>1532.45</v>
      </c>
      <c r="AA2553" s="17">
        <v>211.7</v>
      </c>
      <c r="AB2553" s="25" t="s">
        <v>3714</v>
      </c>
    </row>
    <row r="2554" spans="1:28" x14ac:dyDescent="0.45">
      <c r="A2554" s="4" t="s">
        <v>3556</v>
      </c>
      <c r="B2554" s="4" t="s">
        <v>3557</v>
      </c>
      <c r="C2554" s="4" t="s">
        <v>2797</v>
      </c>
      <c r="D2554" s="4" t="s">
        <v>2779</v>
      </c>
      <c r="E2554" s="4" t="s">
        <v>6</v>
      </c>
      <c r="F2554" s="5">
        <v>65</v>
      </c>
      <c r="G2554" s="5">
        <v>80</v>
      </c>
      <c r="H2554" s="4" t="s">
        <v>2774</v>
      </c>
      <c r="I2554" s="10">
        <v>756</v>
      </c>
      <c r="J2554" s="34">
        <f t="shared" si="156"/>
        <v>6.5771999999999995</v>
      </c>
      <c r="K2554" s="34">
        <f t="shared" si="157"/>
        <v>9.8699999999999992</v>
      </c>
      <c r="L2554" s="34">
        <f t="shared" si="158"/>
        <v>39.479999999999997</v>
      </c>
      <c r="M2554" s="11" t="s">
        <v>5314</v>
      </c>
      <c r="N2554" s="11" t="s">
        <v>5254</v>
      </c>
      <c r="O2554" s="11" t="s">
        <v>5251</v>
      </c>
      <c r="P2554" s="11" t="s">
        <v>5255</v>
      </c>
      <c r="Q2554" s="12">
        <v>65</v>
      </c>
      <c r="R2554" s="12">
        <v>80</v>
      </c>
      <c r="S2554" s="12">
        <v>9</v>
      </c>
      <c r="T2554" s="13">
        <v>8.4600000000000009</v>
      </c>
      <c r="U2554" s="13">
        <f t="shared" si="159"/>
        <v>-31.019999999999996</v>
      </c>
      <c r="V2554" s="14">
        <v>1036.3499999999999</v>
      </c>
      <c r="W2554" s="14">
        <v>1036.3499999999999</v>
      </c>
      <c r="X2554" s="11">
        <v>233</v>
      </c>
      <c r="Y2554" s="15" t="s">
        <v>3713</v>
      </c>
      <c r="Z2554" s="16">
        <v>280.34999999999991</v>
      </c>
      <c r="AA2554" s="17">
        <v>37.1</v>
      </c>
      <c r="AB2554" s="18" t="s">
        <v>3714</v>
      </c>
    </row>
    <row r="2555" spans="1:28" x14ac:dyDescent="0.45">
      <c r="A2555" s="2" t="s">
        <v>3558</v>
      </c>
      <c r="B2555" s="2" t="s">
        <v>3559</v>
      </c>
      <c r="C2555" s="2" t="s">
        <v>2797</v>
      </c>
      <c r="D2555" s="2" t="s">
        <v>2779</v>
      </c>
      <c r="E2555" s="2" t="s">
        <v>6</v>
      </c>
      <c r="F2555" s="3">
        <v>70</v>
      </c>
      <c r="G2555" s="3">
        <v>85</v>
      </c>
      <c r="H2555" s="2" t="s">
        <v>2774</v>
      </c>
      <c r="I2555" s="19">
        <v>796</v>
      </c>
      <c r="J2555" s="34">
        <f t="shared" si="156"/>
        <v>6.9251999999999994</v>
      </c>
      <c r="K2555" s="34">
        <f t="shared" si="157"/>
        <v>10.39</v>
      </c>
      <c r="L2555" s="34">
        <f t="shared" si="158"/>
        <v>41.56</v>
      </c>
      <c r="M2555" s="20" t="s">
        <v>5316</v>
      </c>
      <c r="N2555" s="20" t="s">
        <v>5254</v>
      </c>
      <c r="O2555" s="20" t="s">
        <v>5251</v>
      </c>
      <c r="P2555" s="20" t="s">
        <v>5255</v>
      </c>
      <c r="Q2555" s="21">
        <v>70</v>
      </c>
      <c r="R2555" s="21">
        <v>85</v>
      </c>
      <c r="S2555" s="21">
        <v>9</v>
      </c>
      <c r="T2555" s="22">
        <v>9.69</v>
      </c>
      <c r="U2555" s="13">
        <f t="shared" si="159"/>
        <v>-31.870000000000005</v>
      </c>
      <c r="V2555" s="23">
        <v>1187.02</v>
      </c>
      <c r="W2555" s="23">
        <v>1187.02</v>
      </c>
      <c r="X2555" s="20">
        <v>122</v>
      </c>
      <c r="Y2555" s="24" t="s">
        <v>3713</v>
      </c>
      <c r="Z2555" s="16">
        <v>391.02</v>
      </c>
      <c r="AA2555" s="17">
        <v>49.1</v>
      </c>
      <c r="AB2555" s="25" t="s">
        <v>3714</v>
      </c>
    </row>
    <row r="2556" spans="1:28" x14ac:dyDescent="0.45">
      <c r="A2556" s="4" t="s">
        <v>3560</v>
      </c>
      <c r="B2556" s="4" t="s">
        <v>3561</v>
      </c>
      <c r="C2556" s="4" t="s">
        <v>2797</v>
      </c>
      <c r="D2556" s="4" t="s">
        <v>2779</v>
      </c>
      <c r="E2556" s="4" t="s">
        <v>6</v>
      </c>
      <c r="F2556" s="5">
        <v>75</v>
      </c>
      <c r="G2556" s="5">
        <v>90</v>
      </c>
      <c r="H2556" s="4" t="s">
        <v>2774</v>
      </c>
      <c r="I2556" s="10">
        <v>852</v>
      </c>
      <c r="J2556" s="34">
        <f t="shared" si="156"/>
        <v>7.4123999999999999</v>
      </c>
      <c r="K2556" s="34">
        <f t="shared" si="157"/>
        <v>11.12</v>
      </c>
      <c r="L2556" s="34">
        <f t="shared" si="158"/>
        <v>44.48</v>
      </c>
      <c r="M2556" s="11" t="s">
        <v>5318</v>
      </c>
      <c r="N2556" s="11" t="s">
        <v>5254</v>
      </c>
      <c r="O2556" s="11" t="s">
        <v>5251</v>
      </c>
      <c r="P2556" s="11" t="s">
        <v>5255</v>
      </c>
      <c r="Q2556" s="12">
        <v>75</v>
      </c>
      <c r="R2556" s="12">
        <v>90</v>
      </c>
      <c r="S2556" s="12">
        <v>9</v>
      </c>
      <c r="T2556" s="13">
        <v>11.57</v>
      </c>
      <c r="U2556" s="13">
        <f t="shared" si="159"/>
        <v>-32.909999999999997</v>
      </c>
      <c r="V2556" s="14">
        <v>1417.32</v>
      </c>
      <c r="W2556" s="14">
        <v>1417.32</v>
      </c>
      <c r="X2556" s="11">
        <v>467</v>
      </c>
      <c r="Y2556" s="15" t="s">
        <v>3713</v>
      </c>
      <c r="Z2556" s="16">
        <v>565.31999999999994</v>
      </c>
      <c r="AA2556" s="17">
        <v>66.400000000000006</v>
      </c>
      <c r="AB2556" s="18" t="s">
        <v>3714</v>
      </c>
    </row>
    <row r="2557" spans="1:28" x14ac:dyDescent="0.45">
      <c r="A2557" s="2" t="s">
        <v>3562</v>
      </c>
      <c r="B2557" s="2" t="s">
        <v>3563</v>
      </c>
      <c r="C2557" s="2" t="s">
        <v>2797</v>
      </c>
      <c r="D2557" s="2" t="s">
        <v>2779</v>
      </c>
      <c r="E2557" s="2" t="s">
        <v>6</v>
      </c>
      <c r="F2557" s="3">
        <v>80</v>
      </c>
      <c r="G2557" s="3">
        <v>95</v>
      </c>
      <c r="H2557" s="2" t="s">
        <v>2774</v>
      </c>
      <c r="I2557" s="19">
        <v>899</v>
      </c>
      <c r="J2557" s="34">
        <f t="shared" si="156"/>
        <v>7.821299999999999</v>
      </c>
      <c r="K2557" s="34">
        <f t="shared" si="157"/>
        <v>11.73</v>
      </c>
      <c r="L2557" s="34">
        <f t="shared" si="158"/>
        <v>46.92</v>
      </c>
      <c r="M2557" s="20" t="s">
        <v>5321</v>
      </c>
      <c r="N2557" s="20" t="s">
        <v>5254</v>
      </c>
      <c r="O2557" s="20" t="s">
        <v>5251</v>
      </c>
      <c r="P2557" s="20" t="s">
        <v>5255</v>
      </c>
      <c r="Q2557" s="21">
        <v>80</v>
      </c>
      <c r="R2557" s="21">
        <v>95</v>
      </c>
      <c r="S2557" s="21">
        <v>9</v>
      </c>
      <c r="T2557" s="22">
        <v>10.42</v>
      </c>
      <c r="U2557" s="13">
        <f t="shared" si="159"/>
        <v>-36.5</v>
      </c>
      <c r="V2557" s="23">
        <v>1276.45</v>
      </c>
      <c r="W2557" s="23">
        <v>1276.45</v>
      </c>
      <c r="X2557" s="20">
        <v>300</v>
      </c>
      <c r="Y2557" s="24" t="s">
        <v>3713</v>
      </c>
      <c r="Z2557" s="16">
        <v>377.45</v>
      </c>
      <c r="AA2557" s="17">
        <v>42</v>
      </c>
      <c r="AB2557" s="25" t="s">
        <v>3714</v>
      </c>
    </row>
    <row r="2558" spans="1:28" x14ac:dyDescent="0.45">
      <c r="A2558" s="4" t="s">
        <v>3564</v>
      </c>
      <c r="B2558" s="4" t="s">
        <v>3565</v>
      </c>
      <c r="C2558" s="4" t="s">
        <v>2797</v>
      </c>
      <c r="D2558" s="4" t="s">
        <v>2779</v>
      </c>
      <c r="E2558" s="4" t="s">
        <v>6</v>
      </c>
      <c r="F2558" s="5">
        <v>85</v>
      </c>
      <c r="G2558" s="5">
        <v>100</v>
      </c>
      <c r="H2558" s="4" t="s">
        <v>2774</v>
      </c>
      <c r="I2558" s="10">
        <v>986</v>
      </c>
      <c r="J2558" s="34">
        <f t="shared" si="156"/>
        <v>8.5781999999999989</v>
      </c>
      <c r="K2558" s="34">
        <f t="shared" si="157"/>
        <v>12.87</v>
      </c>
      <c r="L2558" s="34">
        <f t="shared" si="158"/>
        <v>51.48</v>
      </c>
      <c r="M2558" s="11" t="s">
        <v>5323</v>
      </c>
      <c r="N2558" s="11" t="s">
        <v>5254</v>
      </c>
      <c r="O2558" s="11" t="s">
        <v>5251</v>
      </c>
      <c r="P2558" s="11" t="s">
        <v>5255</v>
      </c>
      <c r="Q2558" s="12">
        <v>85</v>
      </c>
      <c r="R2558" s="12">
        <v>100</v>
      </c>
      <c r="S2558" s="12">
        <v>9</v>
      </c>
      <c r="T2558" s="13">
        <v>9.92</v>
      </c>
      <c r="U2558" s="13">
        <f t="shared" si="159"/>
        <v>-41.559999999999995</v>
      </c>
      <c r="V2558" s="14">
        <v>1215.2</v>
      </c>
      <c r="W2558" s="14">
        <v>1215.2</v>
      </c>
      <c r="X2558" s="11">
        <v>740</v>
      </c>
      <c r="Y2558" s="15" t="s">
        <v>3713</v>
      </c>
      <c r="Z2558" s="16">
        <v>229.2</v>
      </c>
      <c r="AA2558" s="17">
        <v>23.2</v>
      </c>
      <c r="AB2558" s="18" t="s">
        <v>3714</v>
      </c>
    </row>
    <row r="2559" spans="1:28" x14ac:dyDescent="0.45">
      <c r="A2559" s="2" t="s">
        <v>3566</v>
      </c>
      <c r="B2559" s="2" t="s">
        <v>3567</v>
      </c>
      <c r="C2559" s="2" t="s">
        <v>2797</v>
      </c>
      <c r="D2559" s="2" t="s">
        <v>2779</v>
      </c>
      <c r="E2559" s="2" t="s">
        <v>6</v>
      </c>
      <c r="F2559" s="3">
        <v>90</v>
      </c>
      <c r="G2559" s="3">
        <v>105</v>
      </c>
      <c r="H2559" s="2" t="s">
        <v>2774</v>
      </c>
      <c r="I2559" s="19">
        <v>1059</v>
      </c>
      <c r="J2559" s="34">
        <f t="shared" si="156"/>
        <v>9.2132999999999985</v>
      </c>
      <c r="K2559" s="34">
        <f t="shared" si="157"/>
        <v>13.82</v>
      </c>
      <c r="L2559" s="34">
        <f t="shared" si="158"/>
        <v>55.28</v>
      </c>
      <c r="M2559" s="20" t="s">
        <v>5326</v>
      </c>
      <c r="N2559" s="20" t="s">
        <v>5254</v>
      </c>
      <c r="O2559" s="20" t="s">
        <v>5251</v>
      </c>
      <c r="P2559" s="20" t="s">
        <v>5255</v>
      </c>
      <c r="Q2559" s="21">
        <v>90</v>
      </c>
      <c r="R2559" s="21">
        <v>105</v>
      </c>
      <c r="S2559" s="21">
        <v>9</v>
      </c>
      <c r="T2559" s="22">
        <v>13.13</v>
      </c>
      <c r="U2559" s="13">
        <f t="shared" si="159"/>
        <v>-42.15</v>
      </c>
      <c r="V2559" s="23">
        <v>1608.43</v>
      </c>
      <c r="W2559" s="23">
        <v>1608.43</v>
      </c>
      <c r="X2559" s="20">
        <v>184</v>
      </c>
      <c r="Y2559" s="24" t="s">
        <v>3713</v>
      </c>
      <c r="Z2559" s="16">
        <v>549.43000000000006</v>
      </c>
      <c r="AA2559" s="17">
        <v>51.9</v>
      </c>
      <c r="AB2559" s="25" t="s">
        <v>3714</v>
      </c>
    </row>
    <row r="2560" spans="1:28" x14ac:dyDescent="0.45">
      <c r="A2560" s="4" t="s">
        <v>3568</v>
      </c>
      <c r="B2560" s="4" t="s">
        <v>3569</v>
      </c>
      <c r="C2560" s="4" t="s">
        <v>2797</v>
      </c>
      <c r="D2560" s="4" t="s">
        <v>2779</v>
      </c>
      <c r="E2560" s="4" t="s">
        <v>6</v>
      </c>
      <c r="F2560" s="5">
        <v>95</v>
      </c>
      <c r="G2560" s="5">
        <v>110</v>
      </c>
      <c r="H2560" s="4" t="s">
        <v>2774</v>
      </c>
      <c r="I2560" s="10">
        <v>1099</v>
      </c>
      <c r="J2560" s="34">
        <f t="shared" si="156"/>
        <v>9.5612999999999992</v>
      </c>
      <c r="K2560" s="34">
        <f t="shared" si="157"/>
        <v>14.34</v>
      </c>
      <c r="L2560" s="34">
        <f t="shared" si="158"/>
        <v>57.36</v>
      </c>
      <c r="M2560" s="11" t="s">
        <v>5328</v>
      </c>
      <c r="N2560" s="11" t="s">
        <v>5254</v>
      </c>
      <c r="O2560" s="11" t="s">
        <v>5251</v>
      </c>
      <c r="P2560" s="11" t="s">
        <v>5255</v>
      </c>
      <c r="Q2560" s="12">
        <v>95</v>
      </c>
      <c r="R2560" s="12">
        <v>110</v>
      </c>
      <c r="S2560" s="12">
        <v>9</v>
      </c>
      <c r="T2560" s="13">
        <v>10.83</v>
      </c>
      <c r="U2560" s="13">
        <f t="shared" si="159"/>
        <v>-46.53</v>
      </c>
      <c r="V2560" s="14">
        <v>1326.68</v>
      </c>
      <c r="W2560" s="14">
        <v>1326.68</v>
      </c>
      <c r="X2560" s="11">
        <v>65</v>
      </c>
      <c r="Y2560" s="15" t="s">
        <v>3713</v>
      </c>
      <c r="Z2560" s="16">
        <v>227.68000000000009</v>
      </c>
      <c r="AA2560" s="17">
        <v>20.7</v>
      </c>
      <c r="AB2560" s="18" t="s">
        <v>3714</v>
      </c>
    </row>
    <row r="2561" spans="1:28" x14ac:dyDescent="0.45">
      <c r="A2561" s="2" t="s">
        <v>3570</v>
      </c>
      <c r="B2561" s="2" t="s">
        <v>3571</v>
      </c>
      <c r="C2561" s="2" t="s">
        <v>2797</v>
      </c>
      <c r="D2561" s="2" t="s">
        <v>2779</v>
      </c>
      <c r="E2561" s="2" t="s">
        <v>6</v>
      </c>
      <c r="F2561" s="3">
        <v>100</v>
      </c>
      <c r="G2561" s="3">
        <v>115</v>
      </c>
      <c r="H2561" s="2" t="s">
        <v>2774</v>
      </c>
      <c r="I2561" s="19">
        <v>1146</v>
      </c>
      <c r="J2561" s="34">
        <f t="shared" si="156"/>
        <v>9.9702000000000002</v>
      </c>
      <c r="K2561" s="34">
        <f t="shared" si="157"/>
        <v>14.96</v>
      </c>
      <c r="L2561" s="34">
        <f t="shared" si="158"/>
        <v>59.84</v>
      </c>
      <c r="M2561" s="20" t="s">
        <v>5331</v>
      </c>
      <c r="N2561" s="20" t="s">
        <v>5254</v>
      </c>
      <c r="O2561" s="20" t="s">
        <v>5251</v>
      </c>
      <c r="P2561" s="20" t="s">
        <v>5255</v>
      </c>
      <c r="Q2561" s="21">
        <v>100</v>
      </c>
      <c r="R2561" s="21">
        <v>115</v>
      </c>
      <c r="S2561" s="21">
        <v>9</v>
      </c>
      <c r="T2561" s="22">
        <v>12.56</v>
      </c>
      <c r="U2561" s="13">
        <f t="shared" si="159"/>
        <v>-47.28</v>
      </c>
      <c r="V2561" s="23">
        <v>1538.6</v>
      </c>
      <c r="W2561" s="23">
        <v>1538.6</v>
      </c>
      <c r="X2561" s="20">
        <v>255</v>
      </c>
      <c r="Y2561" s="24" t="s">
        <v>3713</v>
      </c>
      <c r="Z2561" s="16">
        <v>392.59999999999991</v>
      </c>
      <c r="AA2561" s="17">
        <v>34.299999999999997</v>
      </c>
      <c r="AB2561" s="25" t="s">
        <v>3714</v>
      </c>
    </row>
    <row r="2562" spans="1:28" x14ac:dyDescent="0.45">
      <c r="A2562" s="4" t="s">
        <v>3572</v>
      </c>
      <c r="B2562" s="4" t="s">
        <v>3573</v>
      </c>
      <c r="C2562" s="4" t="s">
        <v>2797</v>
      </c>
      <c r="D2562" s="4" t="s">
        <v>2779</v>
      </c>
      <c r="E2562" s="4" t="s">
        <v>6</v>
      </c>
      <c r="F2562" s="5">
        <v>100</v>
      </c>
      <c r="G2562" s="5">
        <v>120</v>
      </c>
      <c r="H2562" s="4" t="s">
        <v>3574</v>
      </c>
      <c r="I2562" s="10">
        <v>1146</v>
      </c>
      <c r="J2562" s="34">
        <f t="shared" si="156"/>
        <v>9.9702000000000002</v>
      </c>
      <c r="K2562" s="34">
        <f t="shared" si="157"/>
        <v>14.96</v>
      </c>
      <c r="L2562" s="34">
        <f t="shared" si="158"/>
        <v>59.84</v>
      </c>
      <c r="M2562" s="11" t="s">
        <v>5462</v>
      </c>
      <c r="N2562" s="11" t="s">
        <v>5274</v>
      </c>
      <c r="O2562" s="11" t="s">
        <v>5251</v>
      </c>
      <c r="P2562" s="11" t="s">
        <v>5275</v>
      </c>
      <c r="Q2562" s="12">
        <v>100</v>
      </c>
      <c r="R2562" s="12">
        <v>120</v>
      </c>
      <c r="S2562" s="12">
        <v>30</v>
      </c>
      <c r="T2562" s="13">
        <v>59.68</v>
      </c>
      <c r="U2562" s="13">
        <f t="shared" si="159"/>
        <v>-0.16000000000000369</v>
      </c>
      <c r="V2562" s="14">
        <v>7310.8</v>
      </c>
      <c r="W2562" s="14">
        <v>7310.8</v>
      </c>
      <c r="X2562" s="11">
        <v>11</v>
      </c>
      <c r="Y2562" s="15" t="s">
        <v>3713</v>
      </c>
      <c r="Z2562" s="16">
        <v>6164.8</v>
      </c>
      <c r="AA2562" s="17">
        <v>537.9</v>
      </c>
      <c r="AB2562" s="18" t="s">
        <v>3714</v>
      </c>
    </row>
    <row r="2563" spans="1:28" x14ac:dyDescent="0.45">
      <c r="A2563" s="2" t="s">
        <v>3575</v>
      </c>
      <c r="B2563" s="2" t="s">
        <v>3576</v>
      </c>
      <c r="C2563" s="2" t="s">
        <v>2797</v>
      </c>
      <c r="D2563" s="2" t="s">
        <v>2779</v>
      </c>
      <c r="E2563" s="2" t="s">
        <v>6</v>
      </c>
      <c r="F2563" s="3">
        <v>105</v>
      </c>
      <c r="G2563" s="3">
        <v>120</v>
      </c>
      <c r="H2563" s="2" t="s">
        <v>2774</v>
      </c>
      <c r="I2563" s="19">
        <v>1210</v>
      </c>
      <c r="J2563" s="34">
        <f t="shared" si="156"/>
        <v>10.526999999999999</v>
      </c>
      <c r="K2563" s="34">
        <f t="shared" si="157"/>
        <v>15.79</v>
      </c>
      <c r="L2563" s="34">
        <f t="shared" si="158"/>
        <v>63.16</v>
      </c>
      <c r="M2563" s="20" t="s">
        <v>5333</v>
      </c>
      <c r="N2563" s="20" t="s">
        <v>5301</v>
      </c>
      <c r="O2563" s="20" t="s">
        <v>5251</v>
      </c>
      <c r="P2563" s="20" t="s">
        <v>5302</v>
      </c>
      <c r="Q2563" s="21">
        <v>105</v>
      </c>
      <c r="R2563" s="21">
        <v>120</v>
      </c>
      <c r="S2563" s="21">
        <v>13</v>
      </c>
      <c r="T2563" s="22">
        <v>60.8</v>
      </c>
      <c r="U2563" s="13">
        <f t="shared" si="159"/>
        <v>-2.3599999999999994</v>
      </c>
      <c r="V2563" s="23">
        <v>7448</v>
      </c>
      <c r="W2563" s="23">
        <v>7448</v>
      </c>
      <c r="X2563" s="20">
        <v>6</v>
      </c>
      <c r="Y2563" s="24" t="s">
        <v>3713</v>
      </c>
      <c r="Z2563" s="16">
        <v>6238</v>
      </c>
      <c r="AA2563" s="17">
        <v>515.5</v>
      </c>
      <c r="AB2563" s="25" t="s">
        <v>3714</v>
      </c>
    </row>
    <row r="2564" spans="1:28" x14ac:dyDescent="0.45">
      <c r="A2564" s="4" t="s">
        <v>3577</v>
      </c>
      <c r="B2564" s="4" t="s">
        <v>3578</v>
      </c>
      <c r="C2564" s="4" t="s">
        <v>2797</v>
      </c>
      <c r="D2564" s="4" t="s">
        <v>2779</v>
      </c>
      <c r="E2564" s="4" t="s">
        <v>6</v>
      </c>
      <c r="F2564" s="5">
        <v>110</v>
      </c>
      <c r="G2564" s="5">
        <v>125</v>
      </c>
      <c r="H2564" s="4" t="s">
        <v>2774</v>
      </c>
      <c r="I2564" s="10">
        <v>1272</v>
      </c>
      <c r="J2564" s="34">
        <f t="shared" si="156"/>
        <v>11.0664</v>
      </c>
      <c r="K2564" s="34">
        <f t="shared" si="157"/>
        <v>16.600000000000001</v>
      </c>
      <c r="L2564" s="34">
        <f t="shared" si="158"/>
        <v>66.400000000000006</v>
      </c>
      <c r="M2564" s="11" t="s">
        <v>5335</v>
      </c>
      <c r="N2564" s="11" t="s">
        <v>5336</v>
      </c>
      <c r="O2564" s="11" t="s">
        <v>5251</v>
      </c>
      <c r="P2564" s="11" t="s">
        <v>5337</v>
      </c>
      <c r="Q2564" s="12">
        <v>110</v>
      </c>
      <c r="R2564" s="12">
        <v>125</v>
      </c>
      <c r="S2564" s="12">
        <v>30</v>
      </c>
      <c r="T2564" s="13">
        <v>150.56</v>
      </c>
      <c r="U2564" s="13">
        <f t="shared" si="159"/>
        <v>84.16</v>
      </c>
      <c r="V2564" s="14">
        <v>18443.599999999999</v>
      </c>
      <c r="W2564" s="14">
        <v>18443.599999999999</v>
      </c>
      <c r="X2564" s="11" t="s">
        <v>3722</v>
      </c>
      <c r="Y2564" s="15" t="s">
        <v>3713</v>
      </c>
      <c r="Z2564" s="16">
        <v>17171.599999999999</v>
      </c>
      <c r="AA2564" s="17">
        <v>1350</v>
      </c>
      <c r="AB2564" s="18" t="s">
        <v>3714</v>
      </c>
    </row>
    <row r="2565" spans="1:28" x14ac:dyDescent="0.45">
      <c r="A2565" s="2" t="s">
        <v>3579</v>
      </c>
      <c r="B2565" s="2" t="s">
        <v>3580</v>
      </c>
      <c r="C2565" s="2" t="s">
        <v>2797</v>
      </c>
      <c r="D2565" s="2" t="s">
        <v>2779</v>
      </c>
      <c r="E2565" s="2" t="s">
        <v>6</v>
      </c>
      <c r="F2565" s="3">
        <v>120</v>
      </c>
      <c r="G2565" s="3">
        <v>140</v>
      </c>
      <c r="H2565" s="2" t="s">
        <v>3581</v>
      </c>
      <c r="I2565" s="19">
        <v>1727</v>
      </c>
      <c r="J2565" s="34">
        <f t="shared" ref="J2565:J2628" si="160">I2565*0.0087</f>
        <v>15.024899999999999</v>
      </c>
      <c r="K2565" s="34">
        <f t="shared" ref="K2565:K2628" si="161">ROUND(J2565*1.5,2)</f>
        <v>22.54</v>
      </c>
      <c r="L2565" s="34">
        <f t="shared" ref="L2565:L2628" si="162">K2565*4</f>
        <v>90.16</v>
      </c>
      <c r="M2565" s="20" t="s">
        <v>5343</v>
      </c>
      <c r="N2565" s="20" t="s">
        <v>5297</v>
      </c>
      <c r="O2565" s="20" t="s">
        <v>5251</v>
      </c>
      <c r="P2565" s="20" t="s">
        <v>5298</v>
      </c>
      <c r="Q2565" s="21">
        <v>120</v>
      </c>
      <c r="R2565" s="21">
        <v>140</v>
      </c>
      <c r="S2565" s="21">
        <v>30</v>
      </c>
      <c r="T2565" s="22">
        <v>125</v>
      </c>
      <c r="U2565" s="13">
        <f t="shared" ref="U2565:U2628" si="163">T2565-L2565</f>
        <v>34.840000000000003</v>
      </c>
      <c r="V2565" s="23">
        <v>15312.5</v>
      </c>
      <c r="W2565" s="23">
        <v>15312.5</v>
      </c>
      <c r="X2565" s="20">
        <v>4</v>
      </c>
      <c r="Y2565" s="24" t="s">
        <v>3713</v>
      </c>
      <c r="Z2565" s="16">
        <v>13585.5</v>
      </c>
      <c r="AA2565" s="17">
        <v>786.7</v>
      </c>
      <c r="AB2565" s="25" t="s">
        <v>3714</v>
      </c>
    </row>
    <row r="2566" spans="1:28" x14ac:dyDescent="0.45">
      <c r="A2566" s="4" t="s">
        <v>3582</v>
      </c>
      <c r="B2566" s="4" t="s">
        <v>3583</v>
      </c>
      <c r="C2566" s="4" t="s">
        <v>2797</v>
      </c>
      <c r="D2566" s="4" t="s">
        <v>2779</v>
      </c>
      <c r="E2566" s="4" t="s">
        <v>6</v>
      </c>
      <c r="F2566" s="5">
        <v>125</v>
      </c>
      <c r="G2566" s="5">
        <v>145</v>
      </c>
      <c r="H2566" s="4" t="s">
        <v>3581</v>
      </c>
      <c r="I2566" s="10">
        <v>2004</v>
      </c>
      <c r="J2566" s="34">
        <f t="shared" si="160"/>
        <v>17.434799999999999</v>
      </c>
      <c r="K2566" s="34">
        <f t="shared" si="161"/>
        <v>26.15</v>
      </c>
      <c r="L2566" s="34">
        <f t="shared" si="162"/>
        <v>104.6</v>
      </c>
      <c r="M2566" s="11" t="s">
        <v>5547</v>
      </c>
      <c r="N2566" s="11" t="s">
        <v>5254</v>
      </c>
      <c r="O2566" s="11" t="s">
        <v>5251</v>
      </c>
      <c r="P2566" s="11" t="s">
        <v>5255</v>
      </c>
      <c r="Q2566" s="12">
        <v>125</v>
      </c>
      <c r="R2566" s="12">
        <v>145</v>
      </c>
      <c r="S2566" s="12">
        <v>12</v>
      </c>
      <c r="T2566" s="13">
        <v>51.73</v>
      </c>
      <c r="U2566" s="13">
        <f t="shared" si="163"/>
        <v>-52.87</v>
      </c>
      <c r="V2566" s="14">
        <v>6336.92</v>
      </c>
      <c r="W2566" s="14">
        <v>6336.92</v>
      </c>
      <c r="X2566" s="11">
        <v>23</v>
      </c>
      <c r="Y2566" s="15" t="s">
        <v>3713</v>
      </c>
      <c r="Z2566" s="16">
        <v>4332.92</v>
      </c>
      <c r="AA2566" s="17">
        <v>216.2</v>
      </c>
      <c r="AB2566" s="18" t="s">
        <v>3714</v>
      </c>
    </row>
    <row r="2567" spans="1:28" x14ac:dyDescent="0.45">
      <c r="A2567" s="2" t="s">
        <v>3584</v>
      </c>
      <c r="B2567" s="2" t="s">
        <v>3585</v>
      </c>
      <c r="C2567" s="2" t="s">
        <v>2797</v>
      </c>
      <c r="D2567" s="2" t="s">
        <v>2779</v>
      </c>
      <c r="E2567" s="2" t="s">
        <v>6</v>
      </c>
      <c r="F2567" s="3">
        <v>130</v>
      </c>
      <c r="G2567" s="3">
        <v>145</v>
      </c>
      <c r="H2567" s="2" t="s">
        <v>2774</v>
      </c>
      <c r="I2567" s="19">
        <v>2053</v>
      </c>
      <c r="J2567" s="34">
        <f t="shared" si="160"/>
        <v>17.8611</v>
      </c>
      <c r="K2567" s="34">
        <f t="shared" si="161"/>
        <v>26.79</v>
      </c>
      <c r="L2567" s="34">
        <f t="shared" si="162"/>
        <v>107.16</v>
      </c>
      <c r="M2567" s="20" t="s">
        <v>5346</v>
      </c>
      <c r="N2567" s="20" t="s">
        <v>5254</v>
      </c>
      <c r="O2567" s="20" t="s">
        <v>5251</v>
      </c>
      <c r="P2567" s="20" t="s">
        <v>5255</v>
      </c>
      <c r="Q2567" s="21">
        <v>130</v>
      </c>
      <c r="R2567" s="21">
        <v>145</v>
      </c>
      <c r="S2567" s="21">
        <v>9</v>
      </c>
      <c r="T2567" s="22">
        <v>39.200000000000003</v>
      </c>
      <c r="U2567" s="13">
        <f t="shared" si="163"/>
        <v>-67.959999999999994</v>
      </c>
      <c r="V2567" s="23">
        <v>4802</v>
      </c>
      <c r="W2567" s="23">
        <v>4802</v>
      </c>
      <c r="X2567" s="20">
        <v>2</v>
      </c>
      <c r="Y2567" s="24" t="s">
        <v>3713</v>
      </c>
      <c r="Z2567" s="16">
        <v>2749</v>
      </c>
      <c r="AA2567" s="17">
        <v>133.9</v>
      </c>
      <c r="AB2567" s="25" t="s">
        <v>3714</v>
      </c>
    </row>
    <row r="2568" spans="1:28" x14ac:dyDescent="0.45">
      <c r="A2568" s="4" t="s">
        <v>3586</v>
      </c>
      <c r="B2568" s="4" t="s">
        <v>3587</v>
      </c>
      <c r="C2568" s="4" t="s">
        <v>2797</v>
      </c>
      <c r="D2568" s="4" t="s">
        <v>2779</v>
      </c>
      <c r="E2568" s="4" t="s">
        <v>6</v>
      </c>
      <c r="F2568" s="5">
        <v>130</v>
      </c>
      <c r="G2568" s="5">
        <v>150</v>
      </c>
      <c r="H2568" s="4" t="s">
        <v>3581</v>
      </c>
      <c r="I2568" s="10">
        <v>2092</v>
      </c>
      <c r="J2568" s="34">
        <f t="shared" si="160"/>
        <v>18.200399999999998</v>
      </c>
      <c r="K2568" s="34">
        <f t="shared" si="161"/>
        <v>27.3</v>
      </c>
      <c r="L2568" s="34">
        <f t="shared" si="162"/>
        <v>109.2</v>
      </c>
      <c r="M2568" s="11" t="s">
        <v>5548</v>
      </c>
      <c r="N2568" s="11" t="s">
        <v>5254</v>
      </c>
      <c r="O2568" s="11" t="s">
        <v>5251</v>
      </c>
      <c r="P2568" s="11" t="s">
        <v>5255</v>
      </c>
      <c r="Q2568" s="12">
        <v>130</v>
      </c>
      <c r="R2568" s="12">
        <v>150</v>
      </c>
      <c r="S2568" s="12">
        <v>12</v>
      </c>
      <c r="T2568" s="13">
        <v>31.61</v>
      </c>
      <c r="U2568" s="13">
        <f t="shared" si="163"/>
        <v>-77.59</v>
      </c>
      <c r="V2568" s="14">
        <v>3872.22</v>
      </c>
      <c r="W2568" s="14">
        <v>3872.22</v>
      </c>
      <c r="X2568" s="11">
        <v>30</v>
      </c>
      <c r="Y2568" s="15" t="s">
        <v>3713</v>
      </c>
      <c r="Z2568" s="16">
        <v>1780.22</v>
      </c>
      <c r="AA2568" s="17">
        <v>85.1</v>
      </c>
      <c r="AB2568" s="18" t="s">
        <v>3714</v>
      </c>
    </row>
    <row r="2569" spans="1:28" x14ac:dyDescent="0.45">
      <c r="A2569" s="2" t="s">
        <v>3588</v>
      </c>
      <c r="B2569" s="2" t="s">
        <v>3589</v>
      </c>
      <c r="C2569" s="2" t="s">
        <v>2797</v>
      </c>
      <c r="D2569" s="2" t="s">
        <v>2779</v>
      </c>
      <c r="E2569" s="2" t="s">
        <v>6</v>
      </c>
      <c r="F2569" s="3">
        <v>140</v>
      </c>
      <c r="G2569" s="3">
        <v>160</v>
      </c>
      <c r="H2569" s="2" t="s">
        <v>3581</v>
      </c>
      <c r="I2569" s="19">
        <v>2211</v>
      </c>
      <c r="J2569" s="34">
        <f t="shared" si="160"/>
        <v>19.235699999999998</v>
      </c>
      <c r="K2569" s="34">
        <f t="shared" si="161"/>
        <v>28.85</v>
      </c>
      <c r="L2569" s="34">
        <f t="shared" si="162"/>
        <v>115.4</v>
      </c>
      <c r="M2569" s="20" t="s">
        <v>5352</v>
      </c>
      <c r="N2569" s="20" t="s">
        <v>5274</v>
      </c>
      <c r="O2569" s="20" t="s">
        <v>5251</v>
      </c>
      <c r="P2569" s="20" t="s">
        <v>5275</v>
      </c>
      <c r="Q2569" s="21">
        <v>140</v>
      </c>
      <c r="R2569" s="21">
        <v>160</v>
      </c>
      <c r="S2569" s="21">
        <v>35</v>
      </c>
      <c r="T2569" s="22">
        <v>168.62</v>
      </c>
      <c r="U2569" s="13">
        <f t="shared" si="163"/>
        <v>53.22</v>
      </c>
      <c r="V2569" s="23">
        <v>20655.95</v>
      </c>
      <c r="W2569" s="23">
        <v>20655.95</v>
      </c>
      <c r="X2569" s="20">
        <v>1</v>
      </c>
      <c r="Y2569" s="24" t="s">
        <v>3713</v>
      </c>
      <c r="Z2569" s="16">
        <v>18444.95</v>
      </c>
      <c r="AA2569" s="17">
        <v>834.2</v>
      </c>
      <c r="AB2569" s="25" t="s">
        <v>3714</v>
      </c>
    </row>
    <row r="2570" spans="1:28" x14ac:dyDescent="0.45">
      <c r="A2570" s="4" t="s">
        <v>3590</v>
      </c>
      <c r="B2570" s="4" t="s">
        <v>3591</v>
      </c>
      <c r="C2570" s="4" t="s">
        <v>2797</v>
      </c>
      <c r="D2570" s="4" t="s">
        <v>2779</v>
      </c>
      <c r="E2570" s="4" t="s">
        <v>6</v>
      </c>
      <c r="F2570" s="5">
        <v>150</v>
      </c>
      <c r="G2570" s="5">
        <v>170</v>
      </c>
      <c r="H2570" s="4" t="s">
        <v>3581</v>
      </c>
      <c r="I2570" s="10">
        <v>2371</v>
      </c>
      <c r="J2570" s="34">
        <f t="shared" si="160"/>
        <v>20.627699999999997</v>
      </c>
      <c r="K2570" s="34">
        <f t="shared" si="161"/>
        <v>30.94</v>
      </c>
      <c r="L2570" s="34">
        <f t="shared" si="162"/>
        <v>123.76</v>
      </c>
      <c r="M2570" s="11" t="s">
        <v>5355</v>
      </c>
      <c r="N2570" s="11" t="s">
        <v>5254</v>
      </c>
      <c r="O2570" s="11" t="s">
        <v>5251</v>
      </c>
      <c r="P2570" s="11" t="s">
        <v>5255</v>
      </c>
      <c r="Q2570" s="12">
        <v>150</v>
      </c>
      <c r="R2570" s="12">
        <v>170</v>
      </c>
      <c r="S2570" s="12">
        <v>12</v>
      </c>
      <c r="T2570" s="13">
        <v>64.72</v>
      </c>
      <c r="U2570" s="13">
        <f t="shared" si="163"/>
        <v>-59.040000000000006</v>
      </c>
      <c r="V2570" s="14">
        <v>7928.2</v>
      </c>
      <c r="W2570" s="14">
        <v>7928.2</v>
      </c>
      <c r="X2570" s="11">
        <v>6</v>
      </c>
      <c r="Y2570" s="15" t="s">
        <v>3713</v>
      </c>
      <c r="Z2570" s="16">
        <v>5557.2</v>
      </c>
      <c r="AA2570" s="17">
        <v>234.4</v>
      </c>
      <c r="AB2570" s="18" t="s">
        <v>3714</v>
      </c>
    </row>
    <row r="2571" spans="1:28" x14ac:dyDescent="0.45">
      <c r="A2571" s="2" t="s">
        <v>3592</v>
      </c>
      <c r="B2571" s="2" t="s">
        <v>3593</v>
      </c>
      <c r="C2571" s="2" t="s">
        <v>2797</v>
      </c>
      <c r="D2571" s="2" t="s">
        <v>2779</v>
      </c>
      <c r="E2571" s="2" t="s">
        <v>6</v>
      </c>
      <c r="F2571" s="3">
        <v>160</v>
      </c>
      <c r="G2571" s="3">
        <v>180</v>
      </c>
      <c r="H2571" s="2" t="s">
        <v>3581</v>
      </c>
      <c r="I2571" s="19">
        <v>2530</v>
      </c>
      <c r="J2571" s="34">
        <f t="shared" si="160"/>
        <v>22.010999999999999</v>
      </c>
      <c r="K2571" s="34">
        <f t="shared" si="161"/>
        <v>33.020000000000003</v>
      </c>
      <c r="L2571" s="34">
        <f t="shared" si="162"/>
        <v>132.08000000000001</v>
      </c>
      <c r="M2571" s="20" t="s">
        <v>5549</v>
      </c>
      <c r="N2571" s="20" t="s">
        <v>5254</v>
      </c>
      <c r="O2571" s="20" t="s">
        <v>5251</v>
      </c>
      <c r="P2571" s="20" t="s">
        <v>5255</v>
      </c>
      <c r="Q2571" s="21">
        <v>160</v>
      </c>
      <c r="R2571" s="21">
        <v>180</v>
      </c>
      <c r="S2571" s="21">
        <v>14.5</v>
      </c>
      <c r="T2571" s="22">
        <v>73.31</v>
      </c>
      <c r="U2571" s="13">
        <f t="shared" si="163"/>
        <v>-58.77000000000001</v>
      </c>
      <c r="V2571" s="23">
        <v>8980.48</v>
      </c>
      <c r="W2571" s="23">
        <v>8980.48</v>
      </c>
      <c r="X2571" s="20">
        <v>21</v>
      </c>
      <c r="Y2571" s="24" t="s">
        <v>3713</v>
      </c>
      <c r="Z2571" s="16">
        <v>6450.48</v>
      </c>
      <c r="AA2571" s="17">
        <v>255</v>
      </c>
      <c r="AB2571" s="25" t="s">
        <v>3714</v>
      </c>
    </row>
    <row r="2572" spans="1:28" x14ac:dyDescent="0.45">
      <c r="A2572" s="4" t="s">
        <v>3594</v>
      </c>
      <c r="B2572" s="4" t="s">
        <v>3595</v>
      </c>
      <c r="C2572" s="4" t="s">
        <v>2797</v>
      </c>
      <c r="D2572" s="4" t="s">
        <v>2779</v>
      </c>
      <c r="E2572" s="4" t="s">
        <v>6</v>
      </c>
      <c r="F2572" s="5">
        <v>170</v>
      </c>
      <c r="G2572" s="5">
        <v>190</v>
      </c>
      <c r="H2572" s="4" t="s">
        <v>3581</v>
      </c>
      <c r="I2572" s="10">
        <v>3221</v>
      </c>
      <c r="J2572" s="34">
        <f t="shared" si="160"/>
        <v>28.022699999999997</v>
      </c>
      <c r="K2572" s="34">
        <f t="shared" si="161"/>
        <v>42.03</v>
      </c>
      <c r="L2572" s="34">
        <f t="shared" si="162"/>
        <v>168.12</v>
      </c>
      <c r="M2572" s="11" t="s">
        <v>5364</v>
      </c>
      <c r="N2572" s="11" t="s">
        <v>5254</v>
      </c>
      <c r="O2572" s="11" t="s">
        <v>5251</v>
      </c>
      <c r="P2572" s="11" t="s">
        <v>5255</v>
      </c>
      <c r="Q2572" s="12">
        <v>170</v>
      </c>
      <c r="R2572" s="12">
        <v>190</v>
      </c>
      <c r="S2572" s="12">
        <v>14.5</v>
      </c>
      <c r="T2572" s="13">
        <v>73.650000000000006</v>
      </c>
      <c r="U2572" s="13">
        <f t="shared" si="163"/>
        <v>-94.47</v>
      </c>
      <c r="V2572" s="14">
        <v>9022.1200000000008</v>
      </c>
      <c r="W2572" s="14">
        <v>9022.1200000000008</v>
      </c>
      <c r="X2572" s="11" t="s">
        <v>3722</v>
      </c>
      <c r="Y2572" s="15" t="s">
        <v>3713</v>
      </c>
      <c r="Z2572" s="16">
        <v>5801.1200000000008</v>
      </c>
      <c r="AA2572" s="17">
        <v>180.1</v>
      </c>
      <c r="AB2572" s="18" t="s">
        <v>3714</v>
      </c>
    </row>
    <row r="2573" spans="1:28" x14ac:dyDescent="0.45">
      <c r="A2573" s="2" t="s">
        <v>3596</v>
      </c>
      <c r="B2573" s="2" t="s">
        <v>3597</v>
      </c>
      <c r="C2573" s="2" t="s">
        <v>2797</v>
      </c>
      <c r="D2573" s="2" t="s">
        <v>2779</v>
      </c>
      <c r="E2573" s="2" t="s">
        <v>6</v>
      </c>
      <c r="F2573" s="3">
        <v>180</v>
      </c>
      <c r="G2573" s="3">
        <v>200</v>
      </c>
      <c r="H2573" s="2" t="s">
        <v>3581</v>
      </c>
      <c r="I2573" s="19">
        <v>3277</v>
      </c>
      <c r="J2573" s="34">
        <f t="shared" si="160"/>
        <v>28.509899999999998</v>
      </c>
      <c r="K2573" s="34">
        <f t="shared" si="161"/>
        <v>42.76</v>
      </c>
      <c r="L2573" s="34">
        <f t="shared" si="162"/>
        <v>171.04</v>
      </c>
      <c r="M2573" s="20" t="s">
        <v>5366</v>
      </c>
      <c r="N2573" s="20" t="s">
        <v>5254</v>
      </c>
      <c r="O2573" s="20" t="s">
        <v>5251</v>
      </c>
      <c r="P2573" s="20" t="s">
        <v>5255</v>
      </c>
      <c r="Q2573" s="21">
        <v>180</v>
      </c>
      <c r="R2573" s="21">
        <v>200</v>
      </c>
      <c r="S2573" s="21">
        <v>11.8</v>
      </c>
      <c r="T2573" s="22">
        <v>28.75</v>
      </c>
      <c r="U2573" s="13">
        <f t="shared" si="163"/>
        <v>-142.29</v>
      </c>
      <c r="V2573" s="23">
        <v>3521.88</v>
      </c>
      <c r="W2573" s="23">
        <v>3521.88</v>
      </c>
      <c r="X2573" s="20">
        <v>8</v>
      </c>
      <c r="Y2573" s="24" t="s">
        <v>3713</v>
      </c>
      <c r="Z2573" s="16">
        <v>244.88000000000011</v>
      </c>
      <c r="AA2573" s="17">
        <v>7.5</v>
      </c>
      <c r="AB2573" s="25" t="s">
        <v>3714</v>
      </c>
    </row>
    <row r="2574" spans="1:28" x14ac:dyDescent="0.45">
      <c r="A2574" s="4" t="s">
        <v>3598</v>
      </c>
      <c r="B2574" s="4" t="s">
        <v>3599</v>
      </c>
      <c r="C2574" s="4" t="s">
        <v>2797</v>
      </c>
      <c r="D2574" s="4" t="s">
        <v>2779</v>
      </c>
      <c r="E2574" s="4" t="s">
        <v>6</v>
      </c>
      <c r="F2574" s="5">
        <v>200</v>
      </c>
      <c r="G2574" s="5">
        <v>220</v>
      </c>
      <c r="H2574" s="4" t="s">
        <v>3581</v>
      </c>
      <c r="I2574" s="10">
        <v>3238</v>
      </c>
      <c r="J2574" s="34">
        <f t="shared" si="160"/>
        <v>28.170599999999997</v>
      </c>
      <c r="K2574" s="34">
        <f t="shared" si="161"/>
        <v>42.26</v>
      </c>
      <c r="L2574" s="34">
        <f t="shared" si="162"/>
        <v>169.04</v>
      </c>
      <c r="M2574" s="11" t="s">
        <v>5369</v>
      </c>
      <c r="N2574" s="11" t="s">
        <v>5254</v>
      </c>
      <c r="O2574" s="11" t="s">
        <v>5251</v>
      </c>
      <c r="P2574" s="11" t="s">
        <v>5255</v>
      </c>
      <c r="Q2574" s="12">
        <v>200</v>
      </c>
      <c r="R2574" s="12">
        <v>220</v>
      </c>
      <c r="S2574" s="12">
        <v>14.5</v>
      </c>
      <c r="T2574" s="13">
        <v>91.54</v>
      </c>
      <c r="U2574" s="13">
        <f t="shared" si="163"/>
        <v>-77.499999999999986</v>
      </c>
      <c r="V2574" s="14">
        <v>11213.65</v>
      </c>
      <c r="W2574" s="14">
        <v>11213.65</v>
      </c>
      <c r="X2574" s="11" t="s">
        <v>3722</v>
      </c>
      <c r="Y2574" s="15" t="s">
        <v>3713</v>
      </c>
      <c r="Z2574" s="16">
        <v>7975.65</v>
      </c>
      <c r="AA2574" s="17">
        <v>246.3</v>
      </c>
      <c r="AB2574" s="18" t="s">
        <v>3714</v>
      </c>
    </row>
    <row r="2575" spans="1:28" x14ac:dyDescent="0.45">
      <c r="A2575" s="2" t="s">
        <v>3600</v>
      </c>
      <c r="B2575" s="2" t="s">
        <v>3601</v>
      </c>
      <c r="C2575" s="2" t="s">
        <v>2797</v>
      </c>
      <c r="D2575" s="2" t="s">
        <v>2779</v>
      </c>
      <c r="E2575" s="2" t="s">
        <v>3602</v>
      </c>
      <c r="F2575" s="3">
        <v>30</v>
      </c>
      <c r="G2575" s="3">
        <v>38</v>
      </c>
      <c r="H2575" s="2" t="s">
        <v>417</v>
      </c>
      <c r="I2575" s="19">
        <v>257</v>
      </c>
      <c r="J2575" s="34">
        <f t="shared" si="160"/>
        <v>2.2359</v>
      </c>
      <c r="K2575" s="34">
        <f t="shared" si="161"/>
        <v>3.35</v>
      </c>
      <c r="L2575" s="34">
        <f t="shared" si="162"/>
        <v>13.4</v>
      </c>
      <c r="M2575" s="20" t="s">
        <v>5543</v>
      </c>
      <c r="N2575" s="20" t="s">
        <v>5254</v>
      </c>
      <c r="O2575" s="20" t="s">
        <v>5251</v>
      </c>
      <c r="P2575" s="20" t="s">
        <v>5255</v>
      </c>
      <c r="Q2575" s="21">
        <v>30</v>
      </c>
      <c r="R2575" s="21">
        <v>38</v>
      </c>
      <c r="S2575" s="21">
        <v>5.7</v>
      </c>
      <c r="T2575" s="22">
        <v>16.559999999999999</v>
      </c>
      <c r="U2575" s="13">
        <f t="shared" si="163"/>
        <v>3.1599999999999984</v>
      </c>
      <c r="V2575" s="23">
        <v>2028.6</v>
      </c>
      <c r="W2575" s="23">
        <v>2028.6</v>
      </c>
      <c r="X2575" s="20">
        <v>231</v>
      </c>
      <c r="Y2575" s="24" t="s">
        <v>3713</v>
      </c>
      <c r="Z2575" s="16">
        <v>1771.6</v>
      </c>
      <c r="AA2575" s="17">
        <v>689.3</v>
      </c>
      <c r="AB2575" s="25" t="s">
        <v>3714</v>
      </c>
    </row>
    <row r="2576" spans="1:28" x14ac:dyDescent="0.45">
      <c r="A2576" s="4" t="s">
        <v>3603</v>
      </c>
      <c r="B2576" s="4" t="s">
        <v>3604</v>
      </c>
      <c r="C2576" s="4" t="s">
        <v>2797</v>
      </c>
      <c r="D2576" s="4" t="s">
        <v>2779</v>
      </c>
      <c r="E2576" s="4" t="s">
        <v>3602</v>
      </c>
      <c r="F2576" s="5">
        <v>35</v>
      </c>
      <c r="G2576" s="5">
        <v>43</v>
      </c>
      <c r="H2576" s="4" t="s">
        <v>417</v>
      </c>
      <c r="I2576" s="10">
        <v>263</v>
      </c>
      <c r="J2576" s="34">
        <f t="shared" si="160"/>
        <v>2.2881</v>
      </c>
      <c r="K2576" s="34">
        <f t="shared" si="161"/>
        <v>3.43</v>
      </c>
      <c r="L2576" s="34">
        <f t="shared" si="162"/>
        <v>13.72</v>
      </c>
      <c r="M2576" s="11" t="s">
        <v>5545</v>
      </c>
      <c r="N2576" s="11" t="s">
        <v>5254</v>
      </c>
      <c r="O2576" s="11" t="s">
        <v>5251</v>
      </c>
      <c r="P2576" s="11" t="s">
        <v>5255</v>
      </c>
      <c r="Q2576" s="12">
        <v>35</v>
      </c>
      <c r="R2576" s="12">
        <v>43</v>
      </c>
      <c r="S2576" s="12">
        <v>5.7</v>
      </c>
      <c r="T2576" s="13">
        <v>10.3</v>
      </c>
      <c r="U2576" s="13">
        <f t="shared" si="163"/>
        <v>-3.42</v>
      </c>
      <c r="V2576" s="14">
        <v>1261.75</v>
      </c>
      <c r="W2576" s="14">
        <v>1261.75</v>
      </c>
      <c r="X2576" s="11">
        <v>126</v>
      </c>
      <c r="Y2576" s="15" t="s">
        <v>3713</v>
      </c>
      <c r="Z2576" s="16">
        <v>998.75</v>
      </c>
      <c r="AA2576" s="17">
        <v>379.8</v>
      </c>
      <c r="AB2576" s="18" t="s">
        <v>3714</v>
      </c>
    </row>
    <row r="2577" spans="1:28" x14ac:dyDescent="0.45">
      <c r="A2577" s="2" t="s">
        <v>3605</v>
      </c>
      <c r="B2577" s="2" t="s">
        <v>3606</v>
      </c>
      <c r="C2577" s="2" t="s">
        <v>2797</v>
      </c>
      <c r="D2577" s="2" t="s">
        <v>2779</v>
      </c>
      <c r="E2577" s="2" t="s">
        <v>3602</v>
      </c>
      <c r="F2577" s="3">
        <v>70</v>
      </c>
      <c r="G2577" s="3">
        <v>85</v>
      </c>
      <c r="H2577" s="2" t="s">
        <v>2774</v>
      </c>
      <c r="I2577" s="19">
        <v>796</v>
      </c>
      <c r="J2577" s="34">
        <f t="shared" si="160"/>
        <v>6.9251999999999994</v>
      </c>
      <c r="K2577" s="34">
        <f t="shared" si="161"/>
        <v>10.39</v>
      </c>
      <c r="L2577" s="34">
        <f t="shared" si="162"/>
        <v>41.56</v>
      </c>
      <c r="M2577" s="20" t="s">
        <v>5316</v>
      </c>
      <c r="N2577" s="20" t="s">
        <v>5254</v>
      </c>
      <c r="O2577" s="20" t="s">
        <v>5251</v>
      </c>
      <c r="P2577" s="20" t="s">
        <v>5255</v>
      </c>
      <c r="Q2577" s="21">
        <v>70</v>
      </c>
      <c r="R2577" s="21">
        <v>85</v>
      </c>
      <c r="S2577" s="21">
        <v>9</v>
      </c>
      <c r="T2577" s="22">
        <v>9.69</v>
      </c>
      <c r="U2577" s="13">
        <f t="shared" si="163"/>
        <v>-31.870000000000005</v>
      </c>
      <c r="V2577" s="23">
        <v>1187.02</v>
      </c>
      <c r="W2577" s="23">
        <v>1187.02</v>
      </c>
      <c r="X2577" s="20">
        <v>122</v>
      </c>
      <c r="Y2577" s="24" t="s">
        <v>3713</v>
      </c>
      <c r="Z2577" s="16">
        <v>391.02</v>
      </c>
      <c r="AA2577" s="17">
        <v>49.1</v>
      </c>
      <c r="AB2577" s="25" t="s">
        <v>3714</v>
      </c>
    </row>
    <row r="2578" spans="1:28" x14ac:dyDescent="0.45">
      <c r="A2578" s="4" t="s">
        <v>3607</v>
      </c>
      <c r="B2578" s="4" t="s">
        <v>3608</v>
      </c>
      <c r="C2578" s="4" t="s">
        <v>2797</v>
      </c>
      <c r="D2578" s="4" t="s">
        <v>2779</v>
      </c>
      <c r="E2578" s="4" t="s">
        <v>3602</v>
      </c>
      <c r="F2578" s="5">
        <v>90</v>
      </c>
      <c r="G2578" s="5">
        <v>105</v>
      </c>
      <c r="H2578" s="4" t="s">
        <v>2774</v>
      </c>
      <c r="I2578" s="10">
        <v>1059</v>
      </c>
      <c r="J2578" s="34">
        <f t="shared" si="160"/>
        <v>9.2132999999999985</v>
      </c>
      <c r="K2578" s="34">
        <f t="shared" si="161"/>
        <v>13.82</v>
      </c>
      <c r="L2578" s="34">
        <f t="shared" si="162"/>
        <v>55.28</v>
      </c>
      <c r="M2578" s="11" t="s">
        <v>5326</v>
      </c>
      <c r="N2578" s="11" t="s">
        <v>5254</v>
      </c>
      <c r="O2578" s="11" t="s">
        <v>5251</v>
      </c>
      <c r="P2578" s="11" t="s">
        <v>5255</v>
      </c>
      <c r="Q2578" s="12">
        <v>90</v>
      </c>
      <c r="R2578" s="12">
        <v>105</v>
      </c>
      <c r="S2578" s="12">
        <v>9</v>
      </c>
      <c r="T2578" s="13">
        <v>13.13</v>
      </c>
      <c r="U2578" s="13">
        <f t="shared" si="163"/>
        <v>-42.15</v>
      </c>
      <c r="V2578" s="14">
        <v>1608.43</v>
      </c>
      <c r="W2578" s="14">
        <v>1608.43</v>
      </c>
      <c r="X2578" s="11">
        <v>184</v>
      </c>
      <c r="Y2578" s="15" t="s">
        <v>3713</v>
      </c>
      <c r="Z2578" s="16">
        <v>549.43000000000006</v>
      </c>
      <c r="AA2578" s="17">
        <v>51.9</v>
      </c>
      <c r="AB2578" s="18" t="s">
        <v>3714</v>
      </c>
    </row>
    <row r="2579" spans="1:28" x14ac:dyDescent="0.45">
      <c r="A2579" s="2" t="s">
        <v>3609</v>
      </c>
      <c r="B2579" s="2" t="s">
        <v>7283</v>
      </c>
      <c r="C2579" s="2" t="s">
        <v>2797</v>
      </c>
      <c r="D2579" s="2" t="s">
        <v>3610</v>
      </c>
      <c r="E2579" s="2" t="s">
        <v>3611</v>
      </c>
      <c r="F2579" s="3">
        <v>6</v>
      </c>
      <c r="G2579" s="3">
        <v>10.9</v>
      </c>
      <c r="H2579" s="2" t="s">
        <v>2770</v>
      </c>
      <c r="I2579" s="19">
        <v>61</v>
      </c>
      <c r="J2579" s="34">
        <f t="shared" si="160"/>
        <v>0.53069999999999995</v>
      </c>
      <c r="K2579" s="34">
        <f t="shared" si="161"/>
        <v>0.8</v>
      </c>
      <c r="L2579" s="34">
        <f t="shared" si="162"/>
        <v>3.2</v>
      </c>
      <c r="M2579" s="20" t="s">
        <v>5382</v>
      </c>
      <c r="N2579" s="20" t="s">
        <v>5230</v>
      </c>
      <c r="O2579" s="20" t="s">
        <v>5231</v>
      </c>
      <c r="P2579" s="20" t="s">
        <v>5232</v>
      </c>
      <c r="Q2579" s="21">
        <v>6</v>
      </c>
      <c r="R2579" s="21">
        <v>10.9</v>
      </c>
      <c r="S2579" s="21">
        <v>2.2000000000000002</v>
      </c>
      <c r="T2579" s="22">
        <v>7.94</v>
      </c>
      <c r="U2579" s="13">
        <f t="shared" si="163"/>
        <v>4.74</v>
      </c>
      <c r="V2579" s="23">
        <v>972.65</v>
      </c>
      <c r="W2579" s="23">
        <v>972.65</v>
      </c>
      <c r="X2579" s="20">
        <v>14</v>
      </c>
      <c r="Y2579" s="24" t="s">
        <v>3713</v>
      </c>
      <c r="Z2579" s="16">
        <v>911.65</v>
      </c>
      <c r="AA2579" s="17">
        <v>1494.5</v>
      </c>
      <c r="AB2579" s="25" t="s">
        <v>3714</v>
      </c>
    </row>
    <row r="2580" spans="1:28" x14ac:dyDescent="0.45">
      <c r="A2580" s="4" t="s">
        <v>3612</v>
      </c>
      <c r="B2580" s="4" t="s">
        <v>7284</v>
      </c>
      <c r="C2580" s="4" t="s">
        <v>2797</v>
      </c>
      <c r="D2580" s="4" t="s">
        <v>3610</v>
      </c>
      <c r="E2580" s="4" t="s">
        <v>3611</v>
      </c>
      <c r="F2580" s="5">
        <v>12</v>
      </c>
      <c r="G2580" s="5">
        <v>16.899999999999999</v>
      </c>
      <c r="H2580" s="4" t="s">
        <v>2770</v>
      </c>
      <c r="I2580" s="10">
        <v>61</v>
      </c>
      <c r="J2580" s="34">
        <f t="shared" si="160"/>
        <v>0.53069999999999995</v>
      </c>
      <c r="K2580" s="34">
        <f t="shared" si="161"/>
        <v>0.8</v>
      </c>
      <c r="L2580" s="34">
        <f t="shared" si="162"/>
        <v>3.2</v>
      </c>
      <c r="M2580" s="11" t="s">
        <v>5243</v>
      </c>
      <c r="N2580" s="11" t="s">
        <v>5230</v>
      </c>
      <c r="O2580" s="11" t="s">
        <v>5231</v>
      </c>
      <c r="P2580" s="11" t="s">
        <v>5232</v>
      </c>
      <c r="Q2580" s="12">
        <v>12</v>
      </c>
      <c r="R2580" s="12">
        <v>16.899999999999999</v>
      </c>
      <c r="S2580" s="12">
        <v>2.2000000000000002</v>
      </c>
      <c r="T2580" s="13">
        <v>5.16</v>
      </c>
      <c r="U2580" s="13">
        <f t="shared" si="163"/>
        <v>1.96</v>
      </c>
      <c r="V2580" s="14">
        <v>632.1</v>
      </c>
      <c r="W2580" s="14">
        <v>632.1</v>
      </c>
      <c r="X2580" s="11">
        <v>135</v>
      </c>
      <c r="Y2580" s="15" t="s">
        <v>3713</v>
      </c>
      <c r="Z2580" s="16">
        <v>571.1</v>
      </c>
      <c r="AA2580" s="17">
        <v>936.2</v>
      </c>
      <c r="AB2580" s="18" t="s">
        <v>3714</v>
      </c>
    </row>
    <row r="2581" spans="1:28" x14ac:dyDescent="0.45">
      <c r="A2581" s="2" t="s">
        <v>3613</v>
      </c>
      <c r="B2581" s="2" t="s">
        <v>7285</v>
      </c>
      <c r="C2581" s="2" t="s">
        <v>2797</v>
      </c>
      <c r="D2581" s="2" t="s">
        <v>3610</v>
      </c>
      <c r="E2581" s="2" t="s">
        <v>3611</v>
      </c>
      <c r="F2581" s="3">
        <v>12</v>
      </c>
      <c r="G2581" s="3">
        <v>19.3</v>
      </c>
      <c r="H2581" s="2" t="s">
        <v>1104</v>
      </c>
      <c r="I2581" s="19">
        <v>64</v>
      </c>
      <c r="J2581" s="34">
        <f t="shared" si="160"/>
        <v>0.55679999999999996</v>
      </c>
      <c r="K2581" s="34">
        <f t="shared" si="161"/>
        <v>0.84</v>
      </c>
      <c r="L2581" s="34">
        <f t="shared" si="162"/>
        <v>3.36</v>
      </c>
      <c r="M2581" s="20" t="s">
        <v>5244</v>
      </c>
      <c r="N2581" s="20" t="s">
        <v>5230</v>
      </c>
      <c r="O2581" s="20" t="s">
        <v>5231</v>
      </c>
      <c r="P2581" s="20" t="s">
        <v>5232</v>
      </c>
      <c r="Q2581" s="21">
        <v>12</v>
      </c>
      <c r="R2581" s="21">
        <v>19.5</v>
      </c>
      <c r="S2581" s="21">
        <v>3.2</v>
      </c>
      <c r="T2581" s="22">
        <v>7.9</v>
      </c>
      <c r="U2581" s="13">
        <f t="shared" si="163"/>
        <v>4.5400000000000009</v>
      </c>
      <c r="V2581" s="23">
        <v>967.75</v>
      </c>
      <c r="W2581" s="23">
        <v>967.75</v>
      </c>
      <c r="X2581" s="20">
        <v>87</v>
      </c>
      <c r="Y2581" s="24" t="s">
        <v>3713</v>
      </c>
      <c r="Z2581" s="16">
        <v>903.75</v>
      </c>
      <c r="AA2581" s="17">
        <v>1412.1</v>
      </c>
      <c r="AB2581" s="25" t="s">
        <v>3793</v>
      </c>
    </row>
    <row r="2582" spans="1:28" x14ac:dyDescent="0.45">
      <c r="A2582" s="4" t="s">
        <v>3614</v>
      </c>
      <c r="B2582" s="4" t="s">
        <v>7286</v>
      </c>
      <c r="C2582" s="4" t="s">
        <v>2797</v>
      </c>
      <c r="D2582" s="4" t="s">
        <v>3610</v>
      </c>
      <c r="E2582" s="4" t="s">
        <v>3611</v>
      </c>
      <c r="F2582" s="5">
        <v>14</v>
      </c>
      <c r="G2582" s="5">
        <v>21.3</v>
      </c>
      <c r="H2582" s="4" t="s">
        <v>1104</v>
      </c>
      <c r="I2582" s="10">
        <v>69</v>
      </c>
      <c r="J2582" s="34">
        <f t="shared" si="160"/>
        <v>0.60029999999999994</v>
      </c>
      <c r="K2582" s="34">
        <f t="shared" si="161"/>
        <v>0.9</v>
      </c>
      <c r="L2582" s="34">
        <f t="shared" si="162"/>
        <v>3.6</v>
      </c>
      <c r="M2582" s="11" t="s">
        <v>5245</v>
      </c>
      <c r="N2582" s="11" t="s">
        <v>5230</v>
      </c>
      <c r="O2582" s="11" t="s">
        <v>5231</v>
      </c>
      <c r="P2582" s="11" t="s">
        <v>5232</v>
      </c>
      <c r="Q2582" s="12">
        <v>14</v>
      </c>
      <c r="R2582" s="12">
        <v>21.5</v>
      </c>
      <c r="S2582" s="12">
        <v>3.2</v>
      </c>
      <c r="T2582" s="13">
        <v>7.06</v>
      </c>
      <c r="U2582" s="13">
        <f t="shared" si="163"/>
        <v>3.4599999999999995</v>
      </c>
      <c r="V2582" s="14">
        <v>864.85</v>
      </c>
      <c r="W2582" s="14">
        <v>864.85</v>
      </c>
      <c r="X2582" s="11">
        <v>183</v>
      </c>
      <c r="Y2582" s="15" t="s">
        <v>3713</v>
      </c>
      <c r="Z2582" s="16">
        <v>795.85</v>
      </c>
      <c r="AA2582" s="17">
        <v>1153.4000000000001</v>
      </c>
      <c r="AB2582" s="18" t="s">
        <v>3793</v>
      </c>
    </row>
    <row r="2583" spans="1:28" x14ac:dyDescent="0.45">
      <c r="A2583" s="2" t="s">
        <v>3615</v>
      </c>
      <c r="B2583" s="2" t="s">
        <v>7287</v>
      </c>
      <c r="C2583" s="2" t="s">
        <v>2797</v>
      </c>
      <c r="D2583" s="2" t="s">
        <v>3610</v>
      </c>
      <c r="E2583" s="2" t="s">
        <v>3611</v>
      </c>
      <c r="F2583" s="3">
        <v>16</v>
      </c>
      <c r="G2583" s="3">
        <v>23.3</v>
      </c>
      <c r="H2583" s="2" t="s">
        <v>1104</v>
      </c>
      <c r="I2583" s="19">
        <v>69</v>
      </c>
      <c r="J2583" s="34">
        <f t="shared" si="160"/>
        <v>0.60029999999999994</v>
      </c>
      <c r="K2583" s="34">
        <f t="shared" si="161"/>
        <v>0.9</v>
      </c>
      <c r="L2583" s="34">
        <f t="shared" si="162"/>
        <v>3.6</v>
      </c>
      <c r="M2583" s="20" t="s">
        <v>5247</v>
      </c>
      <c r="N2583" s="20" t="s">
        <v>5230</v>
      </c>
      <c r="O2583" s="20" t="s">
        <v>5231</v>
      </c>
      <c r="P2583" s="20" t="s">
        <v>5232</v>
      </c>
      <c r="Q2583" s="21">
        <v>16</v>
      </c>
      <c r="R2583" s="21">
        <v>23.5</v>
      </c>
      <c r="S2583" s="21">
        <v>3.2</v>
      </c>
      <c r="T2583" s="22">
        <v>3.12</v>
      </c>
      <c r="U2583" s="13">
        <f t="shared" si="163"/>
        <v>-0.48</v>
      </c>
      <c r="V2583" s="23">
        <v>382.2</v>
      </c>
      <c r="W2583" s="23">
        <v>382.2</v>
      </c>
      <c r="X2583" s="20" t="s">
        <v>3722</v>
      </c>
      <c r="Y2583" s="24" t="s">
        <v>3713</v>
      </c>
      <c r="Z2583" s="16">
        <v>313.2</v>
      </c>
      <c r="AA2583" s="17">
        <v>453.9</v>
      </c>
      <c r="AB2583" s="25" t="s">
        <v>3793</v>
      </c>
    </row>
    <row r="2584" spans="1:28" x14ac:dyDescent="0.45">
      <c r="A2584" s="4" t="s">
        <v>3616</v>
      </c>
      <c r="B2584" s="4" t="s">
        <v>7288</v>
      </c>
      <c r="C2584" s="4" t="s">
        <v>2797</v>
      </c>
      <c r="D2584" s="4" t="s">
        <v>3610</v>
      </c>
      <c r="E2584" s="4" t="s">
        <v>3611</v>
      </c>
      <c r="F2584" s="5">
        <v>18</v>
      </c>
      <c r="G2584" s="5">
        <v>25.3</v>
      </c>
      <c r="H2584" s="4" t="s">
        <v>1104</v>
      </c>
      <c r="I2584" s="10">
        <v>76</v>
      </c>
      <c r="J2584" s="34">
        <f t="shared" si="160"/>
        <v>0.66120000000000001</v>
      </c>
      <c r="K2584" s="34">
        <f t="shared" si="161"/>
        <v>0.99</v>
      </c>
      <c r="L2584" s="34">
        <f t="shared" si="162"/>
        <v>3.96</v>
      </c>
      <c r="M2584" s="11" t="s">
        <v>5249</v>
      </c>
      <c r="N2584" s="11" t="s">
        <v>5250</v>
      </c>
      <c r="O2584" s="11" t="s">
        <v>5251</v>
      </c>
      <c r="P2584" s="11" t="s">
        <v>5252</v>
      </c>
      <c r="Q2584" s="12">
        <v>18</v>
      </c>
      <c r="R2584" s="12">
        <v>25.5</v>
      </c>
      <c r="S2584" s="12">
        <v>2.8</v>
      </c>
      <c r="T2584" s="13">
        <v>8.36</v>
      </c>
      <c r="U2584" s="13">
        <f t="shared" si="163"/>
        <v>4.3999999999999995</v>
      </c>
      <c r="V2584" s="14">
        <v>1024.0999999999999</v>
      </c>
      <c r="W2584" s="14">
        <v>1024.0999999999999</v>
      </c>
      <c r="X2584" s="11">
        <v>42</v>
      </c>
      <c r="Y2584" s="15" t="s">
        <v>3713</v>
      </c>
      <c r="Z2584" s="16">
        <v>948.09999999999991</v>
      </c>
      <c r="AA2584" s="17">
        <v>1247.5</v>
      </c>
      <c r="AB2584" s="18" t="s">
        <v>3793</v>
      </c>
    </row>
    <row r="2585" spans="1:28" x14ac:dyDescent="0.45">
      <c r="A2585" s="2" t="s">
        <v>3617</v>
      </c>
      <c r="B2585" s="2" t="s">
        <v>7289</v>
      </c>
      <c r="C2585" s="2" t="s">
        <v>2797</v>
      </c>
      <c r="D2585" s="2" t="s">
        <v>3610</v>
      </c>
      <c r="E2585" s="2" t="s">
        <v>3611</v>
      </c>
      <c r="F2585" s="3">
        <v>20</v>
      </c>
      <c r="G2585" s="3">
        <v>24.9</v>
      </c>
      <c r="H2585" s="2" t="s">
        <v>2770</v>
      </c>
      <c r="I2585" s="19">
        <v>69</v>
      </c>
      <c r="J2585" s="34">
        <f t="shared" si="160"/>
        <v>0.60029999999999994</v>
      </c>
      <c r="K2585" s="34">
        <f t="shared" si="161"/>
        <v>0.9</v>
      </c>
      <c r="L2585" s="34">
        <f t="shared" si="162"/>
        <v>3.6</v>
      </c>
      <c r="M2585" s="20" t="s">
        <v>5550</v>
      </c>
      <c r="N2585" s="20" t="s">
        <v>5254</v>
      </c>
      <c r="O2585" s="20" t="s">
        <v>5251</v>
      </c>
      <c r="P2585" s="20" t="s">
        <v>5255</v>
      </c>
      <c r="Q2585" s="21">
        <v>20</v>
      </c>
      <c r="R2585" s="21">
        <v>25</v>
      </c>
      <c r="S2585" s="21">
        <v>3.2</v>
      </c>
      <c r="T2585" s="22">
        <v>12.81</v>
      </c>
      <c r="U2585" s="13">
        <f t="shared" si="163"/>
        <v>9.2100000000000009</v>
      </c>
      <c r="V2585" s="23">
        <v>1569.22</v>
      </c>
      <c r="W2585" s="23">
        <v>1569.22</v>
      </c>
      <c r="X2585" s="20">
        <v>109</v>
      </c>
      <c r="Y2585" s="24" t="s">
        <v>3713</v>
      </c>
      <c r="Z2585" s="16">
        <v>1500.22</v>
      </c>
      <c r="AA2585" s="17">
        <v>2174.1999999999998</v>
      </c>
      <c r="AB2585" s="25" t="s">
        <v>5276</v>
      </c>
    </row>
    <row r="2586" spans="1:28" x14ac:dyDescent="0.45">
      <c r="A2586" s="4" t="s">
        <v>3618</v>
      </c>
      <c r="B2586" s="4" t="s">
        <v>7290</v>
      </c>
      <c r="C2586" s="4" t="s">
        <v>2797</v>
      </c>
      <c r="D2586" s="4" t="s">
        <v>3610</v>
      </c>
      <c r="E2586" s="4" t="s">
        <v>3611</v>
      </c>
      <c r="F2586" s="5">
        <v>20</v>
      </c>
      <c r="G2586" s="5">
        <v>30.7</v>
      </c>
      <c r="H2586" s="4" t="s">
        <v>2771</v>
      </c>
      <c r="I2586" s="10">
        <v>84</v>
      </c>
      <c r="J2586" s="34">
        <f t="shared" si="160"/>
        <v>0.73079999999999989</v>
      </c>
      <c r="K2586" s="34">
        <f t="shared" si="161"/>
        <v>1.1000000000000001</v>
      </c>
      <c r="L2586" s="34">
        <f t="shared" si="162"/>
        <v>4.4000000000000004</v>
      </c>
      <c r="M2586" s="11" t="s">
        <v>5258</v>
      </c>
      <c r="N2586" s="11" t="s">
        <v>5250</v>
      </c>
      <c r="O2586" s="11" t="s">
        <v>5251</v>
      </c>
      <c r="P2586" s="11" t="s">
        <v>5252</v>
      </c>
      <c r="Q2586" s="12">
        <v>20</v>
      </c>
      <c r="R2586" s="12">
        <v>31</v>
      </c>
      <c r="S2586" s="12">
        <v>3.9</v>
      </c>
      <c r="T2586" s="13">
        <v>8.48</v>
      </c>
      <c r="U2586" s="13">
        <f t="shared" si="163"/>
        <v>4.08</v>
      </c>
      <c r="V2586" s="14">
        <v>1038.8</v>
      </c>
      <c r="W2586" s="14">
        <v>1038.8</v>
      </c>
      <c r="X2586" s="11">
        <v>100</v>
      </c>
      <c r="Y2586" s="15" t="s">
        <v>3713</v>
      </c>
      <c r="Z2586" s="16">
        <v>954.8</v>
      </c>
      <c r="AA2586" s="17">
        <v>1136.7</v>
      </c>
      <c r="AB2586" s="18" t="s">
        <v>5259</v>
      </c>
    </row>
    <row r="2587" spans="1:28" x14ac:dyDescent="0.45">
      <c r="A2587" s="2" t="s">
        <v>3619</v>
      </c>
      <c r="B2587" s="2" t="s">
        <v>7291</v>
      </c>
      <c r="C2587" s="2" t="s">
        <v>2797</v>
      </c>
      <c r="D2587" s="2" t="s">
        <v>3610</v>
      </c>
      <c r="E2587" s="2" t="s">
        <v>3611</v>
      </c>
      <c r="F2587" s="3">
        <v>22</v>
      </c>
      <c r="G2587" s="3">
        <v>26.9</v>
      </c>
      <c r="H2587" s="2" t="s">
        <v>2770</v>
      </c>
      <c r="I2587" s="19">
        <v>69</v>
      </c>
      <c r="J2587" s="34">
        <f t="shared" si="160"/>
        <v>0.60029999999999994</v>
      </c>
      <c r="K2587" s="34">
        <f t="shared" si="161"/>
        <v>0.9</v>
      </c>
      <c r="L2587" s="34">
        <f t="shared" si="162"/>
        <v>3.6</v>
      </c>
      <c r="M2587" s="20" t="s">
        <v>5551</v>
      </c>
      <c r="N2587" s="20" t="s">
        <v>5541</v>
      </c>
      <c r="O2587" s="20" t="s">
        <v>5251</v>
      </c>
      <c r="P2587" s="20" t="s">
        <v>5542</v>
      </c>
      <c r="Q2587" s="21">
        <v>22</v>
      </c>
      <c r="R2587" s="21">
        <v>28</v>
      </c>
      <c r="S2587" s="21">
        <v>4.5</v>
      </c>
      <c r="T2587" s="22">
        <v>4.83</v>
      </c>
      <c r="U2587" s="13">
        <f t="shared" si="163"/>
        <v>1.23</v>
      </c>
      <c r="V2587" s="23">
        <v>591.66999999999996</v>
      </c>
      <c r="W2587" s="23">
        <v>591.66999999999996</v>
      </c>
      <c r="X2587" s="20">
        <v>49</v>
      </c>
      <c r="Y2587" s="24" t="s">
        <v>3713</v>
      </c>
      <c r="Z2587" s="16">
        <v>522.66999999999996</v>
      </c>
      <c r="AA2587" s="17">
        <v>757.5</v>
      </c>
      <c r="AB2587" s="25" t="s">
        <v>5330</v>
      </c>
    </row>
    <row r="2588" spans="1:28" x14ac:dyDescent="0.45">
      <c r="A2588" s="4" t="s">
        <v>3620</v>
      </c>
      <c r="B2588" s="4" t="s">
        <v>7292</v>
      </c>
      <c r="C2588" s="4" t="s">
        <v>2797</v>
      </c>
      <c r="D2588" s="4" t="s">
        <v>3610</v>
      </c>
      <c r="E2588" s="4" t="s">
        <v>3611</v>
      </c>
      <c r="F2588" s="5">
        <v>22</v>
      </c>
      <c r="G2588" s="5">
        <v>32.700000000000003</v>
      </c>
      <c r="H2588" s="4" t="s">
        <v>2771</v>
      </c>
      <c r="I2588" s="10">
        <v>91</v>
      </c>
      <c r="J2588" s="34">
        <f t="shared" si="160"/>
        <v>0.79169999999999996</v>
      </c>
      <c r="K2588" s="34">
        <f t="shared" si="161"/>
        <v>1.19</v>
      </c>
      <c r="L2588" s="34">
        <f t="shared" si="162"/>
        <v>4.76</v>
      </c>
      <c r="M2588" s="11" t="s">
        <v>5261</v>
      </c>
      <c r="N2588" s="11" t="s">
        <v>5250</v>
      </c>
      <c r="O2588" s="11" t="s">
        <v>5251</v>
      </c>
      <c r="P2588" s="11" t="s">
        <v>5252</v>
      </c>
      <c r="Q2588" s="12">
        <v>22</v>
      </c>
      <c r="R2588" s="12">
        <v>33</v>
      </c>
      <c r="S2588" s="12">
        <v>3.9</v>
      </c>
      <c r="T2588" s="13">
        <v>8.7100000000000009</v>
      </c>
      <c r="U2588" s="13">
        <f t="shared" si="163"/>
        <v>3.9500000000000011</v>
      </c>
      <c r="V2588" s="14">
        <v>1066.98</v>
      </c>
      <c r="W2588" s="14">
        <v>1066.98</v>
      </c>
      <c r="X2588" s="11">
        <v>36</v>
      </c>
      <c r="Y2588" s="15" t="s">
        <v>3713</v>
      </c>
      <c r="Z2588" s="16">
        <v>975.98</v>
      </c>
      <c r="AA2588" s="17">
        <v>1072.5</v>
      </c>
      <c r="AB2588" s="18" t="s">
        <v>5259</v>
      </c>
    </row>
    <row r="2589" spans="1:28" x14ac:dyDescent="0.45">
      <c r="A2589" s="2" t="s">
        <v>3621</v>
      </c>
      <c r="B2589" s="2" t="s">
        <v>7293</v>
      </c>
      <c r="C2589" s="2" t="s">
        <v>2797</v>
      </c>
      <c r="D2589" s="2" t="s">
        <v>3610</v>
      </c>
      <c r="E2589" s="2" t="s">
        <v>3611</v>
      </c>
      <c r="F2589" s="3">
        <v>25</v>
      </c>
      <c r="G2589" s="3">
        <v>35.700000000000003</v>
      </c>
      <c r="H2589" s="2" t="s">
        <v>2771</v>
      </c>
      <c r="I2589" s="19">
        <v>99</v>
      </c>
      <c r="J2589" s="34">
        <f t="shared" si="160"/>
        <v>0.86129999999999995</v>
      </c>
      <c r="K2589" s="34">
        <f t="shared" si="161"/>
        <v>1.29</v>
      </c>
      <c r="L2589" s="34">
        <f t="shared" si="162"/>
        <v>5.16</v>
      </c>
      <c r="M2589" s="20" t="s">
        <v>5263</v>
      </c>
      <c r="N2589" s="20" t="s">
        <v>5250</v>
      </c>
      <c r="O2589" s="20" t="s">
        <v>5251</v>
      </c>
      <c r="P2589" s="20" t="s">
        <v>5252</v>
      </c>
      <c r="Q2589" s="21">
        <v>25</v>
      </c>
      <c r="R2589" s="21">
        <v>36</v>
      </c>
      <c r="S2589" s="21">
        <v>3.9</v>
      </c>
      <c r="T2589" s="22">
        <v>12.26</v>
      </c>
      <c r="U2589" s="13">
        <f t="shared" si="163"/>
        <v>7.1</v>
      </c>
      <c r="V2589" s="23">
        <v>1501.85</v>
      </c>
      <c r="W2589" s="23">
        <v>1501.85</v>
      </c>
      <c r="X2589" s="20">
        <v>9</v>
      </c>
      <c r="Y2589" s="24" t="s">
        <v>3713</v>
      </c>
      <c r="Z2589" s="16">
        <v>1402.85</v>
      </c>
      <c r="AA2589" s="17">
        <v>1417</v>
      </c>
      <c r="AB2589" s="25" t="s">
        <v>5259</v>
      </c>
    </row>
    <row r="2590" spans="1:28" x14ac:dyDescent="0.45">
      <c r="A2590" s="4" t="s">
        <v>3622</v>
      </c>
      <c r="B2590" s="4" t="s">
        <v>7294</v>
      </c>
      <c r="C2590" s="4" t="s">
        <v>2797</v>
      </c>
      <c r="D2590" s="4" t="s">
        <v>3610</v>
      </c>
      <c r="E2590" s="4" t="s">
        <v>3611</v>
      </c>
      <c r="F2590" s="5">
        <v>28</v>
      </c>
      <c r="G2590" s="5">
        <v>38.700000000000003</v>
      </c>
      <c r="H2590" s="4" t="s">
        <v>2771</v>
      </c>
      <c r="I2590" s="10">
        <v>99</v>
      </c>
      <c r="J2590" s="34">
        <f t="shared" si="160"/>
        <v>0.86129999999999995</v>
      </c>
      <c r="K2590" s="34">
        <f t="shared" si="161"/>
        <v>1.29</v>
      </c>
      <c r="L2590" s="34">
        <f t="shared" si="162"/>
        <v>5.16</v>
      </c>
      <c r="M2590" s="11" t="s">
        <v>5265</v>
      </c>
      <c r="N2590" s="11" t="s">
        <v>5250</v>
      </c>
      <c r="O2590" s="11" t="s">
        <v>5251</v>
      </c>
      <c r="P2590" s="11" t="s">
        <v>5252</v>
      </c>
      <c r="Q2590" s="12">
        <v>28</v>
      </c>
      <c r="R2590" s="12">
        <v>39</v>
      </c>
      <c r="S2590" s="12">
        <v>3.9</v>
      </c>
      <c r="T2590" s="13">
        <v>10.19</v>
      </c>
      <c r="U2590" s="13">
        <f t="shared" si="163"/>
        <v>5.0299999999999994</v>
      </c>
      <c r="V2590" s="14">
        <v>1248.27</v>
      </c>
      <c r="W2590" s="14">
        <v>1248.27</v>
      </c>
      <c r="X2590" s="11">
        <v>45</v>
      </c>
      <c r="Y2590" s="15" t="s">
        <v>3713</v>
      </c>
      <c r="Z2590" s="16">
        <v>1149.27</v>
      </c>
      <c r="AA2590" s="17">
        <v>1160.9000000000001</v>
      </c>
      <c r="AB2590" s="18" t="s">
        <v>5259</v>
      </c>
    </row>
    <row r="2591" spans="1:28" x14ac:dyDescent="0.45">
      <c r="A2591" s="2" t="s">
        <v>3623</v>
      </c>
      <c r="B2591" s="2" t="s">
        <v>7295</v>
      </c>
      <c r="C2591" s="2" t="s">
        <v>2797</v>
      </c>
      <c r="D2591" s="2" t="s">
        <v>3610</v>
      </c>
      <c r="E2591" s="2" t="s">
        <v>3611</v>
      </c>
      <c r="F2591" s="3">
        <v>30</v>
      </c>
      <c r="G2591" s="3">
        <v>40.700000000000003</v>
      </c>
      <c r="H2591" s="2" t="s">
        <v>2771</v>
      </c>
      <c r="I2591" s="19">
        <v>99</v>
      </c>
      <c r="J2591" s="34">
        <f t="shared" si="160"/>
        <v>0.86129999999999995</v>
      </c>
      <c r="K2591" s="34">
        <f t="shared" si="161"/>
        <v>1.29</v>
      </c>
      <c r="L2591" s="34">
        <f t="shared" si="162"/>
        <v>5.16</v>
      </c>
      <c r="M2591" s="20" t="s">
        <v>5266</v>
      </c>
      <c r="N2591" s="20" t="s">
        <v>5250</v>
      </c>
      <c r="O2591" s="20" t="s">
        <v>5251</v>
      </c>
      <c r="P2591" s="20" t="s">
        <v>5252</v>
      </c>
      <c r="Q2591" s="21">
        <v>30</v>
      </c>
      <c r="R2591" s="21">
        <v>41</v>
      </c>
      <c r="S2591" s="21">
        <v>3.9</v>
      </c>
      <c r="T2591" s="22">
        <v>10.43</v>
      </c>
      <c r="U2591" s="13">
        <f t="shared" si="163"/>
        <v>5.27</v>
      </c>
      <c r="V2591" s="23">
        <v>1277.68</v>
      </c>
      <c r="W2591" s="23">
        <v>1277.68</v>
      </c>
      <c r="X2591" s="20">
        <v>41</v>
      </c>
      <c r="Y2591" s="24" t="s">
        <v>3713</v>
      </c>
      <c r="Z2591" s="16">
        <v>1178.68</v>
      </c>
      <c r="AA2591" s="17">
        <v>1190.5999999999999</v>
      </c>
      <c r="AB2591" s="25" t="s">
        <v>5259</v>
      </c>
    </row>
    <row r="2592" spans="1:28" x14ac:dyDescent="0.45">
      <c r="A2592" s="4" t="s">
        <v>3624</v>
      </c>
      <c r="B2592" s="4" t="s">
        <v>7296</v>
      </c>
      <c r="C2592" s="4" t="s">
        <v>2797</v>
      </c>
      <c r="D2592" s="4" t="s">
        <v>3610</v>
      </c>
      <c r="E2592" s="4" t="s">
        <v>3611</v>
      </c>
      <c r="F2592" s="5">
        <v>32</v>
      </c>
      <c r="G2592" s="5">
        <v>42.7</v>
      </c>
      <c r="H2592" s="4" t="s">
        <v>2771</v>
      </c>
      <c r="I2592" s="10">
        <v>106</v>
      </c>
      <c r="J2592" s="34">
        <f t="shared" si="160"/>
        <v>0.92219999999999991</v>
      </c>
      <c r="K2592" s="34">
        <f t="shared" si="161"/>
        <v>1.38</v>
      </c>
      <c r="L2592" s="34">
        <f t="shared" si="162"/>
        <v>5.52</v>
      </c>
      <c r="M2592" s="11" t="s">
        <v>5268</v>
      </c>
      <c r="N2592" s="11" t="s">
        <v>5269</v>
      </c>
      <c r="O2592" s="11" t="s">
        <v>5270</v>
      </c>
      <c r="P2592" s="11" t="s">
        <v>5271</v>
      </c>
      <c r="Q2592" s="12">
        <v>32</v>
      </c>
      <c r="R2592" s="12">
        <v>42.5</v>
      </c>
      <c r="S2592" s="12">
        <v>8</v>
      </c>
      <c r="T2592" s="13">
        <v>4.3499999999999996</v>
      </c>
      <c r="U2592" s="13">
        <f t="shared" si="163"/>
        <v>-1.17</v>
      </c>
      <c r="V2592" s="14">
        <v>532.88</v>
      </c>
      <c r="W2592" s="14">
        <v>532.88</v>
      </c>
      <c r="X2592" s="11" t="s">
        <v>3722</v>
      </c>
      <c r="Y2592" s="15" t="s">
        <v>3713</v>
      </c>
      <c r="Z2592" s="16">
        <v>426.88</v>
      </c>
      <c r="AA2592" s="17">
        <v>402.7</v>
      </c>
      <c r="AB2592" s="18" t="s">
        <v>3793</v>
      </c>
    </row>
    <row r="2593" spans="1:28" x14ac:dyDescent="0.45">
      <c r="A2593" s="2" t="s">
        <v>3625</v>
      </c>
      <c r="B2593" s="2" t="s">
        <v>7297</v>
      </c>
      <c r="C2593" s="2" t="s">
        <v>2797</v>
      </c>
      <c r="D2593" s="2" t="s">
        <v>3610</v>
      </c>
      <c r="E2593" s="2" t="s">
        <v>3611</v>
      </c>
      <c r="F2593" s="3">
        <v>36</v>
      </c>
      <c r="G2593" s="3">
        <v>46.7</v>
      </c>
      <c r="H2593" s="2" t="s">
        <v>2771</v>
      </c>
      <c r="I2593" s="19">
        <v>106</v>
      </c>
      <c r="J2593" s="34">
        <f t="shared" si="160"/>
        <v>0.92219999999999991</v>
      </c>
      <c r="K2593" s="34">
        <f t="shared" si="161"/>
        <v>1.38</v>
      </c>
      <c r="L2593" s="34">
        <f t="shared" si="162"/>
        <v>5.52</v>
      </c>
      <c r="M2593" s="20" t="s">
        <v>5278</v>
      </c>
      <c r="N2593" s="20" t="s">
        <v>5250</v>
      </c>
      <c r="O2593" s="20" t="s">
        <v>5251</v>
      </c>
      <c r="P2593" s="20" t="s">
        <v>5252</v>
      </c>
      <c r="Q2593" s="21">
        <v>36</v>
      </c>
      <c r="R2593" s="21">
        <v>47</v>
      </c>
      <c r="S2593" s="21">
        <v>3.9</v>
      </c>
      <c r="T2593" s="22">
        <v>10.89</v>
      </c>
      <c r="U2593" s="13">
        <f t="shared" si="163"/>
        <v>5.370000000000001</v>
      </c>
      <c r="V2593" s="23">
        <v>1334.02</v>
      </c>
      <c r="W2593" s="23">
        <v>1334.02</v>
      </c>
      <c r="X2593" s="20">
        <v>85</v>
      </c>
      <c r="Y2593" s="24" t="s">
        <v>3713</v>
      </c>
      <c r="Z2593" s="16">
        <v>1228.02</v>
      </c>
      <c r="AA2593" s="17">
        <v>1158.5</v>
      </c>
      <c r="AB2593" s="25" t="s">
        <v>5259</v>
      </c>
    </row>
    <row r="2594" spans="1:28" x14ac:dyDescent="0.45">
      <c r="A2594" s="4" t="s">
        <v>3626</v>
      </c>
      <c r="B2594" s="4" t="s">
        <v>7298</v>
      </c>
      <c r="C2594" s="4" t="s">
        <v>2797</v>
      </c>
      <c r="D2594" s="4" t="s">
        <v>3610</v>
      </c>
      <c r="E2594" s="4" t="s">
        <v>3611</v>
      </c>
      <c r="F2594" s="5">
        <v>40</v>
      </c>
      <c r="G2594" s="5">
        <v>50.7</v>
      </c>
      <c r="H2594" s="4" t="s">
        <v>2771</v>
      </c>
      <c r="I2594" s="10">
        <v>114</v>
      </c>
      <c r="J2594" s="34">
        <f t="shared" si="160"/>
        <v>0.9917999999999999</v>
      </c>
      <c r="K2594" s="34">
        <f t="shared" si="161"/>
        <v>1.49</v>
      </c>
      <c r="L2594" s="34">
        <f t="shared" si="162"/>
        <v>5.96</v>
      </c>
      <c r="M2594" s="11" t="s">
        <v>5284</v>
      </c>
      <c r="N2594" s="11" t="s">
        <v>5285</v>
      </c>
      <c r="O2594" s="11" t="s">
        <v>5270</v>
      </c>
      <c r="P2594" s="11" t="s">
        <v>5286</v>
      </c>
      <c r="Q2594" s="12">
        <v>40</v>
      </c>
      <c r="R2594" s="12">
        <v>50.7</v>
      </c>
      <c r="S2594" s="12">
        <v>3.9</v>
      </c>
      <c r="T2594" s="13">
        <v>54.33</v>
      </c>
      <c r="U2594" s="13">
        <f t="shared" si="163"/>
        <v>48.37</v>
      </c>
      <c r="V2594" s="14">
        <v>6655.42</v>
      </c>
      <c r="W2594" s="14">
        <v>6655.42</v>
      </c>
      <c r="X2594" s="11">
        <v>10</v>
      </c>
      <c r="Y2594" s="15" t="s">
        <v>3713</v>
      </c>
      <c r="Z2594" s="16">
        <v>6541.42</v>
      </c>
      <c r="AA2594" s="17">
        <v>5738.1</v>
      </c>
      <c r="AB2594" s="18" t="s">
        <v>3714</v>
      </c>
    </row>
    <row r="2595" spans="1:28" x14ac:dyDescent="0.45">
      <c r="A2595" s="2" t="s">
        <v>3627</v>
      </c>
      <c r="B2595" s="2" t="s">
        <v>7299</v>
      </c>
      <c r="C2595" s="2" t="s">
        <v>2797</v>
      </c>
      <c r="D2595" s="2" t="s">
        <v>3610</v>
      </c>
      <c r="E2595" s="2" t="s">
        <v>3611</v>
      </c>
      <c r="F2595" s="3">
        <v>40</v>
      </c>
      <c r="G2595" s="3">
        <v>55.1</v>
      </c>
      <c r="H2595" s="2" t="s">
        <v>851</v>
      </c>
      <c r="I2595" s="19">
        <v>145</v>
      </c>
      <c r="J2595" s="34">
        <f t="shared" si="160"/>
        <v>1.2614999999999998</v>
      </c>
      <c r="K2595" s="34">
        <f t="shared" si="161"/>
        <v>1.89</v>
      </c>
      <c r="L2595" s="34">
        <f t="shared" si="162"/>
        <v>7.56</v>
      </c>
      <c r="M2595" s="20" t="s">
        <v>5287</v>
      </c>
      <c r="N2595" s="20" t="s">
        <v>5285</v>
      </c>
      <c r="O2595" s="20" t="s">
        <v>5270</v>
      </c>
      <c r="P2595" s="20" t="s">
        <v>5286</v>
      </c>
      <c r="Q2595" s="21">
        <v>40</v>
      </c>
      <c r="R2595" s="21">
        <v>55.1</v>
      </c>
      <c r="S2595" s="21">
        <v>5.9</v>
      </c>
      <c r="T2595" s="22">
        <v>36.700000000000003</v>
      </c>
      <c r="U2595" s="13">
        <f t="shared" si="163"/>
        <v>29.140000000000004</v>
      </c>
      <c r="V2595" s="23">
        <v>4495.75</v>
      </c>
      <c r="W2595" s="23">
        <v>4495.75</v>
      </c>
      <c r="X2595" s="20" t="s">
        <v>3722</v>
      </c>
      <c r="Y2595" s="24" t="s">
        <v>3713</v>
      </c>
      <c r="Z2595" s="16">
        <v>4350.75</v>
      </c>
      <c r="AA2595" s="17">
        <v>3000.5</v>
      </c>
      <c r="AB2595" s="25" t="s">
        <v>3714</v>
      </c>
    </row>
    <row r="2596" spans="1:28" x14ac:dyDescent="0.45">
      <c r="A2596" s="4" t="s">
        <v>3628</v>
      </c>
      <c r="B2596" s="4" t="s">
        <v>7300</v>
      </c>
      <c r="C2596" s="4" t="s">
        <v>2797</v>
      </c>
      <c r="D2596" s="4" t="s">
        <v>3610</v>
      </c>
      <c r="E2596" s="4" t="s">
        <v>3611</v>
      </c>
      <c r="F2596" s="5">
        <v>45</v>
      </c>
      <c r="G2596" s="5">
        <v>60.1</v>
      </c>
      <c r="H2596" s="4" t="s">
        <v>851</v>
      </c>
      <c r="I2596" s="10">
        <v>167</v>
      </c>
      <c r="J2596" s="34">
        <f t="shared" si="160"/>
        <v>1.4528999999999999</v>
      </c>
      <c r="K2596" s="34">
        <f t="shared" si="161"/>
        <v>2.1800000000000002</v>
      </c>
      <c r="L2596" s="34">
        <f t="shared" si="162"/>
        <v>8.7200000000000006</v>
      </c>
      <c r="M2596" s="11" t="s">
        <v>5295</v>
      </c>
      <c r="N2596" s="11" t="s">
        <v>5254</v>
      </c>
      <c r="O2596" s="11" t="s">
        <v>5251</v>
      </c>
      <c r="P2596" s="11" t="s">
        <v>5255</v>
      </c>
      <c r="Q2596" s="12">
        <v>45</v>
      </c>
      <c r="R2596" s="12">
        <v>60</v>
      </c>
      <c r="S2596" s="12">
        <v>10</v>
      </c>
      <c r="T2596" s="13">
        <v>6.01</v>
      </c>
      <c r="U2596" s="13">
        <f t="shared" si="163"/>
        <v>-2.7100000000000009</v>
      </c>
      <c r="V2596" s="14">
        <v>736.22</v>
      </c>
      <c r="W2596" s="14">
        <v>736.22</v>
      </c>
      <c r="X2596" s="11">
        <v>254</v>
      </c>
      <c r="Y2596" s="15" t="s">
        <v>3713</v>
      </c>
      <c r="Z2596" s="16">
        <v>569.22</v>
      </c>
      <c r="AA2596" s="17">
        <v>340.9</v>
      </c>
      <c r="AB2596" s="18" t="s">
        <v>5276</v>
      </c>
    </row>
    <row r="2597" spans="1:28" x14ac:dyDescent="0.45">
      <c r="A2597" s="2" t="s">
        <v>3629</v>
      </c>
      <c r="B2597" s="2" t="s">
        <v>7301</v>
      </c>
      <c r="C2597" s="2" t="s">
        <v>2797</v>
      </c>
      <c r="D2597" s="2" t="s">
        <v>3610</v>
      </c>
      <c r="E2597" s="2" t="s">
        <v>3611</v>
      </c>
      <c r="F2597" s="3">
        <v>50</v>
      </c>
      <c r="G2597" s="3">
        <v>65.099999999999994</v>
      </c>
      <c r="H2597" s="2" t="s">
        <v>851</v>
      </c>
      <c r="I2597" s="19">
        <v>190</v>
      </c>
      <c r="J2597" s="34">
        <f t="shared" si="160"/>
        <v>1.6529999999999998</v>
      </c>
      <c r="K2597" s="34">
        <f t="shared" si="161"/>
        <v>2.48</v>
      </c>
      <c r="L2597" s="34">
        <f t="shared" si="162"/>
        <v>9.92</v>
      </c>
      <c r="M2597" s="20" t="s">
        <v>5300</v>
      </c>
      <c r="N2597" s="20" t="s">
        <v>5301</v>
      </c>
      <c r="O2597" s="20" t="s">
        <v>5251</v>
      </c>
      <c r="P2597" s="20" t="s">
        <v>5302</v>
      </c>
      <c r="Q2597" s="21">
        <v>50</v>
      </c>
      <c r="R2597" s="21">
        <v>65</v>
      </c>
      <c r="S2597" s="21">
        <v>10</v>
      </c>
      <c r="T2597" s="22">
        <v>32.5</v>
      </c>
      <c r="U2597" s="13">
        <f t="shared" si="163"/>
        <v>22.58</v>
      </c>
      <c r="V2597" s="23">
        <v>3981.25</v>
      </c>
      <c r="W2597" s="23">
        <v>3981.25</v>
      </c>
      <c r="X2597" s="20" t="s">
        <v>3722</v>
      </c>
      <c r="Y2597" s="24" t="s">
        <v>3713</v>
      </c>
      <c r="Z2597" s="16">
        <v>3791.25</v>
      </c>
      <c r="AA2597" s="17">
        <v>1995.4</v>
      </c>
      <c r="AB2597" s="25" t="s">
        <v>5276</v>
      </c>
    </row>
    <row r="2598" spans="1:28" x14ac:dyDescent="0.45">
      <c r="A2598" s="4" t="s">
        <v>3630</v>
      </c>
      <c r="B2598" s="4" t="s">
        <v>7302</v>
      </c>
      <c r="C2598" s="4" t="s">
        <v>2797</v>
      </c>
      <c r="D2598" s="4" t="s">
        <v>3610</v>
      </c>
      <c r="E2598" s="4" t="s">
        <v>3611</v>
      </c>
      <c r="F2598" s="5">
        <v>56</v>
      </c>
      <c r="G2598" s="5">
        <v>71.099999999999994</v>
      </c>
      <c r="H2598" s="4" t="s">
        <v>851</v>
      </c>
      <c r="I2598" s="10">
        <v>212</v>
      </c>
      <c r="J2598" s="34">
        <f t="shared" si="160"/>
        <v>1.8443999999999998</v>
      </c>
      <c r="K2598" s="34">
        <f t="shared" si="161"/>
        <v>2.77</v>
      </c>
      <c r="L2598" s="34">
        <f t="shared" si="162"/>
        <v>11.08</v>
      </c>
      <c r="M2598" s="11" t="s">
        <v>5306</v>
      </c>
      <c r="N2598" s="11" t="s">
        <v>5230</v>
      </c>
      <c r="O2598" s="11" t="s">
        <v>5231</v>
      </c>
      <c r="P2598" s="11" t="s">
        <v>5232</v>
      </c>
      <c r="Q2598" s="12">
        <v>56</v>
      </c>
      <c r="R2598" s="12">
        <v>71.099999999999994</v>
      </c>
      <c r="S2598" s="12">
        <v>6</v>
      </c>
      <c r="T2598" s="13">
        <v>35.06</v>
      </c>
      <c r="U2598" s="13">
        <f t="shared" si="163"/>
        <v>23.980000000000004</v>
      </c>
      <c r="V2598" s="14">
        <v>4294.8500000000004</v>
      </c>
      <c r="W2598" s="14">
        <v>4294.8500000000004</v>
      </c>
      <c r="X2598" s="11">
        <v>100</v>
      </c>
      <c r="Y2598" s="15" t="s">
        <v>3713</v>
      </c>
      <c r="Z2598" s="16">
        <v>4082.85</v>
      </c>
      <c r="AA2598" s="17">
        <v>1925.9</v>
      </c>
      <c r="AB2598" s="18" t="s">
        <v>3714</v>
      </c>
    </row>
    <row r="2599" spans="1:28" x14ac:dyDescent="0.45">
      <c r="A2599" s="2" t="s">
        <v>3631</v>
      </c>
      <c r="B2599" s="2" t="s">
        <v>7303</v>
      </c>
      <c r="C2599" s="2" t="s">
        <v>2797</v>
      </c>
      <c r="D2599" s="2" t="s">
        <v>3610</v>
      </c>
      <c r="E2599" s="2" t="s">
        <v>3611</v>
      </c>
      <c r="F2599" s="3">
        <v>60</v>
      </c>
      <c r="G2599" s="3">
        <v>75.099999999999994</v>
      </c>
      <c r="H2599" s="2" t="s">
        <v>851</v>
      </c>
      <c r="I2599" s="19">
        <v>236</v>
      </c>
      <c r="J2599" s="34">
        <f t="shared" si="160"/>
        <v>2.0531999999999999</v>
      </c>
      <c r="K2599" s="34">
        <f t="shared" si="161"/>
        <v>3.08</v>
      </c>
      <c r="L2599" s="34">
        <f t="shared" si="162"/>
        <v>12.32</v>
      </c>
      <c r="M2599" s="20" t="s">
        <v>5308</v>
      </c>
      <c r="N2599" s="20" t="s">
        <v>5230</v>
      </c>
      <c r="O2599" s="20" t="s">
        <v>5231</v>
      </c>
      <c r="P2599" s="20" t="s">
        <v>5232</v>
      </c>
      <c r="Q2599" s="21">
        <v>60</v>
      </c>
      <c r="R2599" s="21">
        <v>75.099999999999994</v>
      </c>
      <c r="S2599" s="21">
        <v>6.3</v>
      </c>
      <c r="T2599" s="22">
        <v>44.01</v>
      </c>
      <c r="U2599" s="13">
        <f t="shared" si="163"/>
        <v>31.689999999999998</v>
      </c>
      <c r="V2599" s="23">
        <v>5391.22</v>
      </c>
      <c r="W2599" s="23">
        <v>5391.22</v>
      </c>
      <c r="X2599" s="20">
        <v>13</v>
      </c>
      <c r="Y2599" s="24" t="s">
        <v>3713</v>
      </c>
      <c r="Z2599" s="16">
        <v>5155.22</v>
      </c>
      <c r="AA2599" s="17">
        <v>2184.4</v>
      </c>
      <c r="AB2599" s="25" t="s">
        <v>3714</v>
      </c>
    </row>
    <row r="2600" spans="1:28" x14ac:dyDescent="0.45">
      <c r="A2600" s="4" t="s">
        <v>3632</v>
      </c>
      <c r="B2600" s="4" t="s">
        <v>7304</v>
      </c>
      <c r="C2600" s="4" t="s">
        <v>2797</v>
      </c>
      <c r="D2600" s="4" t="s">
        <v>3610</v>
      </c>
      <c r="E2600" s="4" t="s">
        <v>3611</v>
      </c>
      <c r="F2600" s="5">
        <v>63</v>
      </c>
      <c r="G2600" s="5">
        <v>78.099999999999994</v>
      </c>
      <c r="H2600" s="4" t="s">
        <v>851</v>
      </c>
      <c r="I2600" s="10">
        <v>257</v>
      </c>
      <c r="J2600" s="34">
        <f t="shared" si="160"/>
        <v>2.2359</v>
      </c>
      <c r="K2600" s="34">
        <f t="shared" si="161"/>
        <v>3.35</v>
      </c>
      <c r="L2600" s="34">
        <f t="shared" si="162"/>
        <v>13.4</v>
      </c>
      <c r="M2600" s="11" t="s">
        <v>5312</v>
      </c>
      <c r="N2600" s="11" t="s">
        <v>5230</v>
      </c>
      <c r="O2600" s="11" t="s">
        <v>5231</v>
      </c>
      <c r="P2600" s="11" t="s">
        <v>5232</v>
      </c>
      <c r="Q2600" s="12">
        <v>63</v>
      </c>
      <c r="R2600" s="12">
        <v>78.099999999999994</v>
      </c>
      <c r="S2600" s="12">
        <v>6.3</v>
      </c>
      <c r="T2600" s="13">
        <v>28.87</v>
      </c>
      <c r="U2600" s="13">
        <f t="shared" si="163"/>
        <v>15.47</v>
      </c>
      <c r="V2600" s="14">
        <v>3536.58</v>
      </c>
      <c r="W2600" s="14">
        <v>3536.58</v>
      </c>
      <c r="X2600" s="11">
        <v>98</v>
      </c>
      <c r="Y2600" s="15" t="s">
        <v>3713</v>
      </c>
      <c r="Z2600" s="16">
        <v>3279.58</v>
      </c>
      <c r="AA2600" s="17">
        <v>1276.0999999999999</v>
      </c>
      <c r="AB2600" s="18" t="s">
        <v>3714</v>
      </c>
    </row>
    <row r="2601" spans="1:28" x14ac:dyDescent="0.45">
      <c r="A2601" s="2" t="s">
        <v>3633</v>
      </c>
      <c r="B2601" s="2" t="s">
        <v>7305</v>
      </c>
      <c r="C2601" s="2" t="s">
        <v>2797</v>
      </c>
      <c r="D2601" s="2" t="s">
        <v>3610</v>
      </c>
      <c r="E2601" s="2" t="s">
        <v>3611</v>
      </c>
      <c r="F2601" s="3">
        <v>70</v>
      </c>
      <c r="G2601" s="3">
        <v>85.1</v>
      </c>
      <c r="H2601" s="2" t="s">
        <v>851</v>
      </c>
      <c r="I2601" s="19">
        <v>303</v>
      </c>
      <c r="J2601" s="34">
        <f t="shared" si="160"/>
        <v>2.6360999999999999</v>
      </c>
      <c r="K2601" s="34">
        <f t="shared" si="161"/>
        <v>3.95</v>
      </c>
      <c r="L2601" s="34">
        <f t="shared" si="162"/>
        <v>15.8</v>
      </c>
      <c r="M2601" s="20" t="s">
        <v>5316</v>
      </c>
      <c r="N2601" s="20" t="s">
        <v>5254</v>
      </c>
      <c r="O2601" s="20" t="s">
        <v>5251</v>
      </c>
      <c r="P2601" s="20" t="s">
        <v>5255</v>
      </c>
      <c r="Q2601" s="21">
        <v>70</v>
      </c>
      <c r="R2601" s="21">
        <v>85</v>
      </c>
      <c r="S2601" s="21">
        <v>9</v>
      </c>
      <c r="T2601" s="22">
        <v>9.69</v>
      </c>
      <c r="U2601" s="13">
        <f t="shared" si="163"/>
        <v>-6.1100000000000012</v>
      </c>
      <c r="V2601" s="23">
        <v>1187.02</v>
      </c>
      <c r="W2601" s="23">
        <v>1187.02</v>
      </c>
      <c r="X2601" s="20">
        <v>122</v>
      </c>
      <c r="Y2601" s="24" t="s">
        <v>3713</v>
      </c>
      <c r="Z2601" s="16">
        <v>884.02</v>
      </c>
      <c r="AA2601" s="17">
        <v>291.8</v>
      </c>
      <c r="AB2601" s="25" t="s">
        <v>5276</v>
      </c>
    </row>
    <row r="2602" spans="1:28" x14ac:dyDescent="0.45">
      <c r="A2602" s="4" t="s">
        <v>3634</v>
      </c>
      <c r="B2602" s="4" t="s">
        <v>7306</v>
      </c>
      <c r="C2602" s="4" t="s">
        <v>2797</v>
      </c>
      <c r="D2602" s="4" t="s">
        <v>3610</v>
      </c>
      <c r="E2602" s="4" t="s">
        <v>3611</v>
      </c>
      <c r="F2602" s="5">
        <v>75</v>
      </c>
      <c r="G2602" s="5">
        <v>90.1</v>
      </c>
      <c r="H2602" s="4" t="s">
        <v>851</v>
      </c>
      <c r="I2602" s="10">
        <v>379</v>
      </c>
      <c r="J2602" s="34">
        <f t="shared" si="160"/>
        <v>3.2972999999999999</v>
      </c>
      <c r="K2602" s="34">
        <f t="shared" si="161"/>
        <v>4.95</v>
      </c>
      <c r="L2602" s="34">
        <f t="shared" si="162"/>
        <v>19.8</v>
      </c>
      <c r="M2602" s="11" t="s">
        <v>5318</v>
      </c>
      <c r="N2602" s="11" t="s">
        <v>5254</v>
      </c>
      <c r="O2602" s="11" t="s">
        <v>5251</v>
      </c>
      <c r="P2602" s="11" t="s">
        <v>5255</v>
      </c>
      <c r="Q2602" s="12">
        <v>75</v>
      </c>
      <c r="R2602" s="12">
        <v>90</v>
      </c>
      <c r="S2602" s="12">
        <v>9</v>
      </c>
      <c r="T2602" s="13">
        <v>11.57</v>
      </c>
      <c r="U2602" s="13">
        <f t="shared" si="163"/>
        <v>-8.23</v>
      </c>
      <c r="V2602" s="14">
        <v>1417.32</v>
      </c>
      <c r="W2602" s="14">
        <v>1417.32</v>
      </c>
      <c r="X2602" s="11">
        <v>467</v>
      </c>
      <c r="Y2602" s="15" t="s">
        <v>3713</v>
      </c>
      <c r="Z2602" s="16">
        <v>1038.32</v>
      </c>
      <c r="AA2602" s="17">
        <v>274</v>
      </c>
      <c r="AB2602" s="18" t="s">
        <v>5276</v>
      </c>
    </row>
    <row r="2603" spans="1:28" x14ac:dyDescent="0.45">
      <c r="A2603" s="2" t="s">
        <v>3635</v>
      </c>
      <c r="B2603" s="2" t="s">
        <v>7307</v>
      </c>
      <c r="C2603" s="2" t="s">
        <v>2797</v>
      </c>
      <c r="D2603" s="2" t="s">
        <v>3610</v>
      </c>
      <c r="E2603" s="2" t="s">
        <v>3611</v>
      </c>
      <c r="F2603" s="3">
        <v>90</v>
      </c>
      <c r="G2603" s="3">
        <v>105.1</v>
      </c>
      <c r="H2603" s="2" t="s">
        <v>851</v>
      </c>
      <c r="I2603" s="19">
        <v>454</v>
      </c>
      <c r="J2603" s="34">
        <f t="shared" si="160"/>
        <v>3.9497999999999998</v>
      </c>
      <c r="K2603" s="34">
        <f t="shared" si="161"/>
        <v>5.92</v>
      </c>
      <c r="L2603" s="34">
        <f t="shared" si="162"/>
        <v>23.68</v>
      </c>
      <c r="M2603" s="20" t="s">
        <v>5326</v>
      </c>
      <c r="N2603" s="20" t="s">
        <v>5254</v>
      </c>
      <c r="O2603" s="20" t="s">
        <v>5251</v>
      </c>
      <c r="P2603" s="20" t="s">
        <v>5255</v>
      </c>
      <c r="Q2603" s="21">
        <v>90</v>
      </c>
      <c r="R2603" s="21">
        <v>105</v>
      </c>
      <c r="S2603" s="21">
        <v>9</v>
      </c>
      <c r="T2603" s="22">
        <v>13.13</v>
      </c>
      <c r="U2603" s="13">
        <f t="shared" si="163"/>
        <v>-10.549999999999999</v>
      </c>
      <c r="V2603" s="23">
        <v>1608.43</v>
      </c>
      <c r="W2603" s="23">
        <v>1608.43</v>
      </c>
      <c r="X2603" s="20">
        <v>184</v>
      </c>
      <c r="Y2603" s="24" t="s">
        <v>3713</v>
      </c>
      <c r="Z2603" s="16">
        <v>1154.43</v>
      </c>
      <c r="AA2603" s="17">
        <v>254.3</v>
      </c>
      <c r="AB2603" s="25" t="s">
        <v>5276</v>
      </c>
    </row>
    <row r="2604" spans="1:28" x14ac:dyDescent="0.45">
      <c r="A2604" s="4" t="s">
        <v>3636</v>
      </c>
      <c r="B2604" s="4" t="s">
        <v>3637</v>
      </c>
      <c r="C2604" s="4" t="s">
        <v>2797</v>
      </c>
      <c r="D2604" s="4" t="s">
        <v>3610</v>
      </c>
      <c r="E2604" s="4" t="s">
        <v>256</v>
      </c>
      <c r="F2604" s="5">
        <v>35</v>
      </c>
      <c r="G2604" s="5">
        <v>45.7</v>
      </c>
      <c r="H2604" s="4" t="s">
        <v>3638</v>
      </c>
      <c r="I2604" s="10">
        <v>106</v>
      </c>
      <c r="J2604" s="34">
        <f t="shared" si="160"/>
        <v>0.92219999999999991</v>
      </c>
      <c r="K2604" s="34">
        <f t="shared" si="161"/>
        <v>1.38</v>
      </c>
      <c r="L2604" s="34">
        <f t="shared" si="162"/>
        <v>5.52</v>
      </c>
      <c r="M2604" s="11" t="s">
        <v>5272</v>
      </c>
      <c r="N2604" s="11"/>
      <c r="O2604" s="11" t="s">
        <v>5231</v>
      </c>
      <c r="P2604" s="11" t="s">
        <v>5242</v>
      </c>
      <c r="Q2604" s="12">
        <v>35</v>
      </c>
      <c r="R2604" s="12">
        <v>46</v>
      </c>
      <c r="S2604" s="12">
        <v>4.2</v>
      </c>
      <c r="T2604" s="13">
        <v>8.89</v>
      </c>
      <c r="U2604" s="13">
        <f t="shared" si="163"/>
        <v>3.370000000000001</v>
      </c>
      <c r="V2604" s="14">
        <v>1089.03</v>
      </c>
      <c r="W2604" s="14">
        <v>1089.03</v>
      </c>
      <c r="X2604" s="11">
        <v>79</v>
      </c>
      <c r="Y2604" s="15" t="s">
        <v>3713</v>
      </c>
      <c r="Z2604" s="16">
        <v>983.03</v>
      </c>
      <c r="AA2604" s="17">
        <v>927.4</v>
      </c>
      <c r="AB2604" s="18" t="s">
        <v>5259</v>
      </c>
    </row>
    <row r="2605" spans="1:28" x14ac:dyDescent="0.45">
      <c r="A2605" s="2" t="s">
        <v>3639</v>
      </c>
      <c r="B2605" s="2" t="s">
        <v>7308</v>
      </c>
      <c r="C2605" s="2" t="s">
        <v>2797</v>
      </c>
      <c r="D2605" s="2" t="s">
        <v>3640</v>
      </c>
      <c r="E2605" s="2" t="s">
        <v>256</v>
      </c>
      <c r="F2605" s="3">
        <v>28</v>
      </c>
      <c r="G2605" s="3">
        <v>36</v>
      </c>
      <c r="H2605" s="2" t="s">
        <v>3344</v>
      </c>
      <c r="I2605" s="19">
        <v>59</v>
      </c>
      <c r="J2605" s="34">
        <f t="shared" si="160"/>
        <v>0.51329999999999998</v>
      </c>
      <c r="K2605" s="34">
        <f t="shared" si="161"/>
        <v>0.77</v>
      </c>
      <c r="L2605" s="34">
        <f t="shared" si="162"/>
        <v>3.08</v>
      </c>
      <c r="M2605" s="20" t="s">
        <v>5540</v>
      </c>
      <c r="N2605" s="20" t="s">
        <v>5541</v>
      </c>
      <c r="O2605" s="20" t="s">
        <v>5251</v>
      </c>
      <c r="P2605" s="20" t="s">
        <v>5542</v>
      </c>
      <c r="Q2605" s="21">
        <v>28</v>
      </c>
      <c r="R2605" s="21">
        <v>36</v>
      </c>
      <c r="S2605" s="21">
        <v>5.3</v>
      </c>
      <c r="T2605" s="22">
        <v>9.0500000000000007</v>
      </c>
      <c r="U2605" s="13">
        <f t="shared" si="163"/>
        <v>5.9700000000000006</v>
      </c>
      <c r="V2605" s="23">
        <v>1108.6199999999999</v>
      </c>
      <c r="W2605" s="23">
        <v>1108.6199999999999</v>
      </c>
      <c r="X2605" s="20">
        <v>201</v>
      </c>
      <c r="Y2605" s="24" t="s">
        <v>3713</v>
      </c>
      <c r="Z2605" s="16">
        <v>1049.6199999999999</v>
      </c>
      <c r="AA2605" s="17">
        <v>1779</v>
      </c>
      <c r="AB2605" s="25" t="s">
        <v>3714</v>
      </c>
    </row>
    <row r="2606" spans="1:28" x14ac:dyDescent="0.45">
      <c r="A2606" s="4" t="s">
        <v>3641</v>
      </c>
      <c r="B2606" s="4" t="s">
        <v>7309</v>
      </c>
      <c r="C2606" s="4" t="s">
        <v>2797</v>
      </c>
      <c r="D2606" s="4" t="s">
        <v>3640</v>
      </c>
      <c r="E2606" s="4" t="s">
        <v>256</v>
      </c>
      <c r="F2606" s="5">
        <v>30</v>
      </c>
      <c r="G2606" s="5">
        <v>38</v>
      </c>
      <c r="H2606" s="4" t="s">
        <v>416</v>
      </c>
      <c r="I2606" s="10">
        <v>59</v>
      </c>
      <c r="J2606" s="34">
        <f t="shared" si="160"/>
        <v>0.51329999999999998</v>
      </c>
      <c r="K2606" s="34">
        <f t="shared" si="161"/>
        <v>0.77</v>
      </c>
      <c r="L2606" s="34">
        <f t="shared" si="162"/>
        <v>3.08</v>
      </c>
      <c r="M2606" s="11" t="s">
        <v>5543</v>
      </c>
      <c r="N2606" s="11" t="s">
        <v>5254</v>
      </c>
      <c r="O2606" s="11" t="s">
        <v>5251</v>
      </c>
      <c r="P2606" s="11" t="s">
        <v>5255</v>
      </c>
      <c r="Q2606" s="12">
        <v>30</v>
      </c>
      <c r="R2606" s="12">
        <v>38</v>
      </c>
      <c r="S2606" s="12">
        <v>5.7</v>
      </c>
      <c r="T2606" s="13">
        <v>16.559999999999999</v>
      </c>
      <c r="U2606" s="13">
        <f t="shared" si="163"/>
        <v>13.479999999999999</v>
      </c>
      <c r="V2606" s="14">
        <v>2028.6</v>
      </c>
      <c r="W2606" s="14">
        <v>2028.6</v>
      </c>
      <c r="X2606" s="11">
        <v>231</v>
      </c>
      <c r="Y2606" s="15" t="s">
        <v>3713</v>
      </c>
      <c r="Z2606" s="16">
        <v>1969.6</v>
      </c>
      <c r="AA2606" s="17">
        <v>3338.3</v>
      </c>
      <c r="AB2606" s="18" t="s">
        <v>3714</v>
      </c>
    </row>
    <row r="2607" spans="1:28" x14ac:dyDescent="0.45">
      <c r="A2607" s="2" t="s">
        <v>3642</v>
      </c>
      <c r="B2607" s="2" t="s">
        <v>7310</v>
      </c>
      <c r="C2607" s="2" t="s">
        <v>2797</v>
      </c>
      <c r="D2607" s="2" t="s">
        <v>3640</v>
      </c>
      <c r="E2607" s="2" t="s">
        <v>256</v>
      </c>
      <c r="F2607" s="3">
        <v>40</v>
      </c>
      <c r="G2607" s="3">
        <v>48</v>
      </c>
      <c r="H2607" s="2" t="s">
        <v>169</v>
      </c>
      <c r="I2607" s="19">
        <v>59</v>
      </c>
      <c r="J2607" s="34">
        <f t="shared" si="160"/>
        <v>0.51329999999999998</v>
      </c>
      <c r="K2607" s="34">
        <f t="shared" si="161"/>
        <v>0.77</v>
      </c>
      <c r="L2607" s="34">
        <f t="shared" si="162"/>
        <v>3.08</v>
      </c>
      <c r="M2607" s="20" t="s">
        <v>5546</v>
      </c>
      <c r="N2607" s="20" t="s">
        <v>5254</v>
      </c>
      <c r="O2607" s="20" t="s">
        <v>5251</v>
      </c>
      <c r="P2607" s="20" t="s">
        <v>5255</v>
      </c>
      <c r="Q2607" s="21">
        <v>40</v>
      </c>
      <c r="R2607" s="21">
        <v>48</v>
      </c>
      <c r="S2607" s="21">
        <v>5.7</v>
      </c>
      <c r="T2607" s="22">
        <v>7.94</v>
      </c>
      <c r="U2607" s="13">
        <f t="shared" si="163"/>
        <v>4.8600000000000003</v>
      </c>
      <c r="V2607" s="23">
        <v>972.65</v>
      </c>
      <c r="W2607" s="23">
        <v>972.65</v>
      </c>
      <c r="X2607" s="20">
        <v>56</v>
      </c>
      <c r="Y2607" s="24" t="s">
        <v>3713</v>
      </c>
      <c r="Z2607" s="16">
        <v>913.65</v>
      </c>
      <c r="AA2607" s="17">
        <v>1548.6</v>
      </c>
      <c r="AB2607" s="25" t="s">
        <v>3714</v>
      </c>
    </row>
    <row r="2608" spans="1:28" x14ac:dyDescent="0.45">
      <c r="A2608" s="4" t="s">
        <v>3643</v>
      </c>
      <c r="B2608" s="4" t="s">
        <v>7311</v>
      </c>
      <c r="C2608" s="4" t="s">
        <v>2797</v>
      </c>
      <c r="D2608" s="4" t="s">
        <v>3640</v>
      </c>
      <c r="E2608" s="4" t="s">
        <v>256</v>
      </c>
      <c r="F2608" s="5">
        <v>45</v>
      </c>
      <c r="G2608" s="5">
        <v>55</v>
      </c>
      <c r="H2608" s="4" t="s">
        <v>3344</v>
      </c>
      <c r="I2608" s="10">
        <v>67</v>
      </c>
      <c r="J2608" s="34">
        <f t="shared" si="160"/>
        <v>0.58289999999999997</v>
      </c>
      <c r="K2608" s="34">
        <f t="shared" si="161"/>
        <v>0.87</v>
      </c>
      <c r="L2608" s="34">
        <f t="shared" si="162"/>
        <v>3.48</v>
      </c>
      <c r="M2608" s="11" t="s">
        <v>5453</v>
      </c>
      <c r="N2608" s="11" t="s">
        <v>5254</v>
      </c>
      <c r="O2608" s="11" t="s">
        <v>5251</v>
      </c>
      <c r="P2608" s="11" t="s">
        <v>5255</v>
      </c>
      <c r="Q2608" s="12">
        <v>45</v>
      </c>
      <c r="R2608" s="12">
        <v>55</v>
      </c>
      <c r="S2608" s="12">
        <v>5.7</v>
      </c>
      <c r="T2608" s="13">
        <v>12.61</v>
      </c>
      <c r="U2608" s="13">
        <f t="shared" si="163"/>
        <v>9.129999999999999</v>
      </c>
      <c r="V2608" s="14">
        <v>1544.72</v>
      </c>
      <c r="W2608" s="14">
        <v>1544.72</v>
      </c>
      <c r="X2608" s="11">
        <v>41</v>
      </c>
      <c r="Y2608" s="15" t="s">
        <v>3713</v>
      </c>
      <c r="Z2608" s="16">
        <v>1477.72</v>
      </c>
      <c r="AA2608" s="17">
        <v>2205.6</v>
      </c>
      <c r="AB2608" s="18" t="s">
        <v>3714</v>
      </c>
    </row>
    <row r="2609" spans="1:28" x14ac:dyDescent="0.45">
      <c r="A2609" s="2" t="s">
        <v>3644</v>
      </c>
      <c r="B2609" s="2" t="s">
        <v>7312</v>
      </c>
      <c r="C2609" s="2" t="s">
        <v>2797</v>
      </c>
      <c r="D2609" s="2" t="s">
        <v>3640</v>
      </c>
      <c r="E2609" s="2" t="s">
        <v>256</v>
      </c>
      <c r="F2609" s="3">
        <v>50</v>
      </c>
      <c r="G2609" s="3">
        <v>58</v>
      </c>
      <c r="H2609" s="2" t="s">
        <v>421</v>
      </c>
      <c r="I2609" s="19">
        <v>67</v>
      </c>
      <c r="J2609" s="34">
        <f t="shared" si="160"/>
        <v>0.58289999999999997</v>
      </c>
      <c r="K2609" s="34">
        <f t="shared" si="161"/>
        <v>0.87</v>
      </c>
      <c r="L2609" s="34">
        <f t="shared" si="162"/>
        <v>3.48</v>
      </c>
      <c r="M2609" s="20" t="s">
        <v>5552</v>
      </c>
      <c r="N2609" s="20" t="s">
        <v>5541</v>
      </c>
      <c r="O2609" s="20" t="s">
        <v>5251</v>
      </c>
      <c r="P2609" s="20" t="s">
        <v>5542</v>
      </c>
      <c r="Q2609" s="21">
        <v>50</v>
      </c>
      <c r="R2609" s="21">
        <v>58</v>
      </c>
      <c r="S2609" s="21">
        <v>5.3</v>
      </c>
      <c r="T2609" s="22">
        <v>11.57</v>
      </c>
      <c r="U2609" s="13">
        <f t="shared" si="163"/>
        <v>8.09</v>
      </c>
      <c r="V2609" s="23">
        <v>1417.32</v>
      </c>
      <c r="W2609" s="23">
        <v>1417.32</v>
      </c>
      <c r="X2609" s="20">
        <v>15</v>
      </c>
      <c r="Y2609" s="24" t="s">
        <v>3713</v>
      </c>
      <c r="Z2609" s="16">
        <v>1350.32</v>
      </c>
      <c r="AA2609" s="17">
        <v>2015.4</v>
      </c>
      <c r="AB2609" s="25" t="s">
        <v>3714</v>
      </c>
    </row>
    <row r="2610" spans="1:28" x14ac:dyDescent="0.45">
      <c r="A2610" s="4" t="s">
        <v>3645</v>
      </c>
      <c r="B2610" s="4" t="s">
        <v>7313</v>
      </c>
      <c r="C2610" s="4" t="s">
        <v>2797</v>
      </c>
      <c r="D2610" s="4" t="s">
        <v>3640</v>
      </c>
      <c r="E2610" s="4" t="s">
        <v>256</v>
      </c>
      <c r="F2610" s="5">
        <v>55</v>
      </c>
      <c r="G2610" s="5">
        <v>63</v>
      </c>
      <c r="H2610" s="4" t="s">
        <v>262</v>
      </c>
      <c r="I2610" s="10">
        <v>76</v>
      </c>
      <c r="J2610" s="34">
        <f t="shared" si="160"/>
        <v>0.66120000000000001</v>
      </c>
      <c r="K2610" s="34">
        <f t="shared" si="161"/>
        <v>0.99</v>
      </c>
      <c r="L2610" s="34">
        <f t="shared" si="162"/>
        <v>3.96</v>
      </c>
      <c r="M2610" s="11" t="s">
        <v>5553</v>
      </c>
      <c r="N2610" s="11" t="s">
        <v>5310</v>
      </c>
      <c r="O2610" s="11" t="s">
        <v>5270</v>
      </c>
      <c r="P2610" s="11" t="s">
        <v>5311</v>
      </c>
      <c r="Q2610" s="12">
        <v>55</v>
      </c>
      <c r="R2610" s="12">
        <v>63</v>
      </c>
      <c r="S2610" s="12">
        <v>7.3</v>
      </c>
      <c r="T2610" s="13">
        <v>15.96</v>
      </c>
      <c r="U2610" s="13">
        <f t="shared" si="163"/>
        <v>12</v>
      </c>
      <c r="V2610" s="14">
        <v>1955.1</v>
      </c>
      <c r="W2610" s="14">
        <v>1955.1</v>
      </c>
      <c r="X2610" s="11">
        <v>27</v>
      </c>
      <c r="Y2610" s="15" t="s">
        <v>3713</v>
      </c>
      <c r="Z2610" s="16">
        <v>1879.1</v>
      </c>
      <c r="AA2610" s="17">
        <v>2472.5</v>
      </c>
      <c r="AB2610" s="18" t="s">
        <v>3714</v>
      </c>
    </row>
    <row r="2611" spans="1:28" x14ac:dyDescent="0.45">
      <c r="A2611" s="2" t="s">
        <v>3646</v>
      </c>
      <c r="B2611" s="2" t="s">
        <v>7314</v>
      </c>
      <c r="C2611" s="2" t="s">
        <v>2797</v>
      </c>
      <c r="D2611" s="2" t="s">
        <v>3640</v>
      </c>
      <c r="E2611" s="2" t="s">
        <v>256</v>
      </c>
      <c r="F2611" s="3">
        <v>60</v>
      </c>
      <c r="G2611" s="3">
        <v>68</v>
      </c>
      <c r="H2611" s="2" t="s">
        <v>421</v>
      </c>
      <c r="I2611" s="19">
        <v>76</v>
      </c>
      <c r="J2611" s="34">
        <f t="shared" si="160"/>
        <v>0.66120000000000001</v>
      </c>
      <c r="K2611" s="34">
        <f t="shared" si="161"/>
        <v>0.99</v>
      </c>
      <c r="L2611" s="34">
        <f t="shared" si="162"/>
        <v>3.96</v>
      </c>
      <c r="M2611" s="20" t="s">
        <v>5554</v>
      </c>
      <c r="N2611" s="20" t="s">
        <v>5310</v>
      </c>
      <c r="O2611" s="20" t="s">
        <v>5270</v>
      </c>
      <c r="P2611" s="20" t="s">
        <v>5311</v>
      </c>
      <c r="Q2611" s="21">
        <v>60</v>
      </c>
      <c r="R2611" s="21">
        <v>68</v>
      </c>
      <c r="S2611" s="21">
        <v>8</v>
      </c>
      <c r="T2611" s="22">
        <v>5.91</v>
      </c>
      <c r="U2611" s="13">
        <f t="shared" si="163"/>
        <v>1.9500000000000002</v>
      </c>
      <c r="V2611" s="23">
        <v>723.98</v>
      </c>
      <c r="W2611" s="23">
        <v>723.98</v>
      </c>
      <c r="X2611" s="20">
        <v>180</v>
      </c>
      <c r="Y2611" s="24" t="s">
        <v>3713</v>
      </c>
      <c r="Z2611" s="16">
        <v>647.98</v>
      </c>
      <c r="AA2611" s="17">
        <v>852.6</v>
      </c>
      <c r="AB2611" s="25" t="s">
        <v>3714</v>
      </c>
    </row>
    <row r="2612" spans="1:28" x14ac:dyDescent="0.45">
      <c r="A2612" s="4" t="s">
        <v>3647</v>
      </c>
      <c r="B2612" s="4" t="s">
        <v>7315</v>
      </c>
      <c r="C2612" s="4" t="s">
        <v>2797</v>
      </c>
      <c r="D2612" s="4" t="s">
        <v>3640</v>
      </c>
      <c r="E2612" s="4" t="s">
        <v>256</v>
      </c>
      <c r="F2612" s="5">
        <v>70</v>
      </c>
      <c r="G2612" s="5">
        <v>78</v>
      </c>
      <c r="H2612" s="4" t="s">
        <v>419</v>
      </c>
      <c r="I2612" s="10">
        <v>84</v>
      </c>
      <c r="J2612" s="34">
        <f t="shared" si="160"/>
        <v>0.73079999999999989</v>
      </c>
      <c r="K2612" s="34">
        <f t="shared" si="161"/>
        <v>1.1000000000000001</v>
      </c>
      <c r="L2612" s="34">
        <f t="shared" si="162"/>
        <v>4.4000000000000004</v>
      </c>
      <c r="M2612" s="11" t="s">
        <v>5555</v>
      </c>
      <c r="N2612" s="11" t="s">
        <v>5280</v>
      </c>
      <c r="O2612" s="11" t="s">
        <v>5270</v>
      </c>
      <c r="P2612" s="11" t="s">
        <v>5281</v>
      </c>
      <c r="Q2612" s="12">
        <v>70</v>
      </c>
      <c r="R2612" s="12">
        <v>78</v>
      </c>
      <c r="S2612" s="12">
        <v>11.5</v>
      </c>
      <c r="T2612" s="13">
        <v>8.32</v>
      </c>
      <c r="U2612" s="13">
        <f t="shared" si="163"/>
        <v>3.92</v>
      </c>
      <c r="V2612" s="14">
        <v>1019.2</v>
      </c>
      <c r="W2612" s="14">
        <v>1019.2</v>
      </c>
      <c r="X2612" s="11">
        <v>18</v>
      </c>
      <c r="Y2612" s="15" t="s">
        <v>3713</v>
      </c>
      <c r="Z2612" s="16">
        <v>935.2</v>
      </c>
      <c r="AA2612" s="17">
        <v>1113.3</v>
      </c>
      <c r="AB2612" s="18" t="s">
        <v>3714</v>
      </c>
    </row>
    <row r="2613" spans="1:28" x14ac:dyDescent="0.45">
      <c r="A2613" s="2" t="s">
        <v>3648</v>
      </c>
      <c r="B2613" s="2" t="s">
        <v>7316</v>
      </c>
      <c r="C2613" s="2" t="s">
        <v>2797</v>
      </c>
      <c r="D2613" s="2" t="s">
        <v>3640</v>
      </c>
      <c r="E2613" s="2" t="s">
        <v>256</v>
      </c>
      <c r="F2613" s="3">
        <v>90</v>
      </c>
      <c r="G2613" s="3">
        <v>98</v>
      </c>
      <c r="H2613" s="2" t="s">
        <v>3301</v>
      </c>
      <c r="I2613" s="19">
        <v>118</v>
      </c>
      <c r="J2613" s="34">
        <f t="shared" si="160"/>
        <v>1.0266</v>
      </c>
      <c r="K2613" s="34">
        <f t="shared" si="161"/>
        <v>1.54</v>
      </c>
      <c r="L2613" s="34">
        <f t="shared" si="162"/>
        <v>6.16</v>
      </c>
      <c r="M2613" s="20" t="s">
        <v>5556</v>
      </c>
      <c r="N2613" s="20" t="s">
        <v>5310</v>
      </c>
      <c r="O2613" s="20" t="s">
        <v>5270</v>
      </c>
      <c r="P2613" s="20" t="s">
        <v>5311</v>
      </c>
      <c r="Q2613" s="21">
        <v>90</v>
      </c>
      <c r="R2613" s="21">
        <v>98</v>
      </c>
      <c r="S2613" s="21">
        <v>8</v>
      </c>
      <c r="T2613" s="22">
        <v>7.03</v>
      </c>
      <c r="U2613" s="13">
        <f t="shared" si="163"/>
        <v>0.87000000000000011</v>
      </c>
      <c r="V2613" s="23">
        <v>861.18</v>
      </c>
      <c r="W2613" s="23">
        <v>861.18</v>
      </c>
      <c r="X2613" s="20">
        <v>6</v>
      </c>
      <c r="Y2613" s="24" t="s">
        <v>3713</v>
      </c>
      <c r="Z2613" s="16">
        <v>743.18</v>
      </c>
      <c r="AA2613" s="17">
        <v>629.79999999999995</v>
      </c>
      <c r="AB2613" s="25" t="s">
        <v>3714</v>
      </c>
    </row>
    <row r="2614" spans="1:28" x14ac:dyDescent="0.45">
      <c r="A2614" s="4" t="s">
        <v>3649</v>
      </c>
      <c r="B2614" s="4" t="s">
        <v>7317</v>
      </c>
      <c r="C2614" s="4" t="s">
        <v>2797</v>
      </c>
      <c r="D2614" s="4" t="s">
        <v>3640</v>
      </c>
      <c r="E2614" s="4" t="s">
        <v>256</v>
      </c>
      <c r="F2614" s="5">
        <v>105</v>
      </c>
      <c r="G2614" s="5">
        <v>113</v>
      </c>
      <c r="H2614" s="4" t="s">
        <v>3301</v>
      </c>
      <c r="I2614" s="10">
        <v>143</v>
      </c>
      <c r="J2614" s="34">
        <f t="shared" si="160"/>
        <v>1.2441</v>
      </c>
      <c r="K2614" s="34">
        <f t="shared" si="161"/>
        <v>1.87</v>
      </c>
      <c r="L2614" s="34">
        <f t="shared" si="162"/>
        <v>7.48</v>
      </c>
      <c r="M2614" s="11" t="s">
        <v>5557</v>
      </c>
      <c r="N2614" s="11" t="s">
        <v>5280</v>
      </c>
      <c r="O2614" s="11" t="s">
        <v>5270</v>
      </c>
      <c r="P2614" s="11" t="s">
        <v>5281</v>
      </c>
      <c r="Q2614" s="12">
        <v>105</v>
      </c>
      <c r="R2614" s="12">
        <v>113</v>
      </c>
      <c r="S2614" s="12">
        <v>7</v>
      </c>
      <c r="T2614" s="13">
        <v>18.649999999999999</v>
      </c>
      <c r="U2614" s="13">
        <f t="shared" si="163"/>
        <v>11.169999999999998</v>
      </c>
      <c r="V2614" s="14">
        <v>2284.62</v>
      </c>
      <c r="W2614" s="14">
        <v>2284.62</v>
      </c>
      <c r="X2614" s="11">
        <v>17</v>
      </c>
      <c r="Y2614" s="15" t="s">
        <v>3713</v>
      </c>
      <c r="Z2614" s="16">
        <v>2141.62</v>
      </c>
      <c r="AA2614" s="17">
        <v>1497.6</v>
      </c>
      <c r="AB2614" s="18" t="s">
        <v>3714</v>
      </c>
    </row>
    <row r="2615" spans="1:28" x14ac:dyDescent="0.45">
      <c r="A2615" s="2" t="s">
        <v>3650</v>
      </c>
      <c r="B2615" s="2" t="s">
        <v>7318</v>
      </c>
      <c r="C2615" s="2" t="s">
        <v>2797</v>
      </c>
      <c r="D2615" s="2" t="s">
        <v>3640</v>
      </c>
      <c r="E2615" s="2" t="s">
        <v>256</v>
      </c>
      <c r="F2615" s="3">
        <v>79</v>
      </c>
      <c r="G2615" s="3">
        <v>87.7</v>
      </c>
      <c r="H2615" s="2" t="s">
        <v>158</v>
      </c>
      <c r="I2615" s="19">
        <v>101</v>
      </c>
      <c r="J2615" s="34">
        <f t="shared" si="160"/>
        <v>0.87869999999999993</v>
      </c>
      <c r="K2615" s="34">
        <f t="shared" si="161"/>
        <v>1.32</v>
      </c>
      <c r="L2615" s="34">
        <f t="shared" si="162"/>
        <v>5.28</v>
      </c>
      <c r="M2615" s="20" t="s">
        <v>5558</v>
      </c>
      <c r="N2615" s="20" t="s">
        <v>5269</v>
      </c>
      <c r="O2615" s="20" t="s">
        <v>5270</v>
      </c>
      <c r="P2615" s="20" t="s">
        <v>5271</v>
      </c>
      <c r="Q2615" s="21">
        <v>79</v>
      </c>
      <c r="R2615" s="21">
        <v>87.7</v>
      </c>
      <c r="S2615" s="21">
        <v>8</v>
      </c>
      <c r="T2615" s="22">
        <v>6.88</v>
      </c>
      <c r="U2615" s="13">
        <f t="shared" si="163"/>
        <v>1.5999999999999996</v>
      </c>
      <c r="V2615" s="23">
        <v>842.8</v>
      </c>
      <c r="W2615" s="23">
        <v>842.8</v>
      </c>
      <c r="X2615" s="20">
        <v>31</v>
      </c>
      <c r="Y2615" s="24" t="s">
        <v>3713</v>
      </c>
      <c r="Z2615" s="16">
        <v>741.8</v>
      </c>
      <c r="AA2615" s="17">
        <v>734.5</v>
      </c>
      <c r="AB2615" s="25" t="s">
        <v>3714</v>
      </c>
    </row>
    <row r="2616" spans="1:28" x14ac:dyDescent="0.45">
      <c r="A2616" s="4" t="s">
        <v>3653</v>
      </c>
      <c r="B2616" s="4" t="s">
        <v>7319</v>
      </c>
      <c r="C2616" s="4" t="s">
        <v>3651</v>
      </c>
      <c r="D2616" s="4" t="s">
        <v>3652</v>
      </c>
      <c r="E2616" s="4"/>
      <c r="F2616" s="5">
        <v>10</v>
      </c>
      <c r="G2616" s="5">
        <v>15</v>
      </c>
      <c r="H2616" s="4" t="s">
        <v>3654</v>
      </c>
      <c r="I2616" s="10">
        <v>42</v>
      </c>
      <c r="J2616" s="34">
        <f t="shared" si="160"/>
        <v>0.36539999999999995</v>
      </c>
      <c r="K2616" s="34">
        <f t="shared" si="161"/>
        <v>0.55000000000000004</v>
      </c>
      <c r="L2616" s="34">
        <f t="shared" si="162"/>
        <v>2.2000000000000002</v>
      </c>
      <c r="M2616" s="11" t="s">
        <v>5559</v>
      </c>
      <c r="N2616" s="11"/>
      <c r="O2616" s="11" t="s">
        <v>5560</v>
      </c>
      <c r="P2616" s="11" t="s">
        <v>5561</v>
      </c>
      <c r="Q2616" s="12">
        <v>9.3979999999999997</v>
      </c>
      <c r="R2616" s="12">
        <v>15.747999999999999</v>
      </c>
      <c r="S2616" s="12">
        <v>3.048</v>
      </c>
      <c r="T2616" s="13">
        <v>7.64</v>
      </c>
      <c r="U2616" s="13">
        <f t="shared" si="163"/>
        <v>5.4399999999999995</v>
      </c>
      <c r="V2616" s="14">
        <v>935.9</v>
      </c>
      <c r="W2616" s="14">
        <v>935.9</v>
      </c>
      <c r="X2616" s="11" t="s">
        <v>3722</v>
      </c>
      <c r="Y2616" s="15" t="s">
        <v>3737</v>
      </c>
      <c r="Z2616" s="16">
        <v>893.9</v>
      </c>
      <c r="AA2616" s="17">
        <v>2128.3000000000002</v>
      </c>
      <c r="AB2616" s="18" t="s">
        <v>5562</v>
      </c>
    </row>
    <row r="2617" spans="1:28" x14ac:dyDescent="0.45">
      <c r="A2617" s="2" t="s">
        <v>3655</v>
      </c>
      <c r="B2617" s="2" t="s">
        <v>7320</v>
      </c>
      <c r="C2617" s="2" t="s">
        <v>3651</v>
      </c>
      <c r="D2617" s="2" t="s">
        <v>3652</v>
      </c>
      <c r="E2617" s="2"/>
      <c r="F2617" s="3">
        <v>12</v>
      </c>
      <c r="G2617" s="3">
        <v>18</v>
      </c>
      <c r="H2617" s="2" t="s">
        <v>3656</v>
      </c>
      <c r="I2617" s="19">
        <v>47</v>
      </c>
      <c r="J2617" s="34">
        <f t="shared" si="160"/>
        <v>0.40889999999999999</v>
      </c>
      <c r="K2617" s="34">
        <f t="shared" si="161"/>
        <v>0.61</v>
      </c>
      <c r="L2617" s="34">
        <f t="shared" si="162"/>
        <v>2.44</v>
      </c>
      <c r="M2617" s="20" t="s">
        <v>5563</v>
      </c>
      <c r="N2617" s="20" t="s">
        <v>5564</v>
      </c>
      <c r="O2617" s="20" t="s">
        <v>5560</v>
      </c>
      <c r="P2617" s="20" t="s">
        <v>5565</v>
      </c>
      <c r="Q2617" s="21">
        <v>12</v>
      </c>
      <c r="R2617" s="21">
        <v>19</v>
      </c>
      <c r="S2617" s="21">
        <v>5</v>
      </c>
      <c r="T2617" s="22">
        <v>1.35</v>
      </c>
      <c r="U2617" s="13">
        <f t="shared" si="163"/>
        <v>-1.0899999999999999</v>
      </c>
      <c r="V2617" s="23">
        <v>165.38</v>
      </c>
      <c r="W2617" s="23">
        <v>165.38</v>
      </c>
      <c r="X2617" s="20" t="s">
        <v>3722</v>
      </c>
      <c r="Y2617" s="24" t="s">
        <v>3713</v>
      </c>
      <c r="Z2617" s="16">
        <v>118.38</v>
      </c>
      <c r="AA2617" s="17">
        <v>251.9</v>
      </c>
      <c r="AB2617" s="25" t="s">
        <v>3786</v>
      </c>
    </row>
    <row r="2618" spans="1:28" x14ac:dyDescent="0.45">
      <c r="A2618" s="4" t="s">
        <v>3657</v>
      </c>
      <c r="B2618" s="4" t="s">
        <v>7321</v>
      </c>
      <c r="C2618" s="4" t="s">
        <v>3651</v>
      </c>
      <c r="D2618" s="4" t="s">
        <v>3652</v>
      </c>
      <c r="E2618" s="4"/>
      <c r="F2618" s="5">
        <v>18</v>
      </c>
      <c r="G2618" s="5">
        <v>26</v>
      </c>
      <c r="H2618" s="4" t="s">
        <v>3658</v>
      </c>
      <c r="I2618" s="10">
        <v>59</v>
      </c>
      <c r="J2618" s="34">
        <f t="shared" si="160"/>
        <v>0.51329999999999998</v>
      </c>
      <c r="K2618" s="34">
        <f t="shared" si="161"/>
        <v>0.77</v>
      </c>
      <c r="L2618" s="34">
        <f t="shared" si="162"/>
        <v>3.08</v>
      </c>
      <c r="M2618" s="11" t="s">
        <v>5566</v>
      </c>
      <c r="N2618" s="11"/>
      <c r="O2618" s="11" t="s">
        <v>5560</v>
      </c>
      <c r="P2618" s="11" t="s">
        <v>5567</v>
      </c>
      <c r="Q2618" s="12">
        <v>18</v>
      </c>
      <c r="R2618" s="12">
        <v>26</v>
      </c>
      <c r="S2618" s="12">
        <v>4</v>
      </c>
      <c r="T2618" s="13">
        <v>1.42</v>
      </c>
      <c r="U2618" s="13">
        <f t="shared" si="163"/>
        <v>-1.6600000000000001</v>
      </c>
      <c r="V2618" s="14">
        <v>173.95</v>
      </c>
      <c r="W2618" s="14">
        <v>173.95</v>
      </c>
      <c r="X2618" s="11" t="s">
        <v>3722</v>
      </c>
      <c r="Y2618" s="15" t="s">
        <v>3713</v>
      </c>
      <c r="Z2618" s="16">
        <v>114.95</v>
      </c>
      <c r="AA2618" s="17">
        <v>194.8</v>
      </c>
      <c r="AB2618" s="18" t="s">
        <v>3714</v>
      </c>
    </row>
    <row r="2619" spans="1:28" x14ac:dyDescent="0.45">
      <c r="A2619" s="2" t="s">
        <v>3659</v>
      </c>
      <c r="B2619" s="2" t="s">
        <v>7322</v>
      </c>
      <c r="C2619" s="2" t="s">
        <v>3651</v>
      </c>
      <c r="D2619" s="2" t="s">
        <v>3652</v>
      </c>
      <c r="E2619" s="2"/>
      <c r="F2619" s="3">
        <v>20</v>
      </c>
      <c r="G2619" s="3">
        <v>28</v>
      </c>
      <c r="H2619" s="2" t="s">
        <v>169</v>
      </c>
      <c r="I2619" s="19">
        <v>64</v>
      </c>
      <c r="J2619" s="34">
        <f t="shared" si="160"/>
        <v>0.55679999999999996</v>
      </c>
      <c r="K2619" s="34">
        <f t="shared" si="161"/>
        <v>0.84</v>
      </c>
      <c r="L2619" s="34">
        <f t="shared" si="162"/>
        <v>3.36</v>
      </c>
      <c r="M2619" s="20" t="s">
        <v>5568</v>
      </c>
      <c r="N2619" s="20"/>
      <c r="O2619" s="20" t="s">
        <v>5560</v>
      </c>
      <c r="P2619" s="20" t="s">
        <v>5567</v>
      </c>
      <c r="Q2619" s="21">
        <v>20</v>
      </c>
      <c r="R2619" s="21">
        <v>28</v>
      </c>
      <c r="S2619" s="21">
        <v>4</v>
      </c>
      <c r="T2619" s="22">
        <v>1.37</v>
      </c>
      <c r="U2619" s="13">
        <f t="shared" si="163"/>
        <v>-1.9899999999999998</v>
      </c>
      <c r="V2619" s="23">
        <v>167.82</v>
      </c>
      <c r="W2619" s="23">
        <v>167.82</v>
      </c>
      <c r="X2619" s="20">
        <v>43</v>
      </c>
      <c r="Y2619" s="24" t="s">
        <v>3713</v>
      </c>
      <c r="Z2619" s="16">
        <v>103.82</v>
      </c>
      <c r="AA2619" s="17">
        <v>162.19999999999999</v>
      </c>
      <c r="AB2619" s="25" t="s">
        <v>3714</v>
      </c>
    </row>
    <row r="2620" spans="1:28" x14ac:dyDescent="0.45">
      <c r="A2620" s="4" t="s">
        <v>3660</v>
      </c>
      <c r="B2620" s="4" t="s">
        <v>7323</v>
      </c>
      <c r="C2620" s="4" t="s">
        <v>3651</v>
      </c>
      <c r="D2620" s="4" t="s">
        <v>3652</v>
      </c>
      <c r="E2620" s="4"/>
      <c r="F2620" s="5">
        <v>25</v>
      </c>
      <c r="G2620" s="5">
        <v>33</v>
      </c>
      <c r="H2620" s="4" t="s">
        <v>169</v>
      </c>
      <c r="I2620" s="10">
        <v>67</v>
      </c>
      <c r="J2620" s="34">
        <f t="shared" si="160"/>
        <v>0.58289999999999997</v>
      </c>
      <c r="K2620" s="34">
        <f t="shared" si="161"/>
        <v>0.87</v>
      </c>
      <c r="L2620" s="34">
        <f t="shared" si="162"/>
        <v>3.48</v>
      </c>
      <c r="M2620" s="11" t="s">
        <v>5569</v>
      </c>
      <c r="N2620" s="11" t="s">
        <v>5564</v>
      </c>
      <c r="O2620" s="11" t="s">
        <v>5560</v>
      </c>
      <c r="P2620" s="11" t="s">
        <v>5565</v>
      </c>
      <c r="Q2620" s="12">
        <v>25</v>
      </c>
      <c r="R2620" s="12">
        <v>33</v>
      </c>
      <c r="S2620" s="12">
        <v>4</v>
      </c>
      <c r="T2620" s="13">
        <v>1.55</v>
      </c>
      <c r="U2620" s="13">
        <f t="shared" si="163"/>
        <v>-1.93</v>
      </c>
      <c r="V2620" s="14">
        <v>189.88</v>
      </c>
      <c r="W2620" s="14">
        <v>189.88</v>
      </c>
      <c r="X2620" s="11">
        <v>73</v>
      </c>
      <c r="Y2620" s="15" t="s">
        <v>3713</v>
      </c>
      <c r="Z2620" s="16">
        <v>122.88</v>
      </c>
      <c r="AA2620" s="17">
        <v>183.4</v>
      </c>
      <c r="AB2620" s="18" t="s">
        <v>3714</v>
      </c>
    </row>
    <row r="2621" spans="1:28" x14ac:dyDescent="0.45">
      <c r="A2621" s="2" t="s">
        <v>3661</v>
      </c>
      <c r="B2621" s="2" t="s">
        <v>7324</v>
      </c>
      <c r="C2621" s="2" t="s">
        <v>3651</v>
      </c>
      <c r="D2621" s="2" t="s">
        <v>3652</v>
      </c>
      <c r="E2621" s="2"/>
      <c r="F2621" s="3">
        <v>25</v>
      </c>
      <c r="G2621" s="3">
        <v>33</v>
      </c>
      <c r="H2621" s="2" t="s">
        <v>415</v>
      </c>
      <c r="I2621" s="19">
        <v>72</v>
      </c>
      <c r="J2621" s="34">
        <f t="shared" si="160"/>
        <v>0.62639999999999996</v>
      </c>
      <c r="K2621" s="34">
        <f t="shared" si="161"/>
        <v>0.94</v>
      </c>
      <c r="L2621" s="34">
        <f t="shared" si="162"/>
        <v>3.76</v>
      </c>
      <c r="M2621" s="20" t="s">
        <v>5569</v>
      </c>
      <c r="N2621" s="20" t="s">
        <v>5564</v>
      </c>
      <c r="O2621" s="20" t="s">
        <v>5560</v>
      </c>
      <c r="P2621" s="20" t="s">
        <v>5565</v>
      </c>
      <c r="Q2621" s="21">
        <v>25</v>
      </c>
      <c r="R2621" s="21">
        <v>33</v>
      </c>
      <c r="S2621" s="21">
        <v>4</v>
      </c>
      <c r="T2621" s="22">
        <v>1.55</v>
      </c>
      <c r="U2621" s="13">
        <f t="shared" si="163"/>
        <v>-2.21</v>
      </c>
      <c r="V2621" s="23">
        <v>189.88</v>
      </c>
      <c r="W2621" s="23">
        <v>189.88</v>
      </c>
      <c r="X2621" s="20">
        <v>73</v>
      </c>
      <c r="Y2621" s="24" t="s">
        <v>3713</v>
      </c>
      <c r="Z2621" s="16">
        <v>117.88</v>
      </c>
      <c r="AA2621" s="17">
        <v>163.69999999999999</v>
      </c>
      <c r="AB2621" s="25" t="s">
        <v>3714</v>
      </c>
    </row>
    <row r="2622" spans="1:28" x14ac:dyDescent="0.45">
      <c r="A2622" s="4" t="s">
        <v>3662</v>
      </c>
      <c r="B2622" s="4" t="s">
        <v>7325</v>
      </c>
      <c r="C2622" s="4" t="s">
        <v>3651</v>
      </c>
      <c r="D2622" s="4" t="s">
        <v>3652</v>
      </c>
      <c r="E2622" s="4"/>
      <c r="F2622" s="5">
        <v>25</v>
      </c>
      <c r="G2622" s="5">
        <v>38</v>
      </c>
      <c r="H2622" s="4" t="s">
        <v>1098</v>
      </c>
      <c r="I2622" s="10">
        <v>93</v>
      </c>
      <c r="J2622" s="34">
        <f t="shared" si="160"/>
        <v>0.80909999999999993</v>
      </c>
      <c r="K2622" s="34">
        <f t="shared" si="161"/>
        <v>1.21</v>
      </c>
      <c r="L2622" s="34">
        <f t="shared" si="162"/>
        <v>4.84</v>
      </c>
      <c r="M2622" s="11" t="s">
        <v>5570</v>
      </c>
      <c r="N2622" s="11"/>
      <c r="O2622" s="11" t="s">
        <v>5560</v>
      </c>
      <c r="P2622" s="11" t="s">
        <v>5571</v>
      </c>
      <c r="Q2622" s="12">
        <v>25</v>
      </c>
      <c r="R2622" s="12">
        <v>38</v>
      </c>
      <c r="S2622" s="12">
        <v>7</v>
      </c>
      <c r="T2622" s="13">
        <v>11.61</v>
      </c>
      <c r="U2622" s="13">
        <f t="shared" si="163"/>
        <v>6.77</v>
      </c>
      <c r="V2622" s="14">
        <v>1422.22</v>
      </c>
      <c r="W2622" s="14">
        <v>1422.22</v>
      </c>
      <c r="X2622" s="11">
        <v>3</v>
      </c>
      <c r="Y2622" s="15" t="s">
        <v>3713</v>
      </c>
      <c r="Z2622" s="16">
        <v>1329.22</v>
      </c>
      <c r="AA2622" s="17">
        <v>1429.3</v>
      </c>
      <c r="AB2622" s="18" t="s">
        <v>3714</v>
      </c>
    </row>
    <row r="2623" spans="1:28" x14ac:dyDescent="0.45">
      <c r="A2623" s="2" t="s">
        <v>3663</v>
      </c>
      <c r="B2623" s="2" t="s">
        <v>7326</v>
      </c>
      <c r="C2623" s="2" t="s">
        <v>3651</v>
      </c>
      <c r="D2623" s="2" t="s">
        <v>3652</v>
      </c>
      <c r="E2623" s="2"/>
      <c r="F2623" s="3">
        <v>26</v>
      </c>
      <c r="G2623" s="3">
        <v>36</v>
      </c>
      <c r="H2623" s="2" t="s">
        <v>417</v>
      </c>
      <c r="I2623" s="19">
        <v>81</v>
      </c>
      <c r="J2623" s="34">
        <f t="shared" si="160"/>
        <v>0.70469999999999999</v>
      </c>
      <c r="K2623" s="34">
        <f t="shared" si="161"/>
        <v>1.06</v>
      </c>
      <c r="L2623" s="34">
        <f t="shared" si="162"/>
        <v>4.24</v>
      </c>
      <c r="M2623" s="20" t="s">
        <v>5572</v>
      </c>
      <c r="N2623" s="20"/>
      <c r="O2623" s="20" t="s">
        <v>5560</v>
      </c>
      <c r="P2623" s="20" t="s">
        <v>5571</v>
      </c>
      <c r="Q2623" s="21">
        <v>25</v>
      </c>
      <c r="R2623" s="21">
        <v>36</v>
      </c>
      <c r="S2623" s="21">
        <v>6</v>
      </c>
      <c r="T2623" s="22">
        <v>4.16</v>
      </c>
      <c r="U2623" s="13">
        <f t="shared" si="163"/>
        <v>-8.0000000000000071E-2</v>
      </c>
      <c r="V2623" s="23">
        <v>509.6</v>
      </c>
      <c r="W2623" s="23">
        <v>509.6</v>
      </c>
      <c r="X2623" s="20">
        <v>28</v>
      </c>
      <c r="Y2623" s="24" t="s">
        <v>3713</v>
      </c>
      <c r="Z2623" s="16">
        <v>428.6</v>
      </c>
      <c r="AA2623" s="17">
        <v>529.1</v>
      </c>
      <c r="AB2623" s="25" t="s">
        <v>3819</v>
      </c>
    </row>
    <row r="2624" spans="1:28" x14ac:dyDescent="0.45">
      <c r="A2624" s="4" t="s">
        <v>3664</v>
      </c>
      <c r="B2624" s="4" t="s">
        <v>7327</v>
      </c>
      <c r="C2624" s="4" t="s">
        <v>3651</v>
      </c>
      <c r="D2624" s="4" t="s">
        <v>3652</v>
      </c>
      <c r="E2624" s="4"/>
      <c r="F2624" s="5">
        <v>30</v>
      </c>
      <c r="G2624" s="5">
        <v>40</v>
      </c>
      <c r="H2624" s="4" t="s">
        <v>1098</v>
      </c>
      <c r="I2624" s="10">
        <v>87</v>
      </c>
      <c r="J2624" s="34">
        <f t="shared" si="160"/>
        <v>0.75689999999999991</v>
      </c>
      <c r="K2624" s="34">
        <f t="shared" si="161"/>
        <v>1.1399999999999999</v>
      </c>
      <c r="L2624" s="34">
        <f t="shared" si="162"/>
        <v>4.5599999999999996</v>
      </c>
      <c r="M2624" s="11" t="s">
        <v>5573</v>
      </c>
      <c r="N2624" s="11"/>
      <c r="O2624" s="11" t="s">
        <v>5560</v>
      </c>
      <c r="P2624" s="11" t="s">
        <v>5571</v>
      </c>
      <c r="Q2624" s="12">
        <v>30</v>
      </c>
      <c r="R2624" s="12">
        <v>40</v>
      </c>
      <c r="S2624" s="12">
        <v>7</v>
      </c>
      <c r="T2624" s="13">
        <v>11.54</v>
      </c>
      <c r="U2624" s="13">
        <f t="shared" si="163"/>
        <v>6.9799999999999995</v>
      </c>
      <c r="V2624" s="14">
        <v>1413.65</v>
      </c>
      <c r="W2624" s="14">
        <v>1413.65</v>
      </c>
      <c r="X2624" s="11">
        <v>34</v>
      </c>
      <c r="Y2624" s="15" t="s">
        <v>3713</v>
      </c>
      <c r="Z2624" s="16">
        <v>1326.65</v>
      </c>
      <c r="AA2624" s="17">
        <v>1524.9</v>
      </c>
      <c r="AB2624" s="18" t="s">
        <v>3714</v>
      </c>
    </row>
    <row r="2625" spans="1:28" x14ac:dyDescent="0.45">
      <c r="A2625" s="2" t="s">
        <v>3665</v>
      </c>
      <c r="B2625" s="2" t="s">
        <v>7328</v>
      </c>
      <c r="C2625" s="2" t="s">
        <v>3651</v>
      </c>
      <c r="D2625" s="2" t="s">
        <v>3652</v>
      </c>
      <c r="E2625" s="2"/>
      <c r="F2625" s="3">
        <v>30</v>
      </c>
      <c r="G2625" s="3">
        <v>40</v>
      </c>
      <c r="H2625" s="2" t="s">
        <v>158</v>
      </c>
      <c r="I2625" s="19">
        <v>84</v>
      </c>
      <c r="J2625" s="34">
        <f t="shared" si="160"/>
        <v>0.73079999999999989</v>
      </c>
      <c r="K2625" s="34">
        <f t="shared" si="161"/>
        <v>1.1000000000000001</v>
      </c>
      <c r="L2625" s="34">
        <f t="shared" si="162"/>
        <v>4.4000000000000004</v>
      </c>
      <c r="M2625" s="20" t="s">
        <v>5573</v>
      </c>
      <c r="N2625" s="20"/>
      <c r="O2625" s="20" t="s">
        <v>5560</v>
      </c>
      <c r="P2625" s="20" t="s">
        <v>5571</v>
      </c>
      <c r="Q2625" s="21">
        <v>30</v>
      </c>
      <c r="R2625" s="21">
        <v>40</v>
      </c>
      <c r="S2625" s="21">
        <v>7</v>
      </c>
      <c r="T2625" s="22">
        <v>11.54</v>
      </c>
      <c r="U2625" s="13">
        <f t="shared" si="163"/>
        <v>7.1399999999999988</v>
      </c>
      <c r="V2625" s="23">
        <v>1413.65</v>
      </c>
      <c r="W2625" s="23">
        <v>1413.65</v>
      </c>
      <c r="X2625" s="20">
        <v>34</v>
      </c>
      <c r="Y2625" s="24" t="s">
        <v>3713</v>
      </c>
      <c r="Z2625" s="16">
        <v>1329.65</v>
      </c>
      <c r="AA2625" s="17">
        <v>1582.9</v>
      </c>
      <c r="AB2625" s="25" t="s">
        <v>3714</v>
      </c>
    </row>
    <row r="2626" spans="1:28" x14ac:dyDescent="0.45">
      <c r="A2626" s="4" t="s">
        <v>3666</v>
      </c>
      <c r="B2626" s="4" t="s">
        <v>7329</v>
      </c>
      <c r="C2626" s="4" t="s">
        <v>3651</v>
      </c>
      <c r="D2626" s="4" t="s">
        <v>3652</v>
      </c>
      <c r="E2626" s="4"/>
      <c r="F2626" s="5">
        <v>31.5</v>
      </c>
      <c r="G2626" s="5">
        <v>41.5</v>
      </c>
      <c r="H2626" s="4" t="s">
        <v>3667</v>
      </c>
      <c r="I2626" s="10">
        <v>84</v>
      </c>
      <c r="J2626" s="34">
        <f t="shared" si="160"/>
        <v>0.73079999999999989</v>
      </c>
      <c r="K2626" s="34">
        <f t="shared" si="161"/>
        <v>1.1000000000000001</v>
      </c>
      <c r="L2626" s="34">
        <f t="shared" si="162"/>
        <v>4.4000000000000004</v>
      </c>
      <c r="M2626" s="11" t="s">
        <v>5574</v>
      </c>
      <c r="N2626" s="11" t="s">
        <v>5564</v>
      </c>
      <c r="O2626" s="11" t="s">
        <v>5560</v>
      </c>
      <c r="P2626" s="11" t="s">
        <v>5565</v>
      </c>
      <c r="Q2626" s="12">
        <v>31.75</v>
      </c>
      <c r="R2626" s="12">
        <v>41.148000000000003</v>
      </c>
      <c r="S2626" s="12">
        <v>6.35</v>
      </c>
      <c r="T2626" s="13">
        <v>3.97</v>
      </c>
      <c r="U2626" s="13">
        <f t="shared" si="163"/>
        <v>-0.43000000000000016</v>
      </c>
      <c r="V2626" s="14">
        <v>486.33</v>
      </c>
      <c r="W2626" s="14">
        <v>486.33</v>
      </c>
      <c r="X2626" s="11" t="s">
        <v>3722</v>
      </c>
      <c r="Y2626" s="15" t="s">
        <v>3737</v>
      </c>
      <c r="Z2626" s="16">
        <v>402.33</v>
      </c>
      <c r="AA2626" s="17">
        <v>479</v>
      </c>
      <c r="AB2626" s="18" t="s">
        <v>5575</v>
      </c>
    </row>
    <row r="2627" spans="1:28" x14ac:dyDescent="0.45">
      <c r="A2627" s="2" t="s">
        <v>3668</v>
      </c>
      <c r="B2627" s="2" t="s">
        <v>7330</v>
      </c>
      <c r="C2627" s="2" t="s">
        <v>3651</v>
      </c>
      <c r="D2627" s="2" t="s">
        <v>3652</v>
      </c>
      <c r="E2627" s="2"/>
      <c r="F2627" s="3">
        <v>35</v>
      </c>
      <c r="G2627" s="3">
        <v>45</v>
      </c>
      <c r="H2627" s="2" t="s">
        <v>158</v>
      </c>
      <c r="I2627" s="19">
        <v>93</v>
      </c>
      <c r="J2627" s="34">
        <f t="shared" si="160"/>
        <v>0.80909999999999993</v>
      </c>
      <c r="K2627" s="34">
        <f t="shared" si="161"/>
        <v>1.21</v>
      </c>
      <c r="L2627" s="34">
        <f t="shared" si="162"/>
        <v>4.84</v>
      </c>
      <c r="M2627" s="20" t="s">
        <v>5576</v>
      </c>
      <c r="N2627" s="20"/>
      <c r="O2627" s="20" t="s">
        <v>5560</v>
      </c>
      <c r="P2627" s="20" t="s">
        <v>5561</v>
      </c>
      <c r="Q2627" s="21">
        <v>35</v>
      </c>
      <c r="R2627" s="21">
        <v>45</v>
      </c>
      <c r="S2627" s="21">
        <v>4</v>
      </c>
      <c r="T2627" s="22">
        <v>1.48</v>
      </c>
      <c r="U2627" s="13">
        <f t="shared" si="163"/>
        <v>-3.36</v>
      </c>
      <c r="V2627" s="23">
        <v>181.3</v>
      </c>
      <c r="W2627" s="23">
        <v>181.3</v>
      </c>
      <c r="X2627" s="20">
        <v>1</v>
      </c>
      <c r="Y2627" s="24" t="s">
        <v>3713</v>
      </c>
      <c r="Z2627" s="16">
        <v>88.300000000000011</v>
      </c>
      <c r="AA2627" s="17">
        <v>94.9</v>
      </c>
      <c r="AB2627" s="25" t="s">
        <v>3714</v>
      </c>
    </row>
    <row r="2628" spans="1:28" x14ac:dyDescent="0.45">
      <c r="A2628" s="4" t="s">
        <v>3669</v>
      </c>
      <c r="B2628" s="4" t="s">
        <v>7331</v>
      </c>
      <c r="C2628" s="4" t="s">
        <v>3651</v>
      </c>
      <c r="D2628" s="4" t="s">
        <v>3652</v>
      </c>
      <c r="E2628" s="4"/>
      <c r="F2628" s="5">
        <v>40</v>
      </c>
      <c r="G2628" s="5">
        <v>50</v>
      </c>
      <c r="H2628" s="4" t="s">
        <v>158</v>
      </c>
      <c r="I2628" s="10">
        <v>101</v>
      </c>
      <c r="J2628" s="34">
        <f t="shared" si="160"/>
        <v>0.87869999999999993</v>
      </c>
      <c r="K2628" s="34">
        <f t="shared" si="161"/>
        <v>1.32</v>
      </c>
      <c r="L2628" s="34">
        <f t="shared" si="162"/>
        <v>5.28</v>
      </c>
      <c r="M2628" s="11" t="s">
        <v>5577</v>
      </c>
      <c r="N2628" s="11"/>
      <c r="O2628" s="11" t="s">
        <v>5560</v>
      </c>
      <c r="P2628" s="11" t="s">
        <v>5578</v>
      </c>
      <c r="Q2628" s="12">
        <v>40</v>
      </c>
      <c r="R2628" s="12">
        <v>50</v>
      </c>
      <c r="S2628" s="12">
        <v>5</v>
      </c>
      <c r="T2628" s="13">
        <v>11.32</v>
      </c>
      <c r="U2628" s="13">
        <f t="shared" si="163"/>
        <v>6.04</v>
      </c>
      <c r="V2628" s="14">
        <v>1386.7</v>
      </c>
      <c r="W2628" s="14">
        <v>1386.7</v>
      </c>
      <c r="X2628" s="11">
        <v>1</v>
      </c>
      <c r="Y2628" s="15" t="s">
        <v>3713</v>
      </c>
      <c r="Z2628" s="16">
        <v>1285.7</v>
      </c>
      <c r="AA2628" s="17">
        <v>1273</v>
      </c>
      <c r="AB2628" s="18" t="s">
        <v>3714</v>
      </c>
    </row>
    <row r="2629" spans="1:28" x14ac:dyDescent="0.45">
      <c r="A2629" s="2" t="s">
        <v>3670</v>
      </c>
      <c r="B2629" s="2" t="s">
        <v>7332</v>
      </c>
      <c r="C2629" s="2" t="s">
        <v>3651</v>
      </c>
      <c r="D2629" s="2" t="s">
        <v>3652</v>
      </c>
      <c r="E2629" s="2"/>
      <c r="F2629" s="3">
        <v>45</v>
      </c>
      <c r="G2629" s="3">
        <v>55</v>
      </c>
      <c r="H2629" s="2" t="s">
        <v>158</v>
      </c>
      <c r="I2629" s="19">
        <v>109</v>
      </c>
      <c r="J2629" s="34">
        <f t="shared" ref="J2629:J2641" si="164">I2629*0.0087</f>
        <v>0.94829999999999992</v>
      </c>
      <c r="K2629" s="34">
        <f t="shared" ref="K2629:K2641" si="165">ROUND(J2629*1.5,2)</f>
        <v>1.42</v>
      </c>
      <c r="L2629" s="34">
        <f t="shared" ref="L2629:L2641" si="166">K2629*4</f>
        <v>5.68</v>
      </c>
      <c r="M2629" s="20" t="s">
        <v>5579</v>
      </c>
      <c r="N2629" s="20" t="s">
        <v>5564</v>
      </c>
      <c r="O2629" s="20" t="s">
        <v>5560</v>
      </c>
      <c r="P2629" s="20" t="s">
        <v>5565</v>
      </c>
      <c r="Q2629" s="21">
        <v>45</v>
      </c>
      <c r="R2629" s="21">
        <v>55</v>
      </c>
      <c r="S2629" s="21">
        <v>7</v>
      </c>
      <c r="T2629" s="22">
        <v>4.07</v>
      </c>
      <c r="U2629" s="13">
        <f t="shared" ref="U2629:U2641" si="167">T2629-L2629</f>
        <v>-1.6099999999999994</v>
      </c>
      <c r="V2629" s="23">
        <v>498.58</v>
      </c>
      <c r="W2629" s="23">
        <v>498.58</v>
      </c>
      <c r="X2629" s="20">
        <v>6</v>
      </c>
      <c r="Y2629" s="24" t="s">
        <v>3713</v>
      </c>
      <c r="Z2629" s="16">
        <v>389.58</v>
      </c>
      <c r="AA2629" s="17">
        <v>357.4</v>
      </c>
      <c r="AB2629" s="25" t="s">
        <v>3714</v>
      </c>
    </row>
    <row r="2630" spans="1:28" x14ac:dyDescent="0.45">
      <c r="A2630" s="4" t="s">
        <v>3671</v>
      </c>
      <c r="B2630" s="4" t="s">
        <v>7333</v>
      </c>
      <c r="C2630" s="4" t="s">
        <v>3651</v>
      </c>
      <c r="D2630" s="4" t="s">
        <v>3652</v>
      </c>
      <c r="E2630" s="4"/>
      <c r="F2630" s="5">
        <v>45</v>
      </c>
      <c r="G2630" s="5">
        <v>65</v>
      </c>
      <c r="H2630" s="4" t="s">
        <v>3672</v>
      </c>
      <c r="I2630" s="10">
        <v>180</v>
      </c>
      <c r="J2630" s="34">
        <f t="shared" si="164"/>
        <v>1.5659999999999998</v>
      </c>
      <c r="K2630" s="34">
        <f t="shared" si="165"/>
        <v>2.35</v>
      </c>
      <c r="L2630" s="34">
        <f t="shared" si="166"/>
        <v>9.4</v>
      </c>
      <c r="M2630" s="11" t="s">
        <v>5580</v>
      </c>
      <c r="N2630" s="11"/>
      <c r="O2630" s="11" t="s">
        <v>5560</v>
      </c>
      <c r="P2630" s="11" t="s">
        <v>5571</v>
      </c>
      <c r="Q2630" s="12">
        <v>45</v>
      </c>
      <c r="R2630" s="12">
        <v>65</v>
      </c>
      <c r="S2630" s="12">
        <v>7</v>
      </c>
      <c r="T2630" s="13">
        <v>6.63</v>
      </c>
      <c r="U2630" s="13">
        <f t="shared" si="167"/>
        <v>-2.7700000000000005</v>
      </c>
      <c r="V2630" s="14">
        <v>812.18</v>
      </c>
      <c r="W2630" s="14">
        <v>812.18</v>
      </c>
      <c r="X2630" s="11">
        <v>15</v>
      </c>
      <c r="Y2630" s="15" t="s">
        <v>3713</v>
      </c>
      <c r="Z2630" s="16">
        <v>632.17999999999995</v>
      </c>
      <c r="AA2630" s="17">
        <v>351.2</v>
      </c>
      <c r="AB2630" s="18" t="s">
        <v>3714</v>
      </c>
    </row>
    <row r="2631" spans="1:28" x14ac:dyDescent="0.45">
      <c r="A2631" s="2" t="s">
        <v>3673</v>
      </c>
      <c r="B2631" s="2" t="s">
        <v>7334</v>
      </c>
      <c r="C2631" s="2" t="s">
        <v>3651</v>
      </c>
      <c r="D2631" s="2" t="s">
        <v>3652</v>
      </c>
      <c r="E2631" s="2"/>
      <c r="F2631" s="3">
        <v>50</v>
      </c>
      <c r="G2631" s="3">
        <v>60</v>
      </c>
      <c r="H2631" s="2" t="s">
        <v>158</v>
      </c>
      <c r="I2631" s="19">
        <v>118</v>
      </c>
      <c r="J2631" s="34">
        <f t="shared" si="164"/>
        <v>1.0266</v>
      </c>
      <c r="K2631" s="34">
        <f t="shared" si="165"/>
        <v>1.54</v>
      </c>
      <c r="L2631" s="34">
        <f t="shared" si="166"/>
        <v>6.16</v>
      </c>
      <c r="M2631" s="20" t="s">
        <v>5581</v>
      </c>
      <c r="N2631" s="20"/>
      <c r="O2631" s="20" t="s">
        <v>5560</v>
      </c>
      <c r="P2631" s="20" t="s">
        <v>5578</v>
      </c>
      <c r="Q2631" s="21">
        <v>50</v>
      </c>
      <c r="R2631" s="21">
        <v>60</v>
      </c>
      <c r="S2631" s="21">
        <v>5</v>
      </c>
      <c r="T2631" s="22">
        <v>12.43</v>
      </c>
      <c r="U2631" s="13">
        <f t="shared" si="167"/>
        <v>6.27</v>
      </c>
      <c r="V2631" s="23">
        <v>1522.68</v>
      </c>
      <c r="W2631" s="23">
        <v>1522.68</v>
      </c>
      <c r="X2631" s="20" t="s">
        <v>3722</v>
      </c>
      <c r="Y2631" s="24" t="s">
        <v>3713</v>
      </c>
      <c r="Z2631" s="16">
        <v>1404.68</v>
      </c>
      <c r="AA2631" s="17">
        <v>1190.4000000000001</v>
      </c>
      <c r="AB2631" s="25" t="s">
        <v>3714</v>
      </c>
    </row>
    <row r="2632" spans="1:28" x14ac:dyDescent="0.45">
      <c r="A2632" s="4" t="s">
        <v>3674</v>
      </c>
      <c r="B2632" s="4" t="s">
        <v>7335</v>
      </c>
      <c r="C2632" s="4" t="s">
        <v>3651</v>
      </c>
      <c r="D2632" s="4" t="s">
        <v>3652</v>
      </c>
      <c r="E2632" s="4"/>
      <c r="F2632" s="5">
        <v>50</v>
      </c>
      <c r="G2632" s="5">
        <v>70</v>
      </c>
      <c r="H2632" s="4" t="s">
        <v>3675</v>
      </c>
      <c r="I2632" s="10">
        <v>222</v>
      </c>
      <c r="J2632" s="34">
        <f t="shared" si="164"/>
        <v>1.9313999999999998</v>
      </c>
      <c r="K2632" s="34">
        <f t="shared" si="165"/>
        <v>2.9</v>
      </c>
      <c r="L2632" s="34">
        <f t="shared" si="166"/>
        <v>11.6</v>
      </c>
      <c r="M2632" s="11" t="s">
        <v>5582</v>
      </c>
      <c r="N2632" s="11"/>
      <c r="O2632" s="11" t="s">
        <v>5560</v>
      </c>
      <c r="P2632" s="11" t="s">
        <v>5571</v>
      </c>
      <c r="Q2632" s="12">
        <v>50</v>
      </c>
      <c r="R2632" s="12">
        <v>70</v>
      </c>
      <c r="S2632" s="12">
        <v>10</v>
      </c>
      <c r="T2632" s="13">
        <v>6.73</v>
      </c>
      <c r="U2632" s="13">
        <f t="shared" si="167"/>
        <v>-4.8699999999999992</v>
      </c>
      <c r="V2632" s="14">
        <v>824.42</v>
      </c>
      <c r="W2632" s="14">
        <v>824.42</v>
      </c>
      <c r="X2632" s="11">
        <v>159</v>
      </c>
      <c r="Y2632" s="15" t="s">
        <v>3713</v>
      </c>
      <c r="Z2632" s="16">
        <v>602.41999999999996</v>
      </c>
      <c r="AA2632" s="17">
        <v>271.39999999999998</v>
      </c>
      <c r="AB2632" s="18" t="s">
        <v>3714</v>
      </c>
    </row>
    <row r="2633" spans="1:28" x14ac:dyDescent="0.45">
      <c r="A2633" s="2" t="s">
        <v>3676</v>
      </c>
      <c r="B2633" s="2" t="s">
        <v>7336</v>
      </c>
      <c r="C2633" s="2" t="s">
        <v>3651</v>
      </c>
      <c r="D2633" s="2" t="s">
        <v>3652</v>
      </c>
      <c r="E2633" s="2"/>
      <c r="F2633" s="3">
        <v>55</v>
      </c>
      <c r="G2633" s="3">
        <v>70</v>
      </c>
      <c r="H2633" s="2" t="s">
        <v>1098</v>
      </c>
      <c r="I2633" s="19">
        <v>160</v>
      </c>
      <c r="J2633" s="34">
        <f t="shared" si="164"/>
        <v>1.3919999999999999</v>
      </c>
      <c r="K2633" s="34">
        <f t="shared" si="165"/>
        <v>2.09</v>
      </c>
      <c r="L2633" s="34">
        <f t="shared" si="166"/>
        <v>8.36</v>
      </c>
      <c r="M2633" s="20" t="s">
        <v>5583</v>
      </c>
      <c r="N2633" s="20"/>
      <c r="O2633" s="20" t="s">
        <v>5560</v>
      </c>
      <c r="P2633" s="20" t="s">
        <v>5571</v>
      </c>
      <c r="Q2633" s="21">
        <v>55</v>
      </c>
      <c r="R2633" s="21">
        <v>70</v>
      </c>
      <c r="S2633" s="21">
        <v>8</v>
      </c>
      <c r="T2633" s="22">
        <v>6.73</v>
      </c>
      <c r="U2633" s="13">
        <f t="shared" si="167"/>
        <v>-1.629999999999999</v>
      </c>
      <c r="V2633" s="23">
        <v>824.42</v>
      </c>
      <c r="W2633" s="23">
        <v>824.42</v>
      </c>
      <c r="X2633" s="20">
        <v>14</v>
      </c>
      <c r="Y2633" s="24" t="s">
        <v>3713</v>
      </c>
      <c r="Z2633" s="16">
        <v>664.42</v>
      </c>
      <c r="AA2633" s="17">
        <v>415.3</v>
      </c>
      <c r="AB2633" s="25" t="s">
        <v>3714</v>
      </c>
    </row>
    <row r="2634" spans="1:28" x14ac:dyDescent="0.45">
      <c r="A2634" s="4" t="s">
        <v>3677</v>
      </c>
      <c r="B2634" s="4" t="s">
        <v>7337</v>
      </c>
      <c r="C2634" s="4" t="s">
        <v>3651</v>
      </c>
      <c r="D2634" s="4" t="s">
        <v>3652</v>
      </c>
      <c r="E2634" s="4"/>
      <c r="F2634" s="5">
        <v>55</v>
      </c>
      <c r="G2634" s="5">
        <v>75</v>
      </c>
      <c r="H2634" s="4" t="s">
        <v>3675</v>
      </c>
      <c r="I2634" s="10">
        <v>234</v>
      </c>
      <c r="J2634" s="34">
        <f t="shared" si="164"/>
        <v>2.0358000000000001</v>
      </c>
      <c r="K2634" s="34">
        <f t="shared" si="165"/>
        <v>3.05</v>
      </c>
      <c r="L2634" s="34">
        <f t="shared" si="166"/>
        <v>12.2</v>
      </c>
      <c r="M2634" s="11" t="s">
        <v>5584</v>
      </c>
      <c r="N2634" s="11" t="s">
        <v>5585</v>
      </c>
      <c r="O2634" s="11" t="s">
        <v>5560</v>
      </c>
      <c r="P2634" s="11" t="s">
        <v>5586</v>
      </c>
      <c r="Q2634" s="12">
        <v>55</v>
      </c>
      <c r="R2634" s="12">
        <v>75</v>
      </c>
      <c r="S2634" s="12">
        <v>8</v>
      </c>
      <c r="T2634" s="13">
        <v>2.59</v>
      </c>
      <c r="U2634" s="13">
        <f t="shared" si="167"/>
        <v>-9.61</v>
      </c>
      <c r="V2634" s="14">
        <v>317.27</v>
      </c>
      <c r="W2634" s="14">
        <v>317.27</v>
      </c>
      <c r="X2634" s="11" t="s">
        <v>3722</v>
      </c>
      <c r="Y2634" s="15" t="s">
        <v>3713</v>
      </c>
      <c r="Z2634" s="16">
        <v>83.269999999999982</v>
      </c>
      <c r="AA2634" s="17">
        <v>35.6</v>
      </c>
      <c r="AB2634" s="18" t="s">
        <v>3714</v>
      </c>
    </row>
    <row r="2635" spans="1:28" x14ac:dyDescent="0.45">
      <c r="A2635" s="2" t="s">
        <v>3678</v>
      </c>
      <c r="B2635" s="2" t="s">
        <v>7338</v>
      </c>
      <c r="C2635" s="2" t="s">
        <v>3651</v>
      </c>
      <c r="D2635" s="2" t="s">
        <v>3652</v>
      </c>
      <c r="E2635" s="2"/>
      <c r="F2635" s="3">
        <v>56</v>
      </c>
      <c r="G2635" s="3">
        <v>71</v>
      </c>
      <c r="H2635" s="2" t="s">
        <v>61</v>
      </c>
      <c r="I2635" s="19">
        <v>160</v>
      </c>
      <c r="J2635" s="34">
        <f t="shared" si="164"/>
        <v>1.3919999999999999</v>
      </c>
      <c r="K2635" s="34">
        <f t="shared" si="165"/>
        <v>2.09</v>
      </c>
      <c r="L2635" s="34">
        <f t="shared" si="166"/>
        <v>8.36</v>
      </c>
      <c r="M2635" s="20" t="s">
        <v>5587</v>
      </c>
      <c r="N2635" s="20" t="s">
        <v>5564</v>
      </c>
      <c r="O2635" s="20" t="s">
        <v>5560</v>
      </c>
      <c r="P2635" s="20" t="s">
        <v>5565</v>
      </c>
      <c r="Q2635" s="21">
        <v>56</v>
      </c>
      <c r="R2635" s="21">
        <v>70</v>
      </c>
      <c r="S2635" s="21">
        <v>8</v>
      </c>
      <c r="T2635" s="22">
        <v>5.15</v>
      </c>
      <c r="U2635" s="13">
        <f t="shared" si="167"/>
        <v>-3.2099999999999991</v>
      </c>
      <c r="V2635" s="23">
        <v>630.88</v>
      </c>
      <c r="W2635" s="23">
        <v>630.88</v>
      </c>
      <c r="X2635" s="20">
        <v>13</v>
      </c>
      <c r="Y2635" s="24" t="s">
        <v>3713</v>
      </c>
      <c r="Z2635" s="16">
        <v>470.88</v>
      </c>
      <c r="AA2635" s="17">
        <v>294.3</v>
      </c>
      <c r="AB2635" s="25" t="s">
        <v>3786</v>
      </c>
    </row>
    <row r="2636" spans="1:28" x14ac:dyDescent="0.45">
      <c r="A2636" s="4" t="s">
        <v>3679</v>
      </c>
      <c r="B2636" s="4" t="s">
        <v>7339</v>
      </c>
      <c r="C2636" s="4" t="s">
        <v>3651</v>
      </c>
      <c r="D2636" s="4" t="s">
        <v>3652</v>
      </c>
      <c r="E2636" s="4"/>
      <c r="F2636" s="5">
        <v>75</v>
      </c>
      <c r="G2636" s="5">
        <v>95</v>
      </c>
      <c r="H2636" s="4" t="s">
        <v>2776</v>
      </c>
      <c r="I2636" s="10">
        <v>296</v>
      </c>
      <c r="J2636" s="34">
        <f t="shared" si="164"/>
        <v>2.5751999999999997</v>
      </c>
      <c r="K2636" s="34">
        <f t="shared" si="165"/>
        <v>3.86</v>
      </c>
      <c r="L2636" s="34">
        <f t="shared" si="166"/>
        <v>15.44</v>
      </c>
      <c r="M2636" s="11" t="s">
        <v>5588</v>
      </c>
      <c r="N2636" s="11" t="s">
        <v>5585</v>
      </c>
      <c r="O2636" s="11" t="s">
        <v>5560</v>
      </c>
      <c r="P2636" s="11" t="s">
        <v>5586</v>
      </c>
      <c r="Q2636" s="12">
        <v>75</v>
      </c>
      <c r="R2636" s="12">
        <v>95</v>
      </c>
      <c r="S2636" s="12">
        <v>10</v>
      </c>
      <c r="T2636" s="13">
        <v>5.83</v>
      </c>
      <c r="U2636" s="13">
        <f t="shared" si="167"/>
        <v>-9.61</v>
      </c>
      <c r="V2636" s="14">
        <v>714.18</v>
      </c>
      <c r="W2636" s="14">
        <v>714.18</v>
      </c>
      <c r="X2636" s="11">
        <v>21</v>
      </c>
      <c r="Y2636" s="15" t="s">
        <v>3713</v>
      </c>
      <c r="Z2636" s="16">
        <v>418.17999999999989</v>
      </c>
      <c r="AA2636" s="17">
        <v>141.30000000000001</v>
      </c>
      <c r="AB2636" s="18" t="s">
        <v>3714</v>
      </c>
    </row>
    <row r="2637" spans="1:28" x14ac:dyDescent="0.45">
      <c r="A2637" s="2" t="s">
        <v>3680</v>
      </c>
      <c r="B2637" s="2" t="s">
        <v>7340</v>
      </c>
      <c r="C2637" s="2" t="s">
        <v>3651</v>
      </c>
      <c r="D2637" s="2" t="s">
        <v>3652</v>
      </c>
      <c r="E2637" s="2"/>
      <c r="F2637" s="3">
        <v>80</v>
      </c>
      <c r="G2637" s="3">
        <v>100</v>
      </c>
      <c r="H2637" s="2" t="s">
        <v>2775</v>
      </c>
      <c r="I2637" s="19">
        <v>313</v>
      </c>
      <c r="J2637" s="34">
        <f t="shared" si="164"/>
        <v>2.7230999999999996</v>
      </c>
      <c r="K2637" s="34">
        <f t="shared" si="165"/>
        <v>4.08</v>
      </c>
      <c r="L2637" s="34">
        <f t="shared" si="166"/>
        <v>16.32</v>
      </c>
      <c r="M2637" s="20" t="s">
        <v>5589</v>
      </c>
      <c r="N2637" s="20"/>
      <c r="O2637" s="20" t="s">
        <v>5560</v>
      </c>
      <c r="P2637" s="20" t="s">
        <v>5571</v>
      </c>
      <c r="Q2637" s="21">
        <v>80</v>
      </c>
      <c r="R2637" s="21">
        <v>100</v>
      </c>
      <c r="S2637" s="21">
        <v>7</v>
      </c>
      <c r="T2637" s="22">
        <v>10.73</v>
      </c>
      <c r="U2637" s="13">
        <f t="shared" si="167"/>
        <v>-5.59</v>
      </c>
      <c r="V2637" s="23">
        <v>1314.42</v>
      </c>
      <c r="W2637" s="23">
        <v>1314.42</v>
      </c>
      <c r="X2637" s="20">
        <v>6</v>
      </c>
      <c r="Y2637" s="24" t="s">
        <v>3713</v>
      </c>
      <c r="Z2637" s="16">
        <v>1001.42</v>
      </c>
      <c r="AA2637" s="17">
        <v>319.89999999999998</v>
      </c>
      <c r="AB2637" s="25" t="s">
        <v>3714</v>
      </c>
    </row>
    <row r="2638" spans="1:28" x14ac:dyDescent="0.45">
      <c r="A2638" s="4" t="s">
        <v>3681</v>
      </c>
      <c r="B2638" s="4" t="s">
        <v>7341</v>
      </c>
      <c r="C2638" s="4" t="s">
        <v>3651</v>
      </c>
      <c r="D2638" s="4" t="s">
        <v>3652</v>
      </c>
      <c r="E2638" s="4"/>
      <c r="F2638" s="5">
        <v>85</v>
      </c>
      <c r="G2638" s="5">
        <v>100</v>
      </c>
      <c r="H2638" s="4" t="s">
        <v>1098</v>
      </c>
      <c r="I2638" s="10">
        <v>217</v>
      </c>
      <c r="J2638" s="34">
        <f t="shared" si="164"/>
        <v>1.8878999999999999</v>
      </c>
      <c r="K2638" s="34">
        <f t="shared" si="165"/>
        <v>2.83</v>
      </c>
      <c r="L2638" s="34">
        <f t="shared" si="166"/>
        <v>11.32</v>
      </c>
      <c r="M2638" s="11" t="s">
        <v>5590</v>
      </c>
      <c r="N2638" s="11"/>
      <c r="O2638" s="11" t="s">
        <v>5560</v>
      </c>
      <c r="P2638" s="11" t="s">
        <v>5591</v>
      </c>
      <c r="Q2638" s="12">
        <v>84</v>
      </c>
      <c r="R2638" s="12">
        <v>100</v>
      </c>
      <c r="S2638" s="12">
        <v>13</v>
      </c>
      <c r="T2638" s="13">
        <v>19.04</v>
      </c>
      <c r="U2638" s="13">
        <f t="shared" si="167"/>
        <v>7.7199999999999989</v>
      </c>
      <c r="V2638" s="14">
        <v>2332.4</v>
      </c>
      <c r="W2638" s="14">
        <v>2332.4</v>
      </c>
      <c r="X2638" s="11" t="s">
        <v>3722</v>
      </c>
      <c r="Y2638" s="15" t="s">
        <v>3713</v>
      </c>
      <c r="Z2638" s="16">
        <v>2115.4</v>
      </c>
      <c r="AA2638" s="17">
        <v>974.8</v>
      </c>
      <c r="AB2638" s="18" t="s">
        <v>3819</v>
      </c>
    </row>
    <row r="2639" spans="1:28" x14ac:dyDescent="0.45">
      <c r="A2639" s="2" t="s">
        <v>3682</v>
      </c>
      <c r="B2639" s="2" t="s">
        <v>7342</v>
      </c>
      <c r="C2639" s="2" t="s">
        <v>3651</v>
      </c>
      <c r="D2639" s="2" t="s">
        <v>3652</v>
      </c>
      <c r="E2639" s="2"/>
      <c r="F2639" s="3">
        <v>85</v>
      </c>
      <c r="G2639" s="3">
        <v>100</v>
      </c>
      <c r="H2639" s="2" t="s">
        <v>3683</v>
      </c>
      <c r="I2639" s="19">
        <v>242</v>
      </c>
      <c r="J2639" s="34">
        <f t="shared" si="164"/>
        <v>2.1053999999999999</v>
      </c>
      <c r="K2639" s="34">
        <f t="shared" si="165"/>
        <v>3.16</v>
      </c>
      <c r="L2639" s="34">
        <f t="shared" si="166"/>
        <v>12.64</v>
      </c>
      <c r="M2639" s="20" t="s">
        <v>5590</v>
      </c>
      <c r="N2639" s="20"/>
      <c r="O2639" s="20" t="s">
        <v>5560</v>
      </c>
      <c r="P2639" s="20" t="s">
        <v>5591</v>
      </c>
      <c r="Q2639" s="21">
        <v>84</v>
      </c>
      <c r="R2639" s="21">
        <v>100</v>
      </c>
      <c r="S2639" s="21">
        <v>13</v>
      </c>
      <c r="T2639" s="22">
        <v>19.04</v>
      </c>
      <c r="U2639" s="13">
        <f t="shared" si="167"/>
        <v>6.3999999999999986</v>
      </c>
      <c r="V2639" s="23">
        <v>2332.4</v>
      </c>
      <c r="W2639" s="23">
        <v>2332.4</v>
      </c>
      <c r="X2639" s="20" t="s">
        <v>3722</v>
      </c>
      <c r="Y2639" s="24" t="s">
        <v>3713</v>
      </c>
      <c r="Z2639" s="16">
        <v>2090.4</v>
      </c>
      <c r="AA2639" s="17">
        <v>863.8</v>
      </c>
      <c r="AB2639" s="25" t="s">
        <v>3819</v>
      </c>
    </row>
    <row r="2640" spans="1:28" x14ac:dyDescent="0.45">
      <c r="A2640" s="4" t="s">
        <v>3684</v>
      </c>
      <c r="B2640" s="4" t="s">
        <v>7343</v>
      </c>
      <c r="C2640" s="4" t="s">
        <v>3651</v>
      </c>
      <c r="D2640" s="4" t="s">
        <v>3652</v>
      </c>
      <c r="E2640" s="4"/>
      <c r="F2640" s="5">
        <v>90</v>
      </c>
      <c r="G2640" s="5">
        <v>110</v>
      </c>
      <c r="H2640" s="4" t="s">
        <v>3685</v>
      </c>
      <c r="I2640" s="10">
        <v>342</v>
      </c>
      <c r="J2640" s="34">
        <f t="shared" si="164"/>
        <v>2.9753999999999996</v>
      </c>
      <c r="K2640" s="34">
        <f t="shared" si="165"/>
        <v>4.46</v>
      </c>
      <c r="L2640" s="34">
        <f t="shared" si="166"/>
        <v>17.84</v>
      </c>
      <c r="M2640" s="11" t="s">
        <v>5592</v>
      </c>
      <c r="N2640" s="11" t="s">
        <v>5564</v>
      </c>
      <c r="O2640" s="11" t="s">
        <v>5560</v>
      </c>
      <c r="P2640" s="11" t="s">
        <v>5565</v>
      </c>
      <c r="Q2640" s="12">
        <v>90</v>
      </c>
      <c r="R2640" s="12">
        <v>110</v>
      </c>
      <c r="S2640" s="12">
        <v>8</v>
      </c>
      <c r="T2640" s="13">
        <v>8.06</v>
      </c>
      <c r="U2640" s="13">
        <f t="shared" si="167"/>
        <v>-9.7799999999999994</v>
      </c>
      <c r="V2640" s="14">
        <v>987.35</v>
      </c>
      <c r="W2640" s="14">
        <v>987.35</v>
      </c>
      <c r="X2640" s="11">
        <v>6</v>
      </c>
      <c r="Y2640" s="15" t="s">
        <v>3713</v>
      </c>
      <c r="Z2640" s="16">
        <v>645.35</v>
      </c>
      <c r="AA2640" s="17">
        <v>188.7</v>
      </c>
      <c r="AB2640" s="18" t="s">
        <v>3714</v>
      </c>
    </row>
    <row r="2641" spans="1:28" x14ac:dyDescent="0.45">
      <c r="A2641" s="2" t="s">
        <v>3686</v>
      </c>
      <c r="B2641" s="2" t="s">
        <v>7344</v>
      </c>
      <c r="C2641" s="2" t="s">
        <v>3651</v>
      </c>
      <c r="D2641" s="2" t="s">
        <v>3652</v>
      </c>
      <c r="E2641" s="2"/>
      <c r="F2641" s="3">
        <v>130</v>
      </c>
      <c r="G2641" s="3">
        <v>160</v>
      </c>
      <c r="H2641" s="2" t="s">
        <v>3687</v>
      </c>
      <c r="I2641" s="19">
        <v>751</v>
      </c>
      <c r="J2641" s="34">
        <f t="shared" si="164"/>
        <v>6.5336999999999996</v>
      </c>
      <c r="K2641" s="34">
        <f t="shared" si="165"/>
        <v>9.8000000000000007</v>
      </c>
      <c r="L2641" s="34">
        <f t="shared" si="166"/>
        <v>39.200000000000003</v>
      </c>
      <c r="M2641" s="20" t="s">
        <v>5593</v>
      </c>
      <c r="N2641" s="20" t="s">
        <v>5564</v>
      </c>
      <c r="O2641" s="20" t="s">
        <v>5560</v>
      </c>
      <c r="P2641" s="20" t="s">
        <v>5565</v>
      </c>
      <c r="Q2641" s="21">
        <v>130</v>
      </c>
      <c r="R2641" s="21">
        <v>160</v>
      </c>
      <c r="S2641" s="21">
        <v>12</v>
      </c>
      <c r="T2641" s="22">
        <v>12.02</v>
      </c>
      <c r="U2641" s="13">
        <f t="shared" si="167"/>
        <v>-27.180000000000003</v>
      </c>
      <c r="V2641" s="23">
        <v>1472.45</v>
      </c>
      <c r="W2641" s="23">
        <v>1472.45</v>
      </c>
      <c r="X2641" s="20">
        <v>33</v>
      </c>
      <c r="Y2641" s="24" t="s">
        <v>3713</v>
      </c>
      <c r="Z2641" s="16">
        <v>721.45</v>
      </c>
      <c r="AA2641" s="17">
        <v>96.1</v>
      </c>
      <c r="AB2641" s="25" t="s">
        <v>3714</v>
      </c>
    </row>
  </sheetData>
  <autoFilter ref="A3:AB2641" xr:uid="{00000000-0009-0000-0000-000001000000}"/>
  <mergeCells count="4">
    <mergeCell ref="A2:AB2"/>
    <mergeCell ref="Z1:AB1"/>
    <mergeCell ref="M1:Y1"/>
    <mergeCell ref="A1:L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F2BB-DF8A-4792-B0CE-FE96330C6706}">
  <dimension ref="A1:G1544"/>
  <sheetViews>
    <sheetView workbookViewId="0">
      <selection activeCell="B2642" sqref="B2642"/>
    </sheetView>
  </sheetViews>
  <sheetFormatPr defaultRowHeight="14.25" x14ac:dyDescent="0.45"/>
  <cols>
    <col min="1" max="1" width="27.46484375" bestFit="1" customWidth="1"/>
    <col min="2" max="2" width="19.73046875" bestFit="1" customWidth="1"/>
    <col min="3" max="3" width="14.53125" bestFit="1" customWidth="1"/>
    <col min="4" max="4" width="46.19921875" customWidth="1"/>
    <col min="5" max="5" width="21.33203125" customWidth="1"/>
    <col min="6" max="6" width="28.46484375" customWidth="1"/>
    <col min="7" max="7" width="23.1328125" customWidth="1"/>
  </cols>
  <sheetData>
    <row r="1" spans="1:7" ht="21" x14ac:dyDescent="0.65">
      <c r="A1" s="39" t="s">
        <v>7351</v>
      </c>
      <c r="B1" s="29"/>
      <c r="C1" s="29"/>
      <c r="D1" s="29"/>
      <c r="E1" s="29"/>
      <c r="F1" s="29"/>
      <c r="G1" s="29"/>
    </row>
    <row r="3" spans="1:7" ht="57" x14ac:dyDescent="0.45">
      <c r="A3" s="40" t="s">
        <v>7352</v>
      </c>
      <c r="B3" s="40" t="s">
        <v>7353</v>
      </c>
      <c r="D3" s="41" t="s">
        <v>7360</v>
      </c>
      <c r="E3" s="42" t="s">
        <v>7361</v>
      </c>
    </row>
    <row r="4" spans="1:7" ht="57" x14ac:dyDescent="0.45">
      <c r="A4" t="s">
        <v>7354</v>
      </c>
      <c r="B4">
        <v>2638</v>
      </c>
      <c r="D4" s="41" t="s">
        <v>7362</v>
      </c>
      <c r="E4" s="42" t="s">
        <v>7363</v>
      </c>
    </row>
    <row r="5" spans="1:7" x14ac:dyDescent="0.45">
      <c r="A5" t="s">
        <v>7355</v>
      </c>
      <c r="B5">
        <v>1532</v>
      </c>
      <c r="D5" s="41" t="s">
        <v>7364</v>
      </c>
      <c r="E5" s="42" t="e" cm="1" vm="1">
        <f t="array" ref="E5">_xlfn.TEXTJOIN(" | ",TRUE,_xlfn._xlws.FILTER(PriceList!$B$4:$B$2641,PriceList!$M$4:$M$2641=A12))</f>
        <v>#VALUE!</v>
      </c>
    </row>
    <row r="6" spans="1:7" x14ac:dyDescent="0.45">
      <c r="A6" t="s">
        <v>7356</v>
      </c>
      <c r="B6">
        <v>0</v>
      </c>
      <c r="D6" s="41" t="s">
        <v>7365</v>
      </c>
      <c r="E6" s="42" t="s">
        <v>7366</v>
      </c>
    </row>
    <row r="7" spans="1:7" x14ac:dyDescent="0.45">
      <c r="A7" t="s">
        <v>7357</v>
      </c>
      <c r="B7">
        <v>0</v>
      </c>
    </row>
    <row r="8" spans="1:7" x14ac:dyDescent="0.45">
      <c r="A8" t="s">
        <v>7358</v>
      </c>
      <c r="B8">
        <v>0</v>
      </c>
    </row>
    <row r="9" spans="1:7" x14ac:dyDescent="0.45">
      <c r="A9" t="s">
        <v>7359</v>
      </c>
      <c r="B9">
        <v>45</v>
      </c>
    </row>
    <row r="10" spans="1:7" x14ac:dyDescent="0.45">
      <c r="A10" s="43" t="s">
        <v>7373</v>
      </c>
      <c r="B10" s="44">
        <v>836</v>
      </c>
    </row>
    <row r="11" spans="1:7" x14ac:dyDescent="0.45">
      <c r="A11" s="43" t="s">
        <v>7374</v>
      </c>
      <c r="B11" s="44">
        <v>696</v>
      </c>
    </row>
    <row r="12" spans="1:7" x14ac:dyDescent="0.45">
      <c r="A12" t="s">
        <v>3698</v>
      </c>
      <c r="B12" t="s">
        <v>7367</v>
      </c>
      <c r="C12" t="s">
        <v>7368</v>
      </c>
      <c r="D12" t="s">
        <v>7369</v>
      </c>
      <c r="E12" t="s">
        <v>7370</v>
      </c>
      <c r="F12" t="s">
        <v>7371</v>
      </c>
      <c r="G12" t="s">
        <v>7372</v>
      </c>
    </row>
    <row r="13" spans="1:7" x14ac:dyDescent="0.45">
      <c r="A13" t="s">
        <v>5217</v>
      </c>
      <c r="B13">
        <f>COUNTIF(PriceList!$M$4:$M$2641,A13)</f>
        <v>1</v>
      </c>
      <c r="C13" t="str">
        <f>IF(B13=1,"1:1","1:Many")</f>
        <v>1:1</v>
      </c>
      <c r="D13" s="42" t="str" cm="1">
        <f t="array" ref="D13">_xlfn.TEXTJOIN(" | ",TRUE,_xlfn._xlws.FILTER(PriceList!$B$4:$B$2641,PriceList!$M$4:$M$2641=A13,""))</f>
        <v>PNRS010-0160-0260-105</v>
      </c>
      <c r="E13" t="str" cm="1">
        <f t="array" ref="E13">_xlfn.TEXTJOIN(", ",TRUE,_xlfn._xlws.FILTER(ROW(PriceList!$B$4:$B$2641),PriceList!$M$4:$M$2641=A13,""))</f>
        <v>2152</v>
      </c>
      <c r="F13" s="42" t="str" cm="1">
        <f t="array" ref="F13">_xlfn.TEXTJOIN(" | ",TRUE,_xlfn.UNIQUE(_xlfn._xlws.FILTER(PriceList!$Q$4:$Q$2641&amp;" x "&amp;PriceList!$R$4:$R$2641&amp;" x "&amp;PriceList!$S$4:$S$2641,PriceList!$M$4:$M$2641=A13,"")))</f>
        <v>17 x 25 x 3</v>
      </c>
      <c r="G13" t="str" cm="1">
        <f t="array" ref="G13">INDEX(_xlfn._xlws.FILTER(PriceList!$P$4:$P$2641,PriceList!$M$4:$M$2641=A13,""),1)</f>
        <v>Piston Seal - Pneumatic - Airzet Type</v>
      </c>
    </row>
    <row r="14" spans="1:7" x14ac:dyDescent="0.45">
      <c r="A14" t="s">
        <v>5221</v>
      </c>
      <c r="B14">
        <f>COUNTIF(PriceList!$M$4:$M$2641,A14)</f>
        <v>1</v>
      </c>
      <c r="C14" t="str">
        <f>IF(B14=1,"1:1","1:Many")</f>
        <v>1:1</v>
      </c>
      <c r="D14" s="42" t="str" cm="1">
        <f t="array" ref="D14">_xlfn.TEXTJOIN(" | ",TRUE,_xlfn._xlws.FILTER(PriceList!$B$4:$B$2641,PriceList!$M$4:$M$2641=A14,""))</f>
        <v>PNRS010-0180-0280-105</v>
      </c>
      <c r="E14" t="str" cm="1">
        <f t="array" ref="E14">_xlfn.TEXTJOIN(", ",TRUE,_xlfn._xlws.FILTER(ROW(PriceList!$B$4:$B$2641),PriceList!$M$4:$M$2641=A14,""))</f>
        <v>2153</v>
      </c>
      <c r="F14" s="42" t="str" cm="1">
        <f t="array" ref="F14">_xlfn.TEXTJOIN(" | ",TRUE,_xlfn.UNIQUE(_xlfn._xlws.FILTER(PriceList!$Q$4:$Q$2641&amp;" x "&amp;PriceList!$R$4:$R$2641&amp;" x "&amp;PriceList!$S$4:$S$2641,PriceList!$M$4:$M$2641=A14,"")))</f>
        <v>19 x 28 x 2.5</v>
      </c>
      <c r="G14" t="str" cm="1">
        <f t="array" ref="G14">INDEX(_xlfn._xlws.FILTER(PriceList!$P$4:$P$2641,PriceList!$M$4:$M$2641=A14,""),1)</f>
        <v>Piston Seal - Pneumatic - Airzet Type</v>
      </c>
    </row>
    <row r="15" spans="1:7" x14ac:dyDescent="0.45">
      <c r="A15" t="s">
        <v>5222</v>
      </c>
      <c r="B15">
        <f>COUNTIF(PriceList!$M$4:$M$2641,A15)</f>
        <v>1</v>
      </c>
      <c r="C15" t="str">
        <f>IF(B15=1,"1:1","1:Many")</f>
        <v>1:1</v>
      </c>
      <c r="D15" s="42" t="str" cm="1">
        <f t="array" ref="D15">_xlfn.TEXTJOIN(" | ",TRUE,_xlfn._xlws.FILTER(PriceList!$B$4:$B$2641,PriceList!$M$4:$M$2641=A15,""))</f>
        <v>PNRS010-0200-0300-105</v>
      </c>
      <c r="E15" t="str" cm="1">
        <f t="array" ref="E15">_xlfn.TEXTJOIN(", ",TRUE,_xlfn._xlws.FILTER(ROW(PriceList!$B$4:$B$2641),PriceList!$M$4:$M$2641=A15,""))</f>
        <v>2154</v>
      </c>
      <c r="F15" s="42" t="str" cm="1">
        <f t="array" ref="F15">_xlfn.TEXTJOIN(" | ",TRUE,_xlfn.UNIQUE(_xlfn._xlws.FILTER(PriceList!$Q$4:$Q$2641&amp;" x "&amp;PriceList!$R$4:$R$2641&amp;" x "&amp;PriceList!$S$4:$S$2641,PriceList!$M$4:$M$2641=A15,"")))</f>
        <v>21 x 30 x 2.5</v>
      </c>
      <c r="G15" t="str" cm="1">
        <f t="array" ref="G15">INDEX(_xlfn._xlws.FILTER(PriceList!$P$4:$P$2641,PriceList!$M$4:$M$2641=A15,""),1)</f>
        <v>Piston Seal - Pneumatic - Airzet Type</v>
      </c>
    </row>
    <row r="16" spans="1:7" x14ac:dyDescent="0.45">
      <c r="A16" t="s">
        <v>5223</v>
      </c>
      <c r="B16">
        <f>COUNTIF(PriceList!$M$4:$M$2641,A16)</f>
        <v>1</v>
      </c>
      <c r="C16" t="str">
        <f>IF(B16=1,"1:1","1:Many")</f>
        <v>1:1</v>
      </c>
      <c r="D16" s="42" t="str" cm="1">
        <f t="array" ref="D16">_xlfn.TEXTJOIN(" | ",TRUE,_xlfn._xlws.FILTER(PriceList!$B$4:$B$2641,PriceList!$M$4:$M$2641=A16,""))</f>
        <v>PNRS010-0220-0320-105</v>
      </c>
      <c r="E16" t="str" cm="1">
        <f t="array" ref="E16">_xlfn.TEXTJOIN(", ",TRUE,_xlfn._xlws.FILTER(ROW(PriceList!$B$4:$B$2641),PriceList!$M$4:$M$2641=A16,""))</f>
        <v>2155</v>
      </c>
      <c r="F16" s="42" t="str" cm="1">
        <f t="array" ref="F16">_xlfn.TEXTJOIN(" | ",TRUE,_xlfn.UNIQUE(_xlfn._xlws.FILTER(PriceList!$Q$4:$Q$2641&amp;" x "&amp;PriceList!$R$4:$R$2641&amp;" x "&amp;PriceList!$S$4:$S$2641,PriceList!$M$4:$M$2641=A16,"")))</f>
        <v>23 x 32 x 2.5</v>
      </c>
      <c r="G16" t="str" cm="1">
        <f t="array" ref="G16">INDEX(_xlfn._xlws.FILTER(PriceList!$P$4:$P$2641,PriceList!$M$4:$M$2641=A16,""),1)</f>
        <v>Piston Seal - Pneumatic - Airzet Type</v>
      </c>
    </row>
    <row r="17" spans="1:7" x14ac:dyDescent="0.45">
      <c r="A17" t="s">
        <v>5224</v>
      </c>
      <c r="B17">
        <f>COUNTIF(PriceList!$M$4:$M$2641,A17)</f>
        <v>1</v>
      </c>
      <c r="C17" t="str">
        <f>IF(B17=1,"1:1","1:Many")</f>
        <v>1:1</v>
      </c>
      <c r="D17" s="42" t="str" cm="1">
        <f t="array" ref="D17">_xlfn.TEXTJOIN(" | ",TRUE,_xlfn._xlws.FILTER(PriceList!$B$4:$B$2641,PriceList!$M$4:$M$2641=A17,""))</f>
        <v>PNRS010-0250-0350-105</v>
      </c>
      <c r="E17" t="str" cm="1">
        <f t="array" ref="E17">_xlfn.TEXTJOIN(", ",TRUE,_xlfn._xlws.FILTER(ROW(PriceList!$B$4:$B$2641),PriceList!$M$4:$M$2641=A17,""))</f>
        <v>2156</v>
      </c>
      <c r="F17" s="42" t="str" cm="1">
        <f t="array" ref="F17">_xlfn.TEXTJOIN(" | ",TRUE,_xlfn.UNIQUE(_xlfn._xlws.FILTER(PriceList!$Q$4:$Q$2641&amp;" x "&amp;PriceList!$R$4:$R$2641&amp;" x "&amp;PriceList!$S$4:$S$2641,PriceList!$M$4:$M$2641=A17,"")))</f>
        <v>26 x 35 x 2.5</v>
      </c>
      <c r="G17" t="str" cm="1">
        <f t="array" ref="G17">INDEX(_xlfn._xlws.FILTER(PriceList!$P$4:$P$2641,PriceList!$M$4:$M$2641=A17,""),1)</f>
        <v>Piston Seal - Pneumatic - Airzet Type</v>
      </c>
    </row>
    <row r="18" spans="1:7" x14ac:dyDescent="0.45">
      <c r="A18" t="s">
        <v>5226</v>
      </c>
      <c r="B18">
        <f>COUNTIF(PriceList!$M$4:$M$2641,A18)</f>
        <v>1</v>
      </c>
      <c r="C18" t="str">
        <f>IF(B18=1,"1:1","1:Many")</f>
        <v>1:1</v>
      </c>
      <c r="D18" s="42" t="str" cm="1">
        <f t="array" ref="D18">_xlfn.TEXTJOIN(" | ",TRUE,_xlfn._xlws.FILTER(PriceList!$B$4:$B$2641,PriceList!$M$4:$M$2641=A18,""))</f>
        <v>PNRS010-0350-0450-105</v>
      </c>
      <c r="E18" t="str" cm="1">
        <f t="array" ref="E18">_xlfn.TEXTJOIN(", ",TRUE,_xlfn._xlws.FILTER(ROW(PriceList!$B$4:$B$2641),PriceList!$M$4:$M$2641=A18,""))</f>
        <v>2158</v>
      </c>
      <c r="F18" s="42" t="str" cm="1">
        <f t="array" ref="F18">_xlfn.TEXTJOIN(" | ",TRUE,_xlfn.UNIQUE(_xlfn._xlws.FILTER(PriceList!$Q$4:$Q$2641&amp;" x "&amp;PriceList!$R$4:$R$2641&amp;" x "&amp;PriceList!$S$4:$S$2641,PriceList!$M$4:$M$2641=A18,"")))</f>
        <v>36 x 45 x 2.7</v>
      </c>
      <c r="G18" t="str" cm="1">
        <f t="array" ref="G18">INDEX(_xlfn._xlws.FILTER(PriceList!$P$4:$P$2641,PriceList!$M$4:$M$2641=A18,""),1)</f>
        <v>Piston Seal - Pneumatic - Airzet Type</v>
      </c>
    </row>
    <row r="19" spans="1:7" x14ac:dyDescent="0.45">
      <c r="A19" t="s">
        <v>5227</v>
      </c>
      <c r="B19">
        <f>COUNTIF(PriceList!$M$4:$M$2641,A19)</f>
        <v>1</v>
      </c>
      <c r="C19" t="str">
        <f>IF(B19=1,"1:1","1:Many")</f>
        <v>1:1</v>
      </c>
      <c r="D19" s="42" t="str" cm="1">
        <f t="array" ref="D19">_xlfn.TEXTJOIN(" | ",TRUE,_xlfn._xlws.FILTER(PriceList!$B$4:$B$2641,PriceList!$M$4:$M$2641=A19,""))</f>
        <v>PNRS010-0400-0500-105</v>
      </c>
      <c r="E19" t="str" cm="1">
        <f t="array" ref="E19">_xlfn.TEXTJOIN(", ",TRUE,_xlfn._xlws.FILTER(ROW(PriceList!$B$4:$B$2641),PriceList!$M$4:$M$2641=A19,""))</f>
        <v>2159</v>
      </c>
      <c r="F19" s="42" t="str" cm="1">
        <f t="array" ref="F19">_xlfn.TEXTJOIN(" | ",TRUE,_xlfn.UNIQUE(_xlfn._xlws.FILTER(PriceList!$Q$4:$Q$2641&amp;" x "&amp;PriceList!$R$4:$R$2641&amp;" x "&amp;PriceList!$S$4:$S$2641,PriceList!$M$4:$M$2641=A19,"")))</f>
        <v>40 x 50 x 3.8</v>
      </c>
      <c r="G19" t="str" cm="1">
        <f t="array" ref="G19">INDEX(_xlfn._xlws.FILTER(PriceList!$P$4:$P$2641,PriceList!$M$4:$M$2641=A19,""),1)</f>
        <v>Piston Seal - Pneumatic - PSD Type</v>
      </c>
    </row>
    <row r="20" spans="1:7" x14ac:dyDescent="0.45">
      <c r="A20" t="s">
        <v>4596</v>
      </c>
      <c r="B20">
        <f>COUNTIF(PriceList!$M$4:$M$2641,A20)</f>
        <v>1</v>
      </c>
      <c r="C20" t="str">
        <f>IF(B20=1,"1:1","1:Many")</f>
        <v>1:1</v>
      </c>
      <c r="D20" s="42" t="str" cm="1">
        <f t="array" ref="D20">_xlfn.TEXTJOIN(" | ",TRUE,_xlfn._xlws.FILTER(PriceList!$B$4:$B$2641,PriceList!$M$4:$M$2641=A20,""))</f>
        <v>ORV8 002.9-1.78</v>
      </c>
      <c r="E20" t="str" cm="1">
        <f t="array" ref="E20">_xlfn.TEXTJOIN(", ",TRUE,_xlfn._xlws.FILTER(ROW(PriceList!$B$4:$B$2641),PriceList!$M$4:$M$2641=A20,""))</f>
        <v>1543</v>
      </c>
      <c r="F20" s="42" t="str" cm="1">
        <f t="array" ref="F20">_xlfn.TEXTJOIN(" | ",TRUE,_xlfn.UNIQUE(_xlfn._xlws.FILTER(PriceList!$Q$4:$Q$2641&amp;" x "&amp;PriceList!$R$4:$R$2641&amp;" x "&amp;PriceList!$S$4:$S$2641,PriceList!$M$4:$M$2641=A20,"")))</f>
        <v>2.794 x 6.35 x 1.778</v>
      </c>
      <c r="G20" t="str" cm="1">
        <f t="array" ref="G20">INDEX(_xlfn._xlws.FILTER(PriceList!$P$4:$P$2641,PriceList!$M$4:$M$2641=A20,""),1)</f>
        <v>O Ring - FPM/FKM/VitonÂ®</v>
      </c>
    </row>
    <row r="21" spans="1:7" x14ac:dyDescent="0.45">
      <c r="A21" t="s">
        <v>4599</v>
      </c>
      <c r="B21">
        <f>COUNTIF(PriceList!$M$4:$M$2641,A21)</f>
        <v>1</v>
      </c>
      <c r="C21" t="str">
        <f>IF(B21=1,"1:1","1:Many")</f>
        <v>1:1</v>
      </c>
      <c r="D21" s="42" t="str" cm="1">
        <f t="array" ref="D21">_xlfn.TEXTJOIN(" | ",TRUE,_xlfn._xlws.FILTER(PriceList!$B$4:$B$2641,PriceList!$M$4:$M$2641=A21,""))</f>
        <v>ORV8 003.6-1.78</v>
      </c>
      <c r="E21" t="str" cm="1">
        <f t="array" ref="E21">_xlfn.TEXTJOIN(", ",TRUE,_xlfn._xlws.FILTER(ROW(PriceList!$B$4:$B$2641),PriceList!$M$4:$M$2641=A21,""))</f>
        <v>1544</v>
      </c>
      <c r="F21" s="42" t="str" cm="1">
        <f t="array" ref="F21">_xlfn.TEXTJOIN(" | ",TRUE,_xlfn.UNIQUE(_xlfn._xlws.FILTER(PriceList!$Q$4:$Q$2641&amp;" x "&amp;PriceList!$R$4:$R$2641&amp;" x "&amp;PriceList!$S$4:$S$2641,PriceList!$M$4:$M$2641=A21,"")))</f>
        <v>3.556 x 7.112 x 1.778</v>
      </c>
      <c r="G21" t="str" cm="1">
        <f t="array" ref="G21">INDEX(_xlfn._xlws.FILTER(PriceList!$P$4:$P$2641,PriceList!$M$4:$M$2641=A21,""),1)</f>
        <v>O Ring - FPM/FKM/VitonÂ®</v>
      </c>
    </row>
    <row r="22" spans="1:7" x14ac:dyDescent="0.45">
      <c r="A22" t="s">
        <v>4351</v>
      </c>
      <c r="B22">
        <f>COUNTIF(PriceList!$M$4:$M$2641,A22)</f>
        <v>1</v>
      </c>
      <c r="C22" t="str">
        <f>IF(B22=1,"1:1","1:Many")</f>
        <v>1:1</v>
      </c>
      <c r="D22" s="42" t="str" cm="1">
        <f t="array" ref="D22">_xlfn.TEXTJOIN(" | ",TRUE,_xlfn._xlws.FILTER(PriceList!$B$4:$B$2641,PriceList!$M$4:$M$2641=A22,""))</f>
        <v>OR9N 005.28-1.78</v>
      </c>
      <c r="E22" t="str" cm="1">
        <f t="array" ref="E22">_xlfn.TEXTJOIN(", ",TRUE,_xlfn._xlws.FILTER(ROW(PriceList!$B$4:$B$2641),PriceList!$M$4:$M$2641=A22,""))</f>
        <v>932</v>
      </c>
      <c r="F22" s="42" t="str" cm="1">
        <f t="array" ref="F22">_xlfn.TEXTJOIN(" | ",TRUE,_xlfn.UNIQUE(_xlfn._xlws.FILTER(PriceList!$Q$4:$Q$2641&amp;" x "&amp;PriceList!$R$4:$R$2641&amp;" x "&amp;PriceList!$S$4:$S$2641,PriceList!$M$4:$M$2641=A22,"")))</f>
        <v>5.334 x 8.89 x 1.778</v>
      </c>
      <c r="G22" t="str" cm="1">
        <f t="array" ref="G22">INDEX(_xlfn._xlws.FILTER(PriceList!$P$4:$P$2641,PriceList!$M$4:$M$2641=A22,""),1)</f>
        <v>O Ring - NBR 70</v>
      </c>
    </row>
    <row r="23" spans="1:7" x14ac:dyDescent="0.45">
      <c r="A23" t="s">
        <v>4606</v>
      </c>
      <c r="B23">
        <f>COUNTIF(PriceList!$M$4:$M$2641,A23)</f>
        <v>1</v>
      </c>
      <c r="C23" t="str">
        <f>IF(B23=1,"1:1","1:Many")</f>
        <v>1:1</v>
      </c>
      <c r="D23" s="42" t="str" cm="1">
        <f t="array" ref="D23">_xlfn.TEXTJOIN(" | ",TRUE,_xlfn._xlws.FILTER(PriceList!$B$4:$B$2641,PriceList!$M$4:$M$2641=A23,""))</f>
        <v>ORV8 005.28-1.78</v>
      </c>
      <c r="E23" t="str" cm="1">
        <f t="array" ref="E23">_xlfn.TEXTJOIN(", ",TRUE,_xlfn._xlws.FILTER(ROW(PriceList!$B$4:$B$2641),PriceList!$M$4:$M$2641=A23,""))</f>
        <v>1549</v>
      </c>
      <c r="F23" s="42" t="str" cm="1">
        <f t="array" ref="F23">_xlfn.TEXTJOIN(" | ",TRUE,_xlfn.UNIQUE(_xlfn._xlws.FILTER(PriceList!$Q$4:$Q$2641&amp;" x "&amp;PriceList!$R$4:$R$2641&amp;" x "&amp;PriceList!$S$4:$S$2641,PriceList!$M$4:$M$2641=A23,"")))</f>
        <v>5.334 x 8.89 x 1.778</v>
      </c>
      <c r="G23" t="str" cm="1">
        <f t="array" ref="G23">INDEX(_xlfn._xlws.FILTER(PriceList!$P$4:$P$2641,PriceList!$M$4:$M$2641=A23,""),1)</f>
        <v>O Ring - FPM/FKM/VitonÂ®</v>
      </c>
    </row>
    <row r="24" spans="1:7" x14ac:dyDescent="0.45">
      <c r="A24" t="s">
        <v>4655</v>
      </c>
      <c r="B24">
        <f>COUNTIF(PriceList!$M$4:$M$2641,A24)</f>
        <v>1</v>
      </c>
      <c r="C24" t="str">
        <f>IF(B24=1,"1:1","1:Many")</f>
        <v>1:1</v>
      </c>
      <c r="D24" s="42" t="str" cm="1">
        <f t="array" ref="D24">_xlfn.TEXTJOIN(" | ",TRUE,_xlfn._xlws.FILTER(PriceList!$B$4:$B$2641,PriceList!$M$4:$M$2641=A24,""))</f>
        <v>ORV8 012.42-1.78</v>
      </c>
      <c r="E24" t="str" cm="1">
        <f t="array" ref="E24">_xlfn.TEXTJOIN(", ",TRUE,_xlfn._xlws.FILTER(ROW(PriceList!$B$4:$B$2641),PriceList!$M$4:$M$2641=A24,""))</f>
        <v>1597</v>
      </c>
      <c r="F24" s="42" t="str" cm="1">
        <f t="array" ref="F24">_xlfn.TEXTJOIN(" | ",TRUE,_xlfn.UNIQUE(_xlfn._xlws.FILTER(PriceList!$Q$4:$Q$2641&amp;" x "&amp;PriceList!$R$4:$R$2641&amp;" x "&amp;PriceList!$S$4:$S$2641,PriceList!$M$4:$M$2641=A24,"")))</f>
        <v>12.446 x 16.002 x 1.778</v>
      </c>
      <c r="G24" t="str" cm="1">
        <f t="array" ref="G24">INDEX(_xlfn._xlws.FILTER(PriceList!$P$4:$P$2641,PriceList!$M$4:$M$2641=A24,""),1)</f>
        <v>O Ring - FPM/FKM/VitonÂ®</v>
      </c>
    </row>
    <row r="25" spans="1:7" x14ac:dyDescent="0.45">
      <c r="A25" t="s">
        <v>4674</v>
      </c>
      <c r="B25">
        <f>COUNTIF(PriceList!$M$4:$M$2641,A25)</f>
        <v>1</v>
      </c>
      <c r="C25" t="str">
        <f>IF(B25=1,"1:1","1:Many")</f>
        <v>1:1</v>
      </c>
      <c r="D25" s="42" t="str" cm="1">
        <f t="array" ref="D25">_xlfn.TEXTJOIN(" | ",TRUE,_xlfn._xlws.FILTER(PriceList!$B$4:$B$2641,PriceList!$M$4:$M$2641=A25,""))</f>
        <v>ORV8 015.6-1.78</v>
      </c>
      <c r="E25" t="str" cm="1">
        <f t="array" ref="E25">_xlfn.TEXTJOIN(", ",TRUE,_xlfn._xlws.FILTER(ROW(PriceList!$B$4:$B$2641),PriceList!$M$4:$M$2641=A25,""))</f>
        <v>1616</v>
      </c>
      <c r="F25" s="42" t="str" cm="1">
        <f t="array" ref="F25">_xlfn.TEXTJOIN(" | ",TRUE,_xlfn.UNIQUE(_xlfn._xlws.FILTER(PriceList!$Q$4:$Q$2641&amp;" x "&amp;PriceList!$R$4:$R$2641&amp;" x "&amp;PriceList!$S$4:$S$2641,PriceList!$M$4:$M$2641=A25,"")))</f>
        <v>15.494 x 19.05 x 1.778</v>
      </c>
      <c r="G25" t="str" cm="1">
        <f t="array" ref="G25">INDEX(_xlfn._xlws.FILTER(PriceList!$P$4:$P$2641,PriceList!$M$4:$M$2641=A25,""),1)</f>
        <v>O Ring - FPM/FKM/VitonÂ®</v>
      </c>
    </row>
    <row r="26" spans="1:7" x14ac:dyDescent="0.45">
      <c r="A26" t="s">
        <v>3966</v>
      </c>
      <c r="B26">
        <f>COUNTIF(PriceList!$M$4:$M$2641,A26)</f>
        <v>2</v>
      </c>
      <c r="C26" t="str">
        <f>IF(B26=1,"1:1","1:Many")</f>
        <v>1:Many</v>
      </c>
      <c r="D26" s="42" t="str" cm="1">
        <f t="array" ref="D26">_xlfn.TEXTJOIN(" | ",TRUE,_xlfn._xlws.FILTER(PriceList!$B$4:$B$2641,PriceList!$M$4:$M$2641=A26,""))</f>
        <v>OR7N 018.77-1.78 | OR9N 018.77-1.78</v>
      </c>
      <c r="E26" t="str" cm="1">
        <f t="array" ref="E26">_xlfn.TEXTJOIN(", ",TRUE,_xlfn._xlws.FILTER(ROW(PriceList!$B$4:$B$2641),PriceList!$M$4:$M$2641=A26,""))</f>
        <v>593, 1012</v>
      </c>
      <c r="F26" s="42" t="str" cm="1">
        <f t="array" ref="F26">_xlfn.TEXTJOIN(" | ",TRUE,_xlfn.UNIQUE(_xlfn._xlws.FILTER(PriceList!$Q$4:$Q$2641&amp;" x "&amp;PriceList!$R$4:$R$2641&amp;" x "&amp;PriceList!$S$4:$S$2641,PriceList!$M$4:$M$2641=A26,"")))</f>
        <v>18.796 x 22.352 x 1.778</v>
      </c>
      <c r="G26" t="str" cm="1">
        <f t="array" ref="G26">INDEX(_xlfn._xlws.FILTER(PriceList!$P$4:$P$2641,PriceList!$M$4:$M$2641=A26,""),1)</f>
        <v>O Ring - EPDM</v>
      </c>
    </row>
    <row r="27" spans="1:7" x14ac:dyDescent="0.45">
      <c r="A27" t="s">
        <v>4701</v>
      </c>
      <c r="B27">
        <f>COUNTIF(PriceList!$M$4:$M$2641,A27)</f>
        <v>1</v>
      </c>
      <c r="C27" t="str">
        <f>IF(B27=1,"1:1","1:Many")</f>
        <v>1:1</v>
      </c>
      <c r="D27" s="42" t="str" cm="1">
        <f t="array" ref="D27">_xlfn.TEXTJOIN(" | ",TRUE,_xlfn._xlws.FILTER(PriceList!$B$4:$B$2641,PriceList!$M$4:$M$2641=A27,""))</f>
        <v>ORV8 018.77-1.78</v>
      </c>
      <c r="E27" t="str" cm="1">
        <f t="array" ref="E27">_xlfn.TEXTJOIN(", ",TRUE,_xlfn._xlws.FILTER(ROW(PriceList!$B$4:$B$2641),PriceList!$M$4:$M$2641=A27,""))</f>
        <v>1644</v>
      </c>
      <c r="F27" s="42" t="str" cm="1">
        <f t="array" ref="F27">_xlfn.TEXTJOIN(" | ",TRUE,_xlfn.UNIQUE(_xlfn._xlws.FILTER(PriceList!$Q$4:$Q$2641&amp;" x "&amp;PriceList!$R$4:$R$2641&amp;" x "&amp;PriceList!$S$4:$S$2641,PriceList!$M$4:$M$2641=A27,"")))</f>
        <v>18.796 x 22.352 x 1.778</v>
      </c>
      <c r="G27" t="str" cm="1">
        <f t="array" ref="G27">INDEX(_xlfn._xlws.FILTER(PriceList!$P$4:$P$2641,PriceList!$M$4:$M$2641=A27,""),1)</f>
        <v>O Ring - FPM/FKM/VitonÂ®</v>
      </c>
    </row>
    <row r="28" spans="1:7" x14ac:dyDescent="0.45">
      <c r="A28" t="s">
        <v>3972</v>
      </c>
      <c r="B28">
        <f>COUNTIF(PriceList!$M$4:$M$2641,A28)</f>
        <v>2</v>
      </c>
      <c r="C28" t="str">
        <f>IF(B28=1,"1:1","1:Many")</f>
        <v>1:Many</v>
      </c>
      <c r="D28" s="42" t="str" cm="1">
        <f t="array" ref="D28">_xlfn.TEXTJOIN(" | ",TRUE,_xlfn._xlws.FILTER(PriceList!$B$4:$B$2641,PriceList!$M$4:$M$2641=A28,""))</f>
        <v>OR7N 020.35-1.78 | OR9N 020.35-1.78</v>
      </c>
      <c r="E28" t="str" cm="1">
        <f t="array" ref="E28">_xlfn.TEXTJOIN(", ",TRUE,_xlfn._xlws.FILTER(ROW(PriceList!$B$4:$B$2641),PriceList!$M$4:$M$2641=A28,""))</f>
        <v>597, 1021</v>
      </c>
      <c r="F28" s="42" t="str" cm="1">
        <f t="array" ref="F28">_xlfn.TEXTJOIN(" | ",TRUE,_xlfn.UNIQUE(_xlfn._xlws.FILTER(PriceList!$Q$4:$Q$2641&amp;" x "&amp;PriceList!$R$4:$R$2641&amp;" x "&amp;PriceList!$S$4:$S$2641,PriceList!$M$4:$M$2641=A28,"")))</f>
        <v>20.32 x 23.876 x 1.778</v>
      </c>
      <c r="G28" t="str" cm="1">
        <f t="array" ref="G28">INDEX(_xlfn._xlws.FILTER(PriceList!$P$4:$P$2641,PriceList!$M$4:$M$2641=A28,""),1)</f>
        <v>O Ring - NBR 70</v>
      </c>
    </row>
    <row r="29" spans="1:7" x14ac:dyDescent="0.45">
      <c r="A29" t="s">
        <v>4710</v>
      </c>
      <c r="B29">
        <f>COUNTIF(PriceList!$M$4:$M$2641,A29)</f>
        <v>2</v>
      </c>
      <c r="C29" t="str">
        <f>IF(B29=1,"1:1","1:Many")</f>
        <v>1:Many</v>
      </c>
      <c r="D29" s="42" t="str" cm="1">
        <f t="array" ref="D29">_xlfn.TEXTJOIN(" | ",TRUE,_xlfn._xlws.FILTER(PriceList!$B$4:$B$2641,PriceList!$M$4:$M$2641=A29,""))</f>
        <v>ORV8 020.35-1.78 | ORV8 020-2</v>
      </c>
      <c r="E29" t="str" cm="1">
        <f t="array" ref="E29">_xlfn.TEXTJOIN(", ",TRUE,_xlfn._xlws.FILTER(ROW(PriceList!$B$4:$B$2641),PriceList!$M$4:$M$2641=A29,""))</f>
        <v>1654, 1658</v>
      </c>
      <c r="F29" s="42" t="str" cm="1">
        <f t="array" ref="F29">_xlfn.TEXTJOIN(" | ",TRUE,_xlfn.UNIQUE(_xlfn._xlws.FILTER(PriceList!$Q$4:$Q$2641&amp;" x "&amp;PriceList!$R$4:$R$2641&amp;" x "&amp;PriceList!$S$4:$S$2641,PriceList!$M$4:$M$2641=A29,"")))</f>
        <v>20.32 x 23.876 x 1.778</v>
      </c>
      <c r="G29" t="str" cm="1">
        <f t="array" ref="G29">INDEX(_xlfn._xlws.FILTER(PriceList!$P$4:$P$2641,PriceList!$M$4:$M$2641=A29,""),1)</f>
        <v>O Ring - FPM/FKM/VitonÂ®</v>
      </c>
    </row>
    <row r="30" spans="1:7" x14ac:dyDescent="0.45">
      <c r="A30" t="s">
        <v>4731</v>
      </c>
      <c r="B30">
        <f>COUNTIF(PriceList!$M$4:$M$2641,A30)</f>
        <v>1</v>
      </c>
      <c r="C30" t="str">
        <f>IF(B30=1,"1:1","1:Many")</f>
        <v>1:1</v>
      </c>
      <c r="D30" s="42" t="str" cm="1">
        <f t="array" ref="D30">_xlfn.TEXTJOIN(" | ",TRUE,_xlfn._xlws.FILTER(PriceList!$B$4:$B$2641,PriceList!$M$4:$M$2641=A30,""))</f>
        <v>ORV8 023.52-1.78</v>
      </c>
      <c r="E30" t="str" cm="1">
        <f t="array" ref="E30">_xlfn.TEXTJOIN(", ",TRUE,_xlfn._xlws.FILTER(ROW(PriceList!$B$4:$B$2641),PriceList!$M$4:$M$2641=A30,""))</f>
        <v>1681</v>
      </c>
      <c r="F30" s="42" t="str" cm="1">
        <f t="array" ref="F30">_xlfn.TEXTJOIN(" | ",TRUE,_xlfn.UNIQUE(_xlfn._xlws.FILTER(PriceList!$Q$4:$Q$2641&amp;" x "&amp;PriceList!$R$4:$R$2641&amp;" x "&amp;PriceList!$S$4:$S$2641,PriceList!$M$4:$M$2641=A30,"")))</f>
        <v>23.622 x 27.178 x 1.778</v>
      </c>
      <c r="G30" t="str" cm="1">
        <f t="array" ref="G30">INDEX(_xlfn._xlws.FILTER(PriceList!$P$4:$P$2641,PriceList!$M$4:$M$2641=A30,""),1)</f>
        <v>O Ring - FPM/FKM/VitonÂ®</v>
      </c>
    </row>
    <row r="31" spans="1:7" x14ac:dyDescent="0.45">
      <c r="A31" t="s">
        <v>3995</v>
      </c>
      <c r="B31">
        <f>COUNTIF(PriceList!$M$4:$M$2641,A31)</f>
        <v>2</v>
      </c>
      <c r="C31" t="str">
        <f>IF(B31=1,"1:1","1:Many")</f>
        <v>1:Many</v>
      </c>
      <c r="D31" s="42" t="str" cm="1">
        <f t="array" ref="D31">_xlfn.TEXTJOIN(" | ",TRUE,_xlfn._xlws.FILTER(PriceList!$B$4:$B$2641,PriceList!$M$4:$M$2641=A31,""))</f>
        <v>OR7N 025.12-1.78 | OR9N 025.12-1.78</v>
      </c>
      <c r="E31" t="str" cm="1">
        <f t="array" ref="E31">_xlfn.TEXTJOIN(", ",TRUE,_xlfn._xlws.FILTER(ROW(PriceList!$B$4:$B$2641),PriceList!$M$4:$M$2641=A31,""))</f>
        <v>611, 1051</v>
      </c>
      <c r="F31" s="42" t="str" cm="1">
        <f t="array" ref="F31">_xlfn.TEXTJOIN(" | ",TRUE,_xlfn.UNIQUE(_xlfn._xlws.FILTER(PriceList!$Q$4:$Q$2641&amp;" x "&amp;PriceList!$R$4:$R$2641&amp;" x "&amp;PriceList!$S$4:$S$2641,PriceList!$M$4:$M$2641=A31,"")))</f>
        <v>25.146 x 28.702 x 1.778</v>
      </c>
      <c r="G31" t="str" cm="1">
        <f t="array" ref="G31">INDEX(_xlfn._xlws.FILTER(PriceList!$P$4:$P$2641,PriceList!$M$4:$M$2641=A31,""),1)</f>
        <v>O Ring - NBR 70</v>
      </c>
    </row>
    <row r="32" spans="1:7" x14ac:dyDescent="0.45">
      <c r="A32" t="s">
        <v>4744</v>
      </c>
      <c r="B32">
        <f>COUNTIF(PriceList!$M$4:$M$2641,A32)</f>
        <v>1</v>
      </c>
      <c r="C32" t="str">
        <f>IF(B32=1,"1:1","1:Many")</f>
        <v>1:1</v>
      </c>
      <c r="D32" s="42" t="str" cm="1">
        <f t="array" ref="D32">_xlfn.TEXTJOIN(" | ",TRUE,_xlfn._xlws.FILTER(PriceList!$B$4:$B$2641,PriceList!$M$4:$M$2641=A32,""))</f>
        <v>ORV8 025.12-1.78</v>
      </c>
      <c r="E32" t="str" cm="1">
        <f t="array" ref="E32">_xlfn.TEXTJOIN(", ",TRUE,_xlfn._xlws.FILTER(ROW(PriceList!$B$4:$B$2641),PriceList!$M$4:$M$2641=A32,""))</f>
        <v>1694</v>
      </c>
      <c r="F32" s="42" t="str" cm="1">
        <f t="array" ref="F32">_xlfn.TEXTJOIN(" | ",TRUE,_xlfn.UNIQUE(_xlfn._xlws.FILTER(PriceList!$Q$4:$Q$2641&amp;" x "&amp;PriceList!$R$4:$R$2641&amp;" x "&amp;PriceList!$S$4:$S$2641,PriceList!$M$4:$M$2641=A32,"")))</f>
        <v>25.146 x 28.702 x 1.778</v>
      </c>
      <c r="G32" t="str" cm="1">
        <f t="array" ref="G32">INDEX(_xlfn._xlws.FILTER(PriceList!$P$4:$P$2641,PriceList!$M$4:$M$2641=A32,""),1)</f>
        <v>O Ring - FPM/FKM/VitonÂ®</v>
      </c>
    </row>
    <row r="33" spans="1:7" x14ac:dyDescent="0.45">
      <c r="A33" t="s">
        <v>4410</v>
      </c>
      <c r="B33">
        <f>COUNTIF(PriceList!$M$4:$M$2641,A33)</f>
        <v>1</v>
      </c>
      <c r="C33" t="str">
        <f>IF(B33=1,"1:1","1:Many")</f>
        <v>1:1</v>
      </c>
      <c r="D33" s="42" t="str" cm="1">
        <f t="array" ref="D33">_xlfn.TEXTJOIN(" | ",TRUE,_xlfn._xlws.FILTER(PriceList!$B$4:$B$2641,PriceList!$M$4:$M$2641=A33,""))</f>
        <v>OR9N 026.7-1.78</v>
      </c>
      <c r="E33" t="str" cm="1">
        <f t="array" ref="E33">_xlfn.TEXTJOIN(", ",TRUE,_xlfn._xlws.FILTER(ROW(PriceList!$B$4:$B$2641),PriceList!$M$4:$M$2641=A33,""))</f>
        <v>1060</v>
      </c>
      <c r="F33" s="42" t="str" cm="1">
        <f t="array" ref="F33">_xlfn.TEXTJOIN(" | ",TRUE,_xlfn.UNIQUE(_xlfn._xlws.FILTER(PriceList!$Q$4:$Q$2641&amp;" x "&amp;PriceList!$R$4:$R$2641&amp;" x "&amp;PriceList!$S$4:$S$2641,PriceList!$M$4:$M$2641=A33,"")))</f>
        <v>26.67 x 30.226 x 1.778</v>
      </c>
      <c r="G33" t="str" cm="1">
        <f t="array" ref="G33">INDEX(_xlfn._xlws.FILTER(PriceList!$P$4:$P$2641,PriceList!$M$4:$M$2641=A33,""),1)</f>
        <v>O Ring - EPDM</v>
      </c>
    </row>
    <row r="34" spans="1:7" x14ac:dyDescent="0.45">
      <c r="A34" t="s">
        <v>4752</v>
      </c>
      <c r="B34">
        <f>COUNTIF(PriceList!$M$4:$M$2641,A34)</f>
        <v>1</v>
      </c>
      <c r="C34" t="str">
        <f>IF(B34=1,"1:1","1:Many")</f>
        <v>1:1</v>
      </c>
      <c r="D34" s="42" t="str" cm="1">
        <f t="array" ref="D34">_xlfn.TEXTJOIN(" | ",TRUE,_xlfn._xlws.FILTER(PriceList!$B$4:$B$2641,PriceList!$M$4:$M$2641=A34,""))</f>
        <v>ORV8 026.7-1.78</v>
      </c>
      <c r="E34" t="str" cm="1">
        <f t="array" ref="E34">_xlfn.TEXTJOIN(", ",TRUE,_xlfn._xlws.FILTER(ROW(PriceList!$B$4:$B$2641),PriceList!$M$4:$M$2641=A34,""))</f>
        <v>1703</v>
      </c>
      <c r="F34" s="42" t="str" cm="1">
        <f t="array" ref="F34">_xlfn.TEXTJOIN(" | ",TRUE,_xlfn.UNIQUE(_xlfn._xlws.FILTER(PriceList!$Q$4:$Q$2641&amp;" x "&amp;PriceList!$R$4:$R$2641&amp;" x "&amp;PriceList!$S$4:$S$2641,PriceList!$M$4:$M$2641=A34,"")))</f>
        <v>26.67 x 30.226 x 1.778</v>
      </c>
      <c r="G34" t="str" cm="1">
        <f t="array" ref="G34">INDEX(_xlfn._xlws.FILTER(PriceList!$P$4:$P$2641,PriceList!$M$4:$M$2641=A34,""),1)</f>
        <v>O Ring - FPM/FKM/VitonÂ®</v>
      </c>
    </row>
    <row r="35" spans="1:7" x14ac:dyDescent="0.45">
      <c r="A35" t="s">
        <v>4012</v>
      </c>
      <c r="B35">
        <f>COUNTIF(PriceList!$M$4:$M$2641,A35)</f>
        <v>2</v>
      </c>
      <c r="C35" t="str">
        <f>IF(B35=1,"1:1","1:Many")</f>
        <v>1:Many</v>
      </c>
      <c r="D35" s="42" t="str" cm="1">
        <f t="array" ref="D35">_xlfn.TEXTJOIN(" | ",TRUE,_xlfn._xlws.FILTER(PriceList!$B$4:$B$2641,PriceList!$M$4:$M$2641=A35,""))</f>
        <v>OR7N 029.87-1.78 | OR9N 029.87-1.78</v>
      </c>
      <c r="E35" t="str" cm="1">
        <f t="array" ref="E35">_xlfn.TEXTJOIN(", ",TRUE,_xlfn._xlws.FILTER(ROW(PriceList!$B$4:$B$2641),PriceList!$M$4:$M$2641=A35,""))</f>
        <v>623, 1075</v>
      </c>
      <c r="F35" s="42" t="str" cm="1">
        <f t="array" ref="F35">_xlfn.TEXTJOIN(" | ",TRUE,_xlfn.UNIQUE(_xlfn._xlws.FILTER(PriceList!$Q$4:$Q$2641&amp;" x "&amp;PriceList!$R$4:$R$2641&amp;" x "&amp;PriceList!$S$4:$S$2641,PriceList!$M$4:$M$2641=A35,"")))</f>
        <v>29.972 x 33.528 x 1.778</v>
      </c>
      <c r="G35" t="str" cm="1">
        <f t="array" ref="G35">INDEX(_xlfn._xlws.FILTER(PriceList!$P$4:$P$2641,PriceList!$M$4:$M$2641=A35,""),1)</f>
        <v>O Ring - EPDM</v>
      </c>
    </row>
    <row r="36" spans="1:7" x14ac:dyDescent="0.45">
      <c r="A36" t="s">
        <v>4768</v>
      </c>
      <c r="B36">
        <f>COUNTIF(PriceList!$M$4:$M$2641,A36)</f>
        <v>1</v>
      </c>
      <c r="C36" t="str">
        <f>IF(B36=1,"1:1","1:Many")</f>
        <v>1:1</v>
      </c>
      <c r="D36" s="42" t="str" cm="1">
        <f t="array" ref="D36">_xlfn.TEXTJOIN(" | ",TRUE,_xlfn._xlws.FILTER(PriceList!$B$4:$B$2641,PriceList!$M$4:$M$2641=A36,""))</f>
        <v>ORV8 029.87-1.78</v>
      </c>
      <c r="E36" t="str" cm="1">
        <f t="array" ref="E36">_xlfn.TEXTJOIN(", ",TRUE,_xlfn._xlws.FILTER(ROW(PriceList!$B$4:$B$2641),PriceList!$M$4:$M$2641=A36,""))</f>
        <v>1720</v>
      </c>
      <c r="F36" s="42" t="str" cm="1">
        <f t="array" ref="F36">_xlfn.TEXTJOIN(" | ",TRUE,_xlfn.UNIQUE(_xlfn._xlws.FILTER(PriceList!$Q$4:$Q$2641&amp;" x "&amp;PriceList!$R$4:$R$2641&amp;" x "&amp;PriceList!$S$4:$S$2641,PriceList!$M$4:$M$2641=A36,"")))</f>
        <v>29.972 x 33.528 x 1.778</v>
      </c>
      <c r="G36" t="str" cm="1">
        <f t="array" ref="G36">INDEX(_xlfn._xlws.FILTER(PriceList!$P$4:$P$2641,PriceList!$M$4:$M$2641=A36,""),1)</f>
        <v>O Ring - FPM/FKM/VitonÂ®</v>
      </c>
    </row>
    <row r="37" spans="1:7" x14ac:dyDescent="0.45">
      <c r="A37" t="s">
        <v>4020</v>
      </c>
      <c r="B37">
        <f>COUNTIF(PriceList!$M$4:$M$2641,A37)</f>
        <v>2</v>
      </c>
      <c r="C37" t="str">
        <f>IF(B37=1,"1:1","1:Many")</f>
        <v>1:Many</v>
      </c>
      <c r="D37" s="42" t="str" cm="1">
        <f t="array" ref="D37">_xlfn.TEXTJOIN(" | ",TRUE,_xlfn._xlws.FILTER(PriceList!$B$4:$B$2641,PriceList!$M$4:$M$2641=A37,""))</f>
        <v>OR7N 031.47-1.78 | OR9N 031.47-1.78</v>
      </c>
      <c r="E37" t="str" cm="1">
        <f t="array" ref="E37">_xlfn.TEXTJOIN(", ",TRUE,_xlfn._xlws.FILTER(ROW(PriceList!$B$4:$B$2641),PriceList!$M$4:$M$2641=A37,""))</f>
        <v>629, 1087</v>
      </c>
      <c r="F37" s="42" t="str" cm="1">
        <f t="array" ref="F37">_xlfn.TEXTJOIN(" | ",TRUE,_xlfn.UNIQUE(_xlfn._xlws.FILTER(PriceList!$Q$4:$Q$2641&amp;" x "&amp;PriceList!$R$4:$R$2641&amp;" x "&amp;PriceList!$S$4:$S$2641,PriceList!$M$4:$M$2641=A37,"")))</f>
        <v>31.496 x 35.052 x 1.778</v>
      </c>
      <c r="G37" t="str" cm="1">
        <f t="array" ref="G37">INDEX(_xlfn._xlws.FILTER(PriceList!$P$4:$P$2641,PriceList!$M$4:$M$2641=A37,""),1)</f>
        <v>O Ring - EPDM</v>
      </c>
    </row>
    <row r="38" spans="1:7" x14ac:dyDescent="0.45">
      <c r="A38" t="s">
        <v>4777</v>
      </c>
      <c r="B38">
        <f>COUNTIF(PriceList!$M$4:$M$2641,A38)</f>
        <v>1</v>
      </c>
      <c r="C38" t="str">
        <f>IF(B38=1,"1:1","1:Many")</f>
        <v>1:1</v>
      </c>
      <c r="D38" s="42" t="str" cm="1">
        <f t="array" ref="D38">_xlfn.TEXTJOIN(" | ",TRUE,_xlfn._xlws.FILTER(PriceList!$B$4:$B$2641,PriceList!$M$4:$M$2641=A38,""))</f>
        <v>ORV8 031.47-1.78</v>
      </c>
      <c r="E38" t="str" cm="1">
        <f t="array" ref="E38">_xlfn.TEXTJOIN(", ",TRUE,_xlfn._xlws.FILTER(ROW(PriceList!$B$4:$B$2641),PriceList!$M$4:$M$2641=A38,""))</f>
        <v>1730</v>
      </c>
      <c r="F38" s="42" t="str" cm="1">
        <f t="array" ref="F38">_xlfn.TEXTJOIN(" | ",TRUE,_xlfn.UNIQUE(_xlfn._xlws.FILTER(PriceList!$Q$4:$Q$2641&amp;" x "&amp;PriceList!$R$4:$R$2641&amp;" x "&amp;PriceList!$S$4:$S$2641,PriceList!$M$4:$M$2641=A38,"")))</f>
        <v>31.496 x 35.052 x 1.778</v>
      </c>
      <c r="G38" t="str" cm="1">
        <f t="array" ref="G38">INDEX(_xlfn._xlws.FILTER(PriceList!$P$4:$P$2641,PriceList!$M$4:$M$2641=A38,""),1)</f>
        <v>O Ring - FPM/FKM/VitonÂ®</v>
      </c>
    </row>
    <row r="39" spans="1:7" x14ac:dyDescent="0.45">
      <c r="A39" t="s">
        <v>4029</v>
      </c>
      <c r="B39">
        <f>COUNTIF(PriceList!$M$4:$M$2641,A39)</f>
        <v>2</v>
      </c>
      <c r="C39" t="str">
        <f>IF(B39=1,"1:1","1:Many")</f>
        <v>1:Many</v>
      </c>
      <c r="D39" s="42" t="str" cm="1">
        <f t="array" ref="D39">_xlfn.TEXTJOIN(" | ",TRUE,_xlfn._xlws.FILTER(PriceList!$B$4:$B$2641,PriceList!$M$4:$M$2641=A39,""))</f>
        <v>OR7N 033.05-1.78 | OR9N 033.05-1.78</v>
      </c>
      <c r="E39" t="str" cm="1">
        <f t="array" ref="E39">_xlfn.TEXTJOIN(", ",TRUE,_xlfn._xlws.FILTER(ROW(PriceList!$B$4:$B$2641),PriceList!$M$4:$M$2641=A39,""))</f>
        <v>635, 1096</v>
      </c>
      <c r="F39" s="42" t="str" cm="1">
        <f t="array" ref="F39">_xlfn.TEXTJOIN(" | ",TRUE,_xlfn.UNIQUE(_xlfn._xlws.FILTER(PriceList!$Q$4:$Q$2641&amp;" x "&amp;PriceList!$R$4:$R$2641&amp;" x "&amp;PriceList!$S$4:$S$2641,PriceList!$M$4:$M$2641=A39,"")))</f>
        <v>33.02 x 36.576 x 1.778</v>
      </c>
      <c r="G39" t="str" cm="1">
        <f t="array" ref="G39">INDEX(_xlfn._xlws.FILTER(PriceList!$P$4:$P$2641,PriceList!$M$4:$M$2641=A39,""),1)</f>
        <v>O Ring - NBR 70</v>
      </c>
    </row>
    <row r="40" spans="1:7" x14ac:dyDescent="0.45">
      <c r="A40" t="s">
        <v>4786</v>
      </c>
      <c r="B40">
        <f>COUNTIF(PriceList!$M$4:$M$2641,A40)</f>
        <v>1</v>
      </c>
      <c r="C40" t="str">
        <f>IF(B40=1,"1:1","1:Many")</f>
        <v>1:1</v>
      </c>
      <c r="D40" s="42" t="str" cm="1">
        <f t="array" ref="D40">_xlfn.TEXTJOIN(" | ",TRUE,_xlfn._xlws.FILTER(PriceList!$B$4:$B$2641,PriceList!$M$4:$M$2641=A40,""))</f>
        <v>ORV8 033.05-1.78</v>
      </c>
      <c r="E40" t="str" cm="1">
        <f t="array" ref="E40">_xlfn.TEXTJOIN(", ",TRUE,_xlfn._xlws.FILTER(ROW(PriceList!$B$4:$B$2641),PriceList!$M$4:$M$2641=A40,""))</f>
        <v>1738</v>
      </c>
      <c r="F40" s="42" t="str" cm="1">
        <f t="array" ref="F40">_xlfn.TEXTJOIN(" | ",TRUE,_xlfn.UNIQUE(_xlfn._xlws.FILTER(PriceList!$Q$4:$Q$2641&amp;" x "&amp;PriceList!$R$4:$R$2641&amp;" x "&amp;PriceList!$S$4:$S$2641,PriceList!$M$4:$M$2641=A40,"")))</f>
        <v>33.02 x 36.576 x 1.778</v>
      </c>
      <c r="G40" t="str" cm="1">
        <f t="array" ref="G40">INDEX(_xlfn._xlws.FILTER(PriceList!$P$4:$P$2641,PriceList!$M$4:$M$2641=A40,""),1)</f>
        <v>O Ring - FPM/FKM/VitonÂ®</v>
      </c>
    </row>
    <row r="41" spans="1:7" x14ac:dyDescent="0.45">
      <c r="A41" t="s">
        <v>4036</v>
      </c>
      <c r="B41">
        <f>COUNTIF(PriceList!$M$4:$M$2641,A41)</f>
        <v>2</v>
      </c>
      <c r="C41" t="str">
        <f>IF(B41=1,"1:1","1:Many")</f>
        <v>1:Many</v>
      </c>
      <c r="D41" s="42" t="str" cm="1">
        <f t="array" ref="D41">_xlfn.TEXTJOIN(" | ",TRUE,_xlfn._xlws.FILTER(PriceList!$B$4:$B$2641,PriceList!$M$4:$M$2641=A41,""))</f>
        <v>OR7N 034.65-1.78 | OR9N 034.65-1.78</v>
      </c>
      <c r="E41" t="str" cm="1">
        <f t="array" ref="E41">_xlfn.TEXTJOIN(", ",TRUE,_xlfn._xlws.FILTER(ROW(PriceList!$B$4:$B$2641),PriceList!$M$4:$M$2641=A41,""))</f>
        <v>641, 1102</v>
      </c>
      <c r="F41" s="42" t="str" cm="1">
        <f t="array" ref="F41">_xlfn.TEXTJOIN(" | ",TRUE,_xlfn.UNIQUE(_xlfn._xlws.FILTER(PriceList!$Q$4:$Q$2641&amp;" x "&amp;PriceList!$R$4:$R$2641&amp;" x "&amp;PriceList!$S$4:$S$2641,PriceList!$M$4:$M$2641=A41,"")))</f>
        <v>34.544 x 38.1 x 1.778</v>
      </c>
      <c r="G41" t="str" cm="1">
        <f t="array" ref="G41">INDEX(_xlfn._xlws.FILTER(PriceList!$P$4:$P$2641,PriceList!$M$4:$M$2641=A41,""),1)</f>
        <v>O Ring - HNBR</v>
      </c>
    </row>
    <row r="42" spans="1:7" x14ac:dyDescent="0.45">
      <c r="A42" t="s">
        <v>4793</v>
      </c>
      <c r="B42">
        <f>COUNTIF(PriceList!$M$4:$M$2641,A42)</f>
        <v>1</v>
      </c>
      <c r="C42" t="str">
        <f>IF(B42=1,"1:1","1:Many")</f>
        <v>1:1</v>
      </c>
      <c r="D42" s="42" t="str" cm="1">
        <f t="array" ref="D42">_xlfn.TEXTJOIN(" | ",TRUE,_xlfn._xlws.FILTER(PriceList!$B$4:$B$2641,PriceList!$M$4:$M$2641=A42,""))</f>
        <v>ORV8 034.65-1.78</v>
      </c>
      <c r="E42" t="str" cm="1">
        <f t="array" ref="E42">_xlfn.TEXTJOIN(", ",TRUE,_xlfn._xlws.FILTER(ROW(PriceList!$B$4:$B$2641),PriceList!$M$4:$M$2641=A42,""))</f>
        <v>1746</v>
      </c>
      <c r="F42" s="42" t="str" cm="1">
        <f t="array" ref="F42">_xlfn.TEXTJOIN(" | ",TRUE,_xlfn.UNIQUE(_xlfn._xlws.FILTER(PriceList!$Q$4:$Q$2641&amp;" x "&amp;PriceList!$R$4:$R$2641&amp;" x "&amp;PriceList!$S$4:$S$2641,PriceList!$M$4:$M$2641=A42,"")))</f>
        <v>34.544 x 38.1 x 1.778</v>
      </c>
      <c r="G42" t="str" cm="1">
        <f t="array" ref="G42">INDEX(_xlfn._xlws.FILTER(PriceList!$P$4:$P$2641,PriceList!$M$4:$M$2641=A42,""),1)</f>
        <v>O Ring - FPM/FKM/VitonÂ®</v>
      </c>
    </row>
    <row r="43" spans="1:7" x14ac:dyDescent="0.45">
      <c r="A43" t="s">
        <v>4047</v>
      </c>
      <c r="B43">
        <f>COUNTIF(PriceList!$M$4:$M$2641,A43)</f>
        <v>2</v>
      </c>
      <c r="C43" t="str">
        <f>IF(B43=1,"1:1","1:Many")</f>
        <v>1:Many</v>
      </c>
      <c r="D43" s="42" t="str" cm="1">
        <f t="array" ref="D43">_xlfn.TEXTJOIN(" | ",TRUE,_xlfn._xlws.FILTER(PriceList!$B$4:$B$2641,PriceList!$M$4:$M$2641=A43,""))</f>
        <v>OR7N 037.82-1.78 | OR9N 037.82-1.78</v>
      </c>
      <c r="E43" t="str" cm="1">
        <f t="array" ref="E43">_xlfn.TEXTJOIN(", ",TRUE,_xlfn._xlws.FILTER(ROW(PriceList!$B$4:$B$2641),PriceList!$M$4:$M$2641=A43,""))</f>
        <v>650, 1118</v>
      </c>
      <c r="F43" s="42" t="str" cm="1">
        <f t="array" ref="F43">_xlfn.TEXTJOIN(" | ",TRUE,_xlfn.UNIQUE(_xlfn._xlws.FILTER(PriceList!$Q$4:$Q$2641&amp;" x "&amp;PriceList!$R$4:$R$2641&amp;" x "&amp;PriceList!$S$4:$S$2641,PriceList!$M$4:$M$2641=A43,"")))</f>
        <v>37.846 x 41.402 x 1.778</v>
      </c>
      <c r="G43" t="str" cm="1">
        <f t="array" ref="G43">INDEX(_xlfn._xlws.FILTER(PriceList!$P$4:$P$2641,PriceList!$M$4:$M$2641=A43,""),1)</f>
        <v>O Ring - EPDM</v>
      </c>
    </row>
    <row r="44" spans="1:7" x14ac:dyDescent="0.45">
      <c r="A44" t="s">
        <v>4818</v>
      </c>
      <c r="B44">
        <f>COUNTIF(PriceList!$M$4:$M$2641,A44)</f>
        <v>1</v>
      </c>
      <c r="C44" t="str">
        <f>IF(B44=1,"1:1","1:Many")</f>
        <v>1:1</v>
      </c>
      <c r="D44" s="42" t="str" cm="1">
        <f t="array" ref="D44">_xlfn.TEXTJOIN(" | ",TRUE,_xlfn._xlws.FILTER(PriceList!$B$4:$B$2641,PriceList!$M$4:$M$2641=A44,""))</f>
        <v>ORV8 037.82-1.78</v>
      </c>
      <c r="E44" t="str" cm="1">
        <f t="array" ref="E44">_xlfn.TEXTJOIN(", ",TRUE,_xlfn._xlws.FILTER(ROW(PriceList!$B$4:$B$2641),PriceList!$M$4:$M$2641=A44,""))</f>
        <v>1771</v>
      </c>
      <c r="F44" s="42" t="str" cm="1">
        <f t="array" ref="F44">_xlfn.TEXTJOIN(" | ",TRUE,_xlfn.UNIQUE(_xlfn._xlws.FILTER(PriceList!$Q$4:$Q$2641&amp;" x "&amp;PriceList!$R$4:$R$2641&amp;" x "&amp;PriceList!$S$4:$S$2641,PriceList!$M$4:$M$2641=A44,"")))</f>
        <v>37.846 x 41.402 x 1.778</v>
      </c>
      <c r="G44" t="str" cm="1">
        <f t="array" ref="G44">INDEX(_xlfn._xlws.FILTER(PriceList!$P$4:$P$2641,PriceList!$M$4:$M$2641=A44,""),1)</f>
        <v>O Ring - FPM/FKM/VitonÂ®</v>
      </c>
    </row>
    <row r="45" spans="1:7" x14ac:dyDescent="0.45">
      <c r="A45" t="s">
        <v>4069</v>
      </c>
      <c r="B45">
        <f>COUNTIF(PriceList!$M$4:$M$2641,A45)</f>
        <v>2</v>
      </c>
      <c r="C45" t="str">
        <f>IF(B45=1,"1:1","1:Many")</f>
        <v>1:Many</v>
      </c>
      <c r="D45" s="42" t="str" cm="1">
        <f t="array" ref="D45">_xlfn.TEXTJOIN(" | ",TRUE,_xlfn._xlws.FILTER(PriceList!$B$4:$B$2641,PriceList!$M$4:$M$2641=A45,""))</f>
        <v>OR7N 044.17-1.78 | OR9N 044.17-1.78</v>
      </c>
      <c r="E45" t="str" cm="1">
        <f t="array" ref="E45">_xlfn.TEXTJOIN(", ",TRUE,_xlfn._xlws.FILTER(ROW(PriceList!$B$4:$B$2641),PriceList!$M$4:$M$2641=A45,""))</f>
        <v>669, 1147</v>
      </c>
      <c r="F45" s="42" t="str" cm="1">
        <f t="array" ref="F45">_xlfn.TEXTJOIN(" | ",TRUE,_xlfn.UNIQUE(_xlfn._xlws.FILTER(PriceList!$Q$4:$Q$2641&amp;" x "&amp;PriceList!$R$4:$R$2641&amp;" x "&amp;PriceList!$S$4:$S$2641,PriceList!$M$4:$M$2641=A45,"")))</f>
        <v>44.196 x 47.752 x 1.778</v>
      </c>
      <c r="G45" t="str" cm="1">
        <f t="array" ref="G45">INDEX(_xlfn._xlws.FILTER(PriceList!$P$4:$P$2641,PriceList!$M$4:$M$2641=A45,""),1)</f>
        <v>O Ring - EPDM</v>
      </c>
    </row>
    <row r="46" spans="1:7" x14ac:dyDescent="0.45">
      <c r="A46" t="s">
        <v>4846</v>
      </c>
      <c r="B46">
        <f>COUNTIF(PriceList!$M$4:$M$2641,A46)</f>
        <v>1</v>
      </c>
      <c r="C46" t="str">
        <f>IF(B46=1,"1:1","1:Many")</f>
        <v>1:1</v>
      </c>
      <c r="D46" s="42" t="str" cm="1">
        <f t="array" ref="D46">_xlfn.TEXTJOIN(" | ",TRUE,_xlfn._xlws.FILTER(PriceList!$B$4:$B$2641,PriceList!$M$4:$M$2641=A46,""))</f>
        <v>ORV8 044.17-1.78</v>
      </c>
      <c r="E46" t="str" cm="1">
        <f t="array" ref="E46">_xlfn.TEXTJOIN(", ",TRUE,_xlfn._xlws.FILTER(ROW(PriceList!$B$4:$B$2641),PriceList!$M$4:$M$2641=A46,""))</f>
        <v>1801</v>
      </c>
      <c r="F46" s="42" t="str" cm="1">
        <f t="array" ref="F46">_xlfn.TEXTJOIN(" | ",TRUE,_xlfn.UNIQUE(_xlfn._xlws.FILTER(PriceList!$Q$4:$Q$2641&amp;" x "&amp;PriceList!$R$4:$R$2641&amp;" x "&amp;PriceList!$S$4:$S$2641,PriceList!$M$4:$M$2641=A46,"")))</f>
        <v>44.196 x 47.752 x 1.778</v>
      </c>
      <c r="G46" t="str" cm="1">
        <f t="array" ref="G46">INDEX(_xlfn._xlws.FILTER(PriceList!$P$4:$P$2641,PriceList!$M$4:$M$2641=A46,""),1)</f>
        <v>O Ring - FPM/FKM/VitonÂ®</v>
      </c>
    </row>
    <row r="47" spans="1:7" x14ac:dyDescent="0.45">
      <c r="A47" t="s">
        <v>4451</v>
      </c>
      <c r="B47">
        <f>COUNTIF(PriceList!$M$4:$M$2641,A47)</f>
        <v>1</v>
      </c>
      <c r="C47" t="str">
        <f>IF(B47=1,"1:1","1:Many")</f>
        <v>1:1</v>
      </c>
      <c r="D47" s="42" t="str" cm="1">
        <f t="array" ref="D47">_xlfn.TEXTJOIN(" | ",TRUE,_xlfn._xlws.FILTER(PriceList!$B$4:$B$2641,PriceList!$M$4:$M$2641=A47,""))</f>
        <v>OR9N 050.52-1.78</v>
      </c>
      <c r="E47" t="str" cm="1">
        <f t="array" ref="E47">_xlfn.TEXTJOIN(", ",TRUE,_xlfn._xlws.FILTER(ROW(PriceList!$B$4:$B$2641),PriceList!$M$4:$M$2641=A47,""))</f>
        <v>1175</v>
      </c>
      <c r="F47" s="42" t="str" cm="1">
        <f t="array" ref="F47">_xlfn.TEXTJOIN(" | ",TRUE,_xlfn.UNIQUE(_xlfn._xlws.FILTER(PriceList!$Q$4:$Q$2641&amp;" x "&amp;PriceList!$R$4:$R$2641&amp;" x "&amp;PriceList!$S$4:$S$2641,PriceList!$M$4:$M$2641=A47,"")))</f>
        <v>50.546 x 54.102 x 1.778</v>
      </c>
      <c r="G47" t="str" cm="1">
        <f t="array" ref="G47">INDEX(_xlfn._xlws.FILTER(PriceList!$P$4:$P$2641,PriceList!$M$4:$M$2641=A47,""),1)</f>
        <v>O Ring - EPDM</v>
      </c>
    </row>
    <row r="48" spans="1:7" x14ac:dyDescent="0.45">
      <c r="A48" t="s">
        <v>4881</v>
      </c>
      <c r="B48">
        <f>COUNTIF(PriceList!$M$4:$M$2641,A48)</f>
        <v>1</v>
      </c>
      <c r="C48" t="str">
        <f>IF(B48=1,"1:1","1:Many")</f>
        <v>1:1</v>
      </c>
      <c r="D48" s="42" t="str" cm="1">
        <f t="array" ref="D48">_xlfn.TEXTJOIN(" | ",TRUE,_xlfn._xlws.FILTER(PriceList!$B$4:$B$2641,PriceList!$M$4:$M$2641=A48,""))</f>
        <v>ORV8 050.52-1.78</v>
      </c>
      <c r="E48" t="str" cm="1">
        <f t="array" ref="E48">_xlfn.TEXTJOIN(", ",TRUE,_xlfn._xlws.FILTER(ROW(PriceList!$B$4:$B$2641),PriceList!$M$4:$M$2641=A48,""))</f>
        <v>1834</v>
      </c>
      <c r="F48" s="42" t="str" cm="1">
        <f t="array" ref="F48">_xlfn.TEXTJOIN(" | ",TRUE,_xlfn.UNIQUE(_xlfn._xlws.FILTER(PriceList!$Q$4:$Q$2641&amp;" x "&amp;PriceList!$R$4:$R$2641&amp;" x "&amp;PriceList!$S$4:$S$2641,PriceList!$M$4:$M$2641=A48,"")))</f>
        <v>50.546 x 54.102 x 1.778</v>
      </c>
      <c r="G48" t="str" cm="1">
        <f t="array" ref="G48">INDEX(_xlfn._xlws.FILTER(PriceList!$P$4:$P$2641,PriceList!$M$4:$M$2641=A48,""),1)</f>
        <v>O Ring - FPM/FKM/VitonÂ®</v>
      </c>
    </row>
    <row r="49" spans="1:7" x14ac:dyDescent="0.45">
      <c r="A49" t="s">
        <v>4097</v>
      </c>
      <c r="B49">
        <f>COUNTIF(PriceList!$M$4:$M$2641,A49)</f>
        <v>2</v>
      </c>
      <c r="C49" t="str">
        <f>IF(B49=1,"1:1","1:Many")</f>
        <v>1:Many</v>
      </c>
      <c r="D49" s="42" t="str" cm="1">
        <f t="array" ref="D49">_xlfn.TEXTJOIN(" | ",TRUE,_xlfn._xlws.FILTER(PriceList!$B$4:$B$2641,PriceList!$M$4:$M$2641=A49,""))</f>
        <v>OR7N 053.7-1.78 | OR9N 053.7-1.78</v>
      </c>
      <c r="E49" t="str" cm="1">
        <f t="array" ref="E49">_xlfn.TEXTJOIN(", ",TRUE,_xlfn._xlws.FILTER(ROW(PriceList!$B$4:$B$2641),PriceList!$M$4:$M$2641=A49,""))</f>
        <v>693, 1188</v>
      </c>
      <c r="F49" s="42" t="str" cm="1">
        <f t="array" ref="F49">_xlfn.TEXTJOIN(" | ",TRUE,_xlfn.UNIQUE(_xlfn._xlws.FILTER(PriceList!$Q$4:$Q$2641&amp;" x "&amp;PriceList!$R$4:$R$2641&amp;" x "&amp;PriceList!$S$4:$S$2641,PriceList!$M$4:$M$2641=A49,"")))</f>
        <v>53.594 x 57.15 x 1.778</v>
      </c>
      <c r="G49" t="str" cm="1">
        <f t="array" ref="G49">INDEX(_xlfn._xlws.FILTER(PriceList!$P$4:$P$2641,PriceList!$M$4:$M$2641=A49,""),1)</f>
        <v>O Ring - NBR 70</v>
      </c>
    </row>
    <row r="50" spans="1:7" x14ac:dyDescent="0.45">
      <c r="A50" t="s">
        <v>4105</v>
      </c>
      <c r="B50">
        <f>COUNTIF(PriceList!$M$4:$M$2641,A50)</f>
        <v>2</v>
      </c>
      <c r="C50" t="str">
        <f>IF(B50=1,"1:1","1:Many")</f>
        <v>1:Many</v>
      </c>
      <c r="D50" s="42" t="str" cm="1">
        <f t="array" ref="D50">_xlfn.TEXTJOIN(" | ",TRUE,_xlfn._xlws.FILTER(PriceList!$B$4:$B$2641,PriceList!$M$4:$M$2641=A50,""))</f>
        <v>OR7N 056.87-1.78 | OR9N 056.87-1.78</v>
      </c>
      <c r="E50" t="str" cm="1">
        <f t="array" ref="E50">_xlfn.TEXTJOIN(", ",TRUE,_xlfn._xlws.FILTER(ROW(PriceList!$B$4:$B$2641),PriceList!$M$4:$M$2641=A50,""))</f>
        <v>700, 1199</v>
      </c>
      <c r="F50" s="42" t="str" cm="1">
        <f t="array" ref="F50">_xlfn.TEXTJOIN(" | ",TRUE,_xlfn.UNIQUE(_xlfn._xlws.FILTER(PriceList!$Q$4:$Q$2641&amp;" x "&amp;PriceList!$R$4:$R$2641&amp;" x "&amp;PriceList!$S$4:$S$2641,PriceList!$M$4:$M$2641=A50,"")))</f>
        <v>56.896 x 60.452 x 1.778</v>
      </c>
      <c r="G50" t="str" cm="1">
        <f t="array" ref="G50">INDEX(_xlfn._xlws.FILTER(PriceList!$P$4:$P$2641,PriceList!$M$4:$M$2641=A50,""),1)</f>
        <v>O Ring - NBR 70</v>
      </c>
    </row>
    <row r="51" spans="1:7" x14ac:dyDescent="0.45">
      <c r="A51" t="s">
        <v>4903</v>
      </c>
      <c r="B51">
        <f>COUNTIF(PriceList!$M$4:$M$2641,A51)</f>
        <v>1</v>
      </c>
      <c r="C51" t="str">
        <f>IF(B51=1,"1:1","1:Many")</f>
        <v>1:1</v>
      </c>
      <c r="D51" s="42" t="str" cm="1">
        <f t="array" ref="D51">_xlfn.TEXTJOIN(" | ",TRUE,_xlfn._xlws.FILTER(PriceList!$B$4:$B$2641,PriceList!$M$4:$M$2641=A51,""))</f>
        <v>ORV8 056.87-1.78</v>
      </c>
      <c r="E51" t="str" cm="1">
        <f t="array" ref="E51">_xlfn.TEXTJOIN(", ",TRUE,_xlfn._xlws.FILTER(ROW(PriceList!$B$4:$B$2641),PriceList!$M$4:$M$2641=A51,""))</f>
        <v>1856</v>
      </c>
      <c r="F51" s="42" t="str" cm="1">
        <f t="array" ref="F51">_xlfn.TEXTJOIN(" | ",TRUE,_xlfn.UNIQUE(_xlfn._xlws.FILTER(PriceList!$Q$4:$Q$2641&amp;" x "&amp;PriceList!$R$4:$R$2641&amp;" x "&amp;PriceList!$S$4:$S$2641,PriceList!$M$4:$M$2641=A51,"")))</f>
        <v>56.896 x 60.452 x 1.778</v>
      </c>
      <c r="G51" t="str" cm="1">
        <f t="array" ref="G51">INDEX(_xlfn._xlws.FILTER(PriceList!$P$4:$P$2641,PriceList!$M$4:$M$2641=A51,""),1)</f>
        <v>O Ring - FPM/FKM/VitonÂ®</v>
      </c>
    </row>
    <row r="52" spans="1:7" x14ac:dyDescent="0.45">
      <c r="A52" t="s">
        <v>4919</v>
      </c>
      <c r="B52">
        <f>COUNTIF(PriceList!$M$4:$M$2641,A52)</f>
        <v>1</v>
      </c>
      <c r="C52" t="str">
        <f>IF(B52=1,"1:1","1:Many")</f>
        <v>1:1</v>
      </c>
      <c r="D52" s="42" t="str" cm="1">
        <f t="array" ref="D52">_xlfn.TEXTJOIN(" | ",TRUE,_xlfn._xlws.FILTER(PriceList!$B$4:$B$2641,PriceList!$M$4:$M$2641=A52,""))</f>
        <v>ORV8 060.07-1.6</v>
      </c>
      <c r="E52" t="str" cm="1">
        <f t="array" ref="E52">_xlfn.TEXTJOIN(", ",TRUE,_xlfn._xlws.FILTER(ROW(PriceList!$B$4:$B$2641),PriceList!$M$4:$M$2641=A52,""))</f>
        <v>1871</v>
      </c>
      <c r="F52" s="42" t="str" cm="1">
        <f t="array" ref="F52">_xlfn.TEXTJOIN(" | ",TRUE,_xlfn.UNIQUE(_xlfn._xlws.FILTER(PriceList!$Q$4:$Q$2641&amp;" x "&amp;PriceList!$R$4:$R$2641&amp;" x "&amp;PriceList!$S$4:$S$2641,PriceList!$M$4:$M$2641=A52,"")))</f>
        <v>59.944 x 63.5 x 1.778</v>
      </c>
      <c r="G52" t="str" cm="1">
        <f t="array" ref="G52">INDEX(_xlfn._xlws.FILTER(PriceList!$P$4:$P$2641,PriceList!$M$4:$M$2641=A52,""),1)</f>
        <v>O Ring - FPM/FKM/VitonÂ®</v>
      </c>
    </row>
    <row r="53" spans="1:7" x14ac:dyDescent="0.45">
      <c r="A53" t="s">
        <v>4117</v>
      </c>
      <c r="B53">
        <f>COUNTIF(PriceList!$M$4:$M$2641,A53)</f>
        <v>2</v>
      </c>
      <c r="C53" t="str">
        <f>IF(B53=1,"1:1","1:Many")</f>
        <v>1:Many</v>
      </c>
      <c r="D53" s="42" t="str" cm="1">
        <f t="array" ref="D53">_xlfn.TEXTJOIN(" | ",TRUE,_xlfn._xlws.FILTER(PriceList!$B$4:$B$2641,PriceList!$M$4:$M$2641=A53,""))</f>
        <v>OR7N 063.22-1.78 | OR9N 063.22-1.78</v>
      </c>
      <c r="E53" t="str" cm="1">
        <f t="array" ref="E53">_xlfn.TEXTJOIN(", ",TRUE,_xlfn._xlws.FILTER(ROW(PriceList!$B$4:$B$2641),PriceList!$M$4:$M$2641=A53,""))</f>
        <v>711, 1221</v>
      </c>
      <c r="F53" s="42" t="str" cm="1">
        <f t="array" ref="F53">_xlfn.TEXTJOIN(" | ",TRUE,_xlfn.UNIQUE(_xlfn._xlws.FILTER(PriceList!$Q$4:$Q$2641&amp;" x "&amp;PriceList!$R$4:$R$2641&amp;" x "&amp;PriceList!$S$4:$S$2641,PriceList!$M$4:$M$2641=A53,"")))</f>
        <v>63.246 x 66.802 x 1.778</v>
      </c>
      <c r="G53" t="str" cm="1">
        <f t="array" ref="G53">INDEX(_xlfn._xlws.FILTER(PriceList!$P$4:$P$2641,PriceList!$M$4:$M$2641=A53,""),1)</f>
        <v>O Ring - NBR 70</v>
      </c>
    </row>
    <row r="54" spans="1:7" x14ac:dyDescent="0.45">
      <c r="A54" t="s">
        <v>4133</v>
      </c>
      <c r="B54">
        <f>COUNTIF(PriceList!$M$4:$M$2641,A54)</f>
        <v>2</v>
      </c>
      <c r="C54" t="str">
        <f>IF(B54=1,"1:1","1:Many")</f>
        <v>1:Many</v>
      </c>
      <c r="D54" s="42" t="str" cm="1">
        <f t="array" ref="D54">_xlfn.TEXTJOIN(" | ",TRUE,_xlfn._xlws.FILTER(PriceList!$B$4:$B$2641,PriceList!$M$4:$M$2641=A54,""))</f>
        <v>OR7N 069.57-1.78 | OR9N 069.57-1.78</v>
      </c>
      <c r="E54" t="str" cm="1">
        <f t="array" ref="E54">_xlfn.TEXTJOIN(", ",TRUE,_xlfn._xlws.FILTER(ROW(PriceList!$B$4:$B$2641),PriceList!$M$4:$M$2641=A54,""))</f>
        <v>724, 1244</v>
      </c>
      <c r="F54" s="42" t="str" cm="1">
        <f t="array" ref="F54">_xlfn.TEXTJOIN(" | ",TRUE,_xlfn.UNIQUE(_xlfn._xlws.FILTER(PriceList!$Q$4:$Q$2641&amp;" x "&amp;PriceList!$R$4:$R$2641&amp;" x "&amp;PriceList!$S$4:$S$2641,PriceList!$M$4:$M$2641=A54,"")))</f>
        <v>69.596 x 73.152 x 1.778</v>
      </c>
      <c r="G54" t="str" cm="1">
        <f t="array" ref="G54">INDEX(_xlfn._xlws.FILTER(PriceList!$P$4:$P$2641,PriceList!$M$4:$M$2641=A54,""),1)</f>
        <v>O Ring - NBR 70</v>
      </c>
    </row>
    <row r="55" spans="1:7" x14ac:dyDescent="0.45">
      <c r="A55" t="s">
        <v>4490</v>
      </c>
      <c r="B55">
        <f>COUNTIF(PriceList!$M$4:$M$2641,A55)</f>
        <v>1</v>
      </c>
      <c r="C55" t="str">
        <f>IF(B55=1,"1:1","1:Many")</f>
        <v>1:1</v>
      </c>
      <c r="D55" s="42" t="str" cm="1">
        <f t="array" ref="D55">_xlfn.TEXTJOIN(" | ",TRUE,_xlfn._xlws.FILTER(PriceList!$B$4:$B$2641,PriceList!$M$4:$M$2641=A55,""))</f>
        <v>OR9N 072.75-1.78</v>
      </c>
      <c r="E55" t="str" cm="1">
        <f t="array" ref="E55">_xlfn.TEXTJOIN(", ",TRUE,_xlfn._xlws.FILTER(ROW(PriceList!$B$4:$B$2641),PriceList!$M$4:$M$2641=A55,""))</f>
        <v>1253</v>
      </c>
      <c r="F55" s="42" t="str" cm="1">
        <f t="array" ref="F55">_xlfn.TEXTJOIN(" | ",TRUE,_xlfn.UNIQUE(_xlfn._xlws.FILTER(PriceList!$Q$4:$Q$2641&amp;" x "&amp;PriceList!$R$4:$R$2641&amp;" x "&amp;PriceList!$S$4:$S$2641,PriceList!$M$4:$M$2641=A55,"")))</f>
        <v>72.76 x 76.32 x 1.78</v>
      </c>
      <c r="G55" t="str" cm="1">
        <f t="array" ref="G55">INDEX(_xlfn._xlws.FILTER(PriceList!$P$4:$P$2641,PriceList!$M$4:$M$2641=A55,""),1)</f>
        <v>O Ring - EPDM</v>
      </c>
    </row>
    <row r="56" spans="1:7" x14ac:dyDescent="0.45">
      <c r="A56" t="s">
        <v>4143</v>
      </c>
      <c r="B56">
        <f>COUNTIF(PriceList!$M$4:$M$2641,A56)</f>
        <v>2</v>
      </c>
      <c r="C56" t="str">
        <f>IF(B56=1,"1:1","1:Many")</f>
        <v>1:Many</v>
      </c>
      <c r="D56" s="42" t="str" cm="1">
        <f t="array" ref="D56">_xlfn.TEXTJOIN(" | ",TRUE,_xlfn._xlws.FILTER(PriceList!$B$4:$B$2641,PriceList!$M$4:$M$2641=A56,""))</f>
        <v>OR7N 075.92-1.78 | OR9N 075.92-1.78</v>
      </c>
      <c r="E56" t="str" cm="1">
        <f t="array" ref="E56">_xlfn.TEXTJOIN(", ",TRUE,_xlfn._xlws.FILTER(ROW(PriceList!$B$4:$B$2641),PriceList!$M$4:$M$2641=A56,""))</f>
        <v>734, 1264</v>
      </c>
      <c r="F56" s="42" t="str" cm="1">
        <f t="array" ref="F56">_xlfn.TEXTJOIN(" | ",TRUE,_xlfn.UNIQUE(_xlfn._xlws.FILTER(PriceList!$Q$4:$Q$2641&amp;" x "&amp;PriceList!$R$4:$R$2641&amp;" x "&amp;PriceList!$S$4:$S$2641,PriceList!$M$4:$M$2641=A56,"")))</f>
        <v>75.946 x 79.502 x 1.778</v>
      </c>
      <c r="G56" t="str" cm="1">
        <f t="array" ref="G56">INDEX(_xlfn._xlws.FILTER(PriceList!$P$4:$P$2641,PriceList!$M$4:$M$2641=A56,""),1)</f>
        <v>O Ring - NBR 70</v>
      </c>
    </row>
    <row r="57" spans="1:7" x14ac:dyDescent="0.45">
      <c r="A57" t="s">
        <v>4967</v>
      </c>
      <c r="B57">
        <f>COUNTIF(PriceList!$M$4:$M$2641,A57)</f>
        <v>2</v>
      </c>
      <c r="C57" t="str">
        <f>IF(B57=1,"1:1","1:Many")</f>
        <v>1:Many</v>
      </c>
      <c r="D57" s="42" t="str" cm="1">
        <f t="array" ref="D57">_xlfn.TEXTJOIN(" | ",TRUE,_xlfn._xlws.FILTER(PriceList!$B$4:$B$2641,PriceList!$M$4:$M$2641=A57,""))</f>
        <v>ORV8 075.92-1.78 | ORV8 076.2-1.9</v>
      </c>
      <c r="E57" t="str" cm="1">
        <f t="array" ref="E57">_xlfn.TEXTJOIN(", ",TRUE,_xlfn._xlws.FILTER(ROW(PriceList!$B$4:$B$2641),PriceList!$M$4:$M$2641=A57,""))</f>
        <v>1918, 1921</v>
      </c>
      <c r="F57" s="42" t="str" cm="1">
        <f t="array" ref="F57">_xlfn.TEXTJOIN(" | ",TRUE,_xlfn.UNIQUE(_xlfn._xlws.FILTER(PriceList!$Q$4:$Q$2641&amp;" x "&amp;PriceList!$R$4:$R$2641&amp;" x "&amp;PriceList!$S$4:$S$2641,PriceList!$M$4:$M$2641=A57,"")))</f>
        <v>75.946 x 79.502 x 1.778</v>
      </c>
      <c r="G57" t="str" cm="1">
        <f t="array" ref="G57">INDEX(_xlfn._xlws.FILTER(PriceList!$P$4:$P$2641,PriceList!$M$4:$M$2641=A57,""),1)</f>
        <v>O Ring - FPM/FKM/VitonÂ®</v>
      </c>
    </row>
    <row r="58" spans="1:7" x14ac:dyDescent="0.45">
      <c r="A58" t="s">
        <v>4154</v>
      </c>
      <c r="B58">
        <f>COUNTIF(PriceList!$M$4:$M$2641,A58)</f>
        <v>2</v>
      </c>
      <c r="C58" t="str">
        <f>IF(B58=1,"1:1","1:Many")</f>
        <v>1:Many</v>
      </c>
      <c r="D58" s="42" t="str" cm="1">
        <f t="array" ref="D58">_xlfn.TEXTJOIN(" | ",TRUE,_xlfn._xlws.FILTER(PriceList!$B$4:$B$2641,PriceList!$M$4:$M$2641=A58,""))</f>
        <v>OR7N 082.27-1.78 | OR9N 082.27-1.78</v>
      </c>
      <c r="E58" t="str" cm="1">
        <f t="array" ref="E58">_xlfn.TEXTJOIN(", ",TRUE,_xlfn._xlws.FILTER(ROW(PriceList!$B$4:$B$2641),PriceList!$M$4:$M$2641=A58,""))</f>
        <v>743, 1279</v>
      </c>
      <c r="F58" s="42" t="str" cm="1">
        <f t="array" ref="F58">_xlfn.TEXTJOIN(" | ",TRUE,_xlfn.UNIQUE(_xlfn._xlws.FILTER(PriceList!$Q$4:$Q$2641&amp;" x "&amp;PriceList!$R$4:$R$2641&amp;" x "&amp;PriceList!$S$4:$S$2641,PriceList!$M$4:$M$2641=A58,"")))</f>
        <v>82.296 x 85.852 x 1.778</v>
      </c>
      <c r="G58" t="str" cm="1">
        <f t="array" ref="G58">INDEX(_xlfn._xlws.FILTER(PriceList!$P$4:$P$2641,PriceList!$M$4:$M$2641=A58,""),1)</f>
        <v>O Ring - NBR 70</v>
      </c>
    </row>
    <row r="59" spans="1:7" x14ac:dyDescent="0.45">
      <c r="A59" t="s">
        <v>4994</v>
      </c>
      <c r="B59">
        <f>COUNTIF(PriceList!$M$4:$M$2641,A59)</f>
        <v>1</v>
      </c>
      <c r="C59" t="str">
        <f>IF(B59=1,"1:1","1:Many")</f>
        <v>1:1</v>
      </c>
      <c r="D59" s="42" t="str" cm="1">
        <f t="array" ref="D59">_xlfn.TEXTJOIN(" | ",TRUE,_xlfn._xlws.FILTER(PriceList!$B$4:$B$2641,PriceList!$M$4:$M$2641=A59,""))</f>
        <v>ORV8 088-2</v>
      </c>
      <c r="E59" t="str" cm="1">
        <f t="array" ref="E59">_xlfn.TEXTJOIN(", ",TRUE,_xlfn._xlws.FILTER(ROW(PriceList!$B$4:$B$2641),PriceList!$M$4:$M$2641=A59,""))</f>
        <v>1943</v>
      </c>
      <c r="F59" s="42" t="str" cm="1">
        <f t="array" ref="F59">_xlfn.TEXTJOIN(" | ",TRUE,_xlfn.UNIQUE(_xlfn._xlws.FILTER(PriceList!$Q$4:$Q$2641&amp;" x "&amp;PriceList!$R$4:$R$2641&amp;" x "&amp;PriceList!$S$4:$S$2641,PriceList!$M$4:$M$2641=A59,"")))</f>
        <v>88.646 x 92.202 x 1.778</v>
      </c>
      <c r="G59" t="str" cm="1">
        <f t="array" ref="G59">INDEX(_xlfn._xlws.FILTER(PriceList!$P$4:$P$2641,PriceList!$M$4:$M$2641=A59,""),1)</f>
        <v>O Ring - FPM/FKM/VitonÂ®</v>
      </c>
    </row>
    <row r="60" spans="1:7" x14ac:dyDescent="0.45">
      <c r="A60" t="s">
        <v>4173</v>
      </c>
      <c r="B60">
        <f>COUNTIF(PriceList!$M$4:$M$2641,A60)</f>
        <v>2</v>
      </c>
      <c r="C60" t="str">
        <f>IF(B60=1,"1:1","1:Many")</f>
        <v>1:Many</v>
      </c>
      <c r="D60" s="42" t="str" cm="1">
        <f t="array" ref="D60">_xlfn.TEXTJOIN(" | ",TRUE,_xlfn._xlws.FILTER(PriceList!$B$4:$B$2641,PriceList!$M$4:$M$2641=A60,""))</f>
        <v>OR7N 094.99-1.78 | OR9N 094.99-1.78</v>
      </c>
      <c r="E60" t="str" cm="1">
        <f t="array" ref="E60">_xlfn.TEXTJOIN(", ",TRUE,_xlfn._xlws.FILTER(ROW(PriceList!$B$4:$B$2641),PriceList!$M$4:$M$2641=A60,""))</f>
        <v>760, 1307</v>
      </c>
      <c r="F60" s="42" t="str" cm="1">
        <f t="array" ref="F60">_xlfn.TEXTJOIN(" | ",TRUE,_xlfn.UNIQUE(_xlfn._xlws.FILTER(PriceList!$Q$4:$Q$2641&amp;" x "&amp;PriceList!$R$4:$R$2641&amp;" x "&amp;PriceList!$S$4:$S$2641,PriceList!$M$4:$M$2641=A60,"")))</f>
        <v>94.996 x 98.552 x 1.778</v>
      </c>
      <c r="G60" t="str" cm="1">
        <f t="array" ref="G60">INDEX(_xlfn._xlws.FILTER(PriceList!$P$4:$P$2641,PriceList!$M$4:$M$2641=A60,""),1)</f>
        <v>O Ring - NBR 90</v>
      </c>
    </row>
    <row r="61" spans="1:7" x14ac:dyDescent="0.45">
      <c r="A61" t="s">
        <v>5008</v>
      </c>
      <c r="B61">
        <f>COUNTIF(PriceList!$M$4:$M$2641,A61)</f>
        <v>1</v>
      </c>
      <c r="C61" t="str">
        <f>IF(B61=1,"1:1","1:Many")</f>
        <v>1:1</v>
      </c>
      <c r="D61" s="42" t="str" cm="1">
        <f t="array" ref="D61">_xlfn.TEXTJOIN(" | ",TRUE,_xlfn._xlws.FILTER(PriceList!$B$4:$B$2641,PriceList!$M$4:$M$2641=A61,""))</f>
        <v>ORV8 094.99-1.78</v>
      </c>
      <c r="E61" t="str" cm="1">
        <f t="array" ref="E61">_xlfn.TEXTJOIN(", ",TRUE,_xlfn._xlws.FILTER(ROW(PriceList!$B$4:$B$2641),PriceList!$M$4:$M$2641=A61,""))</f>
        <v>1957</v>
      </c>
      <c r="F61" s="42" t="str" cm="1">
        <f t="array" ref="F61">_xlfn.TEXTJOIN(" | ",TRUE,_xlfn.UNIQUE(_xlfn._xlws.FILTER(PriceList!$Q$4:$Q$2641&amp;" x "&amp;PriceList!$R$4:$R$2641&amp;" x "&amp;PriceList!$S$4:$S$2641,PriceList!$M$4:$M$2641=A61,"")))</f>
        <v>94.996 x 98.552 x 1.778</v>
      </c>
      <c r="G61" t="str" cm="1">
        <f t="array" ref="G61">INDEX(_xlfn._xlws.FILTER(PriceList!$P$4:$P$2641,PriceList!$M$4:$M$2641=A61,""),1)</f>
        <v>O Ring - FPM/FKM/VitonÂ®</v>
      </c>
    </row>
    <row r="62" spans="1:7" x14ac:dyDescent="0.45">
      <c r="A62" t="s">
        <v>4520</v>
      </c>
      <c r="B62">
        <f>COUNTIF(PriceList!$M$4:$M$2641,A62)</f>
        <v>1</v>
      </c>
      <c r="C62" t="str">
        <f>IF(B62=1,"1:1","1:Many")</f>
        <v>1:1</v>
      </c>
      <c r="D62" s="42" t="str" cm="1">
        <f t="array" ref="D62">_xlfn.TEXTJOIN(" | ",TRUE,_xlfn._xlws.FILTER(PriceList!$B$4:$B$2641,PriceList!$M$4:$M$2641=A62,""))</f>
        <v>OR9N 101.32-1.78</v>
      </c>
      <c r="E62" t="str" cm="1">
        <f t="array" ref="E62">_xlfn.TEXTJOIN(", ",TRUE,_xlfn._xlws.FILTER(ROW(PriceList!$B$4:$B$2641),PriceList!$M$4:$M$2641=A62,""))</f>
        <v>1320</v>
      </c>
      <c r="F62" s="42" t="str" cm="1">
        <f t="array" ref="F62">_xlfn.TEXTJOIN(" | ",TRUE,_xlfn.UNIQUE(_xlfn._xlws.FILTER(PriceList!$Q$4:$Q$2641&amp;" x "&amp;PriceList!$R$4:$R$2641&amp;" x "&amp;PriceList!$S$4:$S$2641,PriceList!$M$4:$M$2641=A62,"")))</f>
        <v>101.346 x 104.902 x 1.778</v>
      </c>
      <c r="G62" t="str" cm="1">
        <f t="array" ref="G62">INDEX(_xlfn._xlws.FILTER(PriceList!$P$4:$P$2641,PriceList!$M$4:$M$2641=A62,""),1)</f>
        <v>O Ring - NBR 70</v>
      </c>
    </row>
    <row r="63" spans="1:7" x14ac:dyDescent="0.45">
      <c r="A63" t="s">
        <v>4202</v>
      </c>
      <c r="B63">
        <f>COUNTIF(PriceList!$M$4:$M$2641,A63)</f>
        <v>2</v>
      </c>
      <c r="C63" t="str">
        <f>IF(B63=1,"1:1","1:Many")</f>
        <v>1:Many</v>
      </c>
      <c r="D63" s="42" t="str" cm="1">
        <f t="array" ref="D63">_xlfn.TEXTJOIN(" | ",TRUE,_xlfn._xlws.FILTER(PriceList!$B$4:$B$2641,PriceList!$M$4:$M$2641=A63,""))</f>
        <v>OR7N 114.02-1.78 | OR9N 114.02-1.78</v>
      </c>
      <c r="E63" t="str" cm="1">
        <f t="array" ref="E63">_xlfn.TEXTJOIN(", ",TRUE,_xlfn._xlws.FILTER(ROW(PriceList!$B$4:$B$2641),PriceList!$M$4:$M$2641=A63,""))</f>
        <v>785, 1340</v>
      </c>
      <c r="F63" s="42" t="str" cm="1">
        <f t="array" ref="F63">_xlfn.TEXTJOIN(" | ",TRUE,_xlfn.UNIQUE(_xlfn._xlws.FILTER(PriceList!$Q$4:$Q$2641&amp;" x "&amp;PriceList!$R$4:$R$2641&amp;" x "&amp;PriceList!$S$4:$S$2641,PriceList!$M$4:$M$2641=A63,"")))</f>
        <v>114.046 x 117.602 x 1.778</v>
      </c>
      <c r="G63" t="str" cm="1">
        <f t="array" ref="G63">INDEX(_xlfn._xlws.FILTER(PriceList!$P$4:$P$2641,PriceList!$M$4:$M$2641=A63,""),1)</f>
        <v>O Ring - NBR 70</v>
      </c>
    </row>
    <row r="64" spans="1:7" x14ac:dyDescent="0.45">
      <c r="A64" t="s">
        <v>4528</v>
      </c>
      <c r="B64">
        <f>COUNTIF(PriceList!$M$4:$M$2641,A64)</f>
        <v>1</v>
      </c>
      <c r="C64" t="str">
        <f>IF(B64=1,"1:1","1:Many")</f>
        <v>1:1</v>
      </c>
      <c r="D64" s="42" t="str" cm="1">
        <f t="array" ref="D64">_xlfn.TEXTJOIN(" | ",TRUE,_xlfn._xlws.FILTER(PriceList!$B$4:$B$2641,PriceList!$M$4:$M$2641=A64,""))</f>
        <v>OR9N 120.37-1.78</v>
      </c>
      <c r="E64" t="str" cm="1">
        <f t="array" ref="E64">_xlfn.TEXTJOIN(", ",TRUE,_xlfn._xlws.FILTER(ROW(PriceList!$B$4:$B$2641),PriceList!$M$4:$M$2641=A64,""))</f>
        <v>1355</v>
      </c>
      <c r="F64" s="42" t="str" cm="1">
        <f t="array" ref="F64">_xlfn.TEXTJOIN(" | ",TRUE,_xlfn.UNIQUE(_xlfn._xlws.FILTER(PriceList!$Q$4:$Q$2641&amp;" x "&amp;PriceList!$R$4:$R$2641&amp;" x "&amp;PriceList!$S$4:$S$2641,PriceList!$M$4:$M$2641=A64,"")))</f>
        <v>120.396 x 123.952 x 1.778</v>
      </c>
      <c r="G64" t="str" cm="1">
        <f t="array" ref="G64">INDEX(_xlfn._xlws.FILTER(PriceList!$P$4:$P$2641,PriceList!$M$4:$M$2641=A64,""),1)</f>
        <v>O Ring - NBR 70</v>
      </c>
    </row>
    <row r="65" spans="1:7" x14ac:dyDescent="0.45">
      <c r="A65" t="s">
        <v>4532</v>
      </c>
      <c r="B65">
        <f>COUNTIF(PriceList!$M$4:$M$2641,A65)</f>
        <v>1</v>
      </c>
      <c r="C65" t="str">
        <f>IF(B65=1,"1:1","1:Many")</f>
        <v>1:1</v>
      </c>
      <c r="D65" s="42" t="str" cm="1">
        <f t="array" ref="D65">_xlfn.TEXTJOIN(" | ",TRUE,_xlfn._xlws.FILTER(PriceList!$B$4:$B$2641,PriceList!$M$4:$M$2641=A65,""))</f>
        <v>OR9N 126.72-1.78</v>
      </c>
      <c r="E65" t="str" cm="1">
        <f t="array" ref="E65">_xlfn.TEXTJOIN(", ",TRUE,_xlfn._xlws.FILTER(ROW(PriceList!$B$4:$B$2641),PriceList!$M$4:$M$2641=A65,""))</f>
        <v>1368</v>
      </c>
      <c r="F65" s="42" t="str" cm="1">
        <f t="array" ref="F65">_xlfn.TEXTJOIN(" | ",TRUE,_xlfn.UNIQUE(_xlfn._xlws.FILTER(PriceList!$Q$4:$Q$2641&amp;" x "&amp;PriceList!$R$4:$R$2641&amp;" x "&amp;PriceList!$S$4:$S$2641,PriceList!$M$4:$M$2641=A65,"")))</f>
        <v>126.746 x 130.302 x 1.778</v>
      </c>
      <c r="G65" t="str" cm="1">
        <f t="array" ref="G65">INDEX(_xlfn._xlws.FILTER(PriceList!$P$4:$P$2641,PriceList!$M$4:$M$2641=A65,""),1)</f>
        <v>O Ring - NBR 70</v>
      </c>
    </row>
    <row r="66" spans="1:7" x14ac:dyDescent="0.45">
      <c r="A66" t="s">
        <v>4232</v>
      </c>
      <c r="B66">
        <f>COUNTIF(PriceList!$M$4:$M$2641,A66)</f>
        <v>2</v>
      </c>
      <c r="C66" t="str">
        <f>IF(B66=1,"1:1","1:Many")</f>
        <v>1:Many</v>
      </c>
      <c r="D66" s="42" t="str" cm="1">
        <f t="array" ref="D66">_xlfn.TEXTJOIN(" | ",TRUE,_xlfn._xlws.FILTER(PriceList!$B$4:$B$2641,PriceList!$M$4:$M$2641=A66,""))</f>
        <v>OR7N 133.07-1.78 | OR9N 133.07-1.78</v>
      </c>
      <c r="E66" t="str" cm="1">
        <f t="array" ref="E66">_xlfn.TEXTJOIN(", ",TRUE,_xlfn._xlws.FILTER(ROW(PriceList!$B$4:$B$2641),PriceList!$M$4:$M$2641=A66,""))</f>
        <v>814, 1378</v>
      </c>
      <c r="F66" s="42" t="str" cm="1">
        <f t="array" ref="F66">_xlfn.TEXTJOIN(" | ",TRUE,_xlfn.UNIQUE(_xlfn._xlws.FILTER(PriceList!$Q$4:$Q$2641&amp;" x "&amp;PriceList!$R$4:$R$2641&amp;" x "&amp;PriceList!$S$4:$S$2641,PriceList!$M$4:$M$2641=A66,"")))</f>
        <v>133.096 x 136.652 x 1.778</v>
      </c>
      <c r="G66" t="str" cm="1">
        <f t="array" ref="G66">INDEX(_xlfn._xlws.FILTER(PriceList!$P$4:$P$2641,PriceList!$M$4:$M$2641=A66,""),1)</f>
        <v>O Ring - NBR 70</v>
      </c>
    </row>
    <row r="67" spans="1:7" x14ac:dyDescent="0.45">
      <c r="A67" t="s">
        <v>5077</v>
      </c>
      <c r="B67">
        <f>COUNTIF(PriceList!$M$4:$M$2641,A67)</f>
        <v>1</v>
      </c>
      <c r="C67" t="str">
        <f>IF(B67=1,"1:1","1:Many")</f>
        <v>1:1</v>
      </c>
      <c r="D67" s="42" t="str" cm="1">
        <f t="array" ref="D67">_xlfn.TEXTJOIN(" | ",TRUE,_xlfn._xlws.FILTER(PriceList!$B$4:$B$2641,PriceList!$M$4:$M$2641=A67,""))</f>
        <v>ORV8 133.07-1.78</v>
      </c>
      <c r="E67" t="str" cm="1">
        <f t="array" ref="E67">_xlfn.TEXTJOIN(", ",TRUE,_xlfn._xlws.FILTER(ROW(PriceList!$B$4:$B$2641),PriceList!$M$4:$M$2641=A67,""))</f>
        <v>2023</v>
      </c>
      <c r="F67" s="42" t="str" cm="1">
        <f t="array" ref="F67">_xlfn.TEXTJOIN(" | ",TRUE,_xlfn.UNIQUE(_xlfn._xlws.FILTER(PriceList!$Q$4:$Q$2641&amp;" x "&amp;PriceList!$R$4:$R$2641&amp;" x "&amp;PriceList!$S$4:$S$2641,PriceList!$M$4:$M$2641=A67,"")))</f>
        <v>133.096 x 136.652 x 1.778</v>
      </c>
      <c r="G67" t="str" cm="1">
        <f t="array" ref="G67">INDEX(_xlfn._xlws.FILTER(PriceList!$P$4:$P$2641,PriceList!$M$4:$M$2641=A67,""),1)</f>
        <v>O Ring - FPM/FKM/VitonÂ®</v>
      </c>
    </row>
    <row r="68" spans="1:7" x14ac:dyDescent="0.45">
      <c r="A68" t="s">
        <v>4626</v>
      </c>
      <c r="B68">
        <f>COUNTIF(PriceList!$M$4:$M$2641,A68)</f>
        <v>1</v>
      </c>
      <c r="C68" t="str">
        <f>IF(B68=1,"1:1","1:Many")</f>
        <v>1:1</v>
      </c>
      <c r="D68" s="42" t="str" cm="1">
        <f t="array" ref="D68">_xlfn.TEXTJOIN(" | ",TRUE,_xlfn._xlws.FILTER(PriceList!$B$4:$B$2641,PriceList!$M$4:$M$2641=A68,""))</f>
        <v>ORV8 007-3</v>
      </c>
      <c r="E68" t="str" cm="1">
        <f t="array" ref="E68">_xlfn.TEXTJOIN(", ",TRUE,_xlfn._xlws.FILTER(ROW(PriceList!$B$4:$B$2641),PriceList!$M$4:$M$2641=A68,""))</f>
        <v>1569</v>
      </c>
      <c r="F68" s="42" t="str" cm="1">
        <f t="array" ref="F68">_xlfn.TEXTJOIN(" | ",TRUE,_xlfn.UNIQUE(_xlfn._xlws.FILTER(PriceList!$Q$4:$Q$2641&amp;" x "&amp;PriceList!$R$4:$R$2641&amp;" x "&amp;PriceList!$S$4:$S$2641,PriceList!$M$4:$M$2641=A68,"")))</f>
        <v>7.62 x 12.954 x 2.54</v>
      </c>
      <c r="G68" t="str" cm="1">
        <f t="array" ref="G68">INDEX(_xlfn._xlws.FILTER(PriceList!$P$4:$P$2641,PriceList!$M$4:$M$2641=A68,""),1)</f>
        <v>O Ring - FPM/FKM/VitonÂ®</v>
      </c>
    </row>
    <row r="69" spans="1:7" x14ac:dyDescent="0.45">
      <c r="A69" t="s">
        <v>3919</v>
      </c>
      <c r="B69">
        <f>COUNTIF(PriceList!$M$4:$M$2641,A69)</f>
        <v>2</v>
      </c>
      <c r="C69" t="str">
        <f>IF(B69=1,"1:1","1:Many")</f>
        <v>1:Many</v>
      </c>
      <c r="D69" s="42" t="str" cm="1">
        <f t="array" ref="D69">_xlfn.TEXTJOIN(" | ",TRUE,_xlfn._xlws.FILTER(PriceList!$B$4:$B$2641,PriceList!$M$4:$M$2641=A69,""))</f>
        <v>OR7N 009.19-2.62 | OR9N 009.19-2.62</v>
      </c>
      <c r="E69" t="str" cm="1">
        <f t="array" ref="E69">_xlfn.TEXTJOIN(", ",TRUE,_xlfn._xlws.FILTER(ROW(PriceList!$B$4:$B$2641),PriceList!$M$4:$M$2641=A69,""))</f>
        <v>561, 950</v>
      </c>
      <c r="F69" s="42" t="str" cm="1">
        <f t="array" ref="F69">_xlfn.TEXTJOIN(" | ",TRUE,_xlfn.UNIQUE(_xlfn._xlws.FILTER(PriceList!$Q$4:$Q$2641&amp;" x "&amp;PriceList!$R$4:$R$2641&amp;" x "&amp;PriceList!$S$4:$S$2641,PriceList!$M$4:$M$2641=A69,"")))</f>
        <v>9.144 x 14.478 x 2.54</v>
      </c>
      <c r="G69" t="str" cm="1">
        <f t="array" ref="G69">INDEX(_xlfn._xlws.FILTER(PriceList!$P$4:$P$2641,PriceList!$M$4:$M$2641=A69,""),1)</f>
        <v>O Ring - EPDM</v>
      </c>
    </row>
    <row r="70" spans="1:7" x14ac:dyDescent="0.45">
      <c r="A70" t="s">
        <v>4637</v>
      </c>
      <c r="B70">
        <f>COUNTIF(PriceList!$M$4:$M$2641,A70)</f>
        <v>2</v>
      </c>
      <c r="C70" t="str">
        <f>IF(B70=1,"1:1","1:Many")</f>
        <v>1:Many</v>
      </c>
      <c r="D70" s="42" t="str" cm="1">
        <f t="array" ref="D70">_xlfn.TEXTJOIN(" | ",TRUE,_xlfn._xlws.FILTER(PriceList!$B$4:$B$2641,PriceList!$M$4:$M$2641=A70,""))</f>
        <v>ORV8 009.19-2.62 | ORV8 009.5-2.5</v>
      </c>
      <c r="E70" t="str" cm="1">
        <f t="array" ref="E70">_xlfn.TEXTJOIN(", ",TRUE,_xlfn._xlws.FILTER(ROW(PriceList!$B$4:$B$2641),PriceList!$M$4:$M$2641=A70,""))</f>
        <v>1578, 1581</v>
      </c>
      <c r="F70" s="42" t="str" cm="1">
        <f t="array" ref="F70">_xlfn.TEXTJOIN(" | ",TRUE,_xlfn.UNIQUE(_xlfn._xlws.FILTER(PriceList!$Q$4:$Q$2641&amp;" x "&amp;PriceList!$R$4:$R$2641&amp;" x "&amp;PriceList!$S$4:$S$2641,PriceList!$M$4:$M$2641=A70,"")))</f>
        <v>9.144 x 14.478 x 2.54</v>
      </c>
      <c r="G70" t="str" cm="1">
        <f t="array" ref="G70">INDEX(_xlfn._xlws.FILTER(PriceList!$P$4:$P$2641,PriceList!$M$4:$M$2641=A70,""),1)</f>
        <v>O Ring - FPM/FKM/VitonÂ®</v>
      </c>
    </row>
    <row r="71" spans="1:7" x14ac:dyDescent="0.45">
      <c r="A71" t="s">
        <v>4654</v>
      </c>
      <c r="B71">
        <f>COUNTIF(PriceList!$M$4:$M$2641,A71)</f>
        <v>1</v>
      </c>
      <c r="C71" t="str">
        <f>IF(B71=1,"1:1","1:Many")</f>
        <v>1:1</v>
      </c>
      <c r="D71" s="42" t="str" cm="1">
        <f t="array" ref="D71">_xlfn.TEXTJOIN(" | ",TRUE,_xlfn._xlws.FILTER(PriceList!$B$4:$B$2641,PriceList!$M$4:$M$2641=A71,""))</f>
        <v>ORV8 012.37-2.62</v>
      </c>
      <c r="E71" t="str" cm="1">
        <f t="array" ref="E71">_xlfn.TEXTJOIN(", ",TRUE,_xlfn._xlws.FILTER(ROW(PriceList!$B$4:$B$2641),PriceList!$M$4:$M$2641=A71,""))</f>
        <v>1596</v>
      </c>
      <c r="F71" s="42" t="str" cm="1">
        <f t="array" ref="F71">_xlfn.TEXTJOIN(" | ",TRUE,_xlfn.UNIQUE(_xlfn._xlws.FILTER(PriceList!$Q$4:$Q$2641&amp;" x "&amp;PriceList!$R$4:$R$2641&amp;" x "&amp;PriceList!$S$4:$S$2641,PriceList!$M$4:$M$2641=A71,"")))</f>
        <v>12.446 x 17.526 x 2.54</v>
      </c>
      <c r="G71" t="str" cm="1">
        <f t="array" ref="G71">INDEX(_xlfn._xlws.FILTER(PriceList!$P$4:$P$2641,PriceList!$M$4:$M$2641=A71,""),1)</f>
        <v>O Ring - FPM/FKM/VitonÂ®</v>
      </c>
    </row>
    <row r="72" spans="1:7" x14ac:dyDescent="0.45">
      <c r="A72" t="s">
        <v>3946</v>
      </c>
      <c r="B72">
        <f>COUNTIF(PriceList!$M$4:$M$2641,A72)</f>
        <v>2</v>
      </c>
      <c r="C72" t="str">
        <f>IF(B72=1,"1:1","1:Many")</f>
        <v>1:Many</v>
      </c>
      <c r="D72" s="42" t="str" cm="1">
        <f t="array" ref="D72">_xlfn.TEXTJOIN(" | ",TRUE,_xlfn._xlws.FILTER(PriceList!$B$4:$B$2641,PriceList!$M$4:$M$2641=A72,""))</f>
        <v>OR7N 015.54-2.62 | OR9N 015.54-2.62</v>
      </c>
      <c r="E72" t="str" cm="1">
        <f t="array" ref="E72">_xlfn.TEXTJOIN(", ",TRUE,_xlfn._xlws.FILTER(ROW(PriceList!$B$4:$B$2641),PriceList!$M$4:$M$2641=A72,""))</f>
        <v>579, 992</v>
      </c>
      <c r="F72" s="42" t="str" cm="1">
        <f t="array" ref="F72">_xlfn.TEXTJOIN(" | ",TRUE,_xlfn.UNIQUE(_xlfn._xlws.FILTER(PriceList!$Q$4:$Q$2641&amp;" x "&amp;PriceList!$R$4:$R$2641&amp;" x "&amp;PriceList!$S$4:$S$2641,PriceList!$M$4:$M$2641=A72,"")))</f>
        <v>15.494 x 20.828 x 2.54</v>
      </c>
      <c r="G72" t="str" cm="1">
        <f t="array" ref="G72">INDEX(_xlfn._xlws.FILTER(PriceList!$P$4:$P$2641,PriceList!$M$4:$M$2641=A72,""),1)</f>
        <v>O Ring - EPDM</v>
      </c>
    </row>
    <row r="73" spans="1:7" x14ac:dyDescent="0.45">
      <c r="A73" t="s">
        <v>4673</v>
      </c>
      <c r="B73">
        <f>COUNTIF(PriceList!$M$4:$M$2641,A73)</f>
        <v>1</v>
      </c>
      <c r="C73" t="str">
        <f>IF(B73=1,"1:1","1:Many")</f>
        <v>1:1</v>
      </c>
      <c r="D73" s="42" t="str" cm="1">
        <f t="array" ref="D73">_xlfn.TEXTJOIN(" | ",TRUE,_xlfn._xlws.FILTER(PriceList!$B$4:$B$2641,PriceList!$M$4:$M$2641=A73,""))</f>
        <v>ORV8 015.54-2.62</v>
      </c>
      <c r="E73" t="str" cm="1">
        <f t="array" ref="E73">_xlfn.TEXTJOIN(", ",TRUE,_xlfn._xlws.FILTER(ROW(PriceList!$B$4:$B$2641),PriceList!$M$4:$M$2641=A73,""))</f>
        <v>1615</v>
      </c>
      <c r="F73" s="42" t="str" cm="1">
        <f t="array" ref="F73">_xlfn.TEXTJOIN(" | ",TRUE,_xlfn.UNIQUE(_xlfn._xlws.FILTER(PriceList!$Q$4:$Q$2641&amp;" x "&amp;PriceList!$R$4:$R$2641&amp;" x "&amp;PriceList!$S$4:$S$2641,PriceList!$M$4:$M$2641=A73,"")))</f>
        <v>15.494 x 20.828 x 2.54</v>
      </c>
      <c r="G73" t="str" cm="1">
        <f t="array" ref="G73">INDEX(_xlfn._xlws.FILTER(PriceList!$P$4:$P$2641,PriceList!$M$4:$M$2641=A73,""),1)</f>
        <v>O Ring - FPM/FKM/VitonÂ®</v>
      </c>
    </row>
    <row r="74" spans="1:7" x14ac:dyDescent="0.45">
      <c r="A74" t="s">
        <v>4690</v>
      </c>
      <c r="B74">
        <f>COUNTIF(PriceList!$M$4:$M$2641,A74)</f>
        <v>1</v>
      </c>
      <c r="C74" t="str">
        <f>IF(B74=1,"1:1","1:Many")</f>
        <v>1:1</v>
      </c>
      <c r="D74" s="42" t="str" cm="1">
        <f t="array" ref="D74">_xlfn.TEXTJOIN(" | ",TRUE,_xlfn._xlws.FILTER(PriceList!$B$4:$B$2641,PriceList!$M$4:$M$2641=A74,""))</f>
        <v>ORV8 017.12-2.62</v>
      </c>
      <c r="E74" t="str" cm="1">
        <f t="array" ref="E74">_xlfn.TEXTJOIN(", ",TRUE,_xlfn._xlws.FILTER(ROW(PriceList!$B$4:$B$2641),PriceList!$M$4:$M$2641=A74,""))</f>
        <v>1632</v>
      </c>
      <c r="F74" s="42" t="str" cm="1">
        <f t="array" ref="F74">_xlfn.TEXTJOIN(" | ",TRUE,_xlfn.UNIQUE(_xlfn._xlws.FILTER(PriceList!$Q$4:$Q$2641&amp;" x "&amp;PriceList!$R$4:$R$2641&amp;" x "&amp;PriceList!$S$4:$S$2641,PriceList!$M$4:$M$2641=A74,"")))</f>
        <v>17.018 x 22.352 x 2.54</v>
      </c>
      <c r="G74" t="str" cm="1">
        <f t="array" ref="G74">INDEX(_xlfn._xlws.FILTER(PriceList!$P$4:$P$2641,PriceList!$M$4:$M$2641=A74,""),1)</f>
        <v>O Ring - FPM/FKM/VitonÂ®</v>
      </c>
    </row>
    <row r="75" spans="1:7" x14ac:dyDescent="0.45">
      <c r="A75" t="s">
        <v>3984</v>
      </c>
      <c r="B75">
        <f>COUNTIF(PriceList!$M$4:$M$2641,A75)</f>
        <v>2</v>
      </c>
      <c r="C75" t="str">
        <f>IF(B75=1,"1:1","1:Many")</f>
        <v>1:Many</v>
      </c>
      <c r="D75" s="42" t="str" cm="1">
        <f t="array" ref="D75">_xlfn.TEXTJOIN(" | ",TRUE,_xlfn._xlws.FILTER(PriceList!$B$4:$B$2641,PriceList!$M$4:$M$2641=A75,""))</f>
        <v>OR7N 023.47-2.62 | OR9N 023.47-2.62</v>
      </c>
      <c r="E75" t="str" cm="1">
        <f t="array" ref="E75">_xlfn.TEXTJOIN(", ",TRUE,_xlfn._xlws.FILTER(ROW(PriceList!$B$4:$B$2641),PriceList!$M$4:$M$2641=A75,""))</f>
        <v>604, 1036</v>
      </c>
      <c r="F75" s="42" t="str" cm="1">
        <f t="array" ref="F75">_xlfn.TEXTJOIN(" | ",TRUE,_xlfn.UNIQUE(_xlfn._xlws.FILTER(PriceList!$Q$4:$Q$2641&amp;" x "&amp;PriceList!$R$4:$R$2641&amp;" x "&amp;PriceList!$S$4:$S$2641,PriceList!$M$4:$M$2641=A75,"")))</f>
        <v>23.368 x 28.702 x 2.54</v>
      </c>
      <c r="G75" t="str" cm="1">
        <f t="array" ref="G75">INDEX(_xlfn._xlws.FILTER(PriceList!$P$4:$P$2641,PriceList!$M$4:$M$2641=A75,""),1)</f>
        <v>O Ring - EPDM</v>
      </c>
    </row>
    <row r="76" spans="1:7" x14ac:dyDescent="0.45">
      <c r="A76" t="s">
        <v>4730</v>
      </c>
      <c r="B76">
        <f>COUNTIF(PriceList!$M$4:$M$2641,A76)</f>
        <v>1</v>
      </c>
      <c r="C76" t="str">
        <f>IF(B76=1,"1:1","1:Many")</f>
        <v>1:1</v>
      </c>
      <c r="D76" s="42" t="str" cm="1">
        <f t="array" ref="D76">_xlfn.TEXTJOIN(" | ",TRUE,_xlfn._xlws.FILTER(PriceList!$B$4:$B$2641,PriceList!$M$4:$M$2641=A76,""))</f>
        <v>ORV8 023.47-2.62</v>
      </c>
      <c r="E76" t="str" cm="1">
        <f t="array" ref="E76">_xlfn.TEXTJOIN(", ",TRUE,_xlfn._xlws.FILTER(ROW(PriceList!$B$4:$B$2641),PriceList!$M$4:$M$2641=A76,""))</f>
        <v>1680</v>
      </c>
      <c r="F76" s="42" t="str" cm="1">
        <f t="array" ref="F76">_xlfn.TEXTJOIN(" | ",TRUE,_xlfn.UNIQUE(_xlfn._xlws.FILTER(PriceList!$Q$4:$Q$2641&amp;" x "&amp;PriceList!$R$4:$R$2641&amp;" x "&amp;PriceList!$S$4:$S$2641,PriceList!$M$4:$M$2641=A76,"")))</f>
        <v>23.368 x 28.702 x 2.54</v>
      </c>
      <c r="G76" t="str" cm="1">
        <f t="array" ref="G76">INDEX(_xlfn._xlws.FILTER(PriceList!$P$4:$P$2641,PriceList!$M$4:$M$2641=A76,""),1)</f>
        <v>O Ring - FPM/FKM/VitonÂ®</v>
      </c>
    </row>
    <row r="77" spans="1:7" x14ac:dyDescent="0.45">
      <c r="A77" t="s">
        <v>4000</v>
      </c>
      <c r="B77">
        <f>COUNTIF(PriceList!$M$4:$M$2641,A77)</f>
        <v>2</v>
      </c>
      <c r="C77" t="str">
        <f>IF(B77=1,"1:1","1:Many")</f>
        <v>1:Many</v>
      </c>
      <c r="D77" s="42" t="str" cm="1">
        <f t="array" ref="D77">_xlfn.TEXTJOIN(" | ",TRUE,_xlfn._xlws.FILTER(PriceList!$B$4:$B$2641,PriceList!$M$4:$M$2641=A77,""))</f>
        <v>OR7N 026.64-2.62 | OR9N 026.64-2.62</v>
      </c>
      <c r="E77" t="str" cm="1">
        <f t="array" ref="E77">_xlfn.TEXTJOIN(", ",TRUE,_xlfn._xlws.FILTER(ROW(PriceList!$B$4:$B$2641),PriceList!$M$4:$M$2641=A77,""))</f>
        <v>615, 1059</v>
      </c>
      <c r="F77" s="42" t="str" cm="1">
        <f t="array" ref="F77">_xlfn.TEXTJOIN(" | ",TRUE,_xlfn.UNIQUE(_xlfn._xlws.FILTER(PriceList!$Q$4:$Q$2641&amp;" x "&amp;PriceList!$R$4:$R$2641&amp;" x "&amp;PriceList!$S$4:$S$2641,PriceList!$M$4:$M$2641=A77,"")))</f>
        <v>26.67 x 31.75 x 2.54</v>
      </c>
      <c r="G77" t="str" cm="1">
        <f t="array" ref="G77">INDEX(_xlfn._xlws.FILTER(PriceList!$P$4:$P$2641,PriceList!$M$4:$M$2641=A77,""),1)</f>
        <v>O Ring - EPDM</v>
      </c>
    </row>
    <row r="78" spans="1:7" x14ac:dyDescent="0.45">
      <c r="A78" t="s">
        <v>4751</v>
      </c>
      <c r="B78">
        <f>COUNTIF(PriceList!$M$4:$M$2641,A78)</f>
        <v>1</v>
      </c>
      <c r="C78" t="str">
        <f>IF(B78=1,"1:1","1:Many")</f>
        <v>1:1</v>
      </c>
      <c r="D78" s="42" t="str" cm="1">
        <f t="array" ref="D78">_xlfn.TEXTJOIN(" | ",TRUE,_xlfn._xlws.FILTER(PriceList!$B$4:$B$2641,PriceList!$M$4:$M$2641=A78,""))</f>
        <v>ORV8 026.64-2.62</v>
      </c>
      <c r="E78" t="str" cm="1">
        <f t="array" ref="E78">_xlfn.TEXTJOIN(", ",TRUE,_xlfn._xlws.FILTER(ROW(PriceList!$B$4:$B$2641),PriceList!$M$4:$M$2641=A78,""))</f>
        <v>1702</v>
      </c>
      <c r="F78" s="42" t="str" cm="1">
        <f t="array" ref="F78">_xlfn.TEXTJOIN(" | ",TRUE,_xlfn.UNIQUE(_xlfn._xlws.FILTER(PriceList!$Q$4:$Q$2641&amp;" x "&amp;PriceList!$R$4:$R$2641&amp;" x "&amp;PriceList!$S$4:$S$2641,PriceList!$M$4:$M$2641=A78,"")))</f>
        <v>26.67 x 31.75 x 2.54</v>
      </c>
      <c r="G78" t="str" cm="1">
        <f t="array" ref="G78">INDEX(_xlfn._xlws.FILTER(PriceList!$P$4:$P$2641,PriceList!$M$4:$M$2641=A78,""),1)</f>
        <v>O Ring - FPM/FKM/VitonÂ®</v>
      </c>
    </row>
    <row r="79" spans="1:7" x14ac:dyDescent="0.45">
      <c r="A79" t="s">
        <v>4004</v>
      </c>
      <c r="B79">
        <f>COUNTIF(PriceList!$M$4:$M$2641,A79)</f>
        <v>2</v>
      </c>
      <c r="C79" t="str">
        <f>IF(B79=1,"1:1","1:Many")</f>
        <v>1:Many</v>
      </c>
      <c r="D79" s="42" t="str" cm="1">
        <f t="array" ref="D79">_xlfn.TEXTJOIN(" | ",TRUE,_xlfn._xlws.FILTER(PriceList!$B$4:$B$2641,PriceList!$M$4:$M$2641=A79,""))</f>
        <v>OR7N 028.24-2.62 | OR9N 028.24-2.62</v>
      </c>
      <c r="E79" t="str" cm="1">
        <f t="array" ref="E79">_xlfn.TEXTJOIN(", ",TRUE,_xlfn._xlws.FILTER(ROW(PriceList!$B$4:$B$2641),PriceList!$M$4:$M$2641=A79,""))</f>
        <v>618, 1066</v>
      </c>
      <c r="F79" s="42" t="str" cm="1">
        <f t="array" ref="F79">_xlfn.TEXTJOIN(" | ",TRUE,_xlfn.UNIQUE(_xlfn._xlws.FILTER(PriceList!$Q$4:$Q$2641&amp;" x "&amp;PriceList!$R$4:$R$2641&amp;" x "&amp;PriceList!$S$4:$S$2641,PriceList!$M$4:$M$2641=A79,"")))</f>
        <v>28.194 x 33.528 x 2.54</v>
      </c>
      <c r="G79" t="str" cm="1">
        <f t="array" ref="G79">INDEX(_xlfn._xlws.FILTER(PriceList!$P$4:$P$2641,PriceList!$M$4:$M$2641=A79,""),1)</f>
        <v>O Ring - EPDM</v>
      </c>
    </row>
    <row r="80" spans="1:7" x14ac:dyDescent="0.45">
      <c r="A80" t="s">
        <v>4759</v>
      </c>
      <c r="B80">
        <f>COUNTIF(PriceList!$M$4:$M$2641,A80)</f>
        <v>1</v>
      </c>
      <c r="C80" t="str">
        <f>IF(B80=1,"1:1","1:Many")</f>
        <v>1:1</v>
      </c>
      <c r="D80" s="42" t="str" cm="1">
        <f t="array" ref="D80">_xlfn.TEXTJOIN(" | ",TRUE,_xlfn._xlws.FILTER(PriceList!$B$4:$B$2641,PriceList!$M$4:$M$2641=A80,""))</f>
        <v>ORV8 028.24-2.62</v>
      </c>
      <c r="E80" t="str" cm="1">
        <f t="array" ref="E80">_xlfn.TEXTJOIN(", ",TRUE,_xlfn._xlws.FILTER(ROW(PriceList!$B$4:$B$2641),PriceList!$M$4:$M$2641=A80,""))</f>
        <v>1710</v>
      </c>
      <c r="F80" s="42" t="str" cm="1">
        <f t="array" ref="F80">_xlfn.TEXTJOIN(" | ",TRUE,_xlfn.UNIQUE(_xlfn._xlws.FILTER(PriceList!$Q$4:$Q$2641&amp;" x "&amp;PriceList!$R$4:$R$2641&amp;" x "&amp;PriceList!$S$4:$S$2641,PriceList!$M$4:$M$2641=A80,"")))</f>
        <v>28.194 x 33.528 x 2.54</v>
      </c>
      <c r="G80" t="str" cm="1">
        <f t="array" ref="G80">INDEX(_xlfn._xlws.FILTER(PriceList!$P$4:$P$2641,PriceList!$M$4:$M$2641=A80,""),1)</f>
        <v>O Ring - FPM/FKM/VitonÂ®</v>
      </c>
    </row>
    <row r="81" spans="1:7" x14ac:dyDescent="0.45">
      <c r="A81" t="s">
        <v>4774</v>
      </c>
      <c r="B81">
        <f>COUNTIF(PriceList!$M$4:$M$2641,A81)</f>
        <v>1</v>
      </c>
      <c r="C81" t="str">
        <f>IF(B81=1,"1:1","1:Many")</f>
        <v>1:1</v>
      </c>
      <c r="D81" s="42" t="str" cm="1">
        <f t="array" ref="D81">_xlfn.TEXTJOIN(" | ",TRUE,_xlfn._xlws.FILTER(PriceList!$B$4:$B$2641,PriceList!$M$4:$M$2641=A81,""))</f>
        <v>ORV8 031.42-2.62</v>
      </c>
      <c r="E81" t="str" cm="1">
        <f t="array" ref="E81">_xlfn.TEXTJOIN(", ",TRUE,_xlfn._xlws.FILTER(ROW(PriceList!$B$4:$B$2641),PriceList!$M$4:$M$2641=A81,""))</f>
        <v>1728</v>
      </c>
      <c r="F81" s="42" t="str" cm="1">
        <f t="array" ref="F81">_xlfn.TEXTJOIN(" | ",TRUE,_xlfn.UNIQUE(_xlfn._xlws.FILTER(PriceList!$Q$4:$Q$2641&amp;" x "&amp;PriceList!$R$4:$R$2641&amp;" x "&amp;PriceList!$S$4:$S$2641,PriceList!$M$4:$M$2641=A81,"")))</f>
        <v>31.496 x 36.576 x 2.54</v>
      </c>
      <c r="G81" t="str" cm="1">
        <f t="array" ref="G81">INDEX(_xlfn._xlws.FILTER(PriceList!$P$4:$P$2641,PriceList!$M$4:$M$2641=A81,""),1)</f>
        <v>O Ring - FPM/FKM/VitonÂ®</v>
      </c>
    </row>
    <row r="82" spans="1:7" x14ac:dyDescent="0.45">
      <c r="A82" t="s">
        <v>4035</v>
      </c>
      <c r="B82">
        <f>COUNTIF(PriceList!$M$4:$M$2641,A82)</f>
        <v>2</v>
      </c>
      <c r="C82" t="str">
        <f>IF(B82=1,"1:1","1:Many")</f>
        <v>1:Many</v>
      </c>
      <c r="D82" s="42" t="str" cm="1">
        <f t="array" ref="D82">_xlfn.TEXTJOIN(" | ",TRUE,_xlfn._xlws.FILTER(PriceList!$B$4:$B$2641,PriceList!$M$4:$M$2641=A82,""))</f>
        <v>OR7N 034.59-2.62 | OR9N 034.59-2.62</v>
      </c>
      <c r="E82" t="str" cm="1">
        <f t="array" ref="E82">_xlfn.TEXTJOIN(", ",TRUE,_xlfn._xlws.FILTER(ROW(PriceList!$B$4:$B$2641),PriceList!$M$4:$M$2641=A82,""))</f>
        <v>640, 1101</v>
      </c>
      <c r="F82" s="42" t="str" cm="1">
        <f t="array" ref="F82">_xlfn.TEXTJOIN(" | ",TRUE,_xlfn.UNIQUE(_xlfn._xlws.FILTER(PriceList!$Q$4:$Q$2641&amp;" x "&amp;PriceList!$R$4:$R$2641&amp;" x "&amp;PriceList!$S$4:$S$2641,PriceList!$M$4:$M$2641=A82,"")))</f>
        <v>34.544 x 39.878 x 2.54</v>
      </c>
      <c r="G82" t="str" cm="1">
        <f t="array" ref="G82">INDEX(_xlfn._xlws.FILTER(PriceList!$P$4:$P$2641,PriceList!$M$4:$M$2641=A82,""),1)</f>
        <v>O Ring - NBR 70</v>
      </c>
    </row>
    <row r="83" spans="1:7" x14ac:dyDescent="0.45">
      <c r="A83" t="s">
        <v>4792</v>
      </c>
      <c r="B83">
        <f>COUNTIF(PriceList!$M$4:$M$2641,A83)</f>
        <v>1</v>
      </c>
      <c r="C83" t="str">
        <f>IF(B83=1,"1:1","1:Many")</f>
        <v>1:1</v>
      </c>
      <c r="D83" s="42" t="str" cm="1">
        <f t="array" ref="D83">_xlfn.TEXTJOIN(" | ",TRUE,_xlfn._xlws.FILTER(PriceList!$B$4:$B$2641,PriceList!$M$4:$M$2641=A83,""))</f>
        <v>ORV8 034.59-2.62</v>
      </c>
      <c r="E83" t="str" cm="1">
        <f t="array" ref="E83">_xlfn.TEXTJOIN(", ",TRUE,_xlfn._xlws.FILTER(ROW(PriceList!$B$4:$B$2641),PriceList!$M$4:$M$2641=A83,""))</f>
        <v>1745</v>
      </c>
      <c r="F83" s="42" t="str" cm="1">
        <f t="array" ref="F83">_xlfn.TEXTJOIN(" | ",TRUE,_xlfn.UNIQUE(_xlfn._xlws.FILTER(PriceList!$Q$4:$Q$2641&amp;" x "&amp;PriceList!$R$4:$R$2641&amp;" x "&amp;PriceList!$S$4:$S$2641,PriceList!$M$4:$M$2641=A83,"")))</f>
        <v>34.544 x 39.878 x 2.54</v>
      </c>
      <c r="G83" t="str" cm="1">
        <f t="array" ref="G83">INDEX(_xlfn._xlws.FILTER(PriceList!$P$4:$P$2641,PriceList!$M$4:$M$2641=A83,""),1)</f>
        <v>O Ring - FPM/FKM/VitonÂ®</v>
      </c>
    </row>
    <row r="84" spans="1:7" x14ac:dyDescent="0.45">
      <c r="A84" t="s">
        <v>4042</v>
      </c>
      <c r="B84">
        <f>COUNTIF(PriceList!$M$4:$M$2641,A84)</f>
        <v>2</v>
      </c>
      <c r="C84" t="str">
        <f>IF(B84=1,"1:1","1:Many")</f>
        <v>1:Many</v>
      </c>
      <c r="D84" s="42" t="str" cm="1">
        <f t="array" ref="D84">_xlfn.TEXTJOIN(" | ",TRUE,_xlfn._xlws.FILTER(PriceList!$B$4:$B$2641,PriceList!$M$4:$M$2641=A84,""))</f>
        <v>OR7N 036.17-2.62 | OR9N 036.17-2.62</v>
      </c>
      <c r="E84" t="str" cm="1">
        <f t="array" ref="E84">_xlfn.TEXTJOIN(", ",TRUE,_xlfn._xlws.FILTER(ROW(PriceList!$B$4:$B$2641),PriceList!$M$4:$M$2641=A84,""))</f>
        <v>645, 1112</v>
      </c>
      <c r="F84" s="42" t="str" cm="1">
        <f t="array" ref="F84">_xlfn.TEXTJOIN(" | ",TRUE,_xlfn.UNIQUE(_xlfn._xlws.FILTER(PriceList!$Q$4:$Q$2641&amp;" x "&amp;PriceList!$R$4:$R$2641&amp;" x "&amp;PriceList!$S$4:$S$2641,PriceList!$M$4:$M$2641=A84,"")))</f>
        <v>36.068 x 41.402 x 2.54</v>
      </c>
      <c r="G84" t="str" cm="1">
        <f t="array" ref="G84">INDEX(_xlfn._xlws.FILTER(PriceList!$P$4:$P$2641,PriceList!$M$4:$M$2641=A84,""),1)</f>
        <v>O Ring - EPDM</v>
      </c>
    </row>
    <row r="85" spans="1:7" x14ac:dyDescent="0.45">
      <c r="A85" t="s">
        <v>4803</v>
      </c>
      <c r="B85">
        <f>COUNTIF(PriceList!$M$4:$M$2641,A85)</f>
        <v>1</v>
      </c>
      <c r="C85" t="str">
        <f>IF(B85=1,"1:1","1:Many")</f>
        <v>1:1</v>
      </c>
      <c r="D85" s="42" t="str" cm="1">
        <f t="array" ref="D85">_xlfn.TEXTJOIN(" | ",TRUE,_xlfn._xlws.FILTER(PriceList!$B$4:$B$2641,PriceList!$M$4:$M$2641=A85,""))</f>
        <v>ORV8 036.17-2.62</v>
      </c>
      <c r="E85" t="str" cm="1">
        <f t="array" ref="E85">_xlfn.TEXTJOIN(", ",TRUE,_xlfn._xlws.FILTER(ROW(PriceList!$B$4:$B$2641),PriceList!$M$4:$M$2641=A85,""))</f>
        <v>1756</v>
      </c>
      <c r="F85" s="42" t="str" cm="1">
        <f t="array" ref="F85">_xlfn.TEXTJOIN(" | ",TRUE,_xlfn.UNIQUE(_xlfn._xlws.FILTER(PriceList!$Q$4:$Q$2641&amp;" x "&amp;PriceList!$R$4:$R$2641&amp;" x "&amp;PriceList!$S$4:$S$2641,PriceList!$M$4:$M$2641=A85,"")))</f>
        <v>36.068 x 41.402 x 2.54</v>
      </c>
      <c r="G85" t="str" cm="1">
        <f t="array" ref="G85">INDEX(_xlfn._xlws.FILTER(PriceList!$P$4:$P$2641,PriceList!$M$4:$M$2641=A85,""),1)</f>
        <v>O Ring - FPM/FKM/VitonÂ®</v>
      </c>
    </row>
    <row r="86" spans="1:7" x14ac:dyDescent="0.45">
      <c r="A86" t="s">
        <v>4821</v>
      </c>
      <c r="B86">
        <f>COUNTIF(PriceList!$M$4:$M$2641,A86)</f>
        <v>1</v>
      </c>
      <c r="C86" t="str">
        <f>IF(B86=1,"1:1","1:Many")</f>
        <v>1:1</v>
      </c>
      <c r="D86" s="42" t="str" cm="1">
        <f t="array" ref="D86">_xlfn.TEXTJOIN(" | ",TRUE,_xlfn._xlws.FILTER(PriceList!$B$4:$B$2641,PriceList!$M$4:$M$2641=A86,""))</f>
        <v>ORV8 039.34-2.62</v>
      </c>
      <c r="E86" t="str" cm="1">
        <f t="array" ref="E86">_xlfn.TEXTJOIN(", ",TRUE,_xlfn._xlws.FILTER(ROW(PriceList!$B$4:$B$2641),PriceList!$M$4:$M$2641=A86,""))</f>
        <v>1778</v>
      </c>
      <c r="F86" s="42" t="str" cm="1">
        <f t="array" ref="F86">_xlfn.TEXTJOIN(" | ",TRUE,_xlfn.UNIQUE(_xlfn._xlws.FILTER(PriceList!$Q$4:$Q$2641&amp;" x "&amp;PriceList!$R$4:$R$2641&amp;" x "&amp;PriceList!$S$4:$S$2641,PriceList!$M$4:$M$2641=A86,"")))</f>
        <v>39.37 x 44.45 x 2.54</v>
      </c>
      <c r="G86" t="str" cm="1">
        <f t="array" ref="G86">INDEX(_xlfn._xlws.FILTER(PriceList!$P$4:$P$2641,PriceList!$M$4:$M$2641=A86,""),1)</f>
        <v>O Ring - FPM/FKM/VitonÂ®</v>
      </c>
    </row>
    <row r="87" spans="1:7" x14ac:dyDescent="0.45">
      <c r="A87" t="s">
        <v>4830</v>
      </c>
      <c r="B87">
        <f>COUNTIF(PriceList!$M$4:$M$2641,A87)</f>
        <v>1</v>
      </c>
      <c r="C87" t="str">
        <f>IF(B87=1,"1:1","1:Many")</f>
        <v>1:1</v>
      </c>
      <c r="D87" s="42" t="str" cm="1">
        <f t="array" ref="D87">_xlfn.TEXTJOIN(" | ",TRUE,_xlfn._xlws.FILTER(PriceList!$B$4:$B$2641,PriceList!$M$4:$M$2641=A87,""))</f>
        <v>ORV8 040.94-2.62</v>
      </c>
      <c r="E87" t="str" cm="1">
        <f t="array" ref="E87">_xlfn.TEXTJOIN(", ",TRUE,_xlfn._xlws.FILTER(ROW(PriceList!$B$4:$B$2641),PriceList!$M$4:$M$2641=A87,""))</f>
        <v>1786</v>
      </c>
      <c r="F87" s="42" t="str" cm="1">
        <f t="array" ref="F87">_xlfn.TEXTJOIN(" | ",TRUE,_xlfn.UNIQUE(_xlfn._xlws.FILTER(PriceList!$Q$4:$Q$2641&amp;" x "&amp;PriceList!$R$4:$R$2641&amp;" x "&amp;PriceList!$S$4:$S$2641,PriceList!$M$4:$M$2641=A87,"")))</f>
        <v>40.894 x 46.228 x 2.54</v>
      </c>
      <c r="G87" t="str" cm="1">
        <f t="array" ref="G87">INDEX(_xlfn._xlws.FILTER(PriceList!$P$4:$P$2641,PriceList!$M$4:$M$2641=A87,""),1)</f>
        <v>O Ring - FPM/FKM/VitonÂ®</v>
      </c>
    </row>
    <row r="88" spans="1:7" x14ac:dyDescent="0.45">
      <c r="A88" t="s">
        <v>4063</v>
      </c>
      <c r="B88">
        <f>COUNTIF(PriceList!$M$4:$M$2641,A88)</f>
        <v>2</v>
      </c>
      <c r="C88" t="str">
        <f>IF(B88=1,"1:1","1:Many")</f>
        <v>1:Many</v>
      </c>
      <c r="D88" s="42" t="str" cm="1">
        <f t="array" ref="D88">_xlfn.TEXTJOIN(" | ",TRUE,_xlfn._xlws.FILTER(PriceList!$B$4:$B$2641,PriceList!$M$4:$M$2641=A88,""))</f>
        <v>OR7N 042.52-2.62 | OR9N 042.52-2.62</v>
      </c>
      <c r="E88" t="str" cm="1">
        <f t="array" ref="E88">_xlfn.TEXTJOIN(", ",TRUE,_xlfn._xlws.FILTER(ROW(PriceList!$B$4:$B$2641),PriceList!$M$4:$M$2641=A88,""))</f>
        <v>663, 1137</v>
      </c>
      <c r="F88" s="42" t="str" cm="1">
        <f t="array" ref="F88">_xlfn.TEXTJOIN(" | ",TRUE,_xlfn.UNIQUE(_xlfn._xlws.FILTER(PriceList!$Q$4:$Q$2641&amp;" x "&amp;PriceList!$R$4:$R$2641&amp;" x "&amp;PriceList!$S$4:$S$2641,PriceList!$M$4:$M$2641=A88,"")))</f>
        <v>42.418 x 47.752 x 2.54</v>
      </c>
      <c r="G88" t="str" cm="1">
        <f t="array" ref="G88">INDEX(_xlfn._xlws.FILTER(PriceList!$P$4:$P$2641,PriceList!$M$4:$M$2641=A88,""),1)</f>
        <v>O Ring - NBR 70</v>
      </c>
    </row>
    <row r="89" spans="1:7" x14ac:dyDescent="0.45">
      <c r="A89" t="s">
        <v>4837</v>
      </c>
      <c r="B89">
        <f>COUNTIF(PriceList!$M$4:$M$2641,A89)</f>
        <v>1</v>
      </c>
      <c r="C89" t="str">
        <f>IF(B89=1,"1:1","1:Many")</f>
        <v>1:1</v>
      </c>
      <c r="D89" s="42" t="str" cm="1">
        <f t="array" ref="D89">_xlfn.TEXTJOIN(" | ",TRUE,_xlfn._xlws.FILTER(PriceList!$B$4:$B$2641,PriceList!$M$4:$M$2641=A89,""))</f>
        <v>ORV8 042.52-2.62</v>
      </c>
      <c r="E89" t="str" cm="1">
        <f t="array" ref="E89">_xlfn.TEXTJOIN(", ",TRUE,_xlfn._xlws.FILTER(ROW(PriceList!$B$4:$B$2641),PriceList!$M$4:$M$2641=A89,""))</f>
        <v>1794</v>
      </c>
      <c r="F89" s="42" t="str" cm="1">
        <f t="array" ref="F89">_xlfn.TEXTJOIN(" | ",TRUE,_xlfn.UNIQUE(_xlfn._xlws.FILTER(PriceList!$Q$4:$Q$2641&amp;" x "&amp;PriceList!$R$4:$R$2641&amp;" x "&amp;PriceList!$S$4:$S$2641,PriceList!$M$4:$M$2641=A89,"")))</f>
        <v>42.418 x 47.752 x 2.54</v>
      </c>
      <c r="G89" t="str" cm="1">
        <f t="array" ref="G89">INDEX(_xlfn._xlws.FILTER(PriceList!$P$4:$P$2641,PriceList!$M$4:$M$2641=A89,""),1)</f>
        <v>O Ring - FPM/FKM/VitonÂ®</v>
      </c>
    </row>
    <row r="90" spans="1:7" x14ac:dyDescent="0.45">
      <c r="A90" t="s">
        <v>4068</v>
      </c>
      <c r="B90">
        <f>COUNTIF(PriceList!$M$4:$M$2641,A90)</f>
        <v>2</v>
      </c>
      <c r="C90" t="str">
        <f>IF(B90=1,"1:1","1:Many")</f>
        <v>1:Many</v>
      </c>
      <c r="D90" s="42" t="str" cm="1">
        <f t="array" ref="D90">_xlfn.TEXTJOIN(" | ",TRUE,_xlfn._xlws.FILTER(PriceList!$B$4:$B$2641,PriceList!$M$4:$M$2641=A90,""))</f>
        <v>OR7N 044.12-2.62 | OR9N 044.12-2.62</v>
      </c>
      <c r="E90" t="str" cm="1">
        <f t="array" ref="E90">_xlfn.TEXTJOIN(", ",TRUE,_xlfn._xlws.FILTER(ROW(PriceList!$B$4:$B$2641),PriceList!$M$4:$M$2641=A90,""))</f>
        <v>668, 1146</v>
      </c>
      <c r="F90" s="42" t="str" cm="1">
        <f t="array" ref="F90">_xlfn.TEXTJOIN(" | ",TRUE,_xlfn.UNIQUE(_xlfn._xlws.FILTER(PriceList!$Q$4:$Q$2641&amp;" x "&amp;PriceList!$R$4:$R$2641&amp;" x "&amp;PriceList!$S$4:$S$2641,PriceList!$M$4:$M$2641=A90,"")))</f>
        <v>44.196 x 49.276 x 2.54</v>
      </c>
      <c r="G90" t="str" cm="1">
        <f t="array" ref="G90">INDEX(_xlfn._xlws.FILTER(PriceList!$P$4:$P$2641,PriceList!$M$4:$M$2641=A90,""),1)</f>
        <v>O Ring - NBR 70</v>
      </c>
    </row>
    <row r="91" spans="1:7" x14ac:dyDescent="0.45">
      <c r="A91" t="s">
        <v>4845</v>
      </c>
      <c r="B91">
        <f>COUNTIF(PriceList!$M$4:$M$2641,A91)</f>
        <v>1</v>
      </c>
      <c r="C91" t="str">
        <f>IF(B91=1,"1:1","1:Many")</f>
        <v>1:1</v>
      </c>
      <c r="D91" s="42" t="str" cm="1">
        <f t="array" ref="D91">_xlfn.TEXTJOIN(" | ",TRUE,_xlfn._xlws.FILTER(PriceList!$B$4:$B$2641,PriceList!$M$4:$M$2641=A91,""))</f>
        <v>ORV8 044.12-2.62</v>
      </c>
      <c r="E91" t="str" cm="1">
        <f t="array" ref="E91">_xlfn.TEXTJOIN(", ",TRUE,_xlfn._xlws.FILTER(ROW(PriceList!$B$4:$B$2641),PriceList!$M$4:$M$2641=A91,""))</f>
        <v>1800</v>
      </c>
      <c r="F91" s="42" t="str" cm="1">
        <f t="array" ref="F91">_xlfn.TEXTJOIN(" | ",TRUE,_xlfn.UNIQUE(_xlfn._xlws.FILTER(PriceList!$Q$4:$Q$2641&amp;" x "&amp;PriceList!$R$4:$R$2641&amp;" x "&amp;PriceList!$S$4:$S$2641,PriceList!$M$4:$M$2641=A91,"")))</f>
        <v>44.196 x 49.276 x 2.54</v>
      </c>
      <c r="G91" t="str" cm="1">
        <f t="array" ref="G91">INDEX(_xlfn._xlws.FILTER(PriceList!$P$4:$P$2641,PriceList!$M$4:$M$2641=A91,""),1)</f>
        <v>O Ring - FPM/FKM/VitonÂ®</v>
      </c>
    </row>
    <row r="92" spans="1:7" x14ac:dyDescent="0.45">
      <c r="A92" t="s">
        <v>4079</v>
      </c>
      <c r="B92">
        <f>COUNTIF(PriceList!$M$4:$M$2641,A92)</f>
        <v>2</v>
      </c>
      <c r="C92" t="str">
        <f>IF(B92=1,"1:1","1:Many")</f>
        <v>1:Many</v>
      </c>
      <c r="D92" s="42" t="str" cm="1">
        <f t="array" ref="D92">_xlfn.TEXTJOIN(" | ",TRUE,_xlfn._xlws.FILTER(PriceList!$B$4:$B$2641,PriceList!$M$4:$M$2641=A92,""))</f>
        <v>OR7N 047.29-2.62 | OR9N 047.29-2.62</v>
      </c>
      <c r="E92" t="str" cm="1">
        <f t="array" ref="E92">_xlfn.TEXTJOIN(", ",TRUE,_xlfn._xlws.FILTER(ROW(PriceList!$B$4:$B$2641),PriceList!$M$4:$M$2641=A92,""))</f>
        <v>678, 1160</v>
      </c>
      <c r="F92" s="42" t="str" cm="1">
        <f t="array" ref="F92">_xlfn.TEXTJOIN(" | ",TRUE,_xlfn.UNIQUE(_xlfn._xlws.FILTER(PriceList!$Q$4:$Q$2641&amp;" x "&amp;PriceList!$R$4:$R$2641&amp;" x "&amp;PriceList!$S$4:$S$2641,PriceList!$M$4:$M$2641=A92,"")))</f>
        <v>47.244 x 52.578 x 2.54</v>
      </c>
      <c r="G92" t="str" cm="1">
        <f t="array" ref="G92">INDEX(_xlfn._xlws.FILTER(PriceList!$P$4:$P$2641,PriceList!$M$4:$M$2641=A92,""),1)</f>
        <v>O Ring - NBR 70</v>
      </c>
    </row>
    <row r="93" spans="1:7" x14ac:dyDescent="0.45">
      <c r="A93" t="s">
        <v>4864</v>
      </c>
      <c r="B93">
        <f>COUNTIF(PriceList!$M$4:$M$2641,A93)</f>
        <v>1</v>
      </c>
      <c r="C93" t="str">
        <f>IF(B93=1,"1:1","1:Many")</f>
        <v>1:1</v>
      </c>
      <c r="D93" s="42" t="str" cm="1">
        <f t="array" ref="D93">_xlfn.TEXTJOIN(" | ",TRUE,_xlfn._xlws.FILTER(PriceList!$B$4:$B$2641,PriceList!$M$4:$M$2641=A93,""))</f>
        <v>ORV8 047.29-2.62</v>
      </c>
      <c r="E93" t="str" cm="1">
        <f t="array" ref="E93">_xlfn.TEXTJOIN(", ",TRUE,_xlfn._xlws.FILTER(ROW(PriceList!$B$4:$B$2641),PriceList!$M$4:$M$2641=A93,""))</f>
        <v>1817</v>
      </c>
      <c r="F93" s="42" t="str" cm="1">
        <f t="array" ref="F93">_xlfn.TEXTJOIN(" | ",TRUE,_xlfn.UNIQUE(_xlfn._xlws.FILTER(PriceList!$Q$4:$Q$2641&amp;" x "&amp;PriceList!$R$4:$R$2641&amp;" x "&amp;PriceList!$S$4:$S$2641,PriceList!$M$4:$M$2641=A93,"")))</f>
        <v>47.244 x 52.578 x 2.54</v>
      </c>
      <c r="G93" t="str" cm="1">
        <f t="array" ref="G93">INDEX(_xlfn._xlws.FILTER(PriceList!$P$4:$P$2641,PriceList!$M$4:$M$2641=A93,""),1)</f>
        <v>O Ring - FPM/FKM/VitonÂ®</v>
      </c>
    </row>
    <row r="94" spans="1:7" x14ac:dyDescent="0.45">
      <c r="A94" t="s">
        <v>4091</v>
      </c>
      <c r="B94">
        <f>COUNTIF(PriceList!$M$4:$M$2641,A94)</f>
        <v>2</v>
      </c>
      <c r="C94" t="str">
        <f>IF(B94=1,"1:1","1:Many")</f>
        <v>1:Many</v>
      </c>
      <c r="D94" s="42" t="str" cm="1">
        <f t="array" ref="D94">_xlfn.TEXTJOIN(" | ",TRUE,_xlfn._xlws.FILTER(PriceList!$B$4:$B$2641,PriceList!$M$4:$M$2641=A94,""))</f>
        <v>OR7N 050.47-2.62 | OR9N 050.47-2.62</v>
      </c>
      <c r="E94" t="str" cm="1">
        <f t="array" ref="E94">_xlfn.TEXTJOIN(", ",TRUE,_xlfn._xlws.FILTER(ROW(PriceList!$B$4:$B$2641),PriceList!$M$4:$M$2641=A94,""))</f>
        <v>687, 1174</v>
      </c>
      <c r="F94" s="42" t="str" cm="1">
        <f t="array" ref="F94">_xlfn.TEXTJOIN(" | ",TRUE,_xlfn.UNIQUE(_xlfn._xlws.FILTER(PriceList!$Q$4:$Q$2641&amp;" x "&amp;PriceList!$R$4:$R$2641&amp;" x "&amp;PriceList!$S$4:$S$2641,PriceList!$M$4:$M$2641=A94,"")))</f>
        <v>50.546 x 55.626 x 2.54</v>
      </c>
      <c r="G94" t="str" cm="1">
        <f t="array" ref="G94">INDEX(_xlfn._xlws.FILTER(PriceList!$P$4:$P$2641,PriceList!$M$4:$M$2641=A94,""),1)</f>
        <v>O Ring - EPDM</v>
      </c>
    </row>
    <row r="95" spans="1:7" x14ac:dyDescent="0.45">
      <c r="A95" t="s">
        <v>4880</v>
      </c>
      <c r="B95">
        <f>COUNTIF(PriceList!$M$4:$M$2641,A95)</f>
        <v>1</v>
      </c>
      <c r="C95" t="str">
        <f>IF(B95=1,"1:1","1:Many")</f>
        <v>1:1</v>
      </c>
      <c r="D95" s="42" t="str" cm="1">
        <f t="array" ref="D95">_xlfn.TEXTJOIN(" | ",TRUE,_xlfn._xlws.FILTER(PriceList!$B$4:$B$2641,PriceList!$M$4:$M$2641=A95,""))</f>
        <v>ORV8 050.47-2.62</v>
      </c>
      <c r="E95" t="str" cm="1">
        <f t="array" ref="E95">_xlfn.TEXTJOIN(", ",TRUE,_xlfn._xlws.FILTER(ROW(PriceList!$B$4:$B$2641),PriceList!$M$4:$M$2641=A95,""))</f>
        <v>1833</v>
      </c>
      <c r="F95" s="42" t="str" cm="1">
        <f t="array" ref="F95">_xlfn.TEXTJOIN(" | ",TRUE,_xlfn.UNIQUE(_xlfn._xlws.FILTER(PriceList!$Q$4:$Q$2641&amp;" x "&amp;PriceList!$R$4:$R$2641&amp;" x "&amp;PriceList!$S$4:$S$2641,PriceList!$M$4:$M$2641=A95,"")))</f>
        <v>50.546 x 55.626 x 2.54</v>
      </c>
      <c r="G95" t="str" cm="1">
        <f t="array" ref="G95">INDEX(_xlfn._xlws.FILTER(PriceList!$P$4:$P$2641,PriceList!$M$4:$M$2641=A95,""),1)</f>
        <v>O Ring - FPM/FKM/VitonÂ®</v>
      </c>
    </row>
    <row r="96" spans="1:7" x14ac:dyDescent="0.45">
      <c r="A96" t="s">
        <v>4096</v>
      </c>
      <c r="B96">
        <f>COUNTIF(PriceList!$M$4:$M$2641,A96)</f>
        <v>2</v>
      </c>
      <c r="C96" t="str">
        <f>IF(B96=1,"1:1","1:Many")</f>
        <v>1:Many</v>
      </c>
      <c r="D96" s="42" t="str" cm="1">
        <f t="array" ref="D96">_xlfn.TEXTJOIN(" | ",TRUE,_xlfn._xlws.FILTER(PriceList!$B$4:$B$2641,PriceList!$M$4:$M$2641=A96,""))</f>
        <v>OR7N 053.64-2.62 | OR9N 053.64-2.62</v>
      </c>
      <c r="E96" t="str" cm="1">
        <f t="array" ref="E96">_xlfn.TEXTJOIN(", ",TRUE,_xlfn._xlws.FILTER(ROW(PriceList!$B$4:$B$2641),PriceList!$M$4:$M$2641=A96,""))</f>
        <v>692, 1187</v>
      </c>
      <c r="F96" s="42" t="str" cm="1">
        <f t="array" ref="F96">_xlfn.TEXTJOIN(" | ",TRUE,_xlfn.UNIQUE(_xlfn._xlws.FILTER(PriceList!$Q$4:$Q$2641&amp;" x "&amp;PriceList!$R$4:$R$2641&amp;" x "&amp;PriceList!$S$4:$S$2641,PriceList!$M$4:$M$2641=A96,"")))</f>
        <v>53.594 x 58.928 x 2.54</v>
      </c>
      <c r="G96" t="str" cm="1">
        <f t="array" ref="G96">INDEX(_xlfn._xlws.FILTER(PriceList!$P$4:$P$2641,PriceList!$M$4:$M$2641=A96,""),1)</f>
        <v>O Ring - NBR 70</v>
      </c>
    </row>
    <row r="97" spans="1:7" x14ac:dyDescent="0.45">
      <c r="A97" t="s">
        <v>4891</v>
      </c>
      <c r="B97">
        <f>COUNTIF(PriceList!$M$4:$M$2641,A97)</f>
        <v>1</v>
      </c>
      <c r="C97" t="str">
        <f>IF(B97=1,"1:1","1:Many")</f>
        <v>1:1</v>
      </c>
      <c r="D97" s="42" t="str" cm="1">
        <f t="array" ref="D97">_xlfn.TEXTJOIN(" | ",TRUE,_xlfn._xlws.FILTER(PriceList!$B$4:$B$2641,PriceList!$M$4:$M$2641=A97,""))</f>
        <v>ORV8 053.64-2.62</v>
      </c>
      <c r="E97" t="str" cm="1">
        <f t="array" ref="E97">_xlfn.TEXTJOIN(", ",TRUE,_xlfn._xlws.FILTER(ROW(PriceList!$B$4:$B$2641),PriceList!$M$4:$M$2641=A97,""))</f>
        <v>1844</v>
      </c>
      <c r="F97" s="42" t="str" cm="1">
        <f t="array" ref="F97">_xlfn.TEXTJOIN(" | ",TRUE,_xlfn.UNIQUE(_xlfn._xlws.FILTER(PriceList!$Q$4:$Q$2641&amp;" x "&amp;PriceList!$R$4:$R$2641&amp;" x "&amp;PriceList!$S$4:$S$2641,PriceList!$M$4:$M$2641=A97,"")))</f>
        <v>53.594 x 58.928 x 2.54</v>
      </c>
      <c r="G97" t="str" cm="1">
        <f t="array" ref="G97">INDEX(_xlfn._xlws.FILTER(PriceList!$P$4:$P$2641,PriceList!$M$4:$M$2641=A97,""),1)</f>
        <v>O Ring - FPM/FKM/VitonÂ®</v>
      </c>
    </row>
    <row r="98" spans="1:7" x14ac:dyDescent="0.45">
      <c r="A98" t="s">
        <v>4099</v>
      </c>
      <c r="B98">
        <f>COUNTIF(PriceList!$M$4:$M$2641,A98)</f>
        <v>2</v>
      </c>
      <c r="C98" t="str">
        <f>IF(B98=1,"1:1","1:Many")</f>
        <v>1:Many</v>
      </c>
      <c r="D98" s="42" t="str" cm="1">
        <f t="array" ref="D98">_xlfn.TEXTJOIN(" | ",TRUE,_xlfn._xlws.FILTER(PriceList!$B$4:$B$2641,PriceList!$M$4:$M$2641=A98,""))</f>
        <v>OR7N 055.25-2.62 | OR9N 055.25-2.62</v>
      </c>
      <c r="E98" t="str" cm="1">
        <f t="array" ref="E98">_xlfn.TEXTJOIN(", ",TRUE,_xlfn._xlws.FILTER(ROW(PriceList!$B$4:$B$2641),PriceList!$M$4:$M$2641=A98,""))</f>
        <v>695, 1192</v>
      </c>
      <c r="F98" s="42" t="str" cm="1">
        <f t="array" ref="F98">_xlfn.TEXTJOIN(" | ",TRUE,_xlfn.UNIQUE(_xlfn._xlws.FILTER(PriceList!$Q$4:$Q$2641&amp;" x "&amp;PriceList!$R$4:$R$2641&amp;" x "&amp;PriceList!$S$4:$S$2641,PriceList!$M$4:$M$2641=A98,"")))</f>
        <v>55.118 x 60.452 x 2.54</v>
      </c>
      <c r="G98" t="str" cm="1">
        <f t="array" ref="G98">INDEX(_xlfn._xlws.FILTER(PriceList!$P$4:$P$2641,PriceList!$M$4:$M$2641=A98,""),1)</f>
        <v>O Ring - NBR 70</v>
      </c>
    </row>
    <row r="99" spans="1:7" x14ac:dyDescent="0.45">
      <c r="A99" t="s">
        <v>4895</v>
      </c>
      <c r="B99">
        <f>COUNTIF(PriceList!$M$4:$M$2641,A99)</f>
        <v>1</v>
      </c>
      <c r="C99" t="str">
        <f>IF(B99=1,"1:1","1:Many")</f>
        <v>1:1</v>
      </c>
      <c r="D99" s="42" t="str" cm="1">
        <f t="array" ref="D99">_xlfn.TEXTJOIN(" | ",TRUE,_xlfn._xlws.FILTER(PriceList!$B$4:$B$2641,PriceList!$M$4:$M$2641=A99,""))</f>
        <v>ORV8 055.25-2.62</v>
      </c>
      <c r="E99" t="str" cm="1">
        <f t="array" ref="E99">_xlfn.TEXTJOIN(", ",TRUE,_xlfn._xlws.FILTER(ROW(PriceList!$B$4:$B$2641),PriceList!$M$4:$M$2641=A99,""))</f>
        <v>1849</v>
      </c>
      <c r="F99" s="42" t="str" cm="1">
        <f t="array" ref="F99">_xlfn.TEXTJOIN(" | ",TRUE,_xlfn.UNIQUE(_xlfn._xlws.FILTER(PriceList!$Q$4:$Q$2641&amp;" x "&amp;PriceList!$R$4:$R$2641&amp;" x "&amp;PriceList!$S$4:$S$2641,PriceList!$M$4:$M$2641=A99,"")))</f>
        <v>55.118 x 60.452 x 2.54</v>
      </c>
      <c r="G99" t="str" cm="1">
        <f t="array" ref="G99">INDEX(_xlfn._xlws.FILTER(PriceList!$P$4:$P$2641,PriceList!$M$4:$M$2641=A99,""),1)</f>
        <v>O Ring - FPM/FKM/VitonÂ®</v>
      </c>
    </row>
    <row r="100" spans="1:7" x14ac:dyDescent="0.45">
      <c r="A100" t="s">
        <v>4902</v>
      </c>
      <c r="B100">
        <f>COUNTIF(PriceList!$M$4:$M$2641,A100)</f>
        <v>1</v>
      </c>
      <c r="C100" t="str">
        <f>IF(B100=1,"1:1","1:Many")</f>
        <v>1:1</v>
      </c>
      <c r="D100" s="42" t="str" cm="1">
        <f t="array" ref="D100">_xlfn.TEXTJOIN(" | ",TRUE,_xlfn._xlws.FILTER(PriceList!$B$4:$B$2641,PriceList!$M$4:$M$2641=A100,""))</f>
        <v>ORV8 056.82-2.62</v>
      </c>
      <c r="E100" t="str" cm="1">
        <f t="array" ref="E100">_xlfn.TEXTJOIN(", ",TRUE,_xlfn._xlws.FILTER(ROW(PriceList!$B$4:$B$2641),PriceList!$M$4:$M$2641=A100,""))</f>
        <v>1855</v>
      </c>
      <c r="F100" s="42" t="str" cm="1">
        <f t="array" ref="F100">_xlfn.TEXTJOIN(" | ",TRUE,_xlfn.UNIQUE(_xlfn._xlws.FILTER(PriceList!$Q$4:$Q$2641&amp;" x "&amp;PriceList!$R$4:$R$2641&amp;" x "&amp;PriceList!$S$4:$S$2641,PriceList!$M$4:$M$2641=A100,"")))</f>
        <v>56.896 x 61.976 x 2.54</v>
      </c>
      <c r="G100" t="str" cm="1">
        <f t="array" ref="G100">INDEX(_xlfn._xlws.FILTER(PriceList!$P$4:$P$2641,PriceList!$M$4:$M$2641=A100,""),1)</f>
        <v>O Ring - FPM/FKM/VitonÂ®</v>
      </c>
    </row>
    <row r="101" spans="1:7" x14ac:dyDescent="0.45">
      <c r="A101" t="s">
        <v>4107</v>
      </c>
      <c r="B101">
        <f>COUNTIF(PriceList!$M$4:$M$2641,A101)</f>
        <v>2</v>
      </c>
      <c r="C101" t="str">
        <f>IF(B101=1,"1:1","1:Many")</f>
        <v>1:Many</v>
      </c>
      <c r="D101" s="42" t="str" cm="1">
        <f t="array" ref="D101">_xlfn.TEXTJOIN(" | ",TRUE,_xlfn._xlws.FILTER(PriceList!$B$4:$B$2641,PriceList!$M$4:$M$2641=A101,""))</f>
        <v>OR7N 058.42-2.62 | OR9N 058.42-2.62</v>
      </c>
      <c r="E101" t="str" cm="1">
        <f t="array" ref="E101">_xlfn.TEXTJOIN(", ",TRUE,_xlfn._xlws.FILTER(ROW(PriceList!$B$4:$B$2641),PriceList!$M$4:$M$2641=A101,""))</f>
        <v>702, 1204</v>
      </c>
      <c r="F101" s="42" t="str" cm="1">
        <f t="array" ref="F101">_xlfn.TEXTJOIN(" | ",TRUE,_xlfn.UNIQUE(_xlfn._xlws.FILTER(PriceList!$Q$4:$Q$2641&amp;" x "&amp;PriceList!$R$4:$R$2641&amp;" x "&amp;PriceList!$S$4:$S$2641,PriceList!$M$4:$M$2641=A101,"")))</f>
        <v>58.42 x 63.754 x 2.54</v>
      </c>
      <c r="G101" t="str" cm="1">
        <f t="array" ref="G101">INDEX(_xlfn._xlws.FILTER(PriceList!$P$4:$P$2641,PriceList!$M$4:$M$2641=A101,""),1)</f>
        <v>O Ring - EPDM</v>
      </c>
    </row>
    <row r="102" spans="1:7" x14ac:dyDescent="0.45">
      <c r="A102" t="s">
        <v>4907</v>
      </c>
      <c r="B102">
        <f>COUNTIF(PriceList!$M$4:$M$2641,A102)</f>
        <v>1</v>
      </c>
      <c r="C102" t="str">
        <f>IF(B102=1,"1:1","1:Many")</f>
        <v>1:1</v>
      </c>
      <c r="D102" s="42" t="str" cm="1">
        <f t="array" ref="D102">_xlfn.TEXTJOIN(" | ",TRUE,_xlfn._xlws.FILTER(PriceList!$B$4:$B$2641,PriceList!$M$4:$M$2641=A102,""))</f>
        <v>ORV8 058.42-2.62</v>
      </c>
      <c r="E102" t="str" cm="1">
        <f t="array" ref="E102">_xlfn.TEXTJOIN(", ",TRUE,_xlfn._xlws.FILTER(ROW(PriceList!$B$4:$B$2641),PriceList!$M$4:$M$2641=A102,""))</f>
        <v>1861</v>
      </c>
      <c r="F102" s="42" t="str" cm="1">
        <f t="array" ref="F102">_xlfn.TEXTJOIN(" | ",TRUE,_xlfn.UNIQUE(_xlfn._xlws.FILTER(PriceList!$Q$4:$Q$2641&amp;" x "&amp;PriceList!$R$4:$R$2641&amp;" x "&amp;PriceList!$S$4:$S$2641,PriceList!$M$4:$M$2641=A102,"")))</f>
        <v>58.42 x 63.754 x 2.54</v>
      </c>
      <c r="G102" t="str" cm="1">
        <f t="array" ref="G102">INDEX(_xlfn._xlws.FILTER(PriceList!$P$4:$P$2641,PriceList!$M$4:$M$2641=A102,""),1)</f>
        <v>O Ring - FPM/FKM/VitonÂ®</v>
      </c>
    </row>
    <row r="103" spans="1:7" x14ac:dyDescent="0.45">
      <c r="A103" t="s">
        <v>4916</v>
      </c>
      <c r="B103">
        <f>COUNTIF(PriceList!$M$4:$M$2641,A103)</f>
        <v>2</v>
      </c>
      <c r="C103" t="str">
        <f>IF(B103=1,"1:1","1:Many")</f>
        <v>1:Many</v>
      </c>
      <c r="D103" s="42" t="str" cm="1">
        <f t="array" ref="D103">_xlfn.TEXTJOIN(" | ",TRUE,_xlfn._xlws.FILTER(PriceList!$B$4:$B$2641,PriceList!$M$4:$M$2641=A103,""))</f>
        <v>ORV8 059.99-2.62 | ORV8 061.6-1.78</v>
      </c>
      <c r="E103" t="str" cm="1">
        <f t="array" ref="E103">_xlfn.TEXTJOIN(", ",TRUE,_xlfn._xlws.FILTER(ROW(PriceList!$B$4:$B$2641),PriceList!$M$4:$M$2641=A103,""))</f>
        <v>1869, 1875</v>
      </c>
      <c r="F103" s="42" t="str" cm="1">
        <f t="array" ref="F103">_xlfn.TEXTJOIN(" | ",TRUE,_xlfn.UNIQUE(_xlfn._xlws.FILTER(PriceList!$Q$4:$Q$2641&amp;" x "&amp;PriceList!$R$4:$R$2641&amp;" x "&amp;PriceList!$S$4:$S$2641,PriceList!$M$4:$M$2641=A103,"")))</f>
        <v>59.944 x 65.278 x 2.54</v>
      </c>
      <c r="G103" t="str" cm="1">
        <f t="array" ref="G103">INDEX(_xlfn._xlws.FILTER(PriceList!$P$4:$P$2641,PriceList!$M$4:$M$2641=A103,""),1)</f>
        <v>O Ring - FPM/FKM/VitonÂ®</v>
      </c>
    </row>
    <row r="104" spans="1:7" x14ac:dyDescent="0.45">
      <c r="A104" t="s">
        <v>4924</v>
      </c>
      <c r="B104">
        <f>COUNTIF(PriceList!$M$4:$M$2641,A104)</f>
        <v>1</v>
      </c>
      <c r="C104" t="str">
        <f>IF(B104=1,"1:1","1:Many")</f>
        <v>1:1</v>
      </c>
      <c r="D104" s="42" t="str" cm="1">
        <f t="array" ref="D104">_xlfn.TEXTJOIN(" | ",TRUE,_xlfn._xlws.FILTER(PriceList!$B$4:$B$2641,PriceList!$M$4:$M$2641=A104,""))</f>
        <v>ORV8 061.6-2.62</v>
      </c>
      <c r="E104" t="str" cm="1">
        <f t="array" ref="E104">_xlfn.TEXTJOIN(", ",TRUE,_xlfn._xlws.FILTER(ROW(PriceList!$B$4:$B$2641),PriceList!$M$4:$M$2641=A104,""))</f>
        <v>1876</v>
      </c>
      <c r="F104" s="42" t="str" cm="1">
        <f t="array" ref="F104">_xlfn.TEXTJOIN(" | ",TRUE,_xlfn.UNIQUE(_xlfn._xlws.FILTER(PriceList!$Q$4:$Q$2641&amp;" x "&amp;PriceList!$R$4:$R$2641&amp;" x "&amp;PriceList!$S$4:$S$2641,PriceList!$M$4:$M$2641=A104,"")))</f>
        <v>61.468 x 66.802 x 2.54</v>
      </c>
      <c r="G104" t="str" cm="1">
        <f t="array" ref="G104">INDEX(_xlfn._xlws.FILTER(PriceList!$P$4:$P$2641,PriceList!$M$4:$M$2641=A104,""),1)</f>
        <v>O Ring - FPM/FKM/VitonÂ®</v>
      </c>
    </row>
    <row r="105" spans="1:7" x14ac:dyDescent="0.45">
      <c r="A105" t="s">
        <v>4116</v>
      </c>
      <c r="B105">
        <f>COUNTIF(PriceList!$M$4:$M$2641,A105)</f>
        <v>2</v>
      </c>
      <c r="C105" t="str">
        <f>IF(B105=1,"1:1","1:Many")</f>
        <v>1:Many</v>
      </c>
      <c r="D105" s="42" t="str" cm="1">
        <f t="array" ref="D105">_xlfn.TEXTJOIN(" | ",TRUE,_xlfn._xlws.FILTER(PriceList!$B$4:$B$2641,PriceList!$M$4:$M$2641=A105,""))</f>
        <v>OR7N 063.17-2.62 | OR9N 063.17-2.62</v>
      </c>
      <c r="E105" t="str" cm="1">
        <f t="array" ref="E105">_xlfn.TEXTJOIN(", ",TRUE,_xlfn._xlws.FILTER(ROW(PriceList!$B$4:$B$2641),PriceList!$M$4:$M$2641=A105,""))</f>
        <v>710, 1220</v>
      </c>
      <c r="F105" s="42" t="str" cm="1">
        <f t="array" ref="F105">_xlfn.TEXTJOIN(" | ",TRUE,_xlfn.UNIQUE(_xlfn._xlws.FILTER(PriceList!$Q$4:$Q$2641&amp;" x "&amp;PriceList!$R$4:$R$2641&amp;" x "&amp;PriceList!$S$4:$S$2641,PriceList!$M$4:$M$2641=A105,"")))</f>
        <v>63.246 x 68.326 x 2.54</v>
      </c>
      <c r="G105" t="str" cm="1">
        <f t="array" ref="G105">INDEX(_xlfn._xlws.FILTER(PriceList!$P$4:$P$2641,PriceList!$M$4:$M$2641=A105,""),1)</f>
        <v>O Ring - NBR 70</v>
      </c>
    </row>
    <row r="106" spans="1:7" x14ac:dyDescent="0.45">
      <c r="A106" t="s">
        <v>4930</v>
      </c>
      <c r="B106">
        <f>COUNTIF(PriceList!$M$4:$M$2641,A106)</f>
        <v>1</v>
      </c>
      <c r="C106" t="str">
        <f>IF(B106=1,"1:1","1:Many")</f>
        <v>1:1</v>
      </c>
      <c r="D106" s="42" t="str" cm="1">
        <f t="array" ref="D106">_xlfn.TEXTJOIN(" | ",TRUE,_xlfn._xlws.FILTER(PriceList!$B$4:$B$2641,PriceList!$M$4:$M$2641=A106,""))</f>
        <v>ORV8 063.17-2.62</v>
      </c>
      <c r="E106" t="str" cm="1">
        <f t="array" ref="E106">_xlfn.TEXTJOIN(", ",TRUE,_xlfn._xlws.FILTER(ROW(PriceList!$B$4:$B$2641),PriceList!$M$4:$M$2641=A106,""))</f>
        <v>1881</v>
      </c>
      <c r="F106" s="42" t="str" cm="1">
        <f t="array" ref="F106">_xlfn.TEXTJOIN(" | ",TRUE,_xlfn.UNIQUE(_xlfn._xlws.FILTER(PriceList!$Q$4:$Q$2641&amp;" x "&amp;PriceList!$R$4:$R$2641&amp;" x "&amp;PriceList!$S$4:$S$2641,PriceList!$M$4:$M$2641=A106,"")))</f>
        <v>63.246 x 68.326 x 2.54</v>
      </c>
      <c r="G106" t="str" cm="1">
        <f t="array" ref="G106">INDEX(_xlfn._xlws.FILTER(PriceList!$P$4:$P$2641,PriceList!$M$4:$M$2641=A106,""),1)</f>
        <v>O Ring - FPM/FKM/VitonÂ®</v>
      </c>
    </row>
    <row r="107" spans="1:7" x14ac:dyDescent="0.45">
      <c r="A107" t="s">
        <v>4125</v>
      </c>
      <c r="B107">
        <f>COUNTIF(PriceList!$M$4:$M$2641,A107)</f>
        <v>2</v>
      </c>
      <c r="C107" t="str">
        <f>IF(B107=1,"1:1","1:Many")</f>
        <v>1:Many</v>
      </c>
      <c r="D107" s="42" t="str" cm="1">
        <f t="array" ref="D107">_xlfn.TEXTJOIN(" | ",TRUE,_xlfn._xlws.FILTER(PriceList!$B$4:$B$2641,PriceList!$M$4:$M$2641=A107,""))</f>
        <v>OR7N 066.34-2.62 | OR9N 066.34-2.62</v>
      </c>
      <c r="E107" t="str" cm="1">
        <f t="array" ref="E107">_xlfn.TEXTJOIN(", ",TRUE,_xlfn._xlws.FILTER(ROW(PriceList!$B$4:$B$2641),PriceList!$M$4:$M$2641=A107,""))</f>
        <v>718, 1233</v>
      </c>
      <c r="F107" s="42" t="str" cm="1">
        <f t="array" ref="F107">_xlfn.TEXTJOIN(" | ",TRUE,_xlfn.UNIQUE(_xlfn._xlws.FILTER(PriceList!$Q$4:$Q$2641&amp;" x "&amp;PriceList!$R$4:$R$2641&amp;" x "&amp;PriceList!$S$4:$S$2641,PriceList!$M$4:$M$2641=A107,"")))</f>
        <v>66.294 x 71.628 x 2.54</v>
      </c>
      <c r="G107" t="str" cm="1">
        <f t="array" ref="G107">INDEX(_xlfn._xlws.FILTER(PriceList!$P$4:$P$2641,PriceList!$M$4:$M$2641=A107,""),1)</f>
        <v>O Ring - EPDM</v>
      </c>
    </row>
    <row r="108" spans="1:7" x14ac:dyDescent="0.45">
      <c r="A108" t="s">
        <v>4939</v>
      </c>
      <c r="B108">
        <f>COUNTIF(PriceList!$M$4:$M$2641,A108)</f>
        <v>2</v>
      </c>
      <c r="C108" t="str">
        <f>IF(B108=1,"1:1","1:Many")</f>
        <v>1:Many</v>
      </c>
      <c r="D108" s="42" t="str" cm="1">
        <f t="array" ref="D108">_xlfn.TEXTJOIN(" | ",TRUE,_xlfn._xlws.FILTER(PriceList!$B$4:$B$2641,PriceList!$M$4:$M$2641=A108,""))</f>
        <v>ORV8 066.34-2.62 | ORV8 066-3</v>
      </c>
      <c r="E108" t="str" cm="1">
        <f t="array" ref="E108">_xlfn.TEXTJOIN(", ",TRUE,_xlfn._xlws.FILTER(ROW(PriceList!$B$4:$B$2641),PriceList!$M$4:$M$2641=A108,""))</f>
        <v>1891, 1892</v>
      </c>
      <c r="F108" s="42" t="str" cm="1">
        <f t="array" ref="F108">_xlfn.TEXTJOIN(" | ",TRUE,_xlfn.UNIQUE(_xlfn._xlws.FILTER(PriceList!$Q$4:$Q$2641&amp;" x "&amp;PriceList!$R$4:$R$2641&amp;" x "&amp;PriceList!$S$4:$S$2641,PriceList!$M$4:$M$2641=A108,"")))</f>
        <v>66.294 x 71.628 x 2.54</v>
      </c>
      <c r="G108" t="str" cm="1">
        <f t="array" ref="G108">INDEX(_xlfn._xlws.FILTER(PriceList!$P$4:$P$2641,PriceList!$M$4:$M$2641=A108,""),1)</f>
        <v>O Ring - FPM/FKM/VitonÂ®</v>
      </c>
    </row>
    <row r="109" spans="1:7" x14ac:dyDescent="0.45">
      <c r="A109" t="s">
        <v>4941</v>
      </c>
      <c r="B109">
        <f>COUNTIF(PriceList!$M$4:$M$2641,A109)</f>
        <v>1</v>
      </c>
      <c r="C109" t="str">
        <f>IF(B109=1,"1:1","1:Many")</f>
        <v>1:1</v>
      </c>
      <c r="D109" s="42" t="str" cm="1">
        <f t="array" ref="D109">_xlfn.TEXTJOIN(" | ",TRUE,_xlfn._xlws.FILTER(PriceList!$B$4:$B$2641,PriceList!$M$4:$M$2641=A109,""))</f>
        <v>ORV8 067.95-2.62</v>
      </c>
      <c r="E109" t="str" cm="1">
        <f t="array" ref="E109">_xlfn.TEXTJOIN(", ",TRUE,_xlfn._xlws.FILTER(ROW(PriceList!$B$4:$B$2641),PriceList!$M$4:$M$2641=A109,""))</f>
        <v>1893</v>
      </c>
      <c r="F109" s="42" t="str" cm="1">
        <f t="array" ref="F109">_xlfn.TEXTJOIN(" | ",TRUE,_xlfn.UNIQUE(_xlfn._xlws.FILTER(PriceList!$Q$4:$Q$2641&amp;" x "&amp;PriceList!$R$4:$R$2641&amp;" x "&amp;PriceList!$S$4:$S$2641,PriceList!$M$4:$M$2641=A109,"")))</f>
        <v>67.818 x 73.152 x 2.54</v>
      </c>
      <c r="G109" t="str" cm="1">
        <f t="array" ref="G109">INDEX(_xlfn._xlws.FILTER(PriceList!$P$4:$P$2641,PriceList!$M$4:$M$2641=A109,""),1)</f>
        <v>O Ring - FPM/FKM/VitonÂ®</v>
      </c>
    </row>
    <row r="110" spans="1:7" x14ac:dyDescent="0.45">
      <c r="A110" t="s">
        <v>4945</v>
      </c>
      <c r="B110">
        <f>COUNTIF(PriceList!$M$4:$M$2641,A110)</f>
        <v>1</v>
      </c>
      <c r="C110" t="str">
        <f>IF(B110=1,"1:1","1:Many")</f>
        <v>1:1</v>
      </c>
      <c r="D110" s="42" t="str" cm="1">
        <f t="array" ref="D110">_xlfn.TEXTJOIN(" | ",TRUE,_xlfn._xlws.FILTER(PriceList!$B$4:$B$2641,PriceList!$M$4:$M$2641=A110,""))</f>
        <v>ORV8 069.22-2.62</v>
      </c>
      <c r="E110" t="str" cm="1">
        <f t="array" ref="E110">_xlfn.TEXTJOIN(", ",TRUE,_xlfn._xlws.FILTER(ROW(PriceList!$B$4:$B$2641),PriceList!$M$4:$M$2641=A110,""))</f>
        <v>1896</v>
      </c>
      <c r="F110" s="42" t="str" cm="1">
        <f t="array" ref="F110">_xlfn.TEXTJOIN(" | ",TRUE,_xlfn.UNIQUE(_xlfn._xlws.FILTER(PriceList!$Q$4:$Q$2641&amp;" x "&amp;PriceList!$R$4:$R$2641&amp;" x "&amp;PriceList!$S$4:$S$2641,PriceList!$M$4:$M$2641=A110,"")))</f>
        <v>69.596 x 74.676 x 2.54</v>
      </c>
      <c r="G110" t="str" cm="1">
        <f t="array" ref="G110">INDEX(_xlfn._xlws.FILTER(PriceList!$P$4:$P$2641,PriceList!$M$4:$M$2641=A110,""),1)</f>
        <v>O Ring - FPM/FKM/VitonÂ®</v>
      </c>
    </row>
    <row r="111" spans="1:7" x14ac:dyDescent="0.45">
      <c r="A111" t="s">
        <v>4135</v>
      </c>
      <c r="B111">
        <f>COUNTIF(PriceList!$M$4:$M$2641,A111)</f>
        <v>2</v>
      </c>
      <c r="C111" t="str">
        <f>IF(B111=1,"1:1","1:Many")</f>
        <v>1:Many</v>
      </c>
      <c r="D111" s="42" t="str" cm="1">
        <f t="array" ref="D111">_xlfn.TEXTJOIN(" | ",TRUE,_xlfn._xlws.FILTER(PriceList!$B$4:$B$2641,PriceList!$M$4:$M$2641=A111,""))</f>
        <v>OR7N 071.12-2.62 | OR9N 071.12-2.62</v>
      </c>
      <c r="E111" t="str" cm="1">
        <f t="array" ref="E111">_xlfn.TEXTJOIN(", ",TRUE,_xlfn._xlws.FILTER(ROW(PriceList!$B$4:$B$2641),PriceList!$M$4:$M$2641=A111,""))</f>
        <v>726, 1249</v>
      </c>
      <c r="F111" s="42" t="str" cm="1">
        <f t="array" ref="F111">_xlfn.TEXTJOIN(" | ",TRUE,_xlfn.UNIQUE(_xlfn._xlws.FILTER(PriceList!$Q$4:$Q$2641&amp;" x "&amp;PriceList!$R$4:$R$2641&amp;" x "&amp;PriceList!$S$4:$S$2641,PriceList!$M$4:$M$2641=A111,"")))</f>
        <v>71.12 x 76.454 x 2.54</v>
      </c>
      <c r="G111" t="str" cm="1">
        <f t="array" ref="G111">INDEX(_xlfn._xlws.FILTER(PriceList!$P$4:$P$2641,PriceList!$M$4:$M$2641=A111,""),1)</f>
        <v>O Ring - EPDM</v>
      </c>
    </row>
    <row r="112" spans="1:7" x14ac:dyDescent="0.45">
      <c r="A112" t="s">
        <v>4953</v>
      </c>
      <c r="B112">
        <f>COUNTIF(PriceList!$M$4:$M$2641,A112)</f>
        <v>1</v>
      </c>
      <c r="C112" t="str">
        <f>IF(B112=1,"1:1","1:Many")</f>
        <v>1:1</v>
      </c>
      <c r="D112" s="42" t="str" cm="1">
        <f t="array" ref="D112">_xlfn.TEXTJOIN(" | ",TRUE,_xlfn._xlws.FILTER(PriceList!$B$4:$B$2641,PriceList!$M$4:$M$2641=A112,""))</f>
        <v>ORV8 071.12-2.62</v>
      </c>
      <c r="E112" t="str" cm="1">
        <f t="array" ref="E112">_xlfn.TEXTJOIN(", ",TRUE,_xlfn._xlws.FILTER(ROW(PriceList!$B$4:$B$2641),PriceList!$M$4:$M$2641=A112,""))</f>
        <v>1905</v>
      </c>
      <c r="F112" s="42" t="str" cm="1">
        <f t="array" ref="F112">_xlfn.TEXTJOIN(" | ",TRUE,_xlfn.UNIQUE(_xlfn._xlws.FILTER(PriceList!$Q$4:$Q$2641&amp;" x "&amp;PriceList!$R$4:$R$2641&amp;" x "&amp;PriceList!$S$4:$S$2641,PriceList!$M$4:$M$2641=A112,"")))</f>
        <v>71.12 x 76.454 x 2.54</v>
      </c>
      <c r="G112" t="str" cm="1">
        <f t="array" ref="G112">INDEX(_xlfn._xlws.FILTER(PriceList!$P$4:$P$2641,PriceList!$M$4:$M$2641=A112,""),1)</f>
        <v>O Ring - FPM/FKM/VitonÂ®</v>
      </c>
    </row>
    <row r="113" spans="1:7" x14ac:dyDescent="0.45">
      <c r="A113" t="s">
        <v>4956</v>
      </c>
      <c r="B113">
        <f>COUNTIF(PriceList!$M$4:$M$2641,A113)</f>
        <v>1</v>
      </c>
      <c r="C113" t="str">
        <f>IF(B113=1,"1:1","1:Many")</f>
        <v>1:1</v>
      </c>
      <c r="D113" s="42" t="str" cm="1">
        <f t="array" ref="D113">_xlfn.TEXTJOIN(" | ",TRUE,_xlfn._xlws.FILTER(PriceList!$B$4:$B$2641,PriceList!$M$4:$M$2641=A113,""))</f>
        <v>ORV8 072.69-2.62</v>
      </c>
      <c r="E113" t="str" cm="1">
        <f t="array" ref="E113">_xlfn.TEXTJOIN(", ",TRUE,_xlfn._xlws.FILTER(ROW(PriceList!$B$4:$B$2641),PriceList!$M$4:$M$2641=A113,""))</f>
        <v>1908</v>
      </c>
      <c r="F113" s="42" t="str" cm="1">
        <f t="array" ref="F113">_xlfn.TEXTJOIN(" | ",TRUE,_xlfn.UNIQUE(_xlfn._xlws.FILTER(PriceList!$Q$4:$Q$2641&amp;" x "&amp;PriceList!$R$4:$R$2641&amp;" x "&amp;PriceList!$S$4:$S$2641,PriceList!$M$4:$M$2641=A113,"")))</f>
        <v>72.644 x 77.978 x 2.54</v>
      </c>
      <c r="G113" t="str" cm="1">
        <f t="array" ref="G113">INDEX(_xlfn._xlws.FILTER(PriceList!$P$4:$P$2641,PriceList!$M$4:$M$2641=A113,""),1)</f>
        <v>O Ring - FPM/FKM/VitonÂ®</v>
      </c>
    </row>
    <row r="114" spans="1:7" x14ac:dyDescent="0.45">
      <c r="A114" t="s">
        <v>4966</v>
      </c>
      <c r="B114">
        <f>COUNTIF(PriceList!$M$4:$M$2641,A114)</f>
        <v>1</v>
      </c>
      <c r="C114" t="str">
        <f>IF(B114=1,"1:1","1:Many")</f>
        <v>1:1</v>
      </c>
      <c r="D114" s="42" t="str" cm="1">
        <f t="array" ref="D114">_xlfn.TEXTJOIN(" | ",TRUE,_xlfn._xlws.FILTER(PriceList!$B$4:$B$2641,PriceList!$M$4:$M$2641=A114,""))</f>
        <v>ORV8 075.87-2.62</v>
      </c>
      <c r="E114" t="str" cm="1">
        <f t="array" ref="E114">_xlfn.TEXTJOIN(", ",TRUE,_xlfn._xlws.FILTER(ROW(PriceList!$B$4:$B$2641),PriceList!$M$4:$M$2641=A114,""))</f>
        <v>1917</v>
      </c>
      <c r="F114" s="42" t="str" cm="1">
        <f t="array" ref="F114">_xlfn.TEXTJOIN(" | ",TRUE,_xlfn.UNIQUE(_xlfn._xlws.FILTER(PriceList!$Q$4:$Q$2641&amp;" x "&amp;PriceList!$R$4:$R$2641&amp;" x "&amp;PriceList!$S$4:$S$2641,PriceList!$M$4:$M$2641=A114,"")))</f>
        <v>75.946 x 81.026 x 2.54</v>
      </c>
      <c r="G114" t="str" cm="1">
        <f t="array" ref="G114">INDEX(_xlfn._xlws.FILTER(PriceList!$P$4:$P$2641,PriceList!$M$4:$M$2641=A114,""),1)</f>
        <v>O Ring - FPM/FKM/VitonÂ®</v>
      </c>
    </row>
    <row r="115" spans="1:7" x14ac:dyDescent="0.45">
      <c r="A115" t="s">
        <v>4153</v>
      </c>
      <c r="B115">
        <f>COUNTIF(PriceList!$M$4:$M$2641,A115)</f>
        <v>2</v>
      </c>
      <c r="C115" t="str">
        <f>IF(B115=1,"1:1","1:Many")</f>
        <v>1:Many</v>
      </c>
      <c r="D115" s="42" t="str" cm="1">
        <f t="array" ref="D115">_xlfn.TEXTJOIN(" | ",TRUE,_xlfn._xlws.FILTER(PriceList!$B$4:$B$2641,PriceList!$M$4:$M$2641=A115,""))</f>
        <v>OR7N 082.22-2.62 | OR9N 082.22-2.62</v>
      </c>
      <c r="E115" t="str" cm="1">
        <f t="array" ref="E115">_xlfn.TEXTJOIN(", ",TRUE,_xlfn._xlws.FILTER(ROW(PriceList!$B$4:$B$2641),PriceList!$M$4:$M$2641=A115,""))</f>
        <v>742, 1278</v>
      </c>
      <c r="F115" s="42" t="str" cm="1">
        <f t="array" ref="F115">_xlfn.TEXTJOIN(" | ",TRUE,_xlfn.UNIQUE(_xlfn._xlws.FILTER(PriceList!$Q$4:$Q$2641&amp;" x "&amp;PriceList!$R$4:$R$2641&amp;" x "&amp;PriceList!$S$4:$S$2641,PriceList!$M$4:$M$2641=A115,"")))</f>
        <v>82.296 x 87.376 x 2.54</v>
      </c>
      <c r="G115" t="str" cm="1">
        <f t="array" ref="G115">INDEX(_xlfn._xlws.FILTER(PriceList!$P$4:$P$2641,PriceList!$M$4:$M$2641=A115,""),1)</f>
        <v>O Ring - EPDM</v>
      </c>
    </row>
    <row r="116" spans="1:7" x14ac:dyDescent="0.45">
      <c r="A116" t="s">
        <v>4982</v>
      </c>
      <c r="B116">
        <f>COUNTIF(PriceList!$M$4:$M$2641,A116)</f>
        <v>1</v>
      </c>
      <c r="C116" t="str">
        <f>IF(B116=1,"1:1","1:Many")</f>
        <v>1:1</v>
      </c>
      <c r="D116" s="42" t="str" cm="1">
        <f t="array" ref="D116">_xlfn.TEXTJOIN(" | ",TRUE,_xlfn._xlws.FILTER(PriceList!$B$4:$B$2641,PriceList!$M$4:$M$2641=A116,""))</f>
        <v>ORV8 082.22-2.62</v>
      </c>
      <c r="E116" t="str" cm="1">
        <f t="array" ref="E116">_xlfn.TEXTJOIN(", ",TRUE,_xlfn._xlws.FILTER(ROW(PriceList!$B$4:$B$2641),PriceList!$M$4:$M$2641=A116,""))</f>
        <v>1932</v>
      </c>
      <c r="F116" s="42" t="str" cm="1">
        <f t="array" ref="F116">_xlfn.TEXTJOIN(" | ",TRUE,_xlfn.UNIQUE(_xlfn._xlws.FILTER(PriceList!$Q$4:$Q$2641&amp;" x "&amp;PriceList!$R$4:$R$2641&amp;" x "&amp;PriceList!$S$4:$S$2641,PriceList!$M$4:$M$2641=A116,"")))</f>
        <v>82.296 x 87.376 x 2.54</v>
      </c>
      <c r="G116" t="str" cm="1">
        <f t="array" ref="G116">INDEX(_xlfn._xlws.FILTER(PriceList!$P$4:$P$2641,PriceList!$M$4:$M$2641=A116,""),1)</f>
        <v>O Ring - FPM/FKM/VitonÂ®</v>
      </c>
    </row>
    <row r="117" spans="1:7" x14ac:dyDescent="0.45">
      <c r="A117" t="s">
        <v>4161</v>
      </c>
      <c r="B117">
        <f>COUNTIF(PriceList!$M$4:$M$2641,A117)</f>
        <v>2</v>
      </c>
      <c r="C117" t="str">
        <f>IF(B117=1,"1:1","1:Many")</f>
        <v>1:Many</v>
      </c>
      <c r="D117" s="42" t="str" cm="1">
        <f t="array" ref="D117">_xlfn.TEXTJOIN(" | ",TRUE,_xlfn._xlws.FILTER(PriceList!$B$4:$B$2641,PriceList!$M$4:$M$2641=A117,""))</f>
        <v>OR7N 088.57-2.62 | OR9N 088.57-2.62</v>
      </c>
      <c r="E117" t="str" cm="1">
        <f t="array" ref="E117">_xlfn.TEXTJOIN(", ",TRUE,_xlfn._xlws.FILTER(ROW(PriceList!$B$4:$B$2641),PriceList!$M$4:$M$2641=A117,""))</f>
        <v>750, 1292</v>
      </c>
      <c r="F117" s="42" t="str" cm="1">
        <f t="array" ref="F117">_xlfn.TEXTJOIN(" | ",TRUE,_xlfn.UNIQUE(_xlfn._xlws.FILTER(PriceList!$Q$4:$Q$2641&amp;" x "&amp;PriceList!$R$4:$R$2641&amp;" x "&amp;PriceList!$S$4:$S$2641,PriceList!$M$4:$M$2641=A117,"")))</f>
        <v>88.646 x 93.726 x 2.54</v>
      </c>
      <c r="G117" t="str" cm="1">
        <f t="array" ref="G117">INDEX(_xlfn._xlws.FILTER(PriceList!$P$4:$P$2641,PriceList!$M$4:$M$2641=A117,""),1)</f>
        <v>O Ring - NBR 70</v>
      </c>
    </row>
    <row r="118" spans="1:7" x14ac:dyDescent="0.45">
      <c r="A118" t="s">
        <v>4993</v>
      </c>
      <c r="B118">
        <f>COUNTIF(PriceList!$M$4:$M$2641,A118)</f>
        <v>1</v>
      </c>
      <c r="C118" t="str">
        <f>IF(B118=1,"1:1","1:Many")</f>
        <v>1:1</v>
      </c>
      <c r="D118" s="42" t="str" cm="1">
        <f t="array" ref="D118">_xlfn.TEXTJOIN(" | ",TRUE,_xlfn._xlws.FILTER(PriceList!$B$4:$B$2641,PriceList!$M$4:$M$2641=A118,""))</f>
        <v>ORV8 088.57-2.62</v>
      </c>
      <c r="E118" t="str" cm="1">
        <f t="array" ref="E118">_xlfn.TEXTJOIN(", ",TRUE,_xlfn._xlws.FILTER(ROW(PriceList!$B$4:$B$2641),PriceList!$M$4:$M$2641=A118,""))</f>
        <v>1942</v>
      </c>
      <c r="F118" s="42" t="str" cm="1">
        <f t="array" ref="F118">_xlfn.TEXTJOIN(" | ",TRUE,_xlfn.UNIQUE(_xlfn._xlws.FILTER(PriceList!$Q$4:$Q$2641&amp;" x "&amp;PriceList!$R$4:$R$2641&amp;" x "&amp;PriceList!$S$4:$S$2641,PriceList!$M$4:$M$2641=A118,"")))</f>
        <v>88.646 x 93.726 x 2.54</v>
      </c>
      <c r="G118" t="str" cm="1">
        <f t="array" ref="G118">INDEX(_xlfn._xlws.FILTER(PriceList!$P$4:$P$2641,PriceList!$M$4:$M$2641=A118,""),1)</f>
        <v>O Ring - FPM/FKM/VitonÂ®</v>
      </c>
    </row>
    <row r="119" spans="1:7" x14ac:dyDescent="0.45">
      <c r="A119" t="s">
        <v>4172</v>
      </c>
      <c r="B119">
        <f>COUNTIF(PriceList!$M$4:$M$2641,A119)</f>
        <v>2</v>
      </c>
      <c r="C119" t="str">
        <f>IF(B119=1,"1:1","1:Many")</f>
        <v>1:Many</v>
      </c>
      <c r="D119" s="42" t="str" cm="1">
        <f t="array" ref="D119">_xlfn.TEXTJOIN(" | ",TRUE,_xlfn._xlws.FILTER(PriceList!$B$4:$B$2641,PriceList!$M$4:$M$2641=A119,""))</f>
        <v>OR7N 094.92-2.62 | OR9N 094.92-2.62</v>
      </c>
      <c r="E119" t="str" cm="1">
        <f t="array" ref="E119">_xlfn.TEXTJOIN(", ",TRUE,_xlfn._xlws.FILTER(ROW(PriceList!$B$4:$B$2641),PriceList!$M$4:$M$2641=A119,""))</f>
        <v>759, 1306</v>
      </c>
      <c r="F119" s="42" t="str" cm="1">
        <f t="array" ref="F119">_xlfn.TEXTJOIN(" | ",TRUE,_xlfn.UNIQUE(_xlfn._xlws.FILTER(PriceList!$Q$4:$Q$2641&amp;" x "&amp;PriceList!$R$4:$R$2641&amp;" x "&amp;PriceList!$S$4:$S$2641,PriceList!$M$4:$M$2641=A119,"")))</f>
        <v>94.996 x 100.076 x 2.54</v>
      </c>
      <c r="G119" t="str" cm="1">
        <f t="array" ref="G119">INDEX(_xlfn._xlws.FILTER(PriceList!$P$4:$P$2641,PriceList!$M$4:$M$2641=A119,""),1)</f>
        <v>O Ring - NBR 70</v>
      </c>
    </row>
    <row r="120" spans="1:7" x14ac:dyDescent="0.45">
      <c r="A120" t="s">
        <v>4184</v>
      </c>
      <c r="B120">
        <f>COUNTIF(PriceList!$M$4:$M$2641,A120)</f>
        <v>2</v>
      </c>
      <c r="C120" t="str">
        <f>IF(B120=1,"1:1","1:Many")</f>
        <v>1:Many</v>
      </c>
      <c r="D120" s="42" t="str" cm="1">
        <f t="array" ref="D120">_xlfn.TEXTJOIN(" | ",TRUE,_xlfn._xlws.FILTER(PriceList!$B$4:$B$2641,PriceList!$M$4:$M$2641=A120,""))</f>
        <v>OR7N 101.27-2.62 | OR9N 101.27-2.62</v>
      </c>
      <c r="E120" t="str" cm="1">
        <f t="array" ref="E120">_xlfn.TEXTJOIN(", ",TRUE,_xlfn._xlws.FILTER(ROW(PriceList!$B$4:$B$2641),PriceList!$M$4:$M$2641=A120,""))</f>
        <v>769, 1318</v>
      </c>
      <c r="F120" s="42" t="str" cm="1">
        <f t="array" ref="F120">_xlfn.TEXTJOIN(" | ",TRUE,_xlfn.UNIQUE(_xlfn._xlws.FILTER(PriceList!$Q$4:$Q$2641&amp;" x "&amp;PriceList!$R$4:$R$2641&amp;" x "&amp;PriceList!$S$4:$S$2641,PriceList!$M$4:$M$2641=A120,"")))</f>
        <v>101.346 x 106.426 x 2.54</v>
      </c>
      <c r="G120" t="str" cm="1">
        <f t="array" ref="G120">INDEX(_xlfn._xlws.FILTER(PriceList!$P$4:$P$2641,PriceList!$M$4:$M$2641=A120,""),1)</f>
        <v>O Ring - NBR 70</v>
      </c>
    </row>
    <row r="121" spans="1:7" x14ac:dyDescent="0.45">
      <c r="A121" t="s">
        <v>5020</v>
      </c>
      <c r="B121">
        <f>COUNTIF(PriceList!$M$4:$M$2641,A121)</f>
        <v>1</v>
      </c>
      <c r="C121" t="str">
        <f>IF(B121=1,"1:1","1:Many")</f>
        <v>1:1</v>
      </c>
      <c r="D121" s="42" t="str" cm="1">
        <f t="array" ref="D121">_xlfn.TEXTJOIN(" | ",TRUE,_xlfn._xlws.FILTER(PriceList!$B$4:$B$2641,PriceList!$M$4:$M$2641=A121,""))</f>
        <v>ORV8 101.27-2.62</v>
      </c>
      <c r="E121" t="str" cm="1">
        <f t="array" ref="E121">_xlfn.TEXTJOIN(", ",TRUE,_xlfn._xlws.FILTER(ROW(PriceList!$B$4:$B$2641),PriceList!$M$4:$M$2641=A121,""))</f>
        <v>1969</v>
      </c>
      <c r="F121" s="42" t="str" cm="1">
        <f t="array" ref="F121">_xlfn.TEXTJOIN(" | ",TRUE,_xlfn.UNIQUE(_xlfn._xlws.FILTER(PriceList!$Q$4:$Q$2641&amp;" x "&amp;PriceList!$R$4:$R$2641&amp;" x "&amp;PriceList!$S$4:$S$2641,PriceList!$M$4:$M$2641=A121,"")))</f>
        <v>101.346 x 106.426 x 2.54</v>
      </c>
      <c r="G121" t="str" cm="1">
        <f t="array" ref="G121">INDEX(_xlfn._xlws.FILTER(PriceList!$P$4:$P$2641,PriceList!$M$4:$M$2641=A121,""),1)</f>
        <v>O Ring - FPM/FKM/VitonÂ®</v>
      </c>
    </row>
    <row r="122" spans="1:7" x14ac:dyDescent="0.45">
      <c r="A122" t="s">
        <v>4191</v>
      </c>
      <c r="B122">
        <f>COUNTIF(PriceList!$M$4:$M$2641,A122)</f>
        <v>2</v>
      </c>
      <c r="C122" t="str">
        <f>IF(B122=1,"1:1","1:Many")</f>
        <v>1:Many</v>
      </c>
      <c r="D122" s="42" t="str" cm="1">
        <f t="array" ref="D122">_xlfn.TEXTJOIN(" | ",TRUE,_xlfn._xlws.FILTER(PriceList!$B$4:$B$2641,PriceList!$M$4:$M$2641=A122,""))</f>
        <v>OR7N 107.62-2.62 | OR9N 107.62-2.62</v>
      </c>
      <c r="E122" t="str" cm="1">
        <f t="array" ref="E122">_xlfn.TEXTJOIN(", ",TRUE,_xlfn._xlws.FILTER(ROW(PriceList!$B$4:$B$2641),PriceList!$M$4:$M$2641=A122,""))</f>
        <v>775, 1329</v>
      </c>
      <c r="F122" s="42" t="str" cm="1">
        <f t="array" ref="F122">_xlfn.TEXTJOIN(" | ",TRUE,_xlfn.UNIQUE(_xlfn._xlws.FILTER(PriceList!$Q$4:$Q$2641&amp;" x "&amp;PriceList!$R$4:$R$2641&amp;" x "&amp;PriceList!$S$4:$S$2641,PriceList!$M$4:$M$2641=A122,"")))</f>
        <v>107.696 x 112.776 x 2.54</v>
      </c>
      <c r="G122" t="str" cm="1">
        <f t="array" ref="G122">INDEX(_xlfn._xlws.FILTER(PriceList!$P$4:$P$2641,PriceList!$M$4:$M$2641=A122,""),1)</f>
        <v>O Ring - EPDM</v>
      </c>
    </row>
    <row r="123" spans="1:7" x14ac:dyDescent="0.45">
      <c r="A123" t="s">
        <v>4201</v>
      </c>
      <c r="B123">
        <f>COUNTIF(PriceList!$M$4:$M$2641,A123)</f>
        <v>2</v>
      </c>
      <c r="C123" t="str">
        <f>IF(B123=1,"1:1","1:Many")</f>
        <v>1:Many</v>
      </c>
      <c r="D123" s="42" t="str" cm="1">
        <f t="array" ref="D123">_xlfn.TEXTJOIN(" | ",TRUE,_xlfn._xlws.FILTER(PriceList!$B$4:$B$2641,PriceList!$M$4:$M$2641=A123,""))</f>
        <v>OR7N 113.97-2.62 | OR9N 113.97-2.62</v>
      </c>
      <c r="E123" t="str" cm="1">
        <f t="array" ref="E123">_xlfn.TEXTJOIN(", ",TRUE,_xlfn._xlws.FILTER(ROW(PriceList!$B$4:$B$2641),PriceList!$M$4:$M$2641=A123,""))</f>
        <v>784, 1339</v>
      </c>
      <c r="F123" s="42" t="str" cm="1">
        <f t="array" ref="F123">_xlfn.TEXTJOIN(" | ",TRUE,_xlfn.UNIQUE(_xlfn._xlws.FILTER(PriceList!$Q$4:$Q$2641&amp;" x "&amp;PriceList!$R$4:$R$2641&amp;" x "&amp;PriceList!$S$4:$S$2641,PriceList!$M$4:$M$2641=A123,"")))</f>
        <v>114.046 x 119.126 x 2.54</v>
      </c>
      <c r="G123" t="str" cm="1">
        <f t="array" ref="G123">INDEX(_xlfn._xlws.FILTER(PriceList!$P$4:$P$2641,PriceList!$M$4:$M$2641=A123,""),1)</f>
        <v>O Ring - NBR 70</v>
      </c>
    </row>
    <row r="124" spans="1:7" x14ac:dyDescent="0.45">
      <c r="A124" t="s">
        <v>5042</v>
      </c>
      <c r="B124">
        <f>COUNTIF(PriceList!$M$4:$M$2641,A124)</f>
        <v>1</v>
      </c>
      <c r="C124" t="str">
        <f>IF(B124=1,"1:1","1:Many")</f>
        <v>1:1</v>
      </c>
      <c r="D124" s="42" t="str" cm="1">
        <f t="array" ref="D124">_xlfn.TEXTJOIN(" | ",TRUE,_xlfn._xlws.FILTER(PriceList!$B$4:$B$2641,PriceList!$M$4:$M$2641=A124,""))</f>
        <v>ORV8 113.97-2.62</v>
      </c>
      <c r="E124" t="str" cm="1">
        <f t="array" ref="E124">_xlfn.TEXTJOIN(", ",TRUE,_xlfn._xlws.FILTER(ROW(PriceList!$B$4:$B$2641),PriceList!$M$4:$M$2641=A124,""))</f>
        <v>1988</v>
      </c>
      <c r="F124" s="42" t="str" cm="1">
        <f t="array" ref="F124">_xlfn.TEXTJOIN(" | ",TRUE,_xlfn.UNIQUE(_xlfn._xlws.FILTER(PriceList!$Q$4:$Q$2641&amp;" x "&amp;PriceList!$R$4:$R$2641&amp;" x "&amp;PriceList!$S$4:$S$2641,PriceList!$M$4:$M$2641=A124,"")))</f>
        <v>114.046 x 119.126 x 2.54</v>
      </c>
      <c r="G124" t="str" cm="1">
        <f t="array" ref="G124">INDEX(_xlfn._xlws.FILTER(PriceList!$P$4:$P$2641,PriceList!$M$4:$M$2641=A124,""),1)</f>
        <v>O Ring - FPM/FKM/VitonÂ®</v>
      </c>
    </row>
    <row r="125" spans="1:7" x14ac:dyDescent="0.45">
      <c r="A125" t="s">
        <v>4213</v>
      </c>
      <c r="B125">
        <f>COUNTIF(PriceList!$M$4:$M$2641,A125)</f>
        <v>2</v>
      </c>
      <c r="C125" t="str">
        <f>IF(B125=1,"1:1","1:Many")</f>
        <v>1:Many</v>
      </c>
      <c r="D125" s="42" t="str" cm="1">
        <f t="array" ref="D125">_xlfn.TEXTJOIN(" | ",TRUE,_xlfn._xlws.FILTER(PriceList!$B$4:$B$2641,PriceList!$M$4:$M$2641=A125,""))</f>
        <v>OR7N 120.32-2.62 | OR9N 120.32-2.62</v>
      </c>
      <c r="E125" t="str" cm="1">
        <f t="array" ref="E125">_xlfn.TEXTJOIN(", ",TRUE,_xlfn._xlws.FILTER(ROW(PriceList!$B$4:$B$2641),PriceList!$M$4:$M$2641=A125,""))</f>
        <v>796, 1354</v>
      </c>
      <c r="F125" s="42" t="str" cm="1">
        <f t="array" ref="F125">_xlfn.TEXTJOIN(" | ",TRUE,_xlfn.UNIQUE(_xlfn._xlws.FILTER(PriceList!$Q$4:$Q$2641&amp;" x "&amp;PriceList!$R$4:$R$2641&amp;" x "&amp;PriceList!$S$4:$S$2641,PriceList!$M$4:$M$2641=A125,"")))</f>
        <v>120.396 x 125.476 x 2.54</v>
      </c>
      <c r="G125" t="str" cm="1">
        <f t="array" ref="G125">INDEX(_xlfn._xlws.FILTER(PriceList!$P$4:$P$2641,PriceList!$M$4:$M$2641=A125,""),1)</f>
        <v>O Ring - NBR 70</v>
      </c>
    </row>
    <row r="126" spans="1:7" x14ac:dyDescent="0.45">
      <c r="A126" t="s">
        <v>5054</v>
      </c>
      <c r="B126">
        <f>COUNTIF(PriceList!$M$4:$M$2641,A126)</f>
        <v>1</v>
      </c>
      <c r="C126" t="str">
        <f>IF(B126=1,"1:1","1:Many")</f>
        <v>1:1</v>
      </c>
      <c r="D126" s="42" t="str" cm="1">
        <f t="array" ref="D126">_xlfn.TEXTJOIN(" | ",TRUE,_xlfn._xlws.FILTER(PriceList!$B$4:$B$2641,PriceList!$M$4:$M$2641=A126,""))</f>
        <v>ORV8 120.32-2.62</v>
      </c>
      <c r="E126" t="str" cm="1">
        <f t="array" ref="E126">_xlfn.TEXTJOIN(", ",TRUE,_xlfn._xlws.FILTER(ROW(PriceList!$B$4:$B$2641),PriceList!$M$4:$M$2641=A126,""))</f>
        <v>2000</v>
      </c>
      <c r="F126" s="42" t="str" cm="1">
        <f t="array" ref="F126">_xlfn.TEXTJOIN(" | ",TRUE,_xlfn.UNIQUE(_xlfn._xlws.FILTER(PriceList!$Q$4:$Q$2641&amp;" x "&amp;PriceList!$R$4:$R$2641&amp;" x "&amp;PriceList!$S$4:$S$2641,PriceList!$M$4:$M$2641=A126,"")))</f>
        <v>120.396 x 125.476 x 2.54</v>
      </c>
      <c r="G126" t="str" cm="1">
        <f t="array" ref="G126">INDEX(_xlfn._xlws.FILTER(PriceList!$P$4:$P$2641,PriceList!$M$4:$M$2641=A126,""),1)</f>
        <v>O Ring - FPM/FKM/VitonÂ®</v>
      </c>
    </row>
    <row r="127" spans="1:7" x14ac:dyDescent="0.45">
      <c r="A127" t="s">
        <v>4222</v>
      </c>
      <c r="B127">
        <f>COUNTIF(PriceList!$M$4:$M$2641,A127)</f>
        <v>2</v>
      </c>
      <c r="C127" t="str">
        <f>IF(B127=1,"1:1","1:Many")</f>
        <v>1:Many</v>
      </c>
      <c r="D127" s="42" t="str" cm="1">
        <f t="array" ref="D127">_xlfn.TEXTJOIN(" | ",TRUE,_xlfn._xlws.FILTER(PriceList!$B$4:$B$2641,PriceList!$M$4:$M$2641=A127,""))</f>
        <v>OR7N 126.67-2.62 | OR9N 126.67-2.62</v>
      </c>
      <c r="E127" t="str" cm="1">
        <f t="array" ref="E127">_xlfn.TEXTJOIN(", ",TRUE,_xlfn._xlws.FILTER(ROW(PriceList!$B$4:$B$2641),PriceList!$M$4:$M$2641=A127,""))</f>
        <v>805, 1367</v>
      </c>
      <c r="F127" s="42" t="str" cm="1">
        <f t="array" ref="F127">_xlfn.TEXTJOIN(" | ",TRUE,_xlfn.UNIQUE(_xlfn._xlws.FILTER(PriceList!$Q$4:$Q$2641&amp;" x "&amp;PriceList!$R$4:$R$2641&amp;" x "&amp;PriceList!$S$4:$S$2641,PriceList!$M$4:$M$2641=A127,"")))</f>
        <v>126.746 x 131.826 x 2.54</v>
      </c>
      <c r="G127" t="str" cm="1">
        <f t="array" ref="G127">INDEX(_xlfn._xlws.FILTER(PriceList!$P$4:$P$2641,PriceList!$M$4:$M$2641=A127,""),1)</f>
        <v>O Ring - NBR 70</v>
      </c>
    </row>
    <row r="128" spans="1:7" x14ac:dyDescent="0.45">
      <c r="A128" t="s">
        <v>5066</v>
      </c>
      <c r="B128">
        <f>COUNTIF(PriceList!$M$4:$M$2641,A128)</f>
        <v>1</v>
      </c>
      <c r="C128" t="str">
        <f>IF(B128=1,"1:1","1:Many")</f>
        <v>1:1</v>
      </c>
      <c r="D128" s="42" t="str" cm="1">
        <f t="array" ref="D128">_xlfn.TEXTJOIN(" | ",TRUE,_xlfn._xlws.FILTER(PriceList!$B$4:$B$2641,PriceList!$M$4:$M$2641=A128,""))</f>
        <v>ORV8 126.67-2.62</v>
      </c>
      <c r="E128" t="str" cm="1">
        <f t="array" ref="E128">_xlfn.TEXTJOIN(", ",TRUE,_xlfn._xlws.FILTER(ROW(PriceList!$B$4:$B$2641),PriceList!$M$4:$M$2641=A128,""))</f>
        <v>2012</v>
      </c>
      <c r="F128" s="42" t="str" cm="1">
        <f t="array" ref="F128">_xlfn.TEXTJOIN(" | ",TRUE,_xlfn.UNIQUE(_xlfn._xlws.FILTER(PriceList!$Q$4:$Q$2641&amp;" x "&amp;PriceList!$R$4:$R$2641&amp;" x "&amp;PriceList!$S$4:$S$2641,PriceList!$M$4:$M$2641=A128,"")))</f>
        <v>126.746 x 131.826 x 2.54</v>
      </c>
      <c r="G128" t="str" cm="1">
        <f t="array" ref="G128">INDEX(_xlfn._xlws.FILTER(PriceList!$P$4:$P$2641,PriceList!$M$4:$M$2641=A128,""),1)</f>
        <v>O Ring - FPM/FKM/VitonÂ®</v>
      </c>
    </row>
    <row r="129" spans="1:7" x14ac:dyDescent="0.45">
      <c r="A129" t="s">
        <v>5076</v>
      </c>
      <c r="B129">
        <f>COUNTIF(PriceList!$M$4:$M$2641,A129)</f>
        <v>1</v>
      </c>
      <c r="C129" t="str">
        <f>IF(B129=1,"1:1","1:Many")</f>
        <v>1:1</v>
      </c>
      <c r="D129" s="42" t="str" cm="1">
        <f t="array" ref="D129">_xlfn.TEXTJOIN(" | ",TRUE,_xlfn._xlws.FILTER(PriceList!$B$4:$B$2641,PriceList!$M$4:$M$2641=A129,""))</f>
        <v>ORV8 133.02-2.62</v>
      </c>
      <c r="E129" t="str" cm="1">
        <f t="array" ref="E129">_xlfn.TEXTJOIN(", ",TRUE,_xlfn._xlws.FILTER(ROW(PriceList!$B$4:$B$2641),PriceList!$M$4:$M$2641=A129,""))</f>
        <v>2022</v>
      </c>
      <c r="F129" s="42" t="str" cm="1">
        <f t="array" ref="F129">_xlfn.TEXTJOIN(" | ",TRUE,_xlfn.UNIQUE(_xlfn._xlws.FILTER(PriceList!$Q$4:$Q$2641&amp;" x "&amp;PriceList!$R$4:$R$2641&amp;" x "&amp;PriceList!$S$4:$S$2641,PriceList!$M$4:$M$2641=A129,"")))</f>
        <v>133.096 x 138.176 x 2.54</v>
      </c>
      <c r="G129" t="str" cm="1">
        <f t="array" ref="G129">INDEX(_xlfn._xlws.FILTER(PriceList!$P$4:$P$2641,PriceList!$M$4:$M$2641=A129,""),1)</f>
        <v>O Ring - FPM/FKM/VitonÂ®</v>
      </c>
    </row>
    <row r="130" spans="1:7" x14ac:dyDescent="0.45">
      <c r="A130" t="s">
        <v>5099</v>
      </c>
      <c r="B130">
        <f>COUNTIF(PriceList!$M$4:$M$2641,A130)</f>
        <v>1</v>
      </c>
      <c r="C130" t="str">
        <f>IF(B130=1,"1:1","1:Many")</f>
        <v>1:1</v>
      </c>
      <c r="D130" s="42" t="str" cm="1">
        <f t="array" ref="D130">_xlfn.TEXTJOIN(" | ",TRUE,_xlfn._xlws.FILTER(PriceList!$B$4:$B$2641,PriceList!$M$4:$M$2641=A130,""))</f>
        <v>ORV8 145.72-2.62</v>
      </c>
      <c r="E130" t="str" cm="1">
        <f t="array" ref="E130">_xlfn.TEXTJOIN(", ",TRUE,_xlfn._xlws.FILTER(ROW(PriceList!$B$4:$B$2641),PriceList!$M$4:$M$2641=A130,""))</f>
        <v>2043</v>
      </c>
      <c r="F130" s="42" t="str" cm="1">
        <f t="array" ref="F130">_xlfn.TEXTJOIN(" | ",TRUE,_xlfn.UNIQUE(_xlfn._xlws.FILTER(PriceList!$Q$4:$Q$2641&amp;" x "&amp;PriceList!$R$4:$R$2641&amp;" x "&amp;PriceList!$S$4:$S$2641,PriceList!$M$4:$M$2641=A130,"")))</f>
        <v>145.796 x 150.876 x 2.54</v>
      </c>
      <c r="G130" t="str" cm="1">
        <f t="array" ref="G130">INDEX(_xlfn._xlws.FILTER(PriceList!$P$4:$P$2641,PriceList!$M$4:$M$2641=A130,""),1)</f>
        <v>O Ring - FPM/FKM/VitonÂ®</v>
      </c>
    </row>
    <row r="131" spans="1:7" x14ac:dyDescent="0.45">
      <c r="A131" t="s">
        <v>5110</v>
      </c>
      <c r="B131">
        <f>COUNTIF(PriceList!$M$4:$M$2641,A131)</f>
        <v>1</v>
      </c>
      <c r="C131" t="str">
        <f>IF(B131=1,"1:1","1:Many")</f>
        <v>1:1</v>
      </c>
      <c r="D131" s="42" t="str" cm="1">
        <f t="array" ref="D131">_xlfn.TEXTJOIN(" | ",TRUE,_xlfn._xlws.FILTER(PriceList!$B$4:$B$2641,PriceList!$M$4:$M$2641=A131,""))</f>
        <v>ORV8 152.07-2.62</v>
      </c>
      <c r="E131" t="str" cm="1">
        <f t="array" ref="E131">_xlfn.TEXTJOIN(", ",TRUE,_xlfn._xlws.FILTER(ROW(PriceList!$B$4:$B$2641),PriceList!$M$4:$M$2641=A131,""))</f>
        <v>2054</v>
      </c>
      <c r="F131" s="42" t="str" cm="1">
        <f t="array" ref="F131">_xlfn.TEXTJOIN(" | ",TRUE,_xlfn.UNIQUE(_xlfn._xlws.FILTER(PriceList!$Q$4:$Q$2641&amp;" x "&amp;PriceList!$R$4:$R$2641&amp;" x "&amp;PriceList!$S$4:$S$2641,PriceList!$M$4:$M$2641=A131,"")))</f>
        <v>152.146 x 157.226 x 2.54</v>
      </c>
      <c r="G131" t="str" cm="1">
        <f t="array" ref="G131">INDEX(_xlfn._xlws.FILTER(PriceList!$P$4:$P$2641,PriceList!$M$4:$M$2641=A131,""),1)</f>
        <v>O Ring - FPM/FKM/VitonÂ®</v>
      </c>
    </row>
    <row r="132" spans="1:7" x14ac:dyDescent="0.45">
      <c r="A132" t="s">
        <v>5128</v>
      </c>
      <c r="B132">
        <f>COUNTIF(PriceList!$M$4:$M$2641,A132)</f>
        <v>1</v>
      </c>
      <c r="C132" t="str">
        <f>IF(B132=1,"1:1","1:Many")</f>
        <v>1:1</v>
      </c>
      <c r="D132" s="42" t="str" cm="1">
        <f t="array" ref="D132">_xlfn.TEXTJOIN(" | ",TRUE,_xlfn._xlws.FILTER(PriceList!$B$4:$B$2641,PriceList!$M$4:$M$2641=A132,""))</f>
        <v>ORV8 169.4-3.1</v>
      </c>
      <c r="E132" t="str" cm="1">
        <f t="array" ref="E132">_xlfn.TEXTJOIN(", ",TRUE,_xlfn._xlws.FILTER(ROW(PriceList!$B$4:$B$2641),PriceList!$M$4:$M$2641=A132,""))</f>
        <v>2072</v>
      </c>
      <c r="F132" s="42" t="str" cm="1">
        <f t="array" ref="F132">_xlfn.TEXTJOIN(" | ",TRUE,_xlfn.UNIQUE(_xlfn._xlws.FILTER(PriceList!$Q$4:$Q$2641&amp;" x "&amp;PriceList!$R$4:$R$2641&amp;" x "&amp;PriceList!$S$4:$S$2641,PriceList!$M$4:$M$2641=A132,"")))</f>
        <v>171.196 x 176.276 x 2.54</v>
      </c>
      <c r="G132" t="str" cm="1">
        <f t="array" ref="G132">INDEX(_xlfn._xlws.FILTER(PriceList!$P$4:$P$2641,PriceList!$M$4:$M$2641=A132,""),1)</f>
        <v>O Ring - FPM/FKM/VitonÂ®</v>
      </c>
    </row>
    <row r="133" spans="1:7" x14ac:dyDescent="0.45">
      <c r="A133" t="s">
        <v>5149</v>
      </c>
      <c r="B133">
        <f>COUNTIF(PriceList!$M$4:$M$2641,A133)</f>
        <v>1</v>
      </c>
      <c r="C133" t="str">
        <f>IF(B133=1,"1:1","1:Many")</f>
        <v>1:1</v>
      </c>
      <c r="D133" s="42" t="str" cm="1">
        <f t="array" ref="D133">_xlfn.TEXTJOIN(" | ",TRUE,_xlfn._xlws.FILTER(PriceList!$B$4:$B$2641,PriceList!$M$4:$M$2641=A133,""))</f>
        <v>ORV8 190.17-2.62</v>
      </c>
      <c r="E133" t="str" cm="1">
        <f t="array" ref="E133">_xlfn.TEXTJOIN(", ",TRUE,_xlfn._xlws.FILTER(ROW(PriceList!$B$4:$B$2641),PriceList!$M$4:$M$2641=A133,""))</f>
        <v>2091</v>
      </c>
      <c r="F133" s="42" t="str" cm="1">
        <f t="array" ref="F133">_xlfn.TEXTJOIN(" | ",TRUE,_xlfn.UNIQUE(_xlfn._xlws.FILTER(PriceList!$Q$4:$Q$2641&amp;" x "&amp;PriceList!$R$4:$R$2641&amp;" x "&amp;PriceList!$S$4:$S$2641,PriceList!$M$4:$M$2641=A133,"")))</f>
        <v>190.5 x 195.326 x 2.286</v>
      </c>
      <c r="G133" t="str" cm="1">
        <f t="array" ref="G133">INDEX(_xlfn._xlws.FILTER(PriceList!$P$4:$P$2641,PriceList!$M$4:$M$2641=A133,""),1)</f>
        <v>O Ring - FPM/FKM/VitonÂ®</v>
      </c>
    </row>
    <row r="134" spans="1:7" x14ac:dyDescent="0.45">
      <c r="A134" t="s">
        <v>4611</v>
      </c>
      <c r="B134">
        <f>COUNTIF(PriceList!$M$4:$M$2641,A134)</f>
        <v>1</v>
      </c>
      <c r="C134" t="str">
        <f>IF(B134=1,"1:1","1:Many")</f>
        <v>1:1</v>
      </c>
      <c r="D134" s="42" t="str" cm="1">
        <f t="array" ref="D134">_xlfn.TEXTJOIN(" | ",TRUE,_xlfn._xlws.FILTER(PriceList!$B$4:$B$2641,PriceList!$M$4:$M$2641=A134,""))</f>
        <v>ORV8 005.94-3.53</v>
      </c>
      <c r="E134" t="str" cm="1">
        <f t="array" ref="E134">_xlfn.TEXTJOIN(", ",TRUE,_xlfn._xlws.FILTER(ROW(PriceList!$B$4:$B$2641),PriceList!$M$4:$M$2641=A134,""))</f>
        <v>1553</v>
      </c>
      <c r="F134" s="42" t="str" cm="1">
        <f t="array" ref="F134">_xlfn.TEXTJOIN(" | ",TRUE,_xlfn.UNIQUE(_xlfn._xlws.FILTER(PriceList!$Q$4:$Q$2641&amp;" x "&amp;PriceList!$R$4:$R$2641&amp;" x "&amp;PriceList!$S$4:$S$2641,PriceList!$M$4:$M$2641=A134,"")))</f>
        <v>5.842 x 12.954 x 3.556</v>
      </c>
      <c r="G134" t="str" cm="1">
        <f t="array" ref="G134">INDEX(_xlfn._xlws.FILTER(PriceList!$P$4:$P$2641,PriceList!$M$4:$M$2641=A134,""),1)</f>
        <v>O Ring - FPM/FKM/VitonÂ®</v>
      </c>
    </row>
    <row r="135" spans="1:7" x14ac:dyDescent="0.45">
      <c r="A135" t="s">
        <v>4636</v>
      </c>
      <c r="B135">
        <f>COUNTIF(PriceList!$M$4:$M$2641,A135)</f>
        <v>1</v>
      </c>
      <c r="C135" t="str">
        <f>IF(B135=1,"1:1","1:Many")</f>
        <v>1:1</v>
      </c>
      <c r="D135" s="42" t="str" cm="1">
        <f t="array" ref="D135">_xlfn.TEXTJOIN(" | ",TRUE,_xlfn._xlws.FILTER(PriceList!$B$4:$B$2641,PriceList!$M$4:$M$2641=A135,""))</f>
        <v>ORV8 009.12-3.53</v>
      </c>
      <c r="E135" t="str" cm="1">
        <f t="array" ref="E135">_xlfn.TEXTJOIN(", ",TRUE,_xlfn._xlws.FILTER(ROW(PriceList!$B$4:$B$2641),PriceList!$M$4:$M$2641=A135,""))</f>
        <v>1577</v>
      </c>
      <c r="F135" s="42" t="str" cm="1">
        <f t="array" ref="F135">_xlfn.TEXTJOIN(" | ",TRUE,_xlfn.UNIQUE(_xlfn._xlws.FILTER(PriceList!$Q$4:$Q$2641&amp;" x "&amp;PriceList!$R$4:$R$2641&amp;" x "&amp;PriceList!$S$4:$S$2641,PriceList!$M$4:$M$2641=A135,"")))</f>
        <v>9.144 x 16.256 x 3.556</v>
      </c>
      <c r="G135" t="str" cm="1">
        <f t="array" ref="G135">INDEX(_xlfn._xlws.FILTER(PriceList!$P$4:$P$2641,PriceList!$M$4:$M$2641=A135,""),1)</f>
        <v>O Ring - FPM/FKM/VitonÂ®</v>
      </c>
    </row>
    <row r="136" spans="1:7" x14ac:dyDescent="0.45">
      <c r="A136" t="s">
        <v>4360</v>
      </c>
      <c r="B136">
        <f>COUNTIF(PriceList!$M$4:$M$2641,A136)</f>
        <v>1</v>
      </c>
      <c r="C136" t="str">
        <f>IF(B136=1,"1:1","1:Many")</f>
        <v>1:1</v>
      </c>
      <c r="D136" s="42" t="str" cm="1">
        <f t="array" ref="D136">_xlfn.TEXTJOIN(" | ",TRUE,_xlfn._xlws.FILTER(PriceList!$B$4:$B$2641,PriceList!$M$4:$M$2641=A136,""))</f>
        <v>OR9N 010.69-3.53</v>
      </c>
      <c r="E136" t="str" cm="1">
        <f t="array" ref="E136">_xlfn.TEXTJOIN(", ",TRUE,_xlfn._xlws.FILTER(ROW(PriceList!$B$4:$B$2641),PriceList!$M$4:$M$2641=A136,""))</f>
        <v>957</v>
      </c>
      <c r="F136" s="42" t="str" cm="1">
        <f t="array" ref="F136">_xlfn.TEXTJOIN(" | ",TRUE,_xlfn.UNIQUE(_xlfn._xlws.FILTER(PriceList!$Q$4:$Q$2641&amp;" x "&amp;PriceList!$R$4:$R$2641&amp;" x "&amp;PriceList!$S$4:$S$2641,PriceList!$M$4:$M$2641=A136,"")))</f>
        <v>10.668 x 17.78 x 3.556</v>
      </c>
      <c r="G136" t="str" cm="1">
        <f t="array" ref="G136">INDEX(_xlfn._xlws.FILTER(PriceList!$P$4:$P$2641,PriceList!$M$4:$M$2641=A136,""),1)</f>
        <v>O Ring - NBR 70</v>
      </c>
    </row>
    <row r="137" spans="1:7" x14ac:dyDescent="0.45">
      <c r="A137" t="s">
        <v>4368</v>
      </c>
      <c r="B137">
        <f>COUNTIF(PriceList!$M$4:$M$2641,A137)</f>
        <v>1</v>
      </c>
      <c r="C137" t="str">
        <f>IF(B137=1,"1:1","1:Many")</f>
        <v>1:1</v>
      </c>
      <c r="D137" s="42" t="str" cm="1">
        <f t="array" ref="D137">_xlfn.TEXTJOIN(" | ",TRUE,_xlfn._xlws.FILTER(PriceList!$B$4:$B$2641,PriceList!$M$4:$M$2641=A137,""))</f>
        <v>OR9N 012.29-3.53</v>
      </c>
      <c r="E137" t="str" cm="1">
        <f t="array" ref="E137">_xlfn.TEXTJOIN(", ",TRUE,_xlfn._xlws.FILTER(ROW(PriceList!$B$4:$B$2641),PriceList!$M$4:$M$2641=A137,""))</f>
        <v>971</v>
      </c>
      <c r="F137" s="42" t="str" cm="1">
        <f t="array" ref="F137">_xlfn.TEXTJOIN(" | ",TRUE,_xlfn.UNIQUE(_xlfn._xlws.FILTER(PriceList!$Q$4:$Q$2641&amp;" x "&amp;PriceList!$R$4:$R$2641&amp;" x "&amp;PriceList!$S$4:$S$2641,PriceList!$M$4:$M$2641=A137,"")))</f>
        <v>12.192 x 19.304 x 3.556</v>
      </c>
      <c r="G137" t="str" cm="1">
        <f t="array" ref="G137">INDEX(_xlfn._xlws.FILTER(PriceList!$P$4:$P$2641,PriceList!$M$4:$M$2641=A137,""),1)</f>
        <v>O Ring - NBR 70</v>
      </c>
    </row>
    <row r="138" spans="1:7" x14ac:dyDescent="0.45">
      <c r="A138" t="s">
        <v>4662</v>
      </c>
      <c r="B138">
        <f>COUNTIF(PriceList!$M$4:$M$2641,A138)</f>
        <v>1</v>
      </c>
      <c r="C138" t="str">
        <f>IF(B138=1,"1:1","1:Many")</f>
        <v>1:1</v>
      </c>
      <c r="D138" s="42" t="str" cm="1">
        <f t="array" ref="D138">_xlfn.TEXTJOIN(" | ",TRUE,_xlfn._xlws.FILTER(PriceList!$B$4:$B$2641,PriceList!$M$4:$M$2641=A138,""))</f>
        <v>ORV8 013.87-3.53</v>
      </c>
      <c r="E138" t="str" cm="1">
        <f t="array" ref="E138">_xlfn.TEXTJOIN(", ",TRUE,_xlfn._xlws.FILTER(ROW(PriceList!$B$4:$B$2641),PriceList!$M$4:$M$2641=A138,""))</f>
        <v>1603</v>
      </c>
      <c r="F138" s="42" t="str" cm="1">
        <f t="array" ref="F138">_xlfn.TEXTJOIN(" | ",TRUE,_xlfn.UNIQUE(_xlfn._xlws.FILTER(PriceList!$Q$4:$Q$2641&amp;" x "&amp;PriceList!$R$4:$R$2641&amp;" x "&amp;PriceList!$S$4:$S$2641,PriceList!$M$4:$M$2641=A138,"")))</f>
        <v>13.97 x 20.828 x 3.556</v>
      </c>
      <c r="G138" t="str" cm="1">
        <f t="array" ref="G138">INDEX(_xlfn._xlws.FILTER(PriceList!$P$4:$P$2641,PriceList!$M$4:$M$2641=A138,""),1)</f>
        <v>O Ring - FPM/FKM/VitonÂ®</v>
      </c>
    </row>
    <row r="139" spans="1:7" x14ac:dyDescent="0.45">
      <c r="A139" t="s">
        <v>3944</v>
      </c>
      <c r="B139">
        <f>COUNTIF(PriceList!$M$4:$M$2641,A139)</f>
        <v>2</v>
      </c>
      <c r="C139" t="str">
        <f>IF(B139=1,"1:1","1:Many")</f>
        <v>1:Many</v>
      </c>
      <c r="D139" s="42" t="str" cm="1">
        <f t="array" ref="D139">_xlfn.TEXTJOIN(" | ",TRUE,_xlfn._xlws.FILTER(PriceList!$B$4:$B$2641,PriceList!$M$4:$M$2641=A139,""))</f>
        <v>OR7N 015.47-3.53 | OR9N 015.47-3.53</v>
      </c>
      <c r="E139" t="str" cm="1">
        <f t="array" ref="E139">_xlfn.TEXTJOIN(", ",TRUE,_xlfn._xlws.FILTER(ROW(PriceList!$B$4:$B$2641),PriceList!$M$4:$M$2641=A139,""))</f>
        <v>578, 991</v>
      </c>
      <c r="F139" s="42" t="str" cm="1">
        <f t="array" ref="F139">_xlfn.TEXTJOIN(" | ",TRUE,_xlfn.UNIQUE(_xlfn._xlws.FILTER(PriceList!$Q$4:$Q$2641&amp;" x "&amp;PriceList!$R$4:$R$2641&amp;" x "&amp;PriceList!$S$4:$S$2641,PriceList!$M$4:$M$2641=A139,"")))</f>
        <v>15.494 x 22.606 x 3.556</v>
      </c>
      <c r="G139" t="str" cm="1">
        <f t="array" ref="G139">INDEX(_xlfn._xlws.FILTER(PriceList!$P$4:$P$2641,PriceList!$M$4:$M$2641=A139,""),1)</f>
        <v>O Ring - NBR 70</v>
      </c>
    </row>
    <row r="140" spans="1:7" x14ac:dyDescent="0.45">
      <c r="A140" t="s">
        <v>4672</v>
      </c>
      <c r="B140">
        <f>COUNTIF(PriceList!$M$4:$M$2641,A140)</f>
        <v>1</v>
      </c>
      <c r="C140" t="str">
        <f>IF(B140=1,"1:1","1:Many")</f>
        <v>1:1</v>
      </c>
      <c r="D140" s="42" t="str" cm="1">
        <f t="array" ref="D140">_xlfn.TEXTJOIN(" | ",TRUE,_xlfn._xlws.FILTER(PriceList!$B$4:$B$2641,PriceList!$M$4:$M$2641=A140,""))</f>
        <v>ORV8 015.47-3.53</v>
      </c>
      <c r="E140" t="str" cm="1">
        <f t="array" ref="E140">_xlfn.TEXTJOIN(", ",TRUE,_xlfn._xlws.FILTER(ROW(PriceList!$B$4:$B$2641),PriceList!$M$4:$M$2641=A140,""))</f>
        <v>1614</v>
      </c>
      <c r="F140" s="42" t="str" cm="1">
        <f t="array" ref="F140">_xlfn.TEXTJOIN(" | ",TRUE,_xlfn.UNIQUE(_xlfn._xlws.FILTER(PriceList!$Q$4:$Q$2641&amp;" x "&amp;PriceList!$R$4:$R$2641&amp;" x "&amp;PriceList!$S$4:$S$2641,PriceList!$M$4:$M$2641=A140,"")))</f>
        <v>15.494 x 22.606 x 3.556</v>
      </c>
      <c r="G140" t="str" cm="1">
        <f t="array" ref="G140">INDEX(_xlfn._xlws.FILTER(PriceList!$P$4:$P$2641,PriceList!$M$4:$M$2641=A140,""),1)</f>
        <v>O Ring - FPM/FKM/VitonÂ®</v>
      </c>
    </row>
    <row r="141" spans="1:7" x14ac:dyDescent="0.45">
      <c r="A141" t="s">
        <v>4689</v>
      </c>
      <c r="B141">
        <f>COUNTIF(PriceList!$M$4:$M$2641,A141)</f>
        <v>1</v>
      </c>
      <c r="C141" t="str">
        <f>IF(B141=1,"1:1","1:Many")</f>
        <v>1:1</v>
      </c>
      <c r="D141" s="42" t="str" cm="1">
        <f t="array" ref="D141">_xlfn.TEXTJOIN(" | ",TRUE,_xlfn._xlws.FILTER(PriceList!$B$4:$B$2641,PriceList!$M$4:$M$2641=A141,""))</f>
        <v>ORV8 017.04-3.53</v>
      </c>
      <c r="E141" t="str" cm="1">
        <f t="array" ref="E141">_xlfn.TEXTJOIN(", ",TRUE,_xlfn._xlws.FILTER(ROW(PriceList!$B$4:$B$2641),PriceList!$M$4:$M$2641=A141,""))</f>
        <v>1631</v>
      </c>
      <c r="F141" s="42" t="str" cm="1">
        <f t="array" ref="F141">_xlfn.TEXTJOIN(" | ",TRUE,_xlfn.UNIQUE(_xlfn._xlws.FILTER(PriceList!$Q$4:$Q$2641&amp;" x "&amp;PriceList!$R$4:$R$2641&amp;" x "&amp;PriceList!$S$4:$S$2641,PriceList!$M$4:$M$2641=A141,"")))</f>
        <v>17.018 x 24.13 x 3.556</v>
      </c>
      <c r="G141" t="str" cm="1">
        <f t="array" ref="G141">INDEX(_xlfn._xlws.FILTER(PriceList!$P$4:$P$2641,PriceList!$M$4:$M$2641=A141,""),1)</f>
        <v>O Ring - FPM/FKM/VitonÂ®</v>
      </c>
    </row>
    <row r="142" spans="1:7" x14ac:dyDescent="0.45">
      <c r="A142" t="s">
        <v>3962</v>
      </c>
      <c r="B142">
        <f>COUNTIF(PriceList!$M$4:$M$2641,A142)</f>
        <v>2</v>
      </c>
      <c r="C142" t="str">
        <f>IF(B142=1,"1:1","1:Many")</f>
        <v>1:Many</v>
      </c>
      <c r="D142" s="42" t="str" cm="1">
        <f t="array" ref="D142">_xlfn.TEXTJOIN(" | ",TRUE,_xlfn._xlws.FILTER(PriceList!$B$4:$B$2641,PriceList!$M$4:$M$2641=A142,""))</f>
        <v>OR7N 018.64-3.53 | OR9N 018.64-3.53</v>
      </c>
      <c r="E142" t="str" cm="1">
        <f t="array" ref="E142">_xlfn.TEXTJOIN(", ",TRUE,_xlfn._xlws.FILTER(ROW(PriceList!$B$4:$B$2641),PriceList!$M$4:$M$2641=A142,""))</f>
        <v>591, 1010</v>
      </c>
      <c r="F142" s="42" t="str" cm="1">
        <f t="array" ref="F142">_xlfn.TEXTJOIN(" | ",TRUE,_xlfn.UNIQUE(_xlfn._xlws.FILTER(PriceList!$Q$4:$Q$2641&amp;" x "&amp;PriceList!$R$4:$R$2641&amp;" x "&amp;PriceList!$S$4:$S$2641,PriceList!$M$4:$M$2641=A142,"")))</f>
        <v>18.542 x 25.654 x 3.556</v>
      </c>
      <c r="G142" t="str" cm="1">
        <f t="array" ref="G142">INDEX(_xlfn._xlws.FILTER(PriceList!$P$4:$P$2641,PriceList!$M$4:$M$2641=A142,""),1)</f>
        <v>O Ring - NBR 70</v>
      </c>
    </row>
    <row r="143" spans="1:7" x14ac:dyDescent="0.45">
      <c r="A143" t="s">
        <v>4699</v>
      </c>
      <c r="B143">
        <f>COUNTIF(PriceList!$M$4:$M$2641,A143)</f>
        <v>1</v>
      </c>
      <c r="C143" t="str">
        <f>IF(B143=1,"1:1","1:Many")</f>
        <v>1:1</v>
      </c>
      <c r="D143" s="42" t="str" cm="1">
        <f t="array" ref="D143">_xlfn.TEXTJOIN(" | ",TRUE,_xlfn._xlws.FILTER(PriceList!$B$4:$B$2641,PriceList!$M$4:$M$2641=A143,""))</f>
        <v>ORV8 018.64-3.53</v>
      </c>
      <c r="E143" t="str" cm="1">
        <f t="array" ref="E143">_xlfn.TEXTJOIN(", ",TRUE,_xlfn._xlws.FILTER(ROW(PriceList!$B$4:$B$2641),PriceList!$M$4:$M$2641=A143,""))</f>
        <v>1642</v>
      </c>
      <c r="F143" s="42" t="str" cm="1">
        <f t="array" ref="F143">_xlfn.TEXTJOIN(" | ",TRUE,_xlfn.UNIQUE(_xlfn._xlws.FILTER(PriceList!$Q$4:$Q$2641&amp;" x "&amp;PriceList!$R$4:$R$2641&amp;" x "&amp;PriceList!$S$4:$S$2641,PriceList!$M$4:$M$2641=A143,"")))</f>
        <v>18.542 x 25.654 x 3.556</v>
      </c>
      <c r="G143" t="str" cm="1">
        <f t="array" ref="G143">INDEX(_xlfn._xlws.FILTER(PriceList!$P$4:$P$2641,PriceList!$M$4:$M$2641=A143,""),1)</f>
        <v>O Ring - FPM/FKM/VitonÂ®</v>
      </c>
    </row>
    <row r="144" spans="1:7" x14ac:dyDescent="0.45">
      <c r="A144" t="s">
        <v>3982</v>
      </c>
      <c r="B144">
        <f>COUNTIF(PriceList!$M$4:$M$2641,A144)</f>
        <v>2</v>
      </c>
      <c r="C144" t="str">
        <f>IF(B144=1,"1:1","1:Many")</f>
        <v>1:Many</v>
      </c>
      <c r="D144" s="42" t="str" cm="1">
        <f t="array" ref="D144">_xlfn.TEXTJOIN(" | ",TRUE,_xlfn._xlws.FILTER(PriceList!$B$4:$B$2641,PriceList!$M$4:$M$2641=A144,""))</f>
        <v>OR7N 023.39-3.53 | OR9N 023.39-3.53</v>
      </c>
      <c r="E144" t="str" cm="1">
        <f t="array" ref="E144">_xlfn.TEXTJOIN(", ",TRUE,_xlfn._xlws.FILTER(ROW(PriceList!$B$4:$B$2641),PriceList!$M$4:$M$2641=A144,""))</f>
        <v>603, 1035</v>
      </c>
      <c r="F144" s="42" t="str" cm="1">
        <f t="array" ref="F144">_xlfn.TEXTJOIN(" | ",TRUE,_xlfn.UNIQUE(_xlfn._xlws.FILTER(PriceList!$Q$4:$Q$2641&amp;" x "&amp;PriceList!$R$4:$R$2641&amp;" x "&amp;PriceList!$S$4:$S$2641,PriceList!$M$4:$M$2641=A144,"")))</f>
        <v>23.368 x 30.48 x 3.556</v>
      </c>
      <c r="G144" t="str" cm="1">
        <f t="array" ref="G144">INDEX(_xlfn._xlws.FILTER(PriceList!$P$4:$P$2641,PriceList!$M$4:$M$2641=A144,""),1)</f>
        <v>O Ring - EPDM</v>
      </c>
    </row>
    <row r="145" spans="1:7" x14ac:dyDescent="0.45">
      <c r="A145" t="s">
        <v>4729</v>
      </c>
      <c r="B145">
        <f>COUNTIF(PriceList!$M$4:$M$2641,A145)</f>
        <v>2</v>
      </c>
      <c r="C145" t="str">
        <f>IF(B145=1,"1:1","1:Many")</f>
        <v>1:Many</v>
      </c>
      <c r="D145" s="42" t="str" cm="1">
        <f t="array" ref="D145">_xlfn.TEXTJOIN(" | ",TRUE,_xlfn._xlws.FILTER(PriceList!$B$4:$B$2641,PriceList!$M$4:$M$2641=A145,""))</f>
        <v>ORV8 023.39-3.53 | ORV8 023.7-3.5</v>
      </c>
      <c r="E145" t="str" cm="1">
        <f t="array" ref="E145">_xlfn.TEXTJOIN(", ",TRUE,_xlfn._xlws.FILTER(ROW(PriceList!$B$4:$B$2641),PriceList!$M$4:$M$2641=A145,""))</f>
        <v>1679, 1683</v>
      </c>
      <c r="F145" s="42" t="str" cm="1">
        <f t="array" ref="F145">_xlfn.TEXTJOIN(" | ",TRUE,_xlfn.UNIQUE(_xlfn._xlws.FILTER(PriceList!$Q$4:$Q$2641&amp;" x "&amp;PriceList!$R$4:$R$2641&amp;" x "&amp;PriceList!$S$4:$S$2641,PriceList!$M$4:$M$2641=A145,"")))</f>
        <v>23.368 x 30.48 x 3.556</v>
      </c>
      <c r="G145" t="str" cm="1">
        <f t="array" ref="G145">INDEX(_xlfn._xlws.FILTER(PriceList!$P$4:$P$2641,PriceList!$M$4:$M$2641=A145,""),1)</f>
        <v>O Ring - FPM/FKM/VitonÂ®</v>
      </c>
    </row>
    <row r="146" spans="1:7" x14ac:dyDescent="0.45">
      <c r="A146" t="s">
        <v>3998</v>
      </c>
      <c r="B146">
        <f>COUNTIF(PriceList!$M$4:$M$2641,A146)</f>
        <v>2</v>
      </c>
      <c r="C146" t="str">
        <f>IF(B146=1,"1:1","1:Many")</f>
        <v>1:Many</v>
      </c>
      <c r="D146" s="42" t="str" cm="1">
        <f t="array" ref="D146">_xlfn.TEXTJOIN(" | ",TRUE,_xlfn._xlws.FILTER(PriceList!$B$4:$B$2641,PriceList!$M$4:$M$2641=A146,""))</f>
        <v>OR7N 026.57-3.53 | OR9N 026.57-3.53</v>
      </c>
      <c r="E146" t="str" cm="1">
        <f t="array" ref="E146">_xlfn.TEXTJOIN(", ",TRUE,_xlfn._xlws.FILTER(ROW(PriceList!$B$4:$B$2641),PriceList!$M$4:$M$2641=A146,""))</f>
        <v>614, 1058</v>
      </c>
      <c r="F146" s="42" t="str" cm="1">
        <f t="array" ref="F146">_xlfn.TEXTJOIN(" | ",TRUE,_xlfn.UNIQUE(_xlfn._xlws.FILTER(PriceList!$Q$4:$Q$2641&amp;" x "&amp;PriceList!$R$4:$R$2641&amp;" x "&amp;PriceList!$S$4:$S$2641,PriceList!$M$4:$M$2641=A146,"")))</f>
        <v>26.67 x 33.528 x 3.556</v>
      </c>
      <c r="G146" t="str" cm="1">
        <f t="array" ref="G146">INDEX(_xlfn._xlws.FILTER(PriceList!$P$4:$P$2641,PriceList!$M$4:$M$2641=A146,""),1)</f>
        <v>O Ring - EPDM</v>
      </c>
    </row>
    <row r="147" spans="1:7" x14ac:dyDescent="0.45">
      <c r="A147" t="s">
        <v>4750</v>
      </c>
      <c r="B147">
        <f>COUNTIF(PriceList!$M$4:$M$2641,A147)</f>
        <v>1</v>
      </c>
      <c r="C147" t="str">
        <f>IF(B147=1,"1:1","1:Many")</f>
        <v>1:1</v>
      </c>
      <c r="D147" s="42" t="str" cm="1">
        <f t="array" ref="D147">_xlfn.TEXTJOIN(" | ",TRUE,_xlfn._xlws.FILTER(PriceList!$B$4:$B$2641,PriceList!$M$4:$M$2641=A147,""))</f>
        <v>ORV8 026.57-3.53</v>
      </c>
      <c r="E147" t="str" cm="1">
        <f t="array" ref="E147">_xlfn.TEXTJOIN(", ",TRUE,_xlfn._xlws.FILTER(ROW(PriceList!$B$4:$B$2641),PriceList!$M$4:$M$2641=A147,""))</f>
        <v>1701</v>
      </c>
      <c r="F147" s="42" t="str" cm="1">
        <f t="array" ref="F147">_xlfn.TEXTJOIN(" | ",TRUE,_xlfn.UNIQUE(_xlfn._xlws.FILTER(PriceList!$Q$4:$Q$2641&amp;" x "&amp;PriceList!$R$4:$R$2641&amp;" x "&amp;PriceList!$S$4:$S$2641,PriceList!$M$4:$M$2641=A147,"")))</f>
        <v>26.67 x 33.528 x 3.556</v>
      </c>
      <c r="G147" t="str" cm="1">
        <f t="array" ref="G147">INDEX(_xlfn._xlws.FILTER(PriceList!$P$4:$P$2641,PriceList!$M$4:$M$2641=A147,""),1)</f>
        <v>O Ring - FPM/FKM/VitonÂ®</v>
      </c>
    </row>
    <row r="148" spans="1:7" x14ac:dyDescent="0.45">
      <c r="A148" t="s">
        <v>4003</v>
      </c>
      <c r="B148">
        <f>COUNTIF(PriceList!$M$4:$M$2641,A148)</f>
        <v>2</v>
      </c>
      <c r="C148" t="str">
        <f>IF(B148=1,"1:1","1:Many")</f>
        <v>1:Many</v>
      </c>
      <c r="D148" s="42" t="str" cm="1">
        <f t="array" ref="D148">_xlfn.TEXTJOIN(" | ",TRUE,_xlfn._xlws.FILTER(PriceList!$B$4:$B$2641,PriceList!$M$4:$M$2641=A148,""))</f>
        <v>OR7N 028.17-3.53 | OR9N 028.17-3.53</v>
      </c>
      <c r="E148" t="str" cm="1">
        <f t="array" ref="E148">_xlfn.TEXTJOIN(", ",TRUE,_xlfn._xlws.FILTER(ROW(PriceList!$B$4:$B$2641),PriceList!$M$4:$M$2641=A148,""))</f>
        <v>617, 1065</v>
      </c>
      <c r="F148" s="42" t="str" cm="1">
        <f t="array" ref="F148">_xlfn.TEXTJOIN(" | ",TRUE,_xlfn.UNIQUE(_xlfn._xlws.FILTER(PriceList!$Q$4:$Q$2641&amp;" x "&amp;PriceList!$R$4:$R$2641&amp;" x "&amp;PriceList!$S$4:$S$2641,PriceList!$M$4:$M$2641=A148,"")))</f>
        <v>28.194 x 35.306 x 3.556</v>
      </c>
      <c r="G148" t="str" cm="1">
        <f t="array" ref="G148">INDEX(_xlfn._xlws.FILTER(PriceList!$P$4:$P$2641,PriceList!$M$4:$M$2641=A148,""),1)</f>
        <v>O Ring - HNBR</v>
      </c>
    </row>
    <row r="149" spans="1:7" x14ac:dyDescent="0.45">
      <c r="A149" t="s">
        <v>4758</v>
      </c>
      <c r="B149">
        <f>COUNTIF(PriceList!$M$4:$M$2641,A149)</f>
        <v>1</v>
      </c>
      <c r="C149" t="str">
        <f>IF(B149=1,"1:1","1:Many")</f>
        <v>1:1</v>
      </c>
      <c r="D149" s="42" t="str" cm="1">
        <f t="array" ref="D149">_xlfn.TEXTJOIN(" | ",TRUE,_xlfn._xlws.FILTER(PriceList!$B$4:$B$2641,PriceList!$M$4:$M$2641=A149,""))</f>
        <v>ORV8 028.17-3.53</v>
      </c>
      <c r="E149" t="str" cm="1">
        <f t="array" ref="E149">_xlfn.TEXTJOIN(", ",TRUE,_xlfn._xlws.FILTER(ROW(PriceList!$B$4:$B$2641),PriceList!$M$4:$M$2641=A149,""))</f>
        <v>1709</v>
      </c>
      <c r="F149" s="42" t="str" cm="1">
        <f t="array" ref="F149">_xlfn.TEXTJOIN(" | ",TRUE,_xlfn.UNIQUE(_xlfn._xlws.FILTER(PriceList!$Q$4:$Q$2641&amp;" x "&amp;PriceList!$R$4:$R$2641&amp;" x "&amp;PriceList!$S$4:$S$2641,PriceList!$M$4:$M$2641=A149,"")))</f>
        <v>28.194 x 35.306 x 3.556</v>
      </c>
      <c r="G149" t="str" cm="1">
        <f t="array" ref="G149">INDEX(_xlfn._xlws.FILTER(PriceList!$P$4:$P$2641,PriceList!$M$4:$M$2641=A149,""),1)</f>
        <v>O Ring - FPM/FKM/VitonÂ®</v>
      </c>
    </row>
    <row r="150" spans="1:7" x14ac:dyDescent="0.45">
      <c r="A150" t="s">
        <v>4766</v>
      </c>
      <c r="B150">
        <f>COUNTIF(PriceList!$M$4:$M$2641,A150)</f>
        <v>2</v>
      </c>
      <c r="C150" t="str">
        <f>IF(B150=1,"1:1","1:Many")</f>
        <v>1:Many</v>
      </c>
      <c r="D150" s="42" t="str" cm="1">
        <f t="array" ref="D150">_xlfn.TEXTJOIN(" | ",TRUE,_xlfn._xlws.FILTER(PriceList!$B$4:$B$2641,PriceList!$M$4:$M$2641=A150,""))</f>
        <v>ORV8 029.74-3.53 | ORV8 030-3.5</v>
      </c>
      <c r="E150" t="str" cm="1">
        <f t="array" ref="E150">_xlfn.TEXTJOIN(", ",TRUE,_xlfn._xlws.FILTER(ROW(PriceList!$B$4:$B$2641),PriceList!$M$4:$M$2641=A150,""))</f>
        <v>1718, 1725</v>
      </c>
      <c r="F150" s="42" t="str" cm="1">
        <f t="array" ref="F150">_xlfn.TEXTJOIN(" | ",TRUE,_xlfn.UNIQUE(_xlfn._xlws.FILTER(PriceList!$Q$4:$Q$2641&amp;" x "&amp;PriceList!$R$4:$R$2641&amp;" x "&amp;PriceList!$S$4:$S$2641,PriceList!$M$4:$M$2641=A150,"")))</f>
        <v>29.718 x 36.83 x 3.556</v>
      </c>
      <c r="G150" t="str" cm="1">
        <f t="array" ref="G150">INDEX(_xlfn._xlws.FILTER(PriceList!$P$4:$P$2641,PriceList!$M$4:$M$2641=A150,""),1)</f>
        <v>O Ring - FPM/FKM/VitonÂ®</v>
      </c>
    </row>
    <row r="151" spans="1:7" x14ac:dyDescent="0.45">
      <c r="A151" t="s">
        <v>4017</v>
      </c>
      <c r="B151">
        <f>COUNTIF(PriceList!$M$4:$M$2641,A151)</f>
        <v>2</v>
      </c>
      <c r="C151" t="str">
        <f>IF(B151=1,"1:1","1:Many")</f>
        <v>1:Many</v>
      </c>
      <c r="D151" s="42" t="str" cm="1">
        <f t="array" ref="D151">_xlfn.TEXTJOIN(" | ",TRUE,_xlfn._xlws.FILTER(PriceList!$B$4:$B$2641,PriceList!$M$4:$M$2641=A151,""))</f>
        <v>OR7N 031.34-3.53 | OR9N 031.34-3.53</v>
      </c>
      <c r="E151" t="str" cm="1">
        <f t="array" ref="E151">_xlfn.TEXTJOIN(", ",TRUE,_xlfn._xlws.FILTER(ROW(PriceList!$B$4:$B$2641),PriceList!$M$4:$M$2641=A151,""))</f>
        <v>627, 1085</v>
      </c>
      <c r="F151" s="42" t="str" cm="1">
        <f t="array" ref="F151">_xlfn.TEXTJOIN(" | ",TRUE,_xlfn.UNIQUE(_xlfn._xlws.FILTER(PriceList!$Q$4:$Q$2641&amp;" x "&amp;PriceList!$R$4:$R$2641&amp;" x "&amp;PriceList!$S$4:$S$2641,PriceList!$M$4:$M$2641=A151,"")))</f>
        <v>31.242 x 38.354 x 3.556</v>
      </c>
      <c r="G151" t="str" cm="1">
        <f t="array" ref="G151">INDEX(_xlfn._xlws.FILTER(PriceList!$P$4:$P$2641,PriceList!$M$4:$M$2641=A151,""),1)</f>
        <v>O Ring - HNBR</v>
      </c>
    </row>
    <row r="152" spans="1:7" x14ac:dyDescent="0.45">
      <c r="A152" t="s">
        <v>4775</v>
      </c>
      <c r="B152">
        <f>COUNTIF(PriceList!$M$4:$M$2641,A152)</f>
        <v>1</v>
      </c>
      <c r="C152" t="str">
        <f>IF(B152=1,"1:1","1:Many")</f>
        <v>1:1</v>
      </c>
      <c r="D152" s="42" t="str" cm="1">
        <f t="array" ref="D152">_xlfn.TEXTJOIN(" | ",TRUE,_xlfn._xlws.FILTER(PriceList!$B$4:$B$2641,PriceList!$M$4:$M$2641=A152,""))</f>
        <v>ORV8 031.44-3.53</v>
      </c>
      <c r="E152" t="str" cm="1">
        <f t="array" ref="E152">_xlfn.TEXTJOIN(", ",TRUE,_xlfn._xlws.FILTER(ROW(PriceList!$B$4:$B$2641),PriceList!$M$4:$M$2641=A152,""))</f>
        <v>1729</v>
      </c>
      <c r="F152" s="42" t="str" cm="1">
        <f t="array" ref="F152">_xlfn.TEXTJOIN(" | ",TRUE,_xlfn.UNIQUE(_xlfn._xlws.FILTER(PriceList!$Q$4:$Q$2641&amp;" x "&amp;PriceList!$R$4:$R$2641&amp;" x "&amp;PriceList!$S$4:$S$2641,PriceList!$M$4:$M$2641=A152,"")))</f>
        <v>31.242 x 38.354 x 3.556</v>
      </c>
      <c r="G152" t="str" cm="1">
        <f t="array" ref="G152">INDEX(_xlfn._xlws.FILTER(PriceList!$P$4:$P$2641,PriceList!$M$4:$M$2641=A152,""),1)</f>
        <v>O Ring - FPM/FKM/VitonÂ®</v>
      </c>
    </row>
    <row r="153" spans="1:7" x14ac:dyDescent="0.45">
      <c r="A153" t="s">
        <v>4779</v>
      </c>
      <c r="B153">
        <f>COUNTIF(PriceList!$M$4:$M$2641,A153)</f>
        <v>2</v>
      </c>
      <c r="C153" t="str">
        <f>IF(B153=1,"1:1","1:Many")</f>
        <v>1:Many</v>
      </c>
      <c r="D153" s="42" t="str" cm="1">
        <f t="array" ref="D153">_xlfn.TEXTJOIN(" | ",TRUE,_xlfn._xlws.FILTER(PriceList!$B$4:$B$2641,PriceList!$M$4:$M$2641=A153,""))</f>
        <v>ORV8 032.7-3.5 | ORV8 032.92-3.53</v>
      </c>
      <c r="E153" t="str" cm="1">
        <f t="array" ref="E153">_xlfn.TEXTJOIN(", ",TRUE,_xlfn._xlws.FILTER(ROW(PriceList!$B$4:$B$2641),PriceList!$M$4:$M$2641=A153,""))</f>
        <v>1732, 1734</v>
      </c>
      <c r="F153" s="42" t="str" cm="1">
        <f t="array" ref="F153">_xlfn.TEXTJOIN(" | ",TRUE,_xlfn.UNIQUE(_xlfn._xlws.FILTER(PriceList!$Q$4:$Q$2641&amp;" x "&amp;PriceList!$R$4:$R$2641&amp;" x "&amp;PriceList!$S$4:$S$2641,PriceList!$M$4:$M$2641=A153,"")))</f>
        <v>33.02 x 39.878 x 3.556</v>
      </c>
      <c r="G153" t="str" cm="1">
        <f t="array" ref="G153">INDEX(_xlfn._xlws.FILTER(PriceList!$P$4:$P$2641,PriceList!$M$4:$M$2641=A153,""),1)</f>
        <v>O Ring - FPM/FKM/VitonÂ®</v>
      </c>
    </row>
    <row r="154" spans="1:7" x14ac:dyDescent="0.45">
      <c r="A154" t="s">
        <v>4791</v>
      </c>
      <c r="B154">
        <f>COUNTIF(PriceList!$M$4:$M$2641,A154)</f>
        <v>1</v>
      </c>
      <c r="C154" t="str">
        <f>IF(B154=1,"1:1","1:Many")</f>
        <v>1:1</v>
      </c>
      <c r="D154" s="42" t="str" cm="1">
        <f t="array" ref="D154">_xlfn.TEXTJOIN(" | ",TRUE,_xlfn._xlws.FILTER(PriceList!$B$4:$B$2641,PriceList!$M$4:$M$2641=A154,""))</f>
        <v>ORV8 034.52-3.53</v>
      </c>
      <c r="E154" t="str" cm="1">
        <f t="array" ref="E154">_xlfn.TEXTJOIN(", ",TRUE,_xlfn._xlws.FILTER(ROW(PriceList!$B$4:$B$2641),PriceList!$M$4:$M$2641=A154,""))</f>
        <v>1744</v>
      </c>
      <c r="F154" s="42" t="str" cm="1">
        <f t="array" ref="F154">_xlfn.TEXTJOIN(" | ",TRUE,_xlfn.UNIQUE(_xlfn._xlws.FILTER(PriceList!$Q$4:$Q$2641&amp;" x "&amp;PriceList!$R$4:$R$2641&amp;" x "&amp;PriceList!$S$4:$S$2641,PriceList!$M$4:$M$2641=A154,"")))</f>
        <v>34.544 x 41.656 x 3.556</v>
      </c>
      <c r="G154" t="str" cm="1">
        <f t="array" ref="G154">INDEX(_xlfn._xlws.FILTER(PriceList!$P$4:$P$2641,PriceList!$M$4:$M$2641=A154,""),1)</f>
        <v>O Ring - FPM/FKM/VitonÂ®</v>
      </c>
    </row>
    <row r="155" spans="1:7" x14ac:dyDescent="0.45">
      <c r="A155" t="s">
        <v>4802</v>
      </c>
      <c r="B155">
        <f>COUNTIF(PriceList!$M$4:$M$2641,A155)</f>
        <v>2</v>
      </c>
      <c r="C155" t="str">
        <f>IF(B155=1,"1:1","1:Many")</f>
        <v>1:Many</v>
      </c>
      <c r="D155" s="42" t="str" cm="1">
        <f t="array" ref="D155">_xlfn.TEXTJOIN(" | ",TRUE,_xlfn._xlws.FILTER(PriceList!$B$4:$B$2641,PriceList!$M$4:$M$2641=A155,""))</f>
        <v>ORV8 036.09-3.53 | ORV8 036-3.5</v>
      </c>
      <c r="E155" t="str" cm="1">
        <f t="array" ref="E155">_xlfn.TEXTJOIN(", ",TRUE,_xlfn._xlws.FILTER(ROW(PriceList!$B$4:$B$2641),PriceList!$M$4:$M$2641=A155,""))</f>
        <v>1755, 1763</v>
      </c>
      <c r="F155" s="42" t="str" cm="1">
        <f t="array" ref="F155">_xlfn.TEXTJOIN(" | ",TRUE,_xlfn.UNIQUE(_xlfn._xlws.FILTER(PriceList!$Q$4:$Q$2641&amp;" x "&amp;PriceList!$R$4:$R$2641&amp;" x "&amp;PriceList!$S$4:$S$2641,PriceList!$M$4:$M$2641=A155,"")))</f>
        <v>36.068 x 43.18 x 3.556</v>
      </c>
      <c r="G155" t="str" cm="1">
        <f t="array" ref="G155">INDEX(_xlfn._xlws.FILTER(PriceList!$P$4:$P$2641,PriceList!$M$4:$M$2641=A155,""),1)</f>
        <v>O Ring - FPM/FKM/VitonÂ®</v>
      </c>
    </row>
    <row r="156" spans="1:7" x14ac:dyDescent="0.45">
      <c r="A156" t="s">
        <v>4828</v>
      </c>
      <c r="B156">
        <f>COUNTIF(PriceList!$M$4:$M$2641,A156)</f>
        <v>2</v>
      </c>
      <c r="C156" t="str">
        <f>IF(B156=1,"1:1","1:Many")</f>
        <v>1:Many</v>
      </c>
      <c r="D156" s="42" t="str" cm="1">
        <f t="array" ref="D156">_xlfn.TEXTJOIN(" | ",TRUE,_xlfn._xlws.FILTER(PriceList!$B$4:$B$2641,PriceList!$M$4:$M$2641=A156,""))</f>
        <v>ORV8 040.7-3.5 | ORV8 040.87-3.53</v>
      </c>
      <c r="E156" t="str" cm="1">
        <f t="array" ref="E156">_xlfn.TEXTJOIN(", ",TRUE,_xlfn._xlws.FILTER(ROW(PriceList!$B$4:$B$2641),PriceList!$M$4:$M$2641=A156,""))</f>
        <v>1784, 1785</v>
      </c>
      <c r="F156" s="42" t="str" cm="1">
        <f t="array" ref="F156">_xlfn.TEXTJOIN(" | ",TRUE,_xlfn.UNIQUE(_xlfn._xlws.FILTER(PriceList!$Q$4:$Q$2641&amp;" x "&amp;PriceList!$R$4:$R$2641&amp;" x "&amp;PriceList!$S$4:$S$2641,PriceList!$M$4:$M$2641=A156,"")))</f>
        <v>40.894 x 48.006 x 3.556</v>
      </c>
      <c r="G156" t="str" cm="1">
        <f t="array" ref="G156">INDEX(_xlfn._xlws.FILTER(PriceList!$P$4:$P$2641,PriceList!$M$4:$M$2641=A156,""),1)</f>
        <v>O Ring - FPM/FKM/VitonÂ®</v>
      </c>
    </row>
    <row r="157" spans="1:7" x14ac:dyDescent="0.45">
      <c r="A157" t="s">
        <v>4844</v>
      </c>
      <c r="B157">
        <f>COUNTIF(PriceList!$M$4:$M$2641,A157)</f>
        <v>1</v>
      </c>
      <c r="C157" t="str">
        <f>IF(B157=1,"1:1","1:Many")</f>
        <v>1:1</v>
      </c>
      <c r="D157" s="42" t="str" cm="1">
        <f t="array" ref="D157">_xlfn.TEXTJOIN(" | ",TRUE,_xlfn._xlws.FILTER(PriceList!$B$4:$B$2641,PriceList!$M$4:$M$2641=A157,""))</f>
        <v>ORV8 044.04-3.53</v>
      </c>
      <c r="E157" t="str" cm="1">
        <f t="array" ref="E157">_xlfn.TEXTJOIN(", ",TRUE,_xlfn._xlws.FILTER(ROW(PriceList!$B$4:$B$2641),PriceList!$M$4:$M$2641=A157,""))</f>
        <v>1799</v>
      </c>
      <c r="F157" s="42" t="str" cm="1">
        <f t="array" ref="F157">_xlfn.TEXTJOIN(" | ",TRUE,_xlfn.UNIQUE(_xlfn._xlws.FILTER(PriceList!$Q$4:$Q$2641&amp;" x "&amp;PriceList!$R$4:$R$2641&amp;" x "&amp;PriceList!$S$4:$S$2641,PriceList!$M$4:$M$2641=A157,"")))</f>
        <v>43.942 x 51.054 x 3.556</v>
      </c>
      <c r="G157" t="str" cm="1">
        <f t="array" ref="G157">INDEX(_xlfn._xlws.FILTER(PriceList!$P$4:$P$2641,PriceList!$M$4:$M$2641=A157,""),1)</f>
        <v>O Ring - FPM/FKM/VitonÂ®</v>
      </c>
    </row>
    <row r="158" spans="1:7" x14ac:dyDescent="0.45">
      <c r="A158" t="s">
        <v>4078</v>
      </c>
      <c r="B158">
        <f>COUNTIF(PriceList!$M$4:$M$2641,A158)</f>
        <v>2</v>
      </c>
      <c r="C158" t="str">
        <f>IF(B158=1,"1:1","1:Many")</f>
        <v>1:Many</v>
      </c>
      <c r="D158" s="42" t="str" cm="1">
        <f t="array" ref="D158">_xlfn.TEXTJOIN(" | ",TRUE,_xlfn._xlws.FILTER(PriceList!$B$4:$B$2641,PriceList!$M$4:$M$2641=A158,""))</f>
        <v>OR7N 047.22-3.53 | OR9N 047.22-3.53</v>
      </c>
      <c r="E158" t="str" cm="1">
        <f t="array" ref="E158">_xlfn.TEXTJOIN(", ",TRUE,_xlfn._xlws.FILTER(ROW(PriceList!$B$4:$B$2641),PriceList!$M$4:$M$2641=A158,""))</f>
        <v>677, 1159</v>
      </c>
      <c r="F158" s="42" t="str" cm="1">
        <f t="array" ref="F158">_xlfn.TEXTJOIN(" | ",TRUE,_xlfn.UNIQUE(_xlfn._xlws.FILTER(PriceList!$Q$4:$Q$2641&amp;" x "&amp;PriceList!$R$4:$R$2641&amp;" x "&amp;PriceList!$S$4:$S$2641,PriceList!$M$4:$M$2641=A158,"")))</f>
        <v>47.244 x 54.356 x 3.556</v>
      </c>
      <c r="G158" t="str" cm="1">
        <f t="array" ref="G158">INDEX(_xlfn._xlws.FILTER(PriceList!$P$4:$P$2641,PriceList!$M$4:$M$2641=A158,""),1)</f>
        <v>O Ring - EPDM</v>
      </c>
    </row>
    <row r="159" spans="1:7" x14ac:dyDescent="0.45">
      <c r="A159" t="s">
        <v>4863</v>
      </c>
      <c r="B159">
        <f>COUNTIF(PriceList!$M$4:$M$2641,A159)</f>
        <v>1</v>
      </c>
      <c r="C159" t="str">
        <f>IF(B159=1,"1:1","1:Many")</f>
        <v>1:1</v>
      </c>
      <c r="D159" s="42" t="str" cm="1">
        <f t="array" ref="D159">_xlfn.TEXTJOIN(" | ",TRUE,_xlfn._xlws.FILTER(PriceList!$B$4:$B$2641,PriceList!$M$4:$M$2641=A159,""))</f>
        <v>ORV8 047.22-3.53</v>
      </c>
      <c r="E159" t="str" cm="1">
        <f t="array" ref="E159">_xlfn.TEXTJOIN(", ",TRUE,_xlfn._xlws.FILTER(ROW(PriceList!$B$4:$B$2641),PriceList!$M$4:$M$2641=A159,""))</f>
        <v>1816</v>
      </c>
      <c r="F159" s="42" t="str" cm="1">
        <f t="array" ref="F159">_xlfn.TEXTJOIN(" | ",TRUE,_xlfn.UNIQUE(_xlfn._xlws.FILTER(PriceList!$Q$4:$Q$2641&amp;" x "&amp;PriceList!$R$4:$R$2641&amp;" x "&amp;PriceList!$S$4:$S$2641,PriceList!$M$4:$M$2641=A159,"")))</f>
        <v>47.244 x 54.356 x 3.556</v>
      </c>
      <c r="G159" t="str" cm="1">
        <f t="array" ref="G159">INDEX(_xlfn._xlws.FILTER(PriceList!$P$4:$P$2641,PriceList!$M$4:$M$2641=A159,""),1)</f>
        <v>O Ring - FPM/FKM/VitonÂ®</v>
      </c>
    </row>
    <row r="160" spans="1:7" x14ac:dyDescent="0.45">
      <c r="A160" t="s">
        <v>4090</v>
      </c>
      <c r="B160">
        <f>COUNTIF(PriceList!$M$4:$M$2641,A160)</f>
        <v>2</v>
      </c>
      <c r="C160" t="str">
        <f>IF(B160=1,"1:1","1:Many")</f>
        <v>1:Many</v>
      </c>
      <c r="D160" s="42" t="str" cm="1">
        <f t="array" ref="D160">_xlfn.TEXTJOIN(" | ",TRUE,_xlfn._xlws.FILTER(PriceList!$B$4:$B$2641,PriceList!$M$4:$M$2641=A160,""))</f>
        <v>OR7N 050.39-3.53 | OR9N 050.39-3.53</v>
      </c>
      <c r="E160" t="str" cm="1">
        <f t="array" ref="E160">_xlfn.TEXTJOIN(", ",TRUE,_xlfn._xlws.FILTER(ROW(PriceList!$B$4:$B$2641),PriceList!$M$4:$M$2641=A160,""))</f>
        <v>686, 1173</v>
      </c>
      <c r="F160" s="42" t="str" cm="1">
        <f t="array" ref="F160">_xlfn.TEXTJOIN(" | ",TRUE,_xlfn.UNIQUE(_xlfn._xlws.FILTER(PriceList!$Q$4:$Q$2641&amp;" x "&amp;PriceList!$R$4:$R$2641&amp;" x "&amp;PriceList!$S$4:$S$2641,PriceList!$M$4:$M$2641=A160,"")))</f>
        <v>50.292 x 57.404 x 3.556</v>
      </c>
      <c r="G160" t="str" cm="1">
        <f t="array" ref="G160">INDEX(_xlfn._xlws.FILTER(PriceList!$P$4:$P$2641,PriceList!$M$4:$M$2641=A160,""),1)</f>
        <v>O Ring - EPDM</v>
      </c>
    </row>
    <row r="161" spans="1:7" x14ac:dyDescent="0.45">
      <c r="A161" t="s">
        <v>4879</v>
      </c>
      <c r="B161">
        <f>COUNTIF(PriceList!$M$4:$M$2641,A161)</f>
        <v>1</v>
      </c>
      <c r="C161" t="str">
        <f>IF(B161=1,"1:1","1:Many")</f>
        <v>1:1</v>
      </c>
      <c r="D161" s="42" t="str" cm="1">
        <f t="array" ref="D161">_xlfn.TEXTJOIN(" | ",TRUE,_xlfn._xlws.FILTER(PriceList!$B$4:$B$2641,PriceList!$M$4:$M$2641=A161,""))</f>
        <v>ORV8 050.39-3.53</v>
      </c>
      <c r="E161" t="str" cm="1">
        <f t="array" ref="E161">_xlfn.TEXTJOIN(", ",TRUE,_xlfn._xlws.FILTER(ROW(PriceList!$B$4:$B$2641),PriceList!$M$4:$M$2641=A161,""))</f>
        <v>1832</v>
      </c>
      <c r="F161" s="42" t="str" cm="1">
        <f t="array" ref="F161">_xlfn.TEXTJOIN(" | ",TRUE,_xlfn.UNIQUE(_xlfn._xlws.FILTER(PriceList!$Q$4:$Q$2641&amp;" x "&amp;PriceList!$R$4:$R$2641&amp;" x "&amp;PriceList!$S$4:$S$2641,PriceList!$M$4:$M$2641=A161,"")))</f>
        <v>50.292 x 57.404 x 3.556</v>
      </c>
      <c r="G161" t="str" cm="1">
        <f t="array" ref="G161">INDEX(_xlfn._xlws.FILTER(PriceList!$P$4:$P$2641,PriceList!$M$4:$M$2641=A161,""),1)</f>
        <v>O Ring - FPM/FKM/VitonÂ®</v>
      </c>
    </row>
    <row r="162" spans="1:7" x14ac:dyDescent="0.45">
      <c r="A162" t="s">
        <v>4095</v>
      </c>
      <c r="B162">
        <f>COUNTIF(PriceList!$M$4:$M$2641,A162)</f>
        <v>2</v>
      </c>
      <c r="C162" t="str">
        <f>IF(B162=1,"1:1","1:Many")</f>
        <v>1:Many</v>
      </c>
      <c r="D162" s="42" t="str" cm="1">
        <f t="array" ref="D162">_xlfn.TEXTJOIN(" | ",TRUE,_xlfn._xlws.FILTER(PriceList!$B$4:$B$2641,PriceList!$M$4:$M$2641=A162,""))</f>
        <v>OR7N 053.57-3.53 | OR9N 053.57-3.53</v>
      </c>
      <c r="E162" t="str" cm="1">
        <f t="array" ref="E162">_xlfn.TEXTJOIN(", ",TRUE,_xlfn._xlws.FILTER(ROW(PriceList!$B$4:$B$2641),PriceList!$M$4:$M$2641=A162,""))</f>
        <v>691, 1186</v>
      </c>
      <c r="F162" s="42" t="str" cm="1">
        <f t="array" ref="F162">_xlfn.TEXTJOIN(" | ",TRUE,_xlfn.UNIQUE(_xlfn._xlws.FILTER(PriceList!$Q$4:$Q$2641&amp;" x "&amp;PriceList!$R$4:$R$2641&amp;" x "&amp;PriceList!$S$4:$S$2641,PriceList!$M$4:$M$2641=A162,"")))</f>
        <v>53.594 x 60.706 x 3.556</v>
      </c>
      <c r="G162" t="str" cm="1">
        <f t="array" ref="G162">INDEX(_xlfn._xlws.FILTER(PriceList!$P$4:$P$2641,PriceList!$M$4:$M$2641=A162,""),1)</f>
        <v>O Ring - EPDM</v>
      </c>
    </row>
    <row r="163" spans="1:7" x14ac:dyDescent="0.45">
      <c r="A163" t="s">
        <v>4888</v>
      </c>
      <c r="B163">
        <f>COUNTIF(PriceList!$M$4:$M$2641,A163)</f>
        <v>1</v>
      </c>
      <c r="C163" t="str">
        <f>IF(B163=1,"1:1","1:Many")</f>
        <v>1:1</v>
      </c>
      <c r="D163" s="42" t="str" cm="1">
        <f t="array" ref="D163">_xlfn.TEXTJOIN(" | ",TRUE,_xlfn._xlws.FILTER(PriceList!$B$4:$B$2641,PriceList!$M$4:$M$2641=A163,""))</f>
        <v>ORV8 053.37-3.53</v>
      </c>
      <c r="E163" t="str" cm="1">
        <f t="array" ref="E163">_xlfn.TEXTJOIN(", ",TRUE,_xlfn._xlws.FILTER(ROW(PriceList!$B$4:$B$2641),PriceList!$M$4:$M$2641=A163,""))</f>
        <v>1842</v>
      </c>
      <c r="F163" s="42" t="str" cm="1">
        <f t="array" ref="F163">_xlfn.TEXTJOIN(" | ",TRUE,_xlfn.UNIQUE(_xlfn._xlws.FILTER(PriceList!$Q$4:$Q$2641&amp;" x "&amp;PriceList!$R$4:$R$2641&amp;" x "&amp;PriceList!$S$4:$S$2641,PriceList!$M$4:$M$2641=A163,"")))</f>
        <v>53.594 x 60.706 x 3.556</v>
      </c>
      <c r="G163" t="str" cm="1">
        <f t="array" ref="G163">INDEX(_xlfn._xlws.FILTER(PriceList!$P$4:$P$2641,PriceList!$M$4:$M$2641=A163,""),1)</f>
        <v>O Ring - FPM/FKM/VitonÂ®</v>
      </c>
    </row>
    <row r="164" spans="1:7" x14ac:dyDescent="0.45">
      <c r="A164" t="s">
        <v>4103</v>
      </c>
      <c r="B164">
        <f>COUNTIF(PriceList!$M$4:$M$2641,A164)</f>
        <v>2</v>
      </c>
      <c r="C164" t="str">
        <f>IF(B164=1,"1:1","1:Many")</f>
        <v>1:Many</v>
      </c>
      <c r="D164" s="42" t="str" cm="1">
        <f t="array" ref="D164">_xlfn.TEXTJOIN(" | ",TRUE,_xlfn._xlws.FILTER(PriceList!$B$4:$B$2641,PriceList!$M$4:$M$2641=A164,""))</f>
        <v>OR7N 056.74-3.53 | OR9N 056.74-3.53</v>
      </c>
      <c r="E164" t="str" cm="1">
        <f t="array" ref="E164">_xlfn.TEXTJOIN(", ",TRUE,_xlfn._xlws.FILTER(ROW(PriceList!$B$4:$B$2641),PriceList!$M$4:$M$2641=A164,""))</f>
        <v>698, 1197</v>
      </c>
      <c r="F164" s="42" t="str" cm="1">
        <f t="array" ref="F164">_xlfn.TEXTJOIN(" | ",TRUE,_xlfn.UNIQUE(_xlfn._xlws.FILTER(PriceList!$Q$4:$Q$2641&amp;" x "&amp;PriceList!$R$4:$R$2641&amp;" x "&amp;PriceList!$S$4:$S$2641,PriceList!$M$4:$M$2641=A164,"")))</f>
        <v>56.642 x 63.754 x 3.556</v>
      </c>
      <c r="G164" t="str" cm="1">
        <f t="array" ref="G164">INDEX(_xlfn._xlws.FILTER(PriceList!$P$4:$P$2641,PriceList!$M$4:$M$2641=A164,""),1)</f>
        <v>O Ring - EPDM</v>
      </c>
    </row>
    <row r="165" spans="1:7" x14ac:dyDescent="0.45">
      <c r="A165" t="s">
        <v>4901</v>
      </c>
      <c r="B165">
        <f>COUNTIF(PriceList!$M$4:$M$2641,A165)</f>
        <v>1</v>
      </c>
      <c r="C165" t="str">
        <f>IF(B165=1,"1:1","1:Many")</f>
        <v>1:1</v>
      </c>
      <c r="D165" s="42" t="str" cm="1">
        <f t="array" ref="D165">_xlfn.TEXTJOIN(" | ",TRUE,_xlfn._xlws.FILTER(PriceList!$B$4:$B$2641,PriceList!$M$4:$M$2641=A165,""))</f>
        <v>ORV8 056.74-3.53</v>
      </c>
      <c r="E165" t="str" cm="1">
        <f t="array" ref="E165">_xlfn.TEXTJOIN(", ",TRUE,_xlfn._xlws.FILTER(ROW(PriceList!$B$4:$B$2641),PriceList!$M$4:$M$2641=A165,""))</f>
        <v>1854</v>
      </c>
      <c r="F165" s="42" t="str" cm="1">
        <f t="array" ref="F165">_xlfn.TEXTJOIN(" | ",TRUE,_xlfn.UNIQUE(_xlfn._xlws.FILTER(PriceList!$Q$4:$Q$2641&amp;" x "&amp;PriceList!$R$4:$R$2641&amp;" x "&amp;PriceList!$S$4:$S$2641,PriceList!$M$4:$M$2641=A165,"")))</f>
        <v>56.642 x 63.754 x 3.556</v>
      </c>
      <c r="G165" t="str" cm="1">
        <f t="array" ref="G165">INDEX(_xlfn._xlws.FILTER(PriceList!$P$4:$P$2641,PriceList!$M$4:$M$2641=A165,""),1)</f>
        <v>O Ring - FPM/FKM/VitonÂ®</v>
      </c>
    </row>
    <row r="166" spans="1:7" x14ac:dyDescent="0.45">
      <c r="A166" t="s">
        <v>4929</v>
      </c>
      <c r="B166">
        <f>COUNTIF(PriceList!$M$4:$M$2641,A166)</f>
        <v>1</v>
      </c>
      <c r="C166" t="str">
        <f>IF(B166=1,"1:1","1:Many")</f>
        <v>1:1</v>
      </c>
      <c r="D166" s="42" t="str" cm="1">
        <f t="array" ref="D166">_xlfn.TEXTJOIN(" | ",TRUE,_xlfn._xlws.FILTER(PriceList!$B$4:$B$2641,PriceList!$M$4:$M$2641=A166,""))</f>
        <v>ORV8 063.09-3.53</v>
      </c>
      <c r="E166" t="str" cm="1">
        <f t="array" ref="E166">_xlfn.TEXTJOIN(", ",TRUE,_xlfn._xlws.FILTER(ROW(PriceList!$B$4:$B$2641),PriceList!$M$4:$M$2641=A166,""))</f>
        <v>1880</v>
      </c>
      <c r="F166" s="42" t="str" cm="1">
        <f t="array" ref="F166">_xlfn.TEXTJOIN(" | ",TRUE,_xlfn.UNIQUE(_xlfn._xlws.FILTER(PriceList!$Q$4:$Q$2641&amp;" x "&amp;PriceList!$R$4:$R$2641&amp;" x "&amp;PriceList!$S$4:$S$2641,PriceList!$M$4:$M$2641=A166,"")))</f>
        <v>62.992 x 70.104 x 3.556</v>
      </c>
      <c r="G166" t="str" cm="1">
        <f t="array" ref="G166">INDEX(_xlfn._xlws.FILTER(PriceList!$P$4:$P$2641,PriceList!$M$4:$M$2641=A166,""),1)</f>
        <v>O Ring - FPM/FKM/VitonÂ®</v>
      </c>
    </row>
    <row r="167" spans="1:7" x14ac:dyDescent="0.45">
      <c r="A167" t="s">
        <v>4124</v>
      </c>
      <c r="B167">
        <f>COUNTIF(PriceList!$M$4:$M$2641,A167)</f>
        <v>2</v>
      </c>
      <c r="C167" t="str">
        <f>IF(B167=1,"1:1","1:Many")</f>
        <v>1:Many</v>
      </c>
      <c r="D167" s="42" t="str" cm="1">
        <f t="array" ref="D167">_xlfn.TEXTJOIN(" | ",TRUE,_xlfn._xlws.FILTER(PriceList!$B$4:$B$2641,PriceList!$M$4:$M$2641=A167,""))</f>
        <v>OR7N 066.27-3.53 | OR9N 066.27-3.53</v>
      </c>
      <c r="E167" t="str" cm="1">
        <f t="array" ref="E167">_xlfn.TEXTJOIN(", ",TRUE,_xlfn._xlws.FILTER(ROW(PriceList!$B$4:$B$2641),PriceList!$M$4:$M$2641=A167,""))</f>
        <v>717, 1232</v>
      </c>
      <c r="F167" s="42" t="str" cm="1">
        <f t="array" ref="F167">_xlfn.TEXTJOIN(" | ",TRUE,_xlfn.UNIQUE(_xlfn._xlws.FILTER(PriceList!$Q$4:$Q$2641&amp;" x "&amp;PriceList!$R$4:$R$2641&amp;" x "&amp;PriceList!$S$4:$S$2641,PriceList!$M$4:$M$2641=A167,"")))</f>
        <v>66.294 x 73.406 x 3.556</v>
      </c>
      <c r="G167" t="str" cm="1">
        <f t="array" ref="G167">INDEX(_xlfn._xlws.FILTER(PriceList!$P$4:$P$2641,PriceList!$M$4:$M$2641=A167,""),1)</f>
        <v>O Ring - NBR 70</v>
      </c>
    </row>
    <row r="168" spans="1:7" x14ac:dyDescent="0.45">
      <c r="A168" t="s">
        <v>4938</v>
      </c>
      <c r="B168">
        <f>COUNTIF(PriceList!$M$4:$M$2641,A168)</f>
        <v>1</v>
      </c>
      <c r="C168" t="str">
        <f>IF(B168=1,"1:1","1:Many")</f>
        <v>1:1</v>
      </c>
      <c r="D168" s="42" t="str" cm="1">
        <f t="array" ref="D168">_xlfn.TEXTJOIN(" | ",TRUE,_xlfn._xlws.FILTER(PriceList!$B$4:$B$2641,PriceList!$M$4:$M$2641=A168,""))</f>
        <v>ORV8 066.27-3.53</v>
      </c>
      <c r="E168" t="str" cm="1">
        <f t="array" ref="E168">_xlfn.TEXTJOIN(", ",TRUE,_xlfn._xlws.FILTER(ROW(PriceList!$B$4:$B$2641),PriceList!$M$4:$M$2641=A168,""))</f>
        <v>1890</v>
      </c>
      <c r="F168" s="42" t="str" cm="1">
        <f t="array" ref="F168">_xlfn.TEXTJOIN(" | ",TRUE,_xlfn.UNIQUE(_xlfn._xlws.FILTER(PriceList!$Q$4:$Q$2641&amp;" x "&amp;PriceList!$R$4:$R$2641&amp;" x "&amp;PriceList!$S$4:$S$2641,PriceList!$M$4:$M$2641=A168,"")))</f>
        <v>66.294 x 73.406 x 3.556</v>
      </c>
      <c r="G168" t="str" cm="1">
        <f t="array" ref="G168">INDEX(_xlfn._xlws.FILTER(PriceList!$P$4:$P$2641,PriceList!$M$4:$M$2641=A168,""),1)</f>
        <v>O Ring - FPM/FKM/VitonÂ®</v>
      </c>
    </row>
    <row r="169" spans="1:7" x14ac:dyDescent="0.45">
      <c r="A169" t="s">
        <v>4129</v>
      </c>
      <c r="B169">
        <f>COUNTIF(PriceList!$M$4:$M$2641,A169)</f>
        <v>2</v>
      </c>
      <c r="C169" t="str">
        <f>IF(B169=1,"1:1","1:Many")</f>
        <v>1:Many</v>
      </c>
      <c r="D169" s="42" t="str" cm="1">
        <f t="array" ref="D169">_xlfn.TEXTJOIN(" | ",TRUE,_xlfn._xlws.FILTER(PriceList!$B$4:$B$2641,PriceList!$M$4:$M$2641=A169,""))</f>
        <v>OR7N 069.44-3.53 | OR9N 069.44-3.53</v>
      </c>
      <c r="E169" t="str" cm="1">
        <f t="array" ref="E169">_xlfn.TEXTJOIN(", ",TRUE,_xlfn._xlws.FILTER(ROW(PriceList!$B$4:$B$2641),PriceList!$M$4:$M$2641=A169,""))</f>
        <v>721, 1241</v>
      </c>
      <c r="F169" s="42" t="str" cm="1">
        <f t="array" ref="F169">_xlfn.TEXTJOIN(" | ",TRUE,_xlfn.UNIQUE(_xlfn._xlws.FILTER(PriceList!$Q$4:$Q$2641&amp;" x "&amp;PriceList!$R$4:$R$2641&amp;" x "&amp;PriceList!$S$4:$S$2641,PriceList!$M$4:$M$2641=A169,"")))</f>
        <v>69.342 x 76.454 x 3.556</v>
      </c>
      <c r="G169" t="str" cm="1">
        <f t="array" ref="G169">INDEX(_xlfn._xlws.FILTER(PriceList!$P$4:$P$2641,PriceList!$M$4:$M$2641=A169,""),1)</f>
        <v>O Ring - HNBR</v>
      </c>
    </row>
    <row r="170" spans="1:7" x14ac:dyDescent="0.45">
      <c r="A170" t="s">
        <v>4948</v>
      </c>
      <c r="B170">
        <f>COUNTIF(PriceList!$M$4:$M$2641,A170)</f>
        <v>1</v>
      </c>
      <c r="C170" t="str">
        <f>IF(B170=1,"1:1","1:Many")</f>
        <v>1:1</v>
      </c>
      <c r="D170" s="42" t="str" cm="1">
        <f t="array" ref="D170">_xlfn.TEXTJOIN(" | ",TRUE,_xlfn._xlws.FILTER(PriceList!$B$4:$B$2641,PriceList!$M$4:$M$2641=A170,""))</f>
        <v>ORV8 069.44-3.53</v>
      </c>
      <c r="E170" t="str" cm="1">
        <f t="array" ref="E170">_xlfn.TEXTJOIN(", ",TRUE,_xlfn._xlws.FILTER(ROW(PriceList!$B$4:$B$2641),PriceList!$M$4:$M$2641=A170,""))</f>
        <v>1899</v>
      </c>
      <c r="F170" s="42" t="str" cm="1">
        <f t="array" ref="F170">_xlfn.TEXTJOIN(" | ",TRUE,_xlfn.UNIQUE(_xlfn._xlws.FILTER(PriceList!$Q$4:$Q$2641&amp;" x "&amp;PriceList!$R$4:$R$2641&amp;" x "&amp;PriceList!$S$4:$S$2641,PriceList!$M$4:$M$2641=A170,"")))</f>
        <v>69.342 x 76.454 x 3.556</v>
      </c>
      <c r="G170" t="str" cm="1">
        <f t="array" ref="G170">INDEX(_xlfn._xlws.FILTER(PriceList!$P$4:$P$2641,PriceList!$M$4:$M$2641=A170,""),1)</f>
        <v>O Ring - FPM/FKM/VitonÂ®</v>
      </c>
    </row>
    <row r="171" spans="1:7" x14ac:dyDescent="0.45">
      <c r="A171" t="s">
        <v>4137</v>
      </c>
      <c r="B171">
        <f>COUNTIF(PriceList!$M$4:$M$2641,A171)</f>
        <v>2</v>
      </c>
      <c r="C171" t="str">
        <f>IF(B171=1,"1:1","1:Many")</f>
        <v>1:Many</v>
      </c>
      <c r="D171" s="42" t="str" cm="1">
        <f t="array" ref="D171">_xlfn.TEXTJOIN(" | ",TRUE,_xlfn._xlws.FILTER(PriceList!$B$4:$B$2641,PriceList!$M$4:$M$2641=A171,""))</f>
        <v>OR7N 072.62-3.53 | OR9N 072.62-3.53</v>
      </c>
      <c r="E171" t="str" cm="1">
        <f t="array" ref="E171">_xlfn.TEXTJOIN(", ",TRUE,_xlfn._xlws.FILTER(ROW(PriceList!$B$4:$B$2641),PriceList!$M$4:$M$2641=A171,""))</f>
        <v>728, 1251</v>
      </c>
      <c r="F171" s="42" t="str" cm="1">
        <f t="array" ref="F171">_xlfn.TEXTJOIN(" | ",TRUE,_xlfn.UNIQUE(_xlfn._xlws.FILTER(PriceList!$Q$4:$Q$2641&amp;" x "&amp;PriceList!$R$4:$R$2641&amp;" x "&amp;PriceList!$S$4:$S$2641,PriceList!$M$4:$M$2641=A171,"")))</f>
        <v>72.644 x 79.756 x 3.556</v>
      </c>
      <c r="G171" t="str" cm="1">
        <f t="array" ref="G171">INDEX(_xlfn._xlws.FILTER(PriceList!$P$4:$P$2641,PriceList!$M$4:$M$2641=A171,""),1)</f>
        <v>O Ring - EPDM</v>
      </c>
    </row>
    <row r="172" spans="1:7" x14ac:dyDescent="0.45">
      <c r="A172" t="s">
        <v>4955</v>
      </c>
      <c r="B172">
        <f>COUNTIF(PriceList!$M$4:$M$2641,A172)</f>
        <v>1</v>
      </c>
      <c r="C172" t="str">
        <f>IF(B172=1,"1:1","1:Many")</f>
        <v>1:1</v>
      </c>
      <c r="D172" s="42" t="str" cm="1">
        <f t="array" ref="D172">_xlfn.TEXTJOIN(" | ",TRUE,_xlfn._xlws.FILTER(PriceList!$B$4:$B$2641,PriceList!$M$4:$M$2641=A172,""))</f>
        <v>ORV8 072.62-3.53</v>
      </c>
      <c r="E172" t="str" cm="1">
        <f t="array" ref="E172">_xlfn.TEXTJOIN(", ",TRUE,_xlfn._xlws.FILTER(ROW(PriceList!$B$4:$B$2641),PriceList!$M$4:$M$2641=A172,""))</f>
        <v>1907</v>
      </c>
      <c r="F172" s="42" t="str" cm="1">
        <f t="array" ref="F172">_xlfn.TEXTJOIN(" | ",TRUE,_xlfn.UNIQUE(_xlfn._xlws.FILTER(PriceList!$Q$4:$Q$2641&amp;" x "&amp;PriceList!$R$4:$R$2641&amp;" x "&amp;PriceList!$S$4:$S$2641,PriceList!$M$4:$M$2641=A172,"")))</f>
        <v>72.644 x 79.756 x 3.556</v>
      </c>
      <c r="G172" t="str" cm="1">
        <f t="array" ref="G172">INDEX(_xlfn._xlws.FILTER(PriceList!$P$4:$P$2641,PriceList!$M$4:$M$2641=A172,""),1)</f>
        <v>O Ring - FPM/FKM/VitonÂ®</v>
      </c>
    </row>
    <row r="173" spans="1:7" x14ac:dyDescent="0.45">
      <c r="A173" t="s">
        <v>4965</v>
      </c>
      <c r="B173">
        <f>COUNTIF(PriceList!$M$4:$M$2641,A173)</f>
        <v>1</v>
      </c>
      <c r="C173" t="str">
        <f>IF(B173=1,"1:1","1:Many")</f>
        <v>1:1</v>
      </c>
      <c r="D173" s="42" t="str" cm="1">
        <f t="array" ref="D173">_xlfn.TEXTJOIN(" | ",TRUE,_xlfn._xlws.FILTER(PriceList!$B$4:$B$2641,PriceList!$M$4:$M$2641=A173,""))</f>
        <v>ORV8 075.79-3.53</v>
      </c>
      <c r="E173" t="str" cm="1">
        <f t="array" ref="E173">_xlfn.TEXTJOIN(", ",TRUE,_xlfn._xlws.FILTER(ROW(PriceList!$B$4:$B$2641),PriceList!$M$4:$M$2641=A173,""))</f>
        <v>1916</v>
      </c>
      <c r="F173" s="42" t="str" cm="1">
        <f t="array" ref="F173">_xlfn.TEXTJOIN(" | ",TRUE,_xlfn.UNIQUE(_xlfn._xlws.FILTER(PriceList!$Q$4:$Q$2641&amp;" x "&amp;PriceList!$R$4:$R$2641&amp;" x "&amp;PriceList!$S$4:$S$2641,PriceList!$M$4:$M$2641=A173,"")))</f>
        <v>75.692 x 82.804 x 3.556</v>
      </c>
      <c r="G173" t="str" cm="1">
        <f t="array" ref="G173">INDEX(_xlfn._xlws.FILTER(PriceList!$P$4:$P$2641,PriceList!$M$4:$M$2641=A173,""),1)</f>
        <v>O Ring - FPM/FKM/VitonÂ®</v>
      </c>
    </row>
    <row r="174" spans="1:7" x14ac:dyDescent="0.45">
      <c r="A174" t="s">
        <v>4972</v>
      </c>
      <c r="B174">
        <f>COUNTIF(PriceList!$M$4:$M$2641,A174)</f>
        <v>1</v>
      </c>
      <c r="C174" t="str">
        <f>IF(B174=1,"1:1","1:Many")</f>
        <v>1:1</v>
      </c>
      <c r="D174" s="42" t="str" cm="1">
        <f t="array" ref="D174">_xlfn.TEXTJOIN(" | ",TRUE,_xlfn._xlws.FILTER(PriceList!$B$4:$B$2641,PriceList!$M$4:$M$2641=A174,""))</f>
        <v>ORV8 078.97-3.53</v>
      </c>
      <c r="E174" t="str" cm="1">
        <f t="array" ref="E174">_xlfn.TEXTJOIN(", ",TRUE,_xlfn._xlws.FILTER(ROW(PriceList!$B$4:$B$2641),PriceList!$M$4:$M$2641=A174,""))</f>
        <v>1924</v>
      </c>
      <c r="F174" s="42" t="str" cm="1">
        <f t="array" ref="F174">_xlfn.TEXTJOIN(" | ",TRUE,_xlfn.UNIQUE(_xlfn._xlws.FILTER(PriceList!$Q$4:$Q$2641&amp;" x "&amp;PriceList!$R$4:$R$2641&amp;" x "&amp;PriceList!$S$4:$S$2641,PriceList!$M$4:$M$2641=A174,"")))</f>
        <v>78.994 x 86.106 x 3.556</v>
      </c>
      <c r="G174" t="str" cm="1">
        <f t="array" ref="G174">INDEX(_xlfn._xlws.FILTER(PriceList!$P$4:$P$2641,PriceList!$M$4:$M$2641=A174,""),1)</f>
        <v>O Ring - FPM/FKM/VitonÂ®</v>
      </c>
    </row>
    <row r="175" spans="1:7" x14ac:dyDescent="0.45">
      <c r="A175" t="s">
        <v>4980</v>
      </c>
      <c r="B175">
        <f>COUNTIF(PriceList!$M$4:$M$2641,A175)</f>
        <v>1</v>
      </c>
      <c r="C175" t="str">
        <f>IF(B175=1,"1:1","1:Many")</f>
        <v>1:1</v>
      </c>
      <c r="D175" s="42" t="str" cm="1">
        <f t="array" ref="D175">_xlfn.TEXTJOIN(" | ",TRUE,_xlfn._xlws.FILTER(PriceList!$B$4:$B$2641,PriceList!$M$4:$M$2641=A175,""))</f>
        <v>ORV8 082.15-3.53</v>
      </c>
      <c r="E175" t="str" cm="1">
        <f t="array" ref="E175">_xlfn.TEXTJOIN(", ",TRUE,_xlfn._xlws.FILTER(ROW(PriceList!$B$4:$B$2641),PriceList!$M$4:$M$2641=A175,""))</f>
        <v>1931</v>
      </c>
      <c r="F175" s="42" t="str" cm="1">
        <f t="array" ref="F175">_xlfn.TEXTJOIN(" | ",TRUE,_xlfn.UNIQUE(_xlfn._xlws.FILTER(PriceList!$Q$4:$Q$2641&amp;" x "&amp;PriceList!$R$4:$R$2641&amp;" x "&amp;PriceList!$S$4:$S$2641,PriceList!$M$4:$M$2641=A175,"")))</f>
        <v>82.042 x 89.154 x 3.556</v>
      </c>
      <c r="G175" t="str" cm="1">
        <f t="array" ref="G175">INDEX(_xlfn._xlws.FILTER(PriceList!$P$4:$P$2641,PriceList!$M$4:$M$2641=A175,""),1)</f>
        <v>O Ring - FPM/FKM/VitonÂ®</v>
      </c>
    </row>
    <row r="176" spans="1:7" x14ac:dyDescent="0.45">
      <c r="A176" t="s">
        <v>4158</v>
      </c>
      <c r="B176">
        <f>COUNTIF(PriceList!$M$4:$M$2641,A176)</f>
        <v>2</v>
      </c>
      <c r="C176" t="str">
        <f>IF(B176=1,"1:1","1:Many")</f>
        <v>1:Many</v>
      </c>
      <c r="D176" s="42" t="str" cm="1">
        <f t="array" ref="D176">_xlfn.TEXTJOIN(" | ",TRUE,_xlfn._xlws.FILTER(PriceList!$B$4:$B$2641,PriceList!$M$4:$M$2641=A176,""))</f>
        <v>OR7N 085.32-3.53 | OR9N 085.32-3.53</v>
      </c>
      <c r="E176" t="str" cm="1">
        <f t="array" ref="E176">_xlfn.TEXTJOIN(", ",TRUE,_xlfn._xlws.FILTER(ROW(PriceList!$B$4:$B$2641),PriceList!$M$4:$M$2641=A176,""))</f>
        <v>747, 1285</v>
      </c>
      <c r="F176" s="42" t="str" cm="1">
        <f t="array" ref="F176">_xlfn.TEXTJOIN(" | ",TRUE,_xlfn.UNIQUE(_xlfn._xlws.FILTER(PriceList!$Q$4:$Q$2641&amp;" x "&amp;PriceList!$R$4:$R$2641&amp;" x "&amp;PriceList!$S$4:$S$2641,PriceList!$M$4:$M$2641=A176,"")))</f>
        <v>85.344 x 92.456 x 3.556</v>
      </c>
      <c r="G176" t="str" cm="1">
        <f t="array" ref="G176">INDEX(_xlfn._xlws.FILTER(PriceList!$P$4:$P$2641,PriceList!$M$4:$M$2641=A176,""),1)</f>
        <v>O Ring - EPDM</v>
      </c>
    </row>
    <row r="177" spans="1:7" x14ac:dyDescent="0.45">
      <c r="A177" t="s">
        <v>4987</v>
      </c>
      <c r="B177">
        <f>COUNTIF(PriceList!$M$4:$M$2641,A177)</f>
        <v>1</v>
      </c>
      <c r="C177" t="str">
        <f>IF(B177=1,"1:1","1:Many")</f>
        <v>1:1</v>
      </c>
      <c r="D177" s="42" t="str" cm="1">
        <f t="array" ref="D177">_xlfn.TEXTJOIN(" | ",TRUE,_xlfn._xlws.FILTER(PriceList!$B$4:$B$2641,PriceList!$M$4:$M$2641=A177,""))</f>
        <v>ORV8 085.32-3.53</v>
      </c>
      <c r="E177" t="str" cm="1">
        <f t="array" ref="E177">_xlfn.TEXTJOIN(", ",TRUE,_xlfn._xlws.FILTER(ROW(PriceList!$B$4:$B$2641),PriceList!$M$4:$M$2641=A177,""))</f>
        <v>1937</v>
      </c>
      <c r="F177" s="42" t="str" cm="1">
        <f t="array" ref="F177">_xlfn.TEXTJOIN(" | ",TRUE,_xlfn.UNIQUE(_xlfn._xlws.FILTER(PriceList!$Q$4:$Q$2641&amp;" x "&amp;PriceList!$R$4:$R$2641&amp;" x "&amp;PriceList!$S$4:$S$2641,PriceList!$M$4:$M$2641=A177,"")))</f>
        <v>85.344 x 92.456 x 3.556</v>
      </c>
      <c r="G177" t="str" cm="1">
        <f t="array" ref="G177">INDEX(_xlfn._xlws.FILTER(PriceList!$P$4:$P$2641,PriceList!$M$4:$M$2641=A177,""),1)</f>
        <v>O Ring - FPM/FKM/VitonÂ®</v>
      </c>
    </row>
    <row r="178" spans="1:7" x14ac:dyDescent="0.45">
      <c r="A178" t="s">
        <v>4160</v>
      </c>
      <c r="B178">
        <f>COUNTIF(PriceList!$M$4:$M$2641,A178)</f>
        <v>2</v>
      </c>
      <c r="C178" t="str">
        <f>IF(B178=1,"1:1","1:Many")</f>
        <v>1:Many</v>
      </c>
      <c r="D178" s="42" t="str" cm="1">
        <f t="array" ref="D178">_xlfn.TEXTJOIN(" | ",TRUE,_xlfn._xlws.FILTER(PriceList!$B$4:$B$2641,PriceList!$M$4:$M$2641=A178,""))</f>
        <v>OR7N 088.49-3.53 | OR9N 088.49-3.53</v>
      </c>
      <c r="E178" t="str" cm="1">
        <f t="array" ref="E178">_xlfn.TEXTJOIN(", ",TRUE,_xlfn._xlws.FILTER(ROW(PriceList!$B$4:$B$2641),PriceList!$M$4:$M$2641=A178,""))</f>
        <v>749, 1291</v>
      </c>
      <c r="F178" s="42" t="str" cm="1">
        <f t="array" ref="F178">_xlfn.TEXTJOIN(" | ",TRUE,_xlfn.UNIQUE(_xlfn._xlws.FILTER(PriceList!$Q$4:$Q$2641&amp;" x "&amp;PriceList!$R$4:$R$2641&amp;" x "&amp;PriceList!$S$4:$S$2641,PriceList!$M$4:$M$2641=A178,"")))</f>
        <v>88.392 x 95.504 x 3.556</v>
      </c>
      <c r="G178" t="str" cm="1">
        <f t="array" ref="G178">INDEX(_xlfn._xlws.FILTER(PriceList!$P$4:$P$2641,PriceList!$M$4:$M$2641=A178,""),1)</f>
        <v>O Ring - EPDM</v>
      </c>
    </row>
    <row r="179" spans="1:7" x14ac:dyDescent="0.45">
      <c r="A179" t="s">
        <v>4992</v>
      </c>
      <c r="B179">
        <f>COUNTIF(PriceList!$M$4:$M$2641,A179)</f>
        <v>1</v>
      </c>
      <c r="C179" t="str">
        <f>IF(B179=1,"1:1","1:Many")</f>
        <v>1:1</v>
      </c>
      <c r="D179" s="42" t="str" cm="1">
        <f t="array" ref="D179">_xlfn.TEXTJOIN(" | ",TRUE,_xlfn._xlws.FILTER(PriceList!$B$4:$B$2641,PriceList!$M$4:$M$2641=A179,""))</f>
        <v>ORV8 088.49-3.53</v>
      </c>
      <c r="E179" t="str" cm="1">
        <f t="array" ref="E179">_xlfn.TEXTJOIN(", ",TRUE,_xlfn._xlws.FILTER(ROW(PriceList!$B$4:$B$2641),PriceList!$M$4:$M$2641=A179,""))</f>
        <v>1941</v>
      </c>
      <c r="F179" s="42" t="str" cm="1">
        <f t="array" ref="F179">_xlfn.TEXTJOIN(" | ",TRUE,_xlfn.UNIQUE(_xlfn._xlws.FILTER(PriceList!$Q$4:$Q$2641&amp;" x "&amp;PriceList!$R$4:$R$2641&amp;" x "&amp;PriceList!$S$4:$S$2641,PriceList!$M$4:$M$2641=A179,"")))</f>
        <v>88.392 x 95.504 x 3.556</v>
      </c>
      <c r="G179" t="str" cm="1">
        <f t="array" ref="G179">INDEX(_xlfn._xlws.FILTER(PriceList!$P$4:$P$2641,PriceList!$M$4:$M$2641=A179,""),1)</f>
        <v>O Ring - FPM/FKM/VitonÂ®</v>
      </c>
    </row>
    <row r="180" spans="1:7" x14ac:dyDescent="0.45">
      <c r="A180" t="s">
        <v>4164</v>
      </c>
      <c r="B180">
        <f>COUNTIF(PriceList!$M$4:$M$2641,A180)</f>
        <v>2</v>
      </c>
      <c r="C180" t="str">
        <f>IF(B180=1,"1:1","1:Many")</f>
        <v>1:Many</v>
      </c>
      <c r="D180" s="42" t="str" cm="1">
        <f t="array" ref="D180">_xlfn.TEXTJOIN(" | ",TRUE,_xlfn._xlws.FILTER(PriceList!$B$4:$B$2641,PriceList!$M$4:$M$2641=A180,""))</f>
        <v>OR7N 091.67-3.53 | OR9N 091.67-3.53</v>
      </c>
      <c r="E180" t="str" cm="1">
        <f t="array" ref="E180">_xlfn.TEXTJOIN(", ",TRUE,_xlfn._xlws.FILTER(ROW(PriceList!$B$4:$B$2641),PriceList!$M$4:$M$2641=A180,""))</f>
        <v>753, 1300</v>
      </c>
      <c r="F180" s="42" t="str" cm="1">
        <f t="array" ref="F180">_xlfn.TEXTJOIN(" | ",TRUE,_xlfn.UNIQUE(_xlfn._xlws.FILTER(PriceList!$Q$4:$Q$2641&amp;" x "&amp;PriceList!$R$4:$R$2641&amp;" x "&amp;PriceList!$S$4:$S$2641,PriceList!$M$4:$M$2641=A180,"")))</f>
        <v>91.694 x 98.806 x 3.556</v>
      </c>
      <c r="G180" t="str" cm="1">
        <f t="array" ref="G180">INDEX(_xlfn._xlws.FILTER(PriceList!$P$4:$P$2641,PriceList!$M$4:$M$2641=A180,""),1)</f>
        <v>O Ring - NBR 70</v>
      </c>
    </row>
    <row r="181" spans="1:7" x14ac:dyDescent="0.45">
      <c r="A181" t="s">
        <v>5001</v>
      </c>
      <c r="B181">
        <f>COUNTIF(PriceList!$M$4:$M$2641,A181)</f>
        <v>1</v>
      </c>
      <c r="C181" t="str">
        <f>IF(B181=1,"1:1","1:Many")</f>
        <v>1:1</v>
      </c>
      <c r="D181" s="42" t="str" cm="1">
        <f t="array" ref="D181">_xlfn.TEXTJOIN(" | ",TRUE,_xlfn._xlws.FILTER(PriceList!$B$4:$B$2641,PriceList!$M$4:$M$2641=A181,""))</f>
        <v>ORV8 091.67-3.53</v>
      </c>
      <c r="E181" t="str" cm="1">
        <f t="array" ref="E181">_xlfn.TEXTJOIN(", ",TRUE,_xlfn._xlws.FILTER(ROW(PriceList!$B$4:$B$2641),PriceList!$M$4:$M$2641=A181,""))</f>
        <v>1950</v>
      </c>
      <c r="F181" s="42" t="str" cm="1">
        <f t="array" ref="F181">_xlfn.TEXTJOIN(" | ",TRUE,_xlfn.UNIQUE(_xlfn._xlws.FILTER(PriceList!$Q$4:$Q$2641&amp;" x "&amp;PriceList!$R$4:$R$2641&amp;" x "&amp;PriceList!$S$4:$S$2641,PriceList!$M$4:$M$2641=A181,"")))</f>
        <v>91.694 x 98.806 x 3.556</v>
      </c>
      <c r="G181" t="str" cm="1">
        <f t="array" ref="G181">INDEX(_xlfn._xlws.FILTER(PriceList!$P$4:$P$2641,PriceList!$M$4:$M$2641=A181,""),1)</f>
        <v>O Ring - FPM/FKM/VitonÂ®</v>
      </c>
    </row>
    <row r="182" spans="1:7" x14ac:dyDescent="0.45">
      <c r="A182" t="s">
        <v>5006</v>
      </c>
      <c r="B182">
        <f>COUNTIF(PriceList!$M$4:$M$2641,A182)</f>
        <v>1</v>
      </c>
      <c r="C182" t="str">
        <f>IF(B182=1,"1:1","1:Many")</f>
        <v>1:1</v>
      </c>
      <c r="D182" s="42" t="str" cm="1">
        <f t="array" ref="D182">_xlfn.TEXTJOIN(" | ",TRUE,_xlfn._xlws.FILTER(PriceList!$B$4:$B$2641,PriceList!$M$4:$M$2641=A182,""))</f>
        <v>ORV8 094.84-3.53</v>
      </c>
      <c r="E182" t="str" cm="1">
        <f t="array" ref="E182">_xlfn.TEXTJOIN(", ",TRUE,_xlfn._xlws.FILTER(ROW(PriceList!$B$4:$B$2641),PriceList!$M$4:$M$2641=A182,""))</f>
        <v>1955</v>
      </c>
      <c r="F182" s="42" t="str" cm="1">
        <f t="array" ref="F182">_xlfn.TEXTJOIN(" | ",TRUE,_xlfn.UNIQUE(_xlfn._xlws.FILTER(PriceList!$Q$4:$Q$2641&amp;" x "&amp;PriceList!$R$4:$R$2641&amp;" x "&amp;PriceList!$S$4:$S$2641,PriceList!$M$4:$M$2641=A182,"")))</f>
        <v>94.742 x 101.854 x 3.556</v>
      </c>
      <c r="G182" t="str" cm="1">
        <f t="array" ref="G182">INDEX(_xlfn._xlws.FILTER(PriceList!$P$4:$P$2641,PriceList!$M$4:$M$2641=A182,""),1)</f>
        <v>O Ring - FPM/FKM/VitonÂ®</v>
      </c>
    </row>
    <row r="183" spans="1:7" x14ac:dyDescent="0.45">
      <c r="A183" t="s">
        <v>5012</v>
      </c>
      <c r="B183">
        <f>COUNTIF(PriceList!$M$4:$M$2641,A183)</f>
        <v>1</v>
      </c>
      <c r="C183" t="str">
        <f>IF(B183=1,"1:1","1:Many")</f>
        <v>1:1</v>
      </c>
      <c r="D183" s="42" t="str" cm="1">
        <f t="array" ref="D183">_xlfn.TEXTJOIN(" | ",TRUE,_xlfn._xlws.FILTER(PriceList!$B$4:$B$2641,PriceList!$M$4:$M$2641=A183,""))</f>
        <v>ORV8 098.02-3.53</v>
      </c>
      <c r="E183" t="str" cm="1">
        <f t="array" ref="E183">_xlfn.TEXTJOIN(", ",TRUE,_xlfn._xlws.FILTER(ROW(PriceList!$B$4:$B$2641),PriceList!$M$4:$M$2641=A183,""))</f>
        <v>1961</v>
      </c>
      <c r="F183" s="42" t="str" cm="1">
        <f t="array" ref="F183">_xlfn.TEXTJOIN(" | ",TRUE,_xlfn.UNIQUE(_xlfn._xlws.FILTER(PriceList!$Q$4:$Q$2641&amp;" x "&amp;PriceList!$R$4:$R$2641&amp;" x "&amp;PriceList!$S$4:$S$2641,PriceList!$M$4:$M$2641=A183,"")))</f>
        <v>98.044 x 105.156 x 3.556</v>
      </c>
      <c r="G183" t="str" cm="1">
        <f t="array" ref="G183">INDEX(_xlfn._xlws.FILTER(PriceList!$P$4:$P$2641,PriceList!$M$4:$M$2641=A183,""),1)</f>
        <v>O Ring - FPM/FKM/VitonÂ®</v>
      </c>
    </row>
    <row r="184" spans="1:7" x14ac:dyDescent="0.45">
      <c r="A184" t="s">
        <v>4183</v>
      </c>
      <c r="B184">
        <f>COUNTIF(PriceList!$M$4:$M$2641,A184)</f>
        <v>2</v>
      </c>
      <c r="C184" t="str">
        <f>IF(B184=1,"1:1","1:Many")</f>
        <v>1:Many</v>
      </c>
      <c r="D184" s="42" t="str" cm="1">
        <f t="array" ref="D184">_xlfn.TEXTJOIN(" | ",TRUE,_xlfn._xlws.FILTER(PriceList!$B$4:$B$2641,PriceList!$M$4:$M$2641=A184,""))</f>
        <v>OR7N 101.19-3.53 | OR9N 101.19-3.53</v>
      </c>
      <c r="E184" t="str" cm="1">
        <f t="array" ref="E184">_xlfn.TEXTJOIN(", ",TRUE,_xlfn._xlws.FILTER(ROW(PriceList!$B$4:$B$2641),PriceList!$M$4:$M$2641=A184,""))</f>
        <v>768, 1317</v>
      </c>
      <c r="F184" s="42" t="str" cm="1">
        <f t="array" ref="F184">_xlfn.TEXTJOIN(" | ",TRUE,_xlfn.UNIQUE(_xlfn._xlws.FILTER(PriceList!$Q$4:$Q$2641&amp;" x "&amp;PriceList!$R$4:$R$2641&amp;" x "&amp;PriceList!$S$4:$S$2641,PriceList!$M$4:$M$2641=A184,"")))</f>
        <v>101.092 x 108.204 x 3.556</v>
      </c>
      <c r="G184" t="str" cm="1">
        <f t="array" ref="G184">INDEX(_xlfn._xlws.FILTER(PriceList!$P$4:$P$2641,PriceList!$M$4:$M$2641=A184,""),1)</f>
        <v>O Ring - NBR 70</v>
      </c>
    </row>
    <row r="185" spans="1:7" x14ac:dyDescent="0.45">
      <c r="A185" t="s">
        <v>5019</v>
      </c>
      <c r="B185">
        <f>COUNTIF(PriceList!$M$4:$M$2641,A185)</f>
        <v>1</v>
      </c>
      <c r="C185" t="str">
        <f>IF(B185=1,"1:1","1:Many")</f>
        <v>1:1</v>
      </c>
      <c r="D185" s="42" t="str" cm="1">
        <f t="array" ref="D185">_xlfn.TEXTJOIN(" | ",TRUE,_xlfn._xlws.FILTER(PriceList!$B$4:$B$2641,PriceList!$M$4:$M$2641=A185,""))</f>
        <v>ORV8 101.19-3.53</v>
      </c>
      <c r="E185" t="str" cm="1">
        <f t="array" ref="E185">_xlfn.TEXTJOIN(", ",TRUE,_xlfn._xlws.FILTER(ROW(PriceList!$B$4:$B$2641),PriceList!$M$4:$M$2641=A185,""))</f>
        <v>1968</v>
      </c>
      <c r="F185" s="42" t="str" cm="1">
        <f t="array" ref="F185">_xlfn.TEXTJOIN(" | ",TRUE,_xlfn.UNIQUE(_xlfn._xlws.FILTER(PriceList!$Q$4:$Q$2641&amp;" x "&amp;PriceList!$R$4:$R$2641&amp;" x "&amp;PriceList!$S$4:$S$2641,PriceList!$M$4:$M$2641=A185,"")))</f>
        <v>101.092 x 108.204 x 3.556</v>
      </c>
      <c r="G185" t="str" cm="1">
        <f t="array" ref="G185">INDEX(_xlfn._xlws.FILTER(PriceList!$P$4:$P$2641,PriceList!$M$4:$M$2641=A185,""),1)</f>
        <v>O Ring - FPM/FKM/VitonÂ®</v>
      </c>
    </row>
    <row r="186" spans="1:7" x14ac:dyDescent="0.45">
      <c r="A186" t="s">
        <v>4522</v>
      </c>
      <c r="B186">
        <f>COUNTIF(PriceList!$M$4:$M$2641,A186)</f>
        <v>1</v>
      </c>
      <c r="C186" t="str">
        <f>IF(B186=1,"1:1","1:Many")</f>
        <v>1:1</v>
      </c>
      <c r="D186" s="42" t="str" cm="1">
        <f t="array" ref="D186">_xlfn.TEXTJOIN(" | ",TRUE,_xlfn._xlws.FILTER(PriceList!$B$4:$B$2641,PriceList!$M$4:$M$2641=A186,""))</f>
        <v>OR9N 104.37-3.53</v>
      </c>
      <c r="E186" t="str" cm="1">
        <f t="array" ref="E186">_xlfn.TEXTJOIN(", ",TRUE,_xlfn._xlws.FILTER(ROW(PriceList!$B$4:$B$2641),PriceList!$M$4:$M$2641=A186,""))</f>
        <v>1324</v>
      </c>
      <c r="F186" s="42" t="str" cm="1">
        <f t="array" ref="F186">_xlfn.TEXTJOIN(" | ",TRUE,_xlfn.UNIQUE(_xlfn._xlws.FILTER(PriceList!$Q$4:$Q$2641&amp;" x "&amp;PriceList!$R$4:$R$2641&amp;" x "&amp;PriceList!$S$4:$S$2641,PriceList!$M$4:$M$2641=A186,"")))</f>
        <v>104.394 x 111.506 x 3.556</v>
      </c>
      <c r="G186" t="str" cm="1">
        <f t="array" ref="G186">INDEX(_xlfn._xlws.FILTER(PriceList!$P$4:$P$2641,PriceList!$M$4:$M$2641=A186,""),1)</f>
        <v>O Ring - NBR 70</v>
      </c>
    </row>
    <row r="187" spans="1:7" x14ac:dyDescent="0.45">
      <c r="A187" t="s">
        <v>5024</v>
      </c>
      <c r="B187">
        <f>COUNTIF(PriceList!$M$4:$M$2641,A187)</f>
        <v>1</v>
      </c>
      <c r="C187" t="str">
        <f>IF(B187=1,"1:1","1:Many")</f>
        <v>1:1</v>
      </c>
      <c r="D187" s="42" t="str" cm="1">
        <f t="array" ref="D187">_xlfn.TEXTJOIN(" | ",TRUE,_xlfn._xlws.FILTER(PriceList!$B$4:$B$2641,PriceList!$M$4:$M$2641=A187,""))</f>
        <v>ORV8 104.14-3.53</v>
      </c>
      <c r="E187" t="str" cm="1">
        <f t="array" ref="E187">_xlfn.TEXTJOIN(", ",TRUE,_xlfn._xlws.FILTER(ROW(PriceList!$B$4:$B$2641),PriceList!$M$4:$M$2641=A187,""))</f>
        <v>1972</v>
      </c>
      <c r="F187" s="42" t="str" cm="1">
        <f t="array" ref="F187">_xlfn.TEXTJOIN(" | ",TRUE,_xlfn.UNIQUE(_xlfn._xlws.FILTER(PriceList!$Q$4:$Q$2641&amp;" x "&amp;PriceList!$R$4:$R$2641&amp;" x "&amp;PriceList!$S$4:$S$2641,PriceList!$M$4:$M$2641=A187,"")))</f>
        <v>104.394 x 111.506 x 3.556</v>
      </c>
      <c r="G187" t="str" cm="1">
        <f t="array" ref="G187">INDEX(_xlfn._xlws.FILTER(PriceList!$P$4:$P$2641,PriceList!$M$4:$M$2641=A187,""),1)</f>
        <v>O Ring - FPM/FKM/VitonÂ®</v>
      </c>
    </row>
    <row r="188" spans="1:7" x14ac:dyDescent="0.45">
      <c r="A188" t="s">
        <v>4190</v>
      </c>
      <c r="B188">
        <f>COUNTIF(PriceList!$M$4:$M$2641,A188)</f>
        <v>2</v>
      </c>
      <c r="C188" t="str">
        <f>IF(B188=1,"1:1","1:Many")</f>
        <v>1:Many</v>
      </c>
      <c r="D188" s="42" t="str" cm="1">
        <f t="array" ref="D188">_xlfn.TEXTJOIN(" | ",TRUE,_xlfn._xlws.FILTER(PriceList!$B$4:$B$2641,PriceList!$M$4:$M$2641=A188,""))</f>
        <v>OR7N 107.54-3.53 | OR9N 107.54-3.53</v>
      </c>
      <c r="E188" t="str" cm="1">
        <f t="array" ref="E188">_xlfn.TEXTJOIN(", ",TRUE,_xlfn._xlws.FILTER(ROW(PriceList!$B$4:$B$2641),PriceList!$M$4:$M$2641=A188,""))</f>
        <v>774, 1328</v>
      </c>
      <c r="F188" s="42" t="str" cm="1">
        <f t="array" ref="F188">_xlfn.TEXTJOIN(" | ",TRUE,_xlfn.UNIQUE(_xlfn._xlws.FILTER(PriceList!$Q$4:$Q$2641&amp;" x "&amp;PriceList!$R$4:$R$2641&amp;" x "&amp;PriceList!$S$4:$S$2641,PriceList!$M$4:$M$2641=A188,"")))</f>
        <v>107.442 x 114.554 x 3.556</v>
      </c>
      <c r="G188" t="str" cm="1">
        <f t="array" ref="G188">INDEX(_xlfn._xlws.FILTER(PriceList!$P$4:$P$2641,PriceList!$M$4:$M$2641=A188,""),1)</f>
        <v>O Ring - NBR 70</v>
      </c>
    </row>
    <row r="189" spans="1:7" x14ac:dyDescent="0.45">
      <c r="A189" t="s">
        <v>5029</v>
      </c>
      <c r="B189">
        <f>COUNTIF(PriceList!$M$4:$M$2641,A189)</f>
        <v>1</v>
      </c>
      <c r="C189" t="str">
        <f>IF(B189=1,"1:1","1:Many")</f>
        <v>1:1</v>
      </c>
      <c r="D189" s="42" t="str" cm="1">
        <f t="array" ref="D189">_xlfn.TEXTJOIN(" | ",TRUE,_xlfn._xlws.FILTER(PriceList!$B$4:$B$2641,PriceList!$M$4:$M$2641=A189,""))</f>
        <v>ORV8 107.32-3.53</v>
      </c>
      <c r="E189" t="str" cm="1">
        <f t="array" ref="E189">_xlfn.TEXTJOIN(", ",TRUE,_xlfn._xlws.FILTER(ROW(PriceList!$B$4:$B$2641),PriceList!$M$4:$M$2641=A189,""))</f>
        <v>1976</v>
      </c>
      <c r="F189" s="42" t="str" cm="1">
        <f t="array" ref="F189">_xlfn.TEXTJOIN(" | ",TRUE,_xlfn.UNIQUE(_xlfn._xlws.FILTER(PriceList!$Q$4:$Q$2641&amp;" x "&amp;PriceList!$R$4:$R$2641&amp;" x "&amp;PriceList!$S$4:$S$2641,PriceList!$M$4:$M$2641=A189,"")))</f>
        <v>107.442 x 114.554 x 3.556</v>
      </c>
      <c r="G189" t="str" cm="1">
        <f t="array" ref="G189">INDEX(_xlfn._xlws.FILTER(PriceList!$P$4:$P$2641,PriceList!$M$4:$M$2641=A189,""),1)</f>
        <v>O Ring - FPM/FKM/VitonÂ®</v>
      </c>
    </row>
    <row r="190" spans="1:7" x14ac:dyDescent="0.45">
      <c r="A190" t="s">
        <v>4194</v>
      </c>
      <c r="B190">
        <f>COUNTIF(PriceList!$M$4:$M$2641,A190)</f>
        <v>2</v>
      </c>
      <c r="C190" t="str">
        <f>IF(B190=1,"1:1","1:Many")</f>
        <v>1:Many</v>
      </c>
      <c r="D190" s="42" t="str" cm="1">
        <f t="array" ref="D190">_xlfn.TEXTJOIN(" | ",TRUE,_xlfn._xlws.FILTER(PriceList!$B$4:$B$2641,PriceList!$M$4:$M$2641=A190,""))</f>
        <v>OR7N 110.72-3.53 | OR9N 110.72-3.53</v>
      </c>
      <c r="E190" t="str" cm="1">
        <f t="array" ref="E190">_xlfn.TEXTJOIN(", ",TRUE,_xlfn._xlws.FILTER(ROW(PriceList!$B$4:$B$2641),PriceList!$M$4:$M$2641=A190,""))</f>
        <v>778, 1333</v>
      </c>
      <c r="F190" s="42" t="str" cm="1">
        <f t="array" ref="F190">_xlfn.TEXTJOIN(" | ",TRUE,_xlfn.UNIQUE(_xlfn._xlws.FILTER(PriceList!$Q$4:$Q$2641&amp;" x "&amp;PriceList!$R$4:$R$2641&amp;" x "&amp;PriceList!$S$4:$S$2641,PriceList!$M$4:$M$2641=A190,"")))</f>
        <v>110.744 x 117.856 x 3.556</v>
      </c>
      <c r="G190" t="str" cm="1">
        <f t="array" ref="G190">INDEX(_xlfn._xlws.FILTER(PriceList!$P$4:$P$2641,PriceList!$M$4:$M$2641=A190,""),1)</f>
        <v>O Ring - NBR 70</v>
      </c>
    </row>
    <row r="191" spans="1:7" x14ac:dyDescent="0.45">
      <c r="A191" t="s">
        <v>5036</v>
      </c>
      <c r="B191">
        <f>COUNTIF(PriceList!$M$4:$M$2641,A191)</f>
        <v>1</v>
      </c>
      <c r="C191" t="str">
        <f>IF(B191=1,"1:1","1:Many")</f>
        <v>1:1</v>
      </c>
      <c r="D191" s="42" t="str" cm="1">
        <f t="array" ref="D191">_xlfn.TEXTJOIN(" | ",TRUE,_xlfn._xlws.FILTER(PriceList!$B$4:$B$2641,PriceList!$M$4:$M$2641=A191,""))</f>
        <v>ORV8 110.72-3.53</v>
      </c>
      <c r="E191" t="str" cm="1">
        <f t="array" ref="E191">_xlfn.TEXTJOIN(", ",TRUE,_xlfn._xlws.FILTER(ROW(PriceList!$B$4:$B$2641),PriceList!$M$4:$M$2641=A191,""))</f>
        <v>1982</v>
      </c>
      <c r="F191" s="42" t="str" cm="1">
        <f t="array" ref="F191">_xlfn.TEXTJOIN(" | ",TRUE,_xlfn.UNIQUE(_xlfn._xlws.FILTER(PriceList!$Q$4:$Q$2641&amp;" x "&amp;PriceList!$R$4:$R$2641&amp;" x "&amp;PriceList!$S$4:$S$2641,PriceList!$M$4:$M$2641=A191,"")))</f>
        <v>110.744 x 117.856 x 3.556</v>
      </c>
      <c r="G191" t="str" cm="1">
        <f t="array" ref="G191">INDEX(_xlfn._xlws.FILTER(PriceList!$P$4:$P$2641,PriceList!$M$4:$M$2641=A191,""),1)</f>
        <v>O Ring - FPM/FKM/VitonÂ®</v>
      </c>
    </row>
    <row r="192" spans="1:7" x14ac:dyDescent="0.45">
      <c r="A192" t="s">
        <v>4200</v>
      </c>
      <c r="B192">
        <f>COUNTIF(PriceList!$M$4:$M$2641,A192)</f>
        <v>2</v>
      </c>
      <c r="C192" t="str">
        <f>IF(B192=1,"1:1","1:Many")</f>
        <v>1:Many</v>
      </c>
      <c r="D192" s="42" t="str" cm="1">
        <f t="array" ref="D192">_xlfn.TEXTJOIN(" | ",TRUE,_xlfn._xlws.FILTER(PriceList!$B$4:$B$2641,PriceList!$M$4:$M$2641=A192,""))</f>
        <v>OR7N 113.89-3.53 | OR9N 113.89-3.53</v>
      </c>
      <c r="E192" t="str" cm="1">
        <f t="array" ref="E192">_xlfn.TEXTJOIN(", ",TRUE,_xlfn._xlws.FILTER(ROW(PriceList!$B$4:$B$2641),PriceList!$M$4:$M$2641=A192,""))</f>
        <v>783, 1338</v>
      </c>
      <c r="F192" s="42" t="str" cm="1">
        <f t="array" ref="F192">_xlfn.TEXTJOIN(" | ",TRUE,_xlfn.UNIQUE(_xlfn._xlws.FILTER(PriceList!$Q$4:$Q$2641&amp;" x "&amp;PriceList!$R$4:$R$2641&amp;" x "&amp;PriceList!$S$4:$S$2641,PriceList!$M$4:$M$2641=A192,"")))</f>
        <v>113.792 x 120.904 x 3.556</v>
      </c>
      <c r="G192" t="str" cm="1">
        <f t="array" ref="G192">INDEX(_xlfn._xlws.FILTER(PriceList!$P$4:$P$2641,PriceList!$M$4:$M$2641=A192,""),1)</f>
        <v>O Ring - EPDM</v>
      </c>
    </row>
    <row r="193" spans="1:7" x14ac:dyDescent="0.45">
      <c r="A193" t="s">
        <v>5041</v>
      </c>
      <c r="B193">
        <f>COUNTIF(PriceList!$M$4:$M$2641,A193)</f>
        <v>1</v>
      </c>
      <c r="C193" t="str">
        <f>IF(B193=1,"1:1","1:Many")</f>
        <v>1:1</v>
      </c>
      <c r="D193" s="42" t="str" cm="1">
        <f t="array" ref="D193">_xlfn.TEXTJOIN(" | ",TRUE,_xlfn._xlws.FILTER(PriceList!$B$4:$B$2641,PriceList!$M$4:$M$2641=A193,""))</f>
        <v>ORV8 113.89-3.53</v>
      </c>
      <c r="E193" t="str" cm="1">
        <f t="array" ref="E193">_xlfn.TEXTJOIN(", ",TRUE,_xlfn._xlws.FILTER(ROW(PriceList!$B$4:$B$2641),PriceList!$M$4:$M$2641=A193,""))</f>
        <v>1987</v>
      </c>
      <c r="F193" s="42" t="str" cm="1">
        <f t="array" ref="F193">_xlfn.TEXTJOIN(" | ",TRUE,_xlfn.UNIQUE(_xlfn._xlws.FILTER(PriceList!$Q$4:$Q$2641&amp;" x "&amp;PriceList!$R$4:$R$2641&amp;" x "&amp;PriceList!$S$4:$S$2641,PriceList!$M$4:$M$2641=A193,"")))</f>
        <v>113.792 x 120.904 x 3.556</v>
      </c>
      <c r="G193" t="str" cm="1">
        <f t="array" ref="G193">INDEX(_xlfn._xlws.FILTER(PriceList!$P$4:$P$2641,PriceList!$M$4:$M$2641=A193,""),1)</f>
        <v>O Ring - FPM/FKM/VitonÂ®</v>
      </c>
    </row>
    <row r="194" spans="1:7" x14ac:dyDescent="0.45">
      <c r="A194" t="s">
        <v>4207</v>
      </c>
      <c r="B194">
        <f>COUNTIF(PriceList!$M$4:$M$2641,A194)</f>
        <v>2</v>
      </c>
      <c r="C194" t="str">
        <f>IF(B194=1,"1:1","1:Many")</f>
        <v>1:Many</v>
      </c>
      <c r="D194" s="42" t="str" cm="1">
        <f t="array" ref="D194">_xlfn.TEXTJOIN(" | ",TRUE,_xlfn._xlws.FILTER(PriceList!$B$4:$B$2641,PriceList!$M$4:$M$2641=A194,""))</f>
        <v>OR7N 117.07-3.53 | OR9N 117.07-3.53</v>
      </c>
      <c r="E194" t="str" cm="1">
        <f t="array" ref="E194">_xlfn.TEXTJOIN(", ",TRUE,_xlfn._xlws.FILTER(ROW(PriceList!$B$4:$B$2641),PriceList!$M$4:$M$2641=A194,""))</f>
        <v>790, 1347</v>
      </c>
      <c r="F194" s="42" t="str" cm="1">
        <f t="array" ref="F194">_xlfn.TEXTJOIN(" | ",TRUE,_xlfn.UNIQUE(_xlfn._xlws.FILTER(PriceList!$Q$4:$Q$2641&amp;" x "&amp;PriceList!$R$4:$R$2641&amp;" x "&amp;PriceList!$S$4:$S$2641,PriceList!$M$4:$M$2641=A194,"")))</f>
        <v>117.094 x 124.206 x 3.556</v>
      </c>
      <c r="G194" t="str" cm="1">
        <f t="array" ref="G194">INDEX(_xlfn._xlws.FILTER(PriceList!$P$4:$P$2641,PriceList!$M$4:$M$2641=A194,""),1)</f>
        <v>O Ring - NBR 70</v>
      </c>
    </row>
    <row r="195" spans="1:7" x14ac:dyDescent="0.45">
      <c r="A195" t="s">
        <v>5048</v>
      </c>
      <c r="B195">
        <f>COUNTIF(PriceList!$M$4:$M$2641,A195)</f>
        <v>2</v>
      </c>
      <c r="C195" t="str">
        <f>IF(B195=1,"1:1","1:Many")</f>
        <v>1:Many</v>
      </c>
      <c r="D195" s="42" t="str" cm="1">
        <f t="array" ref="D195">_xlfn.TEXTJOIN(" | ",TRUE,_xlfn._xlws.FILTER(PriceList!$B$4:$B$2641,PriceList!$M$4:$M$2641=A195,""))</f>
        <v>ORV8 117.07-3.53 | ORV8 117-4</v>
      </c>
      <c r="E195" t="str" cm="1">
        <f t="array" ref="E195">_xlfn.TEXTJOIN(", ",TRUE,_xlfn._xlws.FILTER(ROW(PriceList!$B$4:$B$2641),PriceList!$M$4:$M$2641=A195,""))</f>
        <v>1994, 1995</v>
      </c>
      <c r="F195" s="42" t="str" cm="1">
        <f t="array" ref="F195">_xlfn.TEXTJOIN(" | ",TRUE,_xlfn.UNIQUE(_xlfn._xlws.FILTER(PriceList!$Q$4:$Q$2641&amp;" x "&amp;PriceList!$R$4:$R$2641&amp;" x "&amp;PriceList!$S$4:$S$2641,PriceList!$M$4:$M$2641=A195,"")))</f>
        <v>117.094 x 124.206 x 3.556</v>
      </c>
      <c r="G195" t="str" cm="1">
        <f t="array" ref="G195">INDEX(_xlfn._xlws.FILTER(PriceList!$P$4:$P$2641,PriceList!$M$4:$M$2641=A195,""),1)</f>
        <v>O Ring - FPM/FKM/VitonÂ®</v>
      </c>
    </row>
    <row r="196" spans="1:7" x14ac:dyDescent="0.45">
      <c r="A196" t="s">
        <v>4212</v>
      </c>
      <c r="B196">
        <f>COUNTIF(PriceList!$M$4:$M$2641,A196)</f>
        <v>2</v>
      </c>
      <c r="C196" t="str">
        <f>IF(B196=1,"1:1","1:Many")</f>
        <v>1:Many</v>
      </c>
      <c r="D196" s="42" t="str" cm="1">
        <f t="array" ref="D196">_xlfn.TEXTJOIN(" | ",TRUE,_xlfn._xlws.FILTER(PriceList!$B$4:$B$2641,PriceList!$M$4:$M$2641=A196,""))</f>
        <v>OR7N 120.24-3.53 | OR9N 120.24-3.53</v>
      </c>
      <c r="E196" t="str" cm="1">
        <f t="array" ref="E196">_xlfn.TEXTJOIN(", ",TRUE,_xlfn._xlws.FILTER(ROW(PriceList!$B$4:$B$2641),PriceList!$M$4:$M$2641=A196,""))</f>
        <v>795, 1353</v>
      </c>
      <c r="F196" s="42" t="str" cm="1">
        <f t="array" ref="F196">_xlfn.TEXTJOIN(" | ",TRUE,_xlfn.UNIQUE(_xlfn._xlws.FILTER(PriceList!$Q$4:$Q$2641&amp;" x "&amp;PriceList!$R$4:$R$2641&amp;" x "&amp;PriceList!$S$4:$S$2641,PriceList!$M$4:$M$2641=A196,"")))</f>
        <v>120.142 x 127.254 x 3.556</v>
      </c>
      <c r="G196" t="str" cm="1">
        <f t="array" ref="G196">INDEX(_xlfn._xlws.FILTER(PriceList!$P$4:$P$2641,PriceList!$M$4:$M$2641=A196,""),1)</f>
        <v>O Ring - NBR 70</v>
      </c>
    </row>
    <row r="197" spans="1:7" x14ac:dyDescent="0.45">
      <c r="A197" t="s">
        <v>5053</v>
      </c>
      <c r="B197">
        <f>COUNTIF(PriceList!$M$4:$M$2641,A197)</f>
        <v>1</v>
      </c>
      <c r="C197" t="str">
        <f>IF(B197=1,"1:1","1:Many")</f>
        <v>1:1</v>
      </c>
      <c r="D197" s="42" t="str" cm="1">
        <f t="array" ref="D197">_xlfn.TEXTJOIN(" | ",TRUE,_xlfn._xlws.FILTER(PriceList!$B$4:$B$2641,PriceList!$M$4:$M$2641=A197,""))</f>
        <v>ORV8 120.24-3.53</v>
      </c>
      <c r="E197" t="str" cm="1">
        <f t="array" ref="E197">_xlfn.TEXTJOIN(", ",TRUE,_xlfn._xlws.FILTER(ROW(PriceList!$B$4:$B$2641),PriceList!$M$4:$M$2641=A197,""))</f>
        <v>1999</v>
      </c>
      <c r="F197" s="42" t="str" cm="1">
        <f t="array" ref="F197">_xlfn.TEXTJOIN(" | ",TRUE,_xlfn.UNIQUE(_xlfn._xlws.FILTER(PriceList!$Q$4:$Q$2641&amp;" x "&amp;PriceList!$R$4:$R$2641&amp;" x "&amp;PriceList!$S$4:$S$2641,PriceList!$M$4:$M$2641=A197,"")))</f>
        <v>120.142 x 127.254 x 3.556</v>
      </c>
      <c r="G197" t="str" cm="1">
        <f t="array" ref="G197">INDEX(_xlfn._xlws.FILTER(PriceList!$P$4:$P$2641,PriceList!$M$4:$M$2641=A197,""),1)</f>
        <v>O Ring - FPM/FKM/VitonÂ®</v>
      </c>
    </row>
    <row r="198" spans="1:7" x14ac:dyDescent="0.45">
      <c r="A198" t="s">
        <v>4217</v>
      </c>
      <c r="B198">
        <f>COUNTIF(PriceList!$M$4:$M$2641,A198)</f>
        <v>2</v>
      </c>
      <c r="C198" t="str">
        <f>IF(B198=1,"1:1","1:Many")</f>
        <v>1:Many</v>
      </c>
      <c r="D198" s="42" t="str" cm="1">
        <f t="array" ref="D198">_xlfn.TEXTJOIN(" | ",TRUE,_xlfn._xlws.FILTER(PriceList!$B$4:$B$2641,PriceList!$M$4:$M$2641=A198,""))</f>
        <v>OR7N 123.42-3.53 | OR9N 123.42-3.53</v>
      </c>
      <c r="E198" t="str" cm="1">
        <f t="array" ref="E198">_xlfn.TEXTJOIN(", ",TRUE,_xlfn._xlws.FILTER(ROW(PriceList!$B$4:$B$2641),PriceList!$M$4:$M$2641=A198,""))</f>
        <v>800, 1360</v>
      </c>
      <c r="F198" s="42" t="str" cm="1">
        <f t="array" ref="F198">_xlfn.TEXTJOIN(" | ",TRUE,_xlfn.UNIQUE(_xlfn._xlws.FILTER(PriceList!$Q$4:$Q$2641&amp;" x "&amp;PriceList!$R$4:$R$2641&amp;" x "&amp;PriceList!$S$4:$S$2641,PriceList!$M$4:$M$2641=A198,"")))</f>
        <v>123.444 x 130.556 x 3.556</v>
      </c>
      <c r="G198" t="str" cm="1">
        <f t="array" ref="G198">INDEX(_xlfn._xlws.FILTER(PriceList!$P$4:$P$2641,PriceList!$M$4:$M$2641=A198,""),1)</f>
        <v>O Ring - NBR 70</v>
      </c>
    </row>
    <row r="199" spans="1:7" x14ac:dyDescent="0.45">
      <c r="A199" t="s">
        <v>5060</v>
      </c>
      <c r="B199">
        <f>COUNTIF(PriceList!$M$4:$M$2641,A199)</f>
        <v>1</v>
      </c>
      <c r="C199" t="str">
        <f>IF(B199=1,"1:1","1:Many")</f>
        <v>1:1</v>
      </c>
      <c r="D199" s="42" t="str" cm="1">
        <f t="array" ref="D199">_xlfn.TEXTJOIN(" | ",TRUE,_xlfn._xlws.FILTER(PriceList!$B$4:$B$2641,PriceList!$M$4:$M$2641=A199,""))</f>
        <v>ORV8 123.42-3.53</v>
      </c>
      <c r="E199" t="str" cm="1">
        <f t="array" ref="E199">_xlfn.TEXTJOIN(", ",TRUE,_xlfn._xlws.FILTER(ROW(PriceList!$B$4:$B$2641),PriceList!$M$4:$M$2641=A199,""))</f>
        <v>2005</v>
      </c>
      <c r="F199" s="42" t="str" cm="1">
        <f t="array" ref="F199">_xlfn.TEXTJOIN(" | ",TRUE,_xlfn.UNIQUE(_xlfn._xlws.FILTER(PriceList!$Q$4:$Q$2641&amp;" x "&amp;PriceList!$R$4:$R$2641&amp;" x "&amp;PriceList!$S$4:$S$2641,PriceList!$M$4:$M$2641=A199,"")))</f>
        <v>123.444 x 130.556 x 3.556</v>
      </c>
      <c r="G199" t="str" cm="1">
        <f t="array" ref="G199">INDEX(_xlfn._xlws.FILTER(PriceList!$P$4:$P$2641,PriceList!$M$4:$M$2641=A199,""),1)</f>
        <v>O Ring - FPM/FKM/VitonÂ®</v>
      </c>
    </row>
    <row r="200" spans="1:7" x14ac:dyDescent="0.45">
      <c r="A200" t="s">
        <v>4221</v>
      </c>
      <c r="B200">
        <f>COUNTIF(PriceList!$M$4:$M$2641,A200)</f>
        <v>2</v>
      </c>
      <c r="C200" t="str">
        <f>IF(B200=1,"1:1","1:Many")</f>
        <v>1:Many</v>
      </c>
      <c r="D200" s="42" t="str" cm="1">
        <f t="array" ref="D200">_xlfn.TEXTJOIN(" | ",TRUE,_xlfn._xlws.FILTER(PriceList!$B$4:$B$2641,PriceList!$M$4:$M$2641=A200,""))</f>
        <v>OR7N 126.59-3.53 | OR9N 126.59-3.53</v>
      </c>
      <c r="E200" t="str" cm="1">
        <f t="array" ref="E200">_xlfn.TEXTJOIN(", ",TRUE,_xlfn._xlws.FILTER(ROW(PriceList!$B$4:$B$2641),PriceList!$M$4:$M$2641=A200,""))</f>
        <v>804, 1366</v>
      </c>
      <c r="F200" s="42" t="str" cm="1">
        <f t="array" ref="F200">_xlfn.TEXTJOIN(" | ",TRUE,_xlfn.UNIQUE(_xlfn._xlws.FILTER(PriceList!$Q$4:$Q$2641&amp;" x "&amp;PriceList!$R$4:$R$2641&amp;" x "&amp;PriceList!$S$4:$S$2641,PriceList!$M$4:$M$2641=A200,"")))</f>
        <v>126.492 x 133.604 x 3.556</v>
      </c>
      <c r="G200" t="str" cm="1">
        <f t="array" ref="G200">INDEX(_xlfn._xlws.FILTER(PriceList!$P$4:$P$2641,PriceList!$M$4:$M$2641=A200,""),1)</f>
        <v>O Ring - NBR 70</v>
      </c>
    </row>
    <row r="201" spans="1:7" x14ac:dyDescent="0.45">
      <c r="A201" t="s">
        <v>5065</v>
      </c>
      <c r="B201">
        <f>COUNTIF(PriceList!$M$4:$M$2641,A201)</f>
        <v>1</v>
      </c>
      <c r="C201" t="str">
        <f>IF(B201=1,"1:1","1:Many")</f>
        <v>1:1</v>
      </c>
      <c r="D201" s="42" t="str" cm="1">
        <f t="array" ref="D201">_xlfn.TEXTJOIN(" | ",TRUE,_xlfn._xlws.FILTER(PriceList!$B$4:$B$2641,PriceList!$M$4:$M$2641=A201,""))</f>
        <v>ORV8 126.59-3.53</v>
      </c>
      <c r="E201" t="str" cm="1">
        <f t="array" ref="E201">_xlfn.TEXTJOIN(", ",TRUE,_xlfn._xlws.FILTER(ROW(PriceList!$B$4:$B$2641),PriceList!$M$4:$M$2641=A201,""))</f>
        <v>2011</v>
      </c>
      <c r="F201" s="42" t="str" cm="1">
        <f t="array" ref="F201">_xlfn.TEXTJOIN(" | ",TRUE,_xlfn.UNIQUE(_xlfn._xlws.FILTER(PriceList!$Q$4:$Q$2641&amp;" x "&amp;PriceList!$R$4:$R$2641&amp;" x "&amp;PriceList!$S$4:$S$2641,PriceList!$M$4:$M$2641=A201,"")))</f>
        <v>126.492 x 133.604 x 3.556</v>
      </c>
      <c r="G201" t="str" cm="1">
        <f t="array" ref="G201">INDEX(_xlfn._xlws.FILTER(PriceList!$P$4:$P$2641,PriceList!$M$4:$M$2641=A201,""),1)</f>
        <v>O Ring - FPM/FKM/VitonÂ®</v>
      </c>
    </row>
    <row r="202" spans="1:7" x14ac:dyDescent="0.45">
      <c r="A202" t="s">
        <v>5071</v>
      </c>
      <c r="B202">
        <f>COUNTIF(PriceList!$M$4:$M$2641,A202)</f>
        <v>1</v>
      </c>
      <c r="C202" t="str">
        <f>IF(B202=1,"1:1","1:Many")</f>
        <v>1:1</v>
      </c>
      <c r="D202" s="42" t="str" cm="1">
        <f t="array" ref="D202">_xlfn.TEXTJOIN(" | ",TRUE,_xlfn._xlws.FILTER(PriceList!$B$4:$B$2641,PriceList!$M$4:$M$2641=A202,""))</f>
        <v>ORV8 129.77-3.53</v>
      </c>
      <c r="E202" t="str" cm="1">
        <f t="array" ref="E202">_xlfn.TEXTJOIN(", ",TRUE,_xlfn._xlws.FILTER(ROW(PriceList!$B$4:$B$2641),PriceList!$M$4:$M$2641=A202,""))</f>
        <v>2017</v>
      </c>
      <c r="F202" s="42" t="str" cm="1">
        <f t="array" ref="F202">_xlfn.TEXTJOIN(" | ",TRUE,_xlfn.UNIQUE(_xlfn._xlws.FILTER(PriceList!$Q$4:$Q$2641&amp;" x "&amp;PriceList!$R$4:$R$2641&amp;" x "&amp;PriceList!$S$4:$S$2641,PriceList!$M$4:$M$2641=A202,"")))</f>
        <v>129.794 x 136.906 x 3.556</v>
      </c>
      <c r="G202" t="str" cm="1">
        <f t="array" ref="G202">INDEX(_xlfn._xlws.FILTER(PriceList!$P$4:$P$2641,PriceList!$M$4:$M$2641=A202,""),1)</f>
        <v>O Ring - FPM/FKM/VitonÂ®</v>
      </c>
    </row>
    <row r="203" spans="1:7" x14ac:dyDescent="0.45">
      <c r="A203" t="s">
        <v>4231</v>
      </c>
      <c r="B203">
        <f>COUNTIF(PriceList!$M$4:$M$2641,A203)</f>
        <v>2</v>
      </c>
      <c r="C203" t="str">
        <f>IF(B203=1,"1:1","1:Many")</f>
        <v>1:Many</v>
      </c>
      <c r="D203" s="42" t="str" cm="1">
        <f t="array" ref="D203">_xlfn.TEXTJOIN(" | ",TRUE,_xlfn._xlws.FILTER(PriceList!$B$4:$B$2641,PriceList!$M$4:$M$2641=A203,""))</f>
        <v>OR7N 132.94-3.53 | OR9N 132.94-3.53</v>
      </c>
      <c r="E203" t="str" cm="1">
        <f t="array" ref="E203">_xlfn.TEXTJOIN(", ",TRUE,_xlfn._xlws.FILTER(ROW(PriceList!$B$4:$B$2641),PriceList!$M$4:$M$2641=A203,""))</f>
        <v>813, 1377</v>
      </c>
      <c r="F203" s="42" t="str" cm="1">
        <f t="array" ref="F203">_xlfn.TEXTJOIN(" | ",TRUE,_xlfn.UNIQUE(_xlfn._xlws.FILTER(PriceList!$Q$4:$Q$2641&amp;" x "&amp;PriceList!$R$4:$R$2641&amp;" x "&amp;PriceList!$S$4:$S$2641,PriceList!$M$4:$M$2641=A203,"")))</f>
        <v>132.842 x 139.954 x 3.556</v>
      </c>
      <c r="G203" t="str" cm="1">
        <f t="array" ref="G203">INDEX(_xlfn._xlws.FILTER(PriceList!$P$4:$P$2641,PriceList!$M$4:$M$2641=A203,""),1)</f>
        <v>O Ring - NBR 70</v>
      </c>
    </row>
    <row r="204" spans="1:7" x14ac:dyDescent="0.45">
      <c r="A204" t="s">
        <v>5073</v>
      </c>
      <c r="B204">
        <f>COUNTIF(PriceList!$M$4:$M$2641,A204)</f>
        <v>1</v>
      </c>
      <c r="C204" t="str">
        <f>IF(B204=1,"1:1","1:Many")</f>
        <v>1:1</v>
      </c>
      <c r="D204" s="42" t="str" cm="1">
        <f t="array" ref="D204">_xlfn.TEXTJOIN(" | ",TRUE,_xlfn._xlws.FILTER(PriceList!$B$4:$B$2641,PriceList!$M$4:$M$2641=A204,""))</f>
        <v>ORV8 132.94-3.53</v>
      </c>
      <c r="E204" t="str" cm="1">
        <f t="array" ref="E204">_xlfn.TEXTJOIN(", ",TRUE,_xlfn._xlws.FILTER(ROW(PriceList!$B$4:$B$2641),PriceList!$M$4:$M$2641=A204,""))</f>
        <v>2019</v>
      </c>
      <c r="F204" s="42" t="str" cm="1">
        <f t="array" ref="F204">_xlfn.TEXTJOIN(" | ",TRUE,_xlfn.UNIQUE(_xlfn._xlws.FILTER(PriceList!$Q$4:$Q$2641&amp;" x "&amp;PriceList!$R$4:$R$2641&amp;" x "&amp;PriceList!$S$4:$S$2641,PriceList!$M$4:$M$2641=A204,"")))</f>
        <v>132.842 x 139.954 x 3.556</v>
      </c>
      <c r="G204" t="str" cm="1">
        <f t="array" ref="G204">INDEX(_xlfn._xlws.FILTER(PriceList!$P$4:$P$2641,PriceList!$M$4:$M$2641=A204,""),1)</f>
        <v>O Ring - FPM/FKM/VitonÂ®</v>
      </c>
    </row>
    <row r="205" spans="1:7" x14ac:dyDescent="0.45">
      <c r="A205" t="s">
        <v>4237</v>
      </c>
      <c r="B205">
        <f>COUNTIF(PriceList!$M$4:$M$2641,A205)</f>
        <v>2</v>
      </c>
      <c r="C205" t="str">
        <f>IF(B205=1,"1:1","1:Many")</f>
        <v>1:Many</v>
      </c>
      <c r="D205" s="42" t="str" cm="1">
        <f t="array" ref="D205">_xlfn.TEXTJOIN(" | ",TRUE,_xlfn._xlws.FILTER(PriceList!$B$4:$B$2641,PriceList!$M$4:$M$2641=A205,""))</f>
        <v>OR7N 136.12-3.53 | OR9N 136.12-3.53</v>
      </c>
      <c r="E205" t="str" cm="1">
        <f t="array" ref="E205">_xlfn.TEXTJOIN(", ",TRUE,_xlfn._xlws.FILTER(ROW(PriceList!$B$4:$B$2641),PriceList!$M$4:$M$2641=A205,""))</f>
        <v>819, 1385</v>
      </c>
      <c r="F205" s="42" t="str" cm="1">
        <f t="array" ref="F205">_xlfn.TEXTJOIN(" | ",TRUE,_xlfn.UNIQUE(_xlfn._xlws.FILTER(PriceList!$Q$4:$Q$2641&amp;" x "&amp;PriceList!$R$4:$R$2641&amp;" x "&amp;PriceList!$S$4:$S$2641,PriceList!$M$4:$M$2641=A205,"")))</f>
        <v>136.144 x 143.256 x 3.556</v>
      </c>
      <c r="G205" t="str" cm="1">
        <f t="array" ref="G205">INDEX(_xlfn._xlws.FILTER(PriceList!$P$4:$P$2641,PriceList!$M$4:$M$2641=A205,""),1)</f>
        <v>O Ring - NBR 70</v>
      </c>
    </row>
    <row r="206" spans="1:7" x14ac:dyDescent="0.45">
      <c r="A206" t="s">
        <v>5083</v>
      </c>
      <c r="B206">
        <f>COUNTIF(PriceList!$M$4:$M$2641,A206)</f>
        <v>1</v>
      </c>
      <c r="C206" t="str">
        <f>IF(B206=1,"1:1","1:Many")</f>
        <v>1:1</v>
      </c>
      <c r="D206" s="42" t="str" cm="1">
        <f t="array" ref="D206">_xlfn.TEXTJOIN(" | ",TRUE,_xlfn._xlws.FILTER(PriceList!$B$4:$B$2641,PriceList!$M$4:$M$2641=A206,""))</f>
        <v>ORV8 136.12-3.53</v>
      </c>
      <c r="E206" t="str" cm="1">
        <f t="array" ref="E206">_xlfn.TEXTJOIN(", ",TRUE,_xlfn._xlws.FILTER(ROW(PriceList!$B$4:$B$2641),PriceList!$M$4:$M$2641=A206,""))</f>
        <v>2029</v>
      </c>
      <c r="F206" s="42" t="str" cm="1">
        <f t="array" ref="F206">_xlfn.TEXTJOIN(" | ",TRUE,_xlfn.UNIQUE(_xlfn._xlws.FILTER(PriceList!$Q$4:$Q$2641&amp;" x "&amp;PriceList!$R$4:$R$2641&amp;" x "&amp;PriceList!$S$4:$S$2641,PriceList!$M$4:$M$2641=A206,"")))</f>
        <v>136.144 x 143.256 x 3.556</v>
      </c>
      <c r="G206" t="str" cm="1">
        <f t="array" ref="G206">INDEX(_xlfn._xlws.FILTER(PriceList!$P$4:$P$2641,PriceList!$M$4:$M$2641=A206,""),1)</f>
        <v>O Ring - FPM/FKM/VitonÂ®</v>
      </c>
    </row>
    <row r="207" spans="1:7" x14ac:dyDescent="0.45">
      <c r="A207" t="s">
        <v>4240</v>
      </c>
      <c r="B207">
        <f>COUNTIF(PriceList!$M$4:$M$2641,A207)</f>
        <v>2</v>
      </c>
      <c r="C207" t="str">
        <f>IF(B207=1,"1:1","1:Many")</f>
        <v>1:Many</v>
      </c>
      <c r="D207" s="42" t="str" cm="1">
        <f t="array" ref="D207">_xlfn.TEXTJOIN(" | ",TRUE,_xlfn._xlws.FILTER(PriceList!$B$4:$B$2641,PriceList!$M$4:$M$2641=A207,""))</f>
        <v>OR7N 139.29-3.53 | OR9N 139.29-3.53</v>
      </c>
      <c r="E207" t="str" cm="1">
        <f t="array" ref="E207">_xlfn.TEXTJOIN(", ",TRUE,_xlfn._xlws.FILTER(ROW(PriceList!$B$4:$B$2641),PriceList!$M$4:$M$2641=A207,""))</f>
        <v>822, 1389</v>
      </c>
      <c r="F207" s="42" t="str" cm="1">
        <f t="array" ref="F207">_xlfn.TEXTJOIN(" | ",TRUE,_xlfn.UNIQUE(_xlfn._xlws.FILTER(PriceList!$Q$4:$Q$2641&amp;" x "&amp;PriceList!$R$4:$R$2641&amp;" x "&amp;PriceList!$S$4:$S$2641,PriceList!$M$4:$M$2641=A207,"")))</f>
        <v>139.192 x 146.304 x 3.556</v>
      </c>
      <c r="G207" t="str" cm="1">
        <f t="array" ref="G207">INDEX(_xlfn._xlws.FILTER(PriceList!$P$4:$P$2641,PriceList!$M$4:$M$2641=A207,""),1)</f>
        <v>O Ring - NBR 70</v>
      </c>
    </row>
    <row r="208" spans="1:7" x14ac:dyDescent="0.45">
      <c r="A208" t="s">
        <v>5086</v>
      </c>
      <c r="B208">
        <f>COUNTIF(PriceList!$M$4:$M$2641,A208)</f>
        <v>1</v>
      </c>
      <c r="C208" t="str">
        <f>IF(B208=1,"1:1","1:Many")</f>
        <v>1:1</v>
      </c>
      <c r="D208" s="42" t="str" cm="1">
        <f t="array" ref="D208">_xlfn.TEXTJOIN(" | ",TRUE,_xlfn._xlws.FILTER(PriceList!$B$4:$B$2641,PriceList!$M$4:$M$2641=A208,""))</f>
        <v>ORV8 139.29-3.53</v>
      </c>
      <c r="E208" t="str" cm="1">
        <f t="array" ref="E208">_xlfn.TEXTJOIN(", ",TRUE,_xlfn._xlws.FILTER(ROW(PriceList!$B$4:$B$2641),PriceList!$M$4:$M$2641=A208,""))</f>
        <v>2032</v>
      </c>
      <c r="F208" s="42" t="str" cm="1">
        <f t="array" ref="F208">_xlfn.TEXTJOIN(" | ",TRUE,_xlfn.UNIQUE(_xlfn._xlws.FILTER(PriceList!$Q$4:$Q$2641&amp;" x "&amp;PriceList!$R$4:$R$2641&amp;" x "&amp;PriceList!$S$4:$S$2641,PriceList!$M$4:$M$2641=A208,"")))</f>
        <v>139.192 x 146.304 x 3.556</v>
      </c>
      <c r="G208" t="str" cm="1">
        <f t="array" ref="G208">INDEX(_xlfn._xlws.FILTER(PriceList!$P$4:$P$2641,PriceList!$M$4:$M$2641=A208,""),1)</f>
        <v>O Ring - FPM/FKM/VitonÂ®</v>
      </c>
    </row>
    <row r="209" spans="1:7" x14ac:dyDescent="0.45">
      <c r="A209" t="s">
        <v>4246</v>
      </c>
      <c r="B209">
        <f>COUNTIF(PriceList!$M$4:$M$2641,A209)</f>
        <v>2</v>
      </c>
      <c r="C209" t="str">
        <f>IF(B209=1,"1:1","1:Many")</f>
        <v>1:Many</v>
      </c>
      <c r="D209" s="42" t="str" cm="1">
        <f t="array" ref="D209">_xlfn.TEXTJOIN(" | ",TRUE,_xlfn._xlws.FILTER(PriceList!$B$4:$B$2641,PriceList!$M$4:$M$2641=A209,""))</f>
        <v>OR7N 142.47-3.53 | OR9N 142.47-3.53</v>
      </c>
      <c r="E209" t="str" cm="1">
        <f t="array" ref="E209">_xlfn.TEXTJOIN(", ",TRUE,_xlfn._xlws.FILTER(ROW(PriceList!$B$4:$B$2641),PriceList!$M$4:$M$2641=A209,""))</f>
        <v>828, 1395</v>
      </c>
      <c r="F209" s="42" t="str" cm="1">
        <f t="array" ref="F209">_xlfn.TEXTJOIN(" | ",TRUE,_xlfn.UNIQUE(_xlfn._xlws.FILTER(PriceList!$Q$4:$Q$2641&amp;" x "&amp;PriceList!$R$4:$R$2641&amp;" x "&amp;PriceList!$S$4:$S$2641,PriceList!$M$4:$M$2641=A209,"")))</f>
        <v>142.494 x 149.606 x 3.556</v>
      </c>
      <c r="G209" t="str" cm="1">
        <f t="array" ref="G209">INDEX(_xlfn._xlws.FILTER(PriceList!$P$4:$P$2641,PriceList!$M$4:$M$2641=A209,""),1)</f>
        <v>O Ring - NBR 70</v>
      </c>
    </row>
    <row r="210" spans="1:7" x14ac:dyDescent="0.45">
      <c r="A210" t="s">
        <v>5092</v>
      </c>
      <c r="B210">
        <f>COUNTIF(PriceList!$M$4:$M$2641,A210)</f>
        <v>1</v>
      </c>
      <c r="C210" t="str">
        <f>IF(B210=1,"1:1","1:Many")</f>
        <v>1:1</v>
      </c>
      <c r="D210" s="42" t="str" cm="1">
        <f t="array" ref="D210">_xlfn.TEXTJOIN(" | ",TRUE,_xlfn._xlws.FILTER(PriceList!$B$4:$B$2641,PriceList!$M$4:$M$2641=A210,""))</f>
        <v>ORV8 142.47-3.53</v>
      </c>
      <c r="E210" t="str" cm="1">
        <f t="array" ref="E210">_xlfn.TEXTJOIN(", ",TRUE,_xlfn._xlws.FILTER(ROW(PriceList!$B$4:$B$2641),PriceList!$M$4:$M$2641=A210,""))</f>
        <v>2037</v>
      </c>
      <c r="F210" s="42" t="str" cm="1">
        <f t="array" ref="F210">_xlfn.TEXTJOIN(" | ",TRUE,_xlfn.UNIQUE(_xlfn._xlws.FILTER(PriceList!$Q$4:$Q$2641&amp;" x "&amp;PriceList!$R$4:$R$2641&amp;" x "&amp;PriceList!$S$4:$S$2641,PriceList!$M$4:$M$2641=A210,"")))</f>
        <v>142.494 x 149.606 x 3.556</v>
      </c>
      <c r="G210" t="str" cm="1">
        <f t="array" ref="G210">INDEX(_xlfn._xlws.FILTER(PriceList!$P$4:$P$2641,PriceList!$M$4:$M$2641=A210,""),1)</f>
        <v>O Ring - FPM/FKM/VitonÂ®</v>
      </c>
    </row>
    <row r="211" spans="1:7" x14ac:dyDescent="0.45">
      <c r="A211" t="s">
        <v>4250</v>
      </c>
      <c r="B211">
        <f>COUNTIF(PriceList!$M$4:$M$2641,A211)</f>
        <v>2</v>
      </c>
      <c r="C211" t="str">
        <f>IF(B211=1,"1:1","1:Many")</f>
        <v>1:Many</v>
      </c>
      <c r="D211" s="42" t="str" cm="1">
        <f t="array" ref="D211">_xlfn.TEXTJOIN(" | ",TRUE,_xlfn._xlws.FILTER(PriceList!$B$4:$B$2641,PriceList!$M$4:$M$2641=A211,""))</f>
        <v>OR7N 145.64-3.53 | OR9N 145.64-3.53</v>
      </c>
      <c r="E211" t="str" cm="1">
        <f t="array" ref="E211">_xlfn.TEXTJOIN(", ",TRUE,_xlfn._xlws.FILTER(ROW(PriceList!$B$4:$B$2641),PriceList!$M$4:$M$2641=A211,""))</f>
        <v>832, 1400</v>
      </c>
      <c r="F211" s="42" t="str" cm="1">
        <f t="array" ref="F211">_xlfn.TEXTJOIN(" | ",TRUE,_xlfn.UNIQUE(_xlfn._xlws.FILTER(PriceList!$Q$4:$Q$2641&amp;" x "&amp;PriceList!$R$4:$R$2641&amp;" x "&amp;PriceList!$S$4:$S$2641,PriceList!$M$4:$M$2641=A211,"")))</f>
        <v>145.542 x 152.654 x 3.556</v>
      </c>
      <c r="G211" t="str" cm="1">
        <f t="array" ref="G211">INDEX(_xlfn._xlws.FILTER(PriceList!$P$4:$P$2641,PriceList!$M$4:$M$2641=A211,""),1)</f>
        <v>O Ring - NBR 70</v>
      </c>
    </row>
    <row r="212" spans="1:7" x14ac:dyDescent="0.45">
      <c r="A212" t="s">
        <v>5098</v>
      </c>
      <c r="B212">
        <f>COUNTIF(PriceList!$M$4:$M$2641,A212)</f>
        <v>1</v>
      </c>
      <c r="C212" t="str">
        <f>IF(B212=1,"1:1","1:Many")</f>
        <v>1:1</v>
      </c>
      <c r="D212" s="42" t="str" cm="1">
        <f t="array" ref="D212">_xlfn.TEXTJOIN(" | ",TRUE,_xlfn._xlws.FILTER(PriceList!$B$4:$B$2641,PriceList!$M$4:$M$2641=A212,""))</f>
        <v>ORV8 145.64-3.53</v>
      </c>
      <c r="E212" t="str" cm="1">
        <f t="array" ref="E212">_xlfn.TEXTJOIN(", ",TRUE,_xlfn._xlws.FILTER(ROW(PriceList!$B$4:$B$2641),PriceList!$M$4:$M$2641=A212,""))</f>
        <v>2042</v>
      </c>
      <c r="F212" s="42" t="str" cm="1">
        <f t="array" ref="F212">_xlfn.TEXTJOIN(" | ",TRUE,_xlfn.UNIQUE(_xlfn._xlws.FILTER(PriceList!$Q$4:$Q$2641&amp;" x "&amp;PriceList!$R$4:$R$2641&amp;" x "&amp;PriceList!$S$4:$S$2641,PriceList!$M$4:$M$2641=A212,"")))</f>
        <v>145.542 x 152.654 x 3.556</v>
      </c>
      <c r="G212" t="str" cm="1">
        <f t="array" ref="G212">INDEX(_xlfn._xlws.FILTER(PriceList!$P$4:$P$2641,PriceList!$M$4:$M$2641=A212,""),1)</f>
        <v>O Ring - FPM/FKM/VitonÂ®</v>
      </c>
    </row>
    <row r="213" spans="1:7" x14ac:dyDescent="0.45">
      <c r="A213" t="s">
        <v>4253</v>
      </c>
      <c r="B213">
        <f>COUNTIF(PriceList!$M$4:$M$2641,A213)</f>
        <v>2</v>
      </c>
      <c r="C213" t="str">
        <f>IF(B213=1,"1:1","1:Many")</f>
        <v>1:Many</v>
      </c>
      <c r="D213" s="42" t="str" cm="1">
        <f t="array" ref="D213">_xlfn.TEXTJOIN(" | ",TRUE,_xlfn._xlws.FILTER(PriceList!$B$4:$B$2641,PriceList!$M$4:$M$2641=A213,""))</f>
        <v>OR7N 148.82-3.53 | OR9N 148.82-3.53</v>
      </c>
      <c r="E213" t="str" cm="1">
        <f t="array" ref="E213">_xlfn.TEXTJOIN(", ",TRUE,_xlfn._xlws.FILTER(ROW(PriceList!$B$4:$B$2641),PriceList!$M$4:$M$2641=A213,""))</f>
        <v>835, 1403</v>
      </c>
      <c r="F213" s="42" t="str" cm="1">
        <f t="array" ref="F213">_xlfn.TEXTJOIN(" | ",TRUE,_xlfn.UNIQUE(_xlfn._xlws.FILTER(PriceList!$Q$4:$Q$2641&amp;" x "&amp;PriceList!$R$4:$R$2641&amp;" x "&amp;PriceList!$S$4:$S$2641,PriceList!$M$4:$M$2641=A213,"")))</f>
        <v>148.844 x 155.956 x 3.556</v>
      </c>
      <c r="G213" t="str" cm="1">
        <f t="array" ref="G213">INDEX(_xlfn._xlws.FILTER(PriceList!$P$4:$P$2641,PriceList!$M$4:$M$2641=A213,""),1)</f>
        <v>O Ring - NBR 70</v>
      </c>
    </row>
    <row r="214" spans="1:7" x14ac:dyDescent="0.45">
      <c r="A214" t="s">
        <v>5102</v>
      </c>
      <c r="B214">
        <f>COUNTIF(PriceList!$M$4:$M$2641,A214)</f>
        <v>1</v>
      </c>
      <c r="C214" t="str">
        <f>IF(B214=1,"1:1","1:Many")</f>
        <v>1:1</v>
      </c>
      <c r="D214" s="42" t="str" cm="1">
        <f t="array" ref="D214">_xlfn.TEXTJOIN(" | ",TRUE,_xlfn._xlws.FILTER(PriceList!$B$4:$B$2641,PriceList!$M$4:$M$2641=A214,""))</f>
        <v>ORV8 148.82-3.53</v>
      </c>
      <c r="E214" t="str" cm="1">
        <f t="array" ref="E214">_xlfn.TEXTJOIN(", ",TRUE,_xlfn._xlws.FILTER(ROW(PriceList!$B$4:$B$2641),PriceList!$M$4:$M$2641=A214,""))</f>
        <v>2046</v>
      </c>
      <c r="F214" s="42" t="str" cm="1">
        <f t="array" ref="F214">_xlfn.TEXTJOIN(" | ",TRUE,_xlfn.UNIQUE(_xlfn._xlws.FILTER(PriceList!$Q$4:$Q$2641&amp;" x "&amp;PriceList!$R$4:$R$2641&amp;" x "&amp;PriceList!$S$4:$S$2641,PriceList!$M$4:$M$2641=A214,"")))</f>
        <v>148.844 x 155.956 x 3.556</v>
      </c>
      <c r="G214" t="str" cm="1">
        <f t="array" ref="G214">INDEX(_xlfn._xlws.FILTER(PriceList!$P$4:$P$2641,PriceList!$M$4:$M$2641=A214,""),1)</f>
        <v>O Ring - FPM/FKM/VitonÂ®</v>
      </c>
    </row>
    <row r="215" spans="1:7" x14ac:dyDescent="0.45">
      <c r="A215" t="s">
        <v>4257</v>
      </c>
      <c r="B215">
        <f>COUNTIF(PriceList!$M$4:$M$2641,A215)</f>
        <v>2</v>
      </c>
      <c r="C215" t="str">
        <f>IF(B215=1,"1:1","1:Many")</f>
        <v>1:Many</v>
      </c>
      <c r="D215" s="42" t="str" cm="1">
        <f t="array" ref="D215">_xlfn.TEXTJOIN(" | ",TRUE,_xlfn._xlws.FILTER(PriceList!$B$4:$B$2641,PriceList!$M$4:$M$2641=A215,""))</f>
        <v>OR7N 151.99-3.53 | OR9N 151.99-3.53</v>
      </c>
      <c r="E215" t="str" cm="1">
        <f t="array" ref="E215">_xlfn.TEXTJOIN(", ",TRUE,_xlfn._xlws.FILTER(ROW(PriceList!$B$4:$B$2641),PriceList!$M$4:$M$2641=A215,""))</f>
        <v>839, 1409</v>
      </c>
      <c r="F215" s="42" t="str" cm="1">
        <f t="array" ref="F215">_xlfn.TEXTJOIN(" | ",TRUE,_xlfn.UNIQUE(_xlfn._xlws.FILTER(PriceList!$Q$4:$Q$2641&amp;" x "&amp;PriceList!$R$4:$R$2641&amp;" x "&amp;PriceList!$S$4:$S$2641,PriceList!$M$4:$M$2641=A215,"")))</f>
        <v>151.892 x 159.004 x 3.556</v>
      </c>
      <c r="G215" t="str" cm="1">
        <f t="array" ref="G215">INDEX(_xlfn._xlws.FILTER(PriceList!$P$4:$P$2641,PriceList!$M$4:$M$2641=A215,""),1)</f>
        <v>O Ring - NBR 70</v>
      </c>
    </row>
    <row r="216" spans="1:7" x14ac:dyDescent="0.45">
      <c r="A216" t="s">
        <v>5109</v>
      </c>
      <c r="B216">
        <f>COUNTIF(PriceList!$M$4:$M$2641,A216)</f>
        <v>2</v>
      </c>
      <c r="C216" t="str">
        <f>IF(B216=1,"1:1","1:Many")</f>
        <v>1:Many</v>
      </c>
      <c r="D216" s="42" t="str" cm="1">
        <f t="array" ref="D216">_xlfn.TEXTJOIN(" | ",TRUE,_xlfn._xlws.FILTER(PriceList!$B$4:$B$2641,PriceList!$M$4:$M$2641=A216,""))</f>
        <v>ORV8 151.99-3.53 | ORV8 152-4</v>
      </c>
      <c r="E216" t="str" cm="1">
        <f t="array" ref="E216">_xlfn.TEXTJOIN(", ",TRUE,_xlfn._xlws.FILTER(ROW(PriceList!$B$4:$B$2641),PriceList!$M$4:$M$2641=A216,""))</f>
        <v>2053, 2055</v>
      </c>
      <c r="F216" s="42" t="str" cm="1">
        <f t="array" ref="F216">_xlfn.TEXTJOIN(" | ",TRUE,_xlfn.UNIQUE(_xlfn._xlws.FILTER(PriceList!$Q$4:$Q$2641&amp;" x "&amp;PriceList!$R$4:$R$2641&amp;" x "&amp;PriceList!$S$4:$S$2641,PriceList!$M$4:$M$2641=A216,"")))</f>
        <v>151.892 x 159.004 x 3.556</v>
      </c>
      <c r="G216" t="str" cm="1">
        <f t="array" ref="G216">INDEX(_xlfn._xlws.FILTER(PriceList!$P$4:$P$2641,PriceList!$M$4:$M$2641=A216,""),1)</f>
        <v>O Ring - FPM/FKM/VitonÂ®</v>
      </c>
    </row>
    <row r="217" spans="1:7" x14ac:dyDescent="0.45">
      <c r="A217" t="s">
        <v>4261</v>
      </c>
      <c r="B217">
        <f>COUNTIF(PriceList!$M$4:$M$2641,A217)</f>
        <v>2</v>
      </c>
      <c r="C217" t="str">
        <f>IF(B217=1,"1:1","1:Many")</f>
        <v>1:Many</v>
      </c>
      <c r="D217" s="42" t="str" cm="1">
        <f t="array" ref="D217">_xlfn.TEXTJOIN(" | ",TRUE,_xlfn._xlws.FILTER(PriceList!$B$4:$B$2641,PriceList!$M$4:$M$2641=A217,""))</f>
        <v>OR7N 158.34-3.53 | OR9N 158.34-3.53</v>
      </c>
      <c r="E217" t="str" cm="1">
        <f t="array" ref="E217">_xlfn.TEXTJOIN(", ",TRUE,_xlfn._xlws.FILTER(ROW(PriceList!$B$4:$B$2641),PriceList!$M$4:$M$2641=A217,""))</f>
        <v>843, 1415</v>
      </c>
      <c r="F217" s="42" t="str" cm="1">
        <f t="array" ref="F217">_xlfn.TEXTJOIN(" | ",TRUE,_xlfn.UNIQUE(_xlfn._xlws.FILTER(PriceList!$Q$4:$Q$2641&amp;" x "&amp;PriceList!$R$4:$R$2641&amp;" x "&amp;PriceList!$S$4:$S$2641,PriceList!$M$4:$M$2641=A217,"")))</f>
        <v>158.242 x 165.354 x 3.556</v>
      </c>
      <c r="G217" t="str" cm="1">
        <f t="array" ref="G217">INDEX(_xlfn._xlws.FILTER(PriceList!$P$4:$P$2641,PriceList!$M$4:$M$2641=A217,""),1)</f>
        <v>O Ring - NBR 70</v>
      </c>
    </row>
    <row r="218" spans="1:7" x14ac:dyDescent="0.45">
      <c r="A218" t="s">
        <v>5119</v>
      </c>
      <c r="B218">
        <f>COUNTIF(PriceList!$M$4:$M$2641,A218)</f>
        <v>1</v>
      </c>
      <c r="C218" t="str">
        <f>IF(B218=1,"1:1","1:Many")</f>
        <v>1:1</v>
      </c>
      <c r="D218" s="42" t="str" cm="1">
        <f t="array" ref="D218">_xlfn.TEXTJOIN(" | ",TRUE,_xlfn._xlws.FILTER(PriceList!$B$4:$B$2641,PriceList!$M$4:$M$2641=A218,""))</f>
        <v>ORV8 158.34-3.53</v>
      </c>
      <c r="E218" t="str" cm="1">
        <f t="array" ref="E218">_xlfn.TEXTJOIN(", ",TRUE,_xlfn._xlws.FILTER(ROW(PriceList!$B$4:$B$2641),PriceList!$M$4:$M$2641=A218,""))</f>
        <v>2063</v>
      </c>
      <c r="F218" s="42" t="str" cm="1">
        <f t="array" ref="F218">_xlfn.TEXTJOIN(" | ",TRUE,_xlfn.UNIQUE(_xlfn._xlws.FILTER(PriceList!$Q$4:$Q$2641&amp;" x "&amp;PriceList!$R$4:$R$2641&amp;" x "&amp;PriceList!$S$4:$S$2641,PriceList!$M$4:$M$2641=A218,"")))</f>
        <v>158.242 x 165.354 x 3.556</v>
      </c>
      <c r="G218" t="str" cm="1">
        <f t="array" ref="G218">INDEX(_xlfn._xlws.FILTER(PriceList!$P$4:$P$2641,PriceList!$M$4:$M$2641=A218,""),1)</f>
        <v>O Ring - FPM/FKM/VitonÂ®</v>
      </c>
    </row>
    <row r="219" spans="1:7" x14ac:dyDescent="0.45">
      <c r="A219" t="s">
        <v>4266</v>
      </c>
      <c r="B219">
        <f>COUNTIF(PriceList!$M$4:$M$2641,A219)</f>
        <v>2</v>
      </c>
      <c r="C219" t="str">
        <f>IF(B219=1,"1:1","1:Many")</f>
        <v>1:Many</v>
      </c>
      <c r="D219" s="42" t="str" cm="1">
        <f t="array" ref="D219">_xlfn.TEXTJOIN(" | ",TRUE,_xlfn._xlws.FILTER(PriceList!$B$4:$B$2641,PriceList!$M$4:$M$2641=A219,""))</f>
        <v>OR7N 164.69-3.53 | OR9N 164.69-3.53</v>
      </c>
      <c r="E219" t="str" cm="1">
        <f t="array" ref="E219">_xlfn.TEXTJOIN(", ",TRUE,_xlfn._xlws.FILTER(ROW(PriceList!$B$4:$B$2641),PriceList!$M$4:$M$2641=A219,""))</f>
        <v>848, 1423</v>
      </c>
      <c r="F219" s="42" t="str" cm="1">
        <f t="array" ref="F219">_xlfn.TEXTJOIN(" | ",TRUE,_xlfn.UNIQUE(_xlfn._xlws.FILTER(PriceList!$Q$4:$Q$2641&amp;" x "&amp;PriceList!$R$4:$R$2641&amp;" x "&amp;PriceList!$S$4:$S$2641,PriceList!$M$4:$M$2641=A219,"")))</f>
        <v>164.592 x 171.704 x 3.556</v>
      </c>
      <c r="G219" t="str" cm="1">
        <f t="array" ref="G219">INDEX(_xlfn._xlws.FILTER(PriceList!$P$4:$P$2641,PriceList!$M$4:$M$2641=A219,""),1)</f>
        <v>O Ring - NBR 70</v>
      </c>
    </row>
    <row r="220" spans="1:7" x14ac:dyDescent="0.45">
      <c r="A220" t="s">
        <v>5126</v>
      </c>
      <c r="B220">
        <f>COUNTIF(PriceList!$M$4:$M$2641,A220)</f>
        <v>1</v>
      </c>
      <c r="C220" t="str">
        <f>IF(B220=1,"1:1","1:Many")</f>
        <v>1:1</v>
      </c>
      <c r="D220" s="42" t="str" cm="1">
        <f t="array" ref="D220">_xlfn.TEXTJOIN(" | ",TRUE,_xlfn._xlws.FILTER(PriceList!$B$4:$B$2641,PriceList!$M$4:$M$2641=A220,""))</f>
        <v>ORV8 164.69-3.53</v>
      </c>
      <c r="E220" t="str" cm="1">
        <f t="array" ref="E220">_xlfn.TEXTJOIN(", ",TRUE,_xlfn._xlws.FILTER(ROW(PriceList!$B$4:$B$2641),PriceList!$M$4:$M$2641=A220,""))</f>
        <v>2070</v>
      </c>
      <c r="F220" s="42" t="str" cm="1">
        <f t="array" ref="F220">_xlfn.TEXTJOIN(" | ",TRUE,_xlfn.UNIQUE(_xlfn._xlws.FILTER(PriceList!$Q$4:$Q$2641&amp;" x "&amp;PriceList!$R$4:$R$2641&amp;" x "&amp;PriceList!$S$4:$S$2641,PriceList!$M$4:$M$2641=A220,"")))</f>
        <v>164.592 x 171.704 x 3.556</v>
      </c>
      <c r="G220" t="str" cm="1">
        <f t="array" ref="G220">INDEX(_xlfn._xlws.FILTER(PriceList!$P$4:$P$2641,PriceList!$M$4:$M$2641=A220,""),1)</f>
        <v>O Ring - FPM/FKM/VitonÂ®</v>
      </c>
    </row>
    <row r="221" spans="1:7" x14ac:dyDescent="0.45">
      <c r="A221" t="s">
        <v>4270</v>
      </c>
      <c r="B221">
        <f>COUNTIF(PriceList!$M$4:$M$2641,A221)</f>
        <v>2</v>
      </c>
      <c r="C221" t="str">
        <f>IF(B221=1,"1:1","1:Many")</f>
        <v>1:Many</v>
      </c>
      <c r="D221" s="42" t="str" cm="1">
        <f t="array" ref="D221">_xlfn.TEXTJOIN(" | ",TRUE,_xlfn._xlws.FILTER(PriceList!$B$4:$B$2641,PriceList!$M$4:$M$2641=A221,""))</f>
        <v>OR7N 171.04-3.53 | OR9N 171.04-3.53</v>
      </c>
      <c r="E221" t="str" cm="1">
        <f t="array" ref="E221">_xlfn.TEXTJOIN(", ",TRUE,_xlfn._xlws.FILTER(ROW(PriceList!$B$4:$B$2641),PriceList!$M$4:$M$2641=A221,""))</f>
        <v>852, 1429</v>
      </c>
      <c r="F221" s="42" t="str" cm="1">
        <f t="array" ref="F221">_xlfn.TEXTJOIN(" | ",TRUE,_xlfn.UNIQUE(_xlfn._xlws.FILTER(PriceList!$Q$4:$Q$2641&amp;" x "&amp;PriceList!$R$4:$R$2641&amp;" x "&amp;PriceList!$S$4:$S$2641,PriceList!$M$4:$M$2641=A221,"")))</f>
        <v>170.942 x 178.054 x 3.556</v>
      </c>
      <c r="G221" t="str" cm="1">
        <f t="array" ref="G221">INDEX(_xlfn._xlws.FILTER(PriceList!$P$4:$P$2641,PriceList!$M$4:$M$2641=A221,""),1)</f>
        <v>O Ring - NBR 70</v>
      </c>
    </row>
    <row r="222" spans="1:7" x14ac:dyDescent="0.45">
      <c r="A222" t="s">
        <v>5133</v>
      </c>
      <c r="B222">
        <f>COUNTIF(PriceList!$M$4:$M$2641,A222)</f>
        <v>1</v>
      </c>
      <c r="C222" t="str">
        <f>IF(B222=1,"1:1","1:Many")</f>
        <v>1:1</v>
      </c>
      <c r="D222" s="42" t="str" cm="1">
        <f t="array" ref="D222">_xlfn.TEXTJOIN(" | ",TRUE,_xlfn._xlws.FILTER(PriceList!$B$4:$B$2641,PriceList!$M$4:$M$2641=A222,""))</f>
        <v>ORV8 171.04-3.53</v>
      </c>
      <c r="E222" t="str" cm="1">
        <f t="array" ref="E222">_xlfn.TEXTJOIN(", ",TRUE,_xlfn._xlws.FILTER(ROW(PriceList!$B$4:$B$2641),PriceList!$M$4:$M$2641=A222,""))</f>
        <v>2076</v>
      </c>
      <c r="F222" s="42" t="str" cm="1">
        <f t="array" ref="F222">_xlfn.TEXTJOIN(" | ",TRUE,_xlfn.UNIQUE(_xlfn._xlws.FILTER(PriceList!$Q$4:$Q$2641&amp;" x "&amp;PriceList!$R$4:$R$2641&amp;" x "&amp;PriceList!$S$4:$S$2641,PriceList!$M$4:$M$2641=A222,"")))</f>
        <v>170.942 x 178.054 x 3.556</v>
      </c>
      <c r="G222" t="str" cm="1">
        <f t="array" ref="G222">INDEX(_xlfn._xlws.FILTER(PriceList!$P$4:$P$2641,PriceList!$M$4:$M$2641=A222,""),1)</f>
        <v>O Ring - FPM/FKM/VitonÂ®</v>
      </c>
    </row>
    <row r="223" spans="1:7" x14ac:dyDescent="0.45">
      <c r="A223" t="s">
        <v>4275</v>
      </c>
      <c r="B223">
        <f>COUNTIF(PriceList!$M$4:$M$2641,A223)</f>
        <v>2</v>
      </c>
      <c r="C223" t="str">
        <f>IF(B223=1,"1:1","1:Many")</f>
        <v>1:Many</v>
      </c>
      <c r="D223" s="42" t="str" cm="1">
        <f t="array" ref="D223">_xlfn.TEXTJOIN(" | ",TRUE,_xlfn._xlws.FILTER(PriceList!$B$4:$B$2641,PriceList!$M$4:$M$2641=A223,""))</f>
        <v>OR7N 177.39-3.53 | OR9N 177.39-3.53</v>
      </c>
      <c r="E223" t="str" cm="1">
        <f t="array" ref="E223">_xlfn.TEXTJOIN(", ",TRUE,_xlfn._xlws.FILTER(ROW(PriceList!$B$4:$B$2641),PriceList!$M$4:$M$2641=A223,""))</f>
        <v>857, 1436</v>
      </c>
      <c r="F223" s="42" t="str" cm="1">
        <f t="array" ref="F223">_xlfn.TEXTJOIN(" | ",TRUE,_xlfn.UNIQUE(_xlfn._xlws.FILTER(PriceList!$Q$4:$Q$2641&amp;" x "&amp;PriceList!$R$4:$R$2641&amp;" x "&amp;PriceList!$S$4:$S$2641,PriceList!$M$4:$M$2641=A223,"")))</f>
        <v>177.292 x 184.404 x 3.556</v>
      </c>
      <c r="G223" t="str" cm="1">
        <f t="array" ref="G223">INDEX(_xlfn._xlws.FILTER(PriceList!$P$4:$P$2641,PriceList!$M$4:$M$2641=A223,""),1)</f>
        <v>O Ring - NBR 70</v>
      </c>
    </row>
    <row r="224" spans="1:7" x14ac:dyDescent="0.45">
      <c r="A224" t="s">
        <v>5137</v>
      </c>
      <c r="B224">
        <f>COUNTIF(PriceList!$M$4:$M$2641,A224)</f>
        <v>1</v>
      </c>
      <c r="C224" t="str">
        <f>IF(B224=1,"1:1","1:Many")</f>
        <v>1:1</v>
      </c>
      <c r="D224" s="42" t="str" cm="1">
        <f t="array" ref="D224">_xlfn.TEXTJOIN(" | ",TRUE,_xlfn._xlws.FILTER(PriceList!$B$4:$B$2641,PriceList!$M$4:$M$2641=A224,""))</f>
        <v>ORV8 177.39-3.53</v>
      </c>
      <c r="E224" t="str" cm="1">
        <f t="array" ref="E224">_xlfn.TEXTJOIN(", ",TRUE,_xlfn._xlws.FILTER(ROW(PriceList!$B$4:$B$2641),PriceList!$M$4:$M$2641=A224,""))</f>
        <v>2080</v>
      </c>
      <c r="F224" s="42" t="str" cm="1">
        <f t="array" ref="F224">_xlfn.TEXTJOIN(" | ",TRUE,_xlfn.UNIQUE(_xlfn._xlws.FILTER(PriceList!$Q$4:$Q$2641&amp;" x "&amp;PriceList!$R$4:$R$2641&amp;" x "&amp;PriceList!$S$4:$S$2641,PriceList!$M$4:$M$2641=A224,"")))</f>
        <v>177.292 x 184.404 x 3.556</v>
      </c>
      <c r="G224" t="str" cm="1">
        <f t="array" ref="G224">INDEX(_xlfn._xlws.FILTER(PriceList!$P$4:$P$2641,PriceList!$M$4:$M$2641=A224,""),1)</f>
        <v>O Ring - FPM/FKM/VitonÂ®</v>
      </c>
    </row>
    <row r="225" spans="1:7" x14ac:dyDescent="0.45">
      <c r="A225" t="s">
        <v>4550</v>
      </c>
      <c r="B225">
        <f>COUNTIF(PriceList!$M$4:$M$2641,A225)</f>
        <v>1</v>
      </c>
      <c r="C225" t="str">
        <f>IF(B225=1,"1:1","1:Many")</f>
        <v>1:1</v>
      </c>
      <c r="D225" s="42" t="str" cm="1">
        <f t="array" ref="D225">_xlfn.TEXTJOIN(" | ",TRUE,_xlfn._xlws.FILTER(PriceList!$B$4:$B$2641,PriceList!$M$4:$M$2641=A225,""))</f>
        <v>OR9N 183.74-3.53</v>
      </c>
      <c r="E225" t="str" cm="1">
        <f t="array" ref="E225">_xlfn.TEXTJOIN(", ",TRUE,_xlfn._xlws.FILTER(ROW(PriceList!$B$4:$B$2641),PriceList!$M$4:$M$2641=A225,""))</f>
        <v>1441</v>
      </c>
      <c r="F225" s="42" t="str" cm="1">
        <f t="array" ref="F225">_xlfn.TEXTJOIN(" | ",TRUE,_xlfn.UNIQUE(_xlfn._xlws.FILTER(PriceList!$Q$4:$Q$2641&amp;" x "&amp;PriceList!$R$4:$R$2641&amp;" x "&amp;PriceList!$S$4:$S$2641,PriceList!$M$4:$M$2641=A225,"")))</f>
        <v>183.642 x 190.754 x 3.556</v>
      </c>
      <c r="G225" t="str" cm="1">
        <f t="array" ref="G225">INDEX(_xlfn._xlws.FILTER(PriceList!$P$4:$P$2641,PriceList!$M$4:$M$2641=A225,""),1)</f>
        <v>O Ring - NBR 70</v>
      </c>
    </row>
    <row r="226" spans="1:7" x14ac:dyDescent="0.45">
      <c r="A226" t="s">
        <v>4286</v>
      </c>
      <c r="B226">
        <f>COUNTIF(PriceList!$M$4:$M$2641,A226)</f>
        <v>2</v>
      </c>
      <c r="C226" t="str">
        <f>IF(B226=1,"1:1","1:Many")</f>
        <v>1:Many</v>
      </c>
      <c r="D226" s="42" t="str" cm="1">
        <f t="array" ref="D226">_xlfn.TEXTJOIN(" | ",TRUE,_xlfn._xlws.FILTER(PriceList!$B$4:$B$2641,PriceList!$M$4:$M$2641=A226,""))</f>
        <v>OR7N 196.44-3.53 | OR9N 196.44-3.53</v>
      </c>
      <c r="E226" t="str" cm="1">
        <f t="array" ref="E226">_xlfn.TEXTJOIN(", ",TRUE,_xlfn._xlws.FILTER(ROW(PriceList!$B$4:$B$2641),PriceList!$M$4:$M$2641=A226,""))</f>
        <v>868, 1453</v>
      </c>
      <c r="F226" s="42" t="str" cm="1">
        <f t="array" ref="F226">_xlfn.TEXTJOIN(" | ",TRUE,_xlfn.UNIQUE(_xlfn._xlws.FILTER(PriceList!$Q$4:$Q$2641&amp;" x "&amp;PriceList!$R$4:$R$2641&amp;" x "&amp;PriceList!$S$4:$S$2641,PriceList!$M$4:$M$2641=A226,"")))</f>
        <v>196.342 x 203.454 x 3.556</v>
      </c>
      <c r="G226" t="str" cm="1">
        <f t="array" ref="G226">INDEX(_xlfn._xlws.FILTER(PriceList!$P$4:$P$2641,PriceList!$M$4:$M$2641=A226,""),1)</f>
        <v>O Ring - NBR 70</v>
      </c>
    </row>
    <row r="227" spans="1:7" x14ac:dyDescent="0.45">
      <c r="A227" t="s">
        <v>5157</v>
      </c>
      <c r="B227">
        <f>COUNTIF(PriceList!$M$4:$M$2641,A227)</f>
        <v>1</v>
      </c>
      <c r="C227" t="str">
        <f>IF(B227=1,"1:1","1:Many")</f>
        <v>1:1</v>
      </c>
      <c r="D227" s="42" t="str" cm="1">
        <f t="array" ref="D227">_xlfn.TEXTJOIN(" | ",TRUE,_xlfn._xlws.FILTER(PriceList!$B$4:$B$2641,PriceList!$M$4:$M$2641=A227,""))</f>
        <v>ORV8 196.44-3.53</v>
      </c>
      <c r="E227" t="str" cm="1">
        <f t="array" ref="E227">_xlfn.TEXTJOIN(", ",TRUE,_xlfn._xlws.FILTER(ROW(PriceList!$B$4:$B$2641),PriceList!$M$4:$M$2641=A227,""))</f>
        <v>2098</v>
      </c>
      <c r="F227" s="42" t="str" cm="1">
        <f t="array" ref="F227">_xlfn.TEXTJOIN(" | ",TRUE,_xlfn.UNIQUE(_xlfn._xlws.FILTER(PriceList!$Q$4:$Q$2641&amp;" x "&amp;PriceList!$R$4:$R$2641&amp;" x "&amp;PriceList!$S$4:$S$2641,PriceList!$M$4:$M$2641=A227,"")))</f>
        <v>196.342 x 203.454 x 3.556</v>
      </c>
      <c r="G227" t="str" cm="1">
        <f t="array" ref="G227">INDEX(_xlfn._xlws.FILTER(PriceList!$P$4:$P$2641,PriceList!$M$4:$M$2641=A227,""),1)</f>
        <v>O Ring - FPM/FKM/VitonÂ®</v>
      </c>
    </row>
    <row r="228" spans="1:7" x14ac:dyDescent="0.45">
      <c r="A228" t="s">
        <v>4289</v>
      </c>
      <c r="B228">
        <f>COUNTIF(PriceList!$M$4:$M$2641,A228)</f>
        <v>2</v>
      </c>
      <c r="C228" t="str">
        <f>IF(B228=1,"1:1","1:Many")</f>
        <v>1:Many</v>
      </c>
      <c r="D228" s="42" t="str" cm="1">
        <f t="array" ref="D228">_xlfn.TEXTJOIN(" | ",TRUE,_xlfn._xlws.FILTER(PriceList!$B$4:$B$2641,PriceList!$M$4:$M$2641=A228,""))</f>
        <v>OR7N 202.79-3.53 | OR9N 202.79-3.53</v>
      </c>
      <c r="E228" t="str" cm="1">
        <f t="array" ref="E228">_xlfn.TEXTJOIN(", ",TRUE,_xlfn._xlws.FILTER(ROW(PriceList!$B$4:$B$2641),PriceList!$M$4:$M$2641=A228,""))</f>
        <v>871, 1458</v>
      </c>
      <c r="F228" s="42" t="str" cm="1">
        <f t="array" ref="F228">_xlfn.TEXTJOIN(" | ",TRUE,_xlfn.UNIQUE(_xlfn._xlws.FILTER(PriceList!$Q$4:$Q$2641&amp;" x "&amp;PriceList!$R$4:$R$2641&amp;" x "&amp;PriceList!$S$4:$S$2641,PriceList!$M$4:$M$2641=A228,"")))</f>
        <v>202.692 x 209.804 x 3.556</v>
      </c>
      <c r="G228" t="str" cm="1">
        <f t="array" ref="G228">INDEX(_xlfn._xlws.FILTER(PriceList!$P$4:$P$2641,PriceList!$M$4:$M$2641=A228,""),1)</f>
        <v>O Ring - NBR 70</v>
      </c>
    </row>
    <row r="229" spans="1:7" x14ac:dyDescent="0.45">
      <c r="A229" t="s">
        <v>5159</v>
      </c>
      <c r="B229">
        <f>COUNTIF(PriceList!$M$4:$M$2641,A229)</f>
        <v>1</v>
      </c>
      <c r="C229" t="str">
        <f>IF(B229=1,"1:1","1:Many")</f>
        <v>1:1</v>
      </c>
      <c r="D229" s="42" t="str" cm="1">
        <f t="array" ref="D229">_xlfn.TEXTJOIN(" | ",TRUE,_xlfn._xlws.FILTER(PriceList!$B$4:$B$2641,PriceList!$M$4:$M$2641=A229,""))</f>
        <v>ORV8 202.57-3.53</v>
      </c>
      <c r="E229" t="str" cm="1">
        <f t="array" ref="E229">_xlfn.TEXTJOIN(", ",TRUE,_xlfn._xlws.FILTER(ROW(PriceList!$B$4:$B$2641),PriceList!$M$4:$M$2641=A229,""))</f>
        <v>2101</v>
      </c>
      <c r="F229" s="42" t="str" cm="1">
        <f t="array" ref="F229">_xlfn.TEXTJOIN(" | ",TRUE,_xlfn.UNIQUE(_xlfn._xlws.FILTER(PriceList!$Q$4:$Q$2641&amp;" x "&amp;PriceList!$R$4:$R$2641&amp;" x "&amp;PriceList!$S$4:$S$2641,PriceList!$M$4:$M$2641=A229,"")))</f>
        <v>202.692 x 209.804 x 3.556</v>
      </c>
      <c r="G229" t="str" cm="1">
        <f t="array" ref="G229">INDEX(_xlfn._xlws.FILTER(PriceList!$P$4:$P$2641,PriceList!$M$4:$M$2641=A229,""),1)</f>
        <v>O Ring - FPM/FKM/VitonÂ®</v>
      </c>
    </row>
    <row r="230" spans="1:7" x14ac:dyDescent="0.45">
      <c r="A230" t="s">
        <v>4292</v>
      </c>
      <c r="B230">
        <f>COUNTIF(PriceList!$M$4:$M$2641,A230)</f>
        <v>2</v>
      </c>
      <c r="C230" t="str">
        <f>IF(B230=1,"1:1","1:Many")</f>
        <v>1:Many</v>
      </c>
      <c r="D230" s="42" t="str" cm="1">
        <f t="array" ref="D230">_xlfn.TEXTJOIN(" | ",TRUE,_xlfn._xlws.FILTER(PriceList!$B$4:$B$2641,PriceList!$M$4:$M$2641=A230,""))</f>
        <v>OR7N 209.14-3.53 | OR9N 209.14-3.53</v>
      </c>
      <c r="E230" t="str" cm="1">
        <f t="array" ref="E230">_xlfn.TEXTJOIN(", ",TRUE,_xlfn._xlws.FILTER(ROW(PriceList!$B$4:$B$2641),PriceList!$M$4:$M$2641=A230,""))</f>
        <v>873, 1463</v>
      </c>
      <c r="F230" s="42" t="str" cm="1">
        <f t="array" ref="F230">_xlfn.TEXTJOIN(" | ",TRUE,_xlfn.UNIQUE(_xlfn._xlws.FILTER(PriceList!$Q$4:$Q$2641&amp;" x "&amp;PriceList!$R$4:$R$2641&amp;" x "&amp;PriceList!$S$4:$S$2641,PriceList!$M$4:$M$2641=A230,"")))</f>
        <v>209.042 x 216.154 x 3.556</v>
      </c>
      <c r="G230" t="str" cm="1">
        <f t="array" ref="G230">INDEX(_xlfn._xlws.FILTER(PriceList!$P$4:$P$2641,PriceList!$M$4:$M$2641=A230,""),1)</f>
        <v>O Ring - NBR 70</v>
      </c>
    </row>
    <row r="231" spans="1:7" x14ac:dyDescent="0.45">
      <c r="A231" t="s">
        <v>5166</v>
      </c>
      <c r="B231">
        <f>COUNTIF(PriceList!$M$4:$M$2641,A231)</f>
        <v>2</v>
      </c>
      <c r="C231" t="str">
        <f>IF(B231=1,"1:1","1:Many")</f>
        <v>1:Many</v>
      </c>
      <c r="D231" s="42" t="str" cm="1">
        <f t="array" ref="D231">_xlfn.TEXTJOIN(" | ",TRUE,_xlfn._xlws.FILTER(PriceList!$B$4:$B$2641,PriceList!$M$4:$M$2641=A231,""))</f>
        <v>ORV8 209.14-3.53 | ORV8 209.4-3.1</v>
      </c>
      <c r="E231" t="str" cm="1">
        <f t="array" ref="E231">_xlfn.TEXTJOIN(", ",TRUE,_xlfn._xlws.FILTER(ROW(PriceList!$B$4:$B$2641),PriceList!$M$4:$M$2641=A231,""))</f>
        <v>2107, 2109</v>
      </c>
      <c r="F231" s="42" t="str" cm="1">
        <f t="array" ref="F231">_xlfn.TEXTJOIN(" | ",TRUE,_xlfn.UNIQUE(_xlfn._xlws.FILTER(PriceList!$Q$4:$Q$2641&amp;" x "&amp;PriceList!$R$4:$R$2641&amp;" x "&amp;PriceList!$S$4:$S$2641,PriceList!$M$4:$M$2641=A231,"")))</f>
        <v>209.042 x 216.154 x 3.556</v>
      </c>
      <c r="G231" t="str" cm="1">
        <f t="array" ref="G231">INDEX(_xlfn._xlws.FILTER(PriceList!$P$4:$P$2641,PriceList!$M$4:$M$2641=A231,""),1)</f>
        <v>O Ring - FPM/FKM/VitonÂ®</v>
      </c>
    </row>
    <row r="232" spans="1:7" x14ac:dyDescent="0.45">
      <c r="A232" t="s">
        <v>4294</v>
      </c>
      <c r="B232">
        <f>COUNTIF(PriceList!$M$4:$M$2641,A232)</f>
        <v>2</v>
      </c>
      <c r="C232" t="str">
        <f>IF(B232=1,"1:1","1:Many")</f>
        <v>1:Many</v>
      </c>
      <c r="D232" s="42" t="str" cm="1">
        <f t="array" ref="D232">_xlfn.TEXTJOIN(" | ",TRUE,_xlfn._xlws.FILTER(PriceList!$B$4:$B$2641,PriceList!$M$4:$M$2641=A232,""))</f>
        <v>OR7N 215.49-3.53 | OR9N 215.49-3.53</v>
      </c>
      <c r="E232" t="str" cm="1">
        <f t="array" ref="E232">_xlfn.TEXTJOIN(", ",TRUE,_xlfn._xlws.FILTER(ROW(PriceList!$B$4:$B$2641),PriceList!$M$4:$M$2641=A232,""))</f>
        <v>875, 1468</v>
      </c>
      <c r="F232" s="42" t="str" cm="1">
        <f t="array" ref="F232">_xlfn.TEXTJOIN(" | ",TRUE,_xlfn.UNIQUE(_xlfn._xlws.FILTER(PriceList!$Q$4:$Q$2641&amp;" x "&amp;PriceList!$R$4:$R$2641&amp;" x "&amp;PriceList!$S$4:$S$2641,PriceList!$M$4:$M$2641=A232,"")))</f>
        <v>215.392 x 222.504 x 3.556</v>
      </c>
      <c r="G232" t="str" cm="1">
        <f t="array" ref="G232">INDEX(_xlfn._xlws.FILTER(PriceList!$P$4:$P$2641,PriceList!$M$4:$M$2641=A232,""),1)</f>
        <v>O Ring - NBR 70</v>
      </c>
    </row>
    <row r="233" spans="1:7" x14ac:dyDescent="0.45">
      <c r="A233" t="s">
        <v>5173</v>
      </c>
      <c r="B233">
        <f>COUNTIF(PriceList!$M$4:$M$2641,A233)</f>
        <v>1</v>
      </c>
      <c r="C233" t="str">
        <f>IF(B233=1,"1:1","1:Many")</f>
        <v>1:1</v>
      </c>
      <c r="D233" s="42" t="str" cm="1">
        <f t="array" ref="D233">_xlfn.TEXTJOIN(" | ",TRUE,_xlfn._xlws.FILTER(PriceList!$B$4:$B$2641,PriceList!$M$4:$M$2641=A233,""))</f>
        <v>ORV8 215.5-3.53</v>
      </c>
      <c r="E233" t="str" cm="1">
        <f t="array" ref="E233">_xlfn.TEXTJOIN(", ",TRUE,_xlfn._xlws.FILTER(ROW(PriceList!$B$4:$B$2641),PriceList!$M$4:$M$2641=A233,""))</f>
        <v>2113</v>
      </c>
      <c r="F233" s="42" t="str" cm="1">
        <f t="array" ref="F233">_xlfn.TEXTJOIN(" | ",TRUE,_xlfn.UNIQUE(_xlfn._xlws.FILTER(PriceList!$Q$4:$Q$2641&amp;" x "&amp;PriceList!$R$4:$R$2641&amp;" x "&amp;PriceList!$S$4:$S$2641,PriceList!$M$4:$M$2641=A233,"")))</f>
        <v>215.392 x 222.504 x 3.556</v>
      </c>
      <c r="G233" t="str" cm="1">
        <f t="array" ref="G233">INDEX(_xlfn._xlws.FILTER(PriceList!$P$4:$P$2641,PriceList!$M$4:$M$2641=A233,""),1)</f>
        <v>O Ring - FPM/FKM/VitonÂ®</v>
      </c>
    </row>
    <row r="234" spans="1:7" x14ac:dyDescent="0.45">
      <c r="A234" t="s">
        <v>4298</v>
      </c>
      <c r="B234">
        <f>COUNTIF(PriceList!$M$4:$M$2641,A234)</f>
        <v>2</v>
      </c>
      <c r="C234" t="str">
        <f>IF(B234=1,"1:1","1:Many")</f>
        <v>1:Many</v>
      </c>
      <c r="D234" s="42" t="str" cm="1">
        <f t="array" ref="D234">_xlfn.TEXTJOIN(" | ",TRUE,_xlfn._xlws.FILTER(PriceList!$B$4:$B$2641,PriceList!$M$4:$M$2641=A234,""))</f>
        <v>OR7N 221.84-3.53 | OR9N 221.84-3.53</v>
      </c>
      <c r="E234" t="str" cm="1">
        <f t="array" ref="E234">_xlfn.TEXTJOIN(", ",TRUE,_xlfn._xlws.FILTER(ROW(PriceList!$B$4:$B$2641),PriceList!$M$4:$M$2641=A234,""))</f>
        <v>878, 1473</v>
      </c>
      <c r="F234" s="42" t="str" cm="1">
        <f t="array" ref="F234">_xlfn.TEXTJOIN(" | ",TRUE,_xlfn.UNIQUE(_xlfn._xlws.FILTER(PriceList!$Q$4:$Q$2641&amp;" x "&amp;PriceList!$R$4:$R$2641&amp;" x "&amp;PriceList!$S$4:$S$2641,PriceList!$M$4:$M$2641=A234,"")))</f>
        <v>221.742 x 228.854 x 3.556</v>
      </c>
      <c r="G234" t="str" cm="1">
        <f t="array" ref="G234">INDEX(_xlfn._xlws.FILTER(PriceList!$P$4:$P$2641,PriceList!$M$4:$M$2641=A234,""),1)</f>
        <v>O Ring - NBR 70</v>
      </c>
    </row>
    <row r="235" spans="1:7" x14ac:dyDescent="0.45">
      <c r="A235" t="s">
        <v>5177</v>
      </c>
      <c r="B235">
        <f>COUNTIF(PriceList!$M$4:$M$2641,A235)</f>
        <v>1</v>
      </c>
      <c r="C235" t="str">
        <f>IF(B235=1,"1:1","1:Many")</f>
        <v>1:1</v>
      </c>
      <c r="D235" s="42" t="str" cm="1">
        <f t="array" ref="D235">_xlfn.TEXTJOIN(" | ",TRUE,_xlfn._xlws.FILTER(PriceList!$B$4:$B$2641,PriceList!$M$4:$M$2641=A235,""))</f>
        <v>ORV8 221.84-3.53</v>
      </c>
      <c r="E235" t="str" cm="1">
        <f t="array" ref="E235">_xlfn.TEXTJOIN(", ",TRUE,_xlfn._xlws.FILTER(ROW(PriceList!$B$4:$B$2641),PriceList!$M$4:$M$2641=A235,""))</f>
        <v>2118</v>
      </c>
      <c r="F235" s="42" t="str" cm="1">
        <f t="array" ref="F235">_xlfn.TEXTJOIN(" | ",TRUE,_xlfn.UNIQUE(_xlfn._xlws.FILTER(PriceList!$Q$4:$Q$2641&amp;" x "&amp;PriceList!$R$4:$R$2641&amp;" x "&amp;PriceList!$S$4:$S$2641,PriceList!$M$4:$M$2641=A235,"")))</f>
        <v>221.742 x 228.854 x 3.556</v>
      </c>
      <c r="G235" t="str" cm="1">
        <f t="array" ref="G235">INDEX(_xlfn._xlws.FILTER(PriceList!$P$4:$P$2641,PriceList!$M$4:$M$2641=A235,""),1)</f>
        <v>O Ring - FPM/FKM/VitonÂ®</v>
      </c>
    </row>
    <row r="236" spans="1:7" x14ac:dyDescent="0.45">
      <c r="A236" t="s">
        <v>4301</v>
      </c>
      <c r="B236">
        <f>COUNTIF(PriceList!$M$4:$M$2641,A236)</f>
        <v>2</v>
      </c>
      <c r="C236" t="str">
        <f>IF(B236=1,"1:1","1:Many")</f>
        <v>1:Many</v>
      </c>
      <c r="D236" s="42" t="str" cm="1">
        <f t="array" ref="D236">_xlfn.TEXTJOIN(" | ",TRUE,_xlfn._xlws.FILTER(PriceList!$B$4:$B$2641,PriceList!$M$4:$M$2641=A236,""))</f>
        <v>OR7N 228.19-3.53 | OR9N 228.19-3.53</v>
      </c>
      <c r="E236" t="str" cm="1">
        <f t="array" ref="E236">_xlfn.TEXTJOIN(", ",TRUE,_xlfn._xlws.FILTER(ROW(PriceList!$B$4:$B$2641),PriceList!$M$4:$M$2641=A236,""))</f>
        <v>881, 1478</v>
      </c>
      <c r="F236" s="42" t="str" cm="1">
        <f t="array" ref="F236">_xlfn.TEXTJOIN(" | ",TRUE,_xlfn.UNIQUE(_xlfn._xlws.FILTER(PriceList!$Q$4:$Q$2641&amp;" x "&amp;PriceList!$R$4:$R$2641&amp;" x "&amp;PriceList!$S$4:$S$2641,PriceList!$M$4:$M$2641=A236,"")))</f>
        <v>228.092 x 235.204 x 3.556</v>
      </c>
      <c r="G236" t="str" cm="1">
        <f t="array" ref="G236">INDEX(_xlfn._xlws.FILTER(PriceList!$P$4:$P$2641,PriceList!$M$4:$M$2641=A236,""),1)</f>
        <v>O Ring - NBR 70</v>
      </c>
    </row>
    <row r="237" spans="1:7" x14ac:dyDescent="0.45">
      <c r="A237" t="s">
        <v>4303</v>
      </c>
      <c r="B237">
        <f>COUNTIF(PriceList!$M$4:$M$2641,A237)</f>
        <v>2</v>
      </c>
      <c r="C237" t="str">
        <f>IF(B237=1,"1:1","1:Many")</f>
        <v>1:Many</v>
      </c>
      <c r="D237" s="42" t="str" cm="1">
        <f t="array" ref="D237">_xlfn.TEXTJOIN(" | ",TRUE,_xlfn._xlws.FILTER(PriceList!$B$4:$B$2641,PriceList!$M$4:$M$2641=A237,""))</f>
        <v>OR7N 234.54-3.53 | OR9N 234.54-3.53</v>
      </c>
      <c r="E237" t="str" cm="1">
        <f t="array" ref="E237">_xlfn.TEXTJOIN(", ",TRUE,_xlfn._xlws.FILTER(ROW(PriceList!$B$4:$B$2641),PriceList!$M$4:$M$2641=A237,""))</f>
        <v>883, 1482</v>
      </c>
      <c r="F237" s="42" t="str" cm="1">
        <f t="array" ref="F237">_xlfn.TEXTJOIN(" | ",TRUE,_xlfn.UNIQUE(_xlfn._xlws.FILTER(PriceList!$Q$4:$Q$2641&amp;" x "&amp;PriceList!$R$4:$R$2641&amp;" x "&amp;PriceList!$S$4:$S$2641,PriceList!$M$4:$M$2641=A237,"")))</f>
        <v>234.442 x 241.554 x 3.556</v>
      </c>
      <c r="G237" t="str" cm="1">
        <f t="array" ref="G237">INDEX(_xlfn._xlws.FILTER(PriceList!$P$4:$P$2641,PriceList!$M$4:$M$2641=A237,""),1)</f>
        <v>O Ring - NBR 70</v>
      </c>
    </row>
    <row r="238" spans="1:7" x14ac:dyDescent="0.45">
      <c r="A238" t="s">
        <v>4571</v>
      </c>
      <c r="B238">
        <f>COUNTIF(PriceList!$M$4:$M$2641,A238)</f>
        <v>1</v>
      </c>
      <c r="C238" t="str">
        <f>IF(B238=1,"1:1","1:Many")</f>
        <v>1:1</v>
      </c>
      <c r="D238" s="42" t="str" cm="1">
        <f t="array" ref="D238">_xlfn.TEXTJOIN(" | ",TRUE,_xlfn._xlws.FILTER(PriceList!$B$4:$B$2641,PriceList!$M$4:$M$2641=A238,""))</f>
        <v>OR9N 240.89-3.53</v>
      </c>
      <c r="E238" t="str" cm="1">
        <f t="array" ref="E238">_xlfn.TEXTJOIN(", ",TRUE,_xlfn._xlws.FILTER(ROW(PriceList!$B$4:$B$2641),PriceList!$M$4:$M$2641=A238,""))</f>
        <v>1487</v>
      </c>
      <c r="F238" s="42" t="str" cm="1">
        <f t="array" ref="F238">_xlfn.TEXTJOIN(" | ",TRUE,_xlfn.UNIQUE(_xlfn._xlws.FILTER(PriceList!$Q$4:$Q$2641&amp;" x "&amp;PriceList!$R$4:$R$2641&amp;" x "&amp;PriceList!$S$4:$S$2641,PriceList!$M$4:$M$2641=A238,"")))</f>
        <v>240.792 x 247.904 x 3.556</v>
      </c>
      <c r="G238" t="str" cm="1">
        <f t="array" ref="G238">INDEX(_xlfn._xlws.FILTER(PriceList!$P$4:$P$2641,PriceList!$M$4:$M$2641=A238,""),1)</f>
        <v>O Ring - NBR 70</v>
      </c>
    </row>
    <row r="239" spans="1:7" x14ac:dyDescent="0.45">
      <c r="A239" t="s">
        <v>5190</v>
      </c>
      <c r="B239">
        <f>COUNTIF(PriceList!$M$4:$M$2641,A239)</f>
        <v>1</v>
      </c>
      <c r="C239" t="str">
        <f>IF(B239=1,"1:1","1:Many")</f>
        <v>1:1</v>
      </c>
      <c r="D239" s="42" t="str" cm="1">
        <f t="array" ref="D239">_xlfn.TEXTJOIN(" | ",TRUE,_xlfn._xlws.FILTER(PriceList!$B$4:$B$2641,PriceList!$M$4:$M$2641=A239,""))</f>
        <v>ORV8 240.87-3.53</v>
      </c>
      <c r="E239" t="str" cm="1">
        <f t="array" ref="E239">_xlfn.TEXTJOIN(", ",TRUE,_xlfn._xlws.FILTER(ROW(PriceList!$B$4:$B$2641),PriceList!$M$4:$M$2641=A239,""))</f>
        <v>2129</v>
      </c>
      <c r="F239" s="42" t="str" cm="1">
        <f t="array" ref="F239">_xlfn.TEXTJOIN(" | ",TRUE,_xlfn.UNIQUE(_xlfn._xlws.FILTER(PriceList!$Q$4:$Q$2641&amp;" x "&amp;PriceList!$R$4:$R$2641&amp;" x "&amp;PriceList!$S$4:$S$2641,PriceList!$M$4:$M$2641=A239,"")))</f>
        <v>240.792 x 247.904 x 3.556</v>
      </c>
      <c r="G239" t="str" cm="1">
        <f t="array" ref="G239">INDEX(_xlfn._xlws.FILTER(PriceList!$P$4:$P$2641,PriceList!$M$4:$M$2641=A239,""),1)</f>
        <v>O Ring - FPM/FKM/VitonÂ®</v>
      </c>
    </row>
    <row r="240" spans="1:7" x14ac:dyDescent="0.45">
      <c r="A240" t="s">
        <v>4308</v>
      </c>
      <c r="B240">
        <f>COUNTIF(PriceList!$M$4:$M$2641,A240)</f>
        <v>2</v>
      </c>
      <c r="C240" t="str">
        <f>IF(B240=1,"1:1","1:Many")</f>
        <v>1:Many</v>
      </c>
      <c r="D240" s="42" t="str" cm="1">
        <f t="array" ref="D240">_xlfn.TEXTJOIN(" | ",TRUE,_xlfn._xlws.FILTER(PriceList!$B$4:$B$2641,PriceList!$M$4:$M$2641=A240,""))</f>
        <v>OR7N 247.24-3.53 | OR9N 247.24-3.53</v>
      </c>
      <c r="E240" t="str" cm="1">
        <f t="array" ref="E240">_xlfn.TEXTJOIN(", ",TRUE,_xlfn._xlws.FILTER(ROW(PriceList!$B$4:$B$2641),PriceList!$M$4:$M$2641=A240,""))</f>
        <v>888, 1490</v>
      </c>
      <c r="F240" s="42" t="str" cm="1">
        <f t="array" ref="F240">_xlfn.TEXTJOIN(" | ",TRUE,_xlfn.UNIQUE(_xlfn._xlws.FILTER(PriceList!$Q$4:$Q$2641&amp;" x "&amp;PriceList!$R$4:$R$2641&amp;" x "&amp;PriceList!$S$4:$S$2641,PriceList!$M$4:$M$2641=A240,"")))</f>
        <v>247.142 x 254.254 x 3.556</v>
      </c>
      <c r="G240" t="str" cm="1">
        <f t="array" ref="G240">INDEX(_xlfn._xlws.FILTER(PriceList!$P$4:$P$2641,PriceList!$M$4:$M$2641=A240,""),1)</f>
        <v>O Ring - NBR 70</v>
      </c>
    </row>
    <row r="241" spans="1:7" x14ac:dyDescent="0.45">
      <c r="A241" t="s">
        <v>4312</v>
      </c>
      <c r="B241">
        <f>COUNTIF(PriceList!$M$4:$M$2641,A241)</f>
        <v>2</v>
      </c>
      <c r="C241" t="str">
        <f>IF(B241=1,"1:1","1:Many")</f>
        <v>1:Many</v>
      </c>
      <c r="D241" s="42" t="str" cm="1">
        <f t="array" ref="D241">_xlfn.TEXTJOIN(" | ",TRUE,_xlfn._xlws.FILTER(PriceList!$B$4:$B$2641,PriceList!$M$4:$M$2641=A241,""))</f>
        <v>OR7N 253.59-3.53 | OR9N 253.59-3.53</v>
      </c>
      <c r="E241" t="str" cm="1">
        <f t="array" ref="E241">_xlfn.TEXTJOIN(", ",TRUE,_xlfn._xlws.FILTER(ROW(PriceList!$B$4:$B$2641),PriceList!$M$4:$M$2641=A241,""))</f>
        <v>892, 1494</v>
      </c>
      <c r="F241" s="42" t="str" cm="1">
        <f t="array" ref="F241">_xlfn.TEXTJOIN(" | ",TRUE,_xlfn.UNIQUE(_xlfn._xlws.FILTER(PriceList!$Q$4:$Q$2641&amp;" x "&amp;PriceList!$R$4:$R$2641&amp;" x "&amp;PriceList!$S$4:$S$2641,PriceList!$M$4:$M$2641=A241,"")))</f>
        <v>253.492 x 260.604 x 3.556</v>
      </c>
      <c r="G241" t="str" cm="1">
        <f t="array" ref="G241">INDEX(_xlfn._xlws.FILTER(PriceList!$P$4:$P$2641,PriceList!$M$4:$M$2641=A241,""),1)</f>
        <v>O Ring - NBR 70</v>
      </c>
    </row>
    <row r="242" spans="1:7" x14ac:dyDescent="0.45">
      <c r="A242" t="s">
        <v>5195</v>
      </c>
      <c r="B242">
        <f>COUNTIF(PriceList!$M$4:$M$2641,A242)</f>
        <v>1</v>
      </c>
      <c r="C242" t="str">
        <f>IF(B242=1,"1:1","1:Many")</f>
        <v>1:1</v>
      </c>
      <c r="D242" s="42" t="str" cm="1">
        <f t="array" ref="D242">_xlfn.TEXTJOIN(" | ",TRUE,_xlfn._xlws.FILTER(PriceList!$B$4:$B$2641,PriceList!$M$4:$M$2641=A242,""))</f>
        <v>ORV8 253.59-3.53</v>
      </c>
      <c r="E242" t="str" cm="1">
        <f t="array" ref="E242">_xlfn.TEXTJOIN(", ",TRUE,_xlfn._xlws.FILTER(ROW(PriceList!$B$4:$B$2641),PriceList!$M$4:$M$2641=A242,""))</f>
        <v>2133</v>
      </c>
      <c r="F242" s="42" t="str" cm="1">
        <f t="array" ref="F242">_xlfn.TEXTJOIN(" | ",TRUE,_xlfn.UNIQUE(_xlfn._xlws.FILTER(PriceList!$Q$4:$Q$2641&amp;" x "&amp;PriceList!$R$4:$R$2641&amp;" x "&amp;PriceList!$S$4:$S$2641,PriceList!$M$4:$M$2641=A242,"")))</f>
        <v>253.492 x 260.604 x 3.556</v>
      </c>
      <c r="G242" t="str" cm="1">
        <f t="array" ref="G242">INDEX(_xlfn._xlws.FILTER(PriceList!$P$4:$P$2641,PriceList!$M$4:$M$2641=A242,""),1)</f>
        <v>O Ring - FPM/FKM/VitonÂ®</v>
      </c>
    </row>
    <row r="243" spans="1:7" x14ac:dyDescent="0.45">
      <c r="A243" t="s">
        <v>4315</v>
      </c>
      <c r="B243">
        <f>COUNTIF(PriceList!$M$4:$M$2641,A243)</f>
        <v>2</v>
      </c>
      <c r="C243" t="str">
        <f>IF(B243=1,"1:1","1:Many")</f>
        <v>1:Many</v>
      </c>
      <c r="D243" s="42" t="str" cm="1">
        <f t="array" ref="D243">_xlfn.TEXTJOIN(" | ",TRUE,_xlfn._xlws.FILTER(PriceList!$B$4:$B$2641,PriceList!$M$4:$M$2641=A243,""))</f>
        <v>OR7N 266.29-3.53 | OR9N 266.29-3.53</v>
      </c>
      <c r="E243" t="str" cm="1">
        <f t="array" ref="E243">_xlfn.TEXTJOIN(", ",TRUE,_xlfn._xlws.FILTER(ROW(PriceList!$B$4:$B$2641),PriceList!$M$4:$M$2641=A243,""))</f>
        <v>895, 1501</v>
      </c>
      <c r="F243" s="42" t="str" cm="1">
        <f t="array" ref="F243">_xlfn.TEXTJOIN(" | ",TRUE,_xlfn.UNIQUE(_xlfn._xlws.FILTER(PriceList!$Q$4:$Q$2641&amp;" x "&amp;PriceList!$R$4:$R$2641&amp;" x "&amp;PriceList!$S$4:$S$2641,PriceList!$M$4:$M$2641=A243,"")))</f>
        <v>266.192 x 273.304 x 3.556</v>
      </c>
      <c r="G243" t="str" cm="1">
        <f t="array" ref="G243">INDEX(_xlfn._xlws.FILTER(PriceList!$P$4:$P$2641,PriceList!$M$4:$M$2641=A243,""),1)</f>
        <v>O Ring - NBR 70</v>
      </c>
    </row>
    <row r="244" spans="1:7" x14ac:dyDescent="0.45">
      <c r="A244" t="s">
        <v>4318</v>
      </c>
      <c r="B244">
        <f>COUNTIF(PriceList!$M$4:$M$2641,A244)</f>
        <v>2</v>
      </c>
      <c r="C244" t="str">
        <f>IF(B244=1,"1:1","1:Many")</f>
        <v>1:Many</v>
      </c>
      <c r="D244" s="42" t="str" cm="1">
        <f t="array" ref="D244">_xlfn.TEXTJOIN(" | ",TRUE,_xlfn._xlws.FILTER(PriceList!$B$4:$B$2641,PriceList!$M$4:$M$2641=A244,""))</f>
        <v>OR7N 278.99-3.53 | OR9N 278.99-3.53</v>
      </c>
      <c r="E244" t="str" cm="1">
        <f t="array" ref="E244">_xlfn.TEXTJOIN(", ",TRUE,_xlfn._xlws.FILTER(ROW(PriceList!$B$4:$B$2641),PriceList!$M$4:$M$2641=A244,""))</f>
        <v>898, 1506</v>
      </c>
      <c r="F244" s="42" t="str" cm="1">
        <f t="array" ref="F244">_xlfn.TEXTJOIN(" | ",TRUE,_xlfn.UNIQUE(_xlfn._xlws.FILTER(PriceList!$Q$4:$Q$2641&amp;" x "&amp;PriceList!$R$4:$R$2641&amp;" x "&amp;PriceList!$S$4:$S$2641,PriceList!$M$4:$M$2641=A244,"")))</f>
        <v>278.892 x 286.004 x 3.556</v>
      </c>
      <c r="G244" t="str" cm="1">
        <f t="array" ref="G244">INDEX(_xlfn._xlws.FILTER(PriceList!$P$4:$P$2641,PriceList!$M$4:$M$2641=A244,""),1)</f>
        <v>O Ring - NBR 70</v>
      </c>
    </row>
    <row r="245" spans="1:7" x14ac:dyDescent="0.45">
      <c r="A245" t="s">
        <v>4728</v>
      </c>
      <c r="B245">
        <f>COUNTIF(PriceList!$M$4:$M$2641,A245)</f>
        <v>1</v>
      </c>
      <c r="C245" t="str">
        <f>IF(B245=1,"1:1","1:Many")</f>
        <v>1:1</v>
      </c>
      <c r="D245" s="42" t="str" cm="1">
        <f t="array" ref="D245">_xlfn.TEXTJOIN(" | ",TRUE,_xlfn._xlws.FILTER(PriceList!$B$4:$B$2641,PriceList!$M$4:$M$2641=A245,""))</f>
        <v>ORV8 023.16-5.33</v>
      </c>
      <c r="E245" t="str" cm="1">
        <f t="array" ref="E245">_xlfn.TEXTJOIN(", ",TRUE,_xlfn._xlws.FILTER(ROW(PriceList!$B$4:$B$2641),PriceList!$M$4:$M$2641=A245,""))</f>
        <v>1678</v>
      </c>
      <c r="F245" s="42" t="str" cm="1">
        <f t="array" ref="F245">_xlfn.TEXTJOIN(" | ",TRUE,_xlfn.UNIQUE(_xlfn._xlws.FILTER(PriceList!$Q$4:$Q$2641&amp;" x "&amp;PriceList!$R$4:$R$2641&amp;" x "&amp;PriceList!$S$4:$S$2641,PriceList!$M$4:$M$2641=A245,"")))</f>
        <v>23.114 x 33.782 x 5.334</v>
      </c>
      <c r="G245" t="str" cm="1">
        <f t="array" ref="G245">INDEX(_xlfn._xlws.FILTER(PriceList!$P$4:$P$2641,PriceList!$M$4:$M$2641=A245,""),1)</f>
        <v>O Ring - FPM/FKM/VitonÂ®</v>
      </c>
    </row>
    <row r="246" spans="1:7" x14ac:dyDescent="0.45">
      <c r="A246" t="s">
        <v>4007</v>
      </c>
      <c r="B246">
        <f>COUNTIF(PriceList!$M$4:$M$2641,A246)</f>
        <v>2</v>
      </c>
      <c r="C246" t="str">
        <f>IF(B246=1,"1:1","1:Many")</f>
        <v>1:Many</v>
      </c>
      <c r="D246" s="42" t="str" cm="1">
        <f t="array" ref="D246">_xlfn.TEXTJOIN(" | ",TRUE,_xlfn._xlws.FILTER(PriceList!$B$4:$B$2641,PriceList!$M$4:$M$2641=A246,""))</f>
        <v>OR7N 029.51-5.33 | OR9N 029.51-5.33</v>
      </c>
      <c r="E246" t="str" cm="1">
        <f t="array" ref="E246">_xlfn.TEXTJOIN(", ",TRUE,_xlfn._xlws.FILTER(ROW(PriceList!$B$4:$B$2641),PriceList!$M$4:$M$2641=A246,""))</f>
        <v>620, 1071</v>
      </c>
      <c r="F246" s="42" t="str" cm="1">
        <f t="array" ref="F246">_xlfn.TEXTJOIN(" | ",TRUE,_xlfn.UNIQUE(_xlfn._xlws.FILTER(PriceList!$Q$4:$Q$2641&amp;" x "&amp;PriceList!$R$4:$R$2641&amp;" x "&amp;PriceList!$S$4:$S$2641,PriceList!$M$4:$M$2641=A246,"")))</f>
        <v>29.464 x 40.132 x 5.334</v>
      </c>
      <c r="G246" t="str" cm="1">
        <f t="array" ref="G246">INDEX(_xlfn._xlws.FILTER(PriceList!$P$4:$P$2641,PriceList!$M$4:$M$2641=A246,""),1)</f>
        <v>O Ring - NBR 70</v>
      </c>
    </row>
    <row r="247" spans="1:7" x14ac:dyDescent="0.45">
      <c r="A247" t="s">
        <v>4765</v>
      </c>
      <c r="B247">
        <f>COUNTIF(PriceList!$M$4:$M$2641,A247)</f>
        <v>2</v>
      </c>
      <c r="C247" t="str">
        <f>IF(B247=1,"1:1","1:Many")</f>
        <v>1:Many</v>
      </c>
      <c r="D247" s="42" t="str" cm="1">
        <f t="array" ref="D247">_xlfn.TEXTJOIN(" | ",TRUE,_xlfn._xlws.FILTER(PriceList!$B$4:$B$2641,PriceList!$M$4:$M$2641=A247,""))</f>
        <v>ORV8 029.51-5.33 | ORV8 030-5</v>
      </c>
      <c r="E247" t="str" cm="1">
        <f t="array" ref="E247">_xlfn.TEXTJOIN(", ",TRUE,_xlfn._xlws.FILTER(ROW(PriceList!$B$4:$B$2641),PriceList!$M$4:$M$2641=A247,""))</f>
        <v>1717, 1727</v>
      </c>
      <c r="F247" s="42" t="str" cm="1">
        <f t="array" ref="F247">_xlfn.TEXTJOIN(" | ",TRUE,_xlfn.UNIQUE(_xlfn._xlws.FILTER(PriceList!$Q$4:$Q$2641&amp;" x "&amp;PriceList!$R$4:$R$2641&amp;" x "&amp;PriceList!$S$4:$S$2641,PriceList!$M$4:$M$2641=A247,"")))</f>
        <v>29.464 x 40.132 x 5.334</v>
      </c>
      <c r="G247" t="str" cm="1">
        <f t="array" ref="G247">INDEX(_xlfn._xlws.FILTER(PriceList!$P$4:$P$2641,PriceList!$M$4:$M$2641=A247,""),1)</f>
        <v>O Ring - FPM/FKM/VitonÂ®</v>
      </c>
    </row>
    <row r="248" spans="1:7" x14ac:dyDescent="0.45">
      <c r="A248" t="s">
        <v>4015</v>
      </c>
      <c r="B248">
        <f>COUNTIF(PriceList!$M$4:$M$2641,A248)</f>
        <v>2</v>
      </c>
      <c r="C248" t="str">
        <f>IF(B248=1,"1:1","1:Many")</f>
        <v>1:Many</v>
      </c>
      <c r="D248" s="42" t="str" cm="1">
        <f t="array" ref="D248">_xlfn.TEXTJOIN(" | ",TRUE,_xlfn._xlws.FILTER(PriceList!$B$4:$B$2641,PriceList!$M$4:$M$2641=A248,""))</f>
        <v>OR7N 031.12-5.33 | OR9N 031.12-5.33</v>
      </c>
      <c r="E248" t="str" cm="1">
        <f t="array" ref="E248">_xlfn.TEXTJOIN(", ",TRUE,_xlfn._xlws.FILTER(ROW(PriceList!$B$4:$B$2641),PriceList!$M$4:$M$2641=A248,""))</f>
        <v>626, 1084</v>
      </c>
      <c r="F248" s="42" t="str" cm="1">
        <f t="array" ref="F248">_xlfn.TEXTJOIN(" | ",TRUE,_xlfn.UNIQUE(_xlfn._xlws.FILTER(PriceList!$Q$4:$Q$2641&amp;" x "&amp;PriceList!$R$4:$R$2641&amp;" x "&amp;PriceList!$S$4:$S$2641,PriceList!$M$4:$M$2641=A248,"")))</f>
        <v>31.242 x 41.91 x 5.334</v>
      </c>
      <c r="G248" t="str" cm="1">
        <f t="array" ref="G248">INDEX(_xlfn._xlws.FILTER(PriceList!$P$4:$P$2641,PriceList!$M$4:$M$2641=A248,""),1)</f>
        <v>O Ring - EPDM</v>
      </c>
    </row>
    <row r="249" spans="1:7" x14ac:dyDescent="0.45">
      <c r="A249" t="s">
        <v>4021</v>
      </c>
      <c r="B249">
        <f>COUNTIF(PriceList!$M$4:$M$2641,A249)</f>
        <v>2</v>
      </c>
      <c r="C249" t="str">
        <f>IF(B249=1,"1:1","1:Many")</f>
        <v>1:Many</v>
      </c>
      <c r="D249" s="42" t="str" cm="1">
        <f t="array" ref="D249">_xlfn.TEXTJOIN(" | ",TRUE,_xlfn._xlws.FILTER(PriceList!$B$4:$B$2641,PriceList!$M$4:$M$2641=A249,""))</f>
        <v>OR7N 032.69-5.33 | OR9N 032.69-5.33</v>
      </c>
      <c r="E249" t="str" cm="1">
        <f t="array" ref="E249">_xlfn.TEXTJOIN(", ",TRUE,_xlfn._xlws.FILTER(ROW(PriceList!$B$4:$B$2641),PriceList!$M$4:$M$2641=A249,""))</f>
        <v>630, 1090</v>
      </c>
      <c r="F249" s="42" t="str" cm="1">
        <f t="array" ref="F249">_xlfn.TEXTJOIN(" | ",TRUE,_xlfn.UNIQUE(_xlfn._xlws.FILTER(PriceList!$Q$4:$Q$2641&amp;" x "&amp;PriceList!$R$4:$R$2641&amp;" x "&amp;PriceList!$S$4:$S$2641,PriceList!$M$4:$M$2641=A249,"")))</f>
        <v>32.766 x 43.434 x 5.334</v>
      </c>
      <c r="G249" t="str" cm="1">
        <f t="array" ref="G249">INDEX(_xlfn._xlws.FILTER(PriceList!$P$4:$P$2641,PriceList!$M$4:$M$2641=A249,""),1)</f>
        <v>O Ring - NBR 70</v>
      </c>
    </row>
    <row r="250" spans="1:7" x14ac:dyDescent="0.45">
      <c r="A250" t="s">
        <v>4031</v>
      </c>
      <c r="B250">
        <f>COUNTIF(PriceList!$M$4:$M$2641,A250)</f>
        <v>2</v>
      </c>
      <c r="C250" t="str">
        <f>IF(B250=1,"1:1","1:Many")</f>
        <v>1:Many</v>
      </c>
      <c r="D250" s="42" t="str" cm="1">
        <f t="array" ref="D250">_xlfn.TEXTJOIN(" | ",TRUE,_xlfn._xlws.FILTER(PriceList!$B$4:$B$2641,PriceList!$M$4:$M$2641=A250,""))</f>
        <v>OR7N 034.29-5.33 | OR9N 034.29-5.33</v>
      </c>
      <c r="E250" t="str" cm="1">
        <f t="array" ref="E250">_xlfn.TEXTJOIN(", ",TRUE,_xlfn._xlws.FILTER(ROW(PriceList!$B$4:$B$2641),PriceList!$M$4:$M$2641=A250,""))</f>
        <v>637, 1098</v>
      </c>
      <c r="F250" s="42" t="str" cm="1">
        <f t="array" ref="F250">_xlfn.TEXTJOIN(" | ",TRUE,_xlfn.UNIQUE(_xlfn._xlws.FILTER(PriceList!$Q$4:$Q$2641&amp;" x "&amp;PriceList!$R$4:$R$2641&amp;" x "&amp;PriceList!$S$4:$S$2641,PriceList!$M$4:$M$2641=A250,"")))</f>
        <v>34.29 x 44.958 x 5.334</v>
      </c>
      <c r="G250" t="str" cm="1">
        <f t="array" ref="G250">INDEX(_xlfn._xlws.FILTER(PriceList!$P$4:$P$2641,PriceList!$M$4:$M$2641=A250,""),1)</f>
        <v>O Ring - NBR 70</v>
      </c>
    </row>
    <row r="251" spans="1:7" x14ac:dyDescent="0.45">
      <c r="A251" t="s">
        <v>4789</v>
      </c>
      <c r="B251">
        <f>COUNTIF(PriceList!$M$4:$M$2641,A251)</f>
        <v>1</v>
      </c>
      <c r="C251" t="str">
        <f>IF(B251=1,"1:1","1:Many")</f>
        <v>1:1</v>
      </c>
      <c r="D251" s="42" t="str" cm="1">
        <f t="array" ref="D251">_xlfn.TEXTJOIN(" | ",TRUE,_xlfn._xlws.FILTER(PriceList!$B$4:$B$2641,PriceList!$M$4:$M$2641=A251,""))</f>
        <v>ORV8 034.29-5.33</v>
      </c>
      <c r="E251" t="str" cm="1">
        <f t="array" ref="E251">_xlfn.TEXTJOIN(", ",TRUE,_xlfn._xlws.FILTER(ROW(PriceList!$B$4:$B$2641),PriceList!$M$4:$M$2641=A251,""))</f>
        <v>1742</v>
      </c>
      <c r="F251" s="42" t="str" cm="1">
        <f t="array" ref="F251">_xlfn.TEXTJOIN(" | ",TRUE,_xlfn.UNIQUE(_xlfn._xlws.FILTER(PriceList!$Q$4:$Q$2641&amp;" x "&amp;PriceList!$R$4:$R$2641&amp;" x "&amp;PriceList!$S$4:$S$2641,PriceList!$M$4:$M$2641=A251,"")))</f>
        <v>34.29 x 44.958 x 5.334</v>
      </c>
      <c r="G251" t="str" cm="1">
        <f t="array" ref="G251">INDEX(_xlfn._xlws.FILTER(PriceList!$P$4:$P$2641,PriceList!$M$4:$M$2641=A251,""),1)</f>
        <v>O Ring - FPM/FKM/VitonÂ®</v>
      </c>
    </row>
    <row r="252" spans="1:7" x14ac:dyDescent="0.45">
      <c r="A252" t="s">
        <v>4043</v>
      </c>
      <c r="B252">
        <f>COUNTIF(PriceList!$M$4:$M$2641,A252)</f>
        <v>2</v>
      </c>
      <c r="C252" t="str">
        <f>IF(B252=1,"1:1","1:Many")</f>
        <v>1:Many</v>
      </c>
      <c r="D252" s="42" t="str" cm="1">
        <f t="array" ref="D252">_xlfn.TEXTJOIN(" | ",TRUE,_xlfn._xlws.FILTER(PriceList!$B$4:$B$2641,PriceList!$M$4:$M$2641=A252,""))</f>
        <v>OR7N 037.47-5.33 | OR9N 037.47-5.33</v>
      </c>
      <c r="E252" t="str" cm="1">
        <f t="array" ref="E252">_xlfn.TEXTJOIN(", ",TRUE,_xlfn._xlws.FILTER(ROW(PriceList!$B$4:$B$2641),PriceList!$M$4:$M$2641=A252,""))</f>
        <v>646, 1113</v>
      </c>
      <c r="F252" s="42" t="str" cm="1">
        <f t="array" ref="F252">_xlfn.TEXTJOIN(" | ",TRUE,_xlfn.UNIQUE(_xlfn._xlws.FILTER(PriceList!$Q$4:$Q$2641&amp;" x "&amp;PriceList!$R$4:$R$2641&amp;" x "&amp;PriceList!$S$4:$S$2641,PriceList!$M$4:$M$2641=A252,"")))</f>
        <v>37.592 x 48.26 x 5.334</v>
      </c>
      <c r="G252" t="str" cm="1">
        <f t="array" ref="G252">INDEX(_xlfn._xlws.FILTER(PriceList!$P$4:$P$2641,PriceList!$M$4:$M$2641=A252,""),1)</f>
        <v>O Ring - NBR 70</v>
      </c>
    </row>
    <row r="253" spans="1:7" x14ac:dyDescent="0.45">
      <c r="A253" t="s">
        <v>4811</v>
      </c>
      <c r="B253">
        <f>COUNTIF(PriceList!$M$4:$M$2641,A253)</f>
        <v>1</v>
      </c>
      <c r="C253" t="str">
        <f>IF(B253=1,"1:1","1:Many")</f>
        <v>1:1</v>
      </c>
      <c r="D253" s="42" t="str" cm="1">
        <f t="array" ref="D253">_xlfn.TEXTJOIN(" | ",TRUE,_xlfn._xlws.FILTER(PriceList!$B$4:$B$2641,PriceList!$M$4:$M$2641=A253,""))</f>
        <v>ORV8 037.47-5.33</v>
      </c>
      <c r="E253" t="str" cm="1">
        <f t="array" ref="E253">_xlfn.TEXTJOIN(", ",TRUE,_xlfn._xlws.FILTER(ROW(PriceList!$B$4:$B$2641),PriceList!$M$4:$M$2641=A253,""))</f>
        <v>1765</v>
      </c>
      <c r="F253" s="42" t="str" cm="1">
        <f t="array" ref="F253">_xlfn.TEXTJOIN(" | ",TRUE,_xlfn.UNIQUE(_xlfn._xlws.FILTER(PriceList!$Q$4:$Q$2641&amp;" x "&amp;PriceList!$R$4:$R$2641&amp;" x "&amp;PriceList!$S$4:$S$2641,PriceList!$M$4:$M$2641=A253,"")))</f>
        <v>37.592 x 48.26 x 5.334</v>
      </c>
      <c r="G253" t="str" cm="1">
        <f t="array" ref="G253">INDEX(_xlfn._xlws.FILTER(PriceList!$P$4:$P$2641,PriceList!$M$4:$M$2641=A253,""),1)</f>
        <v>O Ring - FPM/FKM/VitonÂ®</v>
      </c>
    </row>
    <row r="254" spans="1:7" x14ac:dyDescent="0.45">
      <c r="A254" t="s">
        <v>4054</v>
      </c>
      <c r="B254">
        <f>COUNTIF(PriceList!$M$4:$M$2641,A254)</f>
        <v>2</v>
      </c>
      <c r="C254" t="str">
        <f>IF(B254=1,"1:1","1:Many")</f>
        <v>1:Many</v>
      </c>
      <c r="D254" s="42" t="str" cm="1">
        <f t="array" ref="D254">_xlfn.TEXTJOIN(" | ",TRUE,_xlfn._xlws.FILTER(PriceList!$B$4:$B$2641,PriceList!$M$4:$M$2641=A254,""))</f>
        <v>OR7N 040.64-5.33 | OR9N 040.64-5.33</v>
      </c>
      <c r="E254" t="str" cm="1">
        <f t="array" ref="E254">_xlfn.TEXTJOIN(", ",TRUE,_xlfn._xlws.FILTER(ROW(PriceList!$B$4:$B$2641),PriceList!$M$4:$M$2641=A254,""))</f>
        <v>656, 1126</v>
      </c>
      <c r="F254" s="42" t="str" cm="1">
        <f t="array" ref="F254">_xlfn.TEXTJOIN(" | ",TRUE,_xlfn.UNIQUE(_xlfn._xlws.FILTER(PriceList!$Q$4:$Q$2641&amp;" x "&amp;PriceList!$R$4:$R$2641&amp;" x "&amp;PriceList!$S$4:$S$2641,PriceList!$M$4:$M$2641=A254,"")))</f>
        <v>40.64 x 51.308 x 5.334</v>
      </c>
      <c r="G254" t="str" cm="1">
        <f t="array" ref="G254">INDEX(_xlfn._xlws.FILTER(PriceList!$P$4:$P$2641,PriceList!$M$4:$M$2641=A254,""),1)</f>
        <v>O Ring - NBR 70</v>
      </c>
    </row>
    <row r="255" spans="1:7" x14ac:dyDescent="0.45">
      <c r="A255" t="s">
        <v>4827</v>
      </c>
      <c r="B255">
        <f>COUNTIF(PriceList!$M$4:$M$2641,A255)</f>
        <v>1</v>
      </c>
      <c r="C255" t="str">
        <f>IF(B255=1,"1:1","1:Many")</f>
        <v>1:1</v>
      </c>
      <c r="D255" s="42" t="str" cm="1">
        <f t="array" ref="D255">_xlfn.TEXTJOIN(" | ",TRUE,_xlfn._xlws.FILTER(PriceList!$B$4:$B$2641,PriceList!$M$4:$M$2641=A255,""))</f>
        <v>ORV8 040.64-5.33</v>
      </c>
      <c r="E255" t="str" cm="1">
        <f t="array" ref="E255">_xlfn.TEXTJOIN(", ",TRUE,_xlfn._xlws.FILTER(ROW(PriceList!$B$4:$B$2641),PriceList!$M$4:$M$2641=A255,""))</f>
        <v>1783</v>
      </c>
      <c r="F255" s="42" t="str" cm="1">
        <f t="array" ref="F255">_xlfn.TEXTJOIN(" | ",TRUE,_xlfn.UNIQUE(_xlfn._xlws.FILTER(PriceList!$Q$4:$Q$2641&amp;" x "&amp;PriceList!$R$4:$R$2641&amp;" x "&amp;PriceList!$S$4:$S$2641,PriceList!$M$4:$M$2641=A255,"")))</f>
        <v>40.64 x 51.308 x 5.334</v>
      </c>
      <c r="G255" t="str" cm="1">
        <f t="array" ref="G255">INDEX(_xlfn._xlws.FILTER(PriceList!$P$4:$P$2641,PriceList!$M$4:$M$2641=A255,""),1)</f>
        <v>O Ring - FPM/FKM/VitonÂ®</v>
      </c>
    </row>
    <row r="256" spans="1:7" x14ac:dyDescent="0.45">
      <c r="A256" t="s">
        <v>4065</v>
      </c>
      <c r="B256">
        <f>COUNTIF(PriceList!$M$4:$M$2641,A256)</f>
        <v>2</v>
      </c>
      <c r="C256" t="str">
        <f>IF(B256=1,"1:1","1:Many")</f>
        <v>1:Many</v>
      </c>
      <c r="D256" s="42" t="str" cm="1">
        <f t="array" ref="D256">_xlfn.TEXTJOIN(" | ",TRUE,_xlfn._xlws.FILTER(PriceList!$B$4:$B$2641,PriceList!$M$4:$M$2641=A256,""))</f>
        <v>OR7N 043.82-5.33 | OR9N 043.82-5.33</v>
      </c>
      <c r="E256" t="str" cm="1">
        <f t="array" ref="E256">_xlfn.TEXTJOIN(", ",TRUE,_xlfn._xlws.FILTER(ROW(PriceList!$B$4:$B$2641),PriceList!$M$4:$M$2641=A256,""))</f>
        <v>665, 1143</v>
      </c>
      <c r="F256" s="42" t="str" cm="1">
        <f t="array" ref="F256">_xlfn.TEXTJOIN(" | ",TRUE,_xlfn.UNIQUE(_xlfn._xlws.FILTER(PriceList!$Q$4:$Q$2641&amp;" x "&amp;PriceList!$R$4:$R$2641&amp;" x "&amp;PriceList!$S$4:$S$2641,PriceList!$M$4:$M$2641=A256,"")))</f>
        <v>43.942 x 54.61 x 5.334</v>
      </c>
      <c r="G256" t="str" cm="1">
        <f t="array" ref="G256">INDEX(_xlfn._xlws.FILTER(PriceList!$P$4:$P$2641,PriceList!$M$4:$M$2641=A256,""),1)</f>
        <v>O Ring - NBR 70</v>
      </c>
    </row>
    <row r="257" spans="1:7" x14ac:dyDescent="0.45">
      <c r="A257" t="s">
        <v>4841</v>
      </c>
      <c r="B257">
        <f>COUNTIF(PriceList!$M$4:$M$2641,A257)</f>
        <v>1</v>
      </c>
      <c r="C257" t="str">
        <f>IF(B257=1,"1:1","1:Many")</f>
        <v>1:1</v>
      </c>
      <c r="D257" s="42" t="str" cm="1">
        <f t="array" ref="D257">_xlfn.TEXTJOIN(" | ",TRUE,_xlfn._xlws.FILTER(PriceList!$B$4:$B$2641,PriceList!$M$4:$M$2641=A257,""))</f>
        <v>ORV8 043.87-5.33</v>
      </c>
      <c r="E257" t="str" cm="1">
        <f t="array" ref="E257">_xlfn.TEXTJOIN(", ",TRUE,_xlfn._xlws.FILTER(ROW(PriceList!$B$4:$B$2641),PriceList!$M$4:$M$2641=A257,""))</f>
        <v>1797</v>
      </c>
      <c r="F257" s="42" t="str" cm="1">
        <f t="array" ref="F257">_xlfn.TEXTJOIN(" | ",TRUE,_xlfn.UNIQUE(_xlfn._xlws.FILTER(PriceList!$Q$4:$Q$2641&amp;" x "&amp;PriceList!$R$4:$R$2641&amp;" x "&amp;PriceList!$S$4:$S$2641,PriceList!$M$4:$M$2641=A257,"")))</f>
        <v>43.942 x 54.61 x 5.334</v>
      </c>
      <c r="G257" t="str" cm="1">
        <f t="array" ref="G257">INDEX(_xlfn._xlws.FILTER(PriceList!$P$4:$P$2641,PriceList!$M$4:$M$2641=A257,""),1)</f>
        <v>O Ring - FPM/FKM/VitonÂ®</v>
      </c>
    </row>
    <row r="258" spans="1:7" x14ac:dyDescent="0.45">
      <c r="A258" t="s">
        <v>4077</v>
      </c>
      <c r="B258">
        <f>COUNTIF(PriceList!$M$4:$M$2641,A258)</f>
        <v>2</v>
      </c>
      <c r="C258" t="str">
        <f>IF(B258=1,"1:1","1:Many")</f>
        <v>1:Many</v>
      </c>
      <c r="D258" s="42" t="str" cm="1">
        <f t="array" ref="D258">_xlfn.TEXTJOIN(" | ",TRUE,_xlfn._xlws.FILTER(PriceList!$B$4:$B$2641,PriceList!$M$4:$M$2641=A258,""))</f>
        <v>OR7N 046.99-5.33 | OR9N 046.99-5.33</v>
      </c>
      <c r="E258" t="str" cm="1">
        <f t="array" ref="E258">_xlfn.TEXTJOIN(", ",TRUE,_xlfn._xlws.FILTER(ROW(PriceList!$B$4:$B$2641),PriceList!$M$4:$M$2641=A258,""))</f>
        <v>676, 1157</v>
      </c>
      <c r="F258" s="42" t="str" cm="1">
        <f t="array" ref="F258">_xlfn.TEXTJOIN(" | ",TRUE,_xlfn.UNIQUE(_xlfn._xlws.FILTER(PriceList!$Q$4:$Q$2641&amp;" x "&amp;PriceList!$R$4:$R$2641&amp;" x "&amp;PriceList!$S$4:$S$2641,PriceList!$M$4:$M$2641=A258,"")))</f>
        <v>46.99 x 57.658 x 5.334</v>
      </c>
      <c r="G258" t="str" cm="1">
        <f t="array" ref="G258">INDEX(_xlfn._xlws.FILTER(PriceList!$P$4:$P$2641,PriceList!$M$4:$M$2641=A258,""),1)</f>
        <v>O Ring - EPDM</v>
      </c>
    </row>
    <row r="259" spans="1:7" x14ac:dyDescent="0.45">
      <c r="A259" t="s">
        <v>4859</v>
      </c>
      <c r="B259">
        <f>COUNTIF(PriceList!$M$4:$M$2641,A259)</f>
        <v>1</v>
      </c>
      <c r="C259" t="str">
        <f>IF(B259=1,"1:1","1:Many")</f>
        <v>1:1</v>
      </c>
      <c r="D259" s="42" t="str" cm="1">
        <f t="array" ref="D259">_xlfn.TEXTJOIN(" | ",TRUE,_xlfn._xlws.FILTER(PriceList!$B$4:$B$2641,PriceList!$M$4:$M$2641=A259,""))</f>
        <v>ORV8 046.99-5.33</v>
      </c>
      <c r="E259" t="str" cm="1">
        <f t="array" ref="E259">_xlfn.TEXTJOIN(", ",TRUE,_xlfn._xlws.FILTER(ROW(PriceList!$B$4:$B$2641),PriceList!$M$4:$M$2641=A259,""))</f>
        <v>1812</v>
      </c>
      <c r="F259" s="42" t="str" cm="1">
        <f t="array" ref="F259">_xlfn.TEXTJOIN(" | ",TRUE,_xlfn.UNIQUE(_xlfn._xlws.FILTER(PriceList!$Q$4:$Q$2641&amp;" x "&amp;PriceList!$R$4:$R$2641&amp;" x "&amp;PriceList!$S$4:$S$2641,PriceList!$M$4:$M$2641=A259,"")))</f>
        <v>46.99 x 57.658 x 5.334</v>
      </c>
      <c r="G259" t="str" cm="1">
        <f t="array" ref="G259">INDEX(_xlfn._xlws.FILTER(PriceList!$P$4:$P$2641,PriceList!$M$4:$M$2641=A259,""),1)</f>
        <v>O Ring - FPM/FKM/VitonÂ®</v>
      </c>
    </row>
    <row r="260" spans="1:7" x14ac:dyDescent="0.45">
      <c r="A260" t="s">
        <v>4878</v>
      </c>
      <c r="B260">
        <f>COUNTIF(PriceList!$M$4:$M$2641,A260)</f>
        <v>1</v>
      </c>
      <c r="C260" t="str">
        <f>IF(B260=1,"1:1","1:Many")</f>
        <v>1:1</v>
      </c>
      <c r="D260" s="42" t="str" cm="1">
        <f t="array" ref="D260">_xlfn.TEXTJOIN(" | ",TRUE,_xlfn._xlws.FILTER(PriceList!$B$4:$B$2641,PriceList!$M$4:$M$2641=A260,""))</f>
        <v>ORV8 050.17-5.33</v>
      </c>
      <c r="E260" t="str" cm="1">
        <f t="array" ref="E260">_xlfn.TEXTJOIN(", ",TRUE,_xlfn._xlws.FILTER(ROW(PriceList!$B$4:$B$2641),PriceList!$M$4:$M$2641=A260,""))</f>
        <v>1831</v>
      </c>
      <c r="F260" s="42" t="str" cm="1">
        <f t="array" ref="F260">_xlfn.TEXTJOIN(" | ",TRUE,_xlfn.UNIQUE(_xlfn._xlws.FILTER(PriceList!$Q$4:$Q$2641&amp;" x "&amp;PriceList!$R$4:$R$2641&amp;" x "&amp;PriceList!$S$4:$S$2641,PriceList!$M$4:$M$2641=A260,"")))</f>
        <v>50.292 x 60.96 x 5.334</v>
      </c>
      <c r="G260" t="str" cm="1">
        <f t="array" ref="G260">INDEX(_xlfn._xlws.FILTER(PriceList!$P$4:$P$2641,PriceList!$M$4:$M$2641=A260,""),1)</f>
        <v>O Ring - FPM/FKM/VitonÂ®</v>
      </c>
    </row>
    <row r="261" spans="1:7" x14ac:dyDescent="0.45">
      <c r="A261" t="s">
        <v>4094</v>
      </c>
      <c r="B261">
        <f>COUNTIF(PriceList!$M$4:$M$2641,A261)</f>
        <v>2</v>
      </c>
      <c r="C261" t="str">
        <f>IF(B261=1,"1:1","1:Many")</f>
        <v>1:Many</v>
      </c>
      <c r="D261" s="42" t="str" cm="1">
        <f t="array" ref="D261">_xlfn.TEXTJOIN(" | ",TRUE,_xlfn._xlws.FILTER(PriceList!$B$4:$B$2641,PriceList!$M$4:$M$2641=A261,""))</f>
        <v>OR7N 053.34-5.33 | OR9N 053.34-5.33</v>
      </c>
      <c r="E261" t="str" cm="1">
        <f t="array" ref="E261">_xlfn.TEXTJOIN(", ",TRUE,_xlfn._xlws.FILTER(ROW(PriceList!$B$4:$B$2641),PriceList!$M$4:$M$2641=A261,""))</f>
        <v>690, 1185</v>
      </c>
      <c r="F261" s="42" t="str" cm="1">
        <f t="array" ref="F261">_xlfn.TEXTJOIN(" | ",TRUE,_xlfn.UNIQUE(_xlfn._xlws.FILTER(PriceList!$Q$4:$Q$2641&amp;" x "&amp;PriceList!$R$4:$R$2641&amp;" x "&amp;PriceList!$S$4:$S$2641,PriceList!$M$4:$M$2641=A261,"")))</f>
        <v>53.34 x 64.008 x 5.334</v>
      </c>
      <c r="G261" t="str" cm="1">
        <f t="array" ref="G261">INDEX(_xlfn._xlws.FILTER(PriceList!$P$4:$P$2641,PriceList!$M$4:$M$2641=A261,""),1)</f>
        <v>O Ring - NBR 70</v>
      </c>
    </row>
    <row r="262" spans="1:7" x14ac:dyDescent="0.45">
      <c r="A262" t="s">
        <v>4887</v>
      </c>
      <c r="B262">
        <f>COUNTIF(PriceList!$M$4:$M$2641,A262)</f>
        <v>1</v>
      </c>
      <c r="C262" t="str">
        <f>IF(B262=1,"1:1","1:Many")</f>
        <v>1:1</v>
      </c>
      <c r="D262" s="42" t="str" cm="1">
        <f t="array" ref="D262">_xlfn.TEXTJOIN(" | ",TRUE,_xlfn._xlws.FILTER(PriceList!$B$4:$B$2641,PriceList!$M$4:$M$2641=A262,""))</f>
        <v>ORV8 053.34-5.33</v>
      </c>
      <c r="E262" t="str" cm="1">
        <f t="array" ref="E262">_xlfn.TEXTJOIN(", ",TRUE,_xlfn._xlws.FILTER(ROW(PriceList!$B$4:$B$2641),PriceList!$M$4:$M$2641=A262,""))</f>
        <v>1841</v>
      </c>
      <c r="F262" s="42" t="str" cm="1">
        <f t="array" ref="F262">_xlfn.TEXTJOIN(" | ",TRUE,_xlfn.UNIQUE(_xlfn._xlws.FILTER(PriceList!$Q$4:$Q$2641&amp;" x "&amp;PriceList!$R$4:$R$2641&amp;" x "&amp;PriceList!$S$4:$S$2641,PriceList!$M$4:$M$2641=A262,"")))</f>
        <v>53.34 x 64.008 x 5.334</v>
      </c>
      <c r="G262" t="str" cm="1">
        <f t="array" ref="G262">INDEX(_xlfn._xlws.FILTER(PriceList!$P$4:$P$2641,PriceList!$M$4:$M$2641=A262,""),1)</f>
        <v>O Ring - FPM/FKM/VitonÂ®</v>
      </c>
    </row>
    <row r="263" spans="1:7" x14ac:dyDescent="0.45">
      <c r="A263" t="s">
        <v>4102</v>
      </c>
      <c r="B263">
        <f>COUNTIF(PriceList!$M$4:$M$2641,A263)</f>
        <v>2</v>
      </c>
      <c r="C263" t="str">
        <f>IF(B263=1,"1:1","1:Many")</f>
        <v>1:Many</v>
      </c>
      <c r="D263" s="42" t="str" cm="1">
        <f t="array" ref="D263">_xlfn.TEXTJOIN(" | ",TRUE,_xlfn._xlws.FILTER(PriceList!$B$4:$B$2641,PriceList!$M$4:$M$2641=A263,""))</f>
        <v>OR7N 056.52-5.33 | OR9N 056.52-5.33</v>
      </c>
      <c r="E263" t="str" cm="1">
        <f t="array" ref="E263">_xlfn.TEXTJOIN(", ",TRUE,_xlfn._xlws.FILTER(ROW(PriceList!$B$4:$B$2641),PriceList!$M$4:$M$2641=A263,""))</f>
        <v>697, 1196</v>
      </c>
      <c r="F263" s="42" t="str" cm="1">
        <f t="array" ref="F263">_xlfn.TEXTJOIN(" | ",TRUE,_xlfn.UNIQUE(_xlfn._xlws.FILTER(PriceList!$Q$4:$Q$2641&amp;" x "&amp;PriceList!$R$4:$R$2641&amp;" x "&amp;PriceList!$S$4:$S$2641,PriceList!$M$4:$M$2641=A263,"")))</f>
        <v>56.642 x 67.31 x 5.334</v>
      </c>
      <c r="G263" t="str" cm="1">
        <f t="array" ref="G263">INDEX(_xlfn._xlws.FILTER(PriceList!$P$4:$P$2641,PriceList!$M$4:$M$2641=A263,""),1)</f>
        <v>O Ring - NBR 70</v>
      </c>
    </row>
    <row r="264" spans="1:7" x14ac:dyDescent="0.45">
      <c r="A264" t="s">
        <v>4900</v>
      </c>
      <c r="B264">
        <f>COUNTIF(PriceList!$M$4:$M$2641,A264)</f>
        <v>1</v>
      </c>
      <c r="C264" t="str">
        <f>IF(B264=1,"1:1","1:Many")</f>
        <v>1:1</v>
      </c>
      <c r="D264" s="42" t="str" cm="1">
        <f t="array" ref="D264">_xlfn.TEXTJOIN(" | ",TRUE,_xlfn._xlws.FILTER(PriceList!$B$4:$B$2641,PriceList!$M$4:$M$2641=A264,""))</f>
        <v>ORV8 056.52-5.33</v>
      </c>
      <c r="E264" t="str" cm="1">
        <f t="array" ref="E264">_xlfn.TEXTJOIN(", ",TRUE,_xlfn._xlws.FILTER(ROW(PriceList!$B$4:$B$2641),PriceList!$M$4:$M$2641=A264,""))</f>
        <v>1853</v>
      </c>
      <c r="F264" s="42" t="str" cm="1">
        <f t="array" ref="F264">_xlfn.TEXTJOIN(" | ",TRUE,_xlfn.UNIQUE(_xlfn._xlws.FILTER(PriceList!$Q$4:$Q$2641&amp;" x "&amp;PriceList!$R$4:$R$2641&amp;" x "&amp;PriceList!$S$4:$S$2641,PriceList!$M$4:$M$2641=A264,"")))</f>
        <v>56.642 x 67.31 x 5.334</v>
      </c>
      <c r="G264" t="str" cm="1">
        <f t="array" ref="G264">INDEX(_xlfn._xlws.FILTER(PriceList!$P$4:$P$2641,PriceList!$M$4:$M$2641=A264,""),1)</f>
        <v>O Ring - FPM/FKM/VitonÂ®</v>
      </c>
    </row>
    <row r="265" spans="1:7" x14ac:dyDescent="0.45">
      <c r="A265" t="s">
        <v>4110</v>
      </c>
      <c r="B265">
        <f>COUNTIF(PriceList!$M$4:$M$2641,A265)</f>
        <v>2</v>
      </c>
      <c r="C265" t="str">
        <f>IF(B265=1,"1:1","1:Many")</f>
        <v>1:Many</v>
      </c>
      <c r="D265" s="42" t="str" cm="1">
        <f t="array" ref="D265">_xlfn.TEXTJOIN(" | ",TRUE,_xlfn._xlws.FILTER(PriceList!$B$4:$B$2641,PriceList!$M$4:$M$2641=A265,""))</f>
        <v>OR7N 059.69-5.33 | OR9N 059.69-5.33</v>
      </c>
      <c r="E265" t="str" cm="1">
        <f t="array" ref="E265">_xlfn.TEXTJOIN(", ",TRUE,_xlfn._xlws.FILTER(ROW(PriceList!$B$4:$B$2641),PriceList!$M$4:$M$2641=A265,""))</f>
        <v>704, 1208</v>
      </c>
      <c r="F265" s="42" t="str" cm="1">
        <f t="array" ref="F265">_xlfn.TEXTJOIN(" | ",TRUE,_xlfn.UNIQUE(_xlfn._xlws.FILTER(PriceList!$Q$4:$Q$2641&amp;" x "&amp;PriceList!$R$4:$R$2641&amp;" x "&amp;PriceList!$S$4:$S$2641,PriceList!$M$4:$M$2641=A265,"")))</f>
        <v>59.69 x 70.358 x 5.334</v>
      </c>
      <c r="G265" t="str" cm="1">
        <f t="array" ref="G265">INDEX(_xlfn._xlws.FILTER(PriceList!$P$4:$P$2641,PriceList!$M$4:$M$2641=A265,""),1)</f>
        <v>O Ring - NBR 70</v>
      </c>
    </row>
    <row r="266" spans="1:7" x14ac:dyDescent="0.45">
      <c r="A266" t="s">
        <v>4914</v>
      </c>
      <c r="B266">
        <f>COUNTIF(PriceList!$M$4:$M$2641,A266)</f>
        <v>2</v>
      </c>
      <c r="C266" t="str">
        <f>IF(B266=1,"1:1","1:Many")</f>
        <v>1:Many</v>
      </c>
      <c r="D266" s="42" t="str" cm="1">
        <f t="array" ref="D266">_xlfn.TEXTJOIN(" | ",TRUE,_xlfn._xlws.FILTER(PriceList!$B$4:$B$2641,PriceList!$M$4:$M$2641=A266,""))</f>
        <v>ORV8 059.69-5.33 | ORV8 060-5</v>
      </c>
      <c r="E266" t="str" cm="1">
        <f t="array" ref="E266">_xlfn.TEXTJOIN(", ",TRUE,_xlfn._xlws.FILTER(ROW(PriceList!$B$4:$B$2641),PriceList!$M$4:$M$2641=A266,""))</f>
        <v>1867, 1874</v>
      </c>
      <c r="F266" s="42" t="str" cm="1">
        <f t="array" ref="F266">_xlfn.TEXTJOIN(" | ",TRUE,_xlfn.UNIQUE(_xlfn._xlws.FILTER(PriceList!$Q$4:$Q$2641&amp;" x "&amp;PriceList!$R$4:$R$2641&amp;" x "&amp;PriceList!$S$4:$S$2641,PriceList!$M$4:$M$2641=A266,"")))</f>
        <v>59.69 x 70.358 x 5.334</v>
      </c>
      <c r="G266" t="str" cm="1">
        <f t="array" ref="G266">INDEX(_xlfn._xlws.FILTER(PriceList!$P$4:$P$2641,PriceList!$M$4:$M$2641=A266,""),1)</f>
        <v>O Ring - FPM/FKM/VitonÂ®</v>
      </c>
    </row>
    <row r="267" spans="1:7" x14ac:dyDescent="0.45">
      <c r="A267" t="s">
        <v>4114</v>
      </c>
      <c r="B267">
        <f>COUNTIF(PriceList!$M$4:$M$2641,A267)</f>
        <v>2</v>
      </c>
      <c r="C267" t="str">
        <f>IF(B267=1,"1:1","1:Many")</f>
        <v>1:Many</v>
      </c>
      <c r="D267" s="42" t="str" cm="1">
        <f t="array" ref="D267">_xlfn.TEXTJOIN(" | ",TRUE,_xlfn._xlws.FILTER(PriceList!$B$4:$B$2641,PriceList!$M$4:$M$2641=A267,""))</f>
        <v>OR7N 062.87-5.33 | OR9N 062.87-5.33</v>
      </c>
      <c r="E267" t="str" cm="1">
        <f t="array" ref="E267">_xlfn.TEXTJOIN(", ",TRUE,_xlfn._xlws.FILTER(ROW(PriceList!$B$4:$B$2641),PriceList!$M$4:$M$2641=A267,""))</f>
        <v>708, 1217</v>
      </c>
      <c r="F267" s="42" t="str" cm="1">
        <f t="array" ref="F267">_xlfn.TEXTJOIN(" | ",TRUE,_xlfn.UNIQUE(_xlfn._xlws.FILTER(PriceList!$Q$4:$Q$2641&amp;" x "&amp;PriceList!$R$4:$R$2641&amp;" x "&amp;PriceList!$S$4:$S$2641,PriceList!$M$4:$M$2641=A267,"")))</f>
        <v>62.992 x 73.66 x 5.334</v>
      </c>
      <c r="G267" t="str" cm="1">
        <f t="array" ref="G267">INDEX(_xlfn._xlws.FILTER(PriceList!$P$4:$P$2641,PriceList!$M$4:$M$2641=A267,""),1)</f>
        <v>O Ring - EPDM</v>
      </c>
    </row>
    <row r="268" spans="1:7" x14ac:dyDescent="0.45">
      <c r="A268" t="s">
        <v>4928</v>
      </c>
      <c r="B268">
        <f>COUNTIF(PriceList!$M$4:$M$2641,A268)</f>
        <v>1</v>
      </c>
      <c r="C268" t="str">
        <f>IF(B268=1,"1:1","1:Many")</f>
        <v>1:1</v>
      </c>
      <c r="D268" s="42" t="str" cm="1">
        <f t="array" ref="D268">_xlfn.TEXTJOIN(" | ",TRUE,_xlfn._xlws.FILTER(PriceList!$B$4:$B$2641,PriceList!$M$4:$M$2641=A268,""))</f>
        <v>ORV8 062.87-5.33</v>
      </c>
      <c r="E268" t="str" cm="1">
        <f t="array" ref="E268">_xlfn.TEXTJOIN(", ",TRUE,_xlfn._xlws.FILTER(ROW(PriceList!$B$4:$B$2641),PriceList!$M$4:$M$2641=A268,""))</f>
        <v>1879</v>
      </c>
      <c r="F268" s="42" t="str" cm="1">
        <f t="array" ref="F268">_xlfn.TEXTJOIN(" | ",TRUE,_xlfn.UNIQUE(_xlfn._xlws.FILTER(PriceList!$Q$4:$Q$2641&amp;" x "&amp;PriceList!$R$4:$R$2641&amp;" x "&amp;PriceList!$S$4:$S$2641,PriceList!$M$4:$M$2641=A268,"")))</f>
        <v>62.992 x 73.66 x 5.334</v>
      </c>
      <c r="G268" t="str" cm="1">
        <f t="array" ref="G268">INDEX(_xlfn._xlws.FILTER(PriceList!$P$4:$P$2641,PriceList!$M$4:$M$2641=A268,""),1)</f>
        <v>O Ring - FPM/FKM/VitonÂ®</v>
      </c>
    </row>
    <row r="269" spans="1:7" x14ac:dyDescent="0.45">
      <c r="A269" t="s">
        <v>4123</v>
      </c>
      <c r="B269">
        <f>COUNTIF(PriceList!$M$4:$M$2641,A269)</f>
        <v>2</v>
      </c>
      <c r="C269" t="str">
        <f>IF(B269=1,"1:1","1:Many")</f>
        <v>1:Many</v>
      </c>
      <c r="D269" s="42" t="str" cm="1">
        <f t="array" ref="D269">_xlfn.TEXTJOIN(" | ",TRUE,_xlfn._xlws.FILTER(PriceList!$B$4:$B$2641,PriceList!$M$4:$M$2641=A269,""))</f>
        <v>OR7N 066.04-5.33 | OR9N 066.04-5.33</v>
      </c>
      <c r="E269" t="str" cm="1">
        <f t="array" ref="E269">_xlfn.TEXTJOIN(", ",TRUE,_xlfn._xlws.FILTER(ROW(PriceList!$B$4:$B$2641),PriceList!$M$4:$M$2641=A269,""))</f>
        <v>716, 1231</v>
      </c>
      <c r="F269" s="42" t="str" cm="1">
        <f t="array" ref="F269">_xlfn.TEXTJOIN(" | ",TRUE,_xlfn.UNIQUE(_xlfn._xlws.FILTER(PriceList!$Q$4:$Q$2641&amp;" x "&amp;PriceList!$R$4:$R$2641&amp;" x "&amp;PriceList!$S$4:$S$2641,PriceList!$M$4:$M$2641=A269,"")))</f>
        <v>66.04 x 76.708 x 5.334</v>
      </c>
      <c r="G269" t="str" cm="1">
        <f t="array" ref="G269">INDEX(_xlfn._xlws.FILTER(PriceList!$P$4:$P$2641,PriceList!$M$4:$M$2641=A269,""),1)</f>
        <v>O Ring - NBR 70</v>
      </c>
    </row>
    <row r="270" spans="1:7" x14ac:dyDescent="0.45">
      <c r="A270" t="s">
        <v>4937</v>
      </c>
      <c r="B270">
        <f>COUNTIF(PriceList!$M$4:$M$2641,A270)</f>
        <v>1</v>
      </c>
      <c r="C270" t="str">
        <f>IF(B270=1,"1:1","1:Many")</f>
        <v>1:1</v>
      </c>
      <c r="D270" s="42" t="str" cm="1">
        <f t="array" ref="D270">_xlfn.TEXTJOIN(" | ",TRUE,_xlfn._xlws.FILTER(PriceList!$B$4:$B$2641,PriceList!$M$4:$M$2641=A270,""))</f>
        <v>ORV8 066.04-5.33</v>
      </c>
      <c r="E270" t="str" cm="1">
        <f t="array" ref="E270">_xlfn.TEXTJOIN(", ",TRUE,_xlfn._xlws.FILTER(ROW(PriceList!$B$4:$B$2641),PriceList!$M$4:$M$2641=A270,""))</f>
        <v>1889</v>
      </c>
      <c r="F270" s="42" t="str" cm="1">
        <f t="array" ref="F270">_xlfn.TEXTJOIN(" | ",TRUE,_xlfn.UNIQUE(_xlfn._xlws.FILTER(PriceList!$Q$4:$Q$2641&amp;" x "&amp;PriceList!$R$4:$R$2641&amp;" x "&amp;PriceList!$S$4:$S$2641,PriceList!$M$4:$M$2641=A270,"")))</f>
        <v>66.04 x 76.708 x 5.334</v>
      </c>
      <c r="G270" t="str" cm="1">
        <f t="array" ref="G270">INDEX(_xlfn._xlws.FILTER(PriceList!$P$4:$P$2641,PriceList!$M$4:$M$2641=A270,""),1)</f>
        <v>O Ring - FPM/FKM/VitonÂ®</v>
      </c>
    </row>
    <row r="271" spans="1:7" x14ac:dyDescent="0.45">
      <c r="A271" t="s">
        <v>4128</v>
      </c>
      <c r="B271">
        <f>COUNTIF(PriceList!$M$4:$M$2641,A271)</f>
        <v>2</v>
      </c>
      <c r="C271" t="str">
        <f>IF(B271=1,"1:1","1:Many")</f>
        <v>1:Many</v>
      </c>
      <c r="D271" s="42" t="str" cm="1">
        <f t="array" ref="D271">_xlfn.TEXTJOIN(" | ",TRUE,_xlfn._xlws.FILTER(PriceList!$B$4:$B$2641,PriceList!$M$4:$M$2641=A271,""))</f>
        <v>OR7N 069.22-5.33 | OR9N 069.22-5.33</v>
      </c>
      <c r="E271" t="str" cm="1">
        <f t="array" ref="E271">_xlfn.TEXTJOIN(", ",TRUE,_xlfn._xlws.FILTER(ROW(PriceList!$B$4:$B$2641),PriceList!$M$4:$M$2641=A271,""))</f>
        <v>720, 1239</v>
      </c>
      <c r="F271" s="42" t="str" cm="1">
        <f t="array" ref="F271">_xlfn.TEXTJOIN(" | ",TRUE,_xlfn.UNIQUE(_xlfn._xlws.FILTER(PriceList!$Q$4:$Q$2641&amp;" x "&amp;PriceList!$R$4:$R$2641&amp;" x "&amp;PriceList!$S$4:$S$2641,PriceList!$M$4:$M$2641=A271,"")))</f>
        <v>69.342 x 80.01 x 5.334</v>
      </c>
      <c r="G271" t="str" cm="1">
        <f t="array" ref="G271">INDEX(_xlfn._xlws.FILTER(PriceList!$P$4:$P$2641,PriceList!$M$4:$M$2641=A271,""),1)</f>
        <v>O Ring - NBR 70</v>
      </c>
    </row>
    <row r="272" spans="1:7" x14ac:dyDescent="0.45">
      <c r="A272" t="s">
        <v>4947</v>
      </c>
      <c r="B272">
        <f>COUNTIF(PriceList!$M$4:$M$2641,A272)</f>
        <v>1</v>
      </c>
      <c r="C272" t="str">
        <f>IF(B272=1,"1:1","1:Many")</f>
        <v>1:1</v>
      </c>
      <c r="D272" s="42" t="str" cm="1">
        <f t="array" ref="D272">_xlfn.TEXTJOIN(" | ",TRUE,_xlfn._xlws.FILTER(PriceList!$B$4:$B$2641,PriceList!$M$4:$M$2641=A272,""))</f>
        <v>ORV8 069.22-5.33</v>
      </c>
      <c r="E272" t="str" cm="1">
        <f t="array" ref="E272">_xlfn.TEXTJOIN(", ",TRUE,_xlfn._xlws.FILTER(ROW(PriceList!$B$4:$B$2641),PriceList!$M$4:$M$2641=A272,""))</f>
        <v>1897</v>
      </c>
      <c r="F272" s="42" t="str" cm="1">
        <f t="array" ref="F272">_xlfn.TEXTJOIN(" | ",TRUE,_xlfn.UNIQUE(_xlfn._xlws.FILTER(PriceList!$Q$4:$Q$2641&amp;" x "&amp;PriceList!$R$4:$R$2641&amp;" x "&amp;PriceList!$S$4:$S$2641,PriceList!$M$4:$M$2641=A272,"")))</f>
        <v>69.342 x 80.01 x 5.334</v>
      </c>
      <c r="G272" t="str" cm="1">
        <f t="array" ref="G272">INDEX(_xlfn._xlws.FILTER(PriceList!$P$4:$P$2641,PriceList!$M$4:$M$2641=A272,""),1)</f>
        <v>O Ring - FPM/FKM/VitonÂ®</v>
      </c>
    </row>
    <row r="273" spans="1:7" x14ac:dyDescent="0.45">
      <c r="A273" t="s">
        <v>4136</v>
      </c>
      <c r="B273">
        <f>COUNTIF(PriceList!$M$4:$M$2641,A273)</f>
        <v>2</v>
      </c>
      <c r="C273" t="str">
        <f>IF(B273=1,"1:1","1:Many")</f>
        <v>1:Many</v>
      </c>
      <c r="D273" s="42" t="str" cm="1">
        <f t="array" ref="D273">_xlfn.TEXTJOIN(" | ",TRUE,_xlfn._xlws.FILTER(PriceList!$B$4:$B$2641,PriceList!$M$4:$M$2641=A273,""))</f>
        <v>OR7N 072.39-5.33 | OR9N 072.39-5.33</v>
      </c>
      <c r="E273" t="str" cm="1">
        <f t="array" ref="E273">_xlfn.TEXTJOIN(", ",TRUE,_xlfn._xlws.FILTER(ROW(PriceList!$B$4:$B$2641),PriceList!$M$4:$M$2641=A273,""))</f>
        <v>727, 1250</v>
      </c>
      <c r="F273" s="42" t="str" cm="1">
        <f t="array" ref="F273">_xlfn.TEXTJOIN(" | ",TRUE,_xlfn.UNIQUE(_xlfn._xlws.FILTER(PriceList!$Q$4:$Q$2641&amp;" x "&amp;PriceList!$R$4:$R$2641&amp;" x "&amp;PriceList!$S$4:$S$2641,PriceList!$M$4:$M$2641=A273,"")))</f>
        <v>72.39 x 83.058 x 5.334</v>
      </c>
      <c r="G273" t="str" cm="1">
        <f t="array" ref="G273">INDEX(_xlfn._xlws.FILTER(PriceList!$P$4:$P$2641,PriceList!$M$4:$M$2641=A273,""),1)</f>
        <v>O Ring - NBR 70</v>
      </c>
    </row>
    <row r="274" spans="1:7" x14ac:dyDescent="0.45">
      <c r="A274" t="s">
        <v>4954</v>
      </c>
      <c r="B274">
        <f>COUNTIF(PriceList!$M$4:$M$2641,A274)</f>
        <v>1</v>
      </c>
      <c r="C274" t="str">
        <f>IF(B274=1,"1:1","1:Many")</f>
        <v>1:1</v>
      </c>
      <c r="D274" s="42" t="str" cm="1">
        <f t="array" ref="D274">_xlfn.TEXTJOIN(" | ",TRUE,_xlfn._xlws.FILTER(PriceList!$B$4:$B$2641,PriceList!$M$4:$M$2641=A274,""))</f>
        <v>ORV8 072.39-5.33</v>
      </c>
      <c r="E274" t="str" cm="1">
        <f t="array" ref="E274">_xlfn.TEXTJOIN(", ",TRUE,_xlfn._xlws.FILTER(ROW(PriceList!$B$4:$B$2641),PriceList!$M$4:$M$2641=A274,""))</f>
        <v>1906</v>
      </c>
      <c r="F274" s="42" t="str" cm="1">
        <f t="array" ref="F274">_xlfn.TEXTJOIN(" | ",TRUE,_xlfn.UNIQUE(_xlfn._xlws.FILTER(PriceList!$Q$4:$Q$2641&amp;" x "&amp;PriceList!$R$4:$R$2641&amp;" x "&amp;PriceList!$S$4:$S$2641,PriceList!$M$4:$M$2641=A274,"")))</f>
        <v>72.39 x 83.058 x 5.334</v>
      </c>
      <c r="G274" t="str" cm="1">
        <f t="array" ref="G274">INDEX(_xlfn._xlws.FILTER(PriceList!$P$4:$P$2641,PriceList!$M$4:$M$2641=A274,""),1)</f>
        <v>O Ring - FPM/FKM/VitonÂ®</v>
      </c>
    </row>
    <row r="275" spans="1:7" x14ac:dyDescent="0.45">
      <c r="A275" t="s">
        <v>4141</v>
      </c>
      <c r="B275">
        <f>COUNTIF(PriceList!$M$4:$M$2641,A275)</f>
        <v>2</v>
      </c>
      <c r="C275" t="str">
        <f>IF(B275=1,"1:1","1:Many")</f>
        <v>1:Many</v>
      </c>
      <c r="D275" s="42" t="str" cm="1">
        <f t="array" ref="D275">_xlfn.TEXTJOIN(" | ",TRUE,_xlfn._xlws.FILTER(PriceList!$B$4:$B$2641,PriceList!$M$4:$M$2641=A275,""))</f>
        <v>OR7N 075.57-5.33 | OR9N 075.57-5.33</v>
      </c>
      <c r="E275" t="str" cm="1">
        <f t="array" ref="E275">_xlfn.TEXTJOIN(", ",TRUE,_xlfn._xlws.FILTER(ROW(PriceList!$B$4:$B$2641),PriceList!$M$4:$M$2641=A275,""))</f>
        <v>732, 1261</v>
      </c>
      <c r="F275" s="42" t="str" cm="1">
        <f t="array" ref="F275">_xlfn.TEXTJOIN(" | ",TRUE,_xlfn.UNIQUE(_xlfn._xlws.FILTER(PriceList!$Q$4:$Q$2641&amp;" x "&amp;PriceList!$R$4:$R$2641&amp;" x "&amp;PriceList!$S$4:$S$2641,PriceList!$M$4:$M$2641=A275,"")))</f>
        <v>75.692 x 86.36 x 5.334</v>
      </c>
      <c r="G275" t="str" cm="1">
        <f t="array" ref="G275">INDEX(_xlfn._xlws.FILTER(PriceList!$P$4:$P$2641,PriceList!$M$4:$M$2641=A275,""),1)</f>
        <v>O Ring - NBR 70</v>
      </c>
    </row>
    <row r="276" spans="1:7" x14ac:dyDescent="0.45">
      <c r="A276" t="s">
        <v>4964</v>
      </c>
      <c r="B276">
        <f>COUNTIF(PriceList!$M$4:$M$2641,A276)</f>
        <v>1</v>
      </c>
      <c r="C276" t="str">
        <f>IF(B276=1,"1:1","1:Many")</f>
        <v>1:1</v>
      </c>
      <c r="D276" s="42" t="str" cm="1">
        <f t="array" ref="D276">_xlfn.TEXTJOIN(" | ",TRUE,_xlfn._xlws.FILTER(PriceList!$B$4:$B$2641,PriceList!$M$4:$M$2641=A276,""))</f>
        <v>ORV8 075.57-5.33</v>
      </c>
      <c r="E276" t="str" cm="1">
        <f t="array" ref="E276">_xlfn.TEXTJOIN(", ",TRUE,_xlfn._xlws.FILTER(ROW(PriceList!$B$4:$B$2641),PriceList!$M$4:$M$2641=A276,""))</f>
        <v>1915</v>
      </c>
      <c r="F276" s="42" t="str" cm="1">
        <f t="array" ref="F276">_xlfn.TEXTJOIN(" | ",TRUE,_xlfn.UNIQUE(_xlfn._xlws.FILTER(PriceList!$Q$4:$Q$2641&amp;" x "&amp;PriceList!$R$4:$R$2641&amp;" x "&amp;PriceList!$S$4:$S$2641,PriceList!$M$4:$M$2641=A276,"")))</f>
        <v>75.692 x 86.36 x 5.334</v>
      </c>
      <c r="G276" t="str" cm="1">
        <f t="array" ref="G276">INDEX(_xlfn._xlws.FILTER(PriceList!$P$4:$P$2641,PriceList!$M$4:$M$2641=A276,""),1)</f>
        <v>O Ring - FPM/FKM/VitonÂ®</v>
      </c>
    </row>
    <row r="277" spans="1:7" x14ac:dyDescent="0.45">
      <c r="A277" t="s">
        <v>4144</v>
      </c>
      <c r="B277">
        <f>COUNTIF(PriceList!$M$4:$M$2641,A277)</f>
        <v>2</v>
      </c>
      <c r="C277" t="str">
        <f>IF(B277=1,"1:1","1:Many")</f>
        <v>1:Many</v>
      </c>
      <c r="D277" s="42" t="str" cm="1">
        <f t="array" ref="D277">_xlfn.TEXTJOIN(" | ",TRUE,_xlfn._xlws.FILTER(PriceList!$B$4:$B$2641,PriceList!$M$4:$M$2641=A277,""))</f>
        <v>OR7N 078.74-5.33 | OR9N 078.74-5.33</v>
      </c>
      <c r="E277" t="str" cm="1">
        <f t="array" ref="E277">_xlfn.TEXTJOIN(", ",TRUE,_xlfn._xlws.FILTER(ROW(PriceList!$B$4:$B$2641),PriceList!$M$4:$M$2641=A277,""))</f>
        <v>735, 1266</v>
      </c>
      <c r="F277" s="42" t="str" cm="1">
        <f t="array" ref="F277">_xlfn.TEXTJOIN(" | ",TRUE,_xlfn.UNIQUE(_xlfn._xlws.FILTER(PriceList!$Q$4:$Q$2641&amp;" x "&amp;PriceList!$R$4:$R$2641&amp;" x "&amp;PriceList!$S$4:$S$2641,PriceList!$M$4:$M$2641=A277,"")))</f>
        <v>78.74 x 89.408 x 5.334</v>
      </c>
      <c r="G277" t="str" cm="1">
        <f t="array" ref="G277">INDEX(_xlfn._xlws.FILTER(PriceList!$P$4:$P$2641,PriceList!$M$4:$M$2641=A277,""),1)</f>
        <v>O Ring - NBR 70</v>
      </c>
    </row>
    <row r="278" spans="1:7" x14ac:dyDescent="0.45">
      <c r="A278" t="s">
        <v>4971</v>
      </c>
      <c r="B278">
        <f>COUNTIF(PriceList!$M$4:$M$2641,A278)</f>
        <v>1</v>
      </c>
      <c r="C278" t="str">
        <f>IF(B278=1,"1:1","1:Many")</f>
        <v>1:1</v>
      </c>
      <c r="D278" s="42" t="str" cm="1">
        <f t="array" ref="D278">_xlfn.TEXTJOIN(" | ",TRUE,_xlfn._xlws.FILTER(PriceList!$B$4:$B$2641,PriceList!$M$4:$M$2641=A278,""))</f>
        <v>ORV8 078.74-5.33</v>
      </c>
      <c r="E278" t="str" cm="1">
        <f t="array" ref="E278">_xlfn.TEXTJOIN(", ",TRUE,_xlfn._xlws.FILTER(ROW(PriceList!$B$4:$B$2641),PriceList!$M$4:$M$2641=A278,""))</f>
        <v>1923</v>
      </c>
      <c r="F278" s="42" t="str" cm="1">
        <f t="array" ref="F278">_xlfn.TEXTJOIN(" | ",TRUE,_xlfn.UNIQUE(_xlfn._xlws.FILTER(PriceList!$Q$4:$Q$2641&amp;" x "&amp;PriceList!$R$4:$R$2641&amp;" x "&amp;PriceList!$S$4:$S$2641,PriceList!$M$4:$M$2641=A278,"")))</f>
        <v>78.74 x 89.408 x 5.334</v>
      </c>
      <c r="G278" t="str" cm="1">
        <f t="array" ref="G278">INDEX(_xlfn._xlws.FILTER(PriceList!$P$4:$P$2641,PriceList!$M$4:$M$2641=A278,""),1)</f>
        <v>O Ring - FPM/FKM/VitonÂ®</v>
      </c>
    </row>
    <row r="279" spans="1:7" x14ac:dyDescent="0.45">
      <c r="A279" t="s">
        <v>4151</v>
      </c>
      <c r="B279">
        <f>COUNTIF(PriceList!$M$4:$M$2641,A279)</f>
        <v>2</v>
      </c>
      <c r="C279" t="str">
        <f>IF(B279=1,"1:1","1:Many")</f>
        <v>1:Many</v>
      </c>
      <c r="D279" s="42" t="str" cm="1">
        <f t="array" ref="D279">_xlfn.TEXTJOIN(" | ",TRUE,_xlfn._xlws.FILTER(PriceList!$B$4:$B$2641,PriceList!$M$4:$M$2641=A279,""))</f>
        <v>OR7N 081.91-5.33 | OR9N 081.91-5.33</v>
      </c>
      <c r="E279" t="str" cm="1">
        <f t="array" ref="E279">_xlfn.TEXTJOIN(", ",TRUE,_xlfn._xlws.FILTER(ROW(PriceList!$B$4:$B$2641),PriceList!$M$4:$M$2641=A279,""))</f>
        <v>741, 1276</v>
      </c>
      <c r="F279" s="42" t="str" cm="1">
        <f t="array" ref="F279">_xlfn.TEXTJOIN(" | ",TRUE,_xlfn.UNIQUE(_xlfn._xlws.FILTER(PriceList!$Q$4:$Q$2641&amp;" x "&amp;PriceList!$R$4:$R$2641&amp;" x "&amp;PriceList!$S$4:$S$2641,PriceList!$M$4:$M$2641=A279,"")))</f>
        <v>82.042 x 92.71 x 5.334</v>
      </c>
      <c r="G279" t="str" cm="1">
        <f t="array" ref="G279">INDEX(_xlfn._xlws.FILTER(PriceList!$P$4:$P$2641,PriceList!$M$4:$M$2641=A279,""),1)</f>
        <v>O Ring - NBR 70</v>
      </c>
    </row>
    <row r="280" spans="1:7" x14ac:dyDescent="0.45">
      <c r="A280" t="s">
        <v>4979</v>
      </c>
      <c r="B280">
        <f>COUNTIF(PriceList!$M$4:$M$2641,A280)</f>
        <v>1</v>
      </c>
      <c r="C280" t="str">
        <f>IF(B280=1,"1:1","1:Many")</f>
        <v>1:1</v>
      </c>
      <c r="D280" s="42" t="str" cm="1">
        <f t="array" ref="D280">_xlfn.TEXTJOIN(" | ",TRUE,_xlfn._xlws.FILTER(PriceList!$B$4:$B$2641,PriceList!$M$4:$M$2641=A280,""))</f>
        <v>ORV8 081.91-5.33</v>
      </c>
      <c r="E280" t="str" cm="1">
        <f t="array" ref="E280">_xlfn.TEXTJOIN(", ",TRUE,_xlfn._xlws.FILTER(ROW(PriceList!$B$4:$B$2641),PriceList!$M$4:$M$2641=A280,""))</f>
        <v>1930</v>
      </c>
      <c r="F280" s="42" t="str" cm="1">
        <f t="array" ref="F280">_xlfn.TEXTJOIN(" | ",TRUE,_xlfn.UNIQUE(_xlfn._xlws.FILTER(PriceList!$Q$4:$Q$2641&amp;" x "&amp;PriceList!$R$4:$R$2641&amp;" x "&amp;PriceList!$S$4:$S$2641,PriceList!$M$4:$M$2641=A280,"")))</f>
        <v>82.042 x 92.71 x 5.334</v>
      </c>
      <c r="G280" t="str" cm="1">
        <f t="array" ref="G280">INDEX(_xlfn._xlws.FILTER(PriceList!$P$4:$P$2641,PriceList!$M$4:$M$2641=A280,""),1)</f>
        <v>O Ring - FPM/FKM/VitonÂ®</v>
      </c>
    </row>
    <row r="281" spans="1:7" x14ac:dyDescent="0.45">
      <c r="A281" t="s">
        <v>4157</v>
      </c>
      <c r="B281">
        <f>COUNTIF(PriceList!$M$4:$M$2641,A281)</f>
        <v>2</v>
      </c>
      <c r="C281" t="str">
        <f>IF(B281=1,"1:1","1:Many")</f>
        <v>1:Many</v>
      </c>
      <c r="D281" s="42" t="str" cm="1">
        <f t="array" ref="D281">_xlfn.TEXTJOIN(" | ",TRUE,_xlfn._xlws.FILTER(PriceList!$B$4:$B$2641,PriceList!$M$4:$M$2641=A281,""))</f>
        <v>OR7N 085.09-5.33 | OR9N 085.09-5.33</v>
      </c>
      <c r="E281" t="str" cm="1">
        <f t="array" ref="E281">_xlfn.TEXTJOIN(", ",TRUE,_xlfn._xlws.FILTER(ROW(PriceList!$B$4:$B$2641),PriceList!$M$4:$M$2641=A281,""))</f>
        <v>746, 1284</v>
      </c>
      <c r="F281" s="42" t="str" cm="1">
        <f t="array" ref="F281">_xlfn.TEXTJOIN(" | ",TRUE,_xlfn.UNIQUE(_xlfn._xlws.FILTER(PriceList!$Q$4:$Q$2641&amp;" x "&amp;PriceList!$R$4:$R$2641&amp;" x "&amp;PriceList!$S$4:$S$2641,PriceList!$M$4:$M$2641=A281,"")))</f>
        <v>85.09 x 95.758 x 5.334</v>
      </c>
      <c r="G281" t="str" cm="1">
        <f t="array" ref="G281">INDEX(_xlfn._xlws.FILTER(PriceList!$P$4:$P$2641,PriceList!$M$4:$M$2641=A281,""),1)</f>
        <v>O Ring - NBR 70</v>
      </c>
    </row>
    <row r="282" spans="1:7" x14ac:dyDescent="0.45">
      <c r="A282" t="s">
        <v>4984</v>
      </c>
      <c r="B282">
        <f>COUNTIF(PriceList!$M$4:$M$2641,A282)</f>
        <v>2</v>
      </c>
      <c r="C282" t="str">
        <f>IF(B282=1,"1:1","1:Many")</f>
        <v>1:Many</v>
      </c>
      <c r="D282" s="42" t="str" cm="1">
        <f t="array" ref="D282">_xlfn.TEXTJOIN(" | ",TRUE,_xlfn._xlws.FILTER(PriceList!$B$4:$B$2641,PriceList!$M$4:$M$2641=A282,""))</f>
        <v>ORV8 084.2-5.7 | ORV8 085.09-5.33</v>
      </c>
      <c r="E282" t="str" cm="1">
        <f t="array" ref="E282">_xlfn.TEXTJOIN(", ",TRUE,_xlfn._xlws.FILTER(ROW(PriceList!$B$4:$B$2641),PriceList!$M$4:$M$2641=A282,""))</f>
        <v>1934, 1936</v>
      </c>
      <c r="F282" s="42" t="str" cm="1">
        <f t="array" ref="F282">_xlfn.TEXTJOIN(" | ",TRUE,_xlfn.UNIQUE(_xlfn._xlws.FILTER(PriceList!$Q$4:$Q$2641&amp;" x "&amp;PriceList!$R$4:$R$2641&amp;" x "&amp;PriceList!$S$4:$S$2641,PriceList!$M$4:$M$2641=A282,"")))</f>
        <v>85.09 x 95.758 x 5.334</v>
      </c>
      <c r="G282" t="str" cm="1">
        <f t="array" ref="G282">INDEX(_xlfn._xlws.FILTER(PriceList!$P$4:$P$2641,PriceList!$M$4:$M$2641=A282,""),1)</f>
        <v>O Ring - FPM/FKM/VitonÂ®</v>
      </c>
    </row>
    <row r="283" spans="1:7" x14ac:dyDescent="0.45">
      <c r="A283" t="s">
        <v>4159</v>
      </c>
      <c r="B283">
        <f>COUNTIF(PriceList!$M$4:$M$2641,A283)</f>
        <v>2</v>
      </c>
      <c r="C283" t="str">
        <f>IF(B283=1,"1:1","1:Many")</f>
        <v>1:Many</v>
      </c>
      <c r="D283" s="42" t="str" cm="1">
        <f t="array" ref="D283">_xlfn.TEXTJOIN(" | ",TRUE,_xlfn._xlws.FILTER(PriceList!$B$4:$B$2641,PriceList!$M$4:$M$2641=A283,""))</f>
        <v>OR7N 088.27-5.33 | OR9N 088.27-5.33</v>
      </c>
      <c r="E283" t="str" cm="1">
        <f t="array" ref="E283">_xlfn.TEXTJOIN(", ",TRUE,_xlfn._xlws.FILTER(ROW(PriceList!$B$4:$B$2641),PriceList!$M$4:$M$2641=A283,""))</f>
        <v>748, 1290</v>
      </c>
      <c r="F283" s="42" t="str" cm="1">
        <f t="array" ref="F283">_xlfn.TEXTJOIN(" | ",TRUE,_xlfn.UNIQUE(_xlfn._xlws.FILTER(PriceList!$Q$4:$Q$2641&amp;" x "&amp;PriceList!$R$4:$R$2641&amp;" x "&amp;PriceList!$S$4:$S$2641,PriceList!$M$4:$M$2641=A283,"")))</f>
        <v>88.392 x 99.06 x 5.334</v>
      </c>
      <c r="G283" t="str" cm="1">
        <f t="array" ref="G283">INDEX(_xlfn._xlws.FILTER(PriceList!$P$4:$P$2641,PriceList!$M$4:$M$2641=A283,""),1)</f>
        <v>O Ring - NBR 70</v>
      </c>
    </row>
    <row r="284" spans="1:7" x14ac:dyDescent="0.45">
      <c r="A284" t="s">
        <v>4991</v>
      </c>
      <c r="B284">
        <f>COUNTIF(PriceList!$M$4:$M$2641,A284)</f>
        <v>1</v>
      </c>
      <c r="C284" t="str">
        <f>IF(B284=1,"1:1","1:Many")</f>
        <v>1:1</v>
      </c>
      <c r="D284" s="42" t="str" cm="1">
        <f t="array" ref="D284">_xlfn.TEXTJOIN(" | ",TRUE,_xlfn._xlws.FILTER(PriceList!$B$4:$B$2641,PriceList!$M$4:$M$2641=A284,""))</f>
        <v>ORV8 088.27-5.33</v>
      </c>
      <c r="E284" t="str" cm="1">
        <f t="array" ref="E284">_xlfn.TEXTJOIN(", ",TRUE,_xlfn._xlws.FILTER(ROW(PriceList!$B$4:$B$2641),PriceList!$M$4:$M$2641=A284,""))</f>
        <v>1940</v>
      </c>
      <c r="F284" s="42" t="str" cm="1">
        <f t="array" ref="F284">_xlfn.TEXTJOIN(" | ",TRUE,_xlfn.UNIQUE(_xlfn._xlws.FILTER(PriceList!$Q$4:$Q$2641&amp;" x "&amp;PriceList!$R$4:$R$2641&amp;" x "&amp;PriceList!$S$4:$S$2641,PriceList!$M$4:$M$2641=A284,"")))</f>
        <v>88.392 x 99.06 x 5.334</v>
      </c>
      <c r="G284" t="str" cm="1">
        <f t="array" ref="G284">INDEX(_xlfn._xlws.FILTER(PriceList!$P$4:$P$2641,PriceList!$M$4:$M$2641=A284,""),1)</f>
        <v>O Ring - FPM/FKM/VitonÂ®</v>
      </c>
    </row>
    <row r="285" spans="1:7" x14ac:dyDescent="0.45">
      <c r="A285" t="s">
        <v>4163</v>
      </c>
      <c r="B285">
        <f>COUNTIF(PriceList!$M$4:$M$2641,A285)</f>
        <v>2</v>
      </c>
      <c r="C285" t="str">
        <f>IF(B285=1,"1:1","1:Many")</f>
        <v>1:Many</v>
      </c>
      <c r="D285" s="42" t="str" cm="1">
        <f t="array" ref="D285">_xlfn.TEXTJOIN(" | ",TRUE,_xlfn._xlws.FILTER(PriceList!$B$4:$B$2641,PriceList!$M$4:$M$2641=A285,""))</f>
        <v>OR7N 091.44-5.33 | OR9N 091.44-5.33</v>
      </c>
      <c r="E285" t="str" cm="1">
        <f t="array" ref="E285">_xlfn.TEXTJOIN(", ",TRUE,_xlfn._xlws.FILTER(ROW(PriceList!$B$4:$B$2641),PriceList!$M$4:$M$2641=A285,""))</f>
        <v>752, 1299</v>
      </c>
      <c r="F285" s="42" t="str" cm="1">
        <f t="array" ref="F285">_xlfn.TEXTJOIN(" | ",TRUE,_xlfn.UNIQUE(_xlfn._xlws.FILTER(PriceList!$Q$4:$Q$2641&amp;" x "&amp;PriceList!$R$4:$R$2641&amp;" x "&amp;PriceList!$S$4:$S$2641,PriceList!$M$4:$M$2641=A285,"")))</f>
        <v>91.44 x 102.108 x 5.334</v>
      </c>
      <c r="G285" t="str" cm="1">
        <f t="array" ref="G285">INDEX(_xlfn._xlws.FILTER(PriceList!$P$4:$P$2641,PriceList!$M$4:$M$2641=A285,""),1)</f>
        <v>O Ring - NBR 70</v>
      </c>
    </row>
    <row r="286" spans="1:7" x14ac:dyDescent="0.45">
      <c r="A286" t="s">
        <v>5000</v>
      </c>
      <c r="B286">
        <f>COUNTIF(PriceList!$M$4:$M$2641,A286)</f>
        <v>1</v>
      </c>
      <c r="C286" t="str">
        <f>IF(B286=1,"1:1","1:Many")</f>
        <v>1:1</v>
      </c>
      <c r="D286" s="42" t="str" cm="1">
        <f t="array" ref="D286">_xlfn.TEXTJOIN(" | ",TRUE,_xlfn._xlws.FILTER(PriceList!$B$4:$B$2641,PriceList!$M$4:$M$2641=A286,""))</f>
        <v>ORV8 091.44-5.33</v>
      </c>
      <c r="E286" t="str" cm="1">
        <f t="array" ref="E286">_xlfn.TEXTJOIN(", ",TRUE,_xlfn._xlws.FILTER(ROW(PriceList!$B$4:$B$2641),PriceList!$M$4:$M$2641=A286,""))</f>
        <v>1949</v>
      </c>
      <c r="F286" s="42" t="str" cm="1">
        <f t="array" ref="F286">_xlfn.TEXTJOIN(" | ",TRUE,_xlfn.UNIQUE(_xlfn._xlws.FILTER(PriceList!$Q$4:$Q$2641&amp;" x "&amp;PriceList!$R$4:$R$2641&amp;" x "&amp;PriceList!$S$4:$S$2641,PriceList!$M$4:$M$2641=A286,"")))</f>
        <v>91.44 x 102.108 x 5.334</v>
      </c>
      <c r="G286" t="str" cm="1">
        <f t="array" ref="G286">INDEX(_xlfn._xlws.FILTER(PriceList!$P$4:$P$2641,PriceList!$M$4:$M$2641=A286,""),1)</f>
        <v>O Ring - FPM/FKM/VitonÂ®</v>
      </c>
    </row>
    <row r="287" spans="1:7" x14ac:dyDescent="0.45">
      <c r="A287" t="s">
        <v>4168</v>
      </c>
      <c r="B287">
        <f>COUNTIF(PriceList!$M$4:$M$2641,A287)</f>
        <v>2</v>
      </c>
      <c r="C287" t="str">
        <f>IF(B287=1,"1:1","1:Many")</f>
        <v>1:Many</v>
      </c>
      <c r="D287" s="42" t="str" cm="1">
        <f t="array" ref="D287">_xlfn.TEXTJOIN(" | ",TRUE,_xlfn._xlws.FILTER(PriceList!$B$4:$B$2641,PriceList!$M$4:$M$2641=A287,""))</f>
        <v>OR7N 094.62-5.33 | OR9N 094.62-5.33</v>
      </c>
      <c r="E287" t="str" cm="1">
        <f t="array" ref="E287">_xlfn.TEXTJOIN(", ",TRUE,_xlfn._xlws.FILTER(ROW(PriceList!$B$4:$B$2641),PriceList!$M$4:$M$2641=A287,""))</f>
        <v>757, 1304</v>
      </c>
      <c r="F287" s="42" t="str" cm="1">
        <f t="array" ref="F287">_xlfn.TEXTJOIN(" | ",TRUE,_xlfn.UNIQUE(_xlfn._xlws.FILTER(PriceList!$Q$4:$Q$2641&amp;" x "&amp;PriceList!$R$4:$R$2641&amp;" x "&amp;PriceList!$S$4:$S$2641,PriceList!$M$4:$M$2641=A287,"")))</f>
        <v>94.742 x 105.156 x 5.334</v>
      </c>
      <c r="G287" t="str" cm="1">
        <f t="array" ref="G287">INDEX(_xlfn._xlws.FILTER(PriceList!$P$4:$P$2641,PriceList!$M$4:$M$2641=A287,""),1)</f>
        <v>O Ring - NBR 70</v>
      </c>
    </row>
    <row r="288" spans="1:7" x14ac:dyDescent="0.45">
      <c r="A288" t="s">
        <v>5003</v>
      </c>
      <c r="B288">
        <f>COUNTIF(PriceList!$M$4:$M$2641,A288)</f>
        <v>3</v>
      </c>
      <c r="C288" t="str">
        <f>IF(B288=1,"1:1","1:Many")</f>
        <v>1:Many</v>
      </c>
      <c r="D288" s="42" t="str" cm="1">
        <f t="array" ref="D288">_xlfn.TEXTJOIN(" | ",TRUE,_xlfn._xlws.FILTER(PriceList!$B$4:$B$2641,PriceList!$M$4:$M$2641=A288,""))</f>
        <v>ORV8 094.2-5.7 | ORV8 094.62-5.33 | ORV8 095-5</v>
      </c>
      <c r="E288" t="str" cm="1">
        <f t="array" ref="E288">_xlfn.TEXTJOIN(", ",TRUE,_xlfn._xlws.FILTER(ROW(PriceList!$B$4:$B$2641),PriceList!$M$4:$M$2641=A288,""))</f>
        <v>1952, 1954, 1959</v>
      </c>
      <c r="F288" s="42" t="str" cm="1">
        <f t="array" ref="F288">_xlfn.TEXTJOIN(" | ",TRUE,_xlfn.UNIQUE(_xlfn._xlws.FILTER(PriceList!$Q$4:$Q$2641&amp;" x "&amp;PriceList!$R$4:$R$2641&amp;" x "&amp;PriceList!$S$4:$S$2641,PriceList!$M$4:$M$2641=A288,"")))</f>
        <v>94.742 x 105.156 x 5.334</v>
      </c>
      <c r="G288" t="str" cm="1">
        <f t="array" ref="G288">INDEX(_xlfn._xlws.FILTER(PriceList!$P$4:$P$2641,PriceList!$M$4:$M$2641=A288,""),1)</f>
        <v>O Ring - FPM/FKM/VitonÂ®</v>
      </c>
    </row>
    <row r="289" spans="1:7" x14ac:dyDescent="0.45">
      <c r="A289" t="s">
        <v>4175</v>
      </c>
      <c r="B289">
        <f>COUNTIF(PriceList!$M$4:$M$2641,A289)</f>
        <v>2</v>
      </c>
      <c r="C289" t="str">
        <f>IF(B289=1,"1:1","1:Many")</f>
        <v>1:Many</v>
      </c>
      <c r="D289" s="42" t="str" cm="1">
        <f t="array" ref="D289">_xlfn.TEXTJOIN(" | ",TRUE,_xlfn._xlws.FILTER(PriceList!$B$4:$B$2641,PriceList!$M$4:$M$2641=A289,""))</f>
        <v>OR7N 097.79-5.33 | OR9N 097.79-5.33</v>
      </c>
      <c r="E289" t="str" cm="1">
        <f t="array" ref="E289">_xlfn.TEXTJOIN(", ",TRUE,_xlfn._xlws.FILTER(ROW(PriceList!$B$4:$B$2641),PriceList!$M$4:$M$2641=A289,""))</f>
        <v>761, 1309</v>
      </c>
      <c r="F289" s="42" t="str" cm="1">
        <f t="array" ref="F289">_xlfn.TEXTJOIN(" | ",TRUE,_xlfn.UNIQUE(_xlfn._xlws.FILTER(PriceList!$Q$4:$Q$2641&amp;" x "&amp;PriceList!$R$4:$R$2641&amp;" x "&amp;PriceList!$S$4:$S$2641,PriceList!$M$4:$M$2641=A289,"")))</f>
        <v>97.79 x 108.458 x 5.334</v>
      </c>
      <c r="G289" t="str" cm="1">
        <f t="array" ref="G289">INDEX(_xlfn._xlws.FILTER(PriceList!$P$4:$P$2641,PriceList!$M$4:$M$2641=A289,""),1)</f>
        <v>O Ring - NBR 70</v>
      </c>
    </row>
    <row r="290" spans="1:7" x14ac:dyDescent="0.45">
      <c r="A290" t="s">
        <v>5011</v>
      </c>
      <c r="B290">
        <f>COUNTIF(PriceList!$M$4:$M$2641,A290)</f>
        <v>1</v>
      </c>
      <c r="C290" t="str">
        <f>IF(B290=1,"1:1","1:Many")</f>
        <v>1:1</v>
      </c>
      <c r="D290" s="42" t="str" cm="1">
        <f t="array" ref="D290">_xlfn.TEXTJOIN(" | ",TRUE,_xlfn._xlws.FILTER(PriceList!$B$4:$B$2641,PriceList!$M$4:$M$2641=A290,""))</f>
        <v>ORV8 097.79-5.33</v>
      </c>
      <c r="E290" t="str" cm="1">
        <f t="array" ref="E290">_xlfn.TEXTJOIN(", ",TRUE,_xlfn._xlws.FILTER(ROW(PriceList!$B$4:$B$2641),PriceList!$M$4:$M$2641=A290,""))</f>
        <v>1960</v>
      </c>
      <c r="F290" s="42" t="str" cm="1">
        <f t="array" ref="F290">_xlfn.TEXTJOIN(" | ",TRUE,_xlfn.UNIQUE(_xlfn._xlws.FILTER(PriceList!$Q$4:$Q$2641&amp;" x "&amp;PriceList!$R$4:$R$2641&amp;" x "&amp;PriceList!$S$4:$S$2641,PriceList!$M$4:$M$2641=A290,"")))</f>
        <v>97.79 x 108.458 x 5.334</v>
      </c>
      <c r="G290" t="str" cm="1">
        <f t="array" ref="G290">INDEX(_xlfn._xlws.FILTER(PriceList!$P$4:$P$2641,PriceList!$M$4:$M$2641=A290,""),1)</f>
        <v>O Ring - FPM/FKM/VitonÂ®</v>
      </c>
    </row>
    <row r="291" spans="1:7" x14ac:dyDescent="0.45">
      <c r="A291" t="s">
        <v>4180</v>
      </c>
      <c r="B291">
        <f>COUNTIF(PriceList!$M$4:$M$2641,A291)</f>
        <v>2</v>
      </c>
      <c r="C291" t="str">
        <f>IF(B291=1,"1:1","1:Many")</f>
        <v>1:Many</v>
      </c>
      <c r="D291" s="42" t="str" cm="1">
        <f t="array" ref="D291">_xlfn.TEXTJOIN(" | ",TRUE,_xlfn._xlws.FILTER(PriceList!$B$4:$B$2641,PriceList!$M$4:$M$2641=A291,""))</f>
        <v>OR7N 100.97-5.33 | OR9N 100.97-5.33</v>
      </c>
      <c r="E291" t="str" cm="1">
        <f t="array" ref="E291">_xlfn.TEXTJOIN(", ",TRUE,_xlfn._xlws.FILTER(ROW(PriceList!$B$4:$B$2641),PriceList!$M$4:$M$2641=A291,""))</f>
        <v>765, 1313</v>
      </c>
      <c r="F291" s="42" t="str" cm="1">
        <f t="array" ref="F291">_xlfn.TEXTJOIN(" | ",TRUE,_xlfn.UNIQUE(_xlfn._xlws.FILTER(PriceList!$Q$4:$Q$2641&amp;" x "&amp;PriceList!$R$4:$R$2641&amp;" x "&amp;PriceList!$S$4:$S$2641,PriceList!$M$4:$M$2641=A291,"")))</f>
        <v>101.092 x 111.506 x 5.334</v>
      </c>
      <c r="G291" t="str" cm="1">
        <f t="array" ref="G291">INDEX(_xlfn._xlws.FILTER(PriceList!$P$4:$P$2641,PriceList!$M$4:$M$2641=A291,""),1)</f>
        <v>O Ring - NBR 70</v>
      </c>
    </row>
    <row r="292" spans="1:7" x14ac:dyDescent="0.45">
      <c r="A292" t="s">
        <v>5015</v>
      </c>
      <c r="B292">
        <f>COUNTIF(PriceList!$M$4:$M$2641,A292)</f>
        <v>2</v>
      </c>
      <c r="C292" t="str">
        <f>IF(B292=1,"1:1","1:Many")</f>
        <v>1:Many</v>
      </c>
      <c r="D292" s="42" t="str" cm="1">
        <f t="array" ref="D292">_xlfn.TEXTJOIN(" | ",TRUE,_xlfn._xlws.FILTER(PriceList!$B$4:$B$2641,PriceList!$M$4:$M$2641=A292,""))</f>
        <v>ORV8 100.97-5.33 | ORV8 100-6</v>
      </c>
      <c r="E292" t="str" cm="1">
        <f t="array" ref="E292">_xlfn.TEXTJOIN(", ",TRUE,_xlfn._xlws.FILTER(ROW(PriceList!$B$4:$B$2641),PriceList!$M$4:$M$2641=A292,""))</f>
        <v>1964, 1967</v>
      </c>
      <c r="F292" s="42" t="str" cm="1">
        <f t="array" ref="F292">_xlfn.TEXTJOIN(" | ",TRUE,_xlfn.UNIQUE(_xlfn._xlws.FILTER(PriceList!$Q$4:$Q$2641&amp;" x "&amp;PriceList!$R$4:$R$2641&amp;" x "&amp;PriceList!$S$4:$S$2641,PriceList!$M$4:$M$2641=A292,"")))</f>
        <v>101.092 x 111.506 x 5.334</v>
      </c>
      <c r="G292" t="str" cm="1">
        <f t="array" ref="G292">INDEX(_xlfn._xlws.FILTER(PriceList!$P$4:$P$2641,PriceList!$M$4:$M$2641=A292,""),1)</f>
        <v>O Ring - FPM/FKM/VitonÂ®</v>
      </c>
    </row>
    <row r="293" spans="1:7" x14ac:dyDescent="0.45">
      <c r="A293" t="s">
        <v>4185</v>
      </c>
      <c r="B293">
        <f>COUNTIF(PriceList!$M$4:$M$2641,A293)</f>
        <v>2</v>
      </c>
      <c r="C293" t="str">
        <f>IF(B293=1,"1:1","1:Many")</f>
        <v>1:Many</v>
      </c>
      <c r="D293" s="42" t="str" cm="1">
        <f t="array" ref="D293">_xlfn.TEXTJOIN(" | ",TRUE,_xlfn._xlws.FILTER(PriceList!$B$4:$B$2641,PriceList!$M$4:$M$2641=A293,""))</f>
        <v>OR7N 104.14-5.33 | OR9N 104.14-5.33</v>
      </c>
      <c r="E293" t="str" cm="1">
        <f t="array" ref="E293">_xlfn.TEXTJOIN(", ",TRUE,_xlfn._xlws.FILTER(ROW(PriceList!$B$4:$B$2641),PriceList!$M$4:$M$2641=A293,""))</f>
        <v>770, 1322</v>
      </c>
      <c r="F293" s="42" t="str" cm="1">
        <f t="array" ref="F293">_xlfn.TEXTJOIN(" | ",TRUE,_xlfn.UNIQUE(_xlfn._xlws.FILTER(PriceList!$Q$4:$Q$2641&amp;" x "&amp;PriceList!$R$4:$R$2641&amp;" x "&amp;PriceList!$S$4:$S$2641,PriceList!$M$4:$M$2641=A293,"")))</f>
        <v>104.14 x 114.808 x 5.334</v>
      </c>
      <c r="G293" t="str" cm="1">
        <f t="array" ref="G293">INDEX(_xlfn._xlws.FILTER(PriceList!$P$4:$P$2641,PriceList!$M$4:$M$2641=A293,""),1)</f>
        <v>O Ring - NBR 70</v>
      </c>
    </row>
    <row r="294" spans="1:7" x14ac:dyDescent="0.45">
      <c r="A294" t="s">
        <v>5026</v>
      </c>
      <c r="B294">
        <f>COUNTIF(PriceList!$M$4:$M$2641,A294)</f>
        <v>1</v>
      </c>
      <c r="C294" t="str">
        <f>IF(B294=1,"1:1","1:Many")</f>
        <v>1:1</v>
      </c>
      <c r="D294" s="42" t="str" cm="1">
        <f t="array" ref="D294">_xlfn.TEXTJOIN(" | ",TRUE,_xlfn._xlws.FILTER(PriceList!$B$4:$B$2641,PriceList!$M$4:$M$2641=A294,""))</f>
        <v>ORV8 104.14-5.33</v>
      </c>
      <c r="E294" t="str" cm="1">
        <f t="array" ref="E294">_xlfn.TEXTJOIN(", ",TRUE,_xlfn._xlws.FILTER(ROW(PriceList!$B$4:$B$2641),PriceList!$M$4:$M$2641=A294,""))</f>
        <v>1973</v>
      </c>
      <c r="F294" s="42" t="str" cm="1">
        <f t="array" ref="F294">_xlfn.TEXTJOIN(" | ",TRUE,_xlfn.UNIQUE(_xlfn._xlws.FILTER(PriceList!$Q$4:$Q$2641&amp;" x "&amp;PriceList!$R$4:$R$2641&amp;" x "&amp;PriceList!$S$4:$S$2641,PriceList!$M$4:$M$2641=A294,"")))</f>
        <v>104.14 x 114.808 x 5.334</v>
      </c>
      <c r="G294" t="str" cm="1">
        <f t="array" ref="G294">INDEX(_xlfn._xlws.FILTER(PriceList!$P$4:$P$2641,PriceList!$M$4:$M$2641=A294,""),1)</f>
        <v>O Ring - FPM/FKM/VitonÂ®</v>
      </c>
    </row>
    <row r="295" spans="1:7" x14ac:dyDescent="0.45">
      <c r="A295" t="s">
        <v>4188</v>
      </c>
      <c r="B295">
        <f>COUNTIF(PriceList!$M$4:$M$2641,A295)</f>
        <v>2</v>
      </c>
      <c r="C295" t="str">
        <f>IF(B295=1,"1:1","1:Many")</f>
        <v>1:Many</v>
      </c>
      <c r="D295" s="42" t="str" cm="1">
        <f t="array" ref="D295">_xlfn.TEXTJOIN(" | ",TRUE,_xlfn._xlws.FILTER(PriceList!$B$4:$B$2641,PriceList!$M$4:$M$2641=A295,""))</f>
        <v>OR7N 107.32-5.33 | OR9N 107.32-5.33</v>
      </c>
      <c r="E295" t="str" cm="1">
        <f t="array" ref="E295">_xlfn.TEXTJOIN(", ",TRUE,_xlfn._xlws.FILTER(ROW(PriceList!$B$4:$B$2641),PriceList!$M$4:$M$2641=A295,""))</f>
        <v>773, 1327</v>
      </c>
      <c r="F295" s="42" t="str" cm="1">
        <f t="array" ref="F295">_xlfn.TEXTJOIN(" | ",TRUE,_xlfn.UNIQUE(_xlfn._xlws.FILTER(PriceList!$Q$4:$Q$2641&amp;" x "&amp;PriceList!$R$4:$R$2641&amp;" x "&amp;PriceList!$S$4:$S$2641,PriceList!$M$4:$M$2641=A295,"")))</f>
        <v>107.188 x 117.856 x 5.334</v>
      </c>
      <c r="G295" t="str" cm="1">
        <f t="array" ref="G295">INDEX(_xlfn._xlws.FILTER(PriceList!$P$4:$P$2641,PriceList!$M$4:$M$2641=A295,""),1)</f>
        <v>O Ring - NBR 70</v>
      </c>
    </row>
    <row r="296" spans="1:7" x14ac:dyDescent="0.45">
      <c r="A296" t="s">
        <v>5031</v>
      </c>
      <c r="B296">
        <f>COUNTIF(PriceList!$M$4:$M$2641,A296)</f>
        <v>1</v>
      </c>
      <c r="C296" t="str">
        <f>IF(B296=1,"1:1","1:Many")</f>
        <v>1:1</v>
      </c>
      <c r="D296" s="42" t="str" cm="1">
        <f t="array" ref="D296">_xlfn.TEXTJOIN(" | ",TRUE,_xlfn._xlws.FILTER(PriceList!$B$4:$B$2641,PriceList!$M$4:$M$2641=A296,""))</f>
        <v>ORV8 107.32-5.33</v>
      </c>
      <c r="E296" t="str" cm="1">
        <f t="array" ref="E296">_xlfn.TEXTJOIN(", ",TRUE,_xlfn._xlws.FILTER(ROW(PriceList!$B$4:$B$2641),PriceList!$M$4:$M$2641=A296,""))</f>
        <v>1977</v>
      </c>
      <c r="F296" s="42" t="str" cm="1">
        <f t="array" ref="F296">_xlfn.TEXTJOIN(" | ",TRUE,_xlfn.UNIQUE(_xlfn._xlws.FILTER(PriceList!$Q$4:$Q$2641&amp;" x "&amp;PriceList!$R$4:$R$2641&amp;" x "&amp;PriceList!$S$4:$S$2641,PriceList!$M$4:$M$2641=A296,"")))</f>
        <v>107.188 x 117.856 x 5.334</v>
      </c>
      <c r="G296" t="str" cm="1">
        <f t="array" ref="G296">INDEX(_xlfn._xlws.FILTER(PriceList!$P$4:$P$2641,PriceList!$M$4:$M$2641=A296,""),1)</f>
        <v>O Ring - FPM/FKM/VitonÂ®</v>
      </c>
    </row>
    <row r="297" spans="1:7" x14ac:dyDescent="0.45">
      <c r="A297" t="s">
        <v>4193</v>
      </c>
      <c r="B297">
        <f>COUNTIF(PriceList!$M$4:$M$2641,A297)</f>
        <v>2</v>
      </c>
      <c r="C297" t="str">
        <f>IF(B297=1,"1:1","1:Many")</f>
        <v>1:Many</v>
      </c>
      <c r="D297" s="42" t="str" cm="1">
        <f t="array" ref="D297">_xlfn.TEXTJOIN(" | ",TRUE,_xlfn._xlws.FILTER(PriceList!$B$4:$B$2641,PriceList!$M$4:$M$2641=A297,""))</f>
        <v>OR7N 110.49-5.33 | OR9N 110.49-5.33</v>
      </c>
      <c r="E297" t="str" cm="1">
        <f t="array" ref="E297">_xlfn.TEXTJOIN(", ",TRUE,_xlfn._xlws.FILTER(ROW(PriceList!$B$4:$B$2641),PriceList!$M$4:$M$2641=A297,""))</f>
        <v>777, 1332</v>
      </c>
      <c r="F297" s="42" t="str" cm="1">
        <f t="array" ref="F297">_xlfn.TEXTJOIN(" | ",TRUE,_xlfn.UNIQUE(_xlfn._xlws.FILTER(PriceList!$Q$4:$Q$2641&amp;" x "&amp;PriceList!$R$4:$R$2641&amp;" x "&amp;PriceList!$S$4:$S$2641,PriceList!$M$4:$M$2641=A297,"")))</f>
        <v>110.49 x 121.158 x 5.334</v>
      </c>
      <c r="G297" t="str" cm="1">
        <f t="array" ref="G297">INDEX(_xlfn._xlws.FILTER(PriceList!$P$4:$P$2641,PriceList!$M$4:$M$2641=A297,""),1)</f>
        <v>O Ring - EPDM</v>
      </c>
    </row>
    <row r="298" spans="1:7" x14ac:dyDescent="0.45">
      <c r="A298" t="s">
        <v>5035</v>
      </c>
      <c r="B298">
        <f>COUNTIF(PriceList!$M$4:$M$2641,A298)</f>
        <v>1</v>
      </c>
      <c r="C298" t="str">
        <f>IF(B298=1,"1:1","1:Many")</f>
        <v>1:1</v>
      </c>
      <c r="D298" s="42" t="str" cm="1">
        <f t="array" ref="D298">_xlfn.TEXTJOIN(" | ",TRUE,_xlfn._xlws.FILTER(PriceList!$B$4:$B$2641,PriceList!$M$4:$M$2641=A298,""))</f>
        <v>ORV8 110.49-5.33</v>
      </c>
      <c r="E298" t="str" cm="1">
        <f t="array" ref="E298">_xlfn.TEXTJOIN(", ",TRUE,_xlfn._xlws.FILTER(ROW(PriceList!$B$4:$B$2641),PriceList!$M$4:$M$2641=A298,""))</f>
        <v>1981</v>
      </c>
      <c r="F298" s="42" t="str" cm="1">
        <f t="array" ref="F298">_xlfn.TEXTJOIN(" | ",TRUE,_xlfn.UNIQUE(_xlfn._xlws.FILTER(PriceList!$Q$4:$Q$2641&amp;" x "&amp;PriceList!$R$4:$R$2641&amp;" x "&amp;PriceList!$S$4:$S$2641,PriceList!$M$4:$M$2641=A298,"")))</f>
        <v>110.49 x 121.158 x 5.334</v>
      </c>
      <c r="G298" t="str" cm="1">
        <f t="array" ref="G298">INDEX(_xlfn._xlws.FILTER(PriceList!$P$4:$P$2641,PriceList!$M$4:$M$2641=A298,""),1)</f>
        <v>O Ring - FPM/FKM/VitonÂ®</v>
      </c>
    </row>
    <row r="299" spans="1:7" x14ac:dyDescent="0.45">
      <c r="A299" t="s">
        <v>4197</v>
      </c>
      <c r="B299">
        <f>COUNTIF(PriceList!$M$4:$M$2641,A299)</f>
        <v>2</v>
      </c>
      <c r="C299" t="str">
        <f>IF(B299=1,"1:1","1:Many")</f>
        <v>1:Many</v>
      </c>
      <c r="D299" s="42" t="str" cm="1">
        <f t="array" ref="D299">_xlfn.TEXTJOIN(" | ",TRUE,_xlfn._xlws.FILTER(PriceList!$B$4:$B$2641,PriceList!$M$4:$M$2641=A299,""))</f>
        <v>OR7N 113.67-5.33 | OR9N 113.67-5.33</v>
      </c>
      <c r="E299" t="str" cm="1">
        <f t="array" ref="E299">_xlfn.TEXTJOIN(", ",TRUE,_xlfn._xlws.FILTER(ROW(PriceList!$B$4:$B$2641),PriceList!$M$4:$M$2641=A299,""))</f>
        <v>781, 1336</v>
      </c>
      <c r="F299" s="42" t="str" cm="1">
        <f t="array" ref="F299">_xlfn.TEXTJOIN(" | ",TRUE,_xlfn.UNIQUE(_xlfn._xlws.FILTER(PriceList!$Q$4:$Q$2641&amp;" x "&amp;PriceList!$R$4:$R$2641&amp;" x "&amp;PriceList!$S$4:$S$2641,PriceList!$M$4:$M$2641=A299,"")))</f>
        <v>113.538 x 124.206 x 5.334</v>
      </c>
      <c r="G299" t="str" cm="1">
        <f t="array" ref="G299">INDEX(_xlfn._xlws.FILTER(PriceList!$P$4:$P$2641,PriceList!$M$4:$M$2641=A299,""),1)</f>
        <v>O Ring - NBR 70</v>
      </c>
    </row>
    <row r="300" spans="1:7" x14ac:dyDescent="0.45">
      <c r="A300" t="s">
        <v>5039</v>
      </c>
      <c r="B300">
        <f>COUNTIF(PriceList!$M$4:$M$2641,A300)</f>
        <v>1</v>
      </c>
      <c r="C300" t="str">
        <f>IF(B300=1,"1:1","1:Many")</f>
        <v>1:1</v>
      </c>
      <c r="D300" s="42" t="str" cm="1">
        <f t="array" ref="D300">_xlfn.TEXTJOIN(" | ",TRUE,_xlfn._xlws.FILTER(PriceList!$B$4:$B$2641,PriceList!$M$4:$M$2641=A300,""))</f>
        <v>ORV8 113.67-5.33</v>
      </c>
      <c r="E300" t="str" cm="1">
        <f t="array" ref="E300">_xlfn.TEXTJOIN(", ",TRUE,_xlfn._xlws.FILTER(ROW(PriceList!$B$4:$B$2641),PriceList!$M$4:$M$2641=A300,""))</f>
        <v>1985</v>
      </c>
      <c r="F300" s="42" t="str" cm="1">
        <f t="array" ref="F300">_xlfn.TEXTJOIN(" | ",TRUE,_xlfn.UNIQUE(_xlfn._xlws.FILTER(PriceList!$Q$4:$Q$2641&amp;" x "&amp;PriceList!$R$4:$R$2641&amp;" x "&amp;PriceList!$S$4:$S$2641,PriceList!$M$4:$M$2641=A300,"")))</f>
        <v>113.538 x 124.206 x 5.334</v>
      </c>
      <c r="G300" t="str" cm="1">
        <f t="array" ref="G300">INDEX(_xlfn._xlws.FILTER(PriceList!$P$4:$P$2641,PriceList!$M$4:$M$2641=A300,""),1)</f>
        <v>O Ring - FPM/FKM/VitonÂ®</v>
      </c>
    </row>
    <row r="301" spans="1:7" x14ac:dyDescent="0.45">
      <c r="A301" t="s">
        <v>4205</v>
      </c>
      <c r="B301">
        <f>COUNTIF(PriceList!$M$4:$M$2641,A301)</f>
        <v>2</v>
      </c>
      <c r="C301" t="str">
        <f>IF(B301=1,"1:1","1:Many")</f>
        <v>1:Many</v>
      </c>
      <c r="D301" s="42" t="str" cm="1">
        <f t="array" ref="D301">_xlfn.TEXTJOIN(" | ",TRUE,_xlfn._xlws.FILTER(PriceList!$B$4:$B$2641,PriceList!$M$4:$M$2641=A301,""))</f>
        <v>OR7N 116.84-5.33 | OR9N 116.84-5.33</v>
      </c>
      <c r="E301" t="str" cm="1">
        <f t="array" ref="E301">_xlfn.TEXTJOIN(", ",TRUE,_xlfn._xlws.FILTER(ROW(PriceList!$B$4:$B$2641),PriceList!$M$4:$M$2641=A301,""))</f>
        <v>788, 1345</v>
      </c>
      <c r="F301" s="42" t="str" cm="1">
        <f t="array" ref="F301">_xlfn.TEXTJOIN(" | ",TRUE,_xlfn.UNIQUE(_xlfn._xlws.FILTER(PriceList!$Q$4:$Q$2641&amp;" x "&amp;PriceList!$R$4:$R$2641&amp;" x "&amp;PriceList!$S$4:$S$2641,PriceList!$M$4:$M$2641=A301,"")))</f>
        <v>116.84 x 127.508 x 5.334</v>
      </c>
      <c r="G301" t="str" cm="1">
        <f t="array" ref="G301">INDEX(_xlfn._xlws.FILTER(PriceList!$P$4:$P$2641,PriceList!$M$4:$M$2641=A301,""),1)</f>
        <v>O Ring - NBR 70</v>
      </c>
    </row>
    <row r="302" spans="1:7" x14ac:dyDescent="0.45">
      <c r="A302" t="s">
        <v>5046</v>
      </c>
      <c r="B302">
        <f>COUNTIF(PriceList!$M$4:$M$2641,A302)</f>
        <v>1</v>
      </c>
      <c r="C302" t="str">
        <f>IF(B302=1,"1:1","1:Many")</f>
        <v>1:1</v>
      </c>
      <c r="D302" s="42" t="str" cm="1">
        <f t="array" ref="D302">_xlfn.TEXTJOIN(" | ",TRUE,_xlfn._xlws.FILTER(PriceList!$B$4:$B$2641,PriceList!$M$4:$M$2641=A302,""))</f>
        <v>ORV8 116.84-5.33</v>
      </c>
      <c r="E302" t="str" cm="1">
        <f t="array" ref="E302">_xlfn.TEXTJOIN(", ",TRUE,_xlfn._xlws.FILTER(ROW(PriceList!$B$4:$B$2641),PriceList!$M$4:$M$2641=A302,""))</f>
        <v>1992</v>
      </c>
      <c r="F302" s="42" t="str" cm="1">
        <f t="array" ref="F302">_xlfn.TEXTJOIN(" | ",TRUE,_xlfn.UNIQUE(_xlfn._xlws.FILTER(PriceList!$Q$4:$Q$2641&amp;" x "&amp;PriceList!$R$4:$R$2641&amp;" x "&amp;PriceList!$S$4:$S$2641,PriceList!$M$4:$M$2641=A302,"")))</f>
        <v>116.84 x 127.508 x 5.334</v>
      </c>
      <c r="G302" t="str" cm="1">
        <f t="array" ref="G302">INDEX(_xlfn._xlws.FILTER(PriceList!$P$4:$P$2641,PriceList!$M$4:$M$2641=A302,""),1)</f>
        <v>O Ring - FPM/FKM/VitonÂ®</v>
      </c>
    </row>
    <row r="303" spans="1:7" x14ac:dyDescent="0.45">
      <c r="A303" t="s">
        <v>4210</v>
      </c>
      <c r="B303">
        <f>COUNTIF(PriceList!$M$4:$M$2641,A303)</f>
        <v>2</v>
      </c>
      <c r="C303" t="str">
        <f>IF(B303=1,"1:1","1:Many")</f>
        <v>1:Many</v>
      </c>
      <c r="D303" s="42" t="str" cm="1">
        <f t="array" ref="D303">_xlfn.TEXTJOIN(" | ",TRUE,_xlfn._xlws.FILTER(PriceList!$B$4:$B$2641,PriceList!$M$4:$M$2641=A303,""))</f>
        <v>OR7N 120.02-5.33 | OR9N 120.02-5.33</v>
      </c>
      <c r="E303" t="str" cm="1">
        <f t="array" ref="E303">_xlfn.TEXTJOIN(", ",TRUE,_xlfn._xlws.FILTER(ROW(PriceList!$B$4:$B$2641),PriceList!$M$4:$M$2641=A303,""))</f>
        <v>793, 1351</v>
      </c>
      <c r="F303" s="42" t="str" cm="1">
        <f t="array" ref="F303">_xlfn.TEXTJOIN(" | ",TRUE,_xlfn.UNIQUE(_xlfn._xlws.FILTER(PriceList!$Q$4:$Q$2641&amp;" x "&amp;PriceList!$R$4:$R$2641&amp;" x "&amp;PriceList!$S$4:$S$2641,PriceList!$M$4:$M$2641=A303,"")))</f>
        <v>119.888 x 130.556 x 5.334</v>
      </c>
      <c r="G303" t="str" cm="1">
        <f t="array" ref="G303">INDEX(_xlfn._xlws.FILTER(PriceList!$P$4:$P$2641,PriceList!$M$4:$M$2641=A303,""),1)</f>
        <v>O Ring - NBR 70</v>
      </c>
    </row>
    <row r="304" spans="1:7" x14ac:dyDescent="0.45">
      <c r="A304" t="s">
        <v>5052</v>
      </c>
      <c r="B304">
        <f>COUNTIF(PriceList!$M$4:$M$2641,A304)</f>
        <v>2</v>
      </c>
      <c r="C304" t="str">
        <f>IF(B304=1,"1:1","1:Many")</f>
        <v>1:Many</v>
      </c>
      <c r="D304" s="42" t="str" cm="1">
        <f t="array" ref="D304">_xlfn.TEXTJOIN(" | ",TRUE,_xlfn._xlws.FILTER(PriceList!$B$4:$B$2641,PriceList!$M$4:$M$2641=A304,""))</f>
        <v>ORV8 120.02-5.33 | ORV8 120-5</v>
      </c>
      <c r="E304" t="str" cm="1">
        <f t="array" ref="E304">_xlfn.TEXTJOIN(", ",TRUE,_xlfn._xlws.FILTER(ROW(PriceList!$B$4:$B$2641),PriceList!$M$4:$M$2641=A304,""))</f>
        <v>1998, 2002</v>
      </c>
      <c r="F304" s="42" t="str" cm="1">
        <f t="array" ref="F304">_xlfn.TEXTJOIN(" | ",TRUE,_xlfn.UNIQUE(_xlfn._xlws.FILTER(PriceList!$Q$4:$Q$2641&amp;" x "&amp;PriceList!$R$4:$R$2641&amp;" x "&amp;PriceList!$S$4:$S$2641,PriceList!$M$4:$M$2641=A304,"")))</f>
        <v>119.888 x 130.556 x 5.334</v>
      </c>
      <c r="G304" t="str" cm="1">
        <f t="array" ref="G304">INDEX(_xlfn._xlws.FILTER(PriceList!$P$4:$P$2641,PriceList!$M$4:$M$2641=A304,""),1)</f>
        <v>O Ring - FPM/FKM/VitonÂ®</v>
      </c>
    </row>
    <row r="305" spans="1:7" x14ac:dyDescent="0.45">
      <c r="A305" t="s">
        <v>4215</v>
      </c>
      <c r="B305">
        <f>COUNTIF(PriceList!$M$4:$M$2641,A305)</f>
        <v>2</v>
      </c>
      <c r="C305" t="str">
        <f>IF(B305=1,"1:1","1:Many")</f>
        <v>1:Many</v>
      </c>
      <c r="D305" s="42" t="str" cm="1">
        <f t="array" ref="D305">_xlfn.TEXTJOIN(" | ",TRUE,_xlfn._xlws.FILTER(PriceList!$B$4:$B$2641,PriceList!$M$4:$M$2641=A305,""))</f>
        <v>OR7N 123.19-5.33 | OR9N 123.19-5.33</v>
      </c>
      <c r="E305" t="str" cm="1">
        <f t="array" ref="E305">_xlfn.TEXTJOIN(", ",TRUE,_xlfn._xlws.FILTER(ROW(PriceList!$B$4:$B$2641),PriceList!$M$4:$M$2641=A305,""))</f>
        <v>798, 1358</v>
      </c>
      <c r="F305" s="42" t="str" cm="1">
        <f t="array" ref="F305">_xlfn.TEXTJOIN(" | ",TRUE,_xlfn.UNIQUE(_xlfn._xlws.FILTER(PriceList!$Q$4:$Q$2641&amp;" x "&amp;PriceList!$R$4:$R$2641&amp;" x "&amp;PriceList!$S$4:$S$2641,PriceList!$M$4:$M$2641=A305,"")))</f>
        <v>123.19 x 133.858 x 5.334</v>
      </c>
      <c r="G305" t="str" cm="1">
        <f t="array" ref="G305">INDEX(_xlfn._xlws.FILTER(PriceList!$P$4:$P$2641,PriceList!$M$4:$M$2641=A305,""),1)</f>
        <v>O Ring - EPDM</v>
      </c>
    </row>
    <row r="306" spans="1:7" x14ac:dyDescent="0.45">
      <c r="A306" t="s">
        <v>5057</v>
      </c>
      <c r="B306">
        <f>COUNTIF(PriceList!$M$4:$M$2641,A306)</f>
        <v>1</v>
      </c>
      <c r="C306" t="str">
        <f>IF(B306=1,"1:1","1:Many")</f>
        <v>1:1</v>
      </c>
      <c r="D306" s="42" t="str" cm="1">
        <f t="array" ref="D306">_xlfn.TEXTJOIN(" | ",TRUE,_xlfn._xlws.FILTER(PriceList!$B$4:$B$2641,PriceList!$M$4:$M$2641=A306,""))</f>
        <v>ORV8 123.19-5.33</v>
      </c>
      <c r="E306" t="str" cm="1">
        <f t="array" ref="E306">_xlfn.TEXTJOIN(", ",TRUE,_xlfn._xlws.FILTER(ROW(PriceList!$B$4:$B$2641),PriceList!$M$4:$M$2641=A306,""))</f>
        <v>2003</v>
      </c>
      <c r="F306" s="42" t="str" cm="1">
        <f t="array" ref="F306">_xlfn.TEXTJOIN(" | ",TRUE,_xlfn.UNIQUE(_xlfn._xlws.FILTER(PriceList!$Q$4:$Q$2641&amp;" x "&amp;PriceList!$R$4:$R$2641&amp;" x "&amp;PriceList!$S$4:$S$2641,PriceList!$M$4:$M$2641=A306,"")))</f>
        <v>123.19 x 133.858 x 5.334</v>
      </c>
      <c r="G306" t="str" cm="1">
        <f t="array" ref="G306">INDEX(_xlfn._xlws.FILTER(PriceList!$P$4:$P$2641,PriceList!$M$4:$M$2641=A306,""),1)</f>
        <v>O Ring - FPM/FKM/VitonÂ®</v>
      </c>
    </row>
    <row r="307" spans="1:7" x14ac:dyDescent="0.45">
      <c r="A307" t="s">
        <v>4219</v>
      </c>
      <c r="B307">
        <f>COUNTIF(PriceList!$M$4:$M$2641,A307)</f>
        <v>2</v>
      </c>
      <c r="C307" t="str">
        <f>IF(B307=1,"1:1","1:Many")</f>
        <v>1:Many</v>
      </c>
      <c r="D307" s="42" t="str" cm="1">
        <f t="array" ref="D307">_xlfn.TEXTJOIN(" | ",TRUE,_xlfn._xlws.FILTER(PriceList!$B$4:$B$2641,PriceList!$M$4:$M$2641=A307,""))</f>
        <v>OR7N 126.37-5.33 | OR9N 126.37-5.33</v>
      </c>
      <c r="E307" t="str" cm="1">
        <f t="array" ref="E307">_xlfn.TEXTJOIN(", ",TRUE,_xlfn._xlws.FILTER(ROW(PriceList!$B$4:$B$2641),PriceList!$M$4:$M$2641=A307,""))</f>
        <v>802, 1364</v>
      </c>
      <c r="F307" s="42" t="str" cm="1">
        <f t="array" ref="F307">_xlfn.TEXTJOIN(" | ",TRUE,_xlfn.UNIQUE(_xlfn._xlws.FILTER(PriceList!$Q$4:$Q$2641&amp;" x "&amp;PriceList!$R$4:$R$2641&amp;" x "&amp;PriceList!$S$4:$S$2641,PriceList!$M$4:$M$2641=A307,"")))</f>
        <v>126.238 x 136.906 x 5.334</v>
      </c>
      <c r="G307" t="str" cm="1">
        <f t="array" ref="G307">INDEX(_xlfn._xlws.FILTER(PriceList!$P$4:$P$2641,PriceList!$M$4:$M$2641=A307,""),1)</f>
        <v>O Ring - NBR 70</v>
      </c>
    </row>
    <row r="308" spans="1:7" x14ac:dyDescent="0.45">
      <c r="A308" t="s">
        <v>5064</v>
      </c>
      <c r="B308">
        <f>COUNTIF(PriceList!$M$4:$M$2641,A308)</f>
        <v>1</v>
      </c>
      <c r="C308" t="str">
        <f>IF(B308=1,"1:1","1:Many")</f>
        <v>1:1</v>
      </c>
      <c r="D308" s="42" t="str" cm="1">
        <f t="array" ref="D308">_xlfn.TEXTJOIN(" | ",TRUE,_xlfn._xlws.FILTER(PriceList!$B$4:$B$2641,PriceList!$M$4:$M$2641=A308,""))</f>
        <v>ORV8 126.37-5.33</v>
      </c>
      <c r="E308" t="str" cm="1">
        <f t="array" ref="E308">_xlfn.TEXTJOIN(", ",TRUE,_xlfn._xlws.FILTER(ROW(PriceList!$B$4:$B$2641),PriceList!$M$4:$M$2641=A308,""))</f>
        <v>2010</v>
      </c>
      <c r="F308" s="42" t="str" cm="1">
        <f t="array" ref="F308">_xlfn.TEXTJOIN(" | ",TRUE,_xlfn.UNIQUE(_xlfn._xlws.FILTER(PriceList!$Q$4:$Q$2641&amp;" x "&amp;PriceList!$R$4:$R$2641&amp;" x "&amp;PriceList!$S$4:$S$2641,PriceList!$M$4:$M$2641=A308,"")))</f>
        <v>126.238 x 136.906 x 5.334</v>
      </c>
      <c r="G308" t="str" cm="1">
        <f t="array" ref="G308">INDEX(_xlfn._xlws.FILTER(PriceList!$P$4:$P$2641,PriceList!$M$4:$M$2641=A308,""),1)</f>
        <v>O Ring - FPM/FKM/VitonÂ®</v>
      </c>
    </row>
    <row r="309" spans="1:7" x14ac:dyDescent="0.45">
      <c r="A309" t="s">
        <v>4224</v>
      </c>
      <c r="B309">
        <f>COUNTIF(PriceList!$M$4:$M$2641,A309)</f>
        <v>2</v>
      </c>
      <c r="C309" t="str">
        <f>IF(B309=1,"1:1","1:Many")</f>
        <v>1:Many</v>
      </c>
      <c r="D309" s="42" t="str" cm="1">
        <f t="array" ref="D309">_xlfn.TEXTJOIN(" | ",TRUE,_xlfn._xlws.FILTER(PriceList!$B$4:$B$2641,PriceList!$M$4:$M$2641=A309,""))</f>
        <v>OR7N 129.54-5.33 | OR9N 129.54-5.33</v>
      </c>
      <c r="E309" t="str" cm="1">
        <f t="array" ref="E309">_xlfn.TEXTJOIN(", ",TRUE,_xlfn._xlws.FILTER(ROW(PriceList!$B$4:$B$2641),PriceList!$M$4:$M$2641=A309,""))</f>
        <v>807, 1371</v>
      </c>
      <c r="F309" s="42" t="str" cm="1">
        <f t="array" ref="F309">_xlfn.TEXTJOIN(" | ",TRUE,_xlfn.UNIQUE(_xlfn._xlws.FILTER(PriceList!$Q$4:$Q$2641&amp;" x "&amp;PriceList!$R$4:$R$2641&amp;" x "&amp;PriceList!$S$4:$S$2641,PriceList!$M$4:$M$2641=A309,"")))</f>
        <v>129.54 x 140.208 x 5.334</v>
      </c>
      <c r="G309" t="str" cm="1">
        <f t="array" ref="G309">INDEX(_xlfn._xlws.FILTER(PriceList!$P$4:$P$2641,PriceList!$M$4:$M$2641=A309,""),1)</f>
        <v>O Ring - NBR 70</v>
      </c>
    </row>
    <row r="310" spans="1:7" x14ac:dyDescent="0.45">
      <c r="A310" t="s">
        <v>5069</v>
      </c>
      <c r="B310">
        <f>COUNTIF(PriceList!$M$4:$M$2641,A310)</f>
        <v>1</v>
      </c>
      <c r="C310" t="str">
        <f>IF(B310=1,"1:1","1:Many")</f>
        <v>1:1</v>
      </c>
      <c r="D310" s="42" t="str" cm="1">
        <f t="array" ref="D310">_xlfn.TEXTJOIN(" | ",TRUE,_xlfn._xlws.FILTER(PriceList!$B$4:$B$2641,PriceList!$M$4:$M$2641=A310,""))</f>
        <v>ORV8 129.54-5.33</v>
      </c>
      <c r="E310" t="str" cm="1">
        <f t="array" ref="E310">_xlfn.TEXTJOIN(", ",TRUE,_xlfn._xlws.FILTER(ROW(PriceList!$B$4:$B$2641),PriceList!$M$4:$M$2641=A310,""))</f>
        <v>2015</v>
      </c>
      <c r="F310" s="42" t="str" cm="1">
        <f t="array" ref="F310">_xlfn.TEXTJOIN(" | ",TRUE,_xlfn.UNIQUE(_xlfn._xlws.FILTER(PriceList!$Q$4:$Q$2641&amp;" x "&amp;PriceList!$R$4:$R$2641&amp;" x "&amp;PriceList!$S$4:$S$2641,PriceList!$M$4:$M$2641=A310,"")))</f>
        <v>129.54 x 140.208 x 5.334</v>
      </c>
      <c r="G310" t="str" cm="1">
        <f t="array" ref="G310">INDEX(_xlfn._xlws.FILTER(PriceList!$P$4:$P$2641,PriceList!$M$4:$M$2641=A310,""),1)</f>
        <v>O Ring - FPM/FKM/VitonÂ®</v>
      </c>
    </row>
    <row r="311" spans="1:7" x14ac:dyDescent="0.45">
      <c r="A311" t="s">
        <v>4229</v>
      </c>
      <c r="B311">
        <f>COUNTIF(PriceList!$M$4:$M$2641,A311)</f>
        <v>2</v>
      </c>
      <c r="C311" t="str">
        <f>IF(B311=1,"1:1","1:Many")</f>
        <v>1:Many</v>
      </c>
      <c r="D311" s="42" t="str" cm="1">
        <f t="array" ref="D311">_xlfn.TEXTJOIN(" | ",TRUE,_xlfn._xlws.FILTER(PriceList!$B$4:$B$2641,PriceList!$M$4:$M$2641=A311,""))</f>
        <v>OR7N 132.72-5.33 | OR9N 132.72-5.33</v>
      </c>
      <c r="E311" t="str" cm="1">
        <f t="array" ref="E311">_xlfn.TEXTJOIN(", ",TRUE,_xlfn._xlws.FILTER(ROW(PriceList!$B$4:$B$2641),PriceList!$M$4:$M$2641=A311,""))</f>
        <v>811, 1375</v>
      </c>
      <c r="F311" s="42" t="str" cm="1">
        <f t="array" ref="F311">_xlfn.TEXTJOIN(" | ",TRUE,_xlfn.UNIQUE(_xlfn._xlws.FILTER(PriceList!$Q$4:$Q$2641&amp;" x "&amp;PriceList!$R$4:$R$2641&amp;" x "&amp;PriceList!$S$4:$S$2641,PriceList!$M$4:$M$2641=A311,"")))</f>
        <v>132.588 x 143.256 x 5.334</v>
      </c>
      <c r="G311" t="str" cm="1">
        <f t="array" ref="G311">INDEX(_xlfn._xlws.FILTER(PriceList!$P$4:$P$2641,PriceList!$M$4:$M$2641=A311,""),1)</f>
        <v>O Ring - NBR 70</v>
      </c>
    </row>
    <row r="312" spans="1:7" x14ac:dyDescent="0.45">
      <c r="A312" t="s">
        <v>5072</v>
      </c>
      <c r="B312">
        <f>COUNTIF(PriceList!$M$4:$M$2641,A312)</f>
        <v>1</v>
      </c>
      <c r="C312" t="str">
        <f>IF(B312=1,"1:1","1:Many")</f>
        <v>1:1</v>
      </c>
      <c r="D312" s="42" t="str" cm="1">
        <f t="array" ref="D312">_xlfn.TEXTJOIN(" | ",TRUE,_xlfn._xlws.FILTER(PriceList!$B$4:$B$2641,PriceList!$M$4:$M$2641=A312,""))</f>
        <v>ORV8 132.72-5.33</v>
      </c>
      <c r="E312" t="str" cm="1">
        <f t="array" ref="E312">_xlfn.TEXTJOIN(", ",TRUE,_xlfn._xlws.FILTER(ROW(PriceList!$B$4:$B$2641),PriceList!$M$4:$M$2641=A312,""))</f>
        <v>2018</v>
      </c>
      <c r="F312" s="42" t="str" cm="1">
        <f t="array" ref="F312">_xlfn.TEXTJOIN(" | ",TRUE,_xlfn.UNIQUE(_xlfn._xlws.FILTER(PriceList!$Q$4:$Q$2641&amp;" x "&amp;PriceList!$R$4:$R$2641&amp;" x "&amp;PriceList!$S$4:$S$2641,PriceList!$M$4:$M$2641=A312,"")))</f>
        <v>132.588 x 143.256 x 5.334</v>
      </c>
      <c r="G312" t="str" cm="1">
        <f t="array" ref="G312">INDEX(_xlfn._xlws.FILTER(PriceList!$P$4:$P$2641,PriceList!$M$4:$M$2641=A312,""),1)</f>
        <v>O Ring - FPM/FKM/VitonÂ®</v>
      </c>
    </row>
    <row r="313" spans="1:7" x14ac:dyDescent="0.45">
      <c r="A313" t="s">
        <v>4235</v>
      </c>
      <c r="B313">
        <f>COUNTIF(PriceList!$M$4:$M$2641,A313)</f>
        <v>2</v>
      </c>
      <c r="C313" t="str">
        <f>IF(B313=1,"1:1","1:Many")</f>
        <v>1:Many</v>
      </c>
      <c r="D313" s="42" t="str" cm="1">
        <f t="array" ref="D313">_xlfn.TEXTJOIN(" | ",TRUE,_xlfn._xlws.FILTER(PriceList!$B$4:$B$2641,PriceList!$M$4:$M$2641=A313,""))</f>
        <v>OR7N 135.89-5.33 | OR9N 135.89-5.33</v>
      </c>
      <c r="E313" t="str" cm="1">
        <f t="array" ref="E313">_xlfn.TEXTJOIN(", ",TRUE,_xlfn._xlws.FILTER(ROW(PriceList!$B$4:$B$2641),PriceList!$M$4:$M$2641=A313,""))</f>
        <v>817, 1381</v>
      </c>
      <c r="F313" s="42" t="str" cm="1">
        <f t="array" ref="F313">_xlfn.TEXTJOIN(" | ",TRUE,_xlfn.UNIQUE(_xlfn._xlws.FILTER(PriceList!$Q$4:$Q$2641&amp;" x "&amp;PriceList!$R$4:$R$2641&amp;" x "&amp;PriceList!$S$4:$S$2641,PriceList!$M$4:$M$2641=A313,"")))</f>
        <v>135.89 x 146.558 x 5.334</v>
      </c>
      <c r="G313" t="str" cm="1">
        <f t="array" ref="G313">INDEX(_xlfn._xlws.FILTER(PriceList!$P$4:$P$2641,PriceList!$M$4:$M$2641=A313,""),1)</f>
        <v>O Ring - NBR 70</v>
      </c>
    </row>
    <row r="314" spans="1:7" x14ac:dyDescent="0.45">
      <c r="A314" t="s">
        <v>5078</v>
      </c>
      <c r="B314">
        <f>COUNTIF(PriceList!$M$4:$M$2641,A314)</f>
        <v>3</v>
      </c>
      <c r="C314" t="str">
        <f>IF(B314=1,"1:1","1:Many")</f>
        <v>1:Many</v>
      </c>
      <c r="D314" s="42" t="str" cm="1">
        <f t="array" ref="D314">_xlfn.TEXTJOIN(" | ",TRUE,_xlfn._xlws.FILTER(PriceList!$B$4:$B$2641,PriceList!$M$4:$M$2641=A314,""))</f>
        <v>ORV8 134.2-5.7 | ORV8 135.89-5.33 | ORV8 135-5</v>
      </c>
      <c r="E314" t="str" cm="1">
        <f t="array" ref="E314">_xlfn.TEXTJOIN(", ",TRUE,_xlfn._xlws.FILTER(ROW(PriceList!$B$4:$B$2641),PriceList!$M$4:$M$2641=A314,""))</f>
        <v>2024, 2026, 2028</v>
      </c>
      <c r="F314" s="42" t="str" cm="1">
        <f t="array" ref="F314">_xlfn.TEXTJOIN(" | ",TRUE,_xlfn.UNIQUE(_xlfn._xlws.FILTER(PriceList!$Q$4:$Q$2641&amp;" x "&amp;PriceList!$R$4:$R$2641&amp;" x "&amp;PriceList!$S$4:$S$2641,PriceList!$M$4:$M$2641=A314,"")))</f>
        <v>135.89 x 146.558 x 5.334</v>
      </c>
      <c r="G314" t="str" cm="1">
        <f t="array" ref="G314">INDEX(_xlfn._xlws.FILTER(PriceList!$P$4:$P$2641,PriceList!$M$4:$M$2641=A314,""),1)</f>
        <v>O Ring - FPM/FKM/VitonÂ®</v>
      </c>
    </row>
    <row r="315" spans="1:7" x14ac:dyDescent="0.45">
      <c r="A315" t="s">
        <v>4238</v>
      </c>
      <c r="B315">
        <f>COUNTIF(PriceList!$M$4:$M$2641,A315)</f>
        <v>2</v>
      </c>
      <c r="C315" t="str">
        <f>IF(B315=1,"1:1","1:Many")</f>
        <v>1:Many</v>
      </c>
      <c r="D315" s="42" t="str" cm="1">
        <f t="array" ref="D315">_xlfn.TEXTJOIN(" | ",TRUE,_xlfn._xlws.FILTER(PriceList!$B$4:$B$2641,PriceList!$M$4:$M$2641=A315,""))</f>
        <v>OR7N 139.07-5.33 | OR9N 139.07-5.33</v>
      </c>
      <c r="E315" t="str" cm="1">
        <f t="array" ref="E315">_xlfn.TEXTJOIN(", ",TRUE,_xlfn._xlws.FILTER(ROW(PriceList!$B$4:$B$2641),PriceList!$M$4:$M$2641=A315,""))</f>
        <v>820, 1387</v>
      </c>
      <c r="F315" s="42" t="str" cm="1">
        <f t="array" ref="F315">_xlfn.TEXTJOIN(" | ",TRUE,_xlfn.UNIQUE(_xlfn._xlws.FILTER(PriceList!$Q$4:$Q$2641&amp;" x "&amp;PriceList!$R$4:$R$2641&amp;" x "&amp;PriceList!$S$4:$S$2641,PriceList!$M$4:$M$2641=A315,"")))</f>
        <v>138.938 x 149.606 x 5.334</v>
      </c>
      <c r="G315" t="str" cm="1">
        <f t="array" ref="G315">INDEX(_xlfn._xlws.FILTER(PriceList!$P$4:$P$2641,PriceList!$M$4:$M$2641=A315,""),1)</f>
        <v>O Ring - NBR 70</v>
      </c>
    </row>
    <row r="316" spans="1:7" x14ac:dyDescent="0.45">
      <c r="A316" t="s">
        <v>5084</v>
      </c>
      <c r="B316">
        <f>COUNTIF(PriceList!$M$4:$M$2641,A316)</f>
        <v>1</v>
      </c>
      <c r="C316" t="str">
        <f>IF(B316=1,"1:1","1:Many")</f>
        <v>1:1</v>
      </c>
      <c r="D316" s="42" t="str" cm="1">
        <f t="array" ref="D316">_xlfn.TEXTJOIN(" | ",TRUE,_xlfn._xlws.FILTER(PriceList!$B$4:$B$2641,PriceList!$M$4:$M$2641=A316,""))</f>
        <v>ORV8 139.07-5.33</v>
      </c>
      <c r="E316" t="str" cm="1">
        <f t="array" ref="E316">_xlfn.TEXTJOIN(", ",TRUE,_xlfn._xlws.FILTER(ROW(PriceList!$B$4:$B$2641),PriceList!$M$4:$M$2641=A316,""))</f>
        <v>2030</v>
      </c>
      <c r="F316" s="42" t="str" cm="1">
        <f t="array" ref="F316">_xlfn.TEXTJOIN(" | ",TRUE,_xlfn.UNIQUE(_xlfn._xlws.FILTER(PriceList!$Q$4:$Q$2641&amp;" x "&amp;PriceList!$R$4:$R$2641&amp;" x "&amp;PriceList!$S$4:$S$2641,PriceList!$M$4:$M$2641=A316,"")))</f>
        <v>138.938 x 149.606 x 5.334</v>
      </c>
      <c r="G316" t="str" cm="1">
        <f t="array" ref="G316">INDEX(_xlfn._xlws.FILTER(PriceList!$P$4:$P$2641,PriceList!$M$4:$M$2641=A316,""),1)</f>
        <v>O Ring - FPM/FKM/VitonÂ®</v>
      </c>
    </row>
    <row r="317" spans="1:7" x14ac:dyDescent="0.45">
      <c r="A317" t="s">
        <v>4244</v>
      </c>
      <c r="B317">
        <f>COUNTIF(PriceList!$M$4:$M$2641,A317)</f>
        <v>2</v>
      </c>
      <c r="C317" t="str">
        <f>IF(B317=1,"1:1","1:Many")</f>
        <v>1:Many</v>
      </c>
      <c r="D317" s="42" t="str" cm="1">
        <f t="array" ref="D317">_xlfn.TEXTJOIN(" | ",TRUE,_xlfn._xlws.FILTER(PriceList!$B$4:$B$2641,PriceList!$M$4:$M$2641=A317,""))</f>
        <v>OR7N 142.24-5.33 | OR9N 142.24-5.33</v>
      </c>
      <c r="E317" t="str" cm="1">
        <f t="array" ref="E317">_xlfn.TEXTJOIN(", ",TRUE,_xlfn._xlws.FILTER(ROW(PriceList!$B$4:$B$2641),PriceList!$M$4:$M$2641=A317,""))</f>
        <v>826, 1393</v>
      </c>
      <c r="F317" s="42" t="str" cm="1">
        <f t="array" ref="F317">_xlfn.TEXTJOIN(" | ",TRUE,_xlfn.UNIQUE(_xlfn._xlws.FILTER(PriceList!$Q$4:$Q$2641&amp;" x "&amp;PriceList!$R$4:$R$2641&amp;" x "&amp;PriceList!$S$4:$S$2641,PriceList!$M$4:$M$2641=A317,"")))</f>
        <v>142.24 x 152.908 x 5.334</v>
      </c>
      <c r="G317" t="str" cm="1">
        <f t="array" ref="G317">INDEX(_xlfn._xlws.FILTER(PriceList!$P$4:$P$2641,PriceList!$M$4:$M$2641=A317,""),1)</f>
        <v>O Ring - NBR 70</v>
      </c>
    </row>
    <row r="318" spans="1:7" x14ac:dyDescent="0.45">
      <c r="A318" t="s">
        <v>5091</v>
      </c>
      <c r="B318">
        <f>COUNTIF(PriceList!$M$4:$M$2641,A318)</f>
        <v>1</v>
      </c>
      <c r="C318" t="str">
        <f>IF(B318=1,"1:1","1:Many")</f>
        <v>1:1</v>
      </c>
      <c r="D318" s="42" t="str" cm="1">
        <f t="array" ref="D318">_xlfn.TEXTJOIN(" | ",TRUE,_xlfn._xlws.FILTER(PriceList!$B$4:$B$2641,PriceList!$M$4:$M$2641=A318,""))</f>
        <v>ORV8 142.24-5.33</v>
      </c>
      <c r="E318" t="str" cm="1">
        <f t="array" ref="E318">_xlfn.TEXTJOIN(", ",TRUE,_xlfn._xlws.FILTER(ROW(PriceList!$B$4:$B$2641),PriceList!$M$4:$M$2641=A318,""))</f>
        <v>2036</v>
      </c>
      <c r="F318" s="42" t="str" cm="1">
        <f t="array" ref="F318">_xlfn.TEXTJOIN(" | ",TRUE,_xlfn.UNIQUE(_xlfn._xlws.FILTER(PriceList!$Q$4:$Q$2641&amp;" x "&amp;PriceList!$R$4:$R$2641&amp;" x "&amp;PriceList!$S$4:$S$2641,PriceList!$M$4:$M$2641=A318,"")))</f>
        <v>142.24 x 152.908 x 5.334</v>
      </c>
      <c r="G318" t="str" cm="1">
        <f t="array" ref="G318">INDEX(_xlfn._xlws.FILTER(PriceList!$P$4:$P$2641,PriceList!$M$4:$M$2641=A318,""),1)</f>
        <v>O Ring - FPM/FKM/VitonÂ®</v>
      </c>
    </row>
    <row r="319" spans="1:7" x14ac:dyDescent="0.45">
      <c r="A319" t="s">
        <v>4248</v>
      </c>
      <c r="B319">
        <f>COUNTIF(PriceList!$M$4:$M$2641,A319)</f>
        <v>2</v>
      </c>
      <c r="C319" t="str">
        <f>IF(B319=1,"1:1","1:Many")</f>
        <v>1:Many</v>
      </c>
      <c r="D319" s="42" t="str" cm="1">
        <f t="array" ref="D319">_xlfn.TEXTJOIN(" | ",TRUE,_xlfn._xlws.FILTER(PriceList!$B$4:$B$2641,PriceList!$M$4:$M$2641=A319,""))</f>
        <v>OR7N 145.42-5.33 | OR9N 145.42-5.33</v>
      </c>
      <c r="E319" t="str" cm="1">
        <f t="array" ref="E319">_xlfn.TEXTJOIN(", ",TRUE,_xlfn._xlws.FILTER(ROW(PriceList!$B$4:$B$2641),PriceList!$M$4:$M$2641=A319,""))</f>
        <v>830, 1398</v>
      </c>
      <c r="F319" s="42" t="str" cm="1">
        <f t="array" ref="F319">_xlfn.TEXTJOIN(" | ",TRUE,_xlfn.UNIQUE(_xlfn._xlws.FILTER(PriceList!$Q$4:$Q$2641&amp;" x "&amp;PriceList!$R$4:$R$2641&amp;" x "&amp;PriceList!$S$4:$S$2641,PriceList!$M$4:$M$2641=A319,"")))</f>
        <v>145.288 x 155.956 x 5.334</v>
      </c>
      <c r="G319" t="str" cm="1">
        <f t="array" ref="G319">INDEX(_xlfn._xlws.FILTER(PriceList!$P$4:$P$2641,PriceList!$M$4:$M$2641=A319,""),1)</f>
        <v>O Ring - NBR 70</v>
      </c>
    </row>
    <row r="320" spans="1:7" x14ac:dyDescent="0.45">
      <c r="A320" t="s">
        <v>5095</v>
      </c>
      <c r="B320">
        <f>COUNTIF(PriceList!$M$4:$M$2641,A320)</f>
        <v>1</v>
      </c>
      <c r="C320" t="str">
        <f>IF(B320=1,"1:1","1:Many")</f>
        <v>1:1</v>
      </c>
      <c r="D320" s="42" t="str" cm="1">
        <f t="array" ref="D320">_xlfn.TEXTJOIN(" | ",TRUE,_xlfn._xlws.FILTER(PriceList!$B$4:$B$2641,PriceList!$M$4:$M$2641=A320,""))</f>
        <v>ORV8 145.24-5.33</v>
      </c>
      <c r="E320" t="str" cm="1">
        <f t="array" ref="E320">_xlfn.TEXTJOIN(", ",TRUE,_xlfn._xlws.FILTER(ROW(PriceList!$B$4:$B$2641),PriceList!$M$4:$M$2641=A320,""))</f>
        <v>2040</v>
      </c>
      <c r="F320" s="42" t="str" cm="1">
        <f t="array" ref="F320">_xlfn.TEXTJOIN(" | ",TRUE,_xlfn.UNIQUE(_xlfn._xlws.FILTER(PriceList!$Q$4:$Q$2641&amp;" x "&amp;PriceList!$R$4:$R$2641&amp;" x "&amp;PriceList!$S$4:$S$2641,PriceList!$M$4:$M$2641=A320,"")))</f>
        <v>145.288 x 155.956 x 5.334</v>
      </c>
      <c r="G320" t="str" cm="1">
        <f t="array" ref="G320">INDEX(_xlfn._xlws.FILTER(PriceList!$P$4:$P$2641,PriceList!$M$4:$M$2641=A320,""),1)</f>
        <v>O Ring - FPM/FKM/VitonÂ®</v>
      </c>
    </row>
    <row r="321" spans="1:7" x14ac:dyDescent="0.45">
      <c r="A321" t="s">
        <v>4251</v>
      </c>
      <c r="B321">
        <f>COUNTIF(PriceList!$M$4:$M$2641,A321)</f>
        <v>2</v>
      </c>
      <c r="C321" t="str">
        <f>IF(B321=1,"1:1","1:Many")</f>
        <v>1:Many</v>
      </c>
      <c r="D321" s="42" t="str" cm="1">
        <f t="array" ref="D321">_xlfn.TEXTJOIN(" | ",TRUE,_xlfn._xlws.FILTER(PriceList!$B$4:$B$2641,PriceList!$M$4:$M$2641=A321,""))</f>
        <v>OR7N 148.59-5.33 | OR9N 148.59-5.33</v>
      </c>
      <c r="E321" t="str" cm="1">
        <f t="array" ref="E321">_xlfn.TEXTJOIN(", ",TRUE,_xlfn._xlws.FILTER(ROW(PriceList!$B$4:$B$2641),PriceList!$M$4:$M$2641=A321,""))</f>
        <v>833, 1401</v>
      </c>
      <c r="F321" s="42" t="str" cm="1">
        <f t="array" ref="F321">_xlfn.TEXTJOIN(" | ",TRUE,_xlfn.UNIQUE(_xlfn._xlws.FILTER(PriceList!$Q$4:$Q$2641&amp;" x "&amp;PriceList!$R$4:$R$2641&amp;" x "&amp;PriceList!$S$4:$S$2641,PriceList!$M$4:$M$2641=A321,"")))</f>
        <v>148.59 x 159.258 x 5.334</v>
      </c>
      <c r="G321" t="str" cm="1">
        <f t="array" ref="G321">INDEX(_xlfn._xlws.FILTER(PriceList!$P$4:$P$2641,PriceList!$M$4:$M$2641=A321,""),1)</f>
        <v>O Ring - NBR 70</v>
      </c>
    </row>
    <row r="322" spans="1:7" x14ac:dyDescent="0.45">
      <c r="A322" t="s">
        <v>5101</v>
      </c>
      <c r="B322">
        <f>COUNTIF(PriceList!$M$4:$M$2641,A322)</f>
        <v>2</v>
      </c>
      <c r="C322" t="str">
        <f>IF(B322=1,"1:1","1:Many")</f>
        <v>1:Many</v>
      </c>
      <c r="D322" s="42" t="str" cm="1">
        <f t="array" ref="D322">_xlfn.TEXTJOIN(" | ",TRUE,_xlfn._xlws.FILTER(PriceList!$B$4:$B$2641,PriceList!$M$4:$M$2641=A322,""))</f>
        <v>ORV8 148.59-5.33 | ORV8 148-6</v>
      </c>
      <c r="E322" t="str" cm="1">
        <f t="array" ref="E322">_xlfn.TEXTJOIN(", ",TRUE,_xlfn._xlws.FILTER(ROW(PriceList!$B$4:$B$2641),PriceList!$M$4:$M$2641=A322,""))</f>
        <v>2045, 2047</v>
      </c>
      <c r="F322" s="42" t="str" cm="1">
        <f t="array" ref="F322">_xlfn.TEXTJOIN(" | ",TRUE,_xlfn.UNIQUE(_xlfn._xlws.FILTER(PriceList!$Q$4:$Q$2641&amp;" x "&amp;PriceList!$R$4:$R$2641&amp;" x "&amp;PriceList!$S$4:$S$2641,PriceList!$M$4:$M$2641=A322,"")))</f>
        <v>148.59 x 159.258 x 5.334</v>
      </c>
      <c r="G322" t="str" cm="1">
        <f t="array" ref="G322">INDEX(_xlfn._xlws.FILTER(PriceList!$P$4:$P$2641,PriceList!$M$4:$M$2641=A322,""),1)</f>
        <v>O Ring - FPM/FKM/VitonÂ®</v>
      </c>
    </row>
    <row r="323" spans="1:7" x14ac:dyDescent="0.45">
      <c r="A323" t="s">
        <v>4255</v>
      </c>
      <c r="B323">
        <f>COUNTIF(PriceList!$M$4:$M$2641,A323)</f>
        <v>2</v>
      </c>
      <c r="C323" t="str">
        <f>IF(B323=1,"1:1","1:Many")</f>
        <v>1:Many</v>
      </c>
      <c r="D323" s="42" t="str" cm="1">
        <f t="array" ref="D323">_xlfn.TEXTJOIN(" | ",TRUE,_xlfn._xlws.FILTER(PriceList!$B$4:$B$2641,PriceList!$M$4:$M$2641=A323,""))</f>
        <v>OR7N 151.77-5.33 | OR9N 151.77-5.33</v>
      </c>
      <c r="E323" t="str" cm="1">
        <f t="array" ref="E323">_xlfn.TEXTJOIN(", ",TRUE,_xlfn._xlws.FILTER(ROW(PriceList!$B$4:$B$2641),PriceList!$M$4:$M$2641=A323,""))</f>
        <v>837, 1407</v>
      </c>
      <c r="F323" s="42" t="str" cm="1">
        <f t="array" ref="F323">_xlfn.TEXTJOIN(" | ",TRUE,_xlfn.UNIQUE(_xlfn._xlws.FILTER(PriceList!$Q$4:$Q$2641&amp;" x "&amp;PriceList!$R$4:$R$2641&amp;" x "&amp;PriceList!$S$4:$S$2641,PriceList!$M$4:$M$2641=A323,"")))</f>
        <v>151.638 x 162.306 x 5.334</v>
      </c>
      <c r="G323" t="str" cm="1">
        <f t="array" ref="G323">INDEX(_xlfn._xlws.FILTER(PriceList!$P$4:$P$2641,PriceList!$M$4:$M$2641=A323,""),1)</f>
        <v>O Ring - NBR 70</v>
      </c>
    </row>
    <row r="324" spans="1:7" x14ac:dyDescent="0.45">
      <c r="A324" t="s">
        <v>5107</v>
      </c>
      <c r="B324">
        <f>COUNTIF(PriceList!$M$4:$M$2641,A324)</f>
        <v>1</v>
      </c>
      <c r="C324" t="str">
        <f>IF(B324=1,"1:1","1:Many")</f>
        <v>1:1</v>
      </c>
      <c r="D324" s="42" t="str" cm="1">
        <f t="array" ref="D324">_xlfn.TEXTJOIN(" | ",TRUE,_xlfn._xlws.FILTER(PriceList!$B$4:$B$2641,PriceList!$M$4:$M$2641=A324,""))</f>
        <v>ORV8 151.77-5.33</v>
      </c>
      <c r="E324" t="str" cm="1">
        <f t="array" ref="E324">_xlfn.TEXTJOIN(", ",TRUE,_xlfn._xlws.FILTER(ROW(PriceList!$B$4:$B$2641),PriceList!$M$4:$M$2641=A324,""))</f>
        <v>2051</v>
      </c>
      <c r="F324" s="42" t="str" cm="1">
        <f t="array" ref="F324">_xlfn.TEXTJOIN(" | ",TRUE,_xlfn.UNIQUE(_xlfn._xlws.FILTER(PriceList!$Q$4:$Q$2641&amp;" x "&amp;PriceList!$R$4:$R$2641&amp;" x "&amp;PriceList!$S$4:$S$2641,PriceList!$M$4:$M$2641=A324,"")))</f>
        <v>151.638 x 162.306 x 5.334</v>
      </c>
      <c r="G324" t="str" cm="1">
        <f t="array" ref="G324">INDEX(_xlfn._xlws.FILTER(PriceList!$P$4:$P$2641,PriceList!$M$4:$M$2641=A324,""),1)</f>
        <v>O Ring - FPM/FKM/VitonÂ®</v>
      </c>
    </row>
    <row r="325" spans="1:7" x14ac:dyDescent="0.45">
      <c r="A325" t="s">
        <v>4259</v>
      </c>
      <c r="B325">
        <f>COUNTIF(PriceList!$M$4:$M$2641,A325)</f>
        <v>2</v>
      </c>
      <c r="C325" t="str">
        <f>IF(B325=1,"1:1","1:Many")</f>
        <v>1:Many</v>
      </c>
      <c r="D325" s="42" t="str" cm="1">
        <f t="array" ref="D325">_xlfn.TEXTJOIN(" | ",TRUE,_xlfn._xlws.FILTER(PriceList!$B$4:$B$2641,PriceList!$M$4:$M$2641=A325,""))</f>
        <v>OR7N 158.12-5.33 | OR9N 158.12-5.33</v>
      </c>
      <c r="E325" t="str" cm="1">
        <f t="array" ref="E325">_xlfn.TEXTJOIN(", ",TRUE,_xlfn._xlws.FILTER(ROW(PriceList!$B$4:$B$2641),PriceList!$M$4:$M$2641=A325,""))</f>
        <v>841, 1413</v>
      </c>
      <c r="F325" s="42" t="str" cm="1">
        <f t="array" ref="F325">_xlfn.TEXTJOIN(" | ",TRUE,_xlfn.UNIQUE(_xlfn._xlws.FILTER(PriceList!$Q$4:$Q$2641&amp;" x "&amp;PriceList!$R$4:$R$2641&amp;" x "&amp;PriceList!$S$4:$S$2641,PriceList!$M$4:$M$2641=A325,"")))</f>
        <v>157.988 x 168.656 x 5.334</v>
      </c>
      <c r="G325" t="str" cm="1">
        <f t="array" ref="G325">INDEX(_xlfn._xlws.FILTER(PriceList!$P$4:$P$2641,PriceList!$M$4:$M$2641=A325,""),1)</f>
        <v>O Ring - NBR 70</v>
      </c>
    </row>
    <row r="326" spans="1:7" x14ac:dyDescent="0.45">
      <c r="A326" t="s">
        <v>5117</v>
      </c>
      <c r="B326">
        <f>COUNTIF(PriceList!$M$4:$M$2641,A326)</f>
        <v>1</v>
      </c>
      <c r="C326" t="str">
        <f>IF(B326=1,"1:1","1:Many")</f>
        <v>1:1</v>
      </c>
      <c r="D326" s="42" t="str" cm="1">
        <f t="array" ref="D326">_xlfn.TEXTJOIN(" | ",TRUE,_xlfn._xlws.FILTER(PriceList!$B$4:$B$2641,PriceList!$M$4:$M$2641=A326,""))</f>
        <v>ORV8 158.12-5.33</v>
      </c>
      <c r="E326" t="str" cm="1">
        <f t="array" ref="E326">_xlfn.TEXTJOIN(", ",TRUE,_xlfn._xlws.FILTER(ROW(PriceList!$B$4:$B$2641),PriceList!$M$4:$M$2641=A326,""))</f>
        <v>2061</v>
      </c>
      <c r="F326" s="42" t="str" cm="1">
        <f t="array" ref="F326">_xlfn.TEXTJOIN(" | ",TRUE,_xlfn.UNIQUE(_xlfn._xlws.FILTER(PriceList!$Q$4:$Q$2641&amp;" x "&amp;PriceList!$R$4:$R$2641&amp;" x "&amp;PriceList!$S$4:$S$2641,PriceList!$M$4:$M$2641=A326,"")))</f>
        <v>157.988 x 168.656 x 5.334</v>
      </c>
      <c r="G326" t="str" cm="1">
        <f t="array" ref="G326">INDEX(_xlfn._xlws.FILTER(PriceList!$P$4:$P$2641,PriceList!$M$4:$M$2641=A326,""),1)</f>
        <v>O Ring - FPM/FKM/VitonÂ®</v>
      </c>
    </row>
    <row r="327" spans="1:7" x14ac:dyDescent="0.45">
      <c r="A327" t="s">
        <v>4264</v>
      </c>
      <c r="B327">
        <f>COUNTIF(PriceList!$M$4:$M$2641,A327)</f>
        <v>2</v>
      </c>
      <c r="C327" t="str">
        <f>IF(B327=1,"1:1","1:Many")</f>
        <v>1:Many</v>
      </c>
      <c r="D327" s="42" t="str" cm="1">
        <f t="array" ref="D327">_xlfn.TEXTJOIN(" | ",TRUE,_xlfn._xlws.FILTER(PriceList!$B$4:$B$2641,PriceList!$M$4:$M$2641=A327,""))</f>
        <v>OR7N 164.47-5.33 | OR9N 164.47-5.33</v>
      </c>
      <c r="E327" t="str" cm="1">
        <f t="array" ref="E327">_xlfn.TEXTJOIN(", ",TRUE,_xlfn._xlws.FILTER(ROW(PriceList!$B$4:$B$2641),PriceList!$M$4:$M$2641=A327,""))</f>
        <v>846, 1420</v>
      </c>
      <c r="F327" s="42" t="str" cm="1">
        <f t="array" ref="F327">_xlfn.TEXTJOIN(" | ",TRUE,_xlfn.UNIQUE(_xlfn._xlws.FILTER(PriceList!$Q$4:$Q$2641&amp;" x "&amp;PriceList!$R$4:$R$2641&amp;" x "&amp;PriceList!$S$4:$S$2641,PriceList!$M$4:$M$2641=A327,"")))</f>
        <v>164.592 x 175.006 x 5.334</v>
      </c>
      <c r="G327" t="str" cm="1">
        <f t="array" ref="G327">INDEX(_xlfn._xlws.FILTER(PriceList!$P$4:$P$2641,PriceList!$M$4:$M$2641=A327,""),1)</f>
        <v>O Ring - NBR 70</v>
      </c>
    </row>
    <row r="328" spans="1:7" x14ac:dyDescent="0.45">
      <c r="A328" t="s">
        <v>5125</v>
      </c>
      <c r="B328">
        <f>COUNTIF(PriceList!$M$4:$M$2641,A328)</f>
        <v>1</v>
      </c>
      <c r="C328" t="str">
        <f>IF(B328=1,"1:1","1:Many")</f>
        <v>1:1</v>
      </c>
      <c r="D328" s="42" t="str" cm="1">
        <f t="array" ref="D328">_xlfn.TEXTJOIN(" | ",TRUE,_xlfn._xlws.FILTER(PriceList!$B$4:$B$2641,PriceList!$M$4:$M$2641=A328,""))</f>
        <v>ORV8 164.47-5.33</v>
      </c>
      <c r="E328" t="str" cm="1">
        <f t="array" ref="E328">_xlfn.TEXTJOIN(", ",TRUE,_xlfn._xlws.FILTER(ROW(PriceList!$B$4:$B$2641),PriceList!$M$4:$M$2641=A328,""))</f>
        <v>2069</v>
      </c>
      <c r="F328" s="42" t="str" cm="1">
        <f t="array" ref="F328">_xlfn.TEXTJOIN(" | ",TRUE,_xlfn.UNIQUE(_xlfn._xlws.FILTER(PriceList!$Q$4:$Q$2641&amp;" x "&amp;PriceList!$R$4:$R$2641&amp;" x "&amp;PriceList!$S$4:$S$2641,PriceList!$M$4:$M$2641=A328,"")))</f>
        <v>164.338 x 175.006 x 5.334</v>
      </c>
      <c r="G328" t="str" cm="1">
        <f t="array" ref="G328">INDEX(_xlfn._xlws.FILTER(PriceList!$P$4:$P$2641,PriceList!$M$4:$M$2641=A328,""),1)</f>
        <v>O Ring - FPM/FKM/VitonÂ®</v>
      </c>
    </row>
    <row r="329" spans="1:7" x14ac:dyDescent="0.45">
      <c r="A329" t="s">
        <v>4268</v>
      </c>
      <c r="B329">
        <f>COUNTIF(PriceList!$M$4:$M$2641,A329)</f>
        <v>2</v>
      </c>
      <c r="C329" t="str">
        <f>IF(B329=1,"1:1","1:Many")</f>
        <v>1:Many</v>
      </c>
      <c r="D329" s="42" t="str" cm="1">
        <f t="array" ref="D329">_xlfn.TEXTJOIN(" | ",TRUE,_xlfn._xlws.FILTER(PriceList!$B$4:$B$2641,PriceList!$M$4:$M$2641=A329,""))</f>
        <v>OR7N 170.82-5.33 | OR9N 170.82-5.33</v>
      </c>
      <c r="E329" t="str" cm="1">
        <f t="array" ref="E329">_xlfn.TEXTJOIN(", ",TRUE,_xlfn._xlws.FILTER(ROW(PriceList!$B$4:$B$2641),PriceList!$M$4:$M$2641=A329,""))</f>
        <v>850, 1426</v>
      </c>
      <c r="F329" s="42" t="str" cm="1">
        <f t="array" ref="F329">_xlfn.TEXTJOIN(" | ",TRUE,_xlfn.UNIQUE(_xlfn._xlws.FILTER(PriceList!$Q$4:$Q$2641&amp;" x "&amp;PriceList!$R$4:$R$2641&amp;" x "&amp;PriceList!$S$4:$S$2641,PriceList!$M$4:$M$2641=A329,"")))</f>
        <v>170.688 x 181.356 x 5.334</v>
      </c>
      <c r="G329" t="str" cm="1">
        <f t="array" ref="G329">INDEX(_xlfn._xlws.FILTER(PriceList!$P$4:$P$2641,PriceList!$M$4:$M$2641=A329,""),1)</f>
        <v>O Ring - NBR 70</v>
      </c>
    </row>
    <row r="330" spans="1:7" x14ac:dyDescent="0.45">
      <c r="A330" t="s">
        <v>5130</v>
      </c>
      <c r="B330">
        <f>COUNTIF(PriceList!$M$4:$M$2641,A330)</f>
        <v>1</v>
      </c>
      <c r="C330" t="str">
        <f>IF(B330=1,"1:1","1:Many")</f>
        <v>1:1</v>
      </c>
      <c r="D330" s="42" t="str" cm="1">
        <f t="array" ref="D330">_xlfn.TEXTJOIN(" | ",TRUE,_xlfn._xlws.FILTER(PriceList!$B$4:$B$2641,PriceList!$M$4:$M$2641=A330,""))</f>
        <v>ORV8 170.82-5.33</v>
      </c>
      <c r="E330" t="str" cm="1">
        <f t="array" ref="E330">_xlfn.TEXTJOIN(", ",TRUE,_xlfn._xlws.FILTER(ROW(PriceList!$B$4:$B$2641),PriceList!$M$4:$M$2641=A330,""))</f>
        <v>2073</v>
      </c>
      <c r="F330" s="42" t="str" cm="1">
        <f t="array" ref="F330">_xlfn.TEXTJOIN(" | ",TRUE,_xlfn.UNIQUE(_xlfn._xlws.FILTER(PriceList!$Q$4:$Q$2641&amp;" x "&amp;PriceList!$R$4:$R$2641&amp;" x "&amp;PriceList!$S$4:$S$2641,PriceList!$M$4:$M$2641=A330,"")))</f>
        <v>170.688 x 181.356 x 5.334</v>
      </c>
      <c r="G330" t="str" cm="1">
        <f t="array" ref="G330">INDEX(_xlfn._xlws.FILTER(PriceList!$P$4:$P$2641,PriceList!$M$4:$M$2641=A330,""),1)</f>
        <v>O Ring - FPM/FKM/VitonÂ®</v>
      </c>
    </row>
    <row r="331" spans="1:7" x14ac:dyDescent="0.45">
      <c r="A331" t="s">
        <v>4273</v>
      </c>
      <c r="B331">
        <f>COUNTIF(PriceList!$M$4:$M$2641,A331)</f>
        <v>2</v>
      </c>
      <c r="C331" t="str">
        <f>IF(B331=1,"1:1","1:Many")</f>
        <v>1:Many</v>
      </c>
      <c r="D331" s="42" t="str" cm="1">
        <f t="array" ref="D331">_xlfn.TEXTJOIN(" | ",TRUE,_xlfn._xlws.FILTER(PriceList!$B$4:$B$2641,PriceList!$M$4:$M$2641=A331,""))</f>
        <v>OR7N 177.17-5.33 | OR9N 177.17-5.33</v>
      </c>
      <c r="E331" t="str" cm="1">
        <f t="array" ref="E331">_xlfn.TEXTJOIN(", ",TRUE,_xlfn._xlws.FILTER(ROW(PriceList!$B$4:$B$2641),PriceList!$M$4:$M$2641=A331,""))</f>
        <v>855, 1434</v>
      </c>
      <c r="F331" s="42" t="str" cm="1">
        <f t="array" ref="F331">_xlfn.TEXTJOIN(" | ",TRUE,_xlfn.UNIQUE(_xlfn._xlws.FILTER(PriceList!$Q$4:$Q$2641&amp;" x "&amp;PriceList!$R$4:$R$2641&amp;" x "&amp;PriceList!$S$4:$S$2641,PriceList!$M$4:$M$2641=A331,"")))</f>
        <v>177.038 x 187.706 x 5.334</v>
      </c>
      <c r="G331" t="str" cm="1">
        <f t="array" ref="G331">INDEX(_xlfn._xlws.FILTER(PriceList!$P$4:$P$2641,PriceList!$M$4:$M$2641=A331,""),1)</f>
        <v>O Ring - NBR 70</v>
      </c>
    </row>
    <row r="332" spans="1:7" x14ac:dyDescent="0.45">
      <c r="A332" t="s">
        <v>5135</v>
      </c>
      <c r="B332">
        <f>COUNTIF(PriceList!$M$4:$M$2641,A332)</f>
        <v>1</v>
      </c>
      <c r="C332" t="str">
        <f>IF(B332=1,"1:1","1:Many")</f>
        <v>1:1</v>
      </c>
      <c r="D332" s="42" t="str" cm="1">
        <f t="array" ref="D332">_xlfn.TEXTJOIN(" | ",TRUE,_xlfn._xlws.FILTER(PriceList!$B$4:$B$2641,PriceList!$M$4:$M$2641=A332,""))</f>
        <v>ORV8 177.17-5.33</v>
      </c>
      <c r="E332" t="str" cm="1">
        <f t="array" ref="E332">_xlfn.TEXTJOIN(", ",TRUE,_xlfn._xlws.FILTER(ROW(PriceList!$B$4:$B$2641),PriceList!$M$4:$M$2641=A332,""))</f>
        <v>2078</v>
      </c>
      <c r="F332" s="42" t="str" cm="1">
        <f t="array" ref="F332">_xlfn.TEXTJOIN(" | ",TRUE,_xlfn.UNIQUE(_xlfn._xlws.FILTER(PriceList!$Q$4:$Q$2641&amp;" x "&amp;PriceList!$R$4:$R$2641&amp;" x "&amp;PriceList!$S$4:$S$2641,PriceList!$M$4:$M$2641=A332,"")))</f>
        <v>177.038 x 187.706 x 5.334</v>
      </c>
      <c r="G332" t="str" cm="1">
        <f t="array" ref="G332">INDEX(_xlfn._xlws.FILTER(PriceList!$P$4:$P$2641,PriceList!$M$4:$M$2641=A332,""),1)</f>
        <v>O Ring - FPM/FKM/VitonÂ®</v>
      </c>
    </row>
    <row r="333" spans="1:7" x14ac:dyDescent="0.45">
      <c r="A333" t="s">
        <v>4277</v>
      </c>
      <c r="B333">
        <f>COUNTIF(PriceList!$M$4:$M$2641,A333)</f>
        <v>2</v>
      </c>
      <c r="C333" t="str">
        <f>IF(B333=1,"1:1","1:Many")</f>
        <v>1:Many</v>
      </c>
      <c r="D333" s="42" t="str" cm="1">
        <f t="array" ref="D333">_xlfn.TEXTJOIN(" | ",TRUE,_xlfn._xlws.FILTER(PriceList!$B$4:$B$2641,PriceList!$M$4:$M$2641=A333,""))</f>
        <v>OR7N 183.52-5.33 | OR9N 183.52-5.33</v>
      </c>
      <c r="E333" t="str" cm="1">
        <f t="array" ref="E333">_xlfn.TEXTJOIN(", ",TRUE,_xlfn._xlws.FILTER(ROW(PriceList!$B$4:$B$2641),PriceList!$M$4:$M$2641=A333,""))</f>
        <v>859, 1439</v>
      </c>
      <c r="F333" s="42" t="str" cm="1">
        <f t="array" ref="F333">_xlfn.TEXTJOIN(" | ",TRUE,_xlfn.UNIQUE(_xlfn._xlws.FILTER(PriceList!$Q$4:$Q$2641&amp;" x "&amp;PriceList!$R$4:$R$2641&amp;" x "&amp;PriceList!$S$4:$S$2641,PriceList!$M$4:$M$2641=A333,"")))</f>
        <v>183.388 x 194.056 x 5.334</v>
      </c>
      <c r="G333" t="str" cm="1">
        <f t="array" ref="G333">INDEX(_xlfn._xlws.FILTER(PriceList!$P$4:$P$2641,PriceList!$M$4:$M$2641=A333,""),1)</f>
        <v>O Ring - NBR 70</v>
      </c>
    </row>
    <row r="334" spans="1:7" x14ac:dyDescent="0.45">
      <c r="A334" t="s">
        <v>5143</v>
      </c>
      <c r="B334">
        <f>COUNTIF(PriceList!$M$4:$M$2641,A334)</f>
        <v>2</v>
      </c>
      <c r="C334" t="str">
        <f>IF(B334=1,"1:1","1:Many")</f>
        <v>1:Many</v>
      </c>
      <c r="D334" s="42" t="str" cm="1">
        <f t="array" ref="D334">_xlfn.TEXTJOIN(" | ",TRUE,_xlfn._xlws.FILTER(PriceList!$B$4:$B$2641,PriceList!$M$4:$M$2641=A334,""))</f>
        <v>ORV8 183.52-5.33 | ORV8 184.2-5.7</v>
      </c>
      <c r="E334" t="str" cm="1">
        <f t="array" ref="E334">_xlfn.TEXTJOIN(", ",TRUE,_xlfn._xlws.FILTER(ROW(PriceList!$B$4:$B$2641),PriceList!$M$4:$M$2641=A334,""))</f>
        <v>2085, 2086</v>
      </c>
      <c r="F334" s="42" t="str" cm="1">
        <f t="array" ref="F334">_xlfn.TEXTJOIN(" | ",TRUE,_xlfn.UNIQUE(_xlfn._xlws.FILTER(PriceList!$Q$4:$Q$2641&amp;" x "&amp;PriceList!$R$4:$R$2641&amp;" x "&amp;PriceList!$S$4:$S$2641,PriceList!$M$4:$M$2641=A334,"")))</f>
        <v>183.388 x 194.056 x 5.334</v>
      </c>
      <c r="G334" t="str" cm="1">
        <f t="array" ref="G334">INDEX(_xlfn._xlws.FILTER(PriceList!$P$4:$P$2641,PriceList!$M$4:$M$2641=A334,""),1)</f>
        <v>O Ring - FPM/FKM/VitonÂ®</v>
      </c>
    </row>
    <row r="335" spans="1:7" x14ac:dyDescent="0.45">
      <c r="A335" t="s">
        <v>4281</v>
      </c>
      <c r="B335">
        <f>COUNTIF(PriceList!$M$4:$M$2641,A335)</f>
        <v>2</v>
      </c>
      <c r="C335" t="str">
        <f>IF(B335=1,"1:1","1:Many")</f>
        <v>1:Many</v>
      </c>
      <c r="D335" s="42" t="str" cm="1">
        <f t="array" ref="D335">_xlfn.TEXTJOIN(" | ",TRUE,_xlfn._xlws.FILTER(PriceList!$B$4:$B$2641,PriceList!$M$4:$M$2641=A335,""))</f>
        <v>OR7N 189.87-5.33 | OR9N 189.87-5.33</v>
      </c>
      <c r="E335" t="str" cm="1">
        <f t="array" ref="E335">_xlfn.TEXTJOIN(", ",TRUE,_xlfn._xlws.FILTER(ROW(PriceList!$B$4:$B$2641),PriceList!$M$4:$M$2641=A335,""))</f>
        <v>863, 1445</v>
      </c>
      <c r="F335" s="42" t="str" cm="1">
        <f t="array" ref="F335">_xlfn.TEXTJOIN(" | ",TRUE,_xlfn.UNIQUE(_xlfn._xlws.FILTER(PriceList!$Q$4:$Q$2641&amp;" x "&amp;PriceList!$R$4:$R$2641&amp;" x "&amp;PriceList!$S$4:$S$2641,PriceList!$M$4:$M$2641=A335,"")))</f>
        <v>189.738 x 200.406 x 5.334</v>
      </c>
      <c r="G335" t="str" cm="1">
        <f t="array" ref="G335">INDEX(_xlfn._xlws.FILTER(PriceList!$P$4:$P$2641,PriceList!$M$4:$M$2641=A335,""),1)</f>
        <v>O Ring - NBR 70</v>
      </c>
    </row>
    <row r="336" spans="1:7" x14ac:dyDescent="0.45">
      <c r="A336" t="s">
        <v>5147</v>
      </c>
      <c r="B336">
        <f>COUNTIF(PriceList!$M$4:$M$2641,A336)</f>
        <v>2</v>
      </c>
      <c r="C336" t="str">
        <f>IF(B336=1,"1:1","1:Many")</f>
        <v>1:Many</v>
      </c>
      <c r="D336" s="42" t="str" cm="1">
        <f t="array" ref="D336">_xlfn.TEXTJOIN(" | ",TRUE,_xlfn._xlws.FILTER(PriceList!$B$4:$B$2641,PriceList!$M$4:$M$2641=A336,""))</f>
        <v>ORV8 189.87-5.33 | ORV8 190-5</v>
      </c>
      <c r="E336" t="str" cm="1">
        <f t="array" ref="E336">_xlfn.TEXTJOIN(", ",TRUE,_xlfn._xlws.FILTER(ROW(PriceList!$B$4:$B$2641),PriceList!$M$4:$M$2641=A336,""))</f>
        <v>2089, 2092</v>
      </c>
      <c r="F336" s="42" t="str" cm="1">
        <f t="array" ref="F336">_xlfn.TEXTJOIN(" | ",TRUE,_xlfn.UNIQUE(_xlfn._xlws.FILTER(PriceList!$Q$4:$Q$2641&amp;" x "&amp;PriceList!$R$4:$R$2641&amp;" x "&amp;PriceList!$S$4:$S$2641,PriceList!$M$4:$M$2641=A336,"")))</f>
        <v>189.738 x 200.406 x 5.334</v>
      </c>
      <c r="G336" t="str" cm="1">
        <f t="array" ref="G336">INDEX(_xlfn._xlws.FILTER(PriceList!$P$4:$P$2641,PriceList!$M$4:$M$2641=A336,""),1)</f>
        <v>O Ring - FPM/FKM/VitonÂ®</v>
      </c>
    </row>
    <row r="337" spans="1:7" x14ac:dyDescent="0.45">
      <c r="A337" t="s">
        <v>4284</v>
      </c>
      <c r="B337">
        <f>COUNTIF(PriceList!$M$4:$M$2641,A337)</f>
        <v>2</v>
      </c>
      <c r="C337" t="str">
        <f>IF(B337=1,"1:1","1:Many")</f>
        <v>1:Many</v>
      </c>
      <c r="D337" s="42" t="str" cm="1">
        <f t="array" ref="D337">_xlfn.TEXTJOIN(" | ",TRUE,_xlfn._xlws.FILTER(PriceList!$B$4:$B$2641,PriceList!$M$4:$M$2641=A337,""))</f>
        <v>OR7N 196.22-5.33 | OR9N 196.22-5.33</v>
      </c>
      <c r="E337" t="str" cm="1">
        <f t="array" ref="E337">_xlfn.TEXTJOIN(", ",TRUE,_xlfn._xlws.FILTER(ROW(PriceList!$B$4:$B$2641),PriceList!$M$4:$M$2641=A337,""))</f>
        <v>866, 1451</v>
      </c>
      <c r="F337" s="42" t="str" cm="1">
        <f t="array" ref="F337">_xlfn.TEXTJOIN(" | ",TRUE,_xlfn.UNIQUE(_xlfn._xlws.FILTER(PriceList!$Q$4:$Q$2641&amp;" x "&amp;PriceList!$R$4:$R$2641&amp;" x "&amp;PriceList!$S$4:$S$2641,PriceList!$M$4:$M$2641=A337,"")))</f>
        <v>196.088 x 206.756 x 5.334</v>
      </c>
      <c r="G337" t="str" cm="1">
        <f t="array" ref="G337">INDEX(_xlfn._xlws.FILTER(PriceList!$P$4:$P$2641,PriceList!$M$4:$M$2641=A337,""),1)</f>
        <v>O Ring - NBR 70</v>
      </c>
    </row>
    <row r="338" spans="1:7" x14ac:dyDescent="0.45">
      <c r="A338" t="s">
        <v>5155</v>
      </c>
      <c r="B338">
        <f>COUNTIF(PriceList!$M$4:$M$2641,A338)</f>
        <v>1</v>
      </c>
      <c r="C338" t="str">
        <f>IF(B338=1,"1:1","1:Many")</f>
        <v>1:1</v>
      </c>
      <c r="D338" s="42" t="str" cm="1">
        <f t="array" ref="D338">_xlfn.TEXTJOIN(" | ",TRUE,_xlfn._xlws.FILTER(PriceList!$B$4:$B$2641,PriceList!$M$4:$M$2641=A338,""))</f>
        <v>ORV8 196.22-5.33</v>
      </c>
      <c r="E338" t="str" cm="1">
        <f t="array" ref="E338">_xlfn.TEXTJOIN(", ",TRUE,_xlfn._xlws.FILTER(ROW(PriceList!$B$4:$B$2641),PriceList!$M$4:$M$2641=A338,""))</f>
        <v>2096</v>
      </c>
      <c r="F338" s="42" t="str" cm="1">
        <f t="array" ref="F338">_xlfn.TEXTJOIN(" | ",TRUE,_xlfn.UNIQUE(_xlfn._xlws.FILTER(PriceList!$Q$4:$Q$2641&amp;" x "&amp;PriceList!$R$4:$R$2641&amp;" x "&amp;PriceList!$S$4:$S$2641,PriceList!$M$4:$M$2641=A338,"")))</f>
        <v>196.088 x 206.756 x 5.334</v>
      </c>
      <c r="G338" t="str" cm="1">
        <f t="array" ref="G338">INDEX(_xlfn._xlws.FILTER(PriceList!$P$4:$P$2641,PriceList!$M$4:$M$2641=A338,""),1)</f>
        <v>O Ring - FPM/FKM/VitonÂ®</v>
      </c>
    </row>
    <row r="339" spans="1:7" x14ac:dyDescent="0.45">
      <c r="A339" t="s">
        <v>4287</v>
      </c>
      <c r="B339">
        <f>COUNTIF(PriceList!$M$4:$M$2641,A339)</f>
        <v>2</v>
      </c>
      <c r="C339" t="str">
        <f>IF(B339=1,"1:1","1:Many")</f>
        <v>1:Many</v>
      </c>
      <c r="D339" s="42" t="str" cm="1">
        <f t="array" ref="D339">_xlfn.TEXTJOIN(" | ",TRUE,_xlfn._xlws.FILTER(PriceList!$B$4:$B$2641,PriceList!$M$4:$M$2641=A339,""))</f>
        <v>OR7N 202.57-5.33 | OR9N 202.57-5.33</v>
      </c>
      <c r="E339" t="str" cm="1">
        <f t="array" ref="E339">_xlfn.TEXTJOIN(", ",TRUE,_xlfn._xlws.FILTER(ROW(PriceList!$B$4:$B$2641),PriceList!$M$4:$M$2641=A339,""))</f>
        <v>869, 1456</v>
      </c>
      <c r="F339" s="42" t="str" cm="1">
        <f t="array" ref="F339">_xlfn.TEXTJOIN(" | ",TRUE,_xlfn.UNIQUE(_xlfn._xlws.FILTER(PriceList!$Q$4:$Q$2641&amp;" x "&amp;PriceList!$R$4:$R$2641&amp;" x "&amp;PriceList!$S$4:$S$2641,PriceList!$M$4:$M$2641=A339,"")))</f>
        <v>202.438 x 213.106 x 5.334</v>
      </c>
      <c r="G339" t="str" cm="1">
        <f t="array" ref="G339">INDEX(_xlfn._xlws.FILTER(PriceList!$P$4:$P$2641,PriceList!$M$4:$M$2641=A339,""),1)</f>
        <v>O Ring - NBR 70</v>
      </c>
    </row>
    <row r="340" spans="1:7" x14ac:dyDescent="0.45">
      <c r="A340" t="s">
        <v>5160</v>
      </c>
      <c r="B340">
        <f>COUNTIF(PriceList!$M$4:$M$2641,A340)</f>
        <v>1</v>
      </c>
      <c r="C340" t="str">
        <f>IF(B340=1,"1:1","1:Many")</f>
        <v>1:1</v>
      </c>
      <c r="D340" s="42" t="str" cm="1">
        <f t="array" ref="D340">_xlfn.TEXTJOIN(" | ",TRUE,_xlfn._xlws.FILTER(PriceList!$B$4:$B$2641,PriceList!$M$4:$M$2641=A340,""))</f>
        <v>ORV8 202.57-5.33</v>
      </c>
      <c r="E340" t="str" cm="1">
        <f t="array" ref="E340">_xlfn.TEXTJOIN(", ",TRUE,_xlfn._xlws.FILTER(ROW(PriceList!$B$4:$B$2641),PriceList!$M$4:$M$2641=A340,""))</f>
        <v>2102</v>
      </c>
      <c r="F340" s="42" t="str" cm="1">
        <f t="array" ref="F340">_xlfn.TEXTJOIN(" | ",TRUE,_xlfn.UNIQUE(_xlfn._xlws.FILTER(PriceList!$Q$4:$Q$2641&amp;" x "&amp;PriceList!$R$4:$R$2641&amp;" x "&amp;PriceList!$S$4:$S$2641,PriceList!$M$4:$M$2641=A340,"")))</f>
        <v>202.438 x 213.106 x 5.334</v>
      </c>
      <c r="G340" t="str" cm="1">
        <f t="array" ref="G340">INDEX(_xlfn._xlws.FILTER(PriceList!$P$4:$P$2641,PriceList!$M$4:$M$2641=A340,""),1)</f>
        <v>O Ring - FPM/FKM/VitonÂ®</v>
      </c>
    </row>
    <row r="341" spans="1:7" x14ac:dyDescent="0.45">
      <c r="A341" t="s">
        <v>4290</v>
      </c>
      <c r="B341">
        <f>COUNTIF(PriceList!$M$4:$M$2641,A341)</f>
        <v>2</v>
      </c>
      <c r="C341" t="str">
        <f>IF(B341=1,"1:1","1:Many")</f>
        <v>1:Many</v>
      </c>
      <c r="D341" s="42" t="str" cm="1">
        <f t="array" ref="D341">_xlfn.TEXTJOIN(" | ",TRUE,_xlfn._xlws.FILTER(PriceList!$B$4:$B$2641,PriceList!$M$4:$M$2641=A341,""))</f>
        <v>OR7N 208.97-5.33 | OR9N 208.97-5.33</v>
      </c>
      <c r="E341" t="str" cm="1">
        <f t="array" ref="E341">_xlfn.TEXTJOIN(", ",TRUE,_xlfn._xlws.FILTER(ROW(PriceList!$B$4:$B$2641),PriceList!$M$4:$M$2641=A341,""))</f>
        <v>872, 1462</v>
      </c>
      <c r="F341" s="42" t="str" cm="1">
        <f t="array" ref="F341">_xlfn.TEXTJOIN(" | ",TRUE,_xlfn.UNIQUE(_xlfn._xlws.FILTER(PriceList!$Q$4:$Q$2641&amp;" x "&amp;PriceList!$R$4:$R$2641&amp;" x "&amp;PriceList!$S$4:$S$2641,PriceList!$M$4:$M$2641=A341,"")))</f>
        <v>208.788 x 219.456 x 5.334</v>
      </c>
      <c r="G341" t="str" cm="1">
        <f t="array" ref="G341">INDEX(_xlfn._xlws.FILTER(PriceList!$P$4:$P$2641,PriceList!$M$4:$M$2641=A341,""),1)</f>
        <v>O Ring - NBR 70</v>
      </c>
    </row>
    <row r="342" spans="1:7" x14ac:dyDescent="0.45">
      <c r="A342" t="s">
        <v>5165</v>
      </c>
      <c r="B342">
        <f>COUNTIF(PriceList!$M$4:$M$2641,A342)</f>
        <v>1</v>
      </c>
      <c r="C342" t="str">
        <f>IF(B342=1,"1:1","1:Many")</f>
        <v>1:1</v>
      </c>
      <c r="D342" s="42" t="str" cm="1">
        <f t="array" ref="D342">_xlfn.TEXTJOIN(" | ",TRUE,_xlfn._xlws.FILTER(PriceList!$B$4:$B$2641,PriceList!$M$4:$M$2641=A342,""))</f>
        <v>ORV8 208.97-5.33</v>
      </c>
      <c r="E342" t="str" cm="1">
        <f t="array" ref="E342">_xlfn.TEXTJOIN(", ",TRUE,_xlfn._xlws.FILTER(ROW(PriceList!$B$4:$B$2641),PriceList!$M$4:$M$2641=A342,""))</f>
        <v>2106</v>
      </c>
      <c r="F342" s="42" t="str" cm="1">
        <f t="array" ref="F342">_xlfn.TEXTJOIN(" | ",TRUE,_xlfn.UNIQUE(_xlfn._xlws.FILTER(PriceList!$Q$4:$Q$2641&amp;" x "&amp;PriceList!$R$4:$R$2641&amp;" x "&amp;PriceList!$S$4:$S$2641,PriceList!$M$4:$M$2641=A342,"")))</f>
        <v>208.788 x 219.456 x 5.334</v>
      </c>
      <c r="G342" t="str" cm="1">
        <f t="array" ref="G342">INDEX(_xlfn._xlws.FILTER(PriceList!$P$4:$P$2641,PriceList!$M$4:$M$2641=A342,""),1)</f>
        <v>O Ring - FPM/FKM/VitonÂ®</v>
      </c>
    </row>
    <row r="343" spans="1:7" x14ac:dyDescent="0.45">
      <c r="A343" t="s">
        <v>4293</v>
      </c>
      <c r="B343">
        <f>COUNTIF(PriceList!$M$4:$M$2641,A343)</f>
        <v>2</v>
      </c>
      <c r="C343" t="str">
        <f>IF(B343=1,"1:1","1:Many")</f>
        <v>1:Many</v>
      </c>
      <c r="D343" s="42" t="str" cm="1">
        <f t="array" ref="D343">_xlfn.TEXTJOIN(" | ",TRUE,_xlfn._xlws.FILTER(PriceList!$B$4:$B$2641,PriceList!$M$4:$M$2641=A343,""))</f>
        <v>OR7N 215.27-5.33 | OR9N 215.27-5.33</v>
      </c>
      <c r="E343" t="str" cm="1">
        <f t="array" ref="E343">_xlfn.TEXTJOIN(", ",TRUE,_xlfn._xlws.FILTER(ROW(PriceList!$B$4:$B$2641),PriceList!$M$4:$M$2641=A343,""))</f>
        <v>874, 1467</v>
      </c>
      <c r="F343" s="42" t="str" cm="1">
        <f t="array" ref="F343">_xlfn.TEXTJOIN(" | ",TRUE,_xlfn.UNIQUE(_xlfn._xlws.FILTER(PriceList!$Q$4:$Q$2641&amp;" x "&amp;PriceList!$R$4:$R$2641&amp;" x "&amp;PriceList!$S$4:$S$2641,PriceList!$M$4:$M$2641=A343,"")))</f>
        <v>215.138 x 225.806 x 5.334</v>
      </c>
      <c r="G343" t="str" cm="1">
        <f t="array" ref="G343">INDEX(_xlfn._xlws.FILTER(PriceList!$P$4:$P$2641,PriceList!$M$4:$M$2641=A343,""),1)</f>
        <v>O Ring - NBR 70</v>
      </c>
    </row>
    <row r="344" spans="1:7" x14ac:dyDescent="0.45">
      <c r="A344" t="s">
        <v>5169</v>
      </c>
      <c r="B344">
        <f>COUNTIF(PriceList!$M$4:$M$2641,A344)</f>
        <v>3</v>
      </c>
      <c r="C344" t="str">
        <f>IF(B344=1,"1:1","1:Many")</f>
        <v>1:Many</v>
      </c>
      <c r="D344" s="42" t="str" cm="1">
        <f t="array" ref="D344">_xlfn.TEXTJOIN(" | ",TRUE,_xlfn._xlws.FILTER(PriceList!$B$4:$B$2641,PriceList!$M$4:$M$2641=A344,""))</f>
        <v>ORV8 214.2-5.7 | ORV8 215.2-5.33 | ORV8 215-5</v>
      </c>
      <c r="E344" t="str" cm="1">
        <f t="array" ref="E344">_xlfn.TEXTJOIN(", ",TRUE,_xlfn._xlws.FILTER(ROW(PriceList!$B$4:$B$2641),PriceList!$M$4:$M$2641=A344,""))</f>
        <v>2110, 2112, 2114</v>
      </c>
      <c r="F344" s="42" t="str" cm="1">
        <f t="array" ref="F344">_xlfn.TEXTJOIN(" | ",TRUE,_xlfn.UNIQUE(_xlfn._xlws.FILTER(PriceList!$Q$4:$Q$2641&amp;" x "&amp;PriceList!$R$4:$R$2641&amp;" x "&amp;PriceList!$S$4:$S$2641,PriceList!$M$4:$M$2641=A344,"")))</f>
        <v>215.138 x 225.806 x 5.334</v>
      </c>
      <c r="G344" t="str" cm="1">
        <f t="array" ref="G344">INDEX(_xlfn._xlws.FILTER(PriceList!$P$4:$P$2641,PriceList!$M$4:$M$2641=A344,""),1)</f>
        <v>O Ring - FPM/FKM/VitonÂ®</v>
      </c>
    </row>
    <row r="345" spans="1:7" x14ac:dyDescent="0.45">
      <c r="A345" t="s">
        <v>4297</v>
      </c>
      <c r="B345">
        <f>COUNTIF(PriceList!$M$4:$M$2641,A345)</f>
        <v>2</v>
      </c>
      <c r="C345" t="str">
        <f>IF(B345=1,"1:1","1:Many")</f>
        <v>1:Many</v>
      </c>
      <c r="D345" s="42" t="str" cm="1">
        <f t="array" ref="D345">_xlfn.TEXTJOIN(" | ",TRUE,_xlfn._xlws.FILTER(PriceList!$B$4:$B$2641,PriceList!$M$4:$M$2641=A345,""))</f>
        <v>OR7N 221.62-5.33 | OR9N 221.62-5.33</v>
      </c>
      <c r="E345" t="str" cm="1">
        <f t="array" ref="E345">_xlfn.TEXTJOIN(", ",TRUE,_xlfn._xlws.FILTER(ROW(PriceList!$B$4:$B$2641),PriceList!$M$4:$M$2641=A345,""))</f>
        <v>877, 1472</v>
      </c>
      <c r="F345" s="42" t="str" cm="1">
        <f t="array" ref="F345">_xlfn.TEXTJOIN(" | ",TRUE,_xlfn.UNIQUE(_xlfn._xlws.FILTER(PriceList!$Q$4:$Q$2641&amp;" x "&amp;PriceList!$R$4:$R$2641&amp;" x "&amp;PriceList!$S$4:$S$2641,PriceList!$M$4:$M$2641=A345,"")))</f>
        <v>221.488 x 232.156 x 5.334</v>
      </c>
      <c r="G345" t="str" cm="1">
        <f t="array" ref="G345">INDEX(_xlfn._xlws.FILTER(PriceList!$P$4:$P$2641,PriceList!$M$4:$M$2641=A345,""),1)</f>
        <v>O Ring - NBR 70</v>
      </c>
    </row>
    <row r="346" spans="1:7" x14ac:dyDescent="0.45">
      <c r="A346" t="s">
        <v>5176</v>
      </c>
      <c r="B346">
        <f>COUNTIF(PriceList!$M$4:$M$2641,A346)</f>
        <v>1</v>
      </c>
      <c r="C346" t="str">
        <f>IF(B346=1,"1:1","1:Many")</f>
        <v>1:1</v>
      </c>
      <c r="D346" s="42" t="str" cm="1">
        <f t="array" ref="D346">_xlfn.TEXTJOIN(" | ",TRUE,_xlfn._xlws.FILTER(PriceList!$B$4:$B$2641,PriceList!$M$4:$M$2641=A346,""))</f>
        <v>ORV8 221.62-5.33</v>
      </c>
      <c r="E346" t="str" cm="1">
        <f t="array" ref="E346">_xlfn.TEXTJOIN(", ",TRUE,_xlfn._xlws.FILTER(ROW(PriceList!$B$4:$B$2641),PriceList!$M$4:$M$2641=A346,""))</f>
        <v>2117</v>
      </c>
      <c r="F346" s="42" t="str" cm="1">
        <f t="array" ref="F346">_xlfn.TEXTJOIN(" | ",TRUE,_xlfn.UNIQUE(_xlfn._xlws.FILTER(PriceList!$Q$4:$Q$2641&amp;" x "&amp;PriceList!$R$4:$R$2641&amp;" x "&amp;PriceList!$S$4:$S$2641,PriceList!$M$4:$M$2641=A346,"")))</f>
        <v>221.488 x 232.156 x 5.334</v>
      </c>
      <c r="G346" t="str" cm="1">
        <f t="array" ref="G346">INDEX(_xlfn._xlws.FILTER(PriceList!$P$4:$P$2641,PriceList!$M$4:$M$2641=A346,""),1)</f>
        <v>O Ring - FPM/FKM/VitonÂ®</v>
      </c>
    </row>
    <row r="347" spans="1:7" x14ac:dyDescent="0.45">
      <c r="A347" t="s">
        <v>4299</v>
      </c>
      <c r="B347">
        <f>COUNTIF(PriceList!$M$4:$M$2641,A347)</f>
        <v>2</v>
      </c>
      <c r="C347" t="str">
        <f>IF(B347=1,"1:1","1:Many")</f>
        <v>1:Many</v>
      </c>
      <c r="D347" s="42" t="str" cm="1">
        <f t="array" ref="D347">_xlfn.TEXTJOIN(" | ",TRUE,_xlfn._xlws.FILTER(PriceList!$B$4:$B$2641,PriceList!$M$4:$M$2641=A347,""))</f>
        <v>OR7N 227.97-5.33 | OR9N 227.97-5.33</v>
      </c>
      <c r="E347" t="str" cm="1">
        <f t="array" ref="E347">_xlfn.TEXTJOIN(", ",TRUE,_xlfn._xlws.FILTER(ROW(PriceList!$B$4:$B$2641),PriceList!$M$4:$M$2641=A347,""))</f>
        <v>879, 1476</v>
      </c>
      <c r="F347" s="42" t="str" cm="1">
        <f t="array" ref="F347">_xlfn.TEXTJOIN(" | ",TRUE,_xlfn.UNIQUE(_xlfn._xlws.FILTER(PriceList!$Q$4:$Q$2641&amp;" x "&amp;PriceList!$R$4:$R$2641&amp;" x "&amp;PriceList!$S$4:$S$2641,PriceList!$M$4:$M$2641=A347,"")))</f>
        <v>227.838 x 238.506 x 5.334</v>
      </c>
      <c r="G347" t="str" cm="1">
        <f t="array" ref="G347">INDEX(_xlfn._xlws.FILTER(PriceList!$P$4:$P$2641,PriceList!$M$4:$M$2641=A347,""),1)</f>
        <v>O Ring - NBR 70</v>
      </c>
    </row>
    <row r="348" spans="1:7" x14ac:dyDescent="0.45">
      <c r="A348" t="s">
        <v>4302</v>
      </c>
      <c r="B348">
        <f>COUNTIF(PriceList!$M$4:$M$2641,A348)</f>
        <v>2</v>
      </c>
      <c r="C348" t="str">
        <f>IF(B348=1,"1:1","1:Many")</f>
        <v>1:Many</v>
      </c>
      <c r="D348" s="42" t="str" cm="1">
        <f t="array" ref="D348">_xlfn.TEXTJOIN(" | ",TRUE,_xlfn._xlws.FILTER(PriceList!$B$4:$B$2641,PriceList!$M$4:$M$2641=A348,""))</f>
        <v>OR7N 234.32-5.33 | OR9N 234.32-5.33</v>
      </c>
      <c r="E348" t="str" cm="1">
        <f t="array" ref="E348">_xlfn.TEXTJOIN(", ",TRUE,_xlfn._xlws.FILTER(ROW(PriceList!$B$4:$B$2641),PriceList!$M$4:$M$2641=A348,""))</f>
        <v>882, 1481</v>
      </c>
      <c r="F348" s="42" t="str" cm="1">
        <f t="array" ref="F348">_xlfn.TEXTJOIN(" | ",TRUE,_xlfn.UNIQUE(_xlfn._xlws.FILTER(PriceList!$Q$4:$Q$2641&amp;" x "&amp;PriceList!$R$4:$R$2641&amp;" x "&amp;PriceList!$S$4:$S$2641,PriceList!$M$4:$M$2641=A348,"")))</f>
        <v>234.188 x 244.856 x 5.334</v>
      </c>
      <c r="G348" t="str" cm="1">
        <f t="array" ref="G348">INDEX(_xlfn._xlws.FILTER(PriceList!$P$4:$P$2641,PriceList!$M$4:$M$2641=A348,""),1)</f>
        <v>O Ring - NBR 70</v>
      </c>
    </row>
    <row r="349" spans="1:7" x14ac:dyDescent="0.45">
      <c r="A349" t="s">
        <v>4305</v>
      </c>
      <c r="B349">
        <f>COUNTIF(PriceList!$M$4:$M$2641,A349)</f>
        <v>2</v>
      </c>
      <c r="C349" t="str">
        <f>IF(B349=1,"1:1","1:Many")</f>
        <v>1:Many</v>
      </c>
      <c r="D349" s="42" t="str" cm="1">
        <f t="array" ref="D349">_xlfn.TEXTJOIN(" | ",TRUE,_xlfn._xlws.FILTER(PriceList!$B$4:$B$2641,PriceList!$M$4:$M$2641=A349,""))</f>
        <v>OR7N 240.67-5.33 | OR9N 240.67-5.33</v>
      </c>
      <c r="E349" t="str" cm="1">
        <f t="array" ref="E349">_xlfn.TEXTJOIN(", ",TRUE,_xlfn._xlws.FILTER(ROW(PriceList!$B$4:$B$2641),PriceList!$M$4:$M$2641=A349,""))</f>
        <v>885, 1485</v>
      </c>
      <c r="F349" s="42" t="str" cm="1">
        <f t="array" ref="F349">_xlfn.TEXTJOIN(" | ",TRUE,_xlfn.UNIQUE(_xlfn._xlws.FILTER(PriceList!$Q$4:$Q$2641&amp;" x "&amp;PriceList!$R$4:$R$2641&amp;" x "&amp;PriceList!$S$4:$S$2641,PriceList!$M$4:$M$2641=A349,"")))</f>
        <v>240.538 x 251.206 x 5.334</v>
      </c>
      <c r="G349" t="str" cm="1">
        <f t="array" ref="G349">INDEX(_xlfn._xlws.FILTER(PriceList!$P$4:$P$2641,PriceList!$M$4:$M$2641=A349,""),1)</f>
        <v>O Ring - NBR 70</v>
      </c>
    </row>
    <row r="350" spans="1:7" x14ac:dyDescent="0.45">
      <c r="A350" t="s">
        <v>5188</v>
      </c>
      <c r="B350">
        <f>COUNTIF(PriceList!$M$4:$M$2641,A350)</f>
        <v>1</v>
      </c>
      <c r="C350" t="str">
        <f>IF(B350=1,"1:1","1:Many")</f>
        <v>1:1</v>
      </c>
      <c r="D350" s="42" t="str" cm="1">
        <f t="array" ref="D350">_xlfn.TEXTJOIN(" | ",TRUE,_xlfn._xlws.FILTER(PriceList!$B$4:$B$2641,PriceList!$M$4:$M$2641=A350,""))</f>
        <v>ORV8 240.67-5.33</v>
      </c>
      <c r="E350" t="str" cm="1">
        <f t="array" ref="E350">_xlfn.TEXTJOIN(", ",TRUE,_xlfn._xlws.FILTER(ROW(PriceList!$B$4:$B$2641),PriceList!$M$4:$M$2641=A350,""))</f>
        <v>2127</v>
      </c>
      <c r="F350" s="42" t="str" cm="1">
        <f t="array" ref="F350">_xlfn.TEXTJOIN(" | ",TRUE,_xlfn.UNIQUE(_xlfn._xlws.FILTER(PriceList!$Q$4:$Q$2641&amp;" x "&amp;PriceList!$R$4:$R$2641&amp;" x "&amp;PriceList!$S$4:$S$2641,PriceList!$M$4:$M$2641=A350,"")))</f>
        <v>240.538 x 251.206 x 5.334</v>
      </c>
      <c r="G350" t="str" cm="1">
        <f t="array" ref="G350">INDEX(_xlfn._xlws.FILTER(PriceList!$P$4:$P$2641,PriceList!$M$4:$M$2641=A350,""),1)</f>
        <v>O Ring - FPM/FKM/VitonÂ®</v>
      </c>
    </row>
    <row r="351" spans="1:7" x14ac:dyDescent="0.45">
      <c r="A351" t="s">
        <v>4307</v>
      </c>
      <c r="B351">
        <f>COUNTIF(PriceList!$M$4:$M$2641,A351)</f>
        <v>2</v>
      </c>
      <c r="C351" t="str">
        <f>IF(B351=1,"1:1","1:Many")</f>
        <v>1:Many</v>
      </c>
      <c r="D351" s="42" t="str" cm="1">
        <f t="array" ref="D351">_xlfn.TEXTJOIN(" | ",TRUE,_xlfn._xlws.FILTER(PriceList!$B$4:$B$2641,PriceList!$M$4:$M$2641=A351,""))</f>
        <v>OR7N 247.02-5.33 | OR9N 247.02-5.33</v>
      </c>
      <c r="E351" t="str" cm="1">
        <f t="array" ref="E351">_xlfn.TEXTJOIN(", ",TRUE,_xlfn._xlws.FILTER(ROW(PriceList!$B$4:$B$2641),PriceList!$M$4:$M$2641=A351,""))</f>
        <v>887, 1489</v>
      </c>
      <c r="F351" s="42" t="str" cm="1">
        <f t="array" ref="F351">_xlfn.TEXTJOIN(" | ",TRUE,_xlfn.UNIQUE(_xlfn._xlws.FILTER(PriceList!$Q$4:$Q$2641&amp;" x "&amp;PriceList!$R$4:$R$2641&amp;" x "&amp;PriceList!$S$4:$S$2641,PriceList!$M$4:$M$2641=A351,"")))</f>
        <v>246.888 x 257.556 x 5.334</v>
      </c>
      <c r="G351" t="str" cm="1">
        <f t="array" ref="G351">INDEX(_xlfn._xlws.FILTER(PriceList!$P$4:$P$2641,PriceList!$M$4:$M$2641=A351,""),1)</f>
        <v>O Ring - NBR 70</v>
      </c>
    </row>
    <row r="352" spans="1:7" x14ac:dyDescent="0.45">
      <c r="A352" t="s">
        <v>4310</v>
      </c>
      <c r="B352">
        <f>COUNTIF(PriceList!$M$4:$M$2641,A352)</f>
        <v>2</v>
      </c>
      <c r="C352" t="str">
        <f>IF(B352=1,"1:1","1:Many")</f>
        <v>1:Many</v>
      </c>
      <c r="D352" s="42" t="str" cm="1">
        <f t="array" ref="D352">_xlfn.TEXTJOIN(" | ",TRUE,_xlfn._xlws.FILTER(PriceList!$B$4:$B$2641,PriceList!$M$4:$M$2641=A352,""))</f>
        <v>OR7N 253.37-5.33 | OR9N 253.37-5.33</v>
      </c>
      <c r="E352" t="str" cm="1">
        <f t="array" ref="E352">_xlfn.TEXTJOIN(", ",TRUE,_xlfn._xlws.FILTER(ROW(PriceList!$B$4:$B$2641),PriceList!$M$4:$M$2641=A352,""))</f>
        <v>890, 1492</v>
      </c>
      <c r="F352" s="42" t="str" cm="1">
        <f t="array" ref="F352">_xlfn.TEXTJOIN(" | ",TRUE,_xlfn.UNIQUE(_xlfn._xlws.FILTER(PriceList!$Q$4:$Q$2641&amp;" x "&amp;PriceList!$R$4:$R$2641&amp;" x "&amp;PriceList!$S$4:$S$2641,PriceList!$M$4:$M$2641=A352,"")))</f>
        <v>253.238 x 263.906 x 5.334</v>
      </c>
      <c r="G352" t="str" cm="1">
        <f t="array" ref="G352">INDEX(_xlfn._xlws.FILTER(PriceList!$P$4:$P$2641,PriceList!$M$4:$M$2641=A352,""),1)</f>
        <v>O Ring - NBR 70</v>
      </c>
    </row>
    <row r="353" spans="1:7" x14ac:dyDescent="0.45">
      <c r="A353" t="s">
        <v>4313</v>
      </c>
      <c r="B353">
        <f>COUNTIF(PriceList!$M$4:$M$2641,A353)</f>
        <v>2</v>
      </c>
      <c r="C353" t="str">
        <f>IF(B353=1,"1:1","1:Many")</f>
        <v>1:Many</v>
      </c>
      <c r="D353" s="42" t="str" cm="1">
        <f t="array" ref="D353">_xlfn.TEXTJOIN(" | ",TRUE,_xlfn._xlws.FILTER(PriceList!$B$4:$B$2641,PriceList!$M$4:$M$2641=A353,""))</f>
        <v>OR7N 266.07-5.33 | OR9N 266.07-5.33</v>
      </c>
      <c r="E353" t="str" cm="1">
        <f t="array" ref="E353">_xlfn.TEXTJOIN(", ",TRUE,_xlfn._xlws.FILTER(ROW(PriceList!$B$4:$B$2641),PriceList!$M$4:$M$2641=A353,""))</f>
        <v>893, 1499</v>
      </c>
      <c r="F353" s="42" t="str" cm="1">
        <f t="array" ref="F353">_xlfn.TEXTJOIN(" | ",TRUE,_xlfn.UNIQUE(_xlfn._xlws.FILTER(PriceList!$Q$4:$Q$2641&amp;" x "&amp;PriceList!$R$4:$R$2641&amp;" x "&amp;PriceList!$S$4:$S$2641,PriceList!$M$4:$M$2641=A353,"")))</f>
        <v>265.938 x 276.606 x 5.334</v>
      </c>
      <c r="G353" t="str" cm="1">
        <f t="array" ref="G353">INDEX(_xlfn._xlws.FILTER(PriceList!$P$4:$P$2641,PriceList!$M$4:$M$2641=A353,""),1)</f>
        <v>O Ring - NBR 70</v>
      </c>
    </row>
    <row r="354" spans="1:7" x14ac:dyDescent="0.45">
      <c r="A354" t="s">
        <v>4316</v>
      </c>
      <c r="B354">
        <f>COUNTIF(PriceList!$M$4:$M$2641,A354)</f>
        <v>2</v>
      </c>
      <c r="C354" t="str">
        <f>IF(B354=1,"1:1","1:Many")</f>
        <v>1:Many</v>
      </c>
      <c r="D354" s="42" t="str" cm="1">
        <f t="array" ref="D354">_xlfn.TEXTJOIN(" | ",TRUE,_xlfn._xlws.FILTER(PriceList!$B$4:$B$2641,PriceList!$M$4:$M$2641=A354,""))</f>
        <v>OR7N 278.77-5.33 | OR9N 278.77-5.33</v>
      </c>
      <c r="E354" t="str" cm="1">
        <f t="array" ref="E354">_xlfn.TEXTJOIN(", ",TRUE,_xlfn._xlws.FILTER(ROW(PriceList!$B$4:$B$2641),PriceList!$M$4:$M$2641=A354,""))</f>
        <v>896, 1504</v>
      </c>
      <c r="F354" s="42" t="str" cm="1">
        <f t="array" ref="F354">_xlfn.TEXTJOIN(" | ",TRUE,_xlfn.UNIQUE(_xlfn._xlws.FILTER(PriceList!$Q$4:$Q$2641&amp;" x "&amp;PriceList!$R$4:$R$2641&amp;" x "&amp;PriceList!$S$4:$S$2641,PriceList!$M$4:$M$2641=A354,"")))</f>
        <v>278.638 x 289.306 x 5.334</v>
      </c>
      <c r="G354" t="str" cm="1">
        <f t="array" ref="G354">INDEX(_xlfn._xlws.FILTER(PriceList!$P$4:$P$2641,PriceList!$M$4:$M$2641=A354,""),1)</f>
        <v>O Ring - NBR 70</v>
      </c>
    </row>
    <row r="355" spans="1:7" x14ac:dyDescent="0.45">
      <c r="A355" t="s">
        <v>5200</v>
      </c>
      <c r="B355">
        <f>COUNTIF(PriceList!$M$4:$M$2641,A355)</f>
        <v>1</v>
      </c>
      <c r="C355" t="str">
        <f>IF(B355=1,"1:1","1:Many")</f>
        <v>1:1</v>
      </c>
      <c r="D355" s="42" t="str" cm="1">
        <f t="array" ref="D355">_xlfn.TEXTJOIN(" | ",TRUE,_xlfn._xlws.FILTER(PriceList!$B$4:$B$2641,PriceList!$M$4:$M$2641=A355,""))</f>
        <v>ORV8 278.77-5.33</v>
      </c>
      <c r="E355" t="str" cm="1">
        <f t="array" ref="E355">_xlfn.TEXTJOIN(", ",TRUE,_xlfn._xlws.FILTER(ROW(PriceList!$B$4:$B$2641),PriceList!$M$4:$M$2641=A355,""))</f>
        <v>2137</v>
      </c>
      <c r="F355" s="42" t="str" cm="1">
        <f t="array" ref="F355">_xlfn.TEXTJOIN(" | ",TRUE,_xlfn.UNIQUE(_xlfn._xlws.FILTER(PriceList!$Q$4:$Q$2641&amp;" x "&amp;PriceList!$R$4:$R$2641&amp;" x "&amp;PriceList!$S$4:$S$2641,PriceList!$M$4:$M$2641=A355,"")))</f>
        <v>278.638 x 289.306 x 5.334</v>
      </c>
      <c r="G355" t="str" cm="1">
        <f t="array" ref="G355">INDEX(_xlfn._xlws.FILTER(PriceList!$P$4:$P$2641,PriceList!$M$4:$M$2641=A355,""),1)</f>
        <v>O Ring - FPM/FKM/VitonÂ®</v>
      </c>
    </row>
    <row r="356" spans="1:7" x14ac:dyDescent="0.45">
      <c r="A356" t="s">
        <v>4319</v>
      </c>
      <c r="B356">
        <f>COUNTIF(PriceList!$M$4:$M$2641,A356)</f>
        <v>2</v>
      </c>
      <c r="C356" t="str">
        <f>IF(B356=1,"1:1","1:Many")</f>
        <v>1:Many</v>
      </c>
      <c r="D356" s="42" t="str" cm="1">
        <f t="array" ref="D356">_xlfn.TEXTJOIN(" | ",TRUE,_xlfn._xlws.FILTER(PriceList!$B$4:$B$2641,PriceList!$M$4:$M$2641=A356,""))</f>
        <v>OR7N 291.47-5.33 | OR9N 291.47-5.33</v>
      </c>
      <c r="E356" t="str" cm="1">
        <f t="array" ref="E356">_xlfn.TEXTJOIN(", ",TRUE,_xlfn._xlws.FILTER(ROW(PriceList!$B$4:$B$2641),PriceList!$M$4:$M$2641=A356,""))</f>
        <v>899, 1510</v>
      </c>
      <c r="F356" s="42" t="str" cm="1">
        <f t="array" ref="F356">_xlfn.TEXTJOIN(" | ",TRUE,_xlfn.UNIQUE(_xlfn._xlws.FILTER(PriceList!$Q$4:$Q$2641&amp;" x "&amp;PriceList!$R$4:$R$2641&amp;" x "&amp;PriceList!$S$4:$S$2641,PriceList!$M$4:$M$2641=A356,"")))</f>
        <v>291.338 x 302.006 x 5.334</v>
      </c>
      <c r="G356" t="str" cm="1">
        <f t="array" ref="G356">INDEX(_xlfn._xlws.FILTER(PriceList!$P$4:$P$2641,PriceList!$M$4:$M$2641=A356,""),1)</f>
        <v>O Ring - NBR 70</v>
      </c>
    </row>
    <row r="357" spans="1:7" x14ac:dyDescent="0.45">
      <c r="A357" t="s">
        <v>5204</v>
      </c>
      <c r="B357">
        <f>COUNTIF(PriceList!$M$4:$M$2641,A357)</f>
        <v>1</v>
      </c>
      <c r="C357" t="str">
        <f>IF(B357=1,"1:1","1:Many")</f>
        <v>1:1</v>
      </c>
      <c r="D357" s="42" t="str" cm="1">
        <f t="array" ref="D357">_xlfn.TEXTJOIN(" | ",TRUE,_xlfn._xlws.FILTER(PriceList!$B$4:$B$2641,PriceList!$M$4:$M$2641=A357,""))</f>
        <v>ORV8 291.47-5.33</v>
      </c>
      <c r="E357" t="str" cm="1">
        <f t="array" ref="E357">_xlfn.TEXTJOIN(", ",TRUE,_xlfn._xlws.FILTER(ROW(PriceList!$B$4:$B$2641),PriceList!$M$4:$M$2641=A357,""))</f>
        <v>2141</v>
      </c>
      <c r="F357" s="42" t="str" cm="1">
        <f t="array" ref="F357">_xlfn.TEXTJOIN(" | ",TRUE,_xlfn.UNIQUE(_xlfn._xlws.FILTER(PriceList!$Q$4:$Q$2641&amp;" x "&amp;PriceList!$R$4:$R$2641&amp;" x "&amp;PriceList!$S$4:$S$2641,PriceList!$M$4:$M$2641=A357,"")))</f>
        <v>291.338 x 302.006 x 5.334</v>
      </c>
      <c r="G357" t="str" cm="1">
        <f t="array" ref="G357">INDEX(_xlfn._xlws.FILTER(PriceList!$P$4:$P$2641,PriceList!$M$4:$M$2641=A357,""),1)</f>
        <v>O Ring - FPM/FKM/VitonÂ®</v>
      </c>
    </row>
    <row r="358" spans="1:7" x14ac:dyDescent="0.45">
      <c r="A358" t="s">
        <v>4584</v>
      </c>
      <c r="B358">
        <f>COUNTIF(PriceList!$M$4:$M$2641,A358)</f>
        <v>1</v>
      </c>
      <c r="C358" t="str">
        <f>IF(B358=1,"1:1","1:Many")</f>
        <v>1:1</v>
      </c>
      <c r="D358" s="42" t="str" cm="1">
        <f t="array" ref="D358">_xlfn.TEXTJOIN(" | ",TRUE,_xlfn._xlws.FILTER(PriceList!$B$4:$B$2641,PriceList!$M$4:$M$2641=A358,""))</f>
        <v>OR9N 304.17-5.33</v>
      </c>
      <c r="E358" t="str" cm="1">
        <f t="array" ref="E358">_xlfn.TEXTJOIN(", ",TRUE,_xlfn._xlws.FILTER(ROW(PriceList!$B$4:$B$2641),PriceList!$M$4:$M$2641=A358,""))</f>
        <v>1513</v>
      </c>
      <c r="F358" s="42" t="str" cm="1">
        <f t="array" ref="F358">_xlfn.TEXTJOIN(" | ",TRUE,_xlfn.UNIQUE(_xlfn._xlws.FILTER(PriceList!$Q$4:$Q$2641&amp;" x "&amp;PriceList!$R$4:$R$2641&amp;" x "&amp;PriceList!$S$4:$S$2641,PriceList!$M$4:$M$2641=A358,"")))</f>
        <v>304.038 x 314.706 x 5.334</v>
      </c>
      <c r="G358" t="str" cm="1">
        <f t="array" ref="G358">INDEX(_xlfn._xlws.FILTER(PriceList!$P$4:$P$2641,PriceList!$M$4:$M$2641=A358,""),1)</f>
        <v>O Ring - NBR 70</v>
      </c>
    </row>
    <row r="359" spans="1:7" x14ac:dyDescent="0.45">
      <c r="A359" t="s">
        <v>5206</v>
      </c>
      <c r="B359">
        <f>COUNTIF(PriceList!$M$4:$M$2641,A359)</f>
        <v>1</v>
      </c>
      <c r="C359" t="str">
        <f>IF(B359=1,"1:1","1:Many")</f>
        <v>1:1</v>
      </c>
      <c r="D359" s="42" t="str" cm="1">
        <f t="array" ref="D359">_xlfn.TEXTJOIN(" | ",TRUE,_xlfn._xlws.FILTER(PriceList!$B$4:$B$2641,PriceList!$M$4:$M$2641=A359,""))</f>
        <v>ORV8 304.14-5.33</v>
      </c>
      <c r="E359" t="str" cm="1">
        <f t="array" ref="E359">_xlfn.TEXTJOIN(", ",TRUE,_xlfn._xlws.FILTER(ROW(PriceList!$B$4:$B$2641),PriceList!$M$4:$M$2641=A359,""))</f>
        <v>2143</v>
      </c>
      <c r="F359" s="42" t="str" cm="1">
        <f t="array" ref="F359">_xlfn.TEXTJOIN(" | ",TRUE,_xlfn.UNIQUE(_xlfn._xlws.FILTER(PriceList!$Q$4:$Q$2641&amp;" x "&amp;PriceList!$R$4:$R$2641&amp;" x "&amp;PriceList!$S$4:$S$2641,PriceList!$M$4:$M$2641=A359,"")))</f>
        <v>304.038 x 314.706 x 5.334</v>
      </c>
      <c r="G359" t="str" cm="1">
        <f t="array" ref="G359">INDEX(_xlfn._xlws.FILTER(PriceList!$P$4:$P$2641,PriceList!$M$4:$M$2641=A359,""),1)</f>
        <v>O Ring - FPM/FKM/VitonÂ®</v>
      </c>
    </row>
    <row r="360" spans="1:7" x14ac:dyDescent="0.45">
      <c r="A360" t="s">
        <v>4324</v>
      </c>
      <c r="B360">
        <f>COUNTIF(PriceList!$M$4:$M$2641,A360)</f>
        <v>2</v>
      </c>
      <c r="C360" t="str">
        <f>IF(B360=1,"1:1","1:Many")</f>
        <v>1:Many</v>
      </c>
      <c r="D360" s="42" t="str" cm="1">
        <f t="array" ref="D360">_xlfn.TEXTJOIN(" | ",TRUE,_xlfn._xlws.FILTER(PriceList!$B$4:$B$2641,PriceList!$M$4:$M$2641=A360,""))</f>
        <v>OR7N 329.57-5.33 | OR9N 329.57-5.33</v>
      </c>
      <c r="E360" t="str" cm="1">
        <f t="array" ref="E360">_xlfn.TEXTJOIN(", ",TRUE,_xlfn._xlws.FILTER(ROW(PriceList!$B$4:$B$2641),PriceList!$M$4:$M$2641=A360,""))</f>
        <v>904, 1523</v>
      </c>
      <c r="F360" s="42" t="str" cm="1">
        <f t="array" ref="F360">_xlfn.TEXTJOIN(" | ",TRUE,_xlfn.UNIQUE(_xlfn._xlws.FILTER(PriceList!$Q$4:$Q$2641&amp;" x "&amp;PriceList!$R$4:$R$2641&amp;" x "&amp;PriceList!$S$4:$S$2641,PriceList!$M$4:$M$2641=A360,"")))</f>
        <v>329.438 x 340.106 x 5.334</v>
      </c>
      <c r="G360" t="str" cm="1">
        <f t="array" ref="G360">INDEX(_xlfn._xlws.FILTER(PriceList!$P$4:$P$2641,PriceList!$M$4:$M$2641=A360,""),1)</f>
        <v>O Ring - NBR 70</v>
      </c>
    </row>
    <row r="361" spans="1:7" x14ac:dyDescent="0.45">
      <c r="A361" t="s">
        <v>4327</v>
      </c>
      <c r="B361">
        <f>COUNTIF(PriceList!$M$4:$M$2641,A361)</f>
        <v>2</v>
      </c>
      <c r="C361" t="str">
        <f>IF(B361=1,"1:1","1:Many")</f>
        <v>1:Many</v>
      </c>
      <c r="D361" s="42" t="str" cm="1">
        <f t="array" ref="D361">_xlfn.TEXTJOIN(" | ",TRUE,_xlfn._xlws.FILTER(PriceList!$B$4:$B$2641,PriceList!$M$4:$M$2641=A361,""))</f>
        <v>OR7N 354.97-5.33 | OR9N 354.97-5.33</v>
      </c>
      <c r="E361" t="str" cm="1">
        <f t="array" ref="E361">_xlfn.TEXTJOIN(", ",TRUE,_xlfn._xlws.FILTER(ROW(PriceList!$B$4:$B$2641),PriceList!$M$4:$M$2641=A361,""))</f>
        <v>907, 1528</v>
      </c>
      <c r="F361" s="42" t="str" cm="1">
        <f t="array" ref="F361">_xlfn.TEXTJOIN(" | ",TRUE,_xlfn.UNIQUE(_xlfn._xlws.FILTER(PriceList!$Q$4:$Q$2641&amp;" x "&amp;PriceList!$R$4:$R$2641&amp;" x "&amp;PriceList!$S$4:$S$2641,PriceList!$M$4:$M$2641=A361,"")))</f>
        <v>354.838 x 365.506 x 5.334</v>
      </c>
      <c r="G361" t="str" cm="1">
        <f t="array" ref="G361">INDEX(_xlfn._xlws.FILTER(PriceList!$P$4:$P$2641,PriceList!$M$4:$M$2641=A361,""),1)</f>
        <v>O Ring - NBR 70</v>
      </c>
    </row>
    <row r="362" spans="1:7" x14ac:dyDescent="0.45">
      <c r="A362" t="s">
        <v>5211</v>
      </c>
      <c r="B362">
        <f>COUNTIF(PriceList!$M$4:$M$2641,A362)</f>
        <v>2</v>
      </c>
      <c r="C362" t="str">
        <f>IF(B362=1,"1:1","1:Many")</f>
        <v>1:Many</v>
      </c>
      <c r="D362" s="42" t="str" cm="1">
        <f t="array" ref="D362">_xlfn.TEXTJOIN(" | ",TRUE,_xlfn._xlws.FILTER(PriceList!$B$4:$B$2641,PriceList!$M$4:$M$2641=A362,""))</f>
        <v>ORV8 354.2-5.7 | ORV8 354.97-5.33</v>
      </c>
      <c r="E362" t="str" cm="1">
        <f t="array" ref="E362">_xlfn.TEXTJOIN(", ",TRUE,_xlfn._xlws.FILTER(ROW(PriceList!$B$4:$B$2641),PriceList!$M$4:$M$2641=A362,""))</f>
        <v>2147, 2149</v>
      </c>
      <c r="F362" s="42" t="str" cm="1">
        <f t="array" ref="F362">_xlfn.TEXTJOIN(" | ",TRUE,_xlfn.UNIQUE(_xlfn._xlws.FILTER(PriceList!$Q$4:$Q$2641&amp;" x "&amp;PriceList!$R$4:$R$2641&amp;" x "&amp;PriceList!$S$4:$S$2641,PriceList!$M$4:$M$2641=A362,"")))</f>
        <v>354.838 x 365.506 x 5.334</v>
      </c>
      <c r="G362" t="str" cm="1">
        <f t="array" ref="G362">INDEX(_xlfn._xlws.FILTER(PriceList!$P$4:$P$2641,PriceList!$M$4:$M$2641=A362,""),1)</f>
        <v>O Ring - FPM/FKM/VitonÂ®</v>
      </c>
    </row>
    <row r="363" spans="1:7" x14ac:dyDescent="0.45">
      <c r="A363" t="s">
        <v>4594</v>
      </c>
      <c r="B363">
        <f>COUNTIF(PriceList!$M$4:$M$2641,A363)</f>
        <v>1</v>
      </c>
      <c r="C363" t="str">
        <f>IF(B363=1,"1:1","1:Many")</f>
        <v>1:1</v>
      </c>
      <c r="D363" s="42" t="str" cm="1">
        <f t="array" ref="D363">_xlfn.TEXTJOIN(" | ",TRUE,_xlfn._xlws.FILTER(PriceList!$B$4:$B$2641,PriceList!$M$4:$M$2641=A363,""))</f>
        <v>OR9N 454-6.99</v>
      </c>
      <c r="E363" t="str" cm="1">
        <f t="array" ref="E363">_xlfn.TEXTJOIN(", ",TRUE,_xlfn._xlws.FILTER(ROW(PriceList!$B$4:$B$2641),PriceList!$M$4:$M$2641=A363,""))</f>
        <v>1537</v>
      </c>
      <c r="F363" s="42" t="str" cm="1">
        <f t="array" ref="F363">_xlfn.TEXTJOIN(" | ",TRUE,_xlfn.UNIQUE(_xlfn._xlws.FILTER(PriceList!$Q$4:$Q$2641&amp;" x "&amp;PriceList!$R$4:$R$2641&amp;" x "&amp;PriceList!$S$4:$S$2641,PriceList!$M$4:$M$2641=A363,"")))</f>
        <v>455.93 x 466.852 x 5.334</v>
      </c>
      <c r="G363" t="str" cm="1">
        <f t="array" ref="G363">INDEX(_xlfn._xlws.FILTER(PriceList!$P$4:$P$2641,PriceList!$M$4:$M$2641=A363,""),1)</f>
        <v>O Ring - NBR 70</v>
      </c>
    </row>
    <row r="364" spans="1:7" x14ac:dyDescent="0.45">
      <c r="A364" t="s">
        <v>4198</v>
      </c>
      <c r="B364">
        <f>COUNTIF(PriceList!$M$4:$M$2641,A364)</f>
        <v>2</v>
      </c>
      <c r="C364" t="str">
        <f>IF(B364=1,"1:1","1:Many")</f>
        <v>1:Many</v>
      </c>
      <c r="D364" s="42" t="str" cm="1">
        <f t="array" ref="D364">_xlfn.TEXTJOIN(" | ",TRUE,_xlfn._xlws.FILTER(PriceList!$B$4:$B$2641,PriceList!$M$4:$M$2641=A364,""))</f>
        <v>OR7N 113.67-6.99 | OR9N 113.67-6.99</v>
      </c>
      <c r="E364" t="str" cm="1">
        <f t="array" ref="E364">_xlfn.TEXTJOIN(", ",TRUE,_xlfn._xlws.FILTER(ROW(PriceList!$B$4:$B$2641),PriceList!$M$4:$M$2641=A364,""))</f>
        <v>782, 1337</v>
      </c>
      <c r="F364" s="42" t="str" cm="1">
        <f t="array" ref="F364">_xlfn.TEXTJOIN(" | ",TRUE,_xlfn.UNIQUE(_xlfn._xlws.FILTER(PriceList!$Q$4:$Q$2641&amp;" x "&amp;PriceList!$R$4:$R$2641&amp;" x "&amp;PriceList!$S$4:$S$2641,PriceList!$M$4:$M$2641=A364,"")))</f>
        <v>113.538 x 127.762 x 7.112</v>
      </c>
      <c r="G364" t="str" cm="1">
        <f t="array" ref="G364">INDEX(_xlfn._xlws.FILTER(PriceList!$P$4:$P$2641,PriceList!$M$4:$M$2641=A364,""),1)</f>
        <v>O Ring - NBR 70</v>
      </c>
    </row>
    <row r="365" spans="1:7" x14ac:dyDescent="0.45">
      <c r="A365" t="s">
        <v>5040</v>
      </c>
      <c r="B365">
        <f>COUNTIF(PriceList!$M$4:$M$2641,A365)</f>
        <v>1</v>
      </c>
      <c r="C365" t="str">
        <f>IF(B365=1,"1:1","1:Many")</f>
        <v>1:1</v>
      </c>
      <c r="D365" s="42" t="str" cm="1">
        <f t="array" ref="D365">_xlfn.TEXTJOIN(" | ",TRUE,_xlfn._xlws.FILTER(PriceList!$B$4:$B$2641,PriceList!$M$4:$M$2641=A365,""))</f>
        <v>ORV8 113.67-6.99</v>
      </c>
      <c r="E365" t="str" cm="1">
        <f t="array" ref="E365">_xlfn.TEXTJOIN(", ",TRUE,_xlfn._xlws.FILTER(ROW(PriceList!$B$4:$B$2641),PriceList!$M$4:$M$2641=A365,""))</f>
        <v>1986</v>
      </c>
      <c r="F365" s="42" t="str" cm="1">
        <f t="array" ref="F365">_xlfn.TEXTJOIN(" | ",TRUE,_xlfn.UNIQUE(_xlfn._xlws.FILTER(PriceList!$Q$4:$Q$2641&amp;" x "&amp;PriceList!$R$4:$R$2641&amp;" x "&amp;PriceList!$S$4:$S$2641,PriceList!$M$4:$M$2641=A365,"")))</f>
        <v>113.538 x 127.762 x 7.112</v>
      </c>
      <c r="G365" t="str" cm="1">
        <f t="array" ref="G365">INDEX(_xlfn._xlws.FILTER(PriceList!$P$4:$P$2641,PriceList!$M$4:$M$2641=A365,""),1)</f>
        <v>O Ring - FPM/FKM/VitonÂ®</v>
      </c>
    </row>
    <row r="366" spans="1:7" x14ac:dyDescent="0.45">
      <c r="A366" t="s">
        <v>4206</v>
      </c>
      <c r="B366">
        <f>COUNTIF(PriceList!$M$4:$M$2641,A366)</f>
        <v>2</v>
      </c>
      <c r="C366" t="str">
        <f>IF(B366=1,"1:1","1:Many")</f>
        <v>1:Many</v>
      </c>
      <c r="D366" s="42" t="str" cm="1">
        <f t="array" ref="D366">_xlfn.TEXTJOIN(" | ",TRUE,_xlfn._xlws.FILTER(PriceList!$B$4:$B$2641,PriceList!$M$4:$M$2641=A366,""))</f>
        <v>OR7N 116.84-6.99 | OR9N 116.84-6.99</v>
      </c>
      <c r="E366" t="str" cm="1">
        <f t="array" ref="E366">_xlfn.TEXTJOIN(", ",TRUE,_xlfn._xlws.FILTER(ROW(PriceList!$B$4:$B$2641),PriceList!$M$4:$M$2641=A366,""))</f>
        <v>789, 1346</v>
      </c>
      <c r="F366" s="42" t="str" cm="1">
        <f t="array" ref="F366">_xlfn.TEXTJOIN(" | ",TRUE,_xlfn.UNIQUE(_xlfn._xlws.FILTER(PriceList!$Q$4:$Q$2641&amp;" x "&amp;PriceList!$R$4:$R$2641&amp;" x "&amp;PriceList!$S$4:$S$2641,PriceList!$M$4:$M$2641=A366,"")))</f>
        <v>116.84 x 130.81 x 7.112</v>
      </c>
      <c r="G366" t="str" cm="1">
        <f t="array" ref="G366">INDEX(_xlfn._xlws.FILTER(PriceList!$P$4:$P$2641,PriceList!$M$4:$M$2641=A366,""),1)</f>
        <v>O Ring - NBR 70</v>
      </c>
    </row>
    <row r="367" spans="1:7" x14ac:dyDescent="0.45">
      <c r="A367" t="s">
        <v>5047</v>
      </c>
      <c r="B367">
        <f>COUNTIF(PriceList!$M$4:$M$2641,A367)</f>
        <v>1</v>
      </c>
      <c r="C367" t="str">
        <f>IF(B367=1,"1:1","1:Many")</f>
        <v>1:1</v>
      </c>
      <c r="D367" s="42" t="str" cm="1">
        <f t="array" ref="D367">_xlfn.TEXTJOIN(" | ",TRUE,_xlfn._xlws.FILTER(PriceList!$B$4:$B$2641,PriceList!$M$4:$M$2641=A367,""))</f>
        <v>ORV8 116.84-6.99</v>
      </c>
      <c r="E367" t="str" cm="1">
        <f t="array" ref="E367">_xlfn.TEXTJOIN(", ",TRUE,_xlfn._xlws.FILTER(ROW(PriceList!$B$4:$B$2641),PriceList!$M$4:$M$2641=A367,""))</f>
        <v>1993</v>
      </c>
      <c r="F367" s="42" t="str" cm="1">
        <f t="array" ref="F367">_xlfn.TEXTJOIN(" | ",TRUE,_xlfn.UNIQUE(_xlfn._xlws.FILTER(PriceList!$Q$4:$Q$2641&amp;" x "&amp;PriceList!$R$4:$R$2641&amp;" x "&amp;PriceList!$S$4:$S$2641,PriceList!$M$4:$M$2641=A367,"")))</f>
        <v>116.84 x 130.81 x 7.112</v>
      </c>
      <c r="G367" t="str" cm="1">
        <f t="array" ref="G367">INDEX(_xlfn._xlws.FILTER(PriceList!$P$4:$P$2641,PriceList!$M$4:$M$2641=A367,""),1)</f>
        <v>O Ring - FPM/FKM/VitonÂ®</v>
      </c>
    </row>
    <row r="368" spans="1:7" x14ac:dyDescent="0.45">
      <c r="A368" t="s">
        <v>4211</v>
      </c>
      <c r="B368">
        <f>COUNTIF(PriceList!$M$4:$M$2641,A368)</f>
        <v>2</v>
      </c>
      <c r="C368" t="str">
        <f>IF(B368=1,"1:1","1:Many")</f>
        <v>1:Many</v>
      </c>
      <c r="D368" s="42" t="str" cm="1">
        <f t="array" ref="D368">_xlfn.TEXTJOIN(" | ",TRUE,_xlfn._xlws.FILTER(PriceList!$B$4:$B$2641,PriceList!$M$4:$M$2641=A368,""))</f>
        <v>OR7N 120.02-6.99 | OR9N 120.02-6.99</v>
      </c>
      <c r="E368" t="str" cm="1">
        <f t="array" ref="E368">_xlfn.TEXTJOIN(", ",TRUE,_xlfn._xlws.FILTER(ROW(PriceList!$B$4:$B$2641),PriceList!$M$4:$M$2641=A368,""))</f>
        <v>794, 1352</v>
      </c>
      <c r="F368" s="42" t="str" cm="1">
        <f t="array" ref="F368">_xlfn.TEXTJOIN(" | ",TRUE,_xlfn.UNIQUE(_xlfn._xlws.FILTER(PriceList!$Q$4:$Q$2641&amp;" x "&amp;PriceList!$R$4:$R$2641&amp;" x "&amp;PriceList!$S$4:$S$2641,PriceList!$M$4:$M$2641=A368,"")))</f>
        <v>119.888 x 134.112 x 7.112</v>
      </c>
      <c r="G368" t="str" cm="1">
        <f t="array" ref="G368">INDEX(_xlfn._xlws.FILTER(PriceList!$P$4:$P$2641,PriceList!$M$4:$M$2641=A368,""),1)</f>
        <v>O Ring - NBR 70</v>
      </c>
    </row>
    <row r="369" spans="1:7" x14ac:dyDescent="0.45">
      <c r="A369" t="s">
        <v>4216</v>
      </c>
      <c r="B369">
        <f>COUNTIF(PriceList!$M$4:$M$2641,A369)</f>
        <v>2</v>
      </c>
      <c r="C369" t="str">
        <f>IF(B369=1,"1:1","1:Many")</f>
        <v>1:Many</v>
      </c>
      <c r="D369" s="42" t="str" cm="1">
        <f t="array" ref="D369">_xlfn.TEXTJOIN(" | ",TRUE,_xlfn._xlws.FILTER(PriceList!$B$4:$B$2641,PriceList!$M$4:$M$2641=A369,""))</f>
        <v>OR7N 123.19-6.99 | OR9N 123.19-6.99</v>
      </c>
      <c r="E369" t="str" cm="1">
        <f t="array" ref="E369">_xlfn.TEXTJOIN(", ",TRUE,_xlfn._xlws.FILTER(ROW(PriceList!$B$4:$B$2641),PriceList!$M$4:$M$2641=A369,""))</f>
        <v>799, 1359</v>
      </c>
      <c r="F369" s="42" t="str" cm="1">
        <f t="array" ref="F369">_xlfn.TEXTJOIN(" | ",TRUE,_xlfn.UNIQUE(_xlfn._xlws.FILTER(PriceList!$Q$4:$Q$2641&amp;" x "&amp;PriceList!$R$4:$R$2641&amp;" x "&amp;PriceList!$S$4:$S$2641,PriceList!$M$4:$M$2641=A369,"")))</f>
        <v>123.19 x 137.16 x 7.112</v>
      </c>
      <c r="G369" t="str" cm="1">
        <f t="array" ref="G369">INDEX(_xlfn._xlws.FILTER(PriceList!$P$4:$P$2641,PriceList!$M$4:$M$2641=A369,""),1)</f>
        <v>O Ring - NBR 70</v>
      </c>
    </row>
    <row r="370" spans="1:7" x14ac:dyDescent="0.45">
      <c r="A370" t="s">
        <v>4220</v>
      </c>
      <c r="B370">
        <f>COUNTIF(PriceList!$M$4:$M$2641,A370)</f>
        <v>2</v>
      </c>
      <c r="C370" t="str">
        <f>IF(B370=1,"1:1","1:Many")</f>
        <v>1:Many</v>
      </c>
      <c r="D370" s="42" t="str" cm="1">
        <f t="array" ref="D370">_xlfn.TEXTJOIN(" | ",TRUE,_xlfn._xlws.FILTER(PriceList!$B$4:$B$2641,PriceList!$M$4:$M$2641=A370,""))</f>
        <v>OR7N 126.37-6.99 | OR9N 126.37-6.99</v>
      </c>
      <c r="E370" t="str" cm="1">
        <f t="array" ref="E370">_xlfn.TEXTJOIN(", ",TRUE,_xlfn._xlws.FILTER(ROW(PriceList!$B$4:$B$2641),PriceList!$M$4:$M$2641=A370,""))</f>
        <v>803, 1365</v>
      </c>
      <c r="F370" s="42" t="str" cm="1">
        <f t="array" ref="F370">_xlfn.TEXTJOIN(" | ",TRUE,_xlfn.UNIQUE(_xlfn._xlws.FILTER(PriceList!$Q$4:$Q$2641&amp;" x "&amp;PriceList!$R$4:$R$2641&amp;" x "&amp;PriceList!$S$4:$S$2641,PriceList!$M$4:$M$2641=A370,"")))</f>
        <v>126.238 x 140.462 x 7.112</v>
      </c>
      <c r="G370" t="str" cm="1">
        <f t="array" ref="G370">INDEX(_xlfn._xlws.FILTER(PriceList!$P$4:$P$2641,PriceList!$M$4:$M$2641=A370,""),1)</f>
        <v>O Ring - NBR 70</v>
      </c>
    </row>
    <row r="371" spans="1:7" x14ac:dyDescent="0.45">
      <c r="A371" t="s">
        <v>5062</v>
      </c>
      <c r="B371">
        <f>COUNTIF(PriceList!$M$4:$M$2641,A371)</f>
        <v>1</v>
      </c>
      <c r="C371" t="str">
        <f>IF(B371=1,"1:1","1:Many")</f>
        <v>1:1</v>
      </c>
      <c r="D371" s="42" t="str" cm="1">
        <f t="array" ref="D371">_xlfn.TEXTJOIN(" | ",TRUE,_xlfn._xlws.FILTER(PriceList!$B$4:$B$2641,PriceList!$M$4:$M$2641=A371,""))</f>
        <v>ORV8 126.35-6.99</v>
      </c>
      <c r="E371" t="str" cm="1">
        <f t="array" ref="E371">_xlfn.TEXTJOIN(", ",TRUE,_xlfn._xlws.FILTER(ROW(PriceList!$B$4:$B$2641),PriceList!$M$4:$M$2641=A371,""))</f>
        <v>2009</v>
      </c>
      <c r="F371" s="42" t="str" cm="1">
        <f t="array" ref="F371">_xlfn.TEXTJOIN(" | ",TRUE,_xlfn.UNIQUE(_xlfn._xlws.FILTER(PriceList!$Q$4:$Q$2641&amp;" x "&amp;PriceList!$R$4:$R$2641&amp;" x "&amp;PriceList!$S$4:$S$2641,PriceList!$M$4:$M$2641=A371,"")))</f>
        <v>126.238 x 140.462 x 7.112</v>
      </c>
      <c r="G371" t="str" cm="1">
        <f t="array" ref="G371">INDEX(_xlfn._xlws.FILTER(PriceList!$P$4:$P$2641,PriceList!$M$4:$M$2641=A371,""),1)</f>
        <v>O Ring - FPM/FKM/VitonÂ®</v>
      </c>
    </row>
    <row r="372" spans="1:7" x14ac:dyDescent="0.45">
      <c r="A372" t="s">
        <v>4225</v>
      </c>
      <c r="B372">
        <f>COUNTIF(PriceList!$M$4:$M$2641,A372)</f>
        <v>2</v>
      </c>
      <c r="C372" t="str">
        <f>IF(B372=1,"1:1","1:Many")</f>
        <v>1:Many</v>
      </c>
      <c r="D372" s="42" t="str" cm="1">
        <f t="array" ref="D372">_xlfn.TEXTJOIN(" | ",TRUE,_xlfn._xlws.FILTER(PriceList!$B$4:$B$2641,PriceList!$M$4:$M$2641=A372,""))</f>
        <v>OR7N 129.54-6.99 | OR9N 129.54-6.99</v>
      </c>
      <c r="E372" t="str" cm="1">
        <f t="array" ref="E372">_xlfn.TEXTJOIN(", ",TRUE,_xlfn._xlws.FILTER(ROW(PriceList!$B$4:$B$2641),PriceList!$M$4:$M$2641=A372,""))</f>
        <v>808, 1372</v>
      </c>
      <c r="F372" s="42" t="str" cm="1">
        <f t="array" ref="F372">_xlfn.TEXTJOIN(" | ",TRUE,_xlfn.UNIQUE(_xlfn._xlws.FILTER(PriceList!$Q$4:$Q$2641&amp;" x "&amp;PriceList!$R$4:$R$2641&amp;" x "&amp;PriceList!$S$4:$S$2641,PriceList!$M$4:$M$2641=A372,"")))</f>
        <v>129.54 x 143.51 x 7.112</v>
      </c>
      <c r="G372" t="str" cm="1">
        <f t="array" ref="G372">INDEX(_xlfn._xlws.FILTER(PriceList!$P$4:$P$2641,PriceList!$M$4:$M$2641=A372,""),1)</f>
        <v>O Ring - NBR 70</v>
      </c>
    </row>
    <row r="373" spans="1:7" x14ac:dyDescent="0.45">
      <c r="A373" t="s">
        <v>5070</v>
      </c>
      <c r="B373">
        <f>COUNTIF(PriceList!$M$4:$M$2641,A373)</f>
        <v>1</v>
      </c>
      <c r="C373" t="str">
        <f>IF(B373=1,"1:1","1:Many")</f>
        <v>1:1</v>
      </c>
      <c r="D373" s="42" t="str" cm="1">
        <f t="array" ref="D373">_xlfn.TEXTJOIN(" | ",TRUE,_xlfn._xlws.FILTER(PriceList!$B$4:$B$2641,PriceList!$M$4:$M$2641=A373,""))</f>
        <v>ORV8 129.54-6.99</v>
      </c>
      <c r="E373" t="str" cm="1">
        <f t="array" ref="E373">_xlfn.TEXTJOIN(", ",TRUE,_xlfn._xlws.FILTER(ROW(PriceList!$B$4:$B$2641),PriceList!$M$4:$M$2641=A373,""))</f>
        <v>2016</v>
      </c>
      <c r="F373" s="42" t="str" cm="1">
        <f t="array" ref="F373">_xlfn.TEXTJOIN(" | ",TRUE,_xlfn.UNIQUE(_xlfn._xlws.FILTER(PriceList!$Q$4:$Q$2641&amp;" x "&amp;PriceList!$R$4:$R$2641&amp;" x "&amp;PriceList!$S$4:$S$2641,PriceList!$M$4:$M$2641=A373,"")))</f>
        <v>129.54 x 143.51 x 7.112</v>
      </c>
      <c r="G373" t="str" cm="1">
        <f t="array" ref="G373">INDEX(_xlfn._xlws.FILTER(PriceList!$P$4:$P$2641,PriceList!$M$4:$M$2641=A373,""),1)</f>
        <v>O Ring - FPM/FKM/VitonÂ®</v>
      </c>
    </row>
    <row r="374" spans="1:7" x14ac:dyDescent="0.45">
      <c r="A374" t="s">
        <v>4230</v>
      </c>
      <c r="B374">
        <f>COUNTIF(PriceList!$M$4:$M$2641,A374)</f>
        <v>2</v>
      </c>
      <c r="C374" t="str">
        <f>IF(B374=1,"1:1","1:Many")</f>
        <v>1:Many</v>
      </c>
      <c r="D374" s="42" t="str" cm="1">
        <f t="array" ref="D374">_xlfn.TEXTJOIN(" | ",TRUE,_xlfn._xlws.FILTER(PriceList!$B$4:$B$2641,PriceList!$M$4:$M$2641=A374,""))</f>
        <v>OR7N 132.72-6.99 | OR9N 132.72-6.99</v>
      </c>
      <c r="E374" t="str" cm="1">
        <f t="array" ref="E374">_xlfn.TEXTJOIN(", ",TRUE,_xlfn._xlws.FILTER(ROW(PriceList!$B$4:$B$2641),PriceList!$M$4:$M$2641=A374,""))</f>
        <v>812, 1376</v>
      </c>
      <c r="F374" s="42" t="str" cm="1">
        <f t="array" ref="F374">_xlfn.TEXTJOIN(" | ",TRUE,_xlfn.UNIQUE(_xlfn._xlws.FILTER(PriceList!$Q$4:$Q$2641&amp;" x "&amp;PriceList!$R$4:$R$2641&amp;" x "&amp;PriceList!$S$4:$S$2641,PriceList!$M$4:$M$2641=A374,"")))</f>
        <v>132.588 x 146.812 x 7.112</v>
      </c>
      <c r="G374" t="str" cm="1">
        <f t="array" ref="G374">INDEX(_xlfn._xlws.FILTER(PriceList!$P$4:$P$2641,PriceList!$M$4:$M$2641=A374,""),1)</f>
        <v>O Ring - NBR 70</v>
      </c>
    </row>
    <row r="375" spans="1:7" x14ac:dyDescent="0.45">
      <c r="A375" t="s">
        <v>4236</v>
      </c>
      <c r="B375">
        <f>COUNTIF(PriceList!$M$4:$M$2641,A375)</f>
        <v>2</v>
      </c>
      <c r="C375" t="str">
        <f>IF(B375=1,"1:1","1:Many")</f>
        <v>1:Many</v>
      </c>
      <c r="D375" s="42" t="str" cm="1">
        <f t="array" ref="D375">_xlfn.TEXTJOIN(" | ",TRUE,_xlfn._xlws.FILTER(PriceList!$B$4:$B$2641,PriceList!$M$4:$M$2641=A375,""))</f>
        <v>OR7N 135.89-6.99 | OR9N 135.89-6.99</v>
      </c>
      <c r="E375" t="str" cm="1">
        <f t="array" ref="E375">_xlfn.TEXTJOIN(", ",TRUE,_xlfn._xlws.FILTER(ROW(PriceList!$B$4:$B$2641),PriceList!$M$4:$M$2641=A375,""))</f>
        <v>818, 1382</v>
      </c>
      <c r="F375" s="42" t="str" cm="1">
        <f t="array" ref="F375">_xlfn.TEXTJOIN(" | ",TRUE,_xlfn.UNIQUE(_xlfn._xlws.FILTER(PriceList!$Q$4:$Q$2641&amp;" x "&amp;PriceList!$R$4:$R$2641&amp;" x "&amp;PriceList!$S$4:$S$2641,PriceList!$M$4:$M$2641=A375,"")))</f>
        <v>135.89 x 149.86 x 7.112</v>
      </c>
      <c r="G375" t="str" cm="1">
        <f t="array" ref="G375">INDEX(_xlfn._xlws.FILTER(PriceList!$P$4:$P$2641,PriceList!$M$4:$M$2641=A375,""),1)</f>
        <v>O Ring - NBR 70</v>
      </c>
    </row>
    <row r="376" spans="1:7" x14ac:dyDescent="0.45">
      <c r="A376" t="s">
        <v>5081</v>
      </c>
      <c r="B376">
        <f>COUNTIF(PriceList!$M$4:$M$2641,A376)</f>
        <v>1</v>
      </c>
      <c r="C376" t="str">
        <f>IF(B376=1,"1:1","1:Many")</f>
        <v>1:1</v>
      </c>
      <c r="D376" s="42" t="str" cm="1">
        <f t="array" ref="D376">_xlfn.TEXTJOIN(" | ",TRUE,_xlfn._xlws.FILTER(PriceList!$B$4:$B$2641,PriceList!$M$4:$M$2641=A376,""))</f>
        <v>ORV8 135.89-6.99</v>
      </c>
      <c r="E376" t="str" cm="1">
        <f t="array" ref="E376">_xlfn.TEXTJOIN(", ",TRUE,_xlfn._xlws.FILTER(ROW(PriceList!$B$4:$B$2641),PriceList!$M$4:$M$2641=A376,""))</f>
        <v>2027</v>
      </c>
      <c r="F376" s="42" t="str" cm="1">
        <f t="array" ref="F376">_xlfn.TEXTJOIN(" | ",TRUE,_xlfn.UNIQUE(_xlfn._xlws.FILTER(PriceList!$Q$4:$Q$2641&amp;" x "&amp;PriceList!$R$4:$R$2641&amp;" x "&amp;PriceList!$S$4:$S$2641,PriceList!$M$4:$M$2641=A376,"")))</f>
        <v>135.89 x 149.86 x 7.112</v>
      </c>
      <c r="G376" t="str" cm="1">
        <f t="array" ref="G376">INDEX(_xlfn._xlws.FILTER(PriceList!$P$4:$P$2641,PriceList!$M$4:$M$2641=A376,""),1)</f>
        <v>O Ring - FPM/FKM/VitonÂ®</v>
      </c>
    </row>
    <row r="377" spans="1:7" x14ac:dyDescent="0.45">
      <c r="A377" t="s">
        <v>4239</v>
      </c>
      <c r="B377">
        <f>COUNTIF(PriceList!$M$4:$M$2641,A377)</f>
        <v>2</v>
      </c>
      <c r="C377" t="str">
        <f>IF(B377=1,"1:1","1:Many")</f>
        <v>1:Many</v>
      </c>
      <c r="D377" s="42" t="str" cm="1">
        <f t="array" ref="D377">_xlfn.TEXTJOIN(" | ",TRUE,_xlfn._xlws.FILTER(PriceList!$B$4:$B$2641,PriceList!$M$4:$M$2641=A377,""))</f>
        <v>OR7N 139.07-6.99 | OR9N 139.07-6.99</v>
      </c>
      <c r="E377" t="str" cm="1">
        <f t="array" ref="E377">_xlfn.TEXTJOIN(", ",TRUE,_xlfn._xlws.FILTER(ROW(PriceList!$B$4:$B$2641),PriceList!$M$4:$M$2641=A377,""))</f>
        <v>821, 1388</v>
      </c>
      <c r="F377" s="42" t="str" cm="1">
        <f t="array" ref="F377">_xlfn.TEXTJOIN(" | ",TRUE,_xlfn.UNIQUE(_xlfn._xlws.FILTER(PriceList!$Q$4:$Q$2641&amp;" x "&amp;PriceList!$R$4:$R$2641&amp;" x "&amp;PriceList!$S$4:$S$2641,PriceList!$M$4:$M$2641=A377,"")))</f>
        <v>138.938 x 153.162 x 7.112</v>
      </c>
      <c r="G377" t="str" cm="1">
        <f t="array" ref="G377">INDEX(_xlfn._xlws.FILTER(PriceList!$P$4:$P$2641,PriceList!$M$4:$M$2641=A377,""),1)</f>
        <v>O Ring - NBR 70</v>
      </c>
    </row>
    <row r="378" spans="1:7" x14ac:dyDescent="0.45">
      <c r="A378" t="s">
        <v>5085</v>
      </c>
      <c r="B378">
        <f>COUNTIF(PriceList!$M$4:$M$2641,A378)</f>
        <v>1</v>
      </c>
      <c r="C378" t="str">
        <f>IF(B378=1,"1:1","1:Many")</f>
        <v>1:1</v>
      </c>
      <c r="D378" s="42" t="str" cm="1">
        <f t="array" ref="D378">_xlfn.TEXTJOIN(" | ",TRUE,_xlfn._xlws.FILTER(PriceList!$B$4:$B$2641,PriceList!$M$4:$M$2641=A378,""))</f>
        <v>ORV8 139.07-6.99</v>
      </c>
      <c r="E378" t="str" cm="1">
        <f t="array" ref="E378">_xlfn.TEXTJOIN(", ",TRUE,_xlfn._xlws.FILTER(ROW(PriceList!$B$4:$B$2641),PriceList!$M$4:$M$2641=A378,""))</f>
        <v>2031</v>
      </c>
      <c r="F378" s="42" t="str" cm="1">
        <f t="array" ref="F378">_xlfn.TEXTJOIN(" | ",TRUE,_xlfn.UNIQUE(_xlfn._xlws.FILTER(PriceList!$Q$4:$Q$2641&amp;" x "&amp;PriceList!$R$4:$R$2641&amp;" x "&amp;PriceList!$S$4:$S$2641,PriceList!$M$4:$M$2641=A378,"")))</f>
        <v>138.938 x 153.162 x 7.112</v>
      </c>
      <c r="G378" t="str" cm="1">
        <f t="array" ref="G378">INDEX(_xlfn._xlws.FILTER(PriceList!$P$4:$P$2641,PriceList!$M$4:$M$2641=A378,""),1)</f>
        <v>O Ring - FPM/FKM/VitonÂ®</v>
      </c>
    </row>
    <row r="379" spans="1:7" x14ac:dyDescent="0.45">
      <c r="A379" t="s">
        <v>4245</v>
      </c>
      <c r="B379">
        <f>COUNTIF(PriceList!$M$4:$M$2641,A379)</f>
        <v>2</v>
      </c>
      <c r="C379" t="str">
        <f>IF(B379=1,"1:1","1:Many")</f>
        <v>1:Many</v>
      </c>
      <c r="D379" s="42" t="str" cm="1">
        <f t="array" ref="D379">_xlfn.TEXTJOIN(" | ",TRUE,_xlfn._xlws.FILTER(PriceList!$B$4:$B$2641,PriceList!$M$4:$M$2641=A379,""))</f>
        <v>OR7N 142.24-6.99 | OR9N 142.24-6.99</v>
      </c>
      <c r="E379" t="str" cm="1">
        <f t="array" ref="E379">_xlfn.TEXTJOIN(", ",TRUE,_xlfn._xlws.FILTER(ROW(PriceList!$B$4:$B$2641),PriceList!$M$4:$M$2641=A379,""))</f>
        <v>827, 1394</v>
      </c>
      <c r="F379" s="42" t="str" cm="1">
        <f t="array" ref="F379">_xlfn.TEXTJOIN(" | ",TRUE,_xlfn.UNIQUE(_xlfn._xlws.FILTER(PriceList!$Q$4:$Q$2641&amp;" x "&amp;PriceList!$R$4:$R$2641&amp;" x "&amp;PriceList!$S$4:$S$2641,PriceList!$M$4:$M$2641=A379,"")))</f>
        <v>142.24 x 156.21 x 7.112</v>
      </c>
      <c r="G379" t="str" cm="1">
        <f t="array" ref="G379">INDEX(_xlfn._xlws.FILTER(PriceList!$P$4:$P$2641,PriceList!$M$4:$M$2641=A379,""),1)</f>
        <v>O Ring - NBR 70</v>
      </c>
    </row>
    <row r="380" spans="1:7" x14ac:dyDescent="0.45">
      <c r="A380" t="s">
        <v>4249</v>
      </c>
      <c r="B380">
        <f>COUNTIF(PriceList!$M$4:$M$2641,A380)</f>
        <v>2</v>
      </c>
      <c r="C380" t="str">
        <f>IF(B380=1,"1:1","1:Many")</f>
        <v>1:Many</v>
      </c>
      <c r="D380" s="42" t="str" cm="1">
        <f t="array" ref="D380">_xlfn.TEXTJOIN(" | ",TRUE,_xlfn._xlws.FILTER(PriceList!$B$4:$B$2641,PriceList!$M$4:$M$2641=A380,""))</f>
        <v>OR7N 145.42-6.99 | OR9N 145.42-6.99</v>
      </c>
      <c r="E380" t="str" cm="1">
        <f t="array" ref="E380">_xlfn.TEXTJOIN(", ",TRUE,_xlfn._xlws.FILTER(ROW(PriceList!$B$4:$B$2641),PriceList!$M$4:$M$2641=A380,""))</f>
        <v>831, 1399</v>
      </c>
      <c r="F380" s="42" t="str" cm="1">
        <f t="array" ref="F380">_xlfn.TEXTJOIN(" | ",TRUE,_xlfn.UNIQUE(_xlfn._xlws.FILTER(PriceList!$Q$4:$Q$2641&amp;" x "&amp;PriceList!$R$4:$R$2641&amp;" x "&amp;PriceList!$S$4:$S$2641,PriceList!$M$4:$M$2641=A380,"")))</f>
        <v>145.288 x 159.512 x 7.112</v>
      </c>
      <c r="G380" t="str" cm="1">
        <f t="array" ref="G380">INDEX(_xlfn._xlws.FILTER(PriceList!$P$4:$P$2641,PriceList!$M$4:$M$2641=A380,""),1)</f>
        <v>O Ring - EPDM</v>
      </c>
    </row>
    <row r="381" spans="1:7" x14ac:dyDescent="0.45">
      <c r="A381" t="s">
        <v>5097</v>
      </c>
      <c r="B381">
        <f>COUNTIF(PriceList!$M$4:$M$2641,A381)</f>
        <v>1</v>
      </c>
      <c r="C381" t="str">
        <f>IF(B381=1,"1:1","1:Many")</f>
        <v>1:1</v>
      </c>
      <c r="D381" s="42" t="str" cm="1">
        <f t="array" ref="D381">_xlfn.TEXTJOIN(" | ",TRUE,_xlfn._xlws.FILTER(PriceList!$B$4:$B$2641,PriceList!$M$4:$M$2641=A381,""))</f>
        <v>ORV8 145.42-6.99</v>
      </c>
      <c r="E381" t="str" cm="1">
        <f t="array" ref="E381">_xlfn.TEXTJOIN(", ",TRUE,_xlfn._xlws.FILTER(ROW(PriceList!$B$4:$B$2641),PriceList!$M$4:$M$2641=A381,""))</f>
        <v>2041</v>
      </c>
      <c r="F381" s="42" t="str" cm="1">
        <f t="array" ref="F381">_xlfn.TEXTJOIN(" | ",TRUE,_xlfn.UNIQUE(_xlfn._xlws.FILTER(PriceList!$Q$4:$Q$2641&amp;" x "&amp;PriceList!$R$4:$R$2641&amp;" x "&amp;PriceList!$S$4:$S$2641,PriceList!$M$4:$M$2641=A381,"")))</f>
        <v>145.288 x 159.512 x 7.112</v>
      </c>
      <c r="G381" t="str" cm="1">
        <f t="array" ref="G381">INDEX(_xlfn._xlws.FILTER(PriceList!$P$4:$P$2641,PriceList!$M$4:$M$2641=A381,""),1)</f>
        <v>O Ring - FPM/FKM/VitonÂ®</v>
      </c>
    </row>
    <row r="382" spans="1:7" x14ac:dyDescent="0.45">
      <c r="A382" t="s">
        <v>4252</v>
      </c>
      <c r="B382">
        <f>COUNTIF(PriceList!$M$4:$M$2641,A382)</f>
        <v>2</v>
      </c>
      <c r="C382" t="str">
        <f>IF(B382=1,"1:1","1:Many")</f>
        <v>1:Many</v>
      </c>
      <c r="D382" s="42" t="str" cm="1">
        <f t="array" ref="D382">_xlfn.TEXTJOIN(" | ",TRUE,_xlfn._xlws.FILTER(PriceList!$B$4:$B$2641,PriceList!$M$4:$M$2641=A382,""))</f>
        <v>OR7N 148.59-6.99 | OR9N 148.59-6.99</v>
      </c>
      <c r="E382" t="str" cm="1">
        <f t="array" ref="E382">_xlfn.TEXTJOIN(", ",TRUE,_xlfn._xlws.FILTER(ROW(PriceList!$B$4:$B$2641),PriceList!$M$4:$M$2641=A382,""))</f>
        <v>834, 1402</v>
      </c>
      <c r="F382" s="42" t="str" cm="1">
        <f t="array" ref="F382">_xlfn.TEXTJOIN(" | ",TRUE,_xlfn.UNIQUE(_xlfn._xlws.FILTER(PriceList!$Q$4:$Q$2641&amp;" x "&amp;PriceList!$R$4:$R$2641&amp;" x "&amp;PriceList!$S$4:$S$2641,PriceList!$M$4:$M$2641=A382,"")))</f>
        <v>148.59 x 162.56 x 7.112</v>
      </c>
      <c r="G382" t="str" cm="1">
        <f t="array" ref="G382">INDEX(_xlfn._xlws.FILTER(PriceList!$P$4:$P$2641,PriceList!$M$4:$M$2641=A382,""),1)</f>
        <v>O Ring - NBR 70</v>
      </c>
    </row>
    <row r="383" spans="1:7" x14ac:dyDescent="0.45">
      <c r="A383" t="s">
        <v>5100</v>
      </c>
      <c r="B383">
        <f>COUNTIF(PriceList!$M$4:$M$2641,A383)</f>
        <v>1</v>
      </c>
      <c r="C383" t="str">
        <f>IF(B383=1,"1:1","1:Many")</f>
        <v>1:1</v>
      </c>
      <c r="D383" s="42" t="str" cm="1">
        <f t="array" ref="D383">_xlfn.TEXTJOIN(" | ",TRUE,_xlfn._xlws.FILTER(PriceList!$B$4:$B$2641,PriceList!$M$4:$M$2641=A383,""))</f>
        <v>ORV8 148.58-6.99</v>
      </c>
      <c r="E383" t="str" cm="1">
        <f t="array" ref="E383">_xlfn.TEXTJOIN(", ",TRUE,_xlfn._xlws.FILTER(ROW(PriceList!$B$4:$B$2641),PriceList!$M$4:$M$2641=A383,""))</f>
        <v>2044</v>
      </c>
      <c r="F383" s="42" t="str" cm="1">
        <f t="array" ref="F383">_xlfn.TEXTJOIN(" | ",TRUE,_xlfn.UNIQUE(_xlfn._xlws.FILTER(PriceList!$Q$4:$Q$2641&amp;" x "&amp;PriceList!$R$4:$R$2641&amp;" x "&amp;PriceList!$S$4:$S$2641,PriceList!$M$4:$M$2641=A383,"")))</f>
        <v>148.59 x 162.56 x 7.112</v>
      </c>
      <c r="G383" t="str" cm="1">
        <f t="array" ref="G383">INDEX(_xlfn._xlws.FILTER(PriceList!$P$4:$P$2641,PriceList!$M$4:$M$2641=A383,""),1)</f>
        <v>O Ring - FPM/FKM/VitonÂ®</v>
      </c>
    </row>
    <row r="384" spans="1:7" x14ac:dyDescent="0.45">
      <c r="A384" t="s">
        <v>4256</v>
      </c>
      <c r="B384">
        <f>COUNTIF(PriceList!$M$4:$M$2641,A384)</f>
        <v>2</v>
      </c>
      <c r="C384" t="str">
        <f>IF(B384=1,"1:1","1:Many")</f>
        <v>1:Many</v>
      </c>
      <c r="D384" s="42" t="str" cm="1">
        <f t="array" ref="D384">_xlfn.TEXTJOIN(" | ",TRUE,_xlfn._xlws.FILTER(PriceList!$B$4:$B$2641,PriceList!$M$4:$M$2641=A384,""))</f>
        <v>OR7N 151.77-6.99 | OR9N 151.77-6.99</v>
      </c>
      <c r="E384" t="str" cm="1">
        <f t="array" ref="E384">_xlfn.TEXTJOIN(", ",TRUE,_xlfn._xlws.FILTER(ROW(PriceList!$B$4:$B$2641),PriceList!$M$4:$M$2641=A384,""))</f>
        <v>838, 1408</v>
      </c>
      <c r="F384" s="42" t="str" cm="1">
        <f t="array" ref="F384">_xlfn.TEXTJOIN(" | ",TRUE,_xlfn.UNIQUE(_xlfn._xlws.FILTER(PriceList!$Q$4:$Q$2641&amp;" x "&amp;PriceList!$R$4:$R$2641&amp;" x "&amp;PriceList!$S$4:$S$2641,PriceList!$M$4:$M$2641=A384,"")))</f>
        <v>151.638 x 165.862 x 7.112</v>
      </c>
      <c r="G384" t="str" cm="1">
        <f t="array" ref="G384">INDEX(_xlfn._xlws.FILTER(PriceList!$P$4:$P$2641,PriceList!$M$4:$M$2641=A384,""),1)</f>
        <v>O Ring - EPDM</v>
      </c>
    </row>
    <row r="385" spans="1:7" x14ac:dyDescent="0.45">
      <c r="A385" t="s">
        <v>5108</v>
      </c>
      <c r="B385">
        <f>COUNTIF(PriceList!$M$4:$M$2641,A385)</f>
        <v>1</v>
      </c>
      <c r="C385" t="str">
        <f>IF(B385=1,"1:1","1:Many")</f>
        <v>1:1</v>
      </c>
      <c r="D385" s="42" t="str" cm="1">
        <f t="array" ref="D385">_xlfn.TEXTJOIN(" | ",TRUE,_xlfn._xlws.FILTER(PriceList!$B$4:$B$2641,PriceList!$M$4:$M$2641=A385,""))</f>
        <v>ORV8 151.77-6.99</v>
      </c>
      <c r="E385" t="str" cm="1">
        <f t="array" ref="E385">_xlfn.TEXTJOIN(", ",TRUE,_xlfn._xlws.FILTER(ROW(PriceList!$B$4:$B$2641),PriceList!$M$4:$M$2641=A385,""))</f>
        <v>2052</v>
      </c>
      <c r="F385" s="42" t="str" cm="1">
        <f t="array" ref="F385">_xlfn.TEXTJOIN(" | ",TRUE,_xlfn.UNIQUE(_xlfn._xlws.FILTER(PriceList!$Q$4:$Q$2641&amp;" x "&amp;PriceList!$R$4:$R$2641&amp;" x "&amp;PriceList!$S$4:$S$2641,PriceList!$M$4:$M$2641=A385,"")))</f>
        <v>151.638 x 165.862 x 7.112</v>
      </c>
      <c r="G385" t="str" cm="1">
        <f t="array" ref="G385">INDEX(_xlfn._xlws.FILTER(PriceList!$P$4:$P$2641,PriceList!$M$4:$M$2641=A385,""),1)</f>
        <v>O Ring - FPM/FKM/VitonÂ®</v>
      </c>
    </row>
    <row r="386" spans="1:7" x14ac:dyDescent="0.45">
      <c r="A386" t="s">
        <v>4260</v>
      </c>
      <c r="B386">
        <f>COUNTIF(PriceList!$M$4:$M$2641,A386)</f>
        <v>2</v>
      </c>
      <c r="C386" t="str">
        <f>IF(B386=1,"1:1","1:Many")</f>
        <v>1:Many</v>
      </c>
      <c r="D386" s="42" t="str" cm="1">
        <f t="array" ref="D386">_xlfn.TEXTJOIN(" | ",TRUE,_xlfn._xlws.FILTER(PriceList!$B$4:$B$2641,PriceList!$M$4:$M$2641=A386,""))</f>
        <v>OR7N 158.12-6.99 | OR9N 158.12-6.99</v>
      </c>
      <c r="E386" t="str" cm="1">
        <f t="array" ref="E386">_xlfn.TEXTJOIN(", ",TRUE,_xlfn._xlws.FILTER(ROW(PriceList!$B$4:$B$2641),PriceList!$M$4:$M$2641=A386,""))</f>
        <v>842, 1414</v>
      </c>
      <c r="F386" s="42" t="str" cm="1">
        <f t="array" ref="F386">_xlfn.TEXTJOIN(" | ",TRUE,_xlfn.UNIQUE(_xlfn._xlws.FILTER(PriceList!$Q$4:$Q$2641&amp;" x "&amp;PriceList!$R$4:$R$2641&amp;" x "&amp;PriceList!$S$4:$S$2641,PriceList!$M$4:$M$2641=A386,"")))</f>
        <v>157.988 x 172.212 x 7.112</v>
      </c>
      <c r="G386" t="str" cm="1">
        <f t="array" ref="G386">INDEX(_xlfn._xlws.FILTER(PriceList!$P$4:$P$2641,PriceList!$M$4:$M$2641=A386,""),1)</f>
        <v>O Ring - NBR 70</v>
      </c>
    </row>
    <row r="387" spans="1:7" x14ac:dyDescent="0.45">
      <c r="A387" t="s">
        <v>5118</v>
      </c>
      <c r="B387">
        <f>COUNTIF(PriceList!$M$4:$M$2641,A387)</f>
        <v>1</v>
      </c>
      <c r="C387" t="str">
        <f>IF(B387=1,"1:1","1:Many")</f>
        <v>1:1</v>
      </c>
      <c r="D387" s="42" t="str" cm="1">
        <f t="array" ref="D387">_xlfn.TEXTJOIN(" | ",TRUE,_xlfn._xlws.FILTER(PriceList!$B$4:$B$2641,PriceList!$M$4:$M$2641=A387,""))</f>
        <v>ORV8 158.12-6.99</v>
      </c>
      <c r="E387" t="str" cm="1">
        <f t="array" ref="E387">_xlfn.TEXTJOIN(", ",TRUE,_xlfn._xlws.FILTER(ROW(PriceList!$B$4:$B$2641),PriceList!$M$4:$M$2641=A387,""))</f>
        <v>2062</v>
      </c>
      <c r="F387" s="42" t="str" cm="1">
        <f t="array" ref="F387">_xlfn.TEXTJOIN(" | ",TRUE,_xlfn.UNIQUE(_xlfn._xlws.FILTER(PriceList!$Q$4:$Q$2641&amp;" x "&amp;PriceList!$R$4:$R$2641&amp;" x "&amp;PriceList!$S$4:$S$2641,PriceList!$M$4:$M$2641=A387,"")))</f>
        <v>157.988 x 172.212 x 7.112</v>
      </c>
      <c r="G387" t="str" cm="1">
        <f t="array" ref="G387">INDEX(_xlfn._xlws.FILTER(PriceList!$P$4:$P$2641,PriceList!$M$4:$M$2641=A387,""),1)</f>
        <v>O Ring - FPM/FKM/VitonÂ®</v>
      </c>
    </row>
    <row r="388" spans="1:7" x14ac:dyDescent="0.45">
      <c r="A388" t="s">
        <v>4265</v>
      </c>
      <c r="B388">
        <f>COUNTIF(PriceList!$M$4:$M$2641,A388)</f>
        <v>2</v>
      </c>
      <c r="C388" t="str">
        <f>IF(B388=1,"1:1","1:Many")</f>
        <v>1:Many</v>
      </c>
      <c r="D388" s="42" t="str" cm="1">
        <f t="array" ref="D388">_xlfn.TEXTJOIN(" | ",TRUE,_xlfn._xlws.FILTER(PriceList!$B$4:$B$2641,PriceList!$M$4:$M$2641=A388,""))</f>
        <v>OR7N 164.47-6.99 | OR9N 164.47-6.99</v>
      </c>
      <c r="E388" t="str" cm="1">
        <f t="array" ref="E388">_xlfn.TEXTJOIN(", ",TRUE,_xlfn._xlws.FILTER(ROW(PriceList!$B$4:$B$2641),PriceList!$M$4:$M$2641=A388,""))</f>
        <v>847, 1421</v>
      </c>
      <c r="F388" s="42" t="str" cm="1">
        <f t="array" ref="F388">_xlfn.TEXTJOIN(" | ",TRUE,_xlfn.UNIQUE(_xlfn._xlws.FILTER(PriceList!$Q$4:$Q$2641&amp;" x "&amp;PriceList!$R$4:$R$2641&amp;" x "&amp;PriceList!$S$4:$S$2641,PriceList!$M$4:$M$2641=A388,"")))</f>
        <v>164.338 x 178.562 x 7.112</v>
      </c>
      <c r="G388" t="str" cm="1">
        <f t="array" ref="G388">INDEX(_xlfn._xlws.FILTER(PriceList!$P$4:$P$2641,PriceList!$M$4:$M$2641=A388,""),1)</f>
        <v>O Ring - NBR 70</v>
      </c>
    </row>
    <row r="389" spans="1:7" x14ac:dyDescent="0.45">
      <c r="A389" t="s">
        <v>5123</v>
      </c>
      <c r="B389">
        <f>COUNTIF(PriceList!$M$4:$M$2641,A389)</f>
        <v>1</v>
      </c>
      <c r="C389" t="str">
        <f>IF(B389=1,"1:1","1:Many")</f>
        <v>1:1</v>
      </c>
      <c r="D389" s="42" t="str" cm="1">
        <f t="array" ref="D389">_xlfn.TEXTJOIN(" | ",TRUE,_xlfn._xlws.FILTER(PriceList!$B$4:$B$2641,PriceList!$M$4:$M$2641=A389,""))</f>
        <v>ORV8 164.41-6.99</v>
      </c>
      <c r="E389" t="str" cm="1">
        <f t="array" ref="E389">_xlfn.TEXTJOIN(", ",TRUE,_xlfn._xlws.FILTER(ROW(PriceList!$B$4:$B$2641),PriceList!$M$4:$M$2641=A389,""))</f>
        <v>2068</v>
      </c>
      <c r="F389" s="42" t="str" cm="1">
        <f t="array" ref="F389">_xlfn.TEXTJOIN(" | ",TRUE,_xlfn.UNIQUE(_xlfn._xlws.FILTER(PriceList!$Q$4:$Q$2641&amp;" x "&amp;PriceList!$R$4:$R$2641&amp;" x "&amp;PriceList!$S$4:$S$2641,PriceList!$M$4:$M$2641=A389,"")))</f>
        <v>164.338 x 178.562 x 7.112</v>
      </c>
      <c r="G389" t="str" cm="1">
        <f t="array" ref="G389">INDEX(_xlfn._xlws.FILTER(PriceList!$P$4:$P$2641,PriceList!$M$4:$M$2641=A389,""),1)</f>
        <v>O Ring - FPM/FKM/VitonÂ®</v>
      </c>
    </row>
    <row r="390" spans="1:7" x14ac:dyDescent="0.45">
      <c r="A390" t="s">
        <v>4269</v>
      </c>
      <c r="B390">
        <f>COUNTIF(PriceList!$M$4:$M$2641,A390)</f>
        <v>2</v>
      </c>
      <c r="C390" t="str">
        <f>IF(B390=1,"1:1","1:Many")</f>
        <v>1:Many</v>
      </c>
      <c r="D390" s="42" t="str" cm="1">
        <f t="array" ref="D390">_xlfn.TEXTJOIN(" | ",TRUE,_xlfn._xlws.FILTER(PriceList!$B$4:$B$2641,PriceList!$M$4:$M$2641=A390,""))</f>
        <v>OR7N 170.82-6.99 | OR9N 170.82-6.99</v>
      </c>
      <c r="E390" t="str" cm="1">
        <f t="array" ref="E390">_xlfn.TEXTJOIN(", ",TRUE,_xlfn._xlws.FILTER(ROW(PriceList!$B$4:$B$2641),PriceList!$M$4:$M$2641=A390,""))</f>
        <v>851, 1427</v>
      </c>
      <c r="F390" s="42" t="str" cm="1">
        <f t="array" ref="F390">_xlfn.TEXTJOIN(" | ",TRUE,_xlfn.UNIQUE(_xlfn._xlws.FILTER(PriceList!$Q$4:$Q$2641&amp;" x "&amp;PriceList!$R$4:$R$2641&amp;" x "&amp;PriceList!$S$4:$S$2641,PriceList!$M$4:$M$2641=A390,"")))</f>
        <v>170.688 x 184.912 x 7.112</v>
      </c>
      <c r="G390" t="str" cm="1">
        <f t="array" ref="G390">INDEX(_xlfn._xlws.FILTER(PriceList!$P$4:$P$2641,PriceList!$M$4:$M$2641=A390,""),1)</f>
        <v>O Ring - NBR 70</v>
      </c>
    </row>
    <row r="391" spans="1:7" x14ac:dyDescent="0.45">
      <c r="A391" t="s">
        <v>5131</v>
      </c>
      <c r="B391">
        <f>COUNTIF(PriceList!$M$4:$M$2641,A391)</f>
        <v>1</v>
      </c>
      <c r="C391" t="str">
        <f>IF(B391=1,"1:1","1:Many")</f>
        <v>1:1</v>
      </c>
      <c r="D391" s="42" t="str" cm="1">
        <f t="array" ref="D391">_xlfn.TEXTJOIN(" | ",TRUE,_xlfn._xlws.FILTER(PriceList!$B$4:$B$2641,PriceList!$M$4:$M$2641=A391,""))</f>
        <v>ORV8 170.82-6.99</v>
      </c>
      <c r="E391" t="str" cm="1">
        <f t="array" ref="E391">_xlfn.TEXTJOIN(", ",TRUE,_xlfn._xlws.FILTER(ROW(PriceList!$B$4:$B$2641),PriceList!$M$4:$M$2641=A391,""))</f>
        <v>2074</v>
      </c>
      <c r="F391" s="42" t="str" cm="1">
        <f t="array" ref="F391">_xlfn.TEXTJOIN(" | ",TRUE,_xlfn.UNIQUE(_xlfn._xlws.FILTER(PriceList!$Q$4:$Q$2641&amp;" x "&amp;PriceList!$R$4:$R$2641&amp;" x "&amp;PriceList!$S$4:$S$2641,PriceList!$M$4:$M$2641=A391,"")))</f>
        <v>170.688 x 184.912 x 7.112</v>
      </c>
      <c r="G391" t="str" cm="1">
        <f t="array" ref="G391">INDEX(_xlfn._xlws.FILTER(PriceList!$P$4:$P$2641,PriceList!$M$4:$M$2641=A391,""),1)</f>
        <v>O Ring - FPM/FKM/VitonÂ®</v>
      </c>
    </row>
    <row r="392" spans="1:7" x14ac:dyDescent="0.45">
      <c r="A392" t="s">
        <v>4274</v>
      </c>
      <c r="B392">
        <f>COUNTIF(PriceList!$M$4:$M$2641,A392)</f>
        <v>2</v>
      </c>
      <c r="C392" t="str">
        <f>IF(B392=1,"1:1","1:Many")</f>
        <v>1:Many</v>
      </c>
      <c r="D392" s="42" t="str" cm="1">
        <f t="array" ref="D392">_xlfn.TEXTJOIN(" | ",TRUE,_xlfn._xlws.FILTER(PriceList!$B$4:$B$2641,PriceList!$M$4:$M$2641=A392,""))</f>
        <v>OR7N 177.17-6.99 | OR9N 177.17-6.99</v>
      </c>
      <c r="E392" t="str" cm="1">
        <f t="array" ref="E392">_xlfn.TEXTJOIN(", ",TRUE,_xlfn._xlws.FILTER(ROW(PriceList!$B$4:$B$2641),PriceList!$M$4:$M$2641=A392,""))</f>
        <v>856, 1435</v>
      </c>
      <c r="F392" s="42" t="str" cm="1">
        <f t="array" ref="F392">_xlfn.TEXTJOIN(" | ",TRUE,_xlfn.UNIQUE(_xlfn._xlws.FILTER(PriceList!$Q$4:$Q$2641&amp;" x "&amp;PriceList!$R$4:$R$2641&amp;" x "&amp;PriceList!$S$4:$S$2641,PriceList!$M$4:$M$2641=A392,"")))</f>
        <v>177.038 x 191.262 x 7.112</v>
      </c>
      <c r="G392" t="str" cm="1">
        <f t="array" ref="G392">INDEX(_xlfn._xlws.FILTER(PriceList!$P$4:$P$2641,PriceList!$M$4:$M$2641=A392,""),1)</f>
        <v>O Ring - NBR 70</v>
      </c>
    </row>
    <row r="393" spans="1:7" x14ac:dyDescent="0.45">
      <c r="A393" t="s">
        <v>5136</v>
      </c>
      <c r="B393">
        <f>COUNTIF(PriceList!$M$4:$M$2641,A393)</f>
        <v>1</v>
      </c>
      <c r="C393" t="str">
        <f>IF(B393=1,"1:1","1:Many")</f>
        <v>1:1</v>
      </c>
      <c r="D393" s="42" t="str" cm="1">
        <f t="array" ref="D393">_xlfn.TEXTJOIN(" | ",TRUE,_xlfn._xlws.FILTER(PriceList!$B$4:$B$2641,PriceList!$M$4:$M$2641=A393,""))</f>
        <v>ORV8 177.17-6.99</v>
      </c>
      <c r="E393" t="str" cm="1">
        <f t="array" ref="E393">_xlfn.TEXTJOIN(", ",TRUE,_xlfn._xlws.FILTER(ROW(PriceList!$B$4:$B$2641),PriceList!$M$4:$M$2641=A393,""))</f>
        <v>2079</v>
      </c>
      <c r="F393" s="42" t="str" cm="1">
        <f t="array" ref="F393">_xlfn.TEXTJOIN(" | ",TRUE,_xlfn.UNIQUE(_xlfn._xlws.FILTER(PriceList!$Q$4:$Q$2641&amp;" x "&amp;PriceList!$R$4:$R$2641&amp;" x "&amp;PriceList!$S$4:$S$2641,PriceList!$M$4:$M$2641=A393,"")))</f>
        <v>177.038 x 191.262 x 7.112</v>
      </c>
      <c r="G393" t="str" cm="1">
        <f t="array" ref="G393">INDEX(_xlfn._xlws.FILTER(PriceList!$P$4:$P$2641,PriceList!$M$4:$M$2641=A393,""),1)</f>
        <v>O Ring - FPM/FKM/VitonÂ®</v>
      </c>
    </row>
    <row r="394" spans="1:7" x14ac:dyDescent="0.45">
      <c r="A394" t="s">
        <v>4278</v>
      </c>
      <c r="B394">
        <f>COUNTIF(PriceList!$M$4:$M$2641,A394)</f>
        <v>2</v>
      </c>
      <c r="C394" t="str">
        <f>IF(B394=1,"1:1","1:Many")</f>
        <v>1:Many</v>
      </c>
      <c r="D394" s="42" t="str" cm="1">
        <f t="array" ref="D394">_xlfn.TEXTJOIN(" | ",TRUE,_xlfn._xlws.FILTER(PriceList!$B$4:$B$2641,PriceList!$M$4:$M$2641=A394,""))</f>
        <v>OR7N 183.52-6.99 | OR9N 183.52-6.99</v>
      </c>
      <c r="E394" t="str" cm="1">
        <f t="array" ref="E394">_xlfn.TEXTJOIN(", ",TRUE,_xlfn._xlws.FILTER(ROW(PriceList!$B$4:$B$2641),PriceList!$M$4:$M$2641=A394,""))</f>
        <v>860, 1440</v>
      </c>
      <c r="F394" s="42" t="str" cm="1">
        <f t="array" ref="F394">_xlfn.TEXTJOIN(" | ",TRUE,_xlfn.UNIQUE(_xlfn._xlws.FILTER(PriceList!$Q$4:$Q$2641&amp;" x "&amp;PriceList!$R$4:$R$2641&amp;" x "&amp;PriceList!$S$4:$S$2641,PriceList!$M$4:$M$2641=A394,"")))</f>
        <v>183.388 x 197.612 x 7.112</v>
      </c>
      <c r="G394" t="str" cm="1">
        <f t="array" ref="G394">INDEX(_xlfn._xlws.FILTER(PriceList!$P$4:$P$2641,PriceList!$M$4:$M$2641=A394,""),1)</f>
        <v>O Ring - NBR 70</v>
      </c>
    </row>
    <row r="395" spans="1:7" x14ac:dyDescent="0.45">
      <c r="A395" t="s">
        <v>5142</v>
      </c>
      <c r="B395">
        <f>COUNTIF(PriceList!$M$4:$M$2641,A395)</f>
        <v>1</v>
      </c>
      <c r="C395" t="str">
        <f>IF(B395=1,"1:1","1:Many")</f>
        <v>1:1</v>
      </c>
      <c r="D395" s="42" t="str" cm="1">
        <f t="array" ref="D395">_xlfn.TEXTJOIN(" | ",TRUE,_xlfn._xlws.FILTER(PriceList!$B$4:$B$2641,PriceList!$M$4:$M$2641=A395,""))</f>
        <v>ORV8 183.51-6.99</v>
      </c>
      <c r="E395" t="str" cm="1">
        <f t="array" ref="E395">_xlfn.TEXTJOIN(", ",TRUE,_xlfn._xlws.FILTER(ROW(PriceList!$B$4:$B$2641),PriceList!$M$4:$M$2641=A395,""))</f>
        <v>2084</v>
      </c>
      <c r="F395" s="42" t="str" cm="1">
        <f t="array" ref="F395">_xlfn.TEXTJOIN(" | ",TRUE,_xlfn.UNIQUE(_xlfn._xlws.FILTER(PriceList!$Q$4:$Q$2641&amp;" x "&amp;PriceList!$R$4:$R$2641&amp;" x "&amp;PriceList!$S$4:$S$2641,PriceList!$M$4:$M$2641=A395,"")))</f>
        <v>183.388 x 197.612 x 7.112</v>
      </c>
      <c r="G395" t="str" cm="1">
        <f t="array" ref="G395">INDEX(_xlfn._xlws.FILTER(PriceList!$P$4:$P$2641,PriceList!$M$4:$M$2641=A395,""),1)</f>
        <v>O Ring - FPM/FKM/VitonÂ®</v>
      </c>
    </row>
    <row r="396" spans="1:7" x14ac:dyDescent="0.45">
      <c r="A396" t="s">
        <v>4282</v>
      </c>
      <c r="B396">
        <f>COUNTIF(PriceList!$M$4:$M$2641,A396)</f>
        <v>2</v>
      </c>
      <c r="C396" t="str">
        <f>IF(B396=1,"1:1","1:Many")</f>
        <v>1:Many</v>
      </c>
      <c r="D396" s="42" t="str" cm="1">
        <f t="array" ref="D396">_xlfn.TEXTJOIN(" | ",TRUE,_xlfn._xlws.FILTER(PriceList!$B$4:$B$2641,PriceList!$M$4:$M$2641=A396,""))</f>
        <v>OR7N 189.87-6.99 | OR9N 189.87-6.99</v>
      </c>
      <c r="E396" t="str" cm="1">
        <f t="array" ref="E396">_xlfn.TEXTJOIN(", ",TRUE,_xlfn._xlws.FILTER(ROW(PriceList!$B$4:$B$2641),PriceList!$M$4:$M$2641=A396,""))</f>
        <v>864, 1446</v>
      </c>
      <c r="F396" s="42" t="str" cm="1">
        <f t="array" ref="F396">_xlfn.TEXTJOIN(" | ",TRUE,_xlfn.UNIQUE(_xlfn._xlws.FILTER(PriceList!$Q$4:$Q$2641&amp;" x "&amp;PriceList!$R$4:$R$2641&amp;" x "&amp;PriceList!$S$4:$S$2641,PriceList!$M$4:$M$2641=A396,"")))</f>
        <v>189.738 x 203.962 x 7.112</v>
      </c>
      <c r="G396" t="str" cm="1">
        <f t="array" ref="G396">INDEX(_xlfn._xlws.FILTER(PriceList!$P$4:$P$2641,PriceList!$M$4:$M$2641=A396,""),1)</f>
        <v>O Ring - NBR 70</v>
      </c>
    </row>
    <row r="397" spans="1:7" x14ac:dyDescent="0.45">
      <c r="A397" t="s">
        <v>5148</v>
      </c>
      <c r="B397">
        <f>COUNTIF(PriceList!$M$4:$M$2641,A397)</f>
        <v>2</v>
      </c>
      <c r="C397" t="str">
        <f>IF(B397=1,"1:1","1:Many")</f>
        <v>1:Many</v>
      </c>
      <c r="D397" s="42" t="str" cm="1">
        <f t="array" ref="D397">_xlfn.TEXTJOIN(" | ",TRUE,_xlfn._xlws.FILTER(PriceList!$B$4:$B$2641,PriceList!$M$4:$M$2641=A397,""))</f>
        <v>ORV8 189.87-6.99 | ORV8 191.6-6</v>
      </c>
      <c r="E397" t="str" cm="1">
        <f t="array" ref="E397">_xlfn.TEXTJOIN(", ",TRUE,_xlfn._xlws.FILTER(ROW(PriceList!$B$4:$B$2641),PriceList!$M$4:$M$2641=A397,""))</f>
        <v>2090, 2093</v>
      </c>
      <c r="F397" s="42" t="str" cm="1">
        <f t="array" ref="F397">_xlfn.TEXTJOIN(" | ",TRUE,_xlfn.UNIQUE(_xlfn._xlws.FILTER(PriceList!$Q$4:$Q$2641&amp;" x "&amp;PriceList!$R$4:$R$2641&amp;" x "&amp;PriceList!$S$4:$S$2641,PriceList!$M$4:$M$2641=A397,"")))</f>
        <v>189.738 x 203.962 x 7.112</v>
      </c>
      <c r="G397" t="str" cm="1">
        <f t="array" ref="G397">INDEX(_xlfn._xlws.FILTER(PriceList!$P$4:$P$2641,PriceList!$M$4:$M$2641=A397,""),1)</f>
        <v>O Ring - FPM/FKM/VitonÂ®</v>
      </c>
    </row>
    <row r="398" spans="1:7" x14ac:dyDescent="0.45">
      <c r="A398" t="s">
        <v>4285</v>
      </c>
      <c r="B398">
        <f>COUNTIF(PriceList!$M$4:$M$2641,A398)</f>
        <v>2</v>
      </c>
      <c r="C398" t="str">
        <f>IF(B398=1,"1:1","1:Many")</f>
        <v>1:Many</v>
      </c>
      <c r="D398" s="42" t="str" cm="1">
        <f t="array" ref="D398">_xlfn.TEXTJOIN(" | ",TRUE,_xlfn._xlws.FILTER(PriceList!$B$4:$B$2641,PriceList!$M$4:$M$2641=A398,""))</f>
        <v>OR7N 196.22-6.99 | OR9N 196.22-6.99</v>
      </c>
      <c r="E398" t="str" cm="1">
        <f t="array" ref="E398">_xlfn.TEXTJOIN(", ",TRUE,_xlfn._xlws.FILTER(ROW(PriceList!$B$4:$B$2641),PriceList!$M$4:$M$2641=A398,""))</f>
        <v>867, 1452</v>
      </c>
      <c r="F398" s="42" t="str" cm="1">
        <f t="array" ref="F398">_xlfn.TEXTJOIN(" | ",TRUE,_xlfn.UNIQUE(_xlfn._xlws.FILTER(PriceList!$Q$4:$Q$2641&amp;" x "&amp;PriceList!$R$4:$R$2641&amp;" x "&amp;PriceList!$S$4:$S$2641,PriceList!$M$4:$M$2641=A398,"")))</f>
        <v>196.088 x 210.312 x 7.112</v>
      </c>
      <c r="G398" t="str" cm="1">
        <f t="array" ref="G398">INDEX(_xlfn._xlws.FILTER(PriceList!$P$4:$P$2641,PriceList!$M$4:$M$2641=A398,""),1)</f>
        <v>O Ring - NBR 70</v>
      </c>
    </row>
    <row r="399" spans="1:7" x14ac:dyDescent="0.45">
      <c r="A399" t="s">
        <v>5156</v>
      </c>
      <c r="B399">
        <f>COUNTIF(PriceList!$M$4:$M$2641,A399)</f>
        <v>1</v>
      </c>
      <c r="C399" t="str">
        <f>IF(B399=1,"1:1","1:Many")</f>
        <v>1:1</v>
      </c>
      <c r="D399" s="42" t="str" cm="1">
        <f t="array" ref="D399">_xlfn.TEXTJOIN(" | ",TRUE,_xlfn._xlws.FILTER(PriceList!$B$4:$B$2641,PriceList!$M$4:$M$2641=A399,""))</f>
        <v>ORV8 196.22-6.99</v>
      </c>
      <c r="E399" t="str" cm="1">
        <f t="array" ref="E399">_xlfn.TEXTJOIN(", ",TRUE,_xlfn._xlws.FILTER(ROW(PriceList!$B$4:$B$2641),PriceList!$M$4:$M$2641=A399,""))</f>
        <v>2097</v>
      </c>
      <c r="F399" s="42" t="str" cm="1">
        <f t="array" ref="F399">_xlfn.TEXTJOIN(" | ",TRUE,_xlfn.UNIQUE(_xlfn._xlws.FILTER(PriceList!$Q$4:$Q$2641&amp;" x "&amp;PriceList!$R$4:$R$2641&amp;" x "&amp;PriceList!$S$4:$S$2641,PriceList!$M$4:$M$2641=A399,"")))</f>
        <v>196.088 x 210.312 x 7.112</v>
      </c>
      <c r="G399" t="str" cm="1">
        <f t="array" ref="G399">INDEX(_xlfn._xlws.FILTER(PriceList!$P$4:$P$2641,PriceList!$M$4:$M$2641=A399,""),1)</f>
        <v>O Ring - FPM/FKM/VitonÂ®</v>
      </c>
    </row>
    <row r="400" spans="1:7" x14ac:dyDescent="0.45">
      <c r="A400" t="s">
        <v>4288</v>
      </c>
      <c r="B400">
        <f>COUNTIF(PriceList!$M$4:$M$2641,A400)</f>
        <v>2</v>
      </c>
      <c r="C400" t="str">
        <f>IF(B400=1,"1:1","1:Many")</f>
        <v>1:Many</v>
      </c>
      <c r="D400" s="42" t="str" cm="1">
        <f t="array" ref="D400">_xlfn.TEXTJOIN(" | ",TRUE,_xlfn._xlws.FILTER(PriceList!$B$4:$B$2641,PriceList!$M$4:$M$2641=A400,""))</f>
        <v>OR7N 202.57-6.99 | OR9N 202.57-6.99</v>
      </c>
      <c r="E400" t="str" cm="1">
        <f t="array" ref="E400">_xlfn.TEXTJOIN(", ",TRUE,_xlfn._xlws.FILTER(ROW(PriceList!$B$4:$B$2641),PriceList!$M$4:$M$2641=A400,""))</f>
        <v>870, 1457</v>
      </c>
      <c r="F400" s="42" t="str" cm="1">
        <f t="array" ref="F400">_xlfn.TEXTJOIN(" | ",TRUE,_xlfn.UNIQUE(_xlfn._xlws.FILTER(PriceList!$Q$4:$Q$2641&amp;" x "&amp;PriceList!$R$4:$R$2641&amp;" x "&amp;PriceList!$S$4:$S$2641,PriceList!$M$4:$M$2641=A400,"")))</f>
        <v>202.438 x 216.662 x 7.112</v>
      </c>
      <c r="G400" t="str" cm="1">
        <f t="array" ref="G400">INDEX(_xlfn._xlws.FILTER(PriceList!$P$4:$P$2641,PriceList!$M$4:$M$2641=A400,""),1)</f>
        <v>O Ring - NBR 70</v>
      </c>
    </row>
    <row r="401" spans="1:7" x14ac:dyDescent="0.45">
      <c r="A401" t="s">
        <v>5161</v>
      </c>
      <c r="B401">
        <f>COUNTIF(PriceList!$M$4:$M$2641,A401)</f>
        <v>1</v>
      </c>
      <c r="C401" t="str">
        <f>IF(B401=1,"1:1","1:Many")</f>
        <v>1:1</v>
      </c>
      <c r="D401" s="42" t="str" cm="1">
        <f t="array" ref="D401">_xlfn.TEXTJOIN(" | ",TRUE,_xlfn._xlws.FILTER(PriceList!$B$4:$B$2641,PriceList!$M$4:$M$2641=A401,""))</f>
        <v>ORV8 202.57-6.99</v>
      </c>
      <c r="E401" t="str" cm="1">
        <f t="array" ref="E401">_xlfn.TEXTJOIN(", ",TRUE,_xlfn._xlws.FILTER(ROW(PriceList!$B$4:$B$2641),PriceList!$M$4:$M$2641=A401,""))</f>
        <v>2103</v>
      </c>
      <c r="F401" s="42" t="str" cm="1">
        <f t="array" ref="F401">_xlfn.TEXTJOIN(" | ",TRUE,_xlfn.UNIQUE(_xlfn._xlws.FILTER(PriceList!$Q$4:$Q$2641&amp;" x "&amp;PriceList!$R$4:$R$2641&amp;" x "&amp;PriceList!$S$4:$S$2641,PriceList!$M$4:$M$2641=A401,"")))</f>
        <v>202.438 x 216.662 x 7.112</v>
      </c>
      <c r="G401" t="str" cm="1">
        <f t="array" ref="G401">INDEX(_xlfn._xlws.FILTER(PriceList!$P$4:$P$2641,PriceList!$M$4:$M$2641=A401,""),1)</f>
        <v>O Ring - FPM/FKM/VitonÂ®</v>
      </c>
    </row>
    <row r="402" spans="1:7" x14ac:dyDescent="0.45">
      <c r="A402" t="s">
        <v>5171</v>
      </c>
      <c r="B402">
        <f>COUNTIF(PriceList!$M$4:$M$2641,A402)</f>
        <v>1</v>
      </c>
      <c r="C402" t="str">
        <f>IF(B402=1,"1:1","1:Many")</f>
        <v>1:1</v>
      </c>
      <c r="D402" s="42" t="str" cm="1">
        <f t="array" ref="D402">_xlfn.TEXTJOIN(" | ",TRUE,_xlfn._xlws.FILTER(PriceList!$B$4:$B$2641,PriceList!$M$4:$M$2641=A402,""))</f>
        <v>ORV8 215.27-6.99</v>
      </c>
      <c r="E402" t="str" cm="1">
        <f t="array" ref="E402">_xlfn.TEXTJOIN(", ",TRUE,_xlfn._xlws.FILTER(ROW(PriceList!$B$4:$B$2641),PriceList!$M$4:$M$2641=A402,""))</f>
        <v>2111</v>
      </c>
      <c r="F402" s="42" t="str" cm="1">
        <f t="array" ref="F402">_xlfn.TEXTJOIN(" | ",TRUE,_xlfn.UNIQUE(_xlfn._xlws.FILTER(PriceList!$Q$4:$Q$2641&amp;" x "&amp;PriceList!$R$4:$R$2641&amp;" x "&amp;PriceList!$S$4:$S$2641,PriceList!$M$4:$M$2641=A402,"")))</f>
        <v>215.138 x 229.362 x 7.112</v>
      </c>
      <c r="G402" t="str" cm="1">
        <f t="array" ref="G402">INDEX(_xlfn._xlws.FILTER(PriceList!$P$4:$P$2641,PriceList!$M$4:$M$2641=A402,""),1)</f>
        <v>O Ring - FPM/FKM/VitonÂ®</v>
      </c>
    </row>
    <row r="403" spans="1:7" x14ac:dyDescent="0.45">
      <c r="A403" t="s">
        <v>4300</v>
      </c>
      <c r="B403">
        <f>COUNTIF(PriceList!$M$4:$M$2641,A403)</f>
        <v>2</v>
      </c>
      <c r="C403" t="str">
        <f>IF(B403=1,"1:1","1:Many")</f>
        <v>1:Many</v>
      </c>
      <c r="D403" s="42" t="str" cm="1">
        <f t="array" ref="D403">_xlfn.TEXTJOIN(" | ",TRUE,_xlfn._xlws.FILTER(PriceList!$B$4:$B$2641,PriceList!$M$4:$M$2641=A403,""))</f>
        <v>OR7N 227.97-6.99 | OR9N 227.97-6.99</v>
      </c>
      <c r="E403" t="str" cm="1">
        <f t="array" ref="E403">_xlfn.TEXTJOIN(", ",TRUE,_xlfn._xlws.FILTER(ROW(PriceList!$B$4:$B$2641),PriceList!$M$4:$M$2641=A403,""))</f>
        <v>880, 1477</v>
      </c>
      <c r="F403" s="42" t="str" cm="1">
        <f t="array" ref="F403">_xlfn.TEXTJOIN(" | ",TRUE,_xlfn.UNIQUE(_xlfn._xlws.FILTER(PriceList!$Q$4:$Q$2641&amp;" x "&amp;PriceList!$R$4:$R$2641&amp;" x "&amp;PriceList!$S$4:$S$2641,PriceList!$M$4:$M$2641=A403,"")))</f>
        <v>227.838 x 242.062 x 7.112</v>
      </c>
      <c r="G403" t="str" cm="1">
        <f t="array" ref="G403">INDEX(_xlfn._xlws.FILTER(PriceList!$P$4:$P$2641,PriceList!$M$4:$M$2641=A403,""),1)</f>
        <v>O Ring - NBR 70</v>
      </c>
    </row>
    <row r="404" spans="1:7" x14ac:dyDescent="0.45">
      <c r="A404" t="s">
        <v>5180</v>
      </c>
      <c r="B404">
        <f>COUNTIF(PriceList!$M$4:$M$2641,A404)</f>
        <v>2</v>
      </c>
      <c r="C404" t="str">
        <f>IF(B404=1,"1:1","1:Many")</f>
        <v>1:Many</v>
      </c>
      <c r="D404" s="42" t="str" cm="1">
        <f t="array" ref="D404">_xlfn.TEXTJOIN(" | ",TRUE,_xlfn._xlws.FILTER(PriceList!$B$4:$B$2641,PriceList!$M$4:$M$2641=A404,""))</f>
        <v>ORV8 227.97-6.99 | ORV8 229.2-5.7</v>
      </c>
      <c r="E404" t="str" cm="1">
        <f t="array" ref="E404">_xlfn.TEXTJOIN(", ",TRUE,_xlfn._xlws.FILTER(ROW(PriceList!$B$4:$B$2641),PriceList!$M$4:$M$2641=A404,""))</f>
        <v>2120, 2121</v>
      </c>
      <c r="F404" s="42" t="str" cm="1">
        <f t="array" ref="F404">_xlfn.TEXTJOIN(" | ",TRUE,_xlfn.UNIQUE(_xlfn._xlws.FILTER(PriceList!$Q$4:$Q$2641&amp;" x "&amp;PriceList!$R$4:$R$2641&amp;" x "&amp;PriceList!$S$4:$S$2641,PriceList!$M$4:$M$2641=A404,"")))</f>
        <v>227.838 x 242.062 x 7.112</v>
      </c>
      <c r="G404" t="str" cm="1">
        <f t="array" ref="G404">INDEX(_xlfn._xlws.FILTER(PriceList!$P$4:$P$2641,PriceList!$M$4:$M$2641=A404,""),1)</f>
        <v>O Ring - FPM/FKM/VitonÂ®</v>
      </c>
    </row>
    <row r="405" spans="1:7" x14ac:dyDescent="0.45">
      <c r="A405" t="s">
        <v>4306</v>
      </c>
      <c r="B405">
        <f>COUNTIF(PriceList!$M$4:$M$2641,A405)</f>
        <v>2</v>
      </c>
      <c r="C405" t="str">
        <f>IF(B405=1,"1:1","1:Many")</f>
        <v>1:Many</v>
      </c>
      <c r="D405" s="42" t="str" cm="1">
        <f t="array" ref="D405">_xlfn.TEXTJOIN(" | ",TRUE,_xlfn._xlws.FILTER(PriceList!$B$4:$B$2641,PriceList!$M$4:$M$2641=A405,""))</f>
        <v>OR7N 240.67-6.99 | OR9N 240.67-6.99</v>
      </c>
      <c r="E405" t="str" cm="1">
        <f t="array" ref="E405">_xlfn.TEXTJOIN(", ",TRUE,_xlfn._xlws.FILTER(ROW(PriceList!$B$4:$B$2641),PriceList!$M$4:$M$2641=A405,""))</f>
        <v>886, 1486</v>
      </c>
      <c r="F405" s="42" t="str" cm="1">
        <f t="array" ref="F405">_xlfn.TEXTJOIN(" | ",TRUE,_xlfn.UNIQUE(_xlfn._xlws.FILTER(PriceList!$Q$4:$Q$2641&amp;" x "&amp;PriceList!$R$4:$R$2641&amp;" x "&amp;PriceList!$S$4:$S$2641,PriceList!$M$4:$M$2641=A405,"")))</f>
        <v>240.538 x 254.762 x 7.112</v>
      </c>
      <c r="G405" t="str" cm="1">
        <f t="array" ref="G405">INDEX(_xlfn._xlws.FILTER(PriceList!$P$4:$P$2641,PriceList!$M$4:$M$2641=A405,""),1)</f>
        <v>O Ring - NBR 70</v>
      </c>
    </row>
    <row r="406" spans="1:7" x14ac:dyDescent="0.45">
      <c r="A406" t="s">
        <v>5189</v>
      </c>
      <c r="B406">
        <f>COUNTIF(PriceList!$M$4:$M$2641,A406)</f>
        <v>1</v>
      </c>
      <c r="C406" t="str">
        <f>IF(B406=1,"1:1","1:Many")</f>
        <v>1:1</v>
      </c>
      <c r="D406" s="42" t="str" cm="1">
        <f t="array" ref="D406">_xlfn.TEXTJOIN(" | ",TRUE,_xlfn._xlws.FILTER(PriceList!$B$4:$B$2641,PriceList!$M$4:$M$2641=A406,""))</f>
        <v>ORV8 240.67-6.99</v>
      </c>
      <c r="E406" t="str" cm="1">
        <f t="array" ref="E406">_xlfn.TEXTJOIN(", ",TRUE,_xlfn._xlws.FILTER(ROW(PriceList!$B$4:$B$2641),PriceList!$M$4:$M$2641=A406,""))</f>
        <v>2128</v>
      </c>
      <c r="F406" s="42" t="str" cm="1">
        <f t="array" ref="F406">_xlfn.TEXTJOIN(" | ",TRUE,_xlfn.UNIQUE(_xlfn._xlws.FILTER(PriceList!$Q$4:$Q$2641&amp;" x "&amp;PriceList!$R$4:$R$2641&amp;" x "&amp;PriceList!$S$4:$S$2641,PriceList!$M$4:$M$2641=A406,"")))</f>
        <v>240.538 x 254.762 x 7.112</v>
      </c>
      <c r="G406" t="str" cm="1">
        <f t="array" ref="G406">INDEX(_xlfn._xlws.FILTER(PriceList!$P$4:$P$2641,PriceList!$M$4:$M$2641=A406,""),1)</f>
        <v>O Ring - FPM/FKM/VitonÂ®</v>
      </c>
    </row>
    <row r="407" spans="1:7" x14ac:dyDescent="0.45">
      <c r="A407" t="s">
        <v>4311</v>
      </c>
      <c r="B407">
        <f>COUNTIF(PriceList!$M$4:$M$2641,A407)</f>
        <v>2</v>
      </c>
      <c r="C407" t="str">
        <f>IF(B407=1,"1:1","1:Many")</f>
        <v>1:Many</v>
      </c>
      <c r="D407" s="42" t="str" cm="1">
        <f t="array" ref="D407">_xlfn.TEXTJOIN(" | ",TRUE,_xlfn._xlws.FILTER(PriceList!$B$4:$B$2641,PriceList!$M$4:$M$2641=A407,""))</f>
        <v>OR7N 253.37-6.99 | OR9N 253.37-6.99</v>
      </c>
      <c r="E407" t="str" cm="1">
        <f t="array" ref="E407">_xlfn.TEXTJOIN(", ",TRUE,_xlfn._xlws.FILTER(ROW(PriceList!$B$4:$B$2641),PriceList!$M$4:$M$2641=A407,""))</f>
        <v>891, 1493</v>
      </c>
      <c r="F407" s="42" t="str" cm="1">
        <f t="array" ref="F407">_xlfn.TEXTJOIN(" | ",TRUE,_xlfn.UNIQUE(_xlfn._xlws.FILTER(PriceList!$Q$4:$Q$2641&amp;" x "&amp;PriceList!$R$4:$R$2641&amp;" x "&amp;PriceList!$S$4:$S$2641,PriceList!$M$4:$M$2641=A407,"")))</f>
        <v>253.238 x 267.462 x 7.112</v>
      </c>
      <c r="G407" t="str" cm="1">
        <f t="array" ref="G407">INDEX(_xlfn._xlws.FILTER(PriceList!$P$4:$P$2641,PriceList!$M$4:$M$2641=A407,""),1)</f>
        <v>O Ring - NBR 70</v>
      </c>
    </row>
    <row r="408" spans="1:7" x14ac:dyDescent="0.45">
      <c r="A408" t="s">
        <v>5194</v>
      </c>
      <c r="B408">
        <f>COUNTIF(PriceList!$M$4:$M$2641,A408)</f>
        <v>1</v>
      </c>
      <c r="C408" t="str">
        <f>IF(B408=1,"1:1","1:Many")</f>
        <v>1:1</v>
      </c>
      <c r="D408" s="42" t="str" cm="1">
        <f t="array" ref="D408">_xlfn.TEXTJOIN(" | ",TRUE,_xlfn._xlws.FILTER(PriceList!$B$4:$B$2641,PriceList!$M$4:$M$2641=A408,""))</f>
        <v>ORV8 253.37-6.99</v>
      </c>
      <c r="E408" t="str" cm="1">
        <f t="array" ref="E408">_xlfn.TEXTJOIN(", ",TRUE,_xlfn._xlws.FILTER(ROW(PriceList!$B$4:$B$2641),PriceList!$M$4:$M$2641=A408,""))</f>
        <v>2132</v>
      </c>
      <c r="F408" s="42" t="str" cm="1">
        <f t="array" ref="F408">_xlfn.TEXTJOIN(" | ",TRUE,_xlfn.UNIQUE(_xlfn._xlws.FILTER(PriceList!$Q$4:$Q$2641&amp;" x "&amp;PriceList!$R$4:$R$2641&amp;" x "&amp;PriceList!$S$4:$S$2641,PriceList!$M$4:$M$2641=A408,"")))</f>
        <v>253.238 x 267.462 x 7.112</v>
      </c>
      <c r="G408" t="str" cm="1">
        <f t="array" ref="G408">INDEX(_xlfn._xlws.FILTER(PriceList!$P$4:$P$2641,PriceList!$M$4:$M$2641=A408,""),1)</f>
        <v>O Ring - FPM/FKM/VitonÂ®</v>
      </c>
    </row>
    <row r="409" spans="1:7" x14ac:dyDescent="0.45">
      <c r="A409" t="s">
        <v>4314</v>
      </c>
      <c r="B409">
        <f>COUNTIF(PriceList!$M$4:$M$2641,A409)</f>
        <v>2</v>
      </c>
      <c r="C409" t="str">
        <f>IF(B409=1,"1:1","1:Many")</f>
        <v>1:Many</v>
      </c>
      <c r="D409" s="42" t="str" cm="1">
        <f t="array" ref="D409">_xlfn.TEXTJOIN(" | ",TRUE,_xlfn._xlws.FILTER(PriceList!$B$4:$B$2641,PriceList!$M$4:$M$2641=A409,""))</f>
        <v>OR7N 266.07-6.99 | OR9N 266.07-6.99</v>
      </c>
      <c r="E409" t="str" cm="1">
        <f t="array" ref="E409">_xlfn.TEXTJOIN(", ",TRUE,_xlfn._xlws.FILTER(ROW(PriceList!$B$4:$B$2641),PriceList!$M$4:$M$2641=A409,""))</f>
        <v>894, 1500</v>
      </c>
      <c r="F409" s="42" t="str" cm="1">
        <f t="array" ref="F409">_xlfn.TEXTJOIN(" | ",TRUE,_xlfn.UNIQUE(_xlfn._xlws.FILTER(PriceList!$Q$4:$Q$2641&amp;" x "&amp;PriceList!$R$4:$R$2641&amp;" x "&amp;PriceList!$S$4:$S$2641,PriceList!$M$4:$M$2641=A409,"")))</f>
        <v>265.938 x 280.162 x 7.112</v>
      </c>
      <c r="G409" t="str" cm="1">
        <f t="array" ref="G409">INDEX(_xlfn._xlws.FILTER(PriceList!$P$4:$P$2641,PriceList!$M$4:$M$2641=A409,""),1)</f>
        <v>O Ring - NBR 70</v>
      </c>
    </row>
    <row r="410" spans="1:7" x14ac:dyDescent="0.45">
      <c r="A410" t="s">
        <v>5197</v>
      </c>
      <c r="B410">
        <f>COUNTIF(PriceList!$M$4:$M$2641,A410)</f>
        <v>1</v>
      </c>
      <c r="C410" t="str">
        <f>IF(B410=1,"1:1","1:Many")</f>
        <v>1:1</v>
      </c>
      <c r="D410" s="42" t="str" cm="1">
        <f t="array" ref="D410">_xlfn.TEXTJOIN(" | ",TRUE,_xlfn._xlws.FILTER(PriceList!$B$4:$B$2641,PriceList!$M$4:$M$2641=A410,""))</f>
        <v>ORV8 266.07-6.99</v>
      </c>
      <c r="E410" t="str" cm="1">
        <f t="array" ref="E410">_xlfn.TEXTJOIN(", ",TRUE,_xlfn._xlws.FILTER(ROW(PriceList!$B$4:$B$2641),PriceList!$M$4:$M$2641=A410,""))</f>
        <v>2135</v>
      </c>
      <c r="F410" s="42" t="str" cm="1">
        <f t="array" ref="F410">_xlfn.TEXTJOIN(" | ",TRUE,_xlfn.UNIQUE(_xlfn._xlws.FILTER(PriceList!$Q$4:$Q$2641&amp;" x "&amp;PriceList!$R$4:$R$2641&amp;" x "&amp;PriceList!$S$4:$S$2641,PriceList!$M$4:$M$2641=A410,"")))</f>
        <v>266.7 x 279.4 x 6.35</v>
      </c>
      <c r="G410" t="str" cm="1">
        <f t="array" ref="G410">INDEX(_xlfn._xlws.FILTER(PriceList!$P$4:$P$2641,PriceList!$M$4:$M$2641=A410,""),1)</f>
        <v>O Ring - FPM/FKM/VitonÂ®</v>
      </c>
    </row>
    <row r="411" spans="1:7" x14ac:dyDescent="0.45">
      <c r="A411" t="s">
        <v>4317</v>
      </c>
      <c r="B411">
        <f>COUNTIF(PriceList!$M$4:$M$2641,A411)</f>
        <v>2</v>
      </c>
      <c r="C411" t="str">
        <f>IF(B411=1,"1:1","1:Many")</f>
        <v>1:Many</v>
      </c>
      <c r="D411" s="42" t="str" cm="1">
        <f t="array" ref="D411">_xlfn.TEXTJOIN(" | ",TRUE,_xlfn._xlws.FILTER(PriceList!$B$4:$B$2641,PriceList!$M$4:$M$2641=A411,""))</f>
        <v>OR7N 278.77-6.99 | OR9N 278.77-6.99</v>
      </c>
      <c r="E411" t="str" cm="1">
        <f t="array" ref="E411">_xlfn.TEXTJOIN(", ",TRUE,_xlfn._xlws.FILTER(ROW(PriceList!$B$4:$B$2641),PriceList!$M$4:$M$2641=A411,""))</f>
        <v>897, 1505</v>
      </c>
      <c r="F411" s="42" t="str" cm="1">
        <f t="array" ref="F411">_xlfn.TEXTJOIN(" | ",TRUE,_xlfn.UNIQUE(_xlfn._xlws.FILTER(PriceList!$Q$4:$Q$2641&amp;" x "&amp;PriceList!$R$4:$R$2641&amp;" x "&amp;PriceList!$S$4:$S$2641,PriceList!$M$4:$M$2641=A411,"")))</f>
        <v>278.638 x 292.862 x 7.112</v>
      </c>
      <c r="G411" t="str" cm="1">
        <f t="array" ref="G411">INDEX(_xlfn._xlws.FILTER(PriceList!$P$4:$P$2641,PriceList!$M$4:$M$2641=A411,""),1)</f>
        <v>O Ring - NBR 70</v>
      </c>
    </row>
    <row r="412" spans="1:7" x14ac:dyDescent="0.45">
      <c r="A412" t="s">
        <v>5201</v>
      </c>
      <c r="B412">
        <f>COUNTIF(PriceList!$M$4:$M$2641,A412)</f>
        <v>1</v>
      </c>
      <c r="C412" t="str">
        <f>IF(B412=1,"1:1","1:Many")</f>
        <v>1:1</v>
      </c>
      <c r="D412" s="42" t="str" cm="1">
        <f t="array" ref="D412">_xlfn.TEXTJOIN(" | ",TRUE,_xlfn._xlws.FILTER(PriceList!$B$4:$B$2641,PriceList!$M$4:$M$2641=A412,""))</f>
        <v>ORV8 278.77-6.99</v>
      </c>
      <c r="E412" t="str" cm="1">
        <f t="array" ref="E412">_xlfn.TEXTJOIN(", ",TRUE,_xlfn._xlws.FILTER(ROW(PriceList!$B$4:$B$2641),PriceList!$M$4:$M$2641=A412,""))</f>
        <v>2138</v>
      </c>
      <c r="F412" s="42" t="str" cm="1">
        <f t="array" ref="F412">_xlfn.TEXTJOIN(" | ",TRUE,_xlfn.UNIQUE(_xlfn._xlws.FILTER(PriceList!$Q$4:$Q$2641&amp;" x "&amp;PriceList!$R$4:$R$2641&amp;" x "&amp;PriceList!$S$4:$S$2641,PriceList!$M$4:$M$2641=A412,"")))</f>
        <v>278.638 x 292.862 x 7.112</v>
      </c>
      <c r="G412" t="str" cm="1">
        <f t="array" ref="G412">INDEX(_xlfn._xlws.FILTER(PriceList!$P$4:$P$2641,PriceList!$M$4:$M$2641=A412,""),1)</f>
        <v>O Ring - FPM/FKM/VitonÂ®</v>
      </c>
    </row>
    <row r="413" spans="1:7" x14ac:dyDescent="0.45">
      <c r="A413" t="s">
        <v>4320</v>
      </c>
      <c r="B413">
        <f>COUNTIF(PriceList!$M$4:$M$2641,A413)</f>
        <v>2</v>
      </c>
      <c r="C413" t="str">
        <f>IF(B413=1,"1:1","1:Many")</f>
        <v>1:Many</v>
      </c>
      <c r="D413" s="42" t="str" cm="1">
        <f t="array" ref="D413">_xlfn.TEXTJOIN(" | ",TRUE,_xlfn._xlws.FILTER(PriceList!$B$4:$B$2641,PriceList!$M$4:$M$2641=A413,""))</f>
        <v>OR7N 291.47-6.99 | OR9N 291.47-6.99</v>
      </c>
      <c r="E413" t="str" cm="1">
        <f t="array" ref="E413">_xlfn.TEXTJOIN(", ",TRUE,_xlfn._xlws.FILTER(ROW(PriceList!$B$4:$B$2641),PriceList!$M$4:$M$2641=A413,""))</f>
        <v>900, 1511</v>
      </c>
      <c r="F413" s="42" t="str" cm="1">
        <f t="array" ref="F413">_xlfn.TEXTJOIN(" | ",TRUE,_xlfn.UNIQUE(_xlfn._xlws.FILTER(PriceList!$Q$4:$Q$2641&amp;" x "&amp;PriceList!$R$4:$R$2641&amp;" x "&amp;PriceList!$S$4:$S$2641,PriceList!$M$4:$M$2641=A413,"")))</f>
        <v>291.338 x 305.562 x 7.112</v>
      </c>
      <c r="G413" t="str" cm="1">
        <f t="array" ref="G413">INDEX(_xlfn._xlws.FILTER(PriceList!$P$4:$P$2641,PriceList!$M$4:$M$2641=A413,""),1)</f>
        <v>O Ring - NBR 70</v>
      </c>
    </row>
    <row r="414" spans="1:7" x14ac:dyDescent="0.45">
      <c r="A414" t="s">
        <v>5205</v>
      </c>
      <c r="B414">
        <f>COUNTIF(PriceList!$M$4:$M$2641,A414)</f>
        <v>1</v>
      </c>
      <c r="C414" t="str">
        <f>IF(B414=1,"1:1","1:Many")</f>
        <v>1:1</v>
      </c>
      <c r="D414" s="42" t="str" cm="1">
        <f t="array" ref="D414">_xlfn.TEXTJOIN(" | ",TRUE,_xlfn._xlws.FILTER(PriceList!$B$4:$B$2641,PriceList!$M$4:$M$2641=A414,""))</f>
        <v>ORV8 291.47-6.99</v>
      </c>
      <c r="E414" t="str" cm="1">
        <f t="array" ref="E414">_xlfn.TEXTJOIN(", ",TRUE,_xlfn._xlws.FILTER(ROW(PriceList!$B$4:$B$2641),PriceList!$M$4:$M$2641=A414,""))</f>
        <v>2142</v>
      </c>
      <c r="F414" s="42" t="str" cm="1">
        <f t="array" ref="F414">_xlfn.TEXTJOIN(" | ",TRUE,_xlfn.UNIQUE(_xlfn._xlws.FILTER(PriceList!$Q$4:$Q$2641&amp;" x "&amp;PriceList!$R$4:$R$2641&amp;" x "&amp;PriceList!$S$4:$S$2641,PriceList!$M$4:$M$2641=A414,"")))</f>
        <v>291.338 x 305.562 x 7.112</v>
      </c>
      <c r="G414" t="str" cm="1">
        <f t="array" ref="G414">INDEX(_xlfn._xlws.FILTER(PriceList!$P$4:$P$2641,PriceList!$M$4:$M$2641=A414,""),1)</f>
        <v>O Ring - FPM/FKM/VitonÂ®</v>
      </c>
    </row>
    <row r="415" spans="1:7" x14ac:dyDescent="0.45">
      <c r="A415" t="s">
        <v>4321</v>
      </c>
      <c r="B415">
        <f>COUNTIF(PriceList!$M$4:$M$2641,A415)</f>
        <v>2</v>
      </c>
      <c r="C415" t="str">
        <f>IF(B415=1,"1:1","1:Many")</f>
        <v>1:Many</v>
      </c>
      <c r="D415" s="42" t="str" cm="1">
        <f t="array" ref="D415">_xlfn.TEXTJOIN(" | ",TRUE,_xlfn._xlws.FILTER(PriceList!$B$4:$B$2641,PriceList!$M$4:$M$2641=A415,""))</f>
        <v>OR7N 304.17-6.99 | OR9N 304.17-6.99</v>
      </c>
      <c r="E415" t="str" cm="1">
        <f t="array" ref="E415">_xlfn.TEXTJOIN(", ",TRUE,_xlfn._xlws.FILTER(ROW(PriceList!$B$4:$B$2641),PriceList!$M$4:$M$2641=A415,""))</f>
        <v>901, 1514</v>
      </c>
      <c r="F415" s="42" t="str" cm="1">
        <f t="array" ref="F415">_xlfn.TEXTJOIN(" | ",TRUE,_xlfn.UNIQUE(_xlfn._xlws.FILTER(PriceList!$Q$4:$Q$2641&amp;" x "&amp;PriceList!$R$4:$R$2641&amp;" x "&amp;PriceList!$S$4:$S$2641,PriceList!$M$4:$M$2641=A415,"")))</f>
        <v>304.038 x 318.262 x 7.112</v>
      </c>
      <c r="G415" t="str" cm="1">
        <f t="array" ref="G415">INDEX(_xlfn._xlws.FILTER(PriceList!$P$4:$P$2641,PriceList!$M$4:$M$2641=A415,""),1)</f>
        <v>O Ring - NBR 70</v>
      </c>
    </row>
    <row r="416" spans="1:7" x14ac:dyDescent="0.45">
      <c r="A416" t="s">
        <v>5208</v>
      </c>
      <c r="B416">
        <f>COUNTIF(PriceList!$M$4:$M$2641,A416)</f>
        <v>1</v>
      </c>
      <c r="C416" t="str">
        <f>IF(B416=1,"1:1","1:Many")</f>
        <v>1:1</v>
      </c>
      <c r="D416" s="42" t="str" cm="1">
        <f t="array" ref="D416">_xlfn.TEXTJOIN(" | ",TRUE,_xlfn._xlws.FILTER(PriceList!$B$4:$B$2641,PriceList!$M$4:$M$2641=A416,""))</f>
        <v>ORV8 304.17-6.99</v>
      </c>
      <c r="E416" t="str" cm="1">
        <f t="array" ref="E416">_xlfn.TEXTJOIN(", ",TRUE,_xlfn._xlws.FILTER(ROW(PriceList!$B$4:$B$2641),PriceList!$M$4:$M$2641=A416,""))</f>
        <v>2144</v>
      </c>
      <c r="F416" s="42" t="str" cm="1">
        <f t="array" ref="F416">_xlfn.TEXTJOIN(" | ",TRUE,_xlfn.UNIQUE(_xlfn._xlws.FILTER(PriceList!$Q$4:$Q$2641&amp;" x "&amp;PriceList!$R$4:$R$2641&amp;" x "&amp;PriceList!$S$4:$S$2641,PriceList!$M$4:$M$2641=A416,"")))</f>
        <v>304.038 x 318.262 x 7.112</v>
      </c>
      <c r="G416" t="str" cm="1">
        <f t="array" ref="G416">INDEX(_xlfn._xlws.FILTER(PriceList!$P$4:$P$2641,PriceList!$M$4:$M$2641=A416,""),1)</f>
        <v>O Ring - FPM/FKM/VitonÂ®</v>
      </c>
    </row>
    <row r="417" spans="1:7" x14ac:dyDescent="0.45">
      <c r="A417" t="s">
        <v>4323</v>
      </c>
      <c r="B417">
        <f>COUNTIF(PriceList!$M$4:$M$2641,A417)</f>
        <v>2</v>
      </c>
      <c r="C417" t="str">
        <f>IF(B417=1,"1:1","1:Many")</f>
        <v>1:Many</v>
      </c>
      <c r="D417" s="42" t="str" cm="1">
        <f t="array" ref="D417">_xlfn.TEXTJOIN(" | ",TRUE,_xlfn._xlws.FILTER(PriceList!$B$4:$B$2641,PriceList!$M$4:$M$2641=A417,""))</f>
        <v>OR7N 316.87-6.99 | OR9N 316.87-6.99</v>
      </c>
      <c r="E417" t="str" cm="1">
        <f t="array" ref="E417">_xlfn.TEXTJOIN(", ",TRUE,_xlfn._xlws.FILTER(ROW(PriceList!$B$4:$B$2641),PriceList!$M$4:$M$2641=A417,""))</f>
        <v>903, 1519</v>
      </c>
      <c r="F417" s="42" t="str" cm="1">
        <f t="array" ref="F417">_xlfn.TEXTJOIN(" | ",TRUE,_xlfn.UNIQUE(_xlfn._xlws.FILTER(PriceList!$Q$4:$Q$2641&amp;" x "&amp;PriceList!$R$4:$R$2641&amp;" x "&amp;PriceList!$S$4:$S$2641,PriceList!$M$4:$M$2641=A417,"")))</f>
        <v>316.738 x 330.962 x 7.112</v>
      </c>
      <c r="G417" t="str" cm="1">
        <f t="array" ref="G417">INDEX(_xlfn._xlws.FILTER(PriceList!$P$4:$P$2641,PriceList!$M$4:$M$2641=A417,""),1)</f>
        <v>O Ring - NBR 70</v>
      </c>
    </row>
    <row r="418" spans="1:7" x14ac:dyDescent="0.45">
      <c r="A418" t="s">
        <v>4325</v>
      </c>
      <c r="B418">
        <f>COUNTIF(PriceList!$M$4:$M$2641,A418)</f>
        <v>2</v>
      </c>
      <c r="C418" t="str">
        <f>IF(B418=1,"1:1","1:Many")</f>
        <v>1:Many</v>
      </c>
      <c r="D418" s="42" t="str" cm="1">
        <f t="array" ref="D418">_xlfn.TEXTJOIN(" | ",TRUE,_xlfn._xlws.FILTER(PriceList!$B$4:$B$2641,PriceList!$M$4:$M$2641=A418,""))</f>
        <v>OR7N 329.57-6.99 | OR9N 329.57-6.99</v>
      </c>
      <c r="E418" t="str" cm="1">
        <f t="array" ref="E418">_xlfn.TEXTJOIN(", ",TRUE,_xlfn._xlws.FILTER(ROW(PriceList!$B$4:$B$2641),PriceList!$M$4:$M$2641=A418,""))</f>
        <v>905, 1524</v>
      </c>
      <c r="F418" s="42" t="str" cm="1">
        <f t="array" ref="F418">_xlfn.TEXTJOIN(" | ",TRUE,_xlfn.UNIQUE(_xlfn._xlws.FILTER(PriceList!$Q$4:$Q$2641&amp;" x "&amp;PriceList!$R$4:$R$2641&amp;" x "&amp;PriceList!$S$4:$S$2641,PriceList!$M$4:$M$2641=A418,"")))</f>
        <v>329.438 x 343.662 x 7.112</v>
      </c>
      <c r="G418" t="str" cm="1">
        <f t="array" ref="G418">INDEX(_xlfn._xlws.FILTER(PriceList!$P$4:$P$2641,PriceList!$M$4:$M$2641=A418,""),1)</f>
        <v>O Ring - NBR 70</v>
      </c>
    </row>
    <row r="419" spans="1:7" x14ac:dyDescent="0.45">
      <c r="A419" t="s">
        <v>4326</v>
      </c>
      <c r="B419">
        <f>COUNTIF(PriceList!$M$4:$M$2641,A419)</f>
        <v>2</v>
      </c>
      <c r="C419" t="str">
        <f>IF(B419=1,"1:1","1:Many")</f>
        <v>1:Many</v>
      </c>
      <c r="D419" s="42" t="str" cm="1">
        <f t="array" ref="D419">_xlfn.TEXTJOIN(" | ",TRUE,_xlfn._xlws.FILTER(PriceList!$B$4:$B$2641,PriceList!$M$4:$M$2641=A419,""))</f>
        <v>OR7N 342.27-6.99 | OR9N 342.27-6.99</v>
      </c>
      <c r="E419" t="str" cm="1">
        <f t="array" ref="E419">_xlfn.TEXTJOIN(", ",TRUE,_xlfn._xlws.FILTER(ROW(PriceList!$B$4:$B$2641),PriceList!$M$4:$M$2641=A419,""))</f>
        <v>906, 1526</v>
      </c>
      <c r="F419" s="42" t="str" cm="1">
        <f t="array" ref="F419">_xlfn.TEXTJOIN(" | ",TRUE,_xlfn.UNIQUE(_xlfn._xlws.FILTER(PriceList!$Q$4:$Q$2641&amp;" x "&amp;PriceList!$R$4:$R$2641&amp;" x "&amp;PriceList!$S$4:$S$2641,PriceList!$M$4:$M$2641=A419,"")))</f>
        <v>342.138 x 356.362 x 7.112</v>
      </c>
      <c r="G419" t="str" cm="1">
        <f t="array" ref="G419">INDEX(_xlfn._xlws.FILTER(PriceList!$P$4:$P$2641,PriceList!$M$4:$M$2641=A419,""),1)</f>
        <v>O Ring - NBR 70</v>
      </c>
    </row>
    <row r="420" spans="1:7" x14ac:dyDescent="0.45">
      <c r="A420" t="s">
        <v>4328</v>
      </c>
      <c r="B420">
        <f>COUNTIF(PriceList!$M$4:$M$2641,A420)</f>
        <v>2</v>
      </c>
      <c r="C420" t="str">
        <f>IF(B420=1,"1:1","1:Many")</f>
        <v>1:Many</v>
      </c>
      <c r="D420" s="42" t="str" cm="1">
        <f t="array" ref="D420">_xlfn.TEXTJOIN(" | ",TRUE,_xlfn._xlws.FILTER(PriceList!$B$4:$B$2641,PriceList!$M$4:$M$2641=A420,""))</f>
        <v>OR7N 354.97-6.99 | OR9N 354.97-6.99</v>
      </c>
      <c r="E420" t="str" cm="1">
        <f t="array" ref="E420">_xlfn.TEXTJOIN(", ",TRUE,_xlfn._xlws.FILTER(ROW(PriceList!$B$4:$B$2641),PriceList!$M$4:$M$2641=A420,""))</f>
        <v>908, 1529</v>
      </c>
      <c r="F420" s="42" t="str" cm="1">
        <f t="array" ref="F420">_xlfn.TEXTJOIN(" | ",TRUE,_xlfn.UNIQUE(_xlfn._xlws.FILTER(PriceList!$Q$4:$Q$2641&amp;" x "&amp;PriceList!$R$4:$R$2641&amp;" x "&amp;PriceList!$S$4:$S$2641,PriceList!$M$4:$M$2641=A420,"")))</f>
        <v>354.838 x 369.062 x 7.112</v>
      </c>
      <c r="G420" t="str" cm="1">
        <f t="array" ref="G420">INDEX(_xlfn._xlws.FILTER(PriceList!$P$4:$P$2641,PriceList!$M$4:$M$2641=A420,""),1)</f>
        <v>O Ring - NBR 70</v>
      </c>
    </row>
    <row r="421" spans="1:7" x14ac:dyDescent="0.45">
      <c r="A421" t="s">
        <v>5213</v>
      </c>
      <c r="B421">
        <f>COUNTIF(PriceList!$M$4:$M$2641,A421)</f>
        <v>1</v>
      </c>
      <c r="C421" t="str">
        <f>IF(B421=1,"1:1","1:Many")</f>
        <v>1:1</v>
      </c>
      <c r="D421" s="42" t="str" cm="1">
        <f t="array" ref="D421">_xlfn.TEXTJOIN(" | ",TRUE,_xlfn._xlws.FILTER(PriceList!$B$4:$B$2641,PriceList!$M$4:$M$2641=A421,""))</f>
        <v>ORV8 354.94-6.99</v>
      </c>
      <c r="E421" t="str" cm="1">
        <f t="array" ref="E421">_xlfn.TEXTJOIN(", ",TRUE,_xlfn._xlws.FILTER(ROW(PriceList!$B$4:$B$2641),PriceList!$M$4:$M$2641=A421,""))</f>
        <v>2148</v>
      </c>
      <c r="F421" s="42" t="str" cm="1">
        <f t="array" ref="F421">_xlfn.TEXTJOIN(" | ",TRUE,_xlfn.UNIQUE(_xlfn._xlws.FILTER(PriceList!$Q$4:$Q$2641&amp;" x "&amp;PriceList!$R$4:$R$2641&amp;" x "&amp;PriceList!$S$4:$S$2641,PriceList!$M$4:$M$2641=A421,"")))</f>
        <v>354.838 x 369.062 x 7.112</v>
      </c>
      <c r="G421" t="str" cm="1">
        <f t="array" ref="G421">INDEX(_xlfn._xlws.FILTER(PriceList!$P$4:$P$2641,PriceList!$M$4:$M$2641=A421,""),1)</f>
        <v>O Ring - FPM/FKM/VitonÂ®</v>
      </c>
    </row>
    <row r="422" spans="1:7" x14ac:dyDescent="0.45">
      <c r="A422" t="s">
        <v>4329</v>
      </c>
      <c r="B422">
        <f>COUNTIF(PriceList!$M$4:$M$2641,A422)</f>
        <v>2</v>
      </c>
      <c r="C422" t="str">
        <f>IF(B422=1,"1:1","1:Many")</f>
        <v>1:Many</v>
      </c>
      <c r="D422" s="42" t="str" cm="1">
        <f t="array" ref="D422">_xlfn.TEXTJOIN(" | ",TRUE,_xlfn._xlws.FILTER(PriceList!$B$4:$B$2641,PriceList!$M$4:$M$2641=A422,""))</f>
        <v>OR7N 367.67-6.99 | OR9N 367.67-6.99</v>
      </c>
      <c r="E422" t="str" cm="1">
        <f t="array" ref="E422">_xlfn.TEXTJOIN(", ",TRUE,_xlfn._xlws.FILTER(ROW(PriceList!$B$4:$B$2641),PriceList!$M$4:$M$2641=A422,""))</f>
        <v>909, 1530</v>
      </c>
      <c r="F422" s="42" t="str" cm="1">
        <f t="array" ref="F422">_xlfn.TEXTJOIN(" | ",TRUE,_xlfn.UNIQUE(_xlfn._xlws.FILTER(PriceList!$Q$4:$Q$2641&amp;" x "&amp;PriceList!$R$4:$R$2641&amp;" x "&amp;PriceList!$S$4:$S$2641,PriceList!$M$4:$M$2641=A422,"")))</f>
        <v>367.538 x 381.762 x 7.112</v>
      </c>
      <c r="G422" t="str" cm="1">
        <f t="array" ref="G422">INDEX(_xlfn._xlws.FILTER(PriceList!$P$4:$P$2641,PriceList!$M$4:$M$2641=A422,""),1)</f>
        <v>O Ring - NBR 70</v>
      </c>
    </row>
    <row r="423" spans="1:7" x14ac:dyDescent="0.45">
      <c r="A423" t="s">
        <v>5215</v>
      </c>
      <c r="B423">
        <f>COUNTIF(PriceList!$M$4:$M$2641,A423)</f>
        <v>1</v>
      </c>
      <c r="C423" t="str">
        <f>IF(B423=1,"1:1","1:Many")</f>
        <v>1:1</v>
      </c>
      <c r="D423" s="42" t="str" cm="1">
        <f t="array" ref="D423">_xlfn.TEXTJOIN(" | ",TRUE,_xlfn._xlws.FILTER(PriceList!$B$4:$B$2641,PriceList!$M$4:$M$2641=A423,""))</f>
        <v>ORV8 367.67-6.99</v>
      </c>
      <c r="E423" t="str" cm="1">
        <f t="array" ref="E423">_xlfn.TEXTJOIN(", ",TRUE,_xlfn._xlws.FILTER(ROW(PriceList!$B$4:$B$2641),PriceList!$M$4:$M$2641=A423,""))</f>
        <v>2150</v>
      </c>
      <c r="F423" s="42" t="str" cm="1">
        <f t="array" ref="F423">_xlfn.TEXTJOIN(" | ",TRUE,_xlfn.UNIQUE(_xlfn._xlws.FILTER(PriceList!$Q$4:$Q$2641&amp;" x "&amp;PriceList!$R$4:$R$2641&amp;" x "&amp;PriceList!$S$4:$S$2641,PriceList!$M$4:$M$2641=A423,"")))</f>
        <v>367.538 x 381.762 x 7.112</v>
      </c>
      <c r="G423" t="str" cm="1">
        <f t="array" ref="G423">INDEX(_xlfn._xlws.FILTER(PriceList!$P$4:$P$2641,PriceList!$M$4:$M$2641=A423,""),1)</f>
        <v>O Ring - FPM/FKM/VitonÂ®</v>
      </c>
    </row>
    <row r="424" spans="1:7" x14ac:dyDescent="0.45">
      <c r="A424" t="s">
        <v>4330</v>
      </c>
      <c r="B424">
        <f>COUNTIF(PriceList!$M$4:$M$2641,A424)</f>
        <v>2</v>
      </c>
      <c r="C424" t="str">
        <f>IF(B424=1,"1:1","1:Many")</f>
        <v>1:Many</v>
      </c>
      <c r="D424" s="42" t="str" cm="1">
        <f t="array" ref="D424">_xlfn.TEXTJOIN(" | ",TRUE,_xlfn._xlws.FILTER(PriceList!$B$4:$B$2641,PriceList!$M$4:$M$2641=A424,""))</f>
        <v>OR7N 380.37-6.99 | OR9N 380.37-6.99</v>
      </c>
      <c r="E424" t="str" cm="1">
        <f t="array" ref="E424">_xlfn.TEXTJOIN(", ",TRUE,_xlfn._xlws.FILTER(ROW(PriceList!$B$4:$B$2641),PriceList!$M$4:$M$2641=A424,""))</f>
        <v>910, 1531</v>
      </c>
      <c r="F424" s="42" t="str" cm="1">
        <f t="array" ref="F424">_xlfn.TEXTJOIN(" | ",TRUE,_xlfn.UNIQUE(_xlfn._xlws.FILTER(PriceList!$Q$4:$Q$2641&amp;" x "&amp;PriceList!$R$4:$R$2641&amp;" x "&amp;PriceList!$S$4:$S$2641,PriceList!$M$4:$M$2641=A424,"")))</f>
        <v>380.238 x 394.462 x 7.112</v>
      </c>
      <c r="G424" t="str" cm="1">
        <f t="array" ref="G424">INDEX(_xlfn._xlws.FILTER(PriceList!$P$4:$P$2641,PriceList!$M$4:$M$2641=A424,""),1)</f>
        <v>O Ring - NBR 70</v>
      </c>
    </row>
    <row r="425" spans="1:7" x14ac:dyDescent="0.45">
      <c r="A425" t="s">
        <v>4331</v>
      </c>
      <c r="B425">
        <f>COUNTIF(PriceList!$M$4:$M$2641,A425)</f>
        <v>2</v>
      </c>
      <c r="C425" t="str">
        <f>IF(B425=1,"1:1","1:Many")</f>
        <v>1:Many</v>
      </c>
      <c r="D425" s="42" t="str" cm="1">
        <f t="array" ref="D425">_xlfn.TEXTJOIN(" | ",TRUE,_xlfn._xlws.FILTER(PriceList!$B$4:$B$2641,PriceList!$M$4:$M$2641=A425,""))</f>
        <v>OR7N 393.07-6.99 | OR9N 393.07-6.99</v>
      </c>
      <c r="E425" t="str" cm="1">
        <f t="array" ref="E425">_xlfn.TEXTJOIN(", ",TRUE,_xlfn._xlws.FILTER(ROW(PriceList!$B$4:$B$2641),PriceList!$M$4:$M$2641=A425,""))</f>
        <v>911, 1532</v>
      </c>
      <c r="F425" s="42" t="str" cm="1">
        <f t="array" ref="F425">_xlfn.TEXTJOIN(" | ",TRUE,_xlfn.UNIQUE(_xlfn._xlws.FILTER(PriceList!$Q$4:$Q$2641&amp;" x "&amp;PriceList!$R$4:$R$2641&amp;" x "&amp;PriceList!$S$4:$S$2641,PriceList!$M$4:$M$2641=A425,"")))</f>
        <v>392.938 x 406.908 x 7.112</v>
      </c>
      <c r="G425" t="str" cm="1">
        <f t="array" ref="G425">INDEX(_xlfn._xlws.FILTER(PriceList!$P$4:$P$2641,PriceList!$M$4:$M$2641=A425,""),1)</f>
        <v>O Ring - NBR 70</v>
      </c>
    </row>
    <row r="426" spans="1:7" x14ac:dyDescent="0.45">
      <c r="A426" t="s">
        <v>4332</v>
      </c>
      <c r="B426">
        <f>COUNTIF(PriceList!$M$4:$M$2641,A426)</f>
        <v>2</v>
      </c>
      <c r="C426" t="str">
        <f>IF(B426=1,"1:1","1:Many")</f>
        <v>1:Many</v>
      </c>
      <c r="D426" s="42" t="str" cm="1">
        <f t="array" ref="D426">_xlfn.TEXTJOIN(" | ",TRUE,_xlfn._xlws.FILTER(PriceList!$B$4:$B$2641,PriceList!$M$4:$M$2641=A426,""))</f>
        <v>OR7N 405.26-6.99 | OR9N 405.26-6.99</v>
      </c>
      <c r="E426" t="str" cm="1">
        <f t="array" ref="E426">_xlfn.TEXTJOIN(", ",TRUE,_xlfn._xlws.FILTER(ROW(PriceList!$B$4:$B$2641),PriceList!$M$4:$M$2641=A426,""))</f>
        <v>912, 1533</v>
      </c>
      <c r="F426" s="42" t="str" cm="1">
        <f t="array" ref="F426">_xlfn.TEXTJOIN(" | ",TRUE,_xlfn.UNIQUE(_xlfn._xlws.FILTER(PriceList!$Q$4:$Q$2641&amp;" x "&amp;PriceList!$R$4:$R$2641&amp;" x "&amp;PriceList!$S$4:$S$2641,PriceList!$M$4:$M$2641=A426,"")))</f>
        <v>405.384 x 419.1 x 7.112</v>
      </c>
      <c r="G426" t="str" cm="1">
        <f t="array" ref="G426">INDEX(_xlfn._xlws.FILTER(PriceList!$P$4:$P$2641,PriceList!$M$4:$M$2641=A426,""),1)</f>
        <v>O Ring - NBR 70</v>
      </c>
    </row>
    <row r="427" spans="1:7" x14ac:dyDescent="0.45">
      <c r="A427" t="s">
        <v>4334</v>
      </c>
      <c r="B427">
        <f>COUNTIF(PriceList!$M$4:$M$2641,A427)</f>
        <v>2</v>
      </c>
      <c r="C427" t="str">
        <f>IF(B427=1,"1:1","1:Many")</f>
        <v>1:Many</v>
      </c>
      <c r="D427" s="42" t="str" cm="1">
        <f t="array" ref="D427">_xlfn.TEXTJOIN(" | ",TRUE,_xlfn._xlws.FILTER(PriceList!$B$4:$B$2641,PriceList!$M$4:$M$2641=A427,""))</f>
        <v>OR7N 417.96-6.99 | OR9N 417.96-6.99</v>
      </c>
      <c r="E427" t="str" cm="1">
        <f t="array" ref="E427">_xlfn.TEXTJOIN(", ",TRUE,_xlfn._xlws.FILTER(ROW(PriceList!$B$4:$B$2641),PriceList!$M$4:$M$2641=A427,""))</f>
        <v>913, 1534</v>
      </c>
      <c r="F427" s="42" t="str" cm="1">
        <f t="array" ref="F427">_xlfn.TEXTJOIN(" | ",TRUE,_xlfn.UNIQUE(_xlfn._xlws.FILTER(PriceList!$Q$4:$Q$2641&amp;" x "&amp;PriceList!$R$4:$R$2641&amp;" x "&amp;PriceList!$S$4:$S$2641,PriceList!$M$4:$M$2641=A427,"")))</f>
        <v>417.83 x 431.8 x 7.112</v>
      </c>
      <c r="G427" t="str" cm="1">
        <f t="array" ref="G427">INDEX(_xlfn._xlws.FILTER(PriceList!$P$4:$P$2641,PriceList!$M$4:$M$2641=A427,""),1)</f>
        <v>O Ring - NBR 70</v>
      </c>
    </row>
    <row r="428" spans="1:7" x14ac:dyDescent="0.45">
      <c r="A428" t="s">
        <v>4335</v>
      </c>
      <c r="B428">
        <f>COUNTIF(PriceList!$M$4:$M$2641,A428)</f>
        <v>2</v>
      </c>
      <c r="C428" t="str">
        <f>IF(B428=1,"1:1","1:Many")</f>
        <v>1:Many</v>
      </c>
      <c r="D428" s="42" t="str" cm="1">
        <f t="array" ref="D428">_xlfn.TEXTJOIN(" | ",TRUE,_xlfn._xlws.FILTER(PriceList!$B$4:$B$2641,PriceList!$M$4:$M$2641=A428,""))</f>
        <v>OR7N 430.66-6.99 | OR9N 430.66-6.99</v>
      </c>
      <c r="E428" t="str" cm="1">
        <f t="array" ref="E428">_xlfn.TEXTJOIN(", ",TRUE,_xlfn._xlws.FILTER(ROW(PriceList!$B$4:$B$2641),PriceList!$M$4:$M$2641=A428,""))</f>
        <v>914, 1535</v>
      </c>
      <c r="F428" s="42" t="str" cm="1">
        <f t="array" ref="F428">_xlfn.TEXTJOIN(" | ",TRUE,_xlfn.UNIQUE(_xlfn._xlws.FILTER(PriceList!$Q$4:$Q$2641&amp;" x "&amp;PriceList!$R$4:$R$2641&amp;" x "&amp;PriceList!$S$4:$S$2641,PriceList!$M$4:$M$2641=A428,"")))</f>
        <v>430.53 x 444.5 x 7.112</v>
      </c>
      <c r="G428" t="str" cm="1">
        <f t="array" ref="G428">INDEX(_xlfn._xlws.FILTER(PriceList!$P$4:$P$2641,PriceList!$M$4:$M$2641=A428,""),1)</f>
        <v>O Ring - NBR 70</v>
      </c>
    </row>
    <row r="429" spans="1:7" x14ac:dyDescent="0.45">
      <c r="A429" t="s">
        <v>4336</v>
      </c>
      <c r="B429">
        <f>COUNTIF(PriceList!$M$4:$M$2641,A429)</f>
        <v>2</v>
      </c>
      <c r="C429" t="str">
        <f>IF(B429=1,"1:1","1:Many")</f>
        <v>1:Many</v>
      </c>
      <c r="D429" s="42" t="str" cm="1">
        <f t="array" ref="D429">_xlfn.TEXTJOIN(" | ",TRUE,_xlfn._xlws.FILTER(PriceList!$B$4:$B$2641,PriceList!$M$4:$M$2641=A429,""))</f>
        <v>OR7N 443.36-6.99 | OR9N 443.36-6.99</v>
      </c>
      <c r="E429" t="str" cm="1">
        <f t="array" ref="E429">_xlfn.TEXTJOIN(", ",TRUE,_xlfn._xlws.FILTER(ROW(PriceList!$B$4:$B$2641),PriceList!$M$4:$M$2641=A429,""))</f>
        <v>915, 1536</v>
      </c>
      <c r="F429" s="42" t="str" cm="1">
        <f t="array" ref="F429">_xlfn.TEXTJOIN(" | ",TRUE,_xlfn.UNIQUE(_xlfn._xlws.FILTER(PriceList!$Q$4:$Q$2641&amp;" x "&amp;PriceList!$R$4:$R$2641&amp;" x "&amp;PriceList!$S$4:$S$2641,PriceList!$M$4:$M$2641=A429,"")))</f>
        <v>443.23 x 457.2 x 7.112</v>
      </c>
      <c r="G429" t="str" cm="1">
        <f t="array" ref="G429">INDEX(_xlfn._xlws.FILTER(PriceList!$P$4:$P$2641,PriceList!$M$4:$M$2641=A429,""),1)</f>
        <v>O Ring - NBR 70</v>
      </c>
    </row>
    <row r="430" spans="1:7" x14ac:dyDescent="0.45">
      <c r="A430" t="s">
        <v>4337</v>
      </c>
      <c r="B430">
        <f>COUNTIF(PriceList!$M$4:$M$2641,A430)</f>
        <v>2</v>
      </c>
      <c r="C430" t="str">
        <f>IF(B430=1,"1:1","1:Many")</f>
        <v>1:Many</v>
      </c>
      <c r="D430" s="42" t="str" cm="1">
        <f t="array" ref="D430">_xlfn.TEXTJOIN(" | ",TRUE,_xlfn._xlws.FILTER(PriceList!$B$4:$B$2641,PriceList!$M$4:$M$2641=A430,""))</f>
        <v>OR7N 468.76-6.99 | OR9N 468.76-6.99</v>
      </c>
      <c r="E430" t="str" cm="1">
        <f t="array" ref="E430">_xlfn.TEXTJOIN(", ",TRUE,_xlfn._xlws.FILTER(ROW(PriceList!$B$4:$B$2641),PriceList!$M$4:$M$2641=A430,""))</f>
        <v>916, 1538</v>
      </c>
      <c r="F430" s="42" t="str" cm="1">
        <f t="array" ref="F430">_xlfn.TEXTJOIN(" | ",TRUE,_xlfn.UNIQUE(_xlfn._xlws.FILTER(PriceList!$Q$4:$Q$2641&amp;" x "&amp;PriceList!$R$4:$R$2641&amp;" x "&amp;PriceList!$S$4:$S$2641,PriceList!$M$4:$M$2641=A430,"")))</f>
        <v>468.63 x 482.6 x 7.112</v>
      </c>
      <c r="G430" t="str" cm="1">
        <f t="array" ref="G430">INDEX(_xlfn._xlws.FILTER(PriceList!$P$4:$P$2641,PriceList!$M$4:$M$2641=A430,""),1)</f>
        <v>O Ring - NBR 70</v>
      </c>
    </row>
    <row r="431" spans="1:7" x14ac:dyDescent="0.45">
      <c r="A431" t="s">
        <v>4338</v>
      </c>
      <c r="B431">
        <f>COUNTIF(PriceList!$M$4:$M$2641,A431)</f>
        <v>2</v>
      </c>
      <c r="C431" t="str">
        <f>IF(B431=1,"1:1","1:Many")</f>
        <v>1:Many</v>
      </c>
      <c r="D431" s="42" t="str" cm="1">
        <f t="array" ref="D431">_xlfn.TEXTJOIN(" | ",TRUE,_xlfn._xlws.FILTER(PriceList!$B$4:$B$2641,PriceList!$M$4:$M$2641=A431,""))</f>
        <v>OR7N 481.46-6.99 | OR9N 481.46-6.99</v>
      </c>
      <c r="E431" t="str" cm="1">
        <f t="array" ref="E431">_xlfn.TEXTJOIN(", ",TRUE,_xlfn._xlws.FILTER(ROW(PriceList!$B$4:$B$2641),PriceList!$M$4:$M$2641=A431,""))</f>
        <v>917, 1539</v>
      </c>
      <c r="F431" s="42" t="str" cm="1">
        <f t="array" ref="F431">_xlfn.TEXTJOIN(" | ",TRUE,_xlfn.UNIQUE(_xlfn._xlws.FILTER(PriceList!$Q$4:$Q$2641&amp;" x "&amp;PriceList!$R$4:$R$2641&amp;" x "&amp;PriceList!$S$4:$S$2641,PriceList!$M$4:$M$2641=A431,"")))</f>
        <v>481.33 x 495.3 x 7.112</v>
      </c>
      <c r="G431" t="str" cm="1">
        <f t="array" ref="G431">INDEX(_xlfn._xlws.FILTER(PriceList!$P$4:$P$2641,PriceList!$M$4:$M$2641=A431,""),1)</f>
        <v>O Ring - NBR 70</v>
      </c>
    </row>
    <row r="432" spans="1:7" x14ac:dyDescent="0.45">
      <c r="A432" t="s">
        <v>4339</v>
      </c>
      <c r="B432">
        <f>COUNTIF(PriceList!$M$4:$M$2641,A432)</f>
        <v>2</v>
      </c>
      <c r="C432" t="str">
        <f>IF(B432=1,"1:1","1:Many")</f>
        <v>1:Many</v>
      </c>
      <c r="D432" s="42" t="str" cm="1">
        <f t="array" ref="D432">_xlfn.TEXTJOIN(" | ",TRUE,_xlfn._xlws.FILTER(PriceList!$B$4:$B$2641,PriceList!$M$4:$M$2641=A432,""))</f>
        <v>OR7N 494.16-6.99 | OR9N 494.16-6.99</v>
      </c>
      <c r="E432" t="str" cm="1">
        <f t="array" ref="E432">_xlfn.TEXTJOIN(", ",TRUE,_xlfn._xlws.FILTER(ROW(PriceList!$B$4:$B$2641),PriceList!$M$4:$M$2641=A432,""))</f>
        <v>918, 1540</v>
      </c>
      <c r="F432" s="42" t="str" cm="1">
        <f t="array" ref="F432">_xlfn.TEXTJOIN(" | ",TRUE,_xlfn.UNIQUE(_xlfn._xlws.FILTER(PriceList!$Q$4:$Q$2641&amp;" x "&amp;PriceList!$R$4:$R$2641&amp;" x "&amp;PriceList!$S$4:$S$2641,PriceList!$M$4:$M$2641=A432,"")))</f>
        <v>494.03 x 508 x 7.112</v>
      </c>
      <c r="G432" t="str" cm="1">
        <f t="array" ref="G432">INDEX(_xlfn._xlws.FILTER(PriceList!$P$4:$P$2641,PriceList!$M$4:$M$2641=A432,""),1)</f>
        <v>O Ring - NBR 70</v>
      </c>
    </row>
    <row r="433" spans="1:7" x14ac:dyDescent="0.45">
      <c r="A433" t="s">
        <v>4340</v>
      </c>
      <c r="B433">
        <f>COUNTIF(PriceList!$M$4:$M$2641,A433)</f>
        <v>2</v>
      </c>
      <c r="C433" t="str">
        <f>IF(B433=1,"1:1","1:Many")</f>
        <v>1:Many</v>
      </c>
      <c r="D433" s="42" t="str" cm="1">
        <f t="array" ref="D433">_xlfn.TEXTJOIN(" | ",TRUE,_xlfn._xlws.FILTER(PriceList!$B$4:$B$2641,PriceList!$M$4:$M$2641=A433,""))</f>
        <v>OR7N 506.86-6.99 | OR9N 506.86-6.99</v>
      </c>
      <c r="E433" t="str" cm="1">
        <f t="array" ref="E433">_xlfn.TEXTJOIN(", ",TRUE,_xlfn._xlws.FILTER(ROW(PriceList!$B$4:$B$2641),PriceList!$M$4:$M$2641=A433,""))</f>
        <v>919, 1541</v>
      </c>
      <c r="F433" s="42" t="str" cm="1">
        <f t="array" ref="F433">_xlfn.TEXTJOIN(" | ",TRUE,_xlfn.UNIQUE(_xlfn._xlws.FILTER(PriceList!$Q$4:$Q$2641&amp;" x "&amp;PriceList!$R$4:$R$2641&amp;" x "&amp;PriceList!$S$4:$S$2641,PriceList!$M$4:$M$2641=A433,"")))</f>
        <v>506.73 x 520.7 x 7.112</v>
      </c>
      <c r="G433" t="str" cm="1">
        <f t="array" ref="G433">INDEX(_xlfn._xlws.FILTER(PriceList!$P$4:$P$2641,PriceList!$M$4:$M$2641=A433,""),1)</f>
        <v>O Ring - NBR 70</v>
      </c>
    </row>
    <row r="434" spans="1:7" x14ac:dyDescent="0.45">
      <c r="A434" t="s">
        <v>5216</v>
      </c>
      <c r="B434">
        <f>COUNTIF(PriceList!$M$4:$M$2641,A434)</f>
        <v>1</v>
      </c>
      <c r="C434" t="str">
        <f>IF(B434=1,"1:1","1:Many")</f>
        <v>1:1</v>
      </c>
      <c r="D434" s="42" t="str" cm="1">
        <f t="array" ref="D434">_xlfn.TEXTJOIN(" | ",TRUE,_xlfn._xlws.FILTER(PriceList!$B$4:$B$2641,PriceList!$M$4:$M$2641=A434,""))</f>
        <v>ORV8 506.86-6.99</v>
      </c>
      <c r="E434" t="str" cm="1">
        <f t="array" ref="E434">_xlfn.TEXTJOIN(", ",TRUE,_xlfn._xlws.FILTER(ROW(PriceList!$B$4:$B$2641),PriceList!$M$4:$M$2641=A434,""))</f>
        <v>2151</v>
      </c>
      <c r="F434" s="42" t="str" cm="1">
        <f t="array" ref="F434">_xlfn.TEXTJOIN(" | ",TRUE,_xlfn.UNIQUE(_xlfn._xlws.FILTER(PriceList!$Q$4:$Q$2641&amp;" x "&amp;PriceList!$R$4:$R$2641&amp;" x "&amp;PriceList!$S$4:$S$2641,PriceList!$M$4:$M$2641=A434,"")))</f>
        <v>506.73 x 520.7 x 7.112</v>
      </c>
      <c r="G434" t="str" cm="1">
        <f t="array" ref="G434">INDEX(_xlfn._xlws.FILTER(PriceList!$P$4:$P$2641,PriceList!$M$4:$M$2641=A434,""),1)</f>
        <v>O Ring - FPM/FKM/VitonÂ®</v>
      </c>
    </row>
    <row r="435" spans="1:7" x14ac:dyDescent="0.45">
      <c r="A435" t="s">
        <v>4341</v>
      </c>
      <c r="B435">
        <f>COUNTIF(PriceList!$M$4:$M$2641,A435)</f>
        <v>2</v>
      </c>
      <c r="C435" t="str">
        <f>IF(B435=1,"1:1","1:Many")</f>
        <v>1:Many</v>
      </c>
      <c r="D435" s="42" t="str" cm="1">
        <f t="array" ref="D435">_xlfn.TEXTJOIN(" | ",TRUE,_xlfn._xlws.FILTER(PriceList!$B$4:$B$2641,PriceList!$M$4:$M$2641=A435,""))</f>
        <v>OR7N 532.26-6.99 | OR9N 532.26-6.99</v>
      </c>
      <c r="E435" t="str" cm="1">
        <f t="array" ref="E435">_xlfn.TEXTJOIN(", ",TRUE,_xlfn._xlws.FILTER(ROW(PriceList!$B$4:$B$2641),PriceList!$M$4:$M$2641=A435,""))</f>
        <v>920, 1542</v>
      </c>
      <c r="F435" s="42" t="str" cm="1">
        <f t="array" ref="F435">_xlfn.TEXTJOIN(" | ",TRUE,_xlfn.UNIQUE(_xlfn._xlws.FILTER(PriceList!$Q$4:$Q$2641&amp;" x "&amp;PriceList!$R$4:$R$2641&amp;" x "&amp;PriceList!$S$4:$S$2641,PriceList!$M$4:$M$2641=A435,"")))</f>
        <v>532.13 x 546.1 x 7.112</v>
      </c>
      <c r="G435" t="str" cm="1">
        <f t="array" ref="G435">INDEX(_xlfn._xlws.FILTER(PriceList!$P$4:$P$2641,PriceList!$M$4:$M$2641=A435,""),1)</f>
        <v>O Ring - NBR 70</v>
      </c>
    </row>
    <row r="436" spans="1:7" x14ac:dyDescent="0.45">
      <c r="A436" t="s">
        <v>4988</v>
      </c>
      <c r="B436">
        <f>COUNTIF(PriceList!$M$4:$M$2641,A436)</f>
        <v>1</v>
      </c>
      <c r="C436" t="str">
        <f>IF(B436=1,"1:1","1:Many")</f>
        <v>1:1</v>
      </c>
      <c r="D436" s="42" t="str" cm="1">
        <f t="array" ref="D436">_xlfn.TEXTJOIN(" | ",TRUE,_xlfn._xlws.FILTER(PriceList!$B$4:$B$2641,PriceList!$M$4:$M$2641=A436,""))</f>
        <v>ORV8 085-2</v>
      </c>
      <c r="E436" t="str" cm="1">
        <f t="array" ref="E436">_xlfn.TEXTJOIN(", ",TRUE,_xlfn._xlws.FILTER(ROW(PriceList!$B$4:$B$2641),PriceList!$M$4:$M$2641=A436,""))</f>
        <v>1938</v>
      </c>
      <c r="F436" s="42" t="str" cm="1">
        <f t="array" ref="F436">_xlfn.TEXTJOIN(" | ",TRUE,_xlfn.UNIQUE(_xlfn._xlws.FILTER(PriceList!$Q$4:$Q$2641&amp;" x "&amp;PriceList!$R$4:$R$2641&amp;" x "&amp;PriceList!$S$4:$S$2641,PriceList!$M$4:$M$2641=A436,"")))</f>
        <v>85.344 x 88.9 x 1.778</v>
      </c>
      <c r="G436" t="str" cm="1">
        <f t="array" ref="G436">INDEX(_xlfn._xlws.FILTER(PriceList!$P$4:$P$2641,PriceList!$M$4:$M$2641=A436,""),1)</f>
        <v>O Ring - FPM/FKM/VitonÂ®</v>
      </c>
    </row>
    <row r="437" spans="1:7" x14ac:dyDescent="0.45">
      <c r="A437" t="s">
        <v>4974</v>
      </c>
      <c r="B437">
        <f>COUNTIF(PriceList!$M$4:$M$2641,A437)</f>
        <v>2</v>
      </c>
      <c r="C437" t="str">
        <f>IF(B437=1,"1:1","1:Many")</f>
        <v>1:Many</v>
      </c>
      <c r="D437" s="42" t="str" cm="1">
        <f t="array" ref="D437">_xlfn.TEXTJOIN(" | ",TRUE,_xlfn._xlws.FILTER(PriceList!$B$4:$B$2641,PriceList!$M$4:$M$2641=A437,""))</f>
        <v>ORV8 079.2-5.7 | ORV8 080-5</v>
      </c>
      <c r="E437" t="str" cm="1">
        <f t="array" ref="E437">_xlfn.TEXTJOIN(", ",TRUE,_xlfn._xlws.FILTER(ROW(PriceList!$B$4:$B$2641),PriceList!$M$4:$M$2641=A437,""))</f>
        <v>1926, 1929</v>
      </c>
      <c r="F437" s="42" t="str" cm="1">
        <f t="array" ref="F437">_xlfn.TEXTJOIN(" | ",TRUE,_xlfn.UNIQUE(_xlfn._xlws.FILTER(PriceList!$Q$4:$Q$2641&amp;" x "&amp;PriceList!$R$4:$R$2641&amp;" x "&amp;PriceList!$S$4:$S$2641,PriceList!$M$4:$M$2641=A437,"")))</f>
        <v>79.756 x 90.424 x 5.334</v>
      </c>
      <c r="G437" t="str" cm="1">
        <f t="array" ref="G437">INDEX(_xlfn._xlws.FILTER(PriceList!$P$4:$P$2641,PriceList!$M$4:$M$2641=A437,""),1)</f>
        <v>O Ring - FPM/FKM/VitonÂ®</v>
      </c>
    </row>
    <row r="438" spans="1:7" x14ac:dyDescent="0.45">
      <c r="A438" t="s">
        <v>5164</v>
      </c>
      <c r="B438">
        <f>COUNTIF(PriceList!$M$4:$M$2641,A438)</f>
        <v>1</v>
      </c>
      <c r="C438" t="str">
        <f>IF(B438=1,"1:1","1:Many")</f>
        <v>1:1</v>
      </c>
      <c r="D438" s="42" t="str" cm="1">
        <f t="array" ref="D438">_xlfn.TEXTJOIN(" | ",TRUE,_xlfn._xlws.FILTER(PriceList!$B$4:$B$2641,PriceList!$M$4:$M$2641=A438,""))</f>
        <v>ORV8 208.92-6.99</v>
      </c>
      <c r="E438" t="str" cm="1">
        <f t="array" ref="E438">_xlfn.TEXTJOIN(", ",TRUE,_xlfn._xlws.FILTER(ROW(PriceList!$B$4:$B$2641),PriceList!$M$4:$M$2641=A438,""))</f>
        <v>2105</v>
      </c>
      <c r="F438" s="42" t="str" cm="1">
        <f t="array" ref="F438">_xlfn.TEXTJOIN(" | ",TRUE,_xlfn.UNIQUE(_xlfn._xlws.FILTER(PriceList!$Q$4:$Q$2641&amp;" x "&amp;PriceList!$R$4:$R$2641&amp;" x "&amp;PriceList!$S$4:$S$2641,PriceList!$M$4:$M$2641=A438,"")))</f>
        <v>208.788 x 223.012 x 7.112</v>
      </c>
      <c r="G438" t="str" cm="1">
        <f t="array" ref="G438">INDEX(_xlfn._xlws.FILTER(PriceList!$P$4:$P$2641,PriceList!$M$4:$M$2641=A438,""),1)</f>
        <v>O Ring - FPM/FKM/VitonÂ®</v>
      </c>
    </row>
    <row r="439" spans="1:7" x14ac:dyDescent="0.45">
      <c r="A439" t="s">
        <v>5182</v>
      </c>
      <c r="B439">
        <f>COUNTIF(PriceList!$M$4:$M$2641,A439)</f>
        <v>2</v>
      </c>
      <c r="C439" t="str">
        <f>IF(B439=1,"1:1","1:Many")</f>
        <v>1:Many</v>
      </c>
      <c r="D439" s="42" t="str" cm="1">
        <f t="array" ref="D439">_xlfn.TEXTJOIN(" | ",TRUE,_xlfn._xlws.FILTER(PriceList!$B$4:$B$2641,PriceList!$M$4:$M$2641=A439,""))</f>
        <v>ORV8 233.5-7 | ORV8 236-7</v>
      </c>
      <c r="E439" t="str" cm="1">
        <f t="array" ref="E439">_xlfn.TEXTJOIN(", ",TRUE,_xlfn._xlws.FILTER(ROW(PriceList!$B$4:$B$2641),PriceList!$M$4:$M$2641=A439,""))</f>
        <v>2122, 2124</v>
      </c>
      <c r="F439" s="42" t="str" cm="1">
        <f t="array" ref="F439">_xlfn.TEXTJOIN(" | ",TRUE,_xlfn.UNIQUE(_xlfn._xlws.FILTER(PriceList!$Q$4:$Q$2641&amp;" x "&amp;PriceList!$R$4:$R$2641&amp;" x "&amp;PriceList!$S$4:$S$2641,PriceList!$M$4:$M$2641=A439,"")))</f>
        <v>234.188 x 248.412 x 7.112</v>
      </c>
      <c r="G439" t="str" cm="1">
        <f t="array" ref="G439">INDEX(_xlfn._xlws.FILTER(PriceList!$P$4:$P$2641,PriceList!$M$4:$M$2641=A439,""),1)</f>
        <v>O Ring - FPM/FKM/VitonÂ®</v>
      </c>
    </row>
    <row r="440" spans="1:7" x14ac:dyDescent="0.45">
      <c r="A440" t="s">
        <v>4825</v>
      </c>
      <c r="B440">
        <f>COUNTIF(PriceList!$M$4:$M$2641,A440)</f>
        <v>1</v>
      </c>
      <c r="C440" t="str">
        <f>IF(B440=1,"1:1","1:Many")</f>
        <v>1:1</v>
      </c>
      <c r="D440" s="42" t="str" cm="1">
        <f t="array" ref="D440">_xlfn.TEXTJOIN(" | ",TRUE,_xlfn._xlws.FILTER(PriceList!$B$4:$B$2641,PriceList!$M$4:$M$2641=A440,""))</f>
        <v>ORV8 039.7-3.5</v>
      </c>
      <c r="E440" t="str" cm="1">
        <f t="array" ref="E440">_xlfn.TEXTJOIN(", ",TRUE,_xlfn._xlws.FILTER(ROW(PriceList!$B$4:$B$2641),PriceList!$M$4:$M$2641=A440,""))</f>
        <v>1781</v>
      </c>
      <c r="F440" s="42" t="str" cm="1">
        <f t="array" ref="F440">_xlfn.TEXTJOIN(" | ",TRUE,_xlfn.UNIQUE(_xlfn._xlws.FILTER(PriceList!$Q$4:$Q$2641&amp;" x "&amp;PriceList!$R$4:$R$2641&amp;" x "&amp;PriceList!$S$4:$S$2641,PriceList!$M$4:$M$2641=A440,"")))</f>
        <v>39.624 x 46.736 x 3.556</v>
      </c>
      <c r="G440" t="str" cm="1">
        <f t="array" ref="G440">INDEX(_xlfn._xlws.FILTER(PriceList!$P$4:$P$2641,PriceList!$M$4:$M$2641=A440,""),1)</f>
        <v>O Ring - FPM/FKM/VitonÂ®</v>
      </c>
    </row>
    <row r="441" spans="1:7" x14ac:dyDescent="0.45">
      <c r="A441" t="s">
        <v>4838</v>
      </c>
      <c r="B441">
        <f>COUNTIF(PriceList!$M$4:$M$2641,A441)</f>
        <v>1</v>
      </c>
      <c r="C441" t="str">
        <f>IF(B441=1,"1:1","1:Many")</f>
        <v>1:1</v>
      </c>
      <c r="D441" s="42" t="str" cm="1">
        <f t="array" ref="D441">_xlfn.TEXTJOIN(" | ",TRUE,_xlfn._xlws.FILTER(PriceList!$B$4:$B$2641,PriceList!$M$4:$M$2641=A441,""))</f>
        <v>ORV8 042.7-3.5</v>
      </c>
      <c r="E441" t="str" cm="1">
        <f t="array" ref="E441">_xlfn.TEXTJOIN(", ",TRUE,_xlfn._xlws.FILTER(ROW(PriceList!$B$4:$B$2641),PriceList!$M$4:$M$2641=A441,""))</f>
        <v>1795</v>
      </c>
      <c r="F441" s="42" t="str" cm="1">
        <f t="array" ref="F441">_xlfn.TEXTJOIN(" | ",TRUE,_xlfn.UNIQUE(_xlfn._xlws.FILTER(PriceList!$Q$4:$Q$2641&amp;" x "&amp;PriceList!$R$4:$R$2641&amp;" x "&amp;PriceList!$S$4:$S$2641,PriceList!$M$4:$M$2641=A441,"")))</f>
        <v>42.926 x 50.038 x 3.556</v>
      </c>
      <c r="G441" t="str" cm="1">
        <f t="array" ref="G441">INDEX(_xlfn._xlws.FILTER(PriceList!$P$4:$P$2641,PriceList!$M$4:$M$2641=A441,""),1)</f>
        <v>O Ring - FPM/FKM/VitonÂ®</v>
      </c>
    </row>
    <row r="442" spans="1:7" x14ac:dyDescent="0.45">
      <c r="A442" t="s">
        <v>4852</v>
      </c>
      <c r="B442">
        <f>COUNTIF(PriceList!$M$4:$M$2641,A442)</f>
        <v>2</v>
      </c>
      <c r="C442" t="str">
        <f>IF(B442=1,"1:1","1:Many")</f>
        <v>1:Many</v>
      </c>
      <c r="D442" s="42" t="str" cm="1">
        <f t="array" ref="D442">_xlfn.TEXTJOIN(" | ",TRUE,_xlfn._xlws.FILTER(PriceList!$B$4:$B$2641,PriceList!$M$4:$M$2641=A442,""))</f>
        <v>ORV8 045.7-3.5 | ORV8 046-3.5</v>
      </c>
      <c r="E442" t="str" cm="1">
        <f t="array" ref="E442">_xlfn.TEXTJOIN(", ",TRUE,_xlfn._xlws.FILTER(ROW(PriceList!$B$4:$B$2641),PriceList!$M$4:$M$2641=A442,""))</f>
        <v>1807, 1815</v>
      </c>
      <c r="F442" s="42" t="str" cm="1">
        <f t="array" ref="F442">_xlfn.TEXTJOIN(" | ",TRUE,_xlfn.UNIQUE(_xlfn._xlws.FILTER(PriceList!$Q$4:$Q$2641&amp;" x "&amp;PriceList!$R$4:$R$2641&amp;" x "&amp;PriceList!$S$4:$S$2641,PriceList!$M$4:$M$2641=A442,"")))</f>
        <v>45.974 x 53.086 x 3.556</v>
      </c>
      <c r="G442" t="str" cm="1">
        <f t="array" ref="G442">INDEX(_xlfn._xlws.FILTER(PriceList!$P$4:$P$2641,PriceList!$M$4:$M$2641=A442,""),1)</f>
        <v>O Ring - FPM/FKM/VitonÂ®</v>
      </c>
    </row>
    <row r="443" spans="1:7" x14ac:dyDescent="0.45">
      <c r="A443" t="s">
        <v>4866</v>
      </c>
      <c r="B443">
        <f>COUNTIF(PriceList!$M$4:$M$2641,A443)</f>
        <v>1</v>
      </c>
      <c r="C443" t="str">
        <f>IF(B443=1,"1:1","1:Many")</f>
        <v>1:1</v>
      </c>
      <c r="D443" s="42" t="str" cm="1">
        <f t="array" ref="D443">_xlfn.TEXTJOIN(" | ",TRUE,_xlfn._xlws.FILTER(PriceList!$B$4:$B$2641,PriceList!$M$4:$M$2641=A443,""))</f>
        <v>ORV8 047.7-3.5</v>
      </c>
      <c r="E443" t="str" cm="1">
        <f t="array" ref="E443">_xlfn.TEXTJOIN(", ",TRUE,_xlfn._xlws.FILTER(ROW(PriceList!$B$4:$B$2641),PriceList!$M$4:$M$2641=A443,""))</f>
        <v>1819</v>
      </c>
      <c r="F443" s="42" t="str" cm="1">
        <f t="array" ref="F443">_xlfn.TEXTJOIN(" | ",TRUE,_xlfn.UNIQUE(_xlfn._xlws.FILTER(PriceList!$Q$4:$Q$2641&amp;" x "&amp;PriceList!$R$4:$R$2641&amp;" x "&amp;PriceList!$S$4:$S$2641,PriceList!$M$4:$M$2641=A443,"")))</f>
        <v>47.752 x 54.61 x 3.556</v>
      </c>
      <c r="G443" t="str" cm="1">
        <f t="array" ref="G443">INDEX(_xlfn._xlws.FILTER(PriceList!$P$4:$P$2641,PriceList!$M$4:$M$2641=A443,""),1)</f>
        <v>O Ring - FPM/FKM/VitonÂ®</v>
      </c>
    </row>
    <row r="444" spans="1:7" x14ac:dyDescent="0.45">
      <c r="A444" t="s">
        <v>4896</v>
      </c>
      <c r="B444">
        <f>COUNTIF(PriceList!$M$4:$M$2641,A444)</f>
        <v>1</v>
      </c>
      <c r="C444" t="str">
        <f>IF(B444=1,"1:1","1:Many")</f>
        <v>1:1</v>
      </c>
      <c r="D444" s="42" t="str" cm="1">
        <f t="array" ref="D444">_xlfn.TEXTJOIN(" | ",TRUE,_xlfn._xlws.FILTER(PriceList!$B$4:$B$2641,PriceList!$M$4:$M$2641=A444,""))</f>
        <v>ORV8 055.8-3.5</v>
      </c>
      <c r="E444" t="str" cm="1">
        <f t="array" ref="E444">_xlfn.TEXTJOIN(", ",TRUE,_xlfn._xlws.FILTER(ROW(PriceList!$B$4:$B$2641),PriceList!$M$4:$M$2641=A444,""))</f>
        <v>1850</v>
      </c>
      <c r="F444" s="42" t="str" cm="1">
        <f t="array" ref="F444">_xlfn.TEXTJOIN(" | ",TRUE,_xlfn.UNIQUE(_xlfn._xlws.FILTER(PriceList!$Q$4:$Q$2641&amp;" x "&amp;PriceList!$R$4:$R$2641&amp;" x "&amp;PriceList!$S$4:$S$2641,PriceList!$M$4:$M$2641=A444,"")))</f>
        <v>55.626 x 62.484 x 3.556</v>
      </c>
      <c r="G444" t="str" cm="1">
        <f t="array" ref="G444">INDEX(_xlfn._xlws.FILTER(PriceList!$P$4:$P$2641,PriceList!$M$4:$M$2641=A444,""),1)</f>
        <v>O Ring - FPM/FKM/VitonÂ®</v>
      </c>
    </row>
    <row r="445" spans="1:7" x14ac:dyDescent="0.45">
      <c r="A445" t="s">
        <v>4908</v>
      </c>
      <c r="B445">
        <f>COUNTIF(PriceList!$M$4:$M$2641,A445)</f>
        <v>2</v>
      </c>
      <c r="C445" t="str">
        <f>IF(B445=1,"1:1","1:Many")</f>
        <v>1:Many</v>
      </c>
      <c r="D445" s="42" t="str" cm="1">
        <f t="array" ref="D445">_xlfn.TEXTJOIN(" | ",TRUE,_xlfn._xlws.FILTER(PriceList!$B$4:$B$2641,PriceList!$M$4:$M$2641=A445,""))</f>
        <v>ORV8 058.74-3.53 | ORV8 058-4</v>
      </c>
      <c r="E445" t="str" cm="1">
        <f t="array" ref="E445">_xlfn.TEXTJOIN(", ",TRUE,_xlfn._xlws.FILTER(ROW(PriceList!$B$4:$B$2641),PriceList!$M$4:$M$2641=A445,""))</f>
        <v>1862, 1863</v>
      </c>
      <c r="F445" s="42" t="str" cm="1">
        <f t="array" ref="F445">_xlfn.TEXTJOIN(" | ",TRUE,_xlfn.UNIQUE(_xlfn._xlws.FILTER(PriceList!$Q$4:$Q$2641&amp;" x "&amp;PriceList!$R$4:$R$2641&amp;" x "&amp;PriceList!$S$4:$S$2641,PriceList!$M$4:$M$2641=A445,"")))</f>
        <v>58.674 x 65.786 x 3.556</v>
      </c>
      <c r="G445" t="str" cm="1">
        <f t="array" ref="G445">INDEX(_xlfn._xlws.FILTER(PriceList!$P$4:$P$2641,PriceList!$M$4:$M$2641=A445,""),1)</f>
        <v>O Ring - FPM/FKM/VitonÂ®</v>
      </c>
    </row>
    <row r="446" spans="1:7" x14ac:dyDescent="0.45">
      <c r="A446" t="s">
        <v>4925</v>
      </c>
      <c r="B446">
        <f>COUNTIF(PriceList!$M$4:$M$2641,A446)</f>
        <v>2</v>
      </c>
      <c r="C446" t="str">
        <f>IF(B446=1,"1:1","1:Many")</f>
        <v>1:Many</v>
      </c>
      <c r="D446" s="42" t="str" cm="1">
        <f t="array" ref="D446">_xlfn.TEXTJOIN(" | ",TRUE,_xlfn._xlws.FILTER(PriceList!$B$4:$B$2641,PriceList!$M$4:$M$2641=A446,""))</f>
        <v>ORV8 061.8-3.5 | ORV8 062.4-3.1</v>
      </c>
      <c r="E446" t="str" cm="1">
        <f t="array" ref="E446">_xlfn.TEXTJOIN(", ",TRUE,_xlfn._xlws.FILTER(ROW(PriceList!$B$4:$B$2641),PriceList!$M$4:$M$2641=A446,""))</f>
        <v>1877, 1878</v>
      </c>
      <c r="F446" s="42" t="str" cm="1">
        <f t="array" ref="F446">_xlfn.TEXTJOIN(" | ",TRUE,_xlfn.UNIQUE(_xlfn._xlws.FILTER(PriceList!$Q$4:$Q$2641&amp;" x "&amp;PriceList!$R$4:$R$2641&amp;" x "&amp;PriceList!$S$4:$S$2641,PriceList!$M$4:$M$2641=A446,"")))</f>
        <v>61.976 x 68.834 x 3.556</v>
      </c>
      <c r="G446" t="str" cm="1">
        <f t="array" ref="G446">INDEX(_xlfn._xlws.FILTER(PriceList!$P$4:$P$2641,PriceList!$M$4:$M$2641=A446,""),1)</f>
        <v>O Ring - FPM/FKM/VitonÂ®</v>
      </c>
    </row>
    <row r="447" spans="1:7" x14ac:dyDescent="0.45">
      <c r="A447" t="s">
        <v>4962</v>
      </c>
      <c r="B447">
        <f>COUNTIF(PriceList!$M$4:$M$2641,A447)</f>
        <v>1</v>
      </c>
      <c r="C447" t="str">
        <f>IF(B447=1,"1:1","1:Many")</f>
        <v>1:1</v>
      </c>
      <c r="D447" s="42" t="str" cm="1">
        <f t="array" ref="D447">_xlfn.TEXTJOIN(" | ",TRUE,_xlfn._xlws.FILTER(PriceList!$B$4:$B$2641,PriceList!$M$4:$M$2641=A447,""))</f>
        <v>ORV8 074-4</v>
      </c>
      <c r="E447" t="str" cm="1">
        <f t="array" ref="E447">_xlfn.TEXTJOIN(", ",TRUE,_xlfn._xlws.FILTER(ROW(PriceList!$B$4:$B$2641),PriceList!$M$4:$M$2641=A447,""))</f>
        <v>1914</v>
      </c>
      <c r="F447" s="42" t="str" cm="1">
        <f t="array" ref="F447">_xlfn.TEXTJOIN(" | ",TRUE,_xlfn.UNIQUE(_xlfn._xlws.FILTER(PriceList!$Q$4:$Q$2641&amp;" x "&amp;PriceList!$R$4:$R$2641&amp;" x "&amp;PriceList!$S$4:$S$2641,PriceList!$M$4:$M$2641=A447,"")))</f>
        <v>74.676 x 81.534 x 3.556</v>
      </c>
      <c r="G447" t="str" cm="1">
        <f t="array" ref="G447">INDEX(_xlfn._xlws.FILTER(PriceList!$P$4:$P$2641,PriceList!$M$4:$M$2641=A447,""),1)</f>
        <v>O Ring - FPM/FKM/VitonÂ®</v>
      </c>
    </row>
    <row r="448" spans="1:7" x14ac:dyDescent="0.45">
      <c r="A448" t="s">
        <v>5494</v>
      </c>
      <c r="B448">
        <f>COUNTIF(PriceList!$M$4:$M$2641,A448)</f>
        <v>1</v>
      </c>
      <c r="C448" t="str">
        <f>IF(B448=1,"1:1","1:Many")</f>
        <v>1:1</v>
      </c>
      <c r="D448" s="42" t="str" cm="1">
        <f t="array" ref="D448">_xlfn.TEXTJOIN(" | ",TRUE,_xlfn._xlws.FILTER(PriceList!$B$4:$B$2641,PriceList!$M$4:$M$2641=A448,""))</f>
        <v>RS054-N-1700-1950-460</v>
      </c>
      <c r="E448" t="str" cm="1">
        <f t="array" ref="E448">_xlfn.TEXTJOIN(", ",TRUE,_xlfn._xlws.FILTER(ROW(PriceList!$B$4:$B$2641),PriceList!$M$4:$M$2641=A448,""))</f>
        <v>2497</v>
      </c>
      <c r="F448" s="42" t="str" cm="1">
        <f t="array" ref="F448">_xlfn.TEXTJOIN(" | ",TRUE,_xlfn.UNIQUE(_xlfn._xlws.FILTER(PriceList!$Q$4:$Q$2641&amp;" x "&amp;PriceList!$R$4:$R$2641&amp;" x "&amp;PriceList!$S$4:$S$2641,PriceList!$M$4:$M$2641=A448,"")))</f>
        <v>170 x 195 x 35</v>
      </c>
      <c r="G448" t="str" cm="1">
        <f t="array" ref="G448">INDEX(_xlfn._xlws.FILTER(PriceList!$P$4:$P$2641,PriceList!$M$4:$M$2641=A448,""),1)</f>
        <v>Rod Seal - 3pc with Internal Extrusion Ring</v>
      </c>
    </row>
    <row r="449" spans="1:7" x14ac:dyDescent="0.45">
      <c r="A449" t="s">
        <v>5376</v>
      </c>
      <c r="B449">
        <f>COUNTIF(PriceList!$M$4:$M$2641,A449)</f>
        <v>2</v>
      </c>
      <c r="C449" t="str">
        <f>IF(B449=1,"1:1","1:Many")</f>
        <v>1:Many</v>
      </c>
      <c r="D449" s="42" t="str" cm="1">
        <f t="array" ref="D449">_xlfn.TEXTJOIN(" | ",TRUE,_xlfn._xlws.FILTER(PriceList!$B$4:$B$2641,PriceList!$M$4:$M$2641=A449,""))</f>
        <v>RS018-F-2800-3040-081 | RS018-N-2800-3040-081</v>
      </c>
      <c r="E449" t="str" cm="1">
        <f t="array" ref="E449">_xlfn.TEXTJOIN(", ",TRUE,_xlfn._xlws.FILTER(ROW(PriceList!$B$4:$B$2641),PriceList!$M$4:$M$2641=A449,""))</f>
        <v>2265, 2404</v>
      </c>
      <c r="F449" s="42" t="str" cm="1">
        <f t="array" ref="F449">_xlfn.TEXTJOIN(" | ",TRUE,_xlfn.UNIQUE(_xlfn._xlws.FILTER(PriceList!$Q$4:$Q$2641&amp;" x "&amp;PriceList!$R$4:$R$2641&amp;" x "&amp;PriceList!$S$4:$S$2641,PriceList!$M$4:$M$2641=A449,"")))</f>
        <v>280 x 305 x 35</v>
      </c>
      <c r="G449" t="str" cm="1">
        <f t="array" ref="G449">INDEX(_xlfn._xlws.FILTER(PriceList!$P$4:$P$2641,PriceList!$M$4:$M$2641=A449,""),1)</f>
        <v>Rod Seal - 3pc with Internal Extrusion Ring</v>
      </c>
    </row>
    <row r="450" spans="1:7" x14ac:dyDescent="0.45">
      <c r="A450" t="s">
        <v>5466</v>
      </c>
      <c r="B450">
        <f>COUNTIF(PriceList!$M$4:$M$2641,A450)</f>
        <v>1</v>
      </c>
      <c r="C450" t="str">
        <f>IF(B450=1,"1:1","1:Many")</f>
        <v>1:1</v>
      </c>
      <c r="D450" s="42" t="str" cm="1">
        <f t="array" ref="D450">_xlfn.TEXTJOIN(" | ",TRUE,_xlfn._xlws.FILTER(PriceList!$B$4:$B$2641,PriceList!$M$4:$M$2641=A450,""))</f>
        <v>RS054-N-0320-0470-225</v>
      </c>
      <c r="E450" t="str" cm="1">
        <f t="array" ref="E450">_xlfn.TEXTJOIN(", ",TRUE,_xlfn._xlws.FILTER(ROW(PriceList!$B$4:$B$2641),PriceList!$M$4:$M$2641=A450,""))</f>
        <v>2456</v>
      </c>
      <c r="F450" s="42" t="str" cm="1">
        <f t="array" ref="F450">_xlfn.TEXTJOIN(" | ",TRUE,_xlfn.UNIQUE(_xlfn._xlws.FILTER(PriceList!$Q$4:$Q$2641&amp;" x "&amp;PriceList!$R$4:$R$2641&amp;" x "&amp;PriceList!$S$4:$S$2641,PriceList!$M$4:$M$2641=A450,"")))</f>
        <v>32 x 47 x 22.5</v>
      </c>
      <c r="G450" t="str" cm="1">
        <f t="array" ref="G450">INDEX(_xlfn._xlws.FILTER(PriceList!$P$4:$P$2641,PriceList!$M$4:$M$2641=A450,""),1)</f>
        <v>Rod Seal - 3pc with Internal Extrusion Ring</v>
      </c>
    </row>
    <row r="451" spans="1:7" x14ac:dyDescent="0.45">
      <c r="A451" t="s">
        <v>5468</v>
      </c>
      <c r="B451">
        <f>COUNTIF(PriceList!$M$4:$M$2641,A451)</f>
        <v>1</v>
      </c>
      <c r="C451" t="str">
        <f>IF(B451=1,"1:1","1:Many")</f>
        <v>1:1</v>
      </c>
      <c r="D451" s="42" t="str" cm="1">
        <f t="array" ref="D451">_xlfn.TEXTJOIN(" | ",TRUE,_xlfn._xlws.FILTER(PriceList!$B$4:$B$2641,PriceList!$M$4:$M$2641=A451,""))</f>
        <v>RS054-N-0360-0510-225</v>
      </c>
      <c r="E451" t="str" cm="1">
        <f t="array" ref="E451">_xlfn.TEXTJOIN(", ",TRUE,_xlfn._xlws.FILTER(ROW(PriceList!$B$4:$B$2641),PriceList!$M$4:$M$2641=A451,""))</f>
        <v>2460</v>
      </c>
      <c r="F451" s="42" t="str" cm="1">
        <f t="array" ref="F451">_xlfn.TEXTJOIN(" | ",TRUE,_xlfn.UNIQUE(_xlfn._xlws.FILTER(PriceList!$Q$4:$Q$2641&amp;" x "&amp;PriceList!$R$4:$R$2641&amp;" x "&amp;PriceList!$S$4:$S$2641,PriceList!$M$4:$M$2641=A451,"")))</f>
        <v>36 x 51 x 22.5</v>
      </c>
      <c r="G451" t="str" cm="1">
        <f t="array" ref="G451">INDEX(_xlfn._xlws.FILTER(PriceList!$P$4:$P$2641,PriceList!$M$4:$M$2641=A451,""),1)</f>
        <v>Rod Seal - 3pc with Internal Extrusion Ring</v>
      </c>
    </row>
    <row r="452" spans="1:7" x14ac:dyDescent="0.45">
      <c r="A452" t="s">
        <v>5471</v>
      </c>
      <c r="B452">
        <f>COUNTIF(PriceList!$M$4:$M$2641,A452)</f>
        <v>1</v>
      </c>
      <c r="C452" t="str">
        <f>IF(B452=1,"1:1","1:Many")</f>
        <v>1:1</v>
      </c>
      <c r="D452" s="42" t="str" cm="1">
        <f t="array" ref="D452">_xlfn.TEXTJOIN(" | ",TRUE,_xlfn._xlws.FILTER(PriceList!$B$4:$B$2641,PriceList!$M$4:$M$2641=A452,""))</f>
        <v>RS054-N-0450-0650-300</v>
      </c>
      <c r="E452" t="str" cm="1">
        <f t="array" ref="E452">_xlfn.TEXTJOIN(", ",TRUE,_xlfn._xlws.FILTER(ROW(PriceList!$B$4:$B$2641),PriceList!$M$4:$M$2641=A452,""))</f>
        <v>2464</v>
      </c>
      <c r="F452" s="42" t="str" cm="1">
        <f t="array" ref="F452">_xlfn.TEXTJOIN(" | ",TRUE,_xlfn.UNIQUE(_xlfn._xlws.FILTER(PriceList!$Q$4:$Q$2641&amp;" x "&amp;PriceList!$R$4:$R$2641&amp;" x "&amp;PriceList!$S$4:$S$2641,PriceList!$M$4:$M$2641=A452,"")))</f>
        <v>45 x 65 x 28</v>
      </c>
      <c r="G452" t="str" cm="1">
        <f t="array" ref="G452">INDEX(_xlfn._xlws.FILTER(PriceList!$P$4:$P$2641,PriceList!$M$4:$M$2641=A452,""),1)</f>
        <v>Rod Seal - 3pc with Internal Extrusion Ring</v>
      </c>
    </row>
    <row r="453" spans="1:7" x14ac:dyDescent="0.45">
      <c r="A453" t="s">
        <v>5472</v>
      </c>
      <c r="B453">
        <f>COUNTIF(PriceList!$M$4:$M$2641,A453)</f>
        <v>1</v>
      </c>
      <c r="C453" t="str">
        <f>IF(B453=1,"1:1","1:Many")</f>
        <v>1:1</v>
      </c>
      <c r="D453" s="42" t="str" cm="1">
        <f t="array" ref="D453">_xlfn.TEXTJOIN(" | ",TRUE,_xlfn._xlws.FILTER(PriceList!$B$4:$B$2641,PriceList!$M$4:$M$2641=A453,""))</f>
        <v>RS054-N-0500-0700-300</v>
      </c>
      <c r="E453" t="str" cm="1">
        <f t="array" ref="E453">_xlfn.TEXTJOIN(", ",TRUE,_xlfn._xlws.FILTER(ROW(PriceList!$B$4:$B$2641),PriceList!$M$4:$M$2641=A453,""))</f>
        <v>2466</v>
      </c>
      <c r="F453" s="42" t="str" cm="1">
        <f t="array" ref="F453">_xlfn.TEXTJOIN(" | ",TRUE,_xlfn.UNIQUE(_xlfn._xlws.FILTER(PriceList!$Q$4:$Q$2641&amp;" x "&amp;PriceList!$R$4:$R$2641&amp;" x "&amp;PriceList!$S$4:$S$2641,PriceList!$M$4:$M$2641=A453,"")))</f>
        <v>50 x 70 x 30</v>
      </c>
      <c r="G453" t="str" cm="1">
        <f t="array" ref="G453">INDEX(_xlfn._xlws.FILTER(PriceList!$P$4:$P$2641,PriceList!$M$4:$M$2641=A453,""),1)</f>
        <v>Rod Seal - 3pc with Internal Extrusion Ring</v>
      </c>
    </row>
    <row r="454" spans="1:7" x14ac:dyDescent="0.45">
      <c r="A454" t="s">
        <v>5474</v>
      </c>
      <c r="B454">
        <f>COUNTIF(PriceList!$M$4:$M$2641,A454)</f>
        <v>1</v>
      </c>
      <c r="C454" t="str">
        <f>IF(B454=1,"1:1","1:Many")</f>
        <v>1:1</v>
      </c>
      <c r="D454" s="42" t="str" cm="1">
        <f t="array" ref="D454">_xlfn.TEXTJOIN(" | ",TRUE,_xlfn._xlws.FILTER(PriceList!$B$4:$B$2641,PriceList!$M$4:$M$2641=A454,""))</f>
        <v>RS054-N-0560-0760-370</v>
      </c>
      <c r="E454" t="str" cm="1">
        <f t="array" ref="E454">_xlfn.TEXTJOIN(", ",TRUE,_xlfn._xlws.FILTER(ROW(PriceList!$B$4:$B$2641),PriceList!$M$4:$M$2641=A454,""))</f>
        <v>2470</v>
      </c>
      <c r="F454" s="42" t="str" cm="1">
        <f t="array" ref="F454">_xlfn.TEXTJOIN(" | ",TRUE,_xlfn.UNIQUE(_xlfn._xlws.FILTER(PriceList!$Q$4:$Q$2641&amp;" x "&amp;PriceList!$R$4:$R$2641&amp;" x "&amp;PriceList!$S$4:$S$2641,PriceList!$M$4:$M$2641=A454,"")))</f>
        <v>56 x 76 x 28</v>
      </c>
      <c r="G454" t="str" cm="1">
        <f t="array" ref="G454">INDEX(_xlfn._xlws.FILTER(PriceList!$P$4:$P$2641,PriceList!$M$4:$M$2641=A454,""),1)</f>
        <v>Rod Seal - 3pc with Internal Extrusion Ring</v>
      </c>
    </row>
    <row r="455" spans="1:7" x14ac:dyDescent="0.45">
      <c r="A455" t="s">
        <v>5476</v>
      </c>
      <c r="B455">
        <f>COUNTIF(PriceList!$M$4:$M$2641,A455)</f>
        <v>1</v>
      </c>
      <c r="C455" t="str">
        <f>IF(B455=1,"1:1","1:Many")</f>
        <v>1:1</v>
      </c>
      <c r="D455" s="42" t="str" cm="1">
        <f t="array" ref="D455">_xlfn.TEXTJOIN(" | ",TRUE,_xlfn._xlws.FILTER(PriceList!$B$4:$B$2641,PriceList!$M$4:$M$2641=A455,""))</f>
        <v>RS054-N-0600-0800-370</v>
      </c>
      <c r="E455" t="str" cm="1">
        <f t="array" ref="E455">_xlfn.TEXTJOIN(", ",TRUE,_xlfn._xlws.FILTER(ROW(PriceList!$B$4:$B$2641),PriceList!$M$4:$M$2641=A455,""))</f>
        <v>2472</v>
      </c>
      <c r="F455" s="42" t="str" cm="1">
        <f t="array" ref="F455">_xlfn.TEXTJOIN(" | ",TRUE,_xlfn.UNIQUE(_xlfn._xlws.FILTER(PriceList!$Q$4:$Q$2641&amp;" x "&amp;PriceList!$R$4:$R$2641&amp;" x "&amp;PriceList!$S$4:$S$2641,PriceList!$M$4:$M$2641=A455,"")))</f>
        <v>60 x 80 x 30</v>
      </c>
      <c r="G455" t="str" cm="1">
        <f t="array" ref="G455">INDEX(_xlfn._xlws.FILTER(PriceList!$P$4:$P$2641,PriceList!$M$4:$M$2641=A455,""),1)</f>
        <v>Rod Seal - 3pc with Internal Extrusion Ring</v>
      </c>
    </row>
    <row r="456" spans="1:7" x14ac:dyDescent="0.45">
      <c r="A456" t="s">
        <v>5383</v>
      </c>
      <c r="B456">
        <f>COUNTIF(PriceList!$M$4:$M$2641,A456)</f>
        <v>1</v>
      </c>
      <c r="C456" t="str">
        <f>IF(B456=1,"1:1","1:Many")</f>
        <v>1:1</v>
      </c>
      <c r="D456" s="42" t="str" cm="1">
        <f t="array" ref="D456">_xlfn.TEXTJOIN(" | ",TRUE,_xlfn._xlws.FILTER(PriceList!$B$4:$B$2641,PriceList!$M$4:$M$2641=A456,""))</f>
        <v>RS018-N-0100-0149-022</v>
      </c>
      <c r="E456" t="str" cm="1">
        <f t="array" ref="E456">_xlfn.TEXTJOIN(", ",TRUE,_xlfn._xlws.FILTER(ROW(PriceList!$B$4:$B$2641),PriceList!$M$4:$M$2641=A456,""))</f>
        <v>2271</v>
      </c>
      <c r="F456" s="42" t="str" cm="1">
        <f t="array" ref="F456">_xlfn.TEXTJOIN(" | ",TRUE,_xlfn.UNIQUE(_xlfn._xlws.FILTER(PriceList!$Q$4:$Q$2641&amp;" x "&amp;PriceList!$R$4:$R$2641&amp;" x "&amp;PriceList!$S$4:$S$2641,PriceList!$M$4:$M$2641=A456,"")))</f>
        <v>10 x 14.9 x 2.2</v>
      </c>
      <c r="G456" t="str" cm="1">
        <f t="array" ref="G456">INDEX(_xlfn._xlws.FILTER(PriceList!$P$4:$P$2641,PriceList!$M$4:$M$2641=A456,""),1)</f>
        <v>Rod Composite Seal - Stepped</v>
      </c>
    </row>
    <row r="457" spans="1:7" x14ac:dyDescent="0.45">
      <c r="A457" t="s">
        <v>5241</v>
      </c>
      <c r="B457">
        <f>COUNTIF(PriceList!$M$4:$M$2641,A457)</f>
        <v>2</v>
      </c>
      <c r="C457" t="str">
        <f>IF(B457=1,"1:1","1:Many")</f>
        <v>1:Many</v>
      </c>
      <c r="D457" s="42" t="str" cm="1">
        <f t="array" ref="D457">_xlfn.TEXTJOIN(" | ",TRUE,_xlfn._xlws.FILTER(PriceList!$B$4:$B$2641,PriceList!$M$4:$M$2641=A457,""))</f>
        <v>RS018-F-0100-0173-032 | RS018-N-0100-0173-032</v>
      </c>
      <c r="E457" t="str" cm="1">
        <f t="array" ref="E457">_xlfn.TEXTJOIN(", ",TRUE,_xlfn._xlws.FILTER(ROW(PriceList!$B$4:$B$2641),PriceList!$M$4:$M$2641=A457,""))</f>
        <v>2167, 2272</v>
      </c>
      <c r="F457" s="42" t="str" cm="1">
        <f t="array" ref="F457">_xlfn.TEXTJOIN(" | ",TRUE,_xlfn.UNIQUE(_xlfn._xlws.FILTER(PriceList!$Q$4:$Q$2641&amp;" x "&amp;PriceList!$R$4:$R$2641&amp;" x "&amp;PriceList!$S$4:$S$2641,PriceList!$M$4:$M$2641=A457,"")))</f>
        <v>10 x 17.5 x 3.2</v>
      </c>
      <c r="G457" t="str" cm="1">
        <f t="array" ref="G457">INDEX(_xlfn._xlws.FILTER(PriceList!$P$4:$P$2641,PriceList!$M$4:$M$2641=A457,""),1)</f>
        <v>Rod Composite Seal - Chamfered</v>
      </c>
    </row>
    <row r="458" spans="1:7" x14ac:dyDescent="0.45">
      <c r="A458" t="s">
        <v>5332</v>
      </c>
      <c r="B458">
        <f>COUNTIF(PriceList!$M$4:$M$2641,A458)</f>
        <v>2</v>
      </c>
      <c r="C458" t="str">
        <f>IF(B458=1,"1:1","1:Many")</f>
        <v>1:Many</v>
      </c>
      <c r="D458" s="42" t="str" cm="1">
        <f t="array" ref="D458">_xlfn.TEXTJOIN(" | ",TRUE,_xlfn._xlws.FILTER(PriceList!$B$4:$B$2641,PriceList!$M$4:$M$2641=A458,""))</f>
        <v>RS018-F-1000-1205-081 | RS018-N-1000-1205-081</v>
      </c>
      <c r="E458" t="str" cm="1">
        <f t="array" ref="E458">_xlfn.TEXTJOIN(", ",TRUE,_xlfn._xlws.FILTER(ROW(PriceList!$B$4:$B$2641),PriceList!$M$4:$M$2641=A458,""))</f>
        <v>2228, 2357</v>
      </c>
      <c r="F458" s="42" t="str" cm="1">
        <f t="array" ref="F458">_xlfn.TEXTJOIN(" | ",TRUE,_xlfn.UNIQUE(_xlfn._xlws.FILTER(PriceList!$Q$4:$Q$2641&amp;" x "&amp;PriceList!$R$4:$R$2641&amp;" x "&amp;PriceList!$S$4:$S$2641,PriceList!$M$4:$M$2641=A458,"")))</f>
        <v>100 x 120.5 x 8.1</v>
      </c>
      <c r="G458" t="str" cm="1">
        <f t="array" ref="G458">INDEX(_xlfn._xlws.FILTER(PriceList!$P$4:$P$2641,PriceList!$M$4:$M$2641=A458,""),1)</f>
        <v>Rod Composite Seal - Stepped</v>
      </c>
    </row>
    <row r="459" spans="1:7" x14ac:dyDescent="0.45">
      <c r="A459" t="s">
        <v>5518</v>
      </c>
      <c r="B459">
        <f>COUNTIF(PriceList!$M$4:$M$2641,A459)</f>
        <v>1</v>
      </c>
      <c r="C459" t="str">
        <f>IF(B459=1,"1:1","1:Many")</f>
        <v>1:1</v>
      </c>
      <c r="D459" s="42" t="str" cm="1">
        <f t="array" ref="D459">_xlfn.TEXTJOIN(" | ",TRUE,_xlfn._xlws.FILTER(PriceList!$B$4:$B$2641,PriceList!$M$4:$M$2641=A459,""))</f>
        <v>RS063-U-1050-1205-063</v>
      </c>
      <c r="E459" t="str" cm="1">
        <f t="array" ref="E459">_xlfn.TEXTJOIN(", ",TRUE,_xlfn._xlws.FILTER(ROW(PriceList!$B$4:$B$2641),PriceList!$M$4:$M$2641=A459,""))</f>
        <v>2517</v>
      </c>
      <c r="F459" s="42" t="str" cm="1">
        <f t="array" ref="F459">_xlfn.TEXTJOIN(" | ",TRUE,_xlfn.UNIQUE(_xlfn._xlws.FILTER(PriceList!$Q$4:$Q$2641&amp;" x "&amp;PriceList!$R$4:$R$2641&amp;" x "&amp;PriceList!$S$4:$S$2641,PriceList!$M$4:$M$2641=A459,"")))</f>
        <v>105 x 120.5 x 6.3</v>
      </c>
      <c r="G459" t="str" cm="1">
        <f t="array" ref="G459">INDEX(_xlfn._xlws.FILTER(PriceList!$P$4:$P$2641,PriceList!$M$4:$M$2641=A459,""),1)</f>
        <v>Rod Composite Seal - Square Energiser with Extrusion Ring</v>
      </c>
    </row>
    <row r="460" spans="1:7" x14ac:dyDescent="0.45">
      <c r="A460" t="s">
        <v>5334</v>
      </c>
      <c r="B460">
        <f>COUNTIF(PriceList!$M$4:$M$2641,A460)</f>
        <v>2</v>
      </c>
      <c r="C460" t="str">
        <f>IF(B460=1,"1:1","1:Many")</f>
        <v>1:Many</v>
      </c>
      <c r="D460" s="42" t="str" cm="1">
        <f t="array" ref="D460">_xlfn.TEXTJOIN(" | ",TRUE,_xlfn._xlws.FILTER(PriceList!$B$4:$B$2641,PriceList!$M$4:$M$2641=A460,""))</f>
        <v>RS018-F-1050-1255-081 | RS018-N-1050-1255-081</v>
      </c>
      <c r="E460" t="str" cm="1">
        <f t="array" ref="E460">_xlfn.TEXTJOIN(", ",TRUE,_xlfn._xlws.FILTER(ROW(PriceList!$B$4:$B$2641),PriceList!$M$4:$M$2641=A460,""))</f>
        <v>2230, 2361</v>
      </c>
      <c r="F460" s="42" t="str" cm="1">
        <f t="array" ref="F460">_xlfn.TEXTJOIN(" | ",TRUE,_xlfn.UNIQUE(_xlfn._xlws.FILTER(PriceList!$Q$4:$Q$2641&amp;" x "&amp;PriceList!$R$4:$R$2641&amp;" x "&amp;PriceList!$S$4:$S$2641,PriceList!$M$4:$M$2641=A460,"")))</f>
        <v>105 x 125.5 x 8.1</v>
      </c>
      <c r="G460" t="str" cm="1">
        <f t="array" ref="G460">INDEX(_xlfn._xlws.FILTER(PriceList!$P$4:$P$2641,PriceList!$M$4:$M$2641=A460,""),1)</f>
        <v>Rod Composite Seal - Stepped</v>
      </c>
    </row>
    <row r="461" spans="1:7" x14ac:dyDescent="0.45">
      <c r="A461" t="s">
        <v>5239</v>
      </c>
      <c r="B461">
        <f>COUNTIF(PriceList!$M$4:$M$2641,A461)</f>
        <v>1</v>
      </c>
      <c r="C461" t="str">
        <f>IF(B461=1,"1:1","1:Many")</f>
        <v>1:1</v>
      </c>
      <c r="D461" s="42" t="str" cm="1">
        <f t="array" ref="D461">_xlfn.TEXTJOIN(" | ",TRUE,_xlfn._xlws.FILTER(PriceList!$B$4:$B$2641,PriceList!$M$4:$M$2641=A461,""))</f>
        <v>ROS004-U-1100-1200-053</v>
      </c>
      <c r="E461" t="str" cm="1">
        <f t="array" ref="E461">_xlfn.TEXTJOIN(", ",TRUE,_xlfn._xlws.FILTER(ROW(PriceList!$B$4:$B$2641),PriceList!$M$4:$M$2641=A461,""))</f>
        <v>2165</v>
      </c>
      <c r="F461" s="42" t="str" cm="1">
        <f t="array" ref="F461">_xlfn.TEXTJOIN(" | ",TRUE,_xlfn.UNIQUE(_xlfn._xlws.FILTER(PriceList!$Q$4:$Q$2641&amp;" x "&amp;PriceList!$R$4:$R$2641&amp;" x "&amp;PriceList!$S$4:$S$2641,PriceList!$M$4:$M$2641=A461,"")))</f>
        <v>110 x 121 x 4.2</v>
      </c>
      <c r="G461" t="str" cm="1">
        <f t="array" ref="G461">INDEX(_xlfn._xlws.FILTER(PriceList!$P$4:$P$2641,PriceList!$M$4:$M$2641=A461,""),1)</f>
        <v>Rod Composite Seal - Stepped</v>
      </c>
    </row>
    <row r="462" spans="1:7" x14ac:dyDescent="0.45">
      <c r="A462" t="s">
        <v>5521</v>
      </c>
      <c r="B462">
        <f>COUNTIF(PriceList!$M$4:$M$2641,A462)</f>
        <v>1</v>
      </c>
      <c r="C462" t="str">
        <f>IF(B462=1,"1:1","1:Many")</f>
        <v>1:1</v>
      </c>
      <c r="D462" s="42" t="str" cm="1">
        <f t="array" ref="D462">_xlfn.TEXTJOIN(" | ",TRUE,_xlfn._xlws.FILTER(PriceList!$B$4:$B$2641,PriceList!$M$4:$M$2641=A462,""))</f>
        <v>RS063-U-1150-1305-063</v>
      </c>
      <c r="E462" t="str" cm="1">
        <f t="array" ref="E462">_xlfn.TEXTJOIN(", ",TRUE,_xlfn._xlws.FILTER(ROW(PriceList!$B$4:$B$2641),PriceList!$M$4:$M$2641=A462,""))</f>
        <v>2519</v>
      </c>
      <c r="F462" s="42" t="str" cm="1">
        <f t="array" ref="F462">_xlfn.TEXTJOIN(" | ",TRUE,_xlfn.UNIQUE(_xlfn._xlws.FILTER(PriceList!$Q$4:$Q$2641&amp;" x "&amp;PriceList!$R$4:$R$2641&amp;" x "&amp;PriceList!$S$4:$S$2641,PriceList!$M$4:$M$2641=A462,"")))</f>
        <v>115 x 130.5 x 6.3</v>
      </c>
      <c r="G462" t="str" cm="1">
        <f t="array" ref="G462">INDEX(_xlfn._xlws.FILTER(PriceList!$P$4:$P$2641,PriceList!$M$4:$M$2641=A462,""),1)</f>
        <v>Rod Composite Seal - Square Energiser with Extrusion Ring</v>
      </c>
    </row>
    <row r="463" spans="1:7" ht="28.5" x14ac:dyDescent="0.45">
      <c r="A463" t="s">
        <v>5243</v>
      </c>
      <c r="B463">
        <f>COUNTIF(PriceList!$M$4:$M$2641,A463)</f>
        <v>3</v>
      </c>
      <c r="C463" t="str">
        <f>IF(B463=1,"1:1","1:Many")</f>
        <v>1:Many</v>
      </c>
      <c r="D463" s="42" t="str" cm="1">
        <f t="array" ref="D463">_xlfn.TEXTJOIN(" | ",TRUE,_xlfn._xlws.FILTER(PriceList!$B$4:$B$2641,PriceList!$M$4:$M$2641=A463,""))</f>
        <v>RS018-F-0120-0169-022 | RS018-N-0120-0169-022 | RS117-H-012-016.9-2.2</v>
      </c>
      <c r="E463" t="str" cm="1">
        <f t="array" ref="E463">_xlfn.TEXTJOIN(", ",TRUE,_xlfn._xlws.FILTER(ROW(PriceList!$B$4:$B$2641),PriceList!$M$4:$M$2641=A463,""))</f>
        <v>2168, 2273, 2580</v>
      </c>
      <c r="F463" s="42" t="str" cm="1">
        <f t="array" ref="F463">_xlfn.TEXTJOIN(" | ",TRUE,_xlfn.UNIQUE(_xlfn._xlws.FILTER(PriceList!$Q$4:$Q$2641&amp;" x "&amp;PriceList!$R$4:$R$2641&amp;" x "&amp;PriceList!$S$4:$S$2641,PriceList!$M$4:$M$2641=A463,"")))</f>
        <v>12 x 16.9 x 2.2</v>
      </c>
      <c r="G463" t="str" cm="1">
        <f t="array" ref="G463">INDEX(_xlfn._xlws.FILTER(PriceList!$P$4:$P$2641,PriceList!$M$4:$M$2641=A463,""),1)</f>
        <v>Rod Composite Seal - Stepped</v>
      </c>
    </row>
    <row r="464" spans="1:7" ht="28.5" x14ac:dyDescent="0.45">
      <c r="A464" t="s">
        <v>5244</v>
      </c>
      <c r="B464">
        <f>COUNTIF(PriceList!$M$4:$M$2641,A464)</f>
        <v>3</v>
      </c>
      <c r="C464" t="str">
        <f>IF(B464=1,"1:1","1:Many")</f>
        <v>1:Many</v>
      </c>
      <c r="D464" s="42" t="str" cm="1">
        <f t="array" ref="D464">_xlfn.TEXTJOIN(" | ",TRUE,_xlfn._xlws.FILTER(PriceList!$B$4:$B$2641,PriceList!$M$4:$M$2641=A464,""))</f>
        <v>RS018-F-0120-0193-032 | RS018-N-0120-0193-032 | RS117-H-012-019.3-3.2</v>
      </c>
      <c r="E464" t="str" cm="1">
        <f t="array" ref="E464">_xlfn.TEXTJOIN(", ",TRUE,_xlfn._xlws.FILTER(ROW(PriceList!$B$4:$B$2641),PriceList!$M$4:$M$2641=A464,""))</f>
        <v>2169, 2274, 2581</v>
      </c>
      <c r="F464" s="42" t="str" cm="1">
        <f t="array" ref="F464">_xlfn.TEXTJOIN(" | ",TRUE,_xlfn.UNIQUE(_xlfn._xlws.FILTER(PriceList!$Q$4:$Q$2641&amp;" x "&amp;PriceList!$R$4:$R$2641&amp;" x "&amp;PriceList!$S$4:$S$2641,PriceList!$M$4:$M$2641=A464,"")))</f>
        <v>12 x 19.5 x 3.2</v>
      </c>
      <c r="G464" t="str" cm="1">
        <f t="array" ref="G464">INDEX(_xlfn._xlws.FILTER(PriceList!$P$4:$P$2641,PriceList!$M$4:$M$2641=A464,""),1)</f>
        <v>Rod Composite Seal - Stepped</v>
      </c>
    </row>
    <row r="465" spans="1:7" x14ac:dyDescent="0.45">
      <c r="A465" t="s">
        <v>5522</v>
      </c>
      <c r="B465">
        <f>COUNTIF(PriceList!$M$4:$M$2641,A465)</f>
        <v>1</v>
      </c>
      <c r="C465" t="str">
        <f>IF(B465=1,"1:1","1:Many")</f>
        <v>1:1</v>
      </c>
      <c r="D465" s="42" t="str" cm="1">
        <f t="array" ref="D465">_xlfn.TEXTJOIN(" | ",TRUE,_xlfn._xlws.FILTER(PriceList!$B$4:$B$2641,PriceList!$M$4:$M$2641=A465,""))</f>
        <v>RS063-U-1200-1355-063</v>
      </c>
      <c r="E465" t="str" cm="1">
        <f t="array" ref="E465">_xlfn.TEXTJOIN(", ",TRUE,_xlfn._xlws.FILTER(ROW(PriceList!$B$4:$B$2641),PriceList!$M$4:$M$2641=A465,""))</f>
        <v>2520</v>
      </c>
      <c r="F465" s="42" t="str" cm="1">
        <f t="array" ref="F465">_xlfn.TEXTJOIN(" | ",TRUE,_xlfn.UNIQUE(_xlfn._xlws.FILTER(PriceList!$Q$4:$Q$2641&amp;" x "&amp;PriceList!$R$4:$R$2641&amp;" x "&amp;PriceList!$S$4:$S$2641,PriceList!$M$4:$M$2641=A465,"")))</f>
        <v>120 x 135.5 x 6.3</v>
      </c>
      <c r="G465" t="str" cm="1">
        <f t="array" ref="G465">INDEX(_xlfn._xlws.FILTER(PriceList!$P$4:$P$2641,PriceList!$M$4:$M$2641=A465,""),1)</f>
        <v>Rod Composite Seal - Stepped</v>
      </c>
    </row>
    <row r="466" spans="1:7" x14ac:dyDescent="0.45">
      <c r="A466" t="s">
        <v>5345</v>
      </c>
      <c r="B466">
        <f>COUNTIF(PriceList!$M$4:$M$2641,A466)</f>
        <v>2</v>
      </c>
      <c r="C466" t="str">
        <f>IF(B466=1,"1:1","1:Many")</f>
        <v>1:Many</v>
      </c>
      <c r="D466" s="42" t="str" cm="1">
        <f t="array" ref="D466">_xlfn.TEXTJOIN(" | ",TRUE,_xlfn._xlws.FILTER(PriceList!$B$4:$B$2641,PriceList!$M$4:$M$2641=A466,""))</f>
        <v>RS018-F-1250-1455-081 | RS018-N-1250-1455-081</v>
      </c>
      <c r="E466" t="str" cm="1">
        <f t="array" ref="E466">_xlfn.TEXTJOIN(", ",TRUE,_xlfn._xlws.FILTER(ROW(PriceList!$B$4:$B$2641),PriceList!$M$4:$M$2641=A466,""))</f>
        <v>2239, 2370</v>
      </c>
      <c r="F466" s="42" t="str" cm="1">
        <f t="array" ref="F466">_xlfn.TEXTJOIN(" | ",TRUE,_xlfn.UNIQUE(_xlfn._xlws.FILTER(PriceList!$Q$4:$Q$2641&amp;" x "&amp;PriceList!$R$4:$R$2641&amp;" x "&amp;PriceList!$S$4:$S$2641,PriceList!$M$4:$M$2641=A466,"")))</f>
        <v>125 x 145.5 x 8.1</v>
      </c>
      <c r="G466" t="str" cm="1">
        <f t="array" ref="G466">INDEX(_xlfn._xlws.FILTER(PriceList!$P$4:$P$2641,PriceList!$M$4:$M$2641=A466,""),1)</f>
        <v>Rod Composite Seal - Stepped</v>
      </c>
    </row>
    <row r="467" spans="1:7" x14ac:dyDescent="0.45">
      <c r="A467" t="s">
        <v>5424</v>
      </c>
      <c r="B467">
        <f>COUNTIF(PriceList!$M$4:$M$2641,A467)</f>
        <v>2</v>
      </c>
      <c r="C467" t="str">
        <f>IF(B467=1,"1:1","1:Many")</f>
        <v>1:Many</v>
      </c>
      <c r="D467" s="42" t="str" cm="1">
        <f t="array" ref="D467">_xlfn.TEXTJOIN(" | ",TRUE,_xlfn._xlws.FILTER(PriceList!$B$4:$B$2641,PriceList!$M$4:$M$2641=A467,""))</f>
        <v>RS018-N-1360-1511-063 | RS063-U-1350-1505-063</v>
      </c>
      <c r="E467" t="str" cm="1">
        <f t="array" ref="E467">_xlfn.TEXTJOIN(", ",TRUE,_xlfn._xlws.FILTER(ROW(PriceList!$B$4:$B$2641),PriceList!$M$4:$M$2641=A467,""))</f>
        <v>2376, 2524</v>
      </c>
      <c r="F467" s="42" t="str" cm="1">
        <f t="array" ref="F467">_xlfn.TEXTJOIN(" | ",TRUE,_xlfn.UNIQUE(_xlfn._xlws.FILTER(PriceList!$Q$4:$Q$2641&amp;" x "&amp;PriceList!$R$4:$R$2641&amp;" x "&amp;PriceList!$S$4:$S$2641,PriceList!$M$4:$M$2641=A467,"")))</f>
        <v>135 x 150.5 x 6.3</v>
      </c>
      <c r="G467" t="str" cm="1">
        <f t="array" ref="G467">INDEX(_xlfn._xlws.FILTER(PriceList!$P$4:$P$2641,PriceList!$M$4:$M$2641=A467,""),1)</f>
        <v>Rod Composite Seal - Stepped</v>
      </c>
    </row>
    <row r="468" spans="1:7" x14ac:dyDescent="0.45">
      <c r="A468" t="s">
        <v>5384</v>
      </c>
      <c r="B468">
        <f>COUNTIF(PriceList!$M$4:$M$2641,A468)</f>
        <v>1</v>
      </c>
      <c r="C468" t="str">
        <f>IF(B468=1,"1:1","1:Many")</f>
        <v>1:1</v>
      </c>
      <c r="D468" s="42" t="str" cm="1">
        <f t="array" ref="D468">_xlfn.TEXTJOIN(" | ",TRUE,_xlfn._xlws.FILTER(PriceList!$B$4:$B$2641,PriceList!$M$4:$M$2641=A468,""))</f>
        <v>RS018-N-0140-0189-022</v>
      </c>
      <c r="E468" t="str" cm="1">
        <f t="array" ref="E468">_xlfn.TEXTJOIN(", ",TRUE,_xlfn._xlws.FILTER(ROW(PriceList!$B$4:$B$2641),PriceList!$M$4:$M$2641=A468,""))</f>
        <v>2275</v>
      </c>
      <c r="F468" s="42" t="str" cm="1">
        <f t="array" ref="F468">_xlfn.TEXTJOIN(" | ",TRUE,_xlfn.UNIQUE(_xlfn._xlws.FILTER(PriceList!$Q$4:$Q$2641&amp;" x "&amp;PriceList!$R$4:$R$2641&amp;" x "&amp;PriceList!$S$4:$S$2641,PriceList!$M$4:$M$2641=A468,"")))</f>
        <v>14 x 18.9 x 2.2</v>
      </c>
      <c r="G468" t="str" cm="1">
        <f t="array" ref="G468">INDEX(_xlfn._xlws.FILTER(PriceList!$P$4:$P$2641,PriceList!$M$4:$M$2641=A468,""),1)</f>
        <v>Rod Composite Seal - Stepped</v>
      </c>
    </row>
    <row r="469" spans="1:7" ht="28.5" x14ac:dyDescent="0.45">
      <c r="A469" t="s">
        <v>5245</v>
      </c>
      <c r="B469">
        <f>COUNTIF(PriceList!$M$4:$M$2641,A469)</f>
        <v>3</v>
      </c>
      <c r="C469" t="str">
        <f>IF(B469=1,"1:1","1:Many")</f>
        <v>1:Many</v>
      </c>
      <c r="D469" s="42" t="str" cm="1">
        <f t="array" ref="D469">_xlfn.TEXTJOIN(" | ",TRUE,_xlfn._xlws.FILTER(PriceList!$B$4:$B$2641,PriceList!$M$4:$M$2641=A469,""))</f>
        <v>RS018-F-0140-0213-032 | RS018-N-0140-0213-032 | RS117-H-014-021.3-3.2</v>
      </c>
      <c r="E469" t="str" cm="1">
        <f t="array" ref="E469">_xlfn.TEXTJOIN(", ",TRUE,_xlfn._xlws.FILTER(ROW(PriceList!$B$4:$B$2641),PriceList!$M$4:$M$2641=A469,""))</f>
        <v>2170, 2276, 2582</v>
      </c>
      <c r="F469" s="42" t="str" cm="1">
        <f t="array" ref="F469">_xlfn.TEXTJOIN(" | ",TRUE,_xlfn.UNIQUE(_xlfn._xlws.FILTER(PriceList!$Q$4:$Q$2641&amp;" x "&amp;PriceList!$R$4:$R$2641&amp;" x "&amp;PriceList!$S$4:$S$2641,PriceList!$M$4:$M$2641=A469,"")))</f>
        <v>14 x 21.5 x 3.2</v>
      </c>
      <c r="G469" t="str" cm="1">
        <f t="array" ref="G469">INDEX(_xlfn._xlws.FILTER(PriceList!$P$4:$P$2641,PriceList!$M$4:$M$2641=A469,""),1)</f>
        <v>Rod Composite Seal - Stepped</v>
      </c>
    </row>
    <row r="470" spans="1:7" x14ac:dyDescent="0.45">
      <c r="A470" t="s">
        <v>5526</v>
      </c>
      <c r="B470">
        <f>COUNTIF(PriceList!$M$4:$M$2641,A470)</f>
        <v>1</v>
      </c>
      <c r="C470" t="str">
        <f>IF(B470=1,"1:1","1:Many")</f>
        <v>1:1</v>
      </c>
      <c r="D470" s="42" t="str" cm="1">
        <f t="array" ref="D470">_xlfn.TEXTJOIN(" | ",TRUE,_xlfn._xlws.FILTER(PriceList!$B$4:$B$2641,PriceList!$M$4:$M$2641=A470,""))</f>
        <v>RS063-U-1400-1555-063</v>
      </c>
      <c r="E470" t="str" cm="1">
        <f t="array" ref="E470">_xlfn.TEXTJOIN(", ",TRUE,_xlfn._xlws.FILTER(ROW(PriceList!$B$4:$B$2641),PriceList!$M$4:$M$2641=A470,""))</f>
        <v>2525</v>
      </c>
      <c r="F470" s="42" t="str" cm="1">
        <f t="array" ref="F470">_xlfn.TEXTJOIN(" | ",TRUE,_xlfn.UNIQUE(_xlfn._xlws.FILTER(PriceList!$Q$4:$Q$2641&amp;" x "&amp;PriceList!$R$4:$R$2641&amp;" x "&amp;PriceList!$S$4:$S$2641,PriceList!$M$4:$M$2641=A470,"")))</f>
        <v>140 x 155.5 x 6.3</v>
      </c>
      <c r="G470" t="str" cm="1">
        <f t="array" ref="G470">INDEX(_xlfn._xlws.FILTER(PriceList!$P$4:$P$2641,PriceList!$M$4:$M$2641=A470,""),1)</f>
        <v>Rod Composite Seal - Chamfered</v>
      </c>
    </row>
    <row r="471" spans="1:7" x14ac:dyDescent="0.45">
      <c r="A471" t="s">
        <v>5246</v>
      </c>
      <c r="B471">
        <f>COUNTIF(PriceList!$M$4:$M$2641,A471)</f>
        <v>2</v>
      </c>
      <c r="C471" t="str">
        <f>IF(B471=1,"1:1","1:Many")</f>
        <v>1:Many</v>
      </c>
      <c r="D471" s="42" t="str" cm="1">
        <f t="array" ref="D471">_xlfn.TEXTJOIN(" | ",TRUE,_xlfn._xlws.FILTER(PriceList!$B$4:$B$2641,PriceList!$M$4:$M$2641=A471,""))</f>
        <v>RS018-F-0150-0223-032 | RS018-N-0150-0223-032</v>
      </c>
      <c r="E471" t="str" cm="1">
        <f t="array" ref="E471">_xlfn.TEXTJOIN(", ",TRUE,_xlfn._xlws.FILTER(ROW(PriceList!$B$4:$B$2641),PriceList!$M$4:$M$2641=A471,""))</f>
        <v>2171, 2277</v>
      </c>
      <c r="F471" s="42" t="str" cm="1">
        <f t="array" ref="F471">_xlfn.TEXTJOIN(" | ",TRUE,_xlfn.UNIQUE(_xlfn._xlws.FILTER(PriceList!$Q$4:$Q$2641&amp;" x "&amp;PriceList!$R$4:$R$2641&amp;" x "&amp;PriceList!$S$4:$S$2641,PriceList!$M$4:$M$2641=A471,"")))</f>
        <v>15 x 22.3 x 3.2</v>
      </c>
      <c r="G471" t="str" cm="1">
        <f t="array" ref="G471">INDEX(_xlfn._xlws.FILTER(PriceList!$P$4:$P$2641,PriceList!$M$4:$M$2641=A471,""),1)</f>
        <v>Rod Composite Seal - Chamfered</v>
      </c>
    </row>
    <row r="472" spans="1:7" x14ac:dyDescent="0.45">
      <c r="A472" t="s">
        <v>5528</v>
      </c>
      <c r="B472">
        <f>COUNTIF(PriceList!$M$4:$M$2641,A472)</f>
        <v>1</v>
      </c>
      <c r="C472" t="str">
        <f>IF(B472=1,"1:1","1:Many")</f>
        <v>1:1</v>
      </c>
      <c r="D472" s="42" t="str" cm="1">
        <f t="array" ref="D472">_xlfn.TEXTJOIN(" | ",TRUE,_xlfn._xlws.FILTER(PriceList!$B$4:$B$2641,PriceList!$M$4:$M$2641=A472,""))</f>
        <v>RS063-U-1500-1655-063</v>
      </c>
      <c r="E472" t="str" cm="1">
        <f t="array" ref="E472">_xlfn.TEXTJOIN(", ",TRUE,_xlfn._xlws.FILTER(ROW(PriceList!$B$4:$B$2641),PriceList!$M$4:$M$2641=A472,""))</f>
        <v>2527</v>
      </c>
      <c r="F472" s="42" t="str" cm="1">
        <f t="array" ref="F472">_xlfn.TEXTJOIN(" | ",TRUE,_xlfn.UNIQUE(_xlfn._xlws.FILTER(PriceList!$Q$4:$Q$2641&amp;" x "&amp;PriceList!$R$4:$R$2641&amp;" x "&amp;PriceList!$S$4:$S$2641,PriceList!$M$4:$M$2641=A472,"")))</f>
        <v>150 x 165.5 x 6.3</v>
      </c>
      <c r="G472" t="str" cm="1">
        <f t="array" ref="G472">INDEX(_xlfn._xlws.FILTER(PriceList!$P$4:$P$2641,PriceList!$M$4:$M$2641=A472,""),1)</f>
        <v>Rod Composite Seal - Chamfered</v>
      </c>
    </row>
    <row r="473" spans="1:7" x14ac:dyDescent="0.45">
      <c r="A473" t="s">
        <v>5529</v>
      </c>
      <c r="B473">
        <f>COUNTIF(PriceList!$M$4:$M$2641,A473)</f>
        <v>1</v>
      </c>
      <c r="C473" t="str">
        <f>IF(B473=1,"1:1","1:Many")</f>
        <v>1:1</v>
      </c>
      <c r="D473" s="42" t="str" cm="1">
        <f t="array" ref="D473">_xlfn.TEXTJOIN(" | ",TRUE,_xlfn._xlws.FILTER(PriceList!$B$4:$B$2641,PriceList!$M$4:$M$2641=A473,""))</f>
        <v>RS063-U-1550-1705-063</v>
      </c>
      <c r="E473" t="str" cm="1">
        <f t="array" ref="E473">_xlfn.TEXTJOIN(", ",TRUE,_xlfn._xlws.FILTER(ROW(PriceList!$B$4:$B$2641),PriceList!$M$4:$M$2641=A473,""))</f>
        <v>2529</v>
      </c>
      <c r="F473" s="42" t="str" cm="1">
        <f t="array" ref="F473">_xlfn.TEXTJOIN(" | ",TRUE,_xlfn.UNIQUE(_xlfn._xlws.FILTER(PriceList!$Q$4:$Q$2641&amp;" x "&amp;PriceList!$R$4:$R$2641&amp;" x "&amp;PriceList!$S$4:$S$2641,PriceList!$M$4:$M$2641=A473,"")))</f>
        <v>155 x 170.5 x 6.3</v>
      </c>
      <c r="G473" t="str" cm="1">
        <f t="array" ref="G473">INDEX(_xlfn._xlws.FILTER(PriceList!$P$4:$P$2641,PriceList!$M$4:$M$2641=A473,""),1)</f>
        <v>Rod Composite Seal - Stepped</v>
      </c>
    </row>
    <row r="474" spans="1:7" x14ac:dyDescent="0.45">
      <c r="A474" t="s">
        <v>5389</v>
      </c>
      <c r="B474">
        <f>COUNTIF(PriceList!$M$4:$M$2641,A474)</f>
        <v>1</v>
      </c>
      <c r="C474" t="str">
        <f>IF(B474=1,"1:1","1:Many")</f>
        <v>1:1</v>
      </c>
      <c r="D474" s="42" t="str" cm="1">
        <f t="array" ref="D474">_xlfn.TEXTJOIN(" | ",TRUE,_xlfn._xlws.FILTER(PriceList!$B$4:$B$2641,PriceList!$M$4:$M$2641=A474,""))</f>
        <v>RS018-N-0160-0209-022</v>
      </c>
      <c r="E474" t="str" cm="1">
        <f t="array" ref="E474">_xlfn.TEXTJOIN(", ",TRUE,_xlfn._xlws.FILTER(ROW(PriceList!$B$4:$B$2641),PriceList!$M$4:$M$2641=A474,""))</f>
        <v>2279</v>
      </c>
      <c r="F474" s="42" t="str" cm="1">
        <f t="array" ref="F474">_xlfn.TEXTJOIN(" | ",TRUE,_xlfn.UNIQUE(_xlfn._xlws.FILTER(PriceList!$Q$4:$Q$2641&amp;" x "&amp;PriceList!$R$4:$R$2641&amp;" x "&amp;PriceList!$S$4:$S$2641,PriceList!$M$4:$M$2641=A474,"")))</f>
        <v>16 x 20.9 x 2.2</v>
      </c>
      <c r="G474" t="str" cm="1">
        <f t="array" ref="G474">INDEX(_xlfn._xlws.FILTER(PriceList!$P$4:$P$2641,PriceList!$M$4:$M$2641=A474,""),1)</f>
        <v>Rod Composite Seal - Stepped</v>
      </c>
    </row>
    <row r="475" spans="1:7" ht="28.5" x14ac:dyDescent="0.45">
      <c r="A475" t="s">
        <v>5247</v>
      </c>
      <c r="B475">
        <f>COUNTIF(PriceList!$M$4:$M$2641,A475)</f>
        <v>3</v>
      </c>
      <c r="C475" t="str">
        <f>IF(B475=1,"1:1","1:Many")</f>
        <v>1:Many</v>
      </c>
      <c r="D475" s="42" t="str" cm="1">
        <f t="array" ref="D475">_xlfn.TEXTJOIN(" | ",TRUE,_xlfn._xlws.FILTER(PriceList!$B$4:$B$2641,PriceList!$M$4:$M$2641=A475,""))</f>
        <v>RS018-F-0160-0233-032 | RS018-N-0160-0233-032 | RS117-H-016-023.3-3.2</v>
      </c>
      <c r="E475" t="str" cm="1">
        <f t="array" ref="E475">_xlfn.TEXTJOIN(", ",TRUE,_xlfn._xlws.FILTER(ROW(PriceList!$B$4:$B$2641),PriceList!$M$4:$M$2641=A475,""))</f>
        <v>2172, 2280, 2583</v>
      </c>
      <c r="F475" s="42" t="str" cm="1">
        <f t="array" ref="F475">_xlfn.TEXTJOIN(" | ",TRUE,_xlfn.UNIQUE(_xlfn._xlws.FILTER(PriceList!$Q$4:$Q$2641&amp;" x "&amp;PriceList!$R$4:$R$2641&amp;" x "&amp;PriceList!$S$4:$S$2641,PriceList!$M$4:$M$2641=A475,"")))</f>
        <v>16 x 23.5 x 3.2</v>
      </c>
      <c r="G475" t="str" cm="1">
        <f t="array" ref="G475">INDEX(_xlfn._xlws.FILTER(PriceList!$P$4:$P$2641,PriceList!$M$4:$M$2641=A475,""),1)</f>
        <v>Rod Composite Seal - Stepped</v>
      </c>
    </row>
    <row r="476" spans="1:7" x14ac:dyDescent="0.45">
      <c r="A476" t="s">
        <v>5530</v>
      </c>
      <c r="B476">
        <f>COUNTIF(PriceList!$M$4:$M$2641,A476)</f>
        <v>1</v>
      </c>
      <c r="C476" t="str">
        <f>IF(B476=1,"1:1","1:Many")</f>
        <v>1:1</v>
      </c>
      <c r="D476" s="42" t="str" cm="1">
        <f t="array" ref="D476">_xlfn.TEXTJOIN(" | ",TRUE,_xlfn._xlws.FILTER(PriceList!$B$4:$B$2641,PriceList!$M$4:$M$2641=A476,""))</f>
        <v>RS063-U-1600-1755-063</v>
      </c>
      <c r="E476" t="str" cm="1">
        <f t="array" ref="E476">_xlfn.TEXTJOIN(", ",TRUE,_xlfn._xlws.FILTER(ROW(PriceList!$B$4:$B$2641),PriceList!$M$4:$M$2641=A476,""))</f>
        <v>2530</v>
      </c>
      <c r="F476" s="42" t="str" cm="1">
        <f t="array" ref="F476">_xlfn.TEXTJOIN(" | ",TRUE,_xlfn.UNIQUE(_xlfn._xlws.FILTER(PriceList!$Q$4:$Q$2641&amp;" x "&amp;PriceList!$R$4:$R$2641&amp;" x "&amp;PriceList!$S$4:$S$2641,PriceList!$M$4:$M$2641=A476,"")))</f>
        <v>160 x 175.5 x 6.3</v>
      </c>
      <c r="G476" t="str" cm="1">
        <f t="array" ref="G476">INDEX(_xlfn._xlws.FILTER(PriceList!$P$4:$P$2641,PriceList!$M$4:$M$2641=A476,""),1)</f>
        <v>Rod Composite Seal - Stepped</v>
      </c>
    </row>
    <row r="477" spans="1:7" x14ac:dyDescent="0.45">
      <c r="A477" t="s">
        <v>5358</v>
      </c>
      <c r="B477">
        <f>COUNTIF(PriceList!$M$4:$M$2641,A477)</f>
        <v>2</v>
      </c>
      <c r="C477" t="str">
        <f>IF(B477=1,"1:1","1:Many")</f>
        <v>1:Many</v>
      </c>
      <c r="D477" s="42" t="str" cm="1">
        <f t="array" ref="D477">_xlfn.TEXTJOIN(" | ",TRUE,_xlfn._xlws.FILTER(PriceList!$B$4:$B$2641,PriceList!$M$4:$M$2641=A477,""))</f>
        <v>RS018-F-1600-1805-081 | RS018-N-1600-1805-081</v>
      </c>
      <c r="E477" t="str" cm="1">
        <f t="array" ref="E477">_xlfn.TEXTJOIN(", ",TRUE,_xlfn._xlws.FILTER(ROW(PriceList!$B$4:$B$2641),PriceList!$M$4:$M$2641=A477,""))</f>
        <v>2250, 2386</v>
      </c>
      <c r="F477" s="42" t="str" cm="1">
        <f t="array" ref="F477">_xlfn.TEXTJOIN(" | ",TRUE,_xlfn.UNIQUE(_xlfn._xlws.FILTER(PriceList!$Q$4:$Q$2641&amp;" x "&amp;PriceList!$R$4:$R$2641&amp;" x "&amp;PriceList!$S$4:$S$2641,PriceList!$M$4:$M$2641=A477,"")))</f>
        <v>160 x 180.5 x 8.1</v>
      </c>
      <c r="G477" t="str" cm="1">
        <f t="array" ref="G477">INDEX(_xlfn._xlws.FILTER(PriceList!$P$4:$P$2641,PriceList!$M$4:$M$2641=A477,""),1)</f>
        <v>Rod Composite Seal - Stepped</v>
      </c>
    </row>
    <row r="478" spans="1:7" x14ac:dyDescent="0.45">
      <c r="A478" t="s">
        <v>5531</v>
      </c>
      <c r="B478">
        <f>COUNTIF(PriceList!$M$4:$M$2641,A478)</f>
        <v>1</v>
      </c>
      <c r="C478" t="str">
        <f>IF(B478=1,"1:1","1:Many")</f>
        <v>1:1</v>
      </c>
      <c r="D478" s="42" t="str" cm="1">
        <f t="array" ref="D478">_xlfn.TEXTJOIN(" | ",TRUE,_xlfn._xlws.FILTER(PriceList!$B$4:$B$2641,PriceList!$M$4:$M$2641=A478,""))</f>
        <v>RS063-U-1700-1855-063</v>
      </c>
      <c r="E478" t="str" cm="1">
        <f t="array" ref="E478">_xlfn.TEXTJOIN(", ",TRUE,_xlfn._xlws.FILTER(ROW(PriceList!$B$4:$B$2641),PriceList!$M$4:$M$2641=A478,""))</f>
        <v>2531</v>
      </c>
      <c r="F478" s="42" t="str" cm="1">
        <f t="array" ref="F478">_xlfn.TEXTJOIN(" | ",TRUE,_xlfn.UNIQUE(_xlfn._xlws.FILTER(PriceList!$Q$4:$Q$2641&amp;" x "&amp;PriceList!$R$4:$R$2641&amp;" x "&amp;PriceList!$S$4:$S$2641,PriceList!$M$4:$M$2641=A478,"")))</f>
        <v>170 x 185.5 x 6.3</v>
      </c>
      <c r="G478" t="str" cm="1">
        <f t="array" ref="G478">INDEX(_xlfn._xlws.FILTER(PriceList!$P$4:$P$2641,PriceList!$M$4:$M$2641=A478,""),1)</f>
        <v>Rod Composite Seal - Stepped</v>
      </c>
    </row>
    <row r="479" spans="1:7" x14ac:dyDescent="0.45">
      <c r="A479" t="s">
        <v>5396</v>
      </c>
      <c r="B479">
        <f>COUNTIF(PriceList!$M$4:$M$2641,A479)</f>
        <v>1</v>
      </c>
      <c r="C479" t="str">
        <f>IF(B479=1,"1:1","1:Many")</f>
        <v>1:1</v>
      </c>
      <c r="D479" s="42" t="str" cm="1">
        <f t="array" ref="D479">_xlfn.TEXTJOIN(" | ",TRUE,_xlfn._xlws.FILTER(PriceList!$B$4:$B$2641,PriceList!$M$4:$M$2641=A479,""))</f>
        <v>RS018-N-0445-0552-042</v>
      </c>
      <c r="E479" t="str" cm="1">
        <f t="array" ref="E479">_xlfn.TEXTJOIN(", ",TRUE,_xlfn._xlws.FILTER(ROW(PriceList!$B$4:$B$2641),PriceList!$M$4:$M$2641=A479,""))</f>
        <v>2311</v>
      </c>
      <c r="F479" s="42" t="str" cm="1">
        <f t="array" ref="F479">_xlfn.TEXTJOIN(" | ",TRUE,_xlfn.UNIQUE(_xlfn._xlws.FILTER(PriceList!$Q$4:$Q$2641&amp;" x "&amp;PriceList!$R$4:$R$2641&amp;" x "&amp;PriceList!$S$4:$S$2641,PriceList!$M$4:$M$2641=A479,"")))</f>
        <v>44.45 x 55.118 x 4.064</v>
      </c>
      <c r="G479" t="str" cm="1">
        <f t="array" ref="G479">INDEX(_xlfn._xlws.FILTER(PriceList!$P$4:$P$2641,PriceList!$M$4:$M$2641=A479,""),1)</f>
        <v>Rod Composite Seal - Stepped</v>
      </c>
    </row>
    <row r="480" spans="1:7" x14ac:dyDescent="0.45">
      <c r="A480" t="s">
        <v>5248</v>
      </c>
      <c r="B480">
        <f>COUNTIF(PriceList!$M$4:$M$2641,A480)</f>
        <v>2</v>
      </c>
      <c r="C480" t="str">
        <f>IF(B480=1,"1:1","1:Many")</f>
        <v>1:Many</v>
      </c>
      <c r="D480" s="42" t="str" cm="1">
        <f t="array" ref="D480">_xlfn.TEXTJOIN(" | ",TRUE,_xlfn._xlws.FILTER(PriceList!$B$4:$B$2641,PriceList!$M$4:$M$2641=A480,""))</f>
        <v>RS018-F-0180-0229-022 | RS018-N-0180-0229-022</v>
      </c>
      <c r="E480" t="str" cm="1">
        <f t="array" ref="E480">_xlfn.TEXTJOIN(", ",TRUE,_xlfn._xlws.FILTER(ROW(PriceList!$B$4:$B$2641),PriceList!$M$4:$M$2641=A480,""))</f>
        <v>2173, 2281</v>
      </c>
      <c r="F480" s="42" t="str" cm="1">
        <f t="array" ref="F480">_xlfn.TEXTJOIN(" | ",TRUE,_xlfn.UNIQUE(_xlfn._xlws.FILTER(PriceList!$Q$4:$Q$2641&amp;" x "&amp;PriceList!$R$4:$R$2641&amp;" x "&amp;PriceList!$S$4:$S$2641,PriceList!$M$4:$M$2641=A480,"")))</f>
        <v>18 x 22.9 x 2.2</v>
      </c>
      <c r="G480" t="str" cm="1">
        <f t="array" ref="G480">INDEX(_xlfn._xlws.FILTER(PriceList!$P$4:$P$2641,PriceList!$M$4:$M$2641=A480,""),1)</f>
        <v>Rod Composite Seal - Stepped</v>
      </c>
    </row>
    <row r="481" spans="1:7" x14ac:dyDescent="0.45">
      <c r="A481" t="s">
        <v>5532</v>
      </c>
      <c r="B481">
        <f>COUNTIF(PriceList!$M$4:$M$2641,A481)</f>
        <v>1</v>
      </c>
      <c r="C481" t="str">
        <f>IF(B481=1,"1:1","1:Many")</f>
        <v>1:1</v>
      </c>
      <c r="D481" s="42" t="str" cm="1">
        <f t="array" ref="D481">_xlfn.TEXTJOIN(" | ",TRUE,_xlfn._xlws.FILTER(PriceList!$B$4:$B$2641,PriceList!$M$4:$M$2641=A481,""))</f>
        <v>RS063-U-1800-1955-063</v>
      </c>
      <c r="E481" t="str" cm="1">
        <f t="array" ref="E481">_xlfn.TEXTJOIN(", ",TRUE,_xlfn._xlws.FILTER(ROW(PriceList!$B$4:$B$2641),PriceList!$M$4:$M$2641=A481,""))</f>
        <v>2532</v>
      </c>
      <c r="F481" s="42" t="str" cm="1">
        <f t="array" ref="F481">_xlfn.TEXTJOIN(" | ",TRUE,_xlfn.UNIQUE(_xlfn._xlws.FILTER(PriceList!$Q$4:$Q$2641&amp;" x "&amp;PriceList!$R$4:$R$2641&amp;" x "&amp;PriceList!$S$4:$S$2641,PriceList!$M$4:$M$2641=A481,"")))</f>
        <v>180 x 195.5 x 6.3</v>
      </c>
      <c r="G481" t="str" cm="1">
        <f t="array" ref="G481">INDEX(_xlfn._xlws.FILTER(PriceList!$P$4:$P$2641,PriceList!$M$4:$M$2641=A481,""),1)</f>
        <v>Rod Composite Seal - Stepped</v>
      </c>
    </row>
    <row r="482" spans="1:7" x14ac:dyDescent="0.45">
      <c r="A482" t="s">
        <v>5367</v>
      </c>
      <c r="B482">
        <f>COUNTIF(PriceList!$M$4:$M$2641,A482)</f>
        <v>2</v>
      </c>
      <c r="C482" t="str">
        <f>IF(B482=1,"1:1","1:Many")</f>
        <v>1:Many</v>
      </c>
      <c r="D482" s="42" t="str" cm="1">
        <f t="array" ref="D482">_xlfn.TEXTJOIN(" | ",TRUE,_xlfn._xlws.FILTER(PriceList!$B$4:$B$2641,PriceList!$M$4:$M$2641=A482,""))</f>
        <v>RS018-F-1900-2055-063 | RS063-U-1900-2055-063</v>
      </c>
      <c r="E482" t="str" cm="1">
        <f t="array" ref="E482">_xlfn.TEXTJOIN(", ",TRUE,_xlfn._xlws.FILTER(ROW(PriceList!$B$4:$B$2641),PriceList!$M$4:$M$2641=A482,""))</f>
        <v>2256, 2533</v>
      </c>
      <c r="F482" s="42" t="str" cm="1">
        <f t="array" ref="F482">_xlfn.TEXTJOIN(" | ",TRUE,_xlfn.UNIQUE(_xlfn._xlws.FILTER(PriceList!$Q$4:$Q$2641&amp;" x "&amp;PriceList!$R$4:$R$2641&amp;" x "&amp;PriceList!$S$4:$S$2641,PriceList!$M$4:$M$2641=A482,"")))</f>
        <v>190 x 205.5 x 6.3</v>
      </c>
      <c r="G482" t="str" cm="1">
        <f t="array" ref="G482">INDEX(_xlfn._xlws.FILTER(PriceList!$P$4:$P$2641,PriceList!$M$4:$M$2641=A482,""),1)</f>
        <v>Rod Composite Seal - Stepped</v>
      </c>
    </row>
    <row r="483" spans="1:7" x14ac:dyDescent="0.45">
      <c r="A483" t="s">
        <v>5257</v>
      </c>
      <c r="B483">
        <f>COUNTIF(PriceList!$M$4:$M$2641,A483)</f>
        <v>2</v>
      </c>
      <c r="C483" t="str">
        <f>IF(B483=1,"1:1","1:Many")</f>
        <v>1:Many</v>
      </c>
      <c r="D483" s="42" t="str" cm="1">
        <f t="array" ref="D483">_xlfn.TEXTJOIN(" | ",TRUE,_xlfn._xlws.FILTER(PriceList!$B$4:$B$2641,PriceList!$M$4:$M$2641=A483,""))</f>
        <v>RS018-F-0200-0273-032 | RS018-N-0200-0273-032</v>
      </c>
      <c r="E483" t="str" cm="1">
        <f t="array" ref="E483">_xlfn.TEXTJOIN(", ",TRUE,_xlfn._xlws.FILTER(ROW(PriceList!$B$4:$B$2641),PriceList!$M$4:$M$2641=A483,""))</f>
        <v>2176, 2284</v>
      </c>
      <c r="F483" s="42" t="str" cm="1">
        <f t="array" ref="F483">_xlfn.TEXTJOIN(" | ",TRUE,_xlfn.UNIQUE(_xlfn._xlws.FILTER(PriceList!$Q$4:$Q$2641&amp;" x "&amp;PriceList!$R$4:$R$2641&amp;" x "&amp;PriceList!$S$4:$S$2641,PriceList!$M$4:$M$2641=A483,"")))</f>
        <v>20 x 27.5 x 3.2</v>
      </c>
      <c r="G483" t="str" cm="1">
        <f t="array" ref="G483">INDEX(_xlfn._xlws.FILTER(PriceList!$P$4:$P$2641,PriceList!$M$4:$M$2641=A483,""),1)</f>
        <v>Rod Composite Seal - Cave Seal</v>
      </c>
    </row>
    <row r="484" spans="1:7" x14ac:dyDescent="0.45">
      <c r="A484" t="s">
        <v>5533</v>
      </c>
      <c r="B484">
        <f>COUNTIF(PriceList!$M$4:$M$2641,A484)</f>
        <v>1</v>
      </c>
      <c r="C484" t="str">
        <f>IF(B484=1,"1:1","1:Many")</f>
        <v>1:1</v>
      </c>
      <c r="D484" s="42" t="str" cm="1">
        <f t="array" ref="D484">_xlfn.TEXTJOIN(" | ",TRUE,_xlfn._xlws.FILTER(PriceList!$B$4:$B$2641,PriceList!$M$4:$M$2641=A484,""))</f>
        <v>RS063-U-2000-2210-081</v>
      </c>
      <c r="E484" t="str" cm="1">
        <f t="array" ref="E484">_xlfn.TEXTJOIN(", ",TRUE,_xlfn._xlws.FILTER(ROW(PriceList!$B$4:$B$2641),PriceList!$M$4:$M$2641=A484,""))</f>
        <v>2534</v>
      </c>
      <c r="F484" s="42" t="str" cm="1">
        <f t="array" ref="F484">_xlfn.TEXTJOIN(" | ",TRUE,_xlfn.UNIQUE(_xlfn._xlws.FILTER(PriceList!$Q$4:$Q$2641&amp;" x "&amp;PriceList!$R$4:$R$2641&amp;" x "&amp;PriceList!$S$4:$S$2641,PriceList!$M$4:$M$2641=A484,"")))</f>
        <v>200 x 221 x 8.1</v>
      </c>
      <c r="G484" t="str" cm="1">
        <f t="array" ref="G484">INDEX(_xlfn._xlws.FILTER(PriceList!$P$4:$P$2641,PriceList!$M$4:$M$2641=A484,""),1)</f>
        <v>Rod Composite Seal - Stepped</v>
      </c>
    </row>
    <row r="485" spans="1:7" x14ac:dyDescent="0.45">
      <c r="A485" t="s">
        <v>5260</v>
      </c>
      <c r="B485">
        <f>COUNTIF(PriceList!$M$4:$M$2641,A485)</f>
        <v>2</v>
      </c>
      <c r="C485" t="str">
        <f>IF(B485=1,"1:1","1:Many")</f>
        <v>1:Many</v>
      </c>
      <c r="D485" s="42" t="str" cm="1">
        <f t="array" ref="D485">_xlfn.TEXTJOIN(" | ",TRUE,_xlfn._xlws.FILTER(PriceList!$B$4:$B$2641,PriceList!$M$4:$M$2641=A485,""))</f>
        <v>RS018-F-0220-0293-032 | RS018-N-0220-0293-032</v>
      </c>
      <c r="E485" t="str" cm="1">
        <f t="array" ref="E485">_xlfn.TEXTJOIN(", ",TRUE,_xlfn._xlws.FILTER(ROW(PriceList!$B$4:$B$2641),PriceList!$M$4:$M$2641=A485,""))</f>
        <v>2178, 2287</v>
      </c>
      <c r="F485" s="42" t="str" cm="1">
        <f t="array" ref="F485">_xlfn.TEXTJOIN(" | ",TRUE,_xlfn.UNIQUE(_xlfn._xlws.FILTER(PriceList!$Q$4:$Q$2641&amp;" x "&amp;PriceList!$R$4:$R$2641&amp;" x "&amp;PriceList!$S$4:$S$2641,PriceList!$M$4:$M$2641=A485,"")))</f>
        <v>22 x 29.3 x 3.2</v>
      </c>
      <c r="G485" t="str" cm="1">
        <f t="array" ref="G485">INDEX(_xlfn._xlws.FILTER(PriceList!$P$4:$P$2641,PriceList!$M$4:$M$2641=A485,""),1)</f>
        <v>Rod Composite Seal - Stepped</v>
      </c>
    </row>
    <row r="486" spans="1:7" x14ac:dyDescent="0.45">
      <c r="A486" t="s">
        <v>5432</v>
      </c>
      <c r="B486">
        <f>COUNTIF(PriceList!$M$4:$M$2641,A486)</f>
        <v>1</v>
      </c>
      <c r="C486" t="str">
        <f>IF(B486=1,"1:1","1:Many")</f>
        <v>1:1</v>
      </c>
      <c r="D486" s="42" t="str" cm="1">
        <f t="array" ref="D486">_xlfn.TEXTJOIN(" | ",TRUE,_xlfn._xlws.FILTER(PriceList!$B$4:$B$2641,PriceList!$M$4:$M$2641=A486,""))</f>
        <v>RS018-N-2350-2555-081</v>
      </c>
      <c r="E486" t="str" cm="1">
        <f t="array" ref="E486">_xlfn.TEXTJOIN(", ",TRUE,_xlfn._xlws.FILTER(ROW(PriceList!$B$4:$B$2641),PriceList!$M$4:$M$2641=A486,""))</f>
        <v>2400</v>
      </c>
      <c r="F486" s="42" t="str" cm="1">
        <f t="array" ref="F486">_xlfn.TEXTJOIN(" | ",TRUE,_xlfn.UNIQUE(_xlfn._xlws.FILTER(PriceList!$Q$4:$Q$2641&amp;" x "&amp;PriceList!$R$4:$R$2641&amp;" x "&amp;PriceList!$S$4:$S$2641,PriceList!$M$4:$M$2641=A486,"")))</f>
        <v>235 x 256 x 8.1</v>
      </c>
      <c r="G486" t="str" cm="1">
        <f t="array" ref="G486">INDEX(_xlfn._xlws.FILTER(PriceList!$P$4:$P$2641,PriceList!$M$4:$M$2641=A486,""),1)</f>
        <v>Rod Composite Seal - Stepped</v>
      </c>
    </row>
    <row r="487" spans="1:7" x14ac:dyDescent="0.45">
      <c r="A487" t="s">
        <v>5374</v>
      </c>
      <c r="B487">
        <f>COUNTIF(PriceList!$M$4:$M$2641,A487)</f>
        <v>2</v>
      </c>
      <c r="C487" t="str">
        <f>IF(B487=1,"1:1","1:Many")</f>
        <v>1:Many</v>
      </c>
      <c r="D487" s="42" t="str" cm="1">
        <f t="array" ref="D487">_xlfn.TEXTJOIN(" | ",TRUE,_xlfn._xlws.FILTER(PriceList!$B$4:$B$2641,PriceList!$M$4:$M$2641=A487,""))</f>
        <v>RS018-F-2500-2705-081 | RS018-N-2500-2705-081</v>
      </c>
      <c r="E487" t="str" cm="1">
        <f t="array" ref="E487">_xlfn.TEXTJOIN(", ",TRUE,_xlfn._xlws.FILTER(ROW(PriceList!$B$4:$B$2641),PriceList!$M$4:$M$2641=A487,""))</f>
        <v>2263, 2402</v>
      </c>
      <c r="F487" s="42" t="str" cm="1">
        <f t="array" ref="F487">_xlfn.TEXTJOIN(" | ",TRUE,_xlfn.UNIQUE(_xlfn._xlws.FILTER(PriceList!$Q$4:$Q$2641&amp;" x "&amp;PriceList!$R$4:$R$2641&amp;" x "&amp;PriceList!$S$4:$S$2641,PriceList!$M$4:$M$2641=A487,"")))</f>
        <v>250 x 271 x 8.1</v>
      </c>
      <c r="G487" t="str" cm="1">
        <f t="array" ref="G487">INDEX(_xlfn._xlws.FILTER(PriceList!$P$4:$P$2641,PriceList!$M$4:$M$2641=A487,""),1)</f>
        <v>Rod Composite Seal - Stepped</v>
      </c>
    </row>
    <row r="488" spans="1:7" x14ac:dyDescent="0.45">
      <c r="A488" t="s">
        <v>5375</v>
      </c>
      <c r="B488">
        <f>COUNTIF(PriceList!$M$4:$M$2641,A488)</f>
        <v>2</v>
      </c>
      <c r="C488" t="str">
        <f>IF(B488=1,"1:1","1:Many")</f>
        <v>1:Many</v>
      </c>
      <c r="D488" s="42" t="str" cm="1">
        <f t="array" ref="D488">_xlfn.TEXTJOIN(" | ",TRUE,_xlfn._xlws.FILTER(PriceList!$B$4:$B$2641,PriceList!$M$4:$M$2641=A488,""))</f>
        <v>RS018-F-2600-2840-081 | RS018-N-2600-2840-081</v>
      </c>
      <c r="E488" t="str" cm="1">
        <f t="array" ref="E488">_xlfn.TEXTJOIN(", ",TRUE,_xlfn._xlws.FILTER(ROW(PriceList!$B$4:$B$2641),PriceList!$M$4:$M$2641=A488,""))</f>
        <v>2264, 2403</v>
      </c>
      <c r="F488" s="42" t="str" cm="1">
        <f t="array" ref="F488">_xlfn.TEXTJOIN(" | ",TRUE,_xlfn.UNIQUE(_xlfn._xlws.FILTER(PriceList!$Q$4:$Q$2641&amp;" x "&amp;PriceList!$R$4:$R$2641&amp;" x "&amp;PriceList!$S$4:$S$2641,PriceList!$M$4:$M$2641=A488,"")))</f>
        <v>260 x 284.5 x 8.1</v>
      </c>
      <c r="G488" t="str" cm="1">
        <f t="array" ref="G488">INDEX(_xlfn._xlws.FILTER(PriceList!$P$4:$P$2641,PriceList!$M$4:$M$2641=A488,""),1)</f>
        <v>Rod Composite Seal - Stepped</v>
      </c>
    </row>
    <row r="489" spans="1:7" ht="28.5" x14ac:dyDescent="0.45">
      <c r="A489" t="s">
        <v>5264</v>
      </c>
      <c r="B489">
        <f>COUNTIF(PriceList!$M$4:$M$2641,A489)</f>
        <v>4</v>
      </c>
      <c r="C489" t="str">
        <f>IF(B489=1,"1:1","1:Many")</f>
        <v>1:Many</v>
      </c>
      <c r="D489" s="42" t="str" cm="1">
        <f t="array" ref="D489">_xlfn.TEXTJOIN(" | ",TRUE,_xlfn._xlws.FILTER(PriceList!$B$4:$B$2641,PriceList!$M$4:$M$2641=A489,""))</f>
        <v>RS018-F-0280-0353-032 | RS018-N-0280-0353-032 | RS045-F-028-034-6.3/7 | RS045-F-028-035-5.3/6</v>
      </c>
      <c r="E489" t="str" cm="1">
        <f t="array" ref="E489">_xlfn.TEXTJOIN(", ",TRUE,_xlfn._xlws.FILTER(ROW(PriceList!$B$4:$B$2641),PriceList!$M$4:$M$2641=A489,""))</f>
        <v>2182, 2292, 2417, 2418</v>
      </c>
      <c r="F489" s="42" t="str" cm="1">
        <f t="array" ref="F489">_xlfn.TEXTJOIN(" | ",TRUE,_xlfn.UNIQUE(_xlfn._xlws.FILTER(PriceList!$Q$4:$Q$2641&amp;" x "&amp;PriceList!$R$4:$R$2641&amp;" x "&amp;PriceList!$S$4:$S$2641,PriceList!$M$4:$M$2641=A489,"")))</f>
        <v>28 x 35.5 x 3.2</v>
      </c>
      <c r="G489" t="str" cm="1">
        <f t="array" ref="G489">INDEX(_xlfn._xlws.FILTER(PriceList!$P$4:$P$2641,PriceList!$M$4:$M$2641=A489,""),1)</f>
        <v>Rod Composite Seal - Stepped</v>
      </c>
    </row>
    <row r="490" spans="1:7" x14ac:dyDescent="0.45">
      <c r="A490" t="s">
        <v>5379</v>
      </c>
      <c r="B490">
        <f>COUNTIF(PriceList!$M$4:$M$2641,A490)</f>
        <v>2</v>
      </c>
      <c r="C490" t="str">
        <f>IF(B490=1,"1:1","1:Many")</f>
        <v>1:Many</v>
      </c>
      <c r="D490" s="42" t="str" cm="1">
        <f t="array" ref="D490">_xlfn.TEXTJOIN(" | ",TRUE,_xlfn._xlws.FILTER(PriceList!$B$4:$B$2641,PriceList!$M$4:$M$2641=A490,""))</f>
        <v>RS018-F-2900-3140-081 | RS018-N-2900-3140-081</v>
      </c>
      <c r="E490" t="str" cm="1">
        <f t="array" ref="E490">_xlfn.TEXTJOIN(", ",TRUE,_xlfn._xlws.FILTER(ROW(PriceList!$B$4:$B$2641),PriceList!$M$4:$M$2641=A490,""))</f>
        <v>2266, 2405</v>
      </c>
      <c r="F490" s="42" t="str" cm="1">
        <f t="array" ref="F490">_xlfn.TEXTJOIN(" | ",TRUE,_xlfn.UNIQUE(_xlfn._xlws.FILTER(PriceList!$Q$4:$Q$2641&amp;" x "&amp;PriceList!$R$4:$R$2641&amp;" x "&amp;PriceList!$S$4:$S$2641,PriceList!$M$4:$M$2641=A490,"")))</f>
        <v>290 x 314.5 x 8.1</v>
      </c>
      <c r="G490" t="str" cm="1">
        <f t="array" ref="G490">INDEX(_xlfn._xlws.FILTER(PriceList!$P$4:$P$2641,PriceList!$M$4:$M$2641=A490,""),1)</f>
        <v>Rod Composite Seal - Stepped</v>
      </c>
    </row>
    <row r="491" spans="1:7" ht="28.5" x14ac:dyDescent="0.45">
      <c r="A491" t="s">
        <v>5267</v>
      </c>
      <c r="B491">
        <f>COUNTIF(PriceList!$M$4:$M$2641,A491)</f>
        <v>3</v>
      </c>
      <c r="C491" t="str">
        <f>IF(B491=1,"1:1","1:Many")</f>
        <v>1:Many</v>
      </c>
      <c r="D491" s="42" t="str" cm="1">
        <f t="array" ref="D491">_xlfn.TEXTJOIN(" | ",TRUE,_xlfn._xlws.FILTER(PriceList!$B$4:$B$2641,PriceList!$M$4:$M$2641=A491,""))</f>
        <v>RS018-F-0320-0390-032 | RS018-N-0320-0390-032 | RS018-N-0320-0393-032</v>
      </c>
      <c r="E491" t="str" cm="1">
        <f t="array" ref="E491">_xlfn.TEXTJOIN(", ",TRUE,_xlfn._xlws.FILTER(ROW(PriceList!$B$4:$B$2641),PriceList!$M$4:$M$2641=A491,""))</f>
        <v>2185, 2296, 2297</v>
      </c>
      <c r="F491" s="42" t="str" cm="1">
        <f t="array" ref="F491">_xlfn.TEXTJOIN(" | ",TRUE,_xlfn.UNIQUE(_xlfn._xlws.FILTER(PriceList!$Q$4:$Q$2641&amp;" x "&amp;PriceList!$R$4:$R$2641&amp;" x "&amp;PriceList!$S$4:$S$2641,PriceList!$M$4:$M$2641=A491,"")))</f>
        <v>32 x 39.5 x 3.2</v>
      </c>
      <c r="G491" t="str" cm="1">
        <f t="array" ref="G491">INDEX(_xlfn._xlws.FILTER(PriceList!$P$4:$P$2641,PriceList!$M$4:$M$2641=A491,""),1)</f>
        <v>Rod Composite Seal - Stepped</v>
      </c>
    </row>
    <row r="492" spans="1:7" x14ac:dyDescent="0.45">
      <c r="A492" t="s">
        <v>5409</v>
      </c>
      <c r="B492">
        <f>COUNTIF(PriceList!$M$4:$M$2641,A492)</f>
        <v>1</v>
      </c>
      <c r="C492" t="str">
        <f>IF(B492=1,"1:1","1:Many")</f>
        <v>1:1</v>
      </c>
      <c r="D492" s="42" t="str" cm="1">
        <f t="array" ref="D492">_xlfn.TEXTJOIN(" | ",TRUE,_xlfn._xlws.FILTER(PriceList!$B$4:$B$2641,PriceList!$M$4:$M$2641=A492,""))</f>
        <v>RS018-N-0830-0981-063</v>
      </c>
      <c r="E492" t="str" cm="1">
        <f t="array" ref="E492">_xlfn.TEXTJOIN(", ",TRUE,_xlfn._xlws.FILTER(ROW(PriceList!$B$4:$B$2641),PriceList!$M$4:$M$2641=A492,""))</f>
        <v>2344</v>
      </c>
      <c r="F492" s="42" t="str" cm="1">
        <f t="array" ref="F492">_xlfn.TEXTJOIN(" | ",TRUE,_xlfn.UNIQUE(_xlfn._xlws.FILTER(PriceList!$Q$4:$Q$2641&amp;" x "&amp;PriceList!$R$4:$R$2641&amp;" x "&amp;PriceList!$S$4:$S$2641,PriceList!$M$4:$M$2641=A492,"")))</f>
        <v>82.55 x 98.044 x 6.35</v>
      </c>
      <c r="G492" t="str" cm="1">
        <f t="array" ref="G492">INDEX(_xlfn._xlws.FILTER(PriceList!$P$4:$P$2641,PriceList!$M$4:$M$2641=A492,""),1)</f>
        <v>Rod Composite Seal - Stepped</v>
      </c>
    </row>
    <row r="493" spans="1:7" x14ac:dyDescent="0.45">
      <c r="A493" t="s">
        <v>5407</v>
      </c>
      <c r="B493">
        <f>COUNTIF(PriceList!$M$4:$M$2641,A493)</f>
        <v>1</v>
      </c>
      <c r="C493" t="str">
        <f>IF(B493=1,"1:1","1:Many")</f>
        <v>1:1</v>
      </c>
      <c r="D493" s="42" t="str" cm="1">
        <f t="array" ref="D493">_xlfn.TEXTJOIN(" | ",TRUE,_xlfn._xlws.FILTER(PriceList!$B$4:$B$2641,PriceList!$M$4:$M$2641=A493,""))</f>
        <v>RS018-N-0825-0982-063</v>
      </c>
      <c r="E493" t="str" cm="1">
        <f t="array" ref="E493">_xlfn.TEXTJOIN(", ",TRUE,_xlfn._xlws.FILTER(ROW(PriceList!$B$4:$B$2641),PriceList!$M$4:$M$2641=A493,""))</f>
        <v>2343</v>
      </c>
      <c r="F493" s="42" t="str" cm="1">
        <f t="array" ref="F493">_xlfn.TEXTJOIN(" | ",TRUE,_xlfn.UNIQUE(_xlfn._xlws.FILTER(PriceList!$Q$4:$Q$2641&amp;" x "&amp;PriceList!$R$4:$R$2641&amp;" x "&amp;PriceList!$S$4:$S$2641,PriceList!$M$4:$M$2641=A493,"")))</f>
        <v>82.55 x 98.298 x 6.35</v>
      </c>
      <c r="G493" t="str" cm="1">
        <f t="array" ref="G493">INDEX(_xlfn._xlws.FILTER(PriceList!$P$4:$P$2641,PriceList!$M$4:$M$2641=A493,""),1)</f>
        <v>Rod Composite Seal - Stepped</v>
      </c>
    </row>
    <row r="494" spans="1:7" x14ac:dyDescent="0.45">
      <c r="A494" t="s">
        <v>5394</v>
      </c>
      <c r="B494">
        <f>COUNTIF(PriceList!$M$4:$M$2641,A494)</f>
        <v>1</v>
      </c>
      <c r="C494" t="str">
        <f>IF(B494=1,"1:1","1:Many")</f>
        <v>1:1</v>
      </c>
      <c r="D494" s="42" t="str" cm="1">
        <f t="array" ref="D494">_xlfn.TEXTJOIN(" | ",TRUE,_xlfn._xlws.FILTER(PriceList!$B$4:$B$2641,PriceList!$M$4:$M$2641=A494,""))</f>
        <v>RS018-N-0350-0423-032</v>
      </c>
      <c r="E494" t="str" cm="1">
        <f t="array" ref="E494">_xlfn.TEXTJOIN(", ",TRUE,_xlfn._xlws.FILTER(ROW(PriceList!$B$4:$B$2641),PriceList!$M$4:$M$2641=A494,""))</f>
        <v>2299</v>
      </c>
      <c r="F494" s="42" t="str" cm="1">
        <f t="array" ref="F494">_xlfn.TEXTJOIN(" | ",TRUE,_xlfn.UNIQUE(_xlfn._xlws.FILTER(PriceList!$Q$4:$Q$2641&amp;" x "&amp;PriceList!$R$4:$R$2641&amp;" x "&amp;PriceList!$S$4:$S$2641,PriceList!$M$4:$M$2641=A494,"")))</f>
        <v>35 x 42.5 x 3</v>
      </c>
      <c r="G494" t="str" cm="1">
        <f t="array" ref="G494">INDEX(_xlfn._xlws.FILTER(PriceList!$P$4:$P$2641,PriceList!$M$4:$M$2641=A494,""),1)</f>
        <v>Rod Composite Seal - Stepped</v>
      </c>
    </row>
    <row r="495" spans="1:7" ht="28.5" x14ac:dyDescent="0.45">
      <c r="A495" t="s">
        <v>5272</v>
      </c>
      <c r="B495">
        <f>COUNTIF(PriceList!$M$4:$M$2641,A495)</f>
        <v>3</v>
      </c>
      <c r="C495" t="str">
        <f>IF(B495=1,"1:1","1:Many")</f>
        <v>1:Many</v>
      </c>
      <c r="D495" s="42" t="str" cm="1">
        <f t="array" ref="D495">_xlfn.TEXTJOIN(" | ",TRUE,_xlfn._xlws.FILTER(PriceList!$B$4:$B$2641,PriceList!$M$4:$M$2641=A495,""))</f>
        <v>RS018-F-0350-0457-042 | RS018-N-0350-0457-042 | RS117-U-0350-0457-042 (PU)</v>
      </c>
      <c r="E495" t="str" cm="1">
        <f t="array" ref="E495">_xlfn.TEXTJOIN(", ",TRUE,_xlfn._xlws.FILTER(ROW(PriceList!$B$4:$B$2641),PriceList!$M$4:$M$2641=A495,""))</f>
        <v>2187, 2300, 2604</v>
      </c>
      <c r="F495" s="42" t="str" cm="1">
        <f t="array" ref="F495">_xlfn.TEXTJOIN(" | ",TRUE,_xlfn.UNIQUE(_xlfn._xlws.FILTER(PriceList!$Q$4:$Q$2641&amp;" x "&amp;PriceList!$R$4:$R$2641&amp;" x "&amp;PriceList!$S$4:$S$2641,PriceList!$M$4:$M$2641=A495,"")))</f>
        <v>35 x 46 x 4.2</v>
      </c>
      <c r="G495" t="str" cm="1">
        <f t="array" ref="G495">INDEX(_xlfn._xlws.FILTER(PriceList!$P$4:$P$2641,PriceList!$M$4:$M$2641=A495,""),1)</f>
        <v>Rod Composite Seal - Chamfered</v>
      </c>
    </row>
    <row r="496" spans="1:7" x14ac:dyDescent="0.45">
      <c r="A496" t="s">
        <v>5277</v>
      </c>
      <c r="B496">
        <f>COUNTIF(PriceList!$M$4:$M$2641,A496)</f>
        <v>2</v>
      </c>
      <c r="C496" t="str">
        <f>IF(B496=1,"1:1","1:Many")</f>
        <v>1:Many</v>
      </c>
      <c r="D496" s="42" t="str" cm="1">
        <f t="array" ref="D496">_xlfn.TEXTJOIN(" | ",TRUE,_xlfn._xlws.FILTER(PriceList!$B$4:$B$2641,PriceList!$M$4:$M$2641=A496,""))</f>
        <v>RS018-F-0360-0433-032 | RS018-N-0360-0433-032</v>
      </c>
      <c r="E496" t="str" cm="1">
        <f t="array" ref="E496">_xlfn.TEXTJOIN(", ",TRUE,_xlfn._xlws.FILTER(ROW(PriceList!$B$4:$B$2641),PriceList!$M$4:$M$2641=A496,""))</f>
        <v>2189, 2302</v>
      </c>
      <c r="F496" s="42" t="str" cm="1">
        <f t="array" ref="F496">_xlfn.TEXTJOIN(" | ",TRUE,_xlfn.UNIQUE(_xlfn._xlws.FILTER(PriceList!$Q$4:$Q$2641&amp;" x "&amp;PriceList!$R$4:$R$2641&amp;" x "&amp;PriceList!$S$4:$S$2641,PriceList!$M$4:$M$2641=A496,"")))</f>
        <v>36 x 43.5 x 3.2</v>
      </c>
      <c r="G496" t="str" cm="1">
        <f t="array" ref="G496">INDEX(_xlfn._xlws.FILTER(PriceList!$P$4:$P$2641,PriceList!$M$4:$M$2641=A496,""),1)</f>
        <v>Rod Composite Seal - Stepped</v>
      </c>
    </row>
    <row r="497" spans="1:7" x14ac:dyDescent="0.45">
      <c r="A497" t="s">
        <v>5381</v>
      </c>
      <c r="B497">
        <f>COUNTIF(PriceList!$M$4:$M$2641,A497)</f>
        <v>2</v>
      </c>
      <c r="C497" t="str">
        <f>IF(B497=1,"1:1","1:Many")</f>
        <v>1:Many</v>
      </c>
      <c r="D497" s="42" t="str" cm="1">
        <f t="array" ref="D497">_xlfn.TEXTJOIN(" | ",TRUE,_xlfn._xlws.FILTER(PriceList!$B$4:$B$2641,PriceList!$M$4:$M$2641=A497,""))</f>
        <v>RS018-F-3600-3840-081 | RS018-N-3600-3840-081</v>
      </c>
      <c r="E497" t="str" cm="1">
        <f t="array" ref="E497">_xlfn.TEXTJOIN(", ",TRUE,_xlfn._xlws.FILTER(ROW(PriceList!$B$4:$B$2641),PriceList!$M$4:$M$2641=A497,""))</f>
        <v>2268, 2407</v>
      </c>
      <c r="F497" s="42" t="str" cm="1">
        <f t="array" ref="F497">_xlfn.TEXTJOIN(" | ",TRUE,_xlfn.UNIQUE(_xlfn._xlws.FILTER(PriceList!$Q$4:$Q$2641&amp;" x "&amp;PriceList!$R$4:$R$2641&amp;" x "&amp;PriceList!$S$4:$S$2641,PriceList!$M$4:$M$2641=A497,"")))</f>
        <v>360 x 384.5 x 8.1</v>
      </c>
      <c r="G497" t="str" cm="1">
        <f t="array" ref="G497">INDEX(_xlfn._xlws.FILTER(PriceList!$P$4:$P$2641,PriceList!$M$4:$M$2641=A497,""),1)</f>
        <v>Rod Composite Seal - Stepped</v>
      </c>
    </row>
    <row r="498" spans="1:7" x14ac:dyDescent="0.45">
      <c r="A498" t="s">
        <v>5282</v>
      </c>
      <c r="B498">
        <f>COUNTIF(PriceList!$M$4:$M$2641,A498)</f>
        <v>2</v>
      </c>
      <c r="C498" t="str">
        <f>IF(B498=1,"1:1","1:Many")</f>
        <v>1:Many</v>
      </c>
      <c r="D498" s="42" t="str" cm="1">
        <f t="array" ref="D498">_xlfn.TEXTJOIN(" | ",TRUE,_xlfn._xlws.FILTER(PriceList!$B$4:$B$2641,PriceList!$M$4:$M$2641=A498,""))</f>
        <v>RS018-F-0380-0531-063 | RS018-N-0380-0531-063</v>
      </c>
      <c r="E498" t="str" cm="1">
        <f t="array" ref="E498">_xlfn.TEXTJOIN(", ",TRUE,_xlfn._xlws.FILTER(ROW(PriceList!$B$4:$B$2641),PriceList!$M$4:$M$2641=A498,""))</f>
        <v>2192, 2305</v>
      </c>
      <c r="F498" s="42" t="str" cm="1">
        <f t="array" ref="F498">_xlfn.TEXTJOIN(" | ",TRUE,_xlfn.UNIQUE(_xlfn._xlws.FILTER(PriceList!$Q$4:$Q$2641&amp;" x "&amp;PriceList!$R$4:$R$2641&amp;" x "&amp;PriceList!$S$4:$S$2641,PriceList!$M$4:$M$2641=A498,"")))</f>
        <v>38 x 53.5 x 6.3</v>
      </c>
      <c r="G498" t="str" cm="1">
        <f t="array" ref="G498">INDEX(_xlfn._xlws.FILTER(PriceList!$P$4:$P$2641,PriceList!$M$4:$M$2641=A498,""),1)</f>
        <v>Rod Composite Seal - Stepped</v>
      </c>
    </row>
    <row r="499" spans="1:7" x14ac:dyDescent="0.45">
      <c r="A499" t="s">
        <v>5501</v>
      </c>
      <c r="B499">
        <f>COUNTIF(PriceList!$M$4:$M$2641,A499)</f>
        <v>1</v>
      </c>
      <c r="C499" t="str">
        <f>IF(B499=1,"1:1","1:Many")</f>
        <v>1:1</v>
      </c>
      <c r="D499" s="42" t="str" cm="1">
        <f t="array" ref="D499">_xlfn.TEXTJOIN(" | ",TRUE,_xlfn._xlws.FILTER(PriceList!$B$4:$B$2641,PriceList!$M$4:$M$2641=A499,""))</f>
        <v>RS063-U-0400-0555-063</v>
      </c>
      <c r="E499" t="str" cm="1">
        <f t="array" ref="E499">_xlfn.TEXTJOIN(", ",TRUE,_xlfn._xlws.FILTER(ROW(PriceList!$B$4:$B$2641),PriceList!$M$4:$M$2641=A499,""))</f>
        <v>2502</v>
      </c>
      <c r="F499" s="42" t="str" cm="1">
        <f t="array" ref="F499">_xlfn.TEXTJOIN(" | ",TRUE,_xlfn.UNIQUE(_xlfn._xlws.FILTER(PriceList!$Q$4:$Q$2641&amp;" x "&amp;PriceList!$R$4:$R$2641&amp;" x "&amp;PriceList!$S$4:$S$2641,PriceList!$M$4:$M$2641=A499,"")))</f>
        <v>40 x 55.5 x 6.3</v>
      </c>
      <c r="G499" t="str" cm="1">
        <f t="array" ref="G499">INDEX(_xlfn._xlws.FILTER(PriceList!$P$4:$P$2641,PriceList!$M$4:$M$2641=A499,""),1)</f>
        <v>Rod Composite Seal - Stepped</v>
      </c>
    </row>
    <row r="500" spans="1:7" x14ac:dyDescent="0.45">
      <c r="A500" t="s">
        <v>5416</v>
      </c>
      <c r="B500">
        <f>COUNTIF(PriceList!$M$4:$M$2641,A500)</f>
        <v>1</v>
      </c>
      <c r="C500" t="str">
        <f>IF(B500=1,"1:1","1:Many")</f>
        <v>1:1</v>
      </c>
      <c r="D500" s="42" t="str" cm="1">
        <f t="array" ref="D500">_xlfn.TEXTJOIN(" | ",TRUE,_xlfn._xlws.FILTER(PriceList!$B$4:$B$2641,PriceList!$M$4:$M$2641=A500,""))</f>
        <v>RS018-N-1030-1181-063</v>
      </c>
      <c r="E500" t="str" cm="1">
        <f t="array" ref="E500">_xlfn.TEXTJOIN(", ",TRUE,_xlfn._xlws.FILTER(ROW(PriceList!$B$4:$B$2641),PriceList!$M$4:$M$2641=A500,""))</f>
        <v>2358</v>
      </c>
      <c r="F500" s="42" t="str" cm="1">
        <f t="array" ref="F500">_xlfn.TEXTJOIN(" | ",TRUE,_xlfn.UNIQUE(_xlfn._xlws.FILTER(PriceList!$Q$4:$Q$2641&amp;" x "&amp;PriceList!$R$4:$R$2641&amp;" x "&amp;PriceList!$S$4:$S$2641,PriceList!$M$4:$M$2641=A500,"")))</f>
        <v>101.6 x 117.856 x 5.588</v>
      </c>
      <c r="G500" t="str" cm="1">
        <f t="array" ref="G500">INDEX(_xlfn._xlws.FILTER(PriceList!$P$4:$P$2641,PriceList!$M$4:$M$2641=A500,""),1)</f>
        <v>Rod Composite Seal - Stepped</v>
      </c>
    </row>
    <row r="501" spans="1:7" x14ac:dyDescent="0.45">
      <c r="A501" t="s">
        <v>5288</v>
      </c>
      <c r="B501">
        <f>COUNTIF(PriceList!$M$4:$M$2641,A501)</f>
        <v>2</v>
      </c>
      <c r="C501" t="str">
        <f>IF(B501=1,"1:1","1:Many")</f>
        <v>1:Many</v>
      </c>
      <c r="D501" s="42" t="str" cm="1">
        <f t="array" ref="D501">_xlfn.TEXTJOIN(" | ",TRUE,_xlfn._xlws.FILTER(PriceList!$B$4:$B$2641,PriceList!$M$4:$M$2641=A501,""))</f>
        <v>RS018-F-0420-0527-042 | RS018-N-0420-0527-042</v>
      </c>
      <c r="E501" t="str" cm="1">
        <f t="array" ref="E501">_xlfn.TEXTJOIN(", ",TRUE,_xlfn._xlws.FILTER(ROW(PriceList!$B$4:$B$2641),PriceList!$M$4:$M$2641=A501,""))</f>
        <v>2195, 2309</v>
      </c>
      <c r="F501" s="42" t="str" cm="1">
        <f t="array" ref="F501">_xlfn.TEXTJOIN(" | ",TRUE,_xlfn.UNIQUE(_xlfn._xlws.FILTER(PriceList!$Q$4:$Q$2641&amp;" x "&amp;PriceList!$R$4:$R$2641&amp;" x "&amp;PriceList!$S$4:$S$2641,PriceList!$M$4:$M$2641=A501,"")))</f>
        <v>42 x 53 x 4.2</v>
      </c>
      <c r="G501" t="str" cm="1">
        <f t="array" ref="G501">INDEX(_xlfn._xlws.FILTER(PriceList!$P$4:$P$2641,PriceList!$M$4:$M$2641=A501,""),1)</f>
        <v>Rod Composite Seal - Stepped</v>
      </c>
    </row>
    <row r="502" spans="1:7" x14ac:dyDescent="0.45">
      <c r="A502" t="s">
        <v>5502</v>
      </c>
      <c r="B502">
        <f>COUNTIF(PriceList!$M$4:$M$2641,A502)</f>
        <v>1</v>
      </c>
      <c r="C502" t="str">
        <f>IF(B502=1,"1:1","1:Many")</f>
        <v>1:1</v>
      </c>
      <c r="D502" s="42" t="str" cm="1">
        <f t="array" ref="D502">_xlfn.TEXTJOIN(" | ",TRUE,_xlfn._xlws.FILTER(PriceList!$B$4:$B$2641,PriceList!$M$4:$M$2641=A502,""))</f>
        <v>RS063-U-0450-0605-063</v>
      </c>
      <c r="E502" t="str" cm="1">
        <f t="array" ref="E502">_xlfn.TEXTJOIN(", ",TRUE,_xlfn._xlws.FILTER(ROW(PriceList!$B$4:$B$2641),PriceList!$M$4:$M$2641=A502,""))</f>
        <v>2503</v>
      </c>
      <c r="F502" s="42" t="str" cm="1">
        <f t="array" ref="F502">_xlfn.TEXTJOIN(" | ",TRUE,_xlfn.UNIQUE(_xlfn._xlws.FILTER(PriceList!$Q$4:$Q$2641&amp;" x "&amp;PriceList!$R$4:$R$2641&amp;" x "&amp;PriceList!$S$4:$S$2641,PriceList!$M$4:$M$2641=A502,"")))</f>
        <v>45 x 60.5 x 6.3</v>
      </c>
      <c r="G502" t="str" cm="1">
        <f t="array" ref="G502">INDEX(_xlfn._xlws.FILTER(PriceList!$P$4:$P$2641,PriceList!$M$4:$M$2641=A502,""),1)</f>
        <v>Rod Composite Seal - Chamfered</v>
      </c>
    </row>
    <row r="503" spans="1:7" ht="28.5" x14ac:dyDescent="0.45">
      <c r="A503" t="s">
        <v>5435</v>
      </c>
      <c r="B503">
        <f>COUNTIF(PriceList!$M$4:$M$2641,A503)</f>
        <v>2</v>
      </c>
      <c r="C503" t="str">
        <f>IF(B503=1,"1:1","1:Many")</f>
        <v>1:Many</v>
      </c>
      <c r="D503" s="42" t="str" cm="1">
        <f t="array" ref="D503">_xlfn.TEXTJOIN(" | ",TRUE,_xlfn._xlws.FILTER(PriceList!$B$4:$B$2641,PriceList!$M$4:$M$2641=A503,""))</f>
        <v>RS018N-IN-01125-01412-00126 | RS054-N-1150-1400-460</v>
      </c>
      <c r="E503" t="str" cm="1">
        <f t="array" ref="E503">_xlfn.TEXTJOIN(", ",TRUE,_xlfn._xlws.FILTER(ROW(PriceList!$B$4:$B$2641),PriceList!$M$4:$M$2641=A503,""))</f>
        <v>2409, 2489</v>
      </c>
      <c r="F503" s="42" t="str" cm="1">
        <f t="array" ref="F503">_xlfn.TEXTJOIN(" | ",TRUE,_xlfn.UNIQUE(_xlfn._xlws.FILTER(PriceList!$Q$4:$Q$2641&amp;" x "&amp;PriceList!$R$4:$R$2641&amp;" x "&amp;PriceList!$S$4:$S$2641,PriceList!$M$4:$M$2641=A503,"")))</f>
        <v>114.3 x 140.208 x 5.842</v>
      </c>
      <c r="G503" t="str" cm="1">
        <f t="array" ref="G503">INDEX(_xlfn._xlws.FILTER(PriceList!$P$4:$P$2641,PriceList!$M$4:$M$2641=A503,""),1)</f>
        <v>Rod Composite Seal - Stepped</v>
      </c>
    </row>
    <row r="504" spans="1:7" x14ac:dyDescent="0.45">
      <c r="A504" t="s">
        <v>5299</v>
      </c>
      <c r="B504">
        <f>COUNTIF(PriceList!$M$4:$M$2641,A504)</f>
        <v>2</v>
      </c>
      <c r="C504" t="str">
        <f>IF(B504=1,"1:1","1:Many")</f>
        <v>1:Many</v>
      </c>
      <c r="D504" s="42" t="str" cm="1">
        <f t="array" ref="D504">_xlfn.TEXTJOIN(" | ",TRUE,_xlfn._xlws.FILTER(PriceList!$B$4:$B$2641,PriceList!$M$4:$M$2641=A504,""))</f>
        <v>RS018-F-0500-0607-042 | RS018-N-0500-0607-042</v>
      </c>
      <c r="E504" t="str" cm="1">
        <f t="array" ref="E504">_xlfn.TEXTJOIN(", ",TRUE,_xlfn._xlws.FILTER(ROW(PriceList!$B$4:$B$2641),PriceList!$M$4:$M$2641=A504,""))</f>
        <v>2200, 2317</v>
      </c>
      <c r="F504" s="42" t="str" cm="1">
        <f t="array" ref="F504">_xlfn.TEXTJOIN(" | ",TRUE,_xlfn.UNIQUE(_xlfn._xlws.FILTER(PriceList!$Q$4:$Q$2641&amp;" x "&amp;PriceList!$R$4:$R$2641&amp;" x "&amp;PriceList!$S$4:$S$2641,PriceList!$M$4:$M$2641=A504,"")))</f>
        <v>50 x 61 x 4.2</v>
      </c>
      <c r="G504" t="str" cm="1">
        <f t="array" ref="G504">INDEX(_xlfn._xlws.FILTER(PriceList!$P$4:$P$2641,PriceList!$M$4:$M$2641=A504,""),1)</f>
        <v>Rod Composite Seal - Stepped</v>
      </c>
    </row>
    <row r="505" spans="1:7" x14ac:dyDescent="0.45">
      <c r="A505" t="s">
        <v>5503</v>
      </c>
      <c r="B505">
        <f>COUNTIF(PriceList!$M$4:$M$2641,A505)</f>
        <v>1</v>
      </c>
      <c r="C505" t="str">
        <f>IF(B505=1,"1:1","1:Many")</f>
        <v>1:1</v>
      </c>
      <c r="D505" s="42" t="str" cm="1">
        <f t="array" ref="D505">_xlfn.TEXTJOIN(" | ",TRUE,_xlfn._xlws.FILTER(PriceList!$B$4:$B$2641,PriceList!$M$4:$M$2641=A505,""))</f>
        <v>RS063-U-0500-0655-063</v>
      </c>
      <c r="E505" t="str" cm="1">
        <f t="array" ref="E505">_xlfn.TEXTJOIN(", ",TRUE,_xlfn._xlws.FILTER(ROW(PriceList!$B$4:$B$2641),PriceList!$M$4:$M$2641=A505,""))</f>
        <v>2504</v>
      </c>
      <c r="F505" s="42" t="str" cm="1">
        <f t="array" ref="F505">_xlfn.TEXTJOIN(" | ",TRUE,_xlfn.UNIQUE(_xlfn._xlws.FILTER(PriceList!$Q$4:$Q$2641&amp;" x "&amp;PriceList!$R$4:$R$2641&amp;" x "&amp;PriceList!$S$4:$S$2641,PriceList!$M$4:$M$2641=A505,"")))</f>
        <v>50 x 65.5 x 6.3</v>
      </c>
      <c r="G505" t="str" cm="1">
        <f t="array" ref="G505">INDEX(_xlfn._xlws.FILTER(PriceList!$P$4:$P$2641,PriceList!$M$4:$M$2641=A505,""),1)</f>
        <v>Rod Composite Seal - Stepped</v>
      </c>
    </row>
    <row r="506" spans="1:7" x14ac:dyDescent="0.45">
      <c r="A506" t="s">
        <v>5303</v>
      </c>
      <c r="B506">
        <f>COUNTIF(PriceList!$M$4:$M$2641,A506)</f>
        <v>2</v>
      </c>
      <c r="C506" t="str">
        <f>IF(B506=1,"1:1","1:Many")</f>
        <v>1:Many</v>
      </c>
      <c r="D506" s="42" t="str" cm="1">
        <f t="array" ref="D506">_xlfn.TEXTJOIN(" | ",TRUE,_xlfn._xlws.FILTER(PriceList!$B$4:$B$2641,PriceList!$M$4:$M$2641=A506,""))</f>
        <v>RS018-F-0550-0657-042 | RS018-N-0550-0657-042</v>
      </c>
      <c r="E506" t="str" cm="1">
        <f t="array" ref="E506">_xlfn.TEXTJOIN(", ",TRUE,_xlfn._xlws.FILTER(ROW(PriceList!$B$4:$B$2641),PriceList!$M$4:$M$2641=A506,""))</f>
        <v>2202, 2320</v>
      </c>
      <c r="F506" s="42" t="str" cm="1">
        <f t="array" ref="F506">_xlfn.TEXTJOIN(" | ",TRUE,_xlfn.UNIQUE(_xlfn._xlws.FILTER(PriceList!$Q$4:$Q$2641&amp;" x "&amp;PriceList!$R$4:$R$2641&amp;" x "&amp;PriceList!$S$4:$S$2641,PriceList!$M$4:$M$2641=A506,"")))</f>
        <v>55 x 66 x 4.2</v>
      </c>
      <c r="G506" t="str" cm="1">
        <f t="array" ref="G506">INDEX(_xlfn._xlws.FILTER(PriceList!$P$4:$P$2641,PriceList!$M$4:$M$2641=A506,""),1)</f>
        <v>Rod Composite Seal - Stepped</v>
      </c>
    </row>
    <row r="507" spans="1:7" x14ac:dyDescent="0.45">
      <c r="A507" t="s">
        <v>5305</v>
      </c>
      <c r="B507">
        <f>COUNTIF(PriceList!$M$4:$M$2641,A507)</f>
        <v>2</v>
      </c>
      <c r="C507" t="str">
        <f>IF(B507=1,"1:1","1:Many")</f>
        <v>1:Many</v>
      </c>
      <c r="D507" s="42" t="str" cm="1">
        <f t="array" ref="D507">_xlfn.TEXTJOIN(" | ",TRUE,_xlfn._xlws.FILTER(PriceList!$B$4:$B$2641,PriceList!$M$4:$M$2641=A507,""))</f>
        <v>RS018-F-0560-0667-042 | RS018-N-0560-0667-042</v>
      </c>
      <c r="E507" t="str" cm="1">
        <f t="array" ref="E507">_xlfn.TEXTJOIN(", ",TRUE,_xlfn._xlws.FILTER(ROW(PriceList!$B$4:$B$2641),PriceList!$M$4:$M$2641=A507,""))</f>
        <v>2204, 2322</v>
      </c>
      <c r="F507" s="42" t="str" cm="1">
        <f t="array" ref="F507">_xlfn.TEXTJOIN(" | ",TRUE,_xlfn.UNIQUE(_xlfn._xlws.FILTER(PriceList!$Q$4:$Q$2641&amp;" x "&amp;PriceList!$R$4:$R$2641&amp;" x "&amp;PriceList!$S$4:$S$2641,PriceList!$M$4:$M$2641=A507,"")))</f>
        <v>56 x 67 x 4.2</v>
      </c>
      <c r="G507" t="str" cm="1">
        <f t="array" ref="G507">INDEX(_xlfn._xlws.FILTER(PriceList!$P$4:$P$2641,PriceList!$M$4:$M$2641=A507,""),1)</f>
        <v>Rod Composite Seal - Stepped</v>
      </c>
    </row>
    <row r="508" spans="1:7" ht="28.5" x14ac:dyDescent="0.45">
      <c r="A508" t="s">
        <v>5306</v>
      </c>
      <c r="B508">
        <f>COUNTIF(PriceList!$M$4:$M$2641,A508)</f>
        <v>3</v>
      </c>
      <c r="C508" t="str">
        <f>IF(B508=1,"1:1","1:Many")</f>
        <v>1:Many</v>
      </c>
      <c r="D508" s="42" t="str" cm="1">
        <f t="array" ref="D508">_xlfn.TEXTJOIN(" | ",TRUE,_xlfn._xlws.FILTER(PriceList!$B$4:$B$2641,PriceList!$M$4:$M$2641=A508,""))</f>
        <v>RS018-F-0560-0711-063 | RS018-N-0560-0711-063 | RS117-H-056-071.1-6.3</v>
      </c>
      <c r="E508" t="str" cm="1">
        <f t="array" ref="E508">_xlfn.TEXTJOIN(", ",TRUE,_xlfn._xlws.FILTER(ROW(PriceList!$B$4:$B$2641),PriceList!$M$4:$M$2641=A508,""))</f>
        <v>2205, 2324, 2598</v>
      </c>
      <c r="F508" s="42" t="str" cm="1">
        <f t="array" ref="F508">_xlfn.TEXTJOIN(" | ",TRUE,_xlfn.UNIQUE(_xlfn._xlws.FILTER(PriceList!$Q$4:$Q$2641&amp;" x "&amp;PriceList!$R$4:$R$2641&amp;" x "&amp;PriceList!$S$4:$S$2641,PriceList!$M$4:$M$2641=A508,"")))</f>
        <v>56 x 71.1 x 6</v>
      </c>
      <c r="G508" t="str" cm="1">
        <f t="array" ref="G508">INDEX(_xlfn._xlws.FILTER(PriceList!$P$4:$P$2641,PriceList!$M$4:$M$2641=A508,""),1)</f>
        <v>Rod Composite Seal - Stepped</v>
      </c>
    </row>
    <row r="509" spans="1:7" x14ac:dyDescent="0.45">
      <c r="A509" t="s">
        <v>5382</v>
      </c>
      <c r="B509">
        <f>COUNTIF(PriceList!$M$4:$M$2641,A509)</f>
        <v>2</v>
      </c>
      <c r="C509" t="str">
        <f>IF(B509=1,"1:1","1:Many")</f>
        <v>1:Many</v>
      </c>
      <c r="D509" s="42" t="str" cm="1">
        <f t="array" ref="D509">_xlfn.TEXTJOIN(" | ",TRUE,_xlfn._xlws.FILTER(PriceList!$B$4:$B$2641,PriceList!$M$4:$M$2641=A509,""))</f>
        <v>RS018-N-0060-0109-022 | RS117-H-006-010.9-2.2</v>
      </c>
      <c r="E509" t="str" cm="1">
        <f t="array" ref="E509">_xlfn.TEXTJOIN(", ",TRUE,_xlfn._xlws.FILTER(ROW(PriceList!$B$4:$B$2641),PriceList!$M$4:$M$2641=A509,""))</f>
        <v>2269, 2579</v>
      </c>
      <c r="F509" s="42" t="str" cm="1">
        <f t="array" ref="F509">_xlfn.TEXTJOIN(" | ",TRUE,_xlfn.UNIQUE(_xlfn._xlws.FILTER(PriceList!$Q$4:$Q$2641&amp;" x "&amp;PriceList!$R$4:$R$2641&amp;" x "&amp;PriceList!$S$4:$S$2641,PriceList!$M$4:$M$2641=A509,"")))</f>
        <v>6 x 10.9 x 2.2</v>
      </c>
      <c r="G509" t="str" cm="1">
        <f t="array" ref="G509">INDEX(_xlfn._xlws.FILTER(PriceList!$P$4:$P$2641,PriceList!$M$4:$M$2641=A509,""),1)</f>
        <v>Rod Composite Seal - Stepped</v>
      </c>
    </row>
    <row r="510" spans="1:7" x14ac:dyDescent="0.45">
      <c r="A510" t="s">
        <v>5229</v>
      </c>
      <c r="B510">
        <f>COUNTIF(PriceList!$M$4:$M$2641,A510)</f>
        <v>1</v>
      </c>
      <c r="C510" t="str">
        <f>IF(B510=1,"1:1","1:Many")</f>
        <v>1:1</v>
      </c>
      <c r="D510" s="42" t="str" cm="1">
        <f t="array" ref="D510">_xlfn.TEXTJOIN(" | ",TRUE,_xlfn._xlws.FILTER(PriceList!$B$4:$B$2641,PriceList!$M$4:$M$2641=A510,""))</f>
        <v>ROS004-U-0600-0700-053</v>
      </c>
      <c r="E510" t="str" cm="1">
        <f t="array" ref="E510">_xlfn.TEXTJOIN(", ",TRUE,_xlfn._xlws.FILTER(ROW(PriceList!$B$4:$B$2641),PriceList!$M$4:$M$2641=A510,""))</f>
        <v>2160</v>
      </c>
      <c r="F510" s="42" t="str" cm="1">
        <f t="array" ref="F510">_xlfn.TEXTJOIN(" | ",TRUE,_xlfn.UNIQUE(_xlfn._xlws.FILTER(PriceList!$Q$4:$Q$2641&amp;" x "&amp;PriceList!$R$4:$R$2641&amp;" x "&amp;PriceList!$S$4:$S$2641,PriceList!$M$4:$M$2641=A510,"")))</f>
        <v>60 x 71 x 4.2</v>
      </c>
      <c r="G510" t="str" cm="1">
        <f t="array" ref="G510">INDEX(_xlfn._xlws.FILTER(PriceList!$P$4:$P$2641,PriceList!$M$4:$M$2641=A510,""),1)</f>
        <v>Rod Composite Seal - Stepped</v>
      </c>
    </row>
    <row r="511" spans="1:7" ht="28.5" x14ac:dyDescent="0.45">
      <c r="A511" t="s">
        <v>5308</v>
      </c>
      <c r="B511">
        <f>COUNTIF(PriceList!$M$4:$M$2641,A511)</f>
        <v>3</v>
      </c>
      <c r="C511" t="str">
        <f>IF(B511=1,"1:1","1:Many")</f>
        <v>1:Many</v>
      </c>
      <c r="D511" s="42" t="str" cm="1">
        <f t="array" ref="D511">_xlfn.TEXTJOIN(" | ",TRUE,_xlfn._xlws.FILTER(PriceList!$B$4:$B$2641,PriceList!$M$4:$M$2641=A511,""))</f>
        <v>RS018-F-0600-0751-063 | RS018-N-0600-0751-063 | RS117-H-060-075.1-6.3</v>
      </c>
      <c r="E511" t="str" cm="1">
        <f t="array" ref="E511">_xlfn.TEXTJOIN(", ",TRUE,_xlfn._xlws.FILTER(ROW(PriceList!$B$4:$B$2641),PriceList!$M$4:$M$2641=A511,""))</f>
        <v>2207, 2326, 2599</v>
      </c>
      <c r="F511" s="42" t="str" cm="1">
        <f t="array" ref="F511">_xlfn.TEXTJOIN(" | ",TRUE,_xlfn.UNIQUE(_xlfn._xlws.FILTER(PriceList!$Q$4:$Q$2641&amp;" x "&amp;PriceList!$R$4:$R$2641&amp;" x "&amp;PriceList!$S$4:$S$2641,PriceList!$M$4:$M$2641=A511,"")))</f>
        <v>60 x 75.1 x 6.3</v>
      </c>
      <c r="G511" t="str" cm="1">
        <f t="array" ref="G511">INDEX(_xlfn._xlws.FILTER(PriceList!$P$4:$P$2641,PriceList!$M$4:$M$2641=A511,""),1)</f>
        <v>Rod Composite Seal - Stepped</v>
      </c>
    </row>
    <row r="512" spans="1:7" ht="28.5" x14ac:dyDescent="0.45">
      <c r="A512" t="s">
        <v>5312</v>
      </c>
      <c r="B512">
        <f>COUNTIF(PriceList!$M$4:$M$2641,A512)</f>
        <v>3</v>
      </c>
      <c r="C512" t="str">
        <f>IF(B512=1,"1:1","1:Many")</f>
        <v>1:Many</v>
      </c>
      <c r="D512" s="42" t="str" cm="1">
        <f t="array" ref="D512">_xlfn.TEXTJOIN(" | ",TRUE,_xlfn._xlws.FILTER(PriceList!$B$4:$B$2641,PriceList!$M$4:$M$2641=A512,""))</f>
        <v>RS018-F-0630-0781-063 | RS018-N-0630-0781-063 | RS117-H-063-078.1-6.3</v>
      </c>
      <c r="E512" t="str" cm="1">
        <f t="array" ref="E512">_xlfn.TEXTJOIN(", ",TRUE,_xlfn._xlws.FILTER(ROW(PriceList!$B$4:$B$2641),PriceList!$M$4:$M$2641=A512,""))</f>
        <v>2209, 2329, 2600</v>
      </c>
      <c r="F512" s="42" t="str" cm="1">
        <f t="array" ref="F512">_xlfn.TEXTJOIN(" | ",TRUE,_xlfn.UNIQUE(_xlfn._xlws.FILTER(PriceList!$Q$4:$Q$2641&amp;" x "&amp;PriceList!$R$4:$R$2641&amp;" x "&amp;PriceList!$S$4:$S$2641,PriceList!$M$4:$M$2641=A512,"")))</f>
        <v>63 x 78.1 x 6.3</v>
      </c>
      <c r="G512" t="str" cm="1">
        <f t="array" ref="G512">INDEX(_xlfn._xlws.FILTER(PriceList!$P$4:$P$2641,PriceList!$M$4:$M$2641=A512,""),1)</f>
        <v>Rod Composite Seal - Stepped</v>
      </c>
    </row>
    <row r="513" spans="1:7" x14ac:dyDescent="0.45">
      <c r="A513" t="s">
        <v>5509</v>
      </c>
      <c r="B513">
        <f>COUNTIF(PriceList!$M$4:$M$2641,A513)</f>
        <v>1</v>
      </c>
      <c r="C513" t="str">
        <f>IF(B513=1,"1:1","1:Many")</f>
        <v>1:1</v>
      </c>
      <c r="D513" s="42" t="str" cm="1">
        <f t="array" ref="D513">_xlfn.TEXTJOIN(" | ",TRUE,_xlfn._xlws.FILTER(PriceList!$B$4:$B$2641,PriceList!$M$4:$M$2641=A513,""))</f>
        <v>RS063-U-0630-0785-063</v>
      </c>
      <c r="E513" t="str" cm="1">
        <f t="array" ref="E513">_xlfn.TEXTJOIN(", ",TRUE,_xlfn._xlws.FILTER(ROW(PriceList!$B$4:$B$2641),PriceList!$M$4:$M$2641=A513,""))</f>
        <v>2508</v>
      </c>
      <c r="F513" s="42" t="str" cm="1">
        <f t="array" ref="F513">_xlfn.TEXTJOIN(" | ",TRUE,_xlfn.UNIQUE(_xlfn._xlws.FILTER(PriceList!$Q$4:$Q$2641&amp;" x "&amp;PriceList!$R$4:$R$2641&amp;" x "&amp;PriceList!$S$4:$S$2641,PriceList!$M$4:$M$2641=A513,"")))</f>
        <v>63 x 78.5 x 6.3</v>
      </c>
      <c r="G513" t="str" cm="1">
        <f t="array" ref="G513">INDEX(_xlfn._xlws.FILTER(PriceList!$P$4:$P$2641,PriceList!$M$4:$M$2641=A513,""),1)</f>
        <v>Rod Composite Seal - Stepped</v>
      </c>
    </row>
    <row r="514" spans="1:7" x14ac:dyDescent="0.45">
      <c r="A514" t="s">
        <v>5313</v>
      </c>
      <c r="B514">
        <f>COUNTIF(PriceList!$M$4:$M$2641,A514)</f>
        <v>2</v>
      </c>
      <c r="C514" t="str">
        <f>IF(B514=1,"1:1","1:Many")</f>
        <v>1:Many</v>
      </c>
      <c r="D514" s="42" t="str" cm="1">
        <f t="array" ref="D514">_xlfn.TEXTJOIN(" | ",TRUE,_xlfn._xlws.FILTER(PriceList!$B$4:$B$2641,PriceList!$M$4:$M$2641=A514,""))</f>
        <v>RS018-F-0650-0757-042 | RS018-N-0650-0757-042</v>
      </c>
      <c r="E514" t="str" cm="1">
        <f t="array" ref="E514">_xlfn.TEXTJOIN(", ",TRUE,_xlfn._xlws.FILTER(ROW(PriceList!$B$4:$B$2641),PriceList!$M$4:$M$2641=A514,""))</f>
        <v>2210, 2330</v>
      </c>
      <c r="F514" s="42" t="str" cm="1">
        <f t="array" ref="F514">_xlfn.TEXTJOIN(" | ",TRUE,_xlfn.UNIQUE(_xlfn._xlws.FILTER(PriceList!$Q$4:$Q$2641&amp;" x "&amp;PriceList!$R$4:$R$2641&amp;" x "&amp;PriceList!$S$4:$S$2641,PriceList!$M$4:$M$2641=A514,"")))</f>
        <v>65 x 76 x 4.2</v>
      </c>
      <c r="G514" t="str" cm="1">
        <f t="array" ref="G514">INDEX(_xlfn._xlws.FILTER(PriceList!$P$4:$P$2641,PriceList!$M$4:$M$2641=A514,""),1)</f>
        <v>Rod Composite Seal - Stepped</v>
      </c>
    </row>
    <row r="515" spans="1:7" x14ac:dyDescent="0.45">
      <c r="A515" t="s">
        <v>5315</v>
      </c>
      <c r="B515">
        <f>COUNTIF(PriceList!$M$4:$M$2641,A515)</f>
        <v>2</v>
      </c>
      <c r="C515" t="str">
        <f>IF(B515=1,"1:1","1:Many")</f>
        <v>1:Many</v>
      </c>
      <c r="D515" s="42" t="str" cm="1">
        <f t="array" ref="D515">_xlfn.TEXTJOIN(" | ",TRUE,_xlfn._xlws.FILTER(PriceList!$B$4:$B$2641,PriceList!$M$4:$M$2641=A515,""))</f>
        <v>RS018-F-0680-0831-063 | RS018-N-0680-0831-063</v>
      </c>
      <c r="E515" t="str" cm="1">
        <f t="array" ref="E515">_xlfn.TEXTJOIN(", ",TRUE,_xlfn._xlws.FILTER(ROW(PriceList!$B$4:$B$2641),PriceList!$M$4:$M$2641=A515,""))</f>
        <v>2212, 2333</v>
      </c>
      <c r="F515" s="42" t="str" cm="1">
        <f t="array" ref="F515">_xlfn.TEXTJOIN(" | ",TRUE,_xlfn.UNIQUE(_xlfn._xlws.FILTER(PriceList!$Q$4:$Q$2641&amp;" x "&amp;PriceList!$R$4:$R$2641&amp;" x "&amp;PriceList!$S$4:$S$2641,PriceList!$M$4:$M$2641=A515,"")))</f>
        <v>68 x 83.5 x 6.3</v>
      </c>
      <c r="G515" t="str" cm="1">
        <f t="array" ref="G515">INDEX(_xlfn._xlws.FILTER(PriceList!$P$4:$P$2641,PriceList!$M$4:$M$2641=A515,""),1)</f>
        <v>Rod Composite Seal - Stepped</v>
      </c>
    </row>
    <row r="516" spans="1:7" ht="28.5" x14ac:dyDescent="0.45">
      <c r="A516" t="s">
        <v>5233</v>
      </c>
      <c r="B516">
        <f>COUNTIF(PriceList!$M$4:$M$2641,A516)</f>
        <v>3</v>
      </c>
      <c r="C516" t="str">
        <f>IF(B516=1,"1:1","1:Many")</f>
        <v>1:Many</v>
      </c>
      <c r="D516" s="42" t="str" cm="1">
        <f t="array" ref="D516">_xlfn.TEXTJOIN(" | ",TRUE,_xlfn._xlws.FILTER(PriceList!$B$4:$B$2641,PriceList!$M$4:$M$2641=A516,""))</f>
        <v>ROS004-U-0700-0800-053 | RS018-F-0700-0807-042 | RS018-N-0700-0807-042</v>
      </c>
      <c r="E516" t="str" cm="1">
        <f t="array" ref="E516">_xlfn.TEXTJOIN(", ",TRUE,_xlfn._xlws.FILTER(ROW(PriceList!$B$4:$B$2641),PriceList!$M$4:$M$2641=A516,""))</f>
        <v>2161, 2213, 2334</v>
      </c>
      <c r="F516" s="42" t="str" cm="1">
        <f t="array" ref="F516">_xlfn.TEXTJOIN(" | ",TRUE,_xlfn.UNIQUE(_xlfn._xlws.FILTER(PriceList!$Q$4:$Q$2641&amp;" x "&amp;PriceList!$R$4:$R$2641&amp;" x "&amp;PriceList!$S$4:$S$2641,PriceList!$M$4:$M$2641=A516,"")))</f>
        <v>70 x 81 x 4.2</v>
      </c>
      <c r="G516" t="str" cm="1">
        <f t="array" ref="G516">INDEX(_xlfn._xlws.FILTER(PriceList!$P$4:$P$2641,PriceList!$M$4:$M$2641=A516,""),1)</f>
        <v>Rod Composite Seal - Stepped</v>
      </c>
    </row>
    <row r="517" spans="1:7" x14ac:dyDescent="0.45">
      <c r="A517" t="s">
        <v>5240</v>
      </c>
      <c r="B517">
        <f>COUNTIF(PriceList!$M$4:$M$2641,A517)</f>
        <v>2</v>
      </c>
      <c r="C517" t="str">
        <f>IF(B517=1,"1:1","1:Many")</f>
        <v>1:Many</v>
      </c>
      <c r="D517" s="42" t="str" cm="1">
        <f t="array" ref="D517">_xlfn.TEXTJOIN(" | ",TRUE,_xlfn._xlws.FILTER(PriceList!$B$4:$B$2641,PriceList!$M$4:$M$2641=A517,""))</f>
        <v>RS018-F-0080-0129-022 | RS018-N-0080-0129-022</v>
      </c>
      <c r="E517" t="str" cm="1">
        <f t="array" ref="E517">_xlfn.TEXTJOIN(", ",TRUE,_xlfn._xlws.FILTER(ROW(PriceList!$B$4:$B$2641),PriceList!$M$4:$M$2641=A517,""))</f>
        <v>2166, 2270</v>
      </c>
      <c r="F517" s="42" t="str" cm="1">
        <f t="array" ref="F517">_xlfn.TEXTJOIN(" | ",TRUE,_xlfn.UNIQUE(_xlfn._xlws.FILTER(PriceList!$Q$4:$Q$2641&amp;" x "&amp;PriceList!$R$4:$R$2641&amp;" x "&amp;PriceList!$S$4:$S$2641,PriceList!$M$4:$M$2641=A517,"")))</f>
        <v>8 x 12.9 x 2.2</v>
      </c>
      <c r="G517" t="str" cm="1">
        <f t="array" ref="G517">INDEX(_xlfn._xlws.FILTER(PriceList!$P$4:$P$2641,PriceList!$M$4:$M$2641=A517,""),1)</f>
        <v>Rod Composite Seal - Stepped</v>
      </c>
    </row>
    <row r="518" spans="1:7" x14ac:dyDescent="0.45">
      <c r="A518" t="s">
        <v>5322</v>
      </c>
      <c r="B518">
        <f>COUNTIF(PriceList!$M$4:$M$2641,A518)</f>
        <v>2</v>
      </c>
      <c r="C518" t="str">
        <f>IF(B518=1,"1:1","1:Many")</f>
        <v>1:Many</v>
      </c>
      <c r="D518" s="42" t="str" cm="1">
        <f t="array" ref="D518">_xlfn.TEXTJOIN(" | ",TRUE,_xlfn._xlws.FILTER(PriceList!$B$4:$B$2641,PriceList!$M$4:$M$2641=A518,""))</f>
        <v>RS018-F-0800-1005-081 | RS018-N-0800-1005-081</v>
      </c>
      <c r="E518" t="str" cm="1">
        <f t="array" ref="E518">_xlfn.TEXTJOIN(", ",TRUE,_xlfn._xlws.FILTER(ROW(PriceList!$B$4:$B$2641),PriceList!$M$4:$M$2641=A518,""))</f>
        <v>2220, 2342</v>
      </c>
      <c r="F518" s="42" t="str" cm="1">
        <f t="array" ref="F518">_xlfn.TEXTJOIN(" | ",TRUE,_xlfn.UNIQUE(_xlfn._xlws.FILTER(PriceList!$Q$4:$Q$2641&amp;" x "&amp;PriceList!$R$4:$R$2641&amp;" x "&amp;PriceList!$S$4:$S$2641,PriceList!$M$4:$M$2641=A518,"")))</f>
        <v>80 x 100.5 x 8.1</v>
      </c>
      <c r="G518" t="str" cm="1">
        <f t="array" ref="G518">INDEX(_xlfn._xlws.FILTER(PriceList!$P$4:$P$2641,PriceList!$M$4:$M$2641=A518,""),1)</f>
        <v>Rod Composite Seal - Stepped</v>
      </c>
    </row>
    <row r="519" spans="1:7" ht="28.5" x14ac:dyDescent="0.45">
      <c r="A519" t="s">
        <v>5234</v>
      </c>
      <c r="B519">
        <f>COUNTIF(PriceList!$M$4:$M$2641,A519)</f>
        <v>3</v>
      </c>
      <c r="C519" t="str">
        <f>IF(B519=1,"1:1","1:Many")</f>
        <v>1:Many</v>
      </c>
      <c r="D519" s="42" t="str" cm="1">
        <f t="array" ref="D519">_xlfn.TEXTJOIN(" | ",TRUE,_xlfn._xlws.FILTER(PriceList!$B$4:$B$2641,PriceList!$M$4:$M$2641=A519,""))</f>
        <v>ROS004-U-0800-0900-053 | RS018-F-0800-0907-042 | RS018-N-0800-0907-042</v>
      </c>
      <c r="E519" t="str" cm="1">
        <f t="array" ref="E519">_xlfn.TEXTJOIN(", ",TRUE,_xlfn._xlws.FILTER(ROW(PriceList!$B$4:$B$2641),PriceList!$M$4:$M$2641=A519,""))</f>
        <v>2162, 2218, 2340</v>
      </c>
      <c r="F519" s="42" t="str" cm="1">
        <f t="array" ref="F519">_xlfn.TEXTJOIN(" | ",TRUE,_xlfn.UNIQUE(_xlfn._xlws.FILTER(PriceList!$Q$4:$Q$2641&amp;" x "&amp;PriceList!$R$4:$R$2641&amp;" x "&amp;PriceList!$S$4:$S$2641,PriceList!$M$4:$M$2641=A519,"")))</f>
        <v>80 x 91 x 4.2</v>
      </c>
      <c r="G519" t="str" cm="1">
        <f t="array" ref="G519">INDEX(_xlfn._xlws.FILTER(PriceList!$P$4:$P$2641,PriceList!$M$4:$M$2641=A519,""),1)</f>
        <v>Rod Composite Seal - Stepped</v>
      </c>
    </row>
    <row r="520" spans="1:7" x14ac:dyDescent="0.45">
      <c r="A520" t="s">
        <v>5411</v>
      </c>
      <c r="B520">
        <f>COUNTIF(PriceList!$M$4:$M$2641,A520)</f>
        <v>1</v>
      </c>
      <c r="C520" t="str">
        <f>IF(B520=1,"1:1","1:Many")</f>
        <v>1:1</v>
      </c>
      <c r="D520" s="42" t="str" cm="1">
        <f t="array" ref="D520">_xlfn.TEXTJOIN(" | ",TRUE,_xlfn._xlws.FILTER(PriceList!$B$4:$B$2641,PriceList!$M$4:$M$2641=A520,""))</f>
        <v>RS018-N-0850-1055-081</v>
      </c>
      <c r="E520" t="str" cm="1">
        <f t="array" ref="E520">_xlfn.TEXTJOIN(", ",TRUE,_xlfn._xlws.FILTER(ROW(PriceList!$B$4:$B$2641),PriceList!$M$4:$M$2641=A520,""))</f>
        <v>2347</v>
      </c>
      <c r="F520" s="42" t="str" cm="1">
        <f t="array" ref="F520">_xlfn.TEXTJOIN(" | ",TRUE,_xlfn.UNIQUE(_xlfn._xlws.FILTER(PriceList!$Q$4:$Q$2641&amp;" x "&amp;PriceList!$R$4:$R$2641&amp;" x "&amp;PriceList!$S$4:$S$2641,PriceList!$M$4:$M$2641=A520,"")))</f>
        <v>85 x 105.5 x 8.1</v>
      </c>
      <c r="G520" t="str" cm="1">
        <f t="array" ref="G520">INDEX(_xlfn._xlws.FILTER(PriceList!$P$4:$P$2641,PriceList!$M$4:$M$2641=A520,""),1)</f>
        <v>Rod Composite Seal - Stepped</v>
      </c>
    </row>
    <row r="521" spans="1:7" x14ac:dyDescent="0.45">
      <c r="A521" t="s">
        <v>5235</v>
      </c>
      <c r="B521">
        <f>COUNTIF(PriceList!$M$4:$M$2641,A521)</f>
        <v>2</v>
      </c>
      <c r="C521" t="str">
        <f>IF(B521=1,"1:1","1:Many")</f>
        <v>1:Many</v>
      </c>
      <c r="D521" s="42" t="str" cm="1">
        <f t="array" ref="D521">_xlfn.TEXTJOIN(" | ",TRUE,_xlfn._xlws.FILTER(PriceList!$B$4:$B$2641,PriceList!$M$4:$M$2641=A521,""))</f>
        <v>ROS004-U-0850-0950-053 | RS018-N-0850-0957-042</v>
      </c>
      <c r="E521" t="str" cm="1">
        <f t="array" ref="E521">_xlfn.TEXTJOIN(", ",TRUE,_xlfn._xlws.FILTER(ROW(PriceList!$B$4:$B$2641),PriceList!$M$4:$M$2641=A521,""))</f>
        <v>2163, 2345</v>
      </c>
      <c r="F521" s="42" t="str" cm="1">
        <f t="array" ref="F521">_xlfn.TEXTJOIN(" | ",TRUE,_xlfn.UNIQUE(_xlfn._xlws.FILTER(PriceList!$Q$4:$Q$2641&amp;" x "&amp;PriceList!$R$4:$R$2641&amp;" x "&amp;PriceList!$S$4:$S$2641,PriceList!$M$4:$M$2641=A521,"")))</f>
        <v>85 x 95 x 6.3</v>
      </c>
      <c r="G521" t="str" cm="1">
        <f t="array" ref="G521">INDEX(_xlfn._xlws.FILTER(PriceList!$P$4:$P$2641,PriceList!$M$4:$M$2641=A521,""),1)</f>
        <v>Rod Composite Seal with Square Energiser</v>
      </c>
    </row>
    <row r="522" spans="1:7" x14ac:dyDescent="0.45">
      <c r="A522" t="s">
        <v>5237</v>
      </c>
      <c r="B522">
        <f>COUNTIF(PriceList!$M$4:$M$2641,A522)</f>
        <v>1</v>
      </c>
      <c r="C522" t="str">
        <f>IF(B522=1,"1:1","1:Many")</f>
        <v>1:1</v>
      </c>
      <c r="D522" s="42" t="str" cm="1">
        <f t="array" ref="D522">_xlfn.TEXTJOIN(" | ",TRUE,_xlfn._xlws.FILTER(PriceList!$B$4:$B$2641,PriceList!$M$4:$M$2641=A522,""))</f>
        <v>ROS004-U-0900-1000-053</v>
      </c>
      <c r="E522" t="str" cm="1">
        <f t="array" ref="E522">_xlfn.TEXTJOIN(", ",TRUE,_xlfn._xlws.FILTER(ROW(PriceList!$B$4:$B$2641),PriceList!$M$4:$M$2641=A522,""))</f>
        <v>2164</v>
      </c>
      <c r="F522" s="42" t="str" cm="1">
        <f t="array" ref="F522">_xlfn.TEXTJOIN(" | ",TRUE,_xlfn.UNIQUE(_xlfn._xlws.FILTER(PriceList!$Q$4:$Q$2641&amp;" x "&amp;PriceList!$R$4:$R$2641&amp;" x "&amp;PriceList!$S$4:$S$2641,PriceList!$M$4:$M$2641=A522,"")))</f>
        <v>90 x 100 x 7.5</v>
      </c>
      <c r="G522" t="str" cm="1">
        <f t="array" ref="G522">INDEX(_xlfn._xlws.FILTER(PriceList!$P$4:$P$2641,PriceList!$M$4:$M$2641=A522,""),1)</f>
        <v>Rod Composite Seal - Cave Seal</v>
      </c>
    </row>
    <row r="523" spans="1:7" x14ac:dyDescent="0.45">
      <c r="A523" t="s">
        <v>5412</v>
      </c>
      <c r="B523">
        <f>COUNTIF(PriceList!$M$4:$M$2641,A523)</f>
        <v>1</v>
      </c>
      <c r="C523" t="str">
        <f>IF(B523=1,"1:1","1:Many")</f>
        <v>1:1</v>
      </c>
      <c r="D523" s="42" t="str" cm="1">
        <f t="array" ref="D523">_xlfn.TEXTJOIN(" | ",TRUE,_xlfn._xlws.FILTER(PriceList!$B$4:$B$2641,PriceList!$M$4:$M$2641=A523,""))</f>
        <v>RS018-N-0900-1007-042</v>
      </c>
      <c r="E523" t="str" cm="1">
        <f t="array" ref="E523">_xlfn.TEXTJOIN(", ",TRUE,_xlfn._xlws.FILTER(ROW(PriceList!$B$4:$B$2641),PriceList!$M$4:$M$2641=A523,""))</f>
        <v>2349</v>
      </c>
      <c r="F523" s="42" t="str" cm="1">
        <f t="array" ref="F523">_xlfn.TEXTJOIN(" | ",TRUE,_xlfn.UNIQUE(_xlfn._xlws.FILTER(PriceList!$Q$4:$Q$2641&amp;" x "&amp;PriceList!$R$4:$R$2641&amp;" x "&amp;PriceList!$S$4:$S$2641,PriceList!$M$4:$M$2641=A523,"")))</f>
        <v>90 x 101 x 4.2</v>
      </c>
      <c r="G523" t="str" cm="1">
        <f t="array" ref="G523">INDEX(_xlfn._xlws.FILTER(PriceList!$P$4:$P$2641,PriceList!$M$4:$M$2641=A523,""),1)</f>
        <v>Rod Composite Seal - Stepped</v>
      </c>
    </row>
    <row r="524" spans="1:7" x14ac:dyDescent="0.45">
      <c r="A524" t="s">
        <v>5327</v>
      </c>
      <c r="B524">
        <f>COUNTIF(PriceList!$M$4:$M$2641,A524)</f>
        <v>2</v>
      </c>
      <c r="C524" t="str">
        <f>IF(B524=1,"1:1","1:Many")</f>
        <v>1:Many</v>
      </c>
      <c r="D524" s="42" t="str" cm="1">
        <f t="array" ref="D524">_xlfn.TEXTJOIN(" | ",TRUE,_xlfn._xlws.FILTER(PriceList!$B$4:$B$2641,PriceList!$M$4:$M$2641=A524,""))</f>
        <v>RS018-F-0900-1105-081 | RS018-N-0900-1105-081</v>
      </c>
      <c r="E524" t="str" cm="1">
        <f t="array" ref="E524">_xlfn.TEXTJOIN(", ",TRUE,_xlfn._xlws.FILTER(ROW(PriceList!$B$4:$B$2641),PriceList!$M$4:$M$2641=A524,""))</f>
        <v>2224, 2351</v>
      </c>
      <c r="F524" s="42" t="str" cm="1">
        <f t="array" ref="F524">_xlfn.TEXTJOIN(" | ",TRUE,_xlfn.UNIQUE(_xlfn._xlws.FILTER(PriceList!$Q$4:$Q$2641&amp;" x "&amp;PriceList!$R$4:$R$2641&amp;" x "&amp;PriceList!$S$4:$S$2641,PriceList!$M$4:$M$2641=A524,"")))</f>
        <v>90 x 110.5 x 8.1</v>
      </c>
      <c r="G524" t="str" cm="1">
        <f t="array" ref="G524">INDEX(_xlfn._xlws.FILTER(PriceList!$P$4:$P$2641,PriceList!$M$4:$M$2641=A524,""),1)</f>
        <v>Rod Composite Seal - Stepped</v>
      </c>
    </row>
    <row r="525" spans="1:7" x14ac:dyDescent="0.45">
      <c r="A525" t="s">
        <v>4342</v>
      </c>
      <c r="B525">
        <f>COUNTIF(PriceList!$M$4:$M$2641,A525)</f>
        <v>1</v>
      </c>
      <c r="C525" t="str">
        <f>IF(B525=1,"1:1","1:Many")</f>
        <v>1:1</v>
      </c>
      <c r="D525" s="42" t="str" cm="1">
        <f t="array" ref="D525">_xlfn.TEXTJOIN(" | ",TRUE,_xlfn._xlws.FILTER(PriceList!$B$4:$B$2641,PriceList!$M$4:$M$2641=A525,""))</f>
        <v>OR9N 002.8-1.9</v>
      </c>
      <c r="E525" t="str" cm="1">
        <f t="array" ref="E525">_xlfn.TEXTJOIN(", ",TRUE,_xlfn._xlws.FILTER(ROW(PriceList!$B$4:$B$2641),PriceList!$M$4:$M$2641=A525,""))</f>
        <v>921</v>
      </c>
      <c r="F525" s="42" t="str" cm="1">
        <f t="array" ref="F525">_xlfn.TEXTJOIN(" | ",TRUE,_xlfn.UNIQUE(_xlfn._xlws.FILTER(PriceList!$Q$4:$Q$2641&amp;" x "&amp;PriceList!$R$4:$R$2641&amp;" x "&amp;PriceList!$S$4:$S$2641,PriceList!$M$4:$M$2641=A525,"")))</f>
        <v>2.5 x 6.5 x 2</v>
      </c>
      <c r="G525" t="str" cm="1">
        <f t="array" ref="G525">INDEX(_xlfn._xlws.FILTER(PriceList!$P$4:$P$2641,PriceList!$M$4:$M$2641=A525,""),1)</f>
        <v>O Ring - NBR 70</v>
      </c>
    </row>
    <row r="526" spans="1:7" x14ac:dyDescent="0.45">
      <c r="A526" t="s">
        <v>4344</v>
      </c>
      <c r="B526">
        <f>COUNTIF(PriceList!$M$4:$M$2641,A526)</f>
        <v>2</v>
      </c>
      <c r="C526" t="str">
        <f>IF(B526=1,"1:1","1:Many")</f>
        <v>1:Many</v>
      </c>
      <c r="D526" s="42" t="str" cm="1">
        <f t="array" ref="D526">_xlfn.TEXTJOIN(" | ",TRUE,_xlfn._xlws.FILTER(PriceList!$B$4:$B$2641,PriceList!$M$4:$M$2641=A526,""))</f>
        <v>OR9N 002.9-1.78 | OR9N 003-1.6</v>
      </c>
      <c r="E526" t="str" cm="1">
        <f t="array" ref="E526">_xlfn.TEXTJOIN(", ",TRUE,_xlfn._xlws.FILTER(ROW(PriceList!$B$4:$B$2641),PriceList!$M$4:$M$2641=A526,""))</f>
        <v>922, 925</v>
      </c>
      <c r="F526" s="42" t="str" cm="1">
        <f t="array" ref="F526">_xlfn.TEXTJOIN(" | ",TRUE,_xlfn.UNIQUE(_xlfn._xlws.FILTER(PriceList!$Q$4:$Q$2641&amp;" x "&amp;PriceList!$R$4:$R$2641&amp;" x "&amp;PriceList!$S$4:$S$2641,PriceList!$M$4:$M$2641=A526,"")))</f>
        <v>3.1 x 6.3 x 1.6</v>
      </c>
      <c r="G526" t="str" cm="1">
        <f t="array" ref="G526">INDEX(_xlfn._xlws.FILTER(PriceList!$P$4:$P$2641,PriceList!$M$4:$M$2641=A526,""),1)</f>
        <v>O Ring - EPDM</v>
      </c>
    </row>
    <row r="527" spans="1:7" x14ac:dyDescent="0.45">
      <c r="A527" t="s">
        <v>3890</v>
      </c>
      <c r="B527">
        <f>COUNTIF(PriceList!$M$4:$M$2641,A527)</f>
        <v>3</v>
      </c>
      <c r="C527" t="str">
        <f>IF(B527=1,"1:1","1:Many")</f>
        <v>1:Many</v>
      </c>
      <c r="D527" s="42" t="str" cm="1">
        <f t="array" ref="D527">_xlfn.TEXTJOIN(" | ",TRUE,_xlfn._xlws.FILTER(PriceList!$B$4:$B$2641,PriceList!$M$4:$M$2641=A527,""))</f>
        <v>OR7N 003.8-1.9 | OR9N 003.68-1.78 | OR9N 003.8-1.9</v>
      </c>
      <c r="E527" t="str" cm="1">
        <f t="array" ref="E527">_xlfn.TEXTJOIN(", ",TRUE,_xlfn._xlws.FILTER(ROW(PriceList!$B$4:$B$2641),PriceList!$M$4:$M$2641=A527,""))</f>
        <v>543, 923, 924</v>
      </c>
      <c r="F527" s="42" t="str" cm="1">
        <f t="array" ref="F527">_xlfn.TEXTJOIN(" | ",TRUE,_xlfn.UNIQUE(_xlfn._xlws.FILTER(PriceList!$Q$4:$Q$2641&amp;" x "&amp;PriceList!$R$4:$R$2641&amp;" x "&amp;PriceList!$S$4:$S$2641,PriceList!$M$4:$M$2641=A527,"")))</f>
        <v>3.8 x 7.6 x 1.9</v>
      </c>
      <c r="G527" t="str" cm="1">
        <f t="array" ref="G527">INDEX(_xlfn._xlws.FILTER(PriceList!$P$4:$P$2641,PriceList!$M$4:$M$2641=A527,""),1)</f>
        <v>O Ring - NBR 70</v>
      </c>
    </row>
    <row r="528" spans="1:7" x14ac:dyDescent="0.45">
      <c r="A528" t="s">
        <v>3897</v>
      </c>
      <c r="B528">
        <f>COUNTIF(PriceList!$M$4:$M$2641,A528)</f>
        <v>2</v>
      </c>
      <c r="C528" t="str">
        <f>IF(B528=1,"1:1","1:Many")</f>
        <v>1:Many</v>
      </c>
      <c r="D528" s="42" t="str" cm="1">
        <f t="array" ref="D528">_xlfn.TEXTJOIN(" | ",TRUE,_xlfn._xlws.FILTER(PriceList!$B$4:$B$2641,PriceList!$M$4:$M$2641=A528,""))</f>
        <v>OR7N 004-1 | OR9N 004-1</v>
      </c>
      <c r="E528" t="str" cm="1">
        <f t="array" ref="E528">_xlfn.TEXTJOIN(", ",TRUE,_xlfn._xlws.FILTER(ROW(PriceList!$B$4:$B$2641),PriceList!$M$4:$M$2641=A528,""))</f>
        <v>546, 928</v>
      </c>
      <c r="F528" s="42" t="str" cm="1">
        <f t="array" ref="F528">_xlfn.TEXTJOIN(" | ",TRUE,_xlfn.UNIQUE(_xlfn._xlws.FILTER(PriceList!$Q$4:$Q$2641&amp;" x "&amp;PriceList!$R$4:$R$2641&amp;" x "&amp;PriceList!$S$4:$S$2641,PriceList!$M$4:$M$2641=A528,"")))</f>
        <v>4 x 6 x 1</v>
      </c>
      <c r="G528" t="str" cm="1">
        <f t="array" ref="G528">INDEX(_xlfn._xlws.FILTER(PriceList!$P$4:$P$2641,PriceList!$M$4:$M$2641=A528,""),1)</f>
        <v>O Ring - EPDM</v>
      </c>
    </row>
    <row r="529" spans="1:7" x14ac:dyDescent="0.45">
      <c r="A529" t="s">
        <v>4347</v>
      </c>
      <c r="B529">
        <f>COUNTIF(PriceList!$M$4:$M$2641,A529)</f>
        <v>1</v>
      </c>
      <c r="C529" t="str">
        <f>IF(B529=1,"1:1","1:Many")</f>
        <v>1:1</v>
      </c>
      <c r="D529" s="42" t="str" cm="1">
        <f t="array" ref="D529">_xlfn.TEXTJOIN(" | ",TRUE,_xlfn._xlws.FILTER(PriceList!$B$4:$B$2641,PriceList!$M$4:$M$2641=A529,""))</f>
        <v>OR9N 004-1.5</v>
      </c>
      <c r="E529" t="str" cm="1">
        <f t="array" ref="E529">_xlfn.TEXTJOIN(", ",TRUE,_xlfn._xlws.FILTER(ROW(PriceList!$B$4:$B$2641),PriceList!$M$4:$M$2641=A529,""))</f>
        <v>929</v>
      </c>
      <c r="F529" s="42" t="str" cm="1">
        <f t="array" ref="F529">_xlfn.TEXTJOIN(" | ",TRUE,_xlfn.UNIQUE(_xlfn._xlws.FILTER(PriceList!$Q$4:$Q$2641&amp;" x "&amp;PriceList!$R$4:$R$2641&amp;" x "&amp;PriceList!$S$4:$S$2641,PriceList!$M$4:$M$2641=A529,"")))</f>
        <v>4 x 7 x 1.5</v>
      </c>
      <c r="G529" t="str" cm="1">
        <f t="array" ref="G529">INDEX(_xlfn._xlws.FILTER(PriceList!$P$4:$P$2641,PriceList!$M$4:$M$2641=A529,""),1)</f>
        <v>O Ring - NBR 70</v>
      </c>
    </row>
    <row r="530" spans="1:7" x14ac:dyDescent="0.45">
      <c r="A530" t="s">
        <v>4601</v>
      </c>
      <c r="B530">
        <f>COUNTIF(PriceList!$M$4:$M$2641,A530)</f>
        <v>2</v>
      </c>
      <c r="C530" t="str">
        <f>IF(B530=1,"1:1","1:Many")</f>
        <v>1:Many</v>
      </c>
      <c r="D530" s="42" t="str" cm="1">
        <f t="array" ref="D530">_xlfn.TEXTJOIN(" | ",TRUE,_xlfn._xlws.FILTER(PriceList!$B$4:$B$2641,PriceList!$M$4:$M$2641=A530,""))</f>
        <v>ORV8 004.47-1.78 | ORV8 004-2</v>
      </c>
      <c r="E530" t="str" cm="1">
        <f t="array" ref="E530">_xlfn.TEXTJOIN(", ",TRUE,_xlfn._xlws.FILTER(ROW(PriceList!$B$4:$B$2641),PriceList!$M$4:$M$2641=A530,""))</f>
        <v>1545, 1548</v>
      </c>
      <c r="F530" s="42" t="str" cm="1">
        <f t="array" ref="F530">_xlfn.TEXTJOIN(" | ",TRUE,_xlfn.UNIQUE(_xlfn._xlws.FILTER(PriceList!$Q$4:$Q$2641&amp;" x "&amp;PriceList!$R$4:$R$2641&amp;" x "&amp;PriceList!$S$4:$S$2641,PriceList!$M$4:$M$2641=A530,"")))</f>
        <v>4 x 8 x 2</v>
      </c>
      <c r="G530" t="str" cm="1">
        <f t="array" ref="G530">INDEX(_xlfn._xlws.FILTER(PriceList!$P$4:$P$2641,PriceList!$M$4:$M$2641=A530,""),1)</f>
        <v>O Ring - FPM/FKM/VitonÂ®</v>
      </c>
    </row>
    <row r="531" spans="1:7" x14ac:dyDescent="0.45">
      <c r="A531" t="s">
        <v>4348</v>
      </c>
      <c r="B531">
        <f>COUNTIF(PriceList!$M$4:$M$2641,A531)</f>
        <v>1</v>
      </c>
      <c r="C531" t="str">
        <f>IF(B531=1,"1:1","1:Many")</f>
        <v>1:1</v>
      </c>
      <c r="D531" s="42" t="str" cm="1">
        <f t="array" ref="D531">_xlfn.TEXTJOIN(" | ",TRUE,_xlfn._xlws.FILTER(PriceList!$B$4:$B$2641,PriceList!$M$4:$M$2641=A531,""))</f>
        <v>OR9N 004-3</v>
      </c>
      <c r="E531" t="str" cm="1">
        <f t="array" ref="E531">_xlfn.TEXTJOIN(", ",TRUE,_xlfn._xlws.FILTER(ROW(PriceList!$B$4:$B$2641),PriceList!$M$4:$M$2641=A531,""))</f>
        <v>930</v>
      </c>
      <c r="F531" s="42" t="str" cm="1">
        <f t="array" ref="F531">_xlfn.TEXTJOIN(" | ",TRUE,_xlfn.UNIQUE(_xlfn._xlws.FILTER(PriceList!$Q$4:$Q$2641&amp;" x "&amp;PriceList!$R$4:$R$2641&amp;" x "&amp;PriceList!$S$4:$S$2641,PriceList!$M$4:$M$2641=A531,"")))</f>
        <v>4 x 10 x 3</v>
      </c>
      <c r="G531" t="str" cm="1">
        <f t="array" ref="G531">INDEX(_xlfn._xlws.FILTER(PriceList!$P$4:$P$2641,PriceList!$M$4:$M$2641=A531,""),1)</f>
        <v>O Ring - NBR 70</v>
      </c>
    </row>
    <row r="532" spans="1:7" x14ac:dyDescent="0.45">
      <c r="A532" t="s">
        <v>4605</v>
      </c>
      <c r="B532">
        <f>COUNTIF(PriceList!$M$4:$M$2641,A532)</f>
        <v>1</v>
      </c>
      <c r="C532" t="str">
        <f>IF(B532=1,"1:1","1:Many")</f>
        <v>1:1</v>
      </c>
      <c r="D532" s="42" t="str" cm="1">
        <f t="array" ref="D532">_xlfn.TEXTJOIN(" | ",TRUE,_xlfn._xlws.FILTER(PriceList!$B$4:$B$2641,PriceList!$M$4:$M$2641=A532,""))</f>
        <v>ORV8 004.8-1.9</v>
      </c>
      <c r="E532" t="str" cm="1">
        <f t="array" ref="E532">_xlfn.TEXTJOIN(", ",TRUE,_xlfn._xlws.FILTER(ROW(PriceList!$B$4:$B$2641),PriceList!$M$4:$M$2641=A532,""))</f>
        <v>1547</v>
      </c>
      <c r="F532" s="42" t="str" cm="1">
        <f t="array" ref="F532">_xlfn.TEXTJOIN(" | ",TRUE,_xlfn.UNIQUE(_xlfn._xlws.FILTER(PriceList!$Q$4:$Q$2641&amp;" x "&amp;PriceList!$R$4:$R$2641&amp;" x "&amp;PriceList!$S$4:$S$2641,PriceList!$M$4:$M$2641=A532,"")))</f>
        <v>4.5 x 8.5 x 2</v>
      </c>
      <c r="G532" t="str" cm="1">
        <f t="array" ref="G532">INDEX(_xlfn._xlws.FILTER(PriceList!$P$4:$P$2641,PriceList!$M$4:$M$2641=A532,""),1)</f>
        <v>O Ring - FPM/FKM/VitonÂ®</v>
      </c>
    </row>
    <row r="533" spans="1:7" x14ac:dyDescent="0.45">
      <c r="A533" t="s">
        <v>3894</v>
      </c>
      <c r="B533">
        <f>COUNTIF(PriceList!$M$4:$M$2641,A533)</f>
        <v>2</v>
      </c>
      <c r="C533" t="str">
        <f>IF(B533=1,"1:1","1:Many")</f>
        <v>1:Many</v>
      </c>
      <c r="D533" s="42" t="str" cm="1">
        <f t="array" ref="D533">_xlfn.TEXTJOIN(" | ",TRUE,_xlfn._xlws.FILTER(PriceList!$B$4:$B$2641,PriceList!$M$4:$M$2641=A533,""))</f>
        <v>OR7N 004.47-1.78 | OR9N 004.47-1.78</v>
      </c>
      <c r="E533" t="str" cm="1">
        <f t="array" ref="E533">_xlfn.TEXTJOIN(", ",TRUE,_xlfn._xlws.FILTER(ROW(PriceList!$B$4:$B$2641),PriceList!$M$4:$M$2641=A533,""))</f>
        <v>544, 926</v>
      </c>
      <c r="F533" s="42" t="str" cm="1">
        <f t="array" ref="F533">_xlfn.TEXTJOIN(" | ",TRUE,_xlfn.UNIQUE(_xlfn._xlws.FILTER(PriceList!$Q$4:$Q$2641&amp;" x "&amp;PriceList!$R$4:$R$2641&amp;" x "&amp;PriceList!$S$4:$S$2641,PriceList!$M$4:$M$2641=A533,"")))</f>
        <v>4.7 x 7.9 x 1.6</v>
      </c>
      <c r="G533" t="str" cm="1">
        <f t="array" ref="G533">INDEX(_xlfn._xlws.FILTER(PriceList!$P$4:$P$2641,PriceList!$M$4:$M$2641=A533,""),1)</f>
        <v>O Ring - NBR 70</v>
      </c>
    </row>
    <row r="534" spans="1:7" x14ac:dyDescent="0.45">
      <c r="A534" t="s">
        <v>3896</v>
      </c>
      <c r="B534">
        <f>COUNTIF(PriceList!$M$4:$M$2641,A534)</f>
        <v>2</v>
      </c>
      <c r="C534" t="str">
        <f>IF(B534=1,"1:1","1:Many")</f>
        <v>1:Many</v>
      </c>
      <c r="D534" s="42" t="str" cm="1">
        <f t="array" ref="D534">_xlfn.TEXTJOIN(" | ",TRUE,_xlfn._xlws.FILTER(PriceList!$B$4:$B$2641,PriceList!$M$4:$M$2641=A534,""))</f>
        <v>OR7N 004.8-1.9 | OR9N 004.8-1.9</v>
      </c>
      <c r="E534" t="str" cm="1">
        <f t="array" ref="E534">_xlfn.TEXTJOIN(", ",TRUE,_xlfn._xlws.FILTER(ROW(PriceList!$B$4:$B$2641),PriceList!$M$4:$M$2641=A534,""))</f>
        <v>545, 927</v>
      </c>
      <c r="F534" s="42" t="str" cm="1">
        <f t="array" ref="F534">_xlfn.TEXTJOIN(" | ",TRUE,_xlfn.UNIQUE(_xlfn._xlws.FILTER(PriceList!$Q$4:$Q$2641&amp;" x "&amp;PriceList!$R$4:$R$2641&amp;" x "&amp;PriceList!$S$4:$S$2641,PriceList!$M$4:$M$2641=A534,"")))</f>
        <v>4.8 x 8.6 x 1.9</v>
      </c>
      <c r="G534" t="str" cm="1">
        <f t="array" ref="G534">INDEX(_xlfn._xlws.FILTER(PriceList!$P$4:$P$2641,PriceList!$M$4:$M$2641=A534,""),1)</f>
        <v>O Ring - NBR 70</v>
      </c>
    </row>
    <row r="535" spans="1:7" x14ac:dyDescent="0.45">
      <c r="A535" t="s">
        <v>4353</v>
      </c>
      <c r="B535">
        <f>COUNTIF(PriceList!$M$4:$M$2641,A535)</f>
        <v>1</v>
      </c>
      <c r="C535" t="str">
        <f>IF(B535=1,"1:1","1:Many")</f>
        <v>1:1</v>
      </c>
      <c r="D535" s="42" t="str" cm="1">
        <f t="array" ref="D535">_xlfn.TEXTJOIN(" | ",TRUE,_xlfn._xlws.FILTER(PriceList!$B$4:$B$2641,PriceList!$M$4:$M$2641=A535,""))</f>
        <v>OR9N 005-1</v>
      </c>
      <c r="E535" t="str" cm="1">
        <f t="array" ref="E535">_xlfn.TEXTJOIN(", ",TRUE,_xlfn._xlws.FILTER(ROW(PriceList!$B$4:$B$2641),PriceList!$M$4:$M$2641=A535,""))</f>
        <v>935</v>
      </c>
      <c r="F535" s="42" t="str" cm="1">
        <f t="array" ref="F535">_xlfn.TEXTJOIN(" | ",TRUE,_xlfn.UNIQUE(_xlfn._xlws.FILTER(PriceList!$Q$4:$Q$2641&amp;" x "&amp;PriceList!$R$4:$R$2641&amp;" x "&amp;PriceList!$S$4:$S$2641,PriceList!$M$4:$M$2641=A535,"")))</f>
        <v>5 x 7 x 1</v>
      </c>
      <c r="G535" t="str" cm="1">
        <f t="array" ref="G535">INDEX(_xlfn._xlws.FILTER(PriceList!$P$4:$P$2641,PriceList!$M$4:$M$2641=A535,""),1)</f>
        <v>O Ring - NBR 70</v>
      </c>
    </row>
    <row r="536" spans="1:7" x14ac:dyDescent="0.45">
      <c r="A536" t="s">
        <v>3901</v>
      </c>
      <c r="B536">
        <f>COUNTIF(PriceList!$M$4:$M$2641,A536)</f>
        <v>2</v>
      </c>
      <c r="C536" t="str">
        <f>IF(B536=1,"1:1","1:Many")</f>
        <v>1:Many</v>
      </c>
      <c r="D536" s="42" t="str" cm="1">
        <f t="array" ref="D536">_xlfn.TEXTJOIN(" | ",TRUE,_xlfn._xlws.FILTER(PriceList!$B$4:$B$2641,PriceList!$M$4:$M$2641=A536,""))</f>
        <v>OR7N 005-1.5 | OR9N 005-1.5</v>
      </c>
      <c r="E536" t="str" cm="1">
        <f t="array" ref="E536">_xlfn.TEXTJOIN(", ",TRUE,_xlfn._xlws.FILTER(ROW(PriceList!$B$4:$B$2641),PriceList!$M$4:$M$2641=A536,""))</f>
        <v>548, 936</v>
      </c>
      <c r="F536" s="42" t="str" cm="1">
        <f t="array" ref="F536">_xlfn.TEXTJOIN(" | ",TRUE,_xlfn.UNIQUE(_xlfn._xlws.FILTER(PriceList!$Q$4:$Q$2641&amp;" x "&amp;PriceList!$R$4:$R$2641&amp;" x "&amp;PriceList!$S$4:$S$2641,PriceList!$M$4:$M$2641=A536,"")))</f>
        <v>5 x 8 x 1.5</v>
      </c>
      <c r="G536" t="str" cm="1">
        <f t="array" ref="G536">INDEX(_xlfn._xlws.FILTER(PriceList!$P$4:$P$2641,PriceList!$M$4:$M$2641=A536,""),1)</f>
        <v>O Ring - NBR 70</v>
      </c>
    </row>
    <row r="537" spans="1:7" x14ac:dyDescent="0.45">
      <c r="A537" t="s">
        <v>4612</v>
      </c>
      <c r="B537">
        <f>COUNTIF(PriceList!$M$4:$M$2641,A537)</f>
        <v>1</v>
      </c>
      <c r="C537" t="str">
        <f>IF(B537=1,"1:1","1:Many")</f>
        <v>1:1</v>
      </c>
      <c r="D537" s="42" t="str" cm="1">
        <f t="array" ref="D537">_xlfn.TEXTJOIN(" | ",TRUE,_xlfn._xlws.FILTER(PriceList!$B$4:$B$2641,PriceList!$M$4:$M$2641=A537,""))</f>
        <v>ORV8 005-1.5</v>
      </c>
      <c r="E537" t="str" cm="1">
        <f t="array" ref="E537">_xlfn.TEXTJOIN(", ",TRUE,_xlfn._xlws.FILTER(ROW(PriceList!$B$4:$B$2641),PriceList!$M$4:$M$2641=A537,""))</f>
        <v>1554</v>
      </c>
      <c r="F537" s="42" t="str" cm="1">
        <f t="array" ref="F537">_xlfn.TEXTJOIN(" | ",TRUE,_xlfn.UNIQUE(_xlfn._xlws.FILTER(PriceList!$Q$4:$Q$2641&amp;" x "&amp;PriceList!$R$4:$R$2641&amp;" x "&amp;PriceList!$S$4:$S$2641,PriceList!$M$4:$M$2641=A537,"")))</f>
        <v>5 x 8 x 1.5</v>
      </c>
      <c r="G537" t="str" cm="1">
        <f t="array" ref="G537">INDEX(_xlfn._xlws.FILTER(PriceList!$P$4:$P$2641,PriceList!$M$4:$M$2641=A537,""),1)</f>
        <v>O Ring - FPM/FKM/VitonÂ®</v>
      </c>
    </row>
    <row r="538" spans="1:7" x14ac:dyDescent="0.45">
      <c r="A538" t="s">
        <v>3902</v>
      </c>
      <c r="B538">
        <f>COUNTIF(PriceList!$M$4:$M$2641,A538)</f>
        <v>2</v>
      </c>
      <c r="C538" t="str">
        <f>IF(B538=1,"1:1","1:Many")</f>
        <v>1:Many</v>
      </c>
      <c r="D538" s="42" t="str" cm="1">
        <f t="array" ref="D538">_xlfn.TEXTJOIN(" | ",TRUE,_xlfn._xlws.FILTER(PriceList!$B$4:$B$2641,PriceList!$M$4:$M$2641=A538,""))</f>
        <v>OR7N 005-2 | OR9N 005-2</v>
      </c>
      <c r="E538" t="str" cm="1">
        <f t="array" ref="E538">_xlfn.TEXTJOIN(", ",TRUE,_xlfn._xlws.FILTER(ROW(PriceList!$B$4:$B$2641),PriceList!$M$4:$M$2641=A538,""))</f>
        <v>549, 937</v>
      </c>
      <c r="F538" s="42" t="str" cm="1">
        <f t="array" ref="F538">_xlfn.TEXTJOIN(" | ",TRUE,_xlfn.UNIQUE(_xlfn._xlws.FILTER(PriceList!$Q$4:$Q$2641&amp;" x "&amp;PriceList!$R$4:$R$2641&amp;" x "&amp;PriceList!$S$4:$S$2641,PriceList!$M$4:$M$2641=A538,"")))</f>
        <v>5 x 9 x 2</v>
      </c>
      <c r="G538" t="str" cm="1">
        <f t="array" ref="G538">INDEX(_xlfn._xlws.FILTER(PriceList!$P$4:$P$2641,PriceList!$M$4:$M$2641=A538,""),1)</f>
        <v>O Ring - EPDM</v>
      </c>
    </row>
    <row r="539" spans="1:7" x14ac:dyDescent="0.45">
      <c r="A539" t="s">
        <v>4613</v>
      </c>
      <c r="B539">
        <f>COUNTIF(PriceList!$M$4:$M$2641,A539)</f>
        <v>1</v>
      </c>
      <c r="C539" t="str">
        <f>IF(B539=1,"1:1","1:Many")</f>
        <v>1:1</v>
      </c>
      <c r="D539" s="42" t="str" cm="1">
        <f t="array" ref="D539">_xlfn.TEXTJOIN(" | ",TRUE,_xlfn._xlws.FILTER(PriceList!$B$4:$B$2641,PriceList!$M$4:$M$2641=A539,""))</f>
        <v>ORV8 005-2</v>
      </c>
      <c r="E539" t="str" cm="1">
        <f t="array" ref="E539">_xlfn.TEXTJOIN(", ",TRUE,_xlfn._xlws.FILTER(ROW(PriceList!$B$4:$B$2641),PriceList!$M$4:$M$2641=A539,""))</f>
        <v>1555</v>
      </c>
      <c r="F539" s="42" t="str" cm="1">
        <f t="array" ref="F539">_xlfn.TEXTJOIN(" | ",TRUE,_xlfn.UNIQUE(_xlfn._xlws.FILTER(PriceList!$Q$4:$Q$2641&amp;" x "&amp;PriceList!$R$4:$R$2641&amp;" x "&amp;PriceList!$S$4:$S$2641,PriceList!$M$4:$M$2641=A539,"")))</f>
        <v>5 x 9 x 2</v>
      </c>
      <c r="G539" t="str" cm="1">
        <f t="array" ref="G539">INDEX(_xlfn._xlws.FILTER(PriceList!$P$4:$P$2641,PriceList!$M$4:$M$2641=A539,""),1)</f>
        <v>O Ring - FPM/FKM/VitonÂ®</v>
      </c>
    </row>
    <row r="540" spans="1:7" x14ac:dyDescent="0.45">
      <c r="A540" t="s">
        <v>4603</v>
      </c>
      <c r="B540">
        <f>COUNTIF(PriceList!$M$4:$M$2641,A540)</f>
        <v>1</v>
      </c>
      <c r="C540" t="str">
        <f>IF(B540=1,"1:1","1:Many")</f>
        <v>1:1</v>
      </c>
      <c r="D540" s="42" t="str" cm="1">
        <f t="array" ref="D540">_xlfn.TEXTJOIN(" | ",TRUE,_xlfn._xlws.FILTER(PriceList!$B$4:$B$2641,PriceList!$M$4:$M$2641=A540,""))</f>
        <v>ORV8 004.4-3.5</v>
      </c>
      <c r="E540" t="str" cm="1">
        <f t="array" ref="E540">_xlfn.TEXTJOIN(", ",TRUE,_xlfn._xlws.FILTER(ROW(PriceList!$B$4:$B$2641),PriceList!$M$4:$M$2641=A540,""))</f>
        <v>1546</v>
      </c>
      <c r="F540" s="42" t="str" cm="1">
        <f t="array" ref="F540">_xlfn.TEXTJOIN(" | ",TRUE,_xlfn.UNIQUE(_xlfn._xlws.FILTER(PriceList!$Q$4:$Q$2641&amp;" x "&amp;PriceList!$R$4:$R$2641&amp;" x "&amp;PriceList!$S$4:$S$2641,PriceList!$M$4:$M$2641=A540,"")))</f>
        <v>5 x 11 x 3</v>
      </c>
      <c r="G540" t="str" cm="1">
        <f t="array" ref="G540">INDEX(_xlfn._xlws.FILTER(PriceList!$P$4:$P$2641,PriceList!$M$4:$M$2641=A540,""),1)</f>
        <v>O Ring - FPM/FKM/VitonÂ®</v>
      </c>
    </row>
    <row r="541" spans="1:7" x14ac:dyDescent="0.45">
      <c r="A541" t="s">
        <v>4352</v>
      </c>
      <c r="B541">
        <f>COUNTIF(PriceList!$M$4:$M$2641,A541)</f>
        <v>1</v>
      </c>
      <c r="C541" t="str">
        <f>IF(B541=1,"1:1","1:Many")</f>
        <v>1:1</v>
      </c>
      <c r="D541" s="42" t="str" cm="1">
        <f t="array" ref="D541">_xlfn.TEXTJOIN(" | ",TRUE,_xlfn._xlws.FILTER(PriceList!$B$4:$B$2641,PriceList!$M$4:$M$2641=A541,""))</f>
        <v>OR9N 005.4-2.3</v>
      </c>
      <c r="E541" t="str" cm="1">
        <f t="array" ref="E541">_xlfn.TEXTJOIN(", ",TRUE,_xlfn._xlws.FILTER(ROW(PriceList!$B$4:$B$2641),PriceList!$M$4:$M$2641=A541,""))</f>
        <v>933</v>
      </c>
      <c r="F541" s="42" t="str" cm="1">
        <f t="array" ref="F541">_xlfn.TEXTJOIN(" | ",TRUE,_xlfn.UNIQUE(_xlfn._xlws.FILTER(PriceList!$Q$4:$Q$2641&amp;" x "&amp;PriceList!$R$4:$R$2641&amp;" x "&amp;PriceList!$S$4:$S$2641,PriceList!$M$4:$M$2641=A541,"")))</f>
        <v>5.3 x 10.1 x 2.4</v>
      </c>
      <c r="G541" t="str" cm="1">
        <f t="array" ref="G541">INDEX(_xlfn._xlws.FILTER(PriceList!$P$4:$P$2641,PriceList!$M$4:$M$2641=A541,""),1)</f>
        <v>O Ring - NBR 70</v>
      </c>
    </row>
    <row r="542" spans="1:7" x14ac:dyDescent="0.45">
      <c r="A542" t="s">
        <v>4349</v>
      </c>
      <c r="B542">
        <f>COUNTIF(PriceList!$M$4:$M$2641,A542)</f>
        <v>1</v>
      </c>
      <c r="C542" t="str">
        <f>IF(B542=1,"1:1","1:Many")</f>
        <v>1:1</v>
      </c>
      <c r="D542" s="42" t="str" cm="1">
        <f t="array" ref="D542">_xlfn.TEXTJOIN(" | ",TRUE,_xlfn._xlws.FILTER(PriceList!$B$4:$B$2641,PriceList!$M$4:$M$2641=A542,""))</f>
        <v>OR9N 005.23-2.62</v>
      </c>
      <c r="E542" t="str" cm="1">
        <f t="array" ref="E542">_xlfn.TEXTJOIN(", ",TRUE,_xlfn._xlws.FILTER(ROW(PriceList!$B$4:$B$2641),PriceList!$M$4:$M$2641=A542,""))</f>
        <v>931</v>
      </c>
      <c r="F542" s="42" t="str" cm="1">
        <f t="array" ref="F542">_xlfn.TEXTJOIN(" | ",TRUE,_xlfn.UNIQUE(_xlfn._xlws.FILTER(PriceList!$Q$4:$Q$2641&amp;" x "&amp;PriceList!$R$4:$R$2641&amp;" x "&amp;PriceList!$S$4:$S$2641,PriceList!$M$4:$M$2641=A542,"")))</f>
        <v>5.5 x 10.5 x 2.5</v>
      </c>
      <c r="G542" t="str" cm="1">
        <f t="array" ref="G542">INDEX(_xlfn._xlws.FILTER(PriceList!$P$4:$P$2641,PriceList!$M$4:$M$2641=A542,""),1)</f>
        <v>O Ring - NBR 70</v>
      </c>
    </row>
    <row r="543" spans="1:7" x14ac:dyDescent="0.45">
      <c r="A543" t="s">
        <v>4609</v>
      </c>
      <c r="B543">
        <f>COUNTIF(PriceList!$M$4:$M$2641,A543)</f>
        <v>1</v>
      </c>
      <c r="C543" t="str">
        <f>IF(B543=1,"1:1","1:Many")</f>
        <v>1:1</v>
      </c>
      <c r="D543" s="42" t="str" cm="1">
        <f t="array" ref="D543">_xlfn.TEXTJOIN(" | ",TRUE,_xlfn._xlws.FILTER(PriceList!$B$4:$B$2641,PriceList!$M$4:$M$2641=A543,""))</f>
        <v>ORV8 005.6-1.7</v>
      </c>
      <c r="E543" t="str" cm="1">
        <f t="array" ref="E543">_xlfn.TEXTJOIN(", ",TRUE,_xlfn._xlws.FILTER(ROW(PriceList!$B$4:$B$2641),PriceList!$M$4:$M$2641=A543,""))</f>
        <v>1551</v>
      </c>
      <c r="F543" s="42" t="str" cm="1">
        <f t="array" ref="F543">_xlfn.TEXTJOIN(" | ",TRUE,_xlfn.UNIQUE(_xlfn._xlws.FILTER(PriceList!$Q$4:$Q$2641&amp;" x "&amp;PriceList!$R$4:$R$2641&amp;" x "&amp;PriceList!$S$4:$S$2641,PriceList!$M$4:$M$2641=A543,"")))</f>
        <v>5.8 x 8.8 x 1.5</v>
      </c>
      <c r="G543" t="str" cm="1">
        <f t="array" ref="G543">INDEX(_xlfn._xlws.FILTER(PriceList!$P$4:$P$2641,PriceList!$M$4:$M$2641=A543,""),1)</f>
        <v>O Ring - FPM/FKM/VitonÂ®</v>
      </c>
    </row>
    <row r="544" spans="1:7" x14ac:dyDescent="0.45">
      <c r="A544" t="s">
        <v>3900</v>
      </c>
      <c r="B544">
        <f>COUNTIF(PriceList!$M$4:$M$2641,A544)</f>
        <v>2</v>
      </c>
      <c r="C544" t="str">
        <f>IF(B544=1,"1:1","1:Many")</f>
        <v>1:Many</v>
      </c>
      <c r="D544" s="42" t="str" cm="1">
        <f t="array" ref="D544">_xlfn.TEXTJOIN(" | ",TRUE,_xlfn._xlws.FILTER(PriceList!$B$4:$B$2641,PriceList!$M$4:$M$2641=A544,""))</f>
        <v>OR7N 005.8-1.9 | OR9N 005.8-1.9</v>
      </c>
      <c r="E544" t="str" cm="1">
        <f t="array" ref="E544">_xlfn.TEXTJOIN(", ",TRUE,_xlfn._xlws.FILTER(ROW(PriceList!$B$4:$B$2641),PriceList!$M$4:$M$2641=A544,""))</f>
        <v>547, 934</v>
      </c>
      <c r="F544" s="42" t="str" cm="1">
        <f t="array" ref="F544">_xlfn.TEXTJOIN(" | ",TRUE,_xlfn.UNIQUE(_xlfn._xlws.FILTER(PriceList!$Q$4:$Q$2641&amp;" x "&amp;PriceList!$R$4:$R$2641&amp;" x "&amp;PriceList!$S$4:$S$2641,PriceList!$M$4:$M$2641=A544,"")))</f>
        <v>5.8 x 9.6 x 1.9</v>
      </c>
      <c r="G544" t="str" cm="1">
        <f t="array" ref="G544">INDEX(_xlfn._xlws.FILTER(PriceList!$P$4:$P$2641,PriceList!$M$4:$M$2641=A544,""),1)</f>
        <v>O Ring - NBR 70</v>
      </c>
    </row>
    <row r="545" spans="1:7" x14ac:dyDescent="0.45">
      <c r="A545" t="s">
        <v>4610</v>
      </c>
      <c r="B545">
        <f>COUNTIF(PriceList!$M$4:$M$2641,A545)</f>
        <v>2</v>
      </c>
      <c r="C545" t="str">
        <f>IF(B545=1,"1:1","1:Many")</f>
        <v>1:Many</v>
      </c>
      <c r="D545" s="42" t="str" cm="1">
        <f t="array" ref="D545">_xlfn.TEXTJOIN(" | ",TRUE,_xlfn._xlws.FILTER(PriceList!$B$4:$B$2641,PriceList!$M$4:$M$2641=A545,""))</f>
        <v>ORV8 005.8-1.9 | ORV8 006.07-1.78</v>
      </c>
      <c r="E545" t="str" cm="1">
        <f t="array" ref="E545">_xlfn.TEXTJOIN(", ",TRUE,_xlfn._xlws.FILTER(ROW(PriceList!$B$4:$B$2641),PriceList!$M$4:$M$2641=A545,""))</f>
        <v>1552, 1557</v>
      </c>
      <c r="F545" s="42" t="str" cm="1">
        <f t="array" ref="F545">_xlfn.TEXTJOIN(" | ",TRUE,_xlfn.UNIQUE(_xlfn._xlws.FILTER(PriceList!$Q$4:$Q$2641&amp;" x "&amp;PriceList!$R$4:$R$2641&amp;" x "&amp;PriceList!$S$4:$S$2641,PriceList!$M$4:$M$2641=A545,"")))</f>
        <v>5.8 x 9.6 x 1.9</v>
      </c>
      <c r="G545" t="str" cm="1">
        <f t="array" ref="G545">INDEX(_xlfn._xlws.FILTER(PriceList!$P$4:$P$2641,PriceList!$M$4:$M$2641=A545,""),1)</f>
        <v>O Ring - FPM/FKM/VitonÂ®</v>
      </c>
    </row>
    <row r="546" spans="1:7" x14ac:dyDescent="0.45">
      <c r="A546" t="s">
        <v>4617</v>
      </c>
      <c r="B546">
        <f>COUNTIF(PriceList!$M$4:$M$2641,A546)</f>
        <v>1</v>
      </c>
      <c r="C546" t="str">
        <f>IF(B546=1,"1:1","1:Many")</f>
        <v>1:1</v>
      </c>
      <c r="D546" s="42" t="str" cm="1">
        <f t="array" ref="D546">_xlfn.TEXTJOIN(" | ",TRUE,_xlfn._xlws.FILTER(PriceList!$B$4:$B$2641,PriceList!$M$4:$M$2641=A546,""))</f>
        <v>ORV8 006-1.5</v>
      </c>
      <c r="E546" t="str" cm="1">
        <f t="array" ref="E546">_xlfn.TEXTJOIN(", ",TRUE,_xlfn._xlws.FILTER(ROW(PriceList!$B$4:$B$2641),PriceList!$M$4:$M$2641=A546,""))</f>
        <v>1560</v>
      </c>
      <c r="F546" s="42" t="str" cm="1">
        <f t="array" ref="F546">_xlfn.TEXTJOIN(" | ",TRUE,_xlfn.UNIQUE(_xlfn._xlws.FILTER(PriceList!$Q$4:$Q$2641&amp;" x "&amp;PriceList!$R$4:$R$2641&amp;" x "&amp;PriceList!$S$4:$S$2641,PriceList!$M$4:$M$2641=A546,"")))</f>
        <v>6 x 9 x 1.5</v>
      </c>
      <c r="G546" t="str" cm="1">
        <f t="array" ref="G546">INDEX(_xlfn._xlws.FILTER(PriceList!$P$4:$P$2641,PriceList!$M$4:$M$2641=A546,""),1)</f>
        <v>O Ring - FPM/FKM/VitonÂ®</v>
      </c>
    </row>
    <row r="547" spans="1:7" x14ac:dyDescent="0.45">
      <c r="A547" t="s">
        <v>3903</v>
      </c>
      <c r="B547">
        <f>COUNTIF(PriceList!$M$4:$M$2641,A547)</f>
        <v>2</v>
      </c>
      <c r="C547" t="str">
        <f>IF(B547=1,"1:1","1:Many")</f>
        <v>1:Many</v>
      </c>
      <c r="D547" s="42" t="str" cm="1">
        <f t="array" ref="D547">_xlfn.TEXTJOIN(" | ",TRUE,_xlfn._xlws.FILTER(PriceList!$B$4:$B$2641,PriceList!$M$4:$M$2641=A547,""))</f>
        <v>OR7N 006.07-1.78 | OR9N 006.07-1.78</v>
      </c>
      <c r="E547" t="str" cm="1">
        <f t="array" ref="E547">_xlfn.TEXTJOIN(", ",TRUE,_xlfn._xlws.FILTER(ROW(PriceList!$B$4:$B$2641),PriceList!$M$4:$M$2641=A547,""))</f>
        <v>550, 939</v>
      </c>
      <c r="F547" s="42" t="str" cm="1">
        <f t="array" ref="F547">_xlfn.TEXTJOIN(" | ",TRUE,_xlfn.UNIQUE(_xlfn._xlws.FILTER(PriceList!$Q$4:$Q$2641&amp;" x "&amp;PriceList!$R$4:$R$2641&amp;" x "&amp;PriceList!$S$4:$S$2641,PriceList!$M$4:$M$2641=A547,"")))</f>
        <v>6 x 9.6 x 1.8</v>
      </c>
      <c r="G547" t="str" cm="1">
        <f t="array" ref="G547">INDEX(_xlfn._xlws.FILTER(PriceList!$P$4:$P$2641,PriceList!$M$4:$M$2641=A547,""),1)</f>
        <v>O Ring - NBR 70</v>
      </c>
    </row>
    <row r="548" spans="1:7" x14ac:dyDescent="0.45">
      <c r="A548" t="s">
        <v>3906</v>
      </c>
      <c r="B548">
        <f>COUNTIF(PriceList!$M$4:$M$2641,A548)</f>
        <v>2</v>
      </c>
      <c r="C548" t="str">
        <f>IF(B548=1,"1:1","1:Many")</f>
        <v>1:Many</v>
      </c>
      <c r="D548" s="42" t="str" cm="1">
        <f t="array" ref="D548">_xlfn.TEXTJOIN(" | ",TRUE,_xlfn._xlws.FILTER(PriceList!$B$4:$B$2641,PriceList!$M$4:$M$2641=A548,""))</f>
        <v>OR7N 006-2 | OR9N 006-2</v>
      </c>
      <c r="E548" t="str" cm="1">
        <f t="array" ref="E548">_xlfn.TEXTJOIN(", ",TRUE,_xlfn._xlws.FILTER(ROW(PriceList!$B$4:$B$2641),PriceList!$M$4:$M$2641=A548,""))</f>
        <v>552, 941</v>
      </c>
      <c r="F548" s="42" t="str" cm="1">
        <f t="array" ref="F548">_xlfn.TEXTJOIN(" | ",TRUE,_xlfn.UNIQUE(_xlfn._xlws.FILTER(PriceList!$Q$4:$Q$2641&amp;" x "&amp;PriceList!$R$4:$R$2641&amp;" x "&amp;PriceList!$S$4:$S$2641,PriceList!$M$4:$M$2641=A548,"")))</f>
        <v>6 x 10 x 2</v>
      </c>
      <c r="G548" t="str" cm="1">
        <f t="array" ref="G548">INDEX(_xlfn._xlws.FILTER(PriceList!$P$4:$P$2641,PriceList!$M$4:$M$2641=A548,""),1)</f>
        <v>O Ring - EPDM</v>
      </c>
    </row>
    <row r="549" spans="1:7" x14ac:dyDescent="0.45">
      <c r="A549" t="s">
        <v>4607</v>
      </c>
      <c r="B549">
        <f>COUNTIF(PriceList!$M$4:$M$2641,A549)</f>
        <v>2</v>
      </c>
      <c r="C549" t="str">
        <f>IF(B549=1,"1:1","1:Many")</f>
        <v>1:Many</v>
      </c>
      <c r="D549" s="42" t="str" cm="1">
        <f t="array" ref="D549">_xlfn.TEXTJOIN(" | ",TRUE,_xlfn._xlws.FILTER(PriceList!$B$4:$B$2641,PriceList!$M$4:$M$2641=A549,""))</f>
        <v>ORV8 005.2-2.4 | ORV8 006-2</v>
      </c>
      <c r="E549" t="str" cm="1">
        <f t="array" ref="E549">_xlfn.TEXTJOIN(", ",TRUE,_xlfn._xlws.FILTER(ROW(PriceList!$B$4:$B$2641),PriceList!$M$4:$M$2641=A549,""))</f>
        <v>1550, 1561</v>
      </c>
      <c r="F549" s="42" t="str" cm="1">
        <f t="array" ref="F549">_xlfn.TEXTJOIN(" | ",TRUE,_xlfn.UNIQUE(_xlfn._xlws.FILTER(PriceList!$Q$4:$Q$2641&amp;" x "&amp;PriceList!$R$4:$R$2641&amp;" x "&amp;PriceList!$S$4:$S$2641,PriceList!$M$4:$M$2641=A549,"")))</f>
        <v>6 x 10 x 2</v>
      </c>
      <c r="G549" t="str" cm="1">
        <f t="array" ref="G549">INDEX(_xlfn._xlws.FILTER(PriceList!$P$4:$P$2641,PriceList!$M$4:$M$2641=A549,""),1)</f>
        <v>O Ring - FPM/FKM/VitonÂ®</v>
      </c>
    </row>
    <row r="550" spans="1:7" x14ac:dyDescent="0.45">
      <c r="A550" t="s">
        <v>4354</v>
      </c>
      <c r="B550">
        <f>COUNTIF(PriceList!$M$4:$M$2641,A550)</f>
        <v>1</v>
      </c>
      <c r="C550" t="str">
        <f>IF(B550=1,"1:1","1:Many")</f>
        <v>1:1</v>
      </c>
      <c r="D550" s="42" t="str" cm="1">
        <f t="array" ref="D550">_xlfn.TEXTJOIN(" | ",TRUE,_xlfn._xlws.FILTER(PriceList!$B$4:$B$2641,PriceList!$M$4:$M$2641=A550,""))</f>
        <v>OR9N 006.02-2.62</v>
      </c>
      <c r="E550" t="str" cm="1">
        <f t="array" ref="E550">_xlfn.TEXTJOIN(", ",TRUE,_xlfn._xlws.FILTER(ROW(PriceList!$B$4:$B$2641),PriceList!$M$4:$M$2641=A550,""))</f>
        <v>938</v>
      </c>
      <c r="F550" s="42" t="str" cm="1">
        <f t="array" ref="F550">_xlfn.TEXTJOIN(" | ",TRUE,_xlfn.UNIQUE(_xlfn._xlws.FILTER(PriceList!$Q$4:$Q$2641&amp;" x "&amp;PriceList!$R$4:$R$2641&amp;" x "&amp;PriceList!$S$4:$S$2641,PriceList!$M$4:$M$2641=A550,"")))</f>
        <v>6 x 11 x 2.5</v>
      </c>
      <c r="G550" t="str" cm="1">
        <f t="array" ref="G550">INDEX(_xlfn._xlws.FILTER(PriceList!$P$4:$P$2641,PriceList!$M$4:$M$2641=A550,""),1)</f>
        <v>O Ring - EPDM</v>
      </c>
    </row>
    <row r="551" spans="1:7" x14ac:dyDescent="0.45">
      <c r="A551" t="s">
        <v>4614</v>
      </c>
      <c r="B551">
        <f>COUNTIF(PriceList!$M$4:$M$2641,A551)</f>
        <v>1</v>
      </c>
      <c r="C551" t="str">
        <f>IF(B551=1,"1:1","1:Many")</f>
        <v>1:1</v>
      </c>
      <c r="D551" s="42" t="str" cm="1">
        <f t="array" ref="D551">_xlfn.TEXTJOIN(" | ",TRUE,_xlfn._xlws.FILTER(PriceList!$B$4:$B$2641,PriceList!$M$4:$M$2641=A551,""))</f>
        <v>ORV8 006.02-2.62</v>
      </c>
      <c r="E551" t="str" cm="1">
        <f t="array" ref="E551">_xlfn.TEXTJOIN(", ",TRUE,_xlfn._xlws.FILTER(ROW(PriceList!$B$4:$B$2641),PriceList!$M$4:$M$2641=A551,""))</f>
        <v>1556</v>
      </c>
      <c r="F551" s="42" t="str" cm="1">
        <f t="array" ref="F551">_xlfn.TEXTJOIN(" | ",TRUE,_xlfn.UNIQUE(_xlfn._xlws.FILTER(PriceList!$Q$4:$Q$2641&amp;" x "&amp;PriceList!$R$4:$R$2641&amp;" x "&amp;PriceList!$S$4:$S$2641,PriceList!$M$4:$M$2641=A551,"")))</f>
        <v>6 x 11 x 2.5</v>
      </c>
      <c r="G551" t="str" cm="1">
        <f t="array" ref="G551">INDEX(_xlfn._xlws.FILTER(PriceList!$P$4:$P$2641,PriceList!$M$4:$M$2641=A551,""),1)</f>
        <v>O Ring - FPM/FKM/VitonÂ®</v>
      </c>
    </row>
    <row r="552" spans="1:7" x14ac:dyDescent="0.45">
      <c r="A552" t="s">
        <v>3905</v>
      </c>
      <c r="B552">
        <f>COUNTIF(PriceList!$M$4:$M$2641,A552)</f>
        <v>2</v>
      </c>
      <c r="C552" t="str">
        <f>IF(B552=1,"1:1","1:Many")</f>
        <v>1:Many</v>
      </c>
      <c r="D552" s="42" t="str" cm="1">
        <f t="array" ref="D552">_xlfn.TEXTJOIN(" | ",TRUE,_xlfn._xlws.FILTER(PriceList!$B$4:$B$2641,PriceList!$M$4:$M$2641=A552,""))</f>
        <v>OR7N 006.8-1.9 | OR9N 006.8-1.9</v>
      </c>
      <c r="E552" t="str" cm="1">
        <f t="array" ref="E552">_xlfn.TEXTJOIN(", ",TRUE,_xlfn._xlws.FILTER(ROW(PriceList!$B$4:$B$2641),PriceList!$M$4:$M$2641=A552,""))</f>
        <v>551, 940</v>
      </c>
      <c r="F552" s="42" t="str" cm="1">
        <f t="array" ref="F552">_xlfn.TEXTJOIN(" | ",TRUE,_xlfn.UNIQUE(_xlfn._xlws.FILTER(PriceList!$Q$4:$Q$2641&amp;" x "&amp;PriceList!$R$4:$R$2641&amp;" x "&amp;PriceList!$S$4:$S$2641,PriceList!$M$4:$M$2641=A552,"")))</f>
        <v>6.8 x 10.6 x 1.9</v>
      </c>
      <c r="G552" t="str" cm="1">
        <f t="array" ref="G552">INDEX(_xlfn._xlws.FILTER(PriceList!$P$4:$P$2641,PriceList!$M$4:$M$2641=A552,""),1)</f>
        <v>O Ring - NBR 70</v>
      </c>
    </row>
    <row r="553" spans="1:7" x14ac:dyDescent="0.45">
      <c r="A553" t="s">
        <v>4615</v>
      </c>
      <c r="B553">
        <f>COUNTIF(PriceList!$M$4:$M$2641,A553)</f>
        <v>2</v>
      </c>
      <c r="C553" t="str">
        <f>IF(B553=1,"1:1","1:Many")</f>
        <v>1:Many</v>
      </c>
      <c r="D553" s="42" t="str" cm="1">
        <f t="array" ref="D553">_xlfn.TEXTJOIN(" | ",TRUE,_xlfn._xlws.FILTER(PriceList!$B$4:$B$2641,PriceList!$M$4:$M$2641=A553,""))</f>
        <v>ORV8 006.74-1.78 | ORV8 006.8-1.9</v>
      </c>
      <c r="E553" t="str" cm="1">
        <f t="array" ref="E553">_xlfn.TEXTJOIN(", ",TRUE,_xlfn._xlws.FILTER(ROW(PriceList!$B$4:$B$2641),PriceList!$M$4:$M$2641=A553,""))</f>
        <v>1558, 1559</v>
      </c>
      <c r="F553" s="42" t="str" cm="1">
        <f t="array" ref="F553">_xlfn.TEXTJOIN(" | ",TRUE,_xlfn.UNIQUE(_xlfn._xlws.FILTER(PriceList!$Q$4:$Q$2641&amp;" x "&amp;PriceList!$R$4:$R$2641&amp;" x "&amp;PriceList!$S$4:$S$2641,PriceList!$M$4:$M$2641=A553,"")))</f>
        <v>6.8 x 10.6 x 1.9</v>
      </c>
      <c r="G553" t="str" cm="1">
        <f t="array" ref="G553">INDEX(_xlfn._xlws.FILTER(PriceList!$P$4:$P$2641,PriceList!$M$4:$M$2641=A553,""),1)</f>
        <v>O Ring - FPM/FKM/VitonÂ®</v>
      </c>
    </row>
    <row r="554" spans="1:7" x14ac:dyDescent="0.45">
      <c r="A554" t="s">
        <v>3912</v>
      </c>
      <c r="B554">
        <f>COUNTIF(PriceList!$M$4:$M$2641,A554)</f>
        <v>2</v>
      </c>
      <c r="C554" t="str">
        <f>IF(B554=1,"1:1","1:Many")</f>
        <v>1:Many</v>
      </c>
      <c r="D554" s="42" t="str" cm="1">
        <f t="array" ref="D554">_xlfn.TEXTJOIN(" | ",TRUE,_xlfn._xlws.FILTER(PriceList!$B$4:$B$2641,PriceList!$M$4:$M$2641=A554,""))</f>
        <v>OR7N 007-1.5 | OR9N 007-1.5</v>
      </c>
      <c r="E554" t="str" cm="1">
        <f t="array" ref="E554">_xlfn.TEXTJOIN(", ",TRUE,_xlfn._xlws.FILTER(ROW(PriceList!$B$4:$B$2641),PriceList!$M$4:$M$2641=A554,""))</f>
        <v>556, 944</v>
      </c>
      <c r="F554" s="42" t="str" cm="1">
        <f t="array" ref="F554">_xlfn.TEXTJOIN(" | ",TRUE,_xlfn.UNIQUE(_xlfn._xlws.FILTER(PriceList!$Q$4:$Q$2641&amp;" x "&amp;PriceList!$R$4:$R$2641&amp;" x "&amp;PriceList!$S$4:$S$2641,PriceList!$M$4:$M$2641=A554,"")))</f>
        <v>7 x 10 x 1.5</v>
      </c>
      <c r="G554" t="str" cm="1">
        <f t="array" ref="G554">INDEX(_xlfn._xlws.FILTER(PriceList!$P$4:$P$2641,PriceList!$M$4:$M$2641=A554,""),1)</f>
        <v>O Ring - HNBR</v>
      </c>
    </row>
    <row r="555" spans="1:7" x14ac:dyDescent="0.45">
      <c r="A555" t="s">
        <v>4624</v>
      </c>
      <c r="B555">
        <f>COUNTIF(PriceList!$M$4:$M$2641,A555)</f>
        <v>1</v>
      </c>
      <c r="C555" t="str">
        <f>IF(B555=1,"1:1","1:Many")</f>
        <v>1:1</v>
      </c>
      <c r="D555" s="42" t="str" cm="1">
        <f t="array" ref="D555">_xlfn.TEXTJOIN(" | ",TRUE,_xlfn._xlws.FILTER(PriceList!$B$4:$B$2641,PriceList!$M$4:$M$2641=A555,""))</f>
        <v>ORV8 007-1.5</v>
      </c>
      <c r="E555" t="str" cm="1">
        <f t="array" ref="E555">_xlfn.TEXTJOIN(", ",TRUE,_xlfn._xlws.FILTER(ROW(PriceList!$B$4:$B$2641),PriceList!$M$4:$M$2641=A555,""))</f>
        <v>1567</v>
      </c>
      <c r="F555" s="42" t="str" cm="1">
        <f t="array" ref="F555">_xlfn.TEXTJOIN(" | ",TRUE,_xlfn.UNIQUE(_xlfn._xlws.FILTER(PriceList!$Q$4:$Q$2641&amp;" x "&amp;PriceList!$R$4:$R$2641&amp;" x "&amp;PriceList!$S$4:$S$2641,PriceList!$M$4:$M$2641=A555,"")))</f>
        <v>7 x 10 x 1.5</v>
      </c>
      <c r="G555" t="str" cm="1">
        <f t="array" ref="G555">INDEX(_xlfn._xlws.FILTER(PriceList!$P$4:$P$2641,PriceList!$M$4:$M$2641=A555,""),1)</f>
        <v>O Ring - FPM/FKM/VitonÂ®</v>
      </c>
    </row>
    <row r="556" spans="1:7" x14ac:dyDescent="0.45">
      <c r="A556" t="s">
        <v>3915</v>
      </c>
      <c r="B556">
        <f>COUNTIF(PriceList!$M$4:$M$2641,A556)</f>
        <v>2</v>
      </c>
      <c r="C556" t="str">
        <f>IF(B556=1,"1:1","1:Many")</f>
        <v>1:Many</v>
      </c>
      <c r="D556" s="42" t="str" cm="1">
        <f t="array" ref="D556">_xlfn.TEXTJOIN(" | ",TRUE,_xlfn._xlws.FILTER(PriceList!$B$4:$B$2641,PriceList!$M$4:$M$2641=A556,""))</f>
        <v>OR7N 007-2 | OR9N 007-2</v>
      </c>
      <c r="E556" t="str" cm="1">
        <f t="array" ref="E556">_xlfn.TEXTJOIN(", ",TRUE,_xlfn._xlws.FILTER(ROW(PriceList!$B$4:$B$2641),PriceList!$M$4:$M$2641=A556,""))</f>
        <v>557, 945</v>
      </c>
      <c r="F556" s="42" t="str" cm="1">
        <f t="array" ref="F556">_xlfn.TEXTJOIN(" | ",TRUE,_xlfn.UNIQUE(_xlfn._xlws.FILTER(PriceList!$Q$4:$Q$2641&amp;" x "&amp;PriceList!$R$4:$R$2641&amp;" x "&amp;PriceList!$S$4:$S$2641,PriceList!$M$4:$M$2641=A556,"")))</f>
        <v>7 x 11 x 2</v>
      </c>
      <c r="G556" t="str" cm="1">
        <f t="array" ref="G556">INDEX(_xlfn._xlws.FILTER(PriceList!$P$4:$P$2641,PriceList!$M$4:$M$2641=A556,""),1)</f>
        <v>O Ring - NBR 70</v>
      </c>
    </row>
    <row r="557" spans="1:7" x14ac:dyDescent="0.45">
      <c r="A557" t="s">
        <v>4625</v>
      </c>
      <c r="B557">
        <f>COUNTIF(PriceList!$M$4:$M$2641,A557)</f>
        <v>1</v>
      </c>
      <c r="C557" t="str">
        <f>IF(B557=1,"1:1","1:Many")</f>
        <v>1:1</v>
      </c>
      <c r="D557" s="42" t="str" cm="1">
        <f t="array" ref="D557">_xlfn.TEXTJOIN(" | ",TRUE,_xlfn._xlws.FILTER(PriceList!$B$4:$B$2641,PriceList!$M$4:$M$2641=A557,""))</f>
        <v>ORV8 007-2</v>
      </c>
      <c r="E557" t="str" cm="1">
        <f t="array" ref="E557">_xlfn.TEXTJOIN(", ",TRUE,_xlfn._xlws.FILTER(ROW(PriceList!$B$4:$B$2641),PriceList!$M$4:$M$2641=A557,""))</f>
        <v>1568</v>
      </c>
      <c r="F557" s="42" t="str" cm="1">
        <f t="array" ref="F557">_xlfn.TEXTJOIN(" | ",TRUE,_xlfn.UNIQUE(_xlfn._xlws.FILTER(PriceList!$Q$4:$Q$2641&amp;" x "&amp;PriceList!$R$4:$R$2641&amp;" x "&amp;PriceList!$S$4:$S$2641,PriceList!$M$4:$M$2641=A557,"")))</f>
        <v>7 x 11 x 2</v>
      </c>
      <c r="G557" t="str" cm="1">
        <f t="array" ref="G557">INDEX(_xlfn._xlws.FILTER(PriceList!$P$4:$P$2641,PriceList!$M$4:$M$2641=A557,""),1)</f>
        <v>O Ring - FPM/FKM/VitonÂ®</v>
      </c>
    </row>
    <row r="558" spans="1:7" x14ac:dyDescent="0.45">
      <c r="A558" t="s">
        <v>4618</v>
      </c>
      <c r="B558">
        <f>COUNTIF(PriceList!$M$4:$M$2641,A558)</f>
        <v>1</v>
      </c>
      <c r="C558" t="str">
        <f>IF(B558=1,"1:1","1:Many")</f>
        <v>1:1</v>
      </c>
      <c r="D558" s="42" t="str" cm="1">
        <f t="array" ref="D558">_xlfn.TEXTJOIN(" | ",TRUE,_xlfn._xlws.FILTER(PriceList!$B$4:$B$2641,PriceList!$M$4:$M$2641=A558,""))</f>
        <v>ORV8 007.1-1.6</v>
      </c>
      <c r="E558" t="str" cm="1">
        <f t="array" ref="E558">_xlfn.TEXTJOIN(", ",TRUE,_xlfn._xlws.FILTER(ROW(PriceList!$B$4:$B$2641),PriceList!$M$4:$M$2641=A558,""))</f>
        <v>1562</v>
      </c>
      <c r="F558" s="42" t="str" cm="1">
        <f t="array" ref="F558">_xlfn.TEXTJOIN(" | ",TRUE,_xlfn.UNIQUE(_xlfn._xlws.FILTER(PriceList!$Q$4:$Q$2641&amp;" x "&amp;PriceList!$R$4:$R$2641&amp;" x "&amp;PriceList!$S$4:$S$2641,PriceList!$M$4:$M$2641=A558,"")))</f>
        <v>7.1 x 10.3 x 1.6</v>
      </c>
      <c r="G558" t="str" cm="1">
        <f t="array" ref="G558">INDEX(_xlfn._xlws.FILTER(PriceList!$P$4:$P$2641,PriceList!$M$4:$M$2641=A558,""),1)</f>
        <v>O Ring - FPM/FKM/VitonÂ®</v>
      </c>
    </row>
    <row r="559" spans="1:7" x14ac:dyDescent="0.45">
      <c r="A559" t="s">
        <v>4620</v>
      </c>
      <c r="B559">
        <f>COUNTIF(PriceList!$M$4:$M$2641,A559)</f>
        <v>1</v>
      </c>
      <c r="C559" t="str">
        <f>IF(B559=1,"1:1","1:Many")</f>
        <v>1:1</v>
      </c>
      <c r="D559" s="42" t="str" cm="1">
        <f t="array" ref="D559">_xlfn.TEXTJOIN(" | ",TRUE,_xlfn._xlws.FILTER(PriceList!$B$4:$B$2641,PriceList!$M$4:$M$2641=A559,""))</f>
        <v>ORV8 007.5-1.5</v>
      </c>
      <c r="E559" t="str" cm="1">
        <f t="array" ref="E559">_xlfn.TEXTJOIN(", ",TRUE,_xlfn._xlws.FILTER(ROW(PriceList!$B$4:$B$2641),PriceList!$M$4:$M$2641=A559,""))</f>
        <v>1564</v>
      </c>
      <c r="F559" s="42" t="str" cm="1">
        <f t="array" ref="F559">_xlfn.TEXTJOIN(" | ",TRUE,_xlfn.UNIQUE(_xlfn._xlws.FILTER(PriceList!$Q$4:$Q$2641&amp;" x "&amp;PriceList!$R$4:$R$2641&amp;" x "&amp;PriceList!$S$4:$S$2641,PriceList!$M$4:$M$2641=A559,"")))</f>
        <v>7.5 x 10.5 x 1.5</v>
      </c>
      <c r="G559" t="str" cm="1">
        <f t="array" ref="G559">INDEX(_xlfn._xlws.FILTER(PriceList!$P$4:$P$2641,PriceList!$M$4:$M$2641=A559,""),1)</f>
        <v>O Ring - FPM/FKM/VitonÂ®</v>
      </c>
    </row>
    <row r="560" spans="1:7" x14ac:dyDescent="0.45">
      <c r="A560" t="s">
        <v>4621</v>
      </c>
      <c r="B560">
        <f>COUNTIF(PriceList!$M$4:$M$2641,A560)</f>
        <v>1</v>
      </c>
      <c r="C560" t="str">
        <f>IF(B560=1,"1:1","1:Many")</f>
        <v>1:1</v>
      </c>
      <c r="D560" s="42" t="str" cm="1">
        <f t="array" ref="D560">_xlfn.TEXTJOIN(" | ",TRUE,_xlfn._xlws.FILTER(PriceList!$B$4:$B$2641,PriceList!$M$4:$M$2641=A560,""))</f>
        <v>ORV8 007.65-1.78</v>
      </c>
      <c r="E560" t="str" cm="1">
        <f t="array" ref="E560">_xlfn.TEXTJOIN(", ",TRUE,_xlfn._xlws.FILTER(ROW(PriceList!$B$4:$B$2641),PriceList!$M$4:$M$2641=A560,""))</f>
        <v>1565</v>
      </c>
      <c r="F560" s="42" t="str" cm="1">
        <f t="array" ref="F560">_xlfn.TEXTJOIN(" | ",TRUE,_xlfn.UNIQUE(_xlfn._xlws.FILTER(PriceList!$Q$4:$Q$2641&amp;" x "&amp;PriceList!$R$4:$R$2641&amp;" x "&amp;PriceList!$S$4:$S$2641,PriceList!$M$4:$M$2641=A560,"")))</f>
        <v>7.5 x 11.1 x 1.8</v>
      </c>
      <c r="G560" t="str" cm="1">
        <f t="array" ref="G560">INDEX(_xlfn._xlws.FILTER(PriceList!$P$4:$P$2641,PriceList!$M$4:$M$2641=A560,""),1)</f>
        <v>O Ring - FPM/FKM/VitonÂ®</v>
      </c>
    </row>
    <row r="561" spans="1:7" x14ac:dyDescent="0.45">
      <c r="A561" t="s">
        <v>3909</v>
      </c>
      <c r="B561">
        <f>COUNTIF(PriceList!$M$4:$M$2641,A561)</f>
        <v>2</v>
      </c>
      <c r="C561" t="str">
        <f>IF(B561=1,"1:1","1:Many")</f>
        <v>1:Many</v>
      </c>
      <c r="D561" s="42" t="str" cm="1">
        <f t="array" ref="D561">_xlfn.TEXTJOIN(" | ",TRUE,_xlfn._xlws.FILTER(PriceList!$B$4:$B$2641,PriceList!$M$4:$M$2641=A561,""))</f>
        <v>OR7N 007.65-1.78 | OR9N 007.65-1.78</v>
      </c>
      <c r="E561" t="str" cm="1">
        <f t="array" ref="E561">_xlfn.TEXTJOIN(", ",TRUE,_xlfn._xlws.FILTER(ROW(PriceList!$B$4:$B$2641),PriceList!$M$4:$M$2641=A561,""))</f>
        <v>554, 942</v>
      </c>
      <c r="F561" s="42" t="str" cm="1">
        <f t="array" ref="F561">_xlfn.TEXTJOIN(" | ",TRUE,_xlfn.UNIQUE(_xlfn._xlws.FILTER(PriceList!$Q$4:$Q$2641&amp;" x "&amp;PriceList!$R$4:$R$2641&amp;" x "&amp;PriceList!$S$4:$S$2641,PriceList!$M$4:$M$2641=A561,"")))</f>
        <v>7.6 x 11.2 x 1.8</v>
      </c>
      <c r="G561" t="str" cm="1">
        <f t="array" ref="G561">INDEX(_xlfn._xlws.FILTER(PriceList!$P$4:$P$2641,PriceList!$M$4:$M$2641=A561,""),1)</f>
        <v>O Ring - NBR 70</v>
      </c>
    </row>
    <row r="562" spans="1:7" x14ac:dyDescent="0.45">
      <c r="A562" t="s">
        <v>3907</v>
      </c>
      <c r="B562">
        <f>COUNTIF(PriceList!$M$4:$M$2641,A562)</f>
        <v>1</v>
      </c>
      <c r="C562" t="str">
        <f>IF(B562=1,"1:1","1:Many")</f>
        <v>1:1</v>
      </c>
      <c r="D562" s="42" t="str" cm="1">
        <f t="array" ref="D562">_xlfn.TEXTJOIN(" | ",TRUE,_xlfn._xlws.FILTER(PriceList!$B$4:$B$2641,PriceList!$M$4:$M$2641=A562,""))</f>
        <v>OR7N 007.59-2.62</v>
      </c>
      <c r="E562" t="str" cm="1">
        <f t="array" ref="E562">_xlfn.TEXTJOIN(", ",TRUE,_xlfn._xlws.FILTER(ROW(PriceList!$B$4:$B$2641),PriceList!$M$4:$M$2641=A562,""))</f>
        <v>553</v>
      </c>
      <c r="F562" s="42" t="str" cm="1">
        <f t="array" ref="F562">_xlfn.TEXTJOIN(" | ",TRUE,_xlfn.UNIQUE(_xlfn._xlws.FILTER(PriceList!$Q$4:$Q$2641&amp;" x "&amp;PriceList!$R$4:$R$2641&amp;" x "&amp;PriceList!$S$4:$S$2641,PriceList!$M$4:$M$2641=A562,"")))</f>
        <v>7.6 x 12.4 x 2.4</v>
      </c>
      <c r="G562" t="str" cm="1">
        <f t="array" ref="G562">INDEX(_xlfn._xlws.FILTER(PriceList!$P$4:$P$2641,PriceList!$M$4:$M$2641=A562,""),1)</f>
        <v>O Ring - NBR 70</v>
      </c>
    </row>
    <row r="563" spans="1:7" x14ac:dyDescent="0.45">
      <c r="A563" t="s">
        <v>4619</v>
      </c>
      <c r="B563">
        <f>COUNTIF(PriceList!$M$4:$M$2641,A563)</f>
        <v>1</v>
      </c>
      <c r="C563" t="str">
        <f>IF(B563=1,"1:1","1:Many")</f>
        <v>1:1</v>
      </c>
      <c r="D563" s="42" t="str" cm="1">
        <f t="array" ref="D563">_xlfn.TEXTJOIN(" | ",TRUE,_xlfn._xlws.FILTER(PriceList!$B$4:$B$2641,PriceList!$M$4:$M$2641=A563,""))</f>
        <v>ORV8 007.59-2.62</v>
      </c>
      <c r="E563" t="str" cm="1">
        <f t="array" ref="E563">_xlfn.TEXTJOIN(", ",TRUE,_xlfn._xlws.FILTER(ROW(PriceList!$B$4:$B$2641),PriceList!$M$4:$M$2641=A563,""))</f>
        <v>1563</v>
      </c>
      <c r="F563" s="42" t="str" cm="1">
        <f t="array" ref="F563">_xlfn.TEXTJOIN(" | ",TRUE,_xlfn.UNIQUE(_xlfn._xlws.FILTER(PriceList!$Q$4:$Q$2641&amp;" x "&amp;PriceList!$R$4:$R$2641&amp;" x "&amp;PriceList!$S$4:$S$2641,PriceList!$M$4:$M$2641=A563,"")))</f>
        <v>7.6 x 12.4 x 2.4</v>
      </c>
      <c r="G563" t="str" cm="1">
        <f t="array" ref="G563">INDEX(_xlfn._xlws.FILTER(PriceList!$P$4:$P$2641,PriceList!$M$4:$M$2641=A563,""),1)</f>
        <v>O Ring - FPM/FKM/VitonÂ®</v>
      </c>
    </row>
    <row r="564" spans="1:7" x14ac:dyDescent="0.45">
      <c r="A564" t="s">
        <v>3911</v>
      </c>
      <c r="B564">
        <f>COUNTIF(PriceList!$M$4:$M$2641,A564)</f>
        <v>2</v>
      </c>
      <c r="C564" t="str">
        <f>IF(B564=1,"1:1","1:Many")</f>
        <v>1:Many</v>
      </c>
      <c r="D564" s="42" t="str" cm="1">
        <f t="array" ref="D564">_xlfn.TEXTJOIN(" | ",TRUE,_xlfn._xlws.FILTER(PriceList!$B$4:$B$2641,PriceList!$M$4:$M$2641=A564,""))</f>
        <v>OR7N 007.8-1.9 | OR9N 007.8-1.9</v>
      </c>
      <c r="E564" t="str" cm="1">
        <f t="array" ref="E564">_xlfn.TEXTJOIN(", ",TRUE,_xlfn._xlws.FILTER(ROW(PriceList!$B$4:$B$2641),PriceList!$M$4:$M$2641=A564,""))</f>
        <v>555, 943</v>
      </c>
      <c r="F564" s="42" t="str" cm="1">
        <f t="array" ref="F564">_xlfn.TEXTJOIN(" | ",TRUE,_xlfn.UNIQUE(_xlfn._xlws.FILTER(PriceList!$Q$4:$Q$2641&amp;" x "&amp;PriceList!$R$4:$R$2641&amp;" x "&amp;PriceList!$S$4:$S$2641,PriceList!$M$4:$M$2641=A564,"")))</f>
        <v>7.8 x 11.6 x 1.9</v>
      </c>
      <c r="G564" t="str" cm="1">
        <f t="array" ref="G564">INDEX(_xlfn._xlws.FILTER(PriceList!$P$4:$P$2641,PriceList!$M$4:$M$2641=A564,""),1)</f>
        <v>O Ring - NBR 70</v>
      </c>
    </row>
    <row r="565" spans="1:7" x14ac:dyDescent="0.45">
      <c r="A565" t="s">
        <v>4623</v>
      </c>
      <c r="B565">
        <f>COUNTIF(PriceList!$M$4:$M$2641,A565)</f>
        <v>1</v>
      </c>
      <c r="C565" t="str">
        <f>IF(B565=1,"1:1","1:Many")</f>
        <v>1:1</v>
      </c>
      <c r="D565" s="42" t="str" cm="1">
        <f t="array" ref="D565">_xlfn.TEXTJOIN(" | ",TRUE,_xlfn._xlws.FILTER(PriceList!$B$4:$B$2641,PriceList!$M$4:$M$2641=A565,""))</f>
        <v>ORV8 007.8-1.9</v>
      </c>
      <c r="E565" t="str" cm="1">
        <f t="array" ref="E565">_xlfn.TEXTJOIN(", ",TRUE,_xlfn._xlws.FILTER(ROW(PriceList!$B$4:$B$2641),PriceList!$M$4:$M$2641=A565,""))</f>
        <v>1566</v>
      </c>
      <c r="F565" s="42" t="str" cm="1">
        <f t="array" ref="F565">_xlfn.TEXTJOIN(" | ",TRUE,_xlfn.UNIQUE(_xlfn._xlws.FILTER(PriceList!$Q$4:$Q$2641&amp;" x "&amp;PriceList!$R$4:$R$2641&amp;" x "&amp;PriceList!$S$4:$S$2641,PriceList!$M$4:$M$2641=A565,"")))</f>
        <v>7.8 x 11.6 x 1.9</v>
      </c>
      <c r="G565" t="str" cm="1">
        <f t="array" ref="G565">INDEX(_xlfn._xlws.FILTER(PriceList!$P$4:$P$2641,PriceList!$M$4:$M$2641=A565,""),1)</f>
        <v>O Ring - FPM/FKM/VitonÂ®</v>
      </c>
    </row>
    <row r="566" spans="1:7" x14ac:dyDescent="0.45">
      <c r="A566" t="s">
        <v>4633</v>
      </c>
      <c r="B566">
        <f>COUNTIF(PriceList!$M$4:$M$2641,A566)</f>
        <v>1</v>
      </c>
      <c r="C566" t="str">
        <f>IF(B566=1,"1:1","1:Many")</f>
        <v>1:1</v>
      </c>
      <c r="D566" s="42" t="str" cm="1">
        <f t="array" ref="D566">_xlfn.TEXTJOIN(" | ",TRUE,_xlfn._xlws.FILTER(PriceList!$B$4:$B$2641,PriceList!$M$4:$M$2641=A566,""))</f>
        <v>ORV8 008-1.5</v>
      </c>
      <c r="E566" t="str" cm="1">
        <f t="array" ref="E566">_xlfn.TEXTJOIN(", ",TRUE,_xlfn._xlws.FILTER(ROW(PriceList!$B$4:$B$2641),PriceList!$M$4:$M$2641=A566,""))</f>
        <v>1574</v>
      </c>
      <c r="F566" s="42" t="str" cm="1">
        <f t="array" ref="F566">_xlfn.TEXTJOIN(" | ",TRUE,_xlfn.UNIQUE(_xlfn._xlws.FILTER(PriceList!$Q$4:$Q$2641&amp;" x "&amp;PriceList!$R$4:$R$2641&amp;" x "&amp;PriceList!$S$4:$S$2641,PriceList!$M$4:$M$2641=A566,"")))</f>
        <v>8 x 11 x 1.5</v>
      </c>
      <c r="G566" t="str" cm="1">
        <f t="array" ref="G566">INDEX(_xlfn._xlws.FILTER(PriceList!$P$4:$P$2641,PriceList!$M$4:$M$2641=A566,""),1)</f>
        <v>O Ring - FPM/FKM/VitonÂ®</v>
      </c>
    </row>
    <row r="567" spans="1:7" x14ac:dyDescent="0.45">
      <c r="A567" t="s">
        <v>3917</v>
      </c>
      <c r="B567">
        <f>COUNTIF(PriceList!$M$4:$M$2641,A567)</f>
        <v>2</v>
      </c>
      <c r="C567" t="str">
        <f>IF(B567=1,"1:1","1:Many")</f>
        <v>1:Many</v>
      </c>
      <c r="D567" s="42" t="str" cm="1">
        <f t="array" ref="D567">_xlfn.TEXTJOIN(" | ",TRUE,_xlfn._xlws.FILTER(PriceList!$B$4:$B$2641,PriceList!$M$4:$M$2641=A567,""))</f>
        <v>OR7N 008-2 | OR9N 008-2</v>
      </c>
      <c r="E567" t="str" cm="1">
        <f t="array" ref="E567">_xlfn.TEXTJOIN(", ",TRUE,_xlfn._xlws.FILTER(ROW(PriceList!$B$4:$B$2641),PriceList!$M$4:$M$2641=A567,""))</f>
        <v>559, 947</v>
      </c>
      <c r="F567" s="42" t="str" cm="1">
        <f t="array" ref="F567">_xlfn.TEXTJOIN(" | ",TRUE,_xlfn.UNIQUE(_xlfn._xlws.FILTER(PriceList!$Q$4:$Q$2641&amp;" x "&amp;PriceList!$R$4:$R$2641&amp;" x "&amp;PriceList!$S$4:$S$2641,PriceList!$M$4:$M$2641=A567,"")))</f>
        <v>8 x 12 x 2</v>
      </c>
      <c r="G567" t="str" cm="1">
        <f t="array" ref="G567">INDEX(_xlfn._xlws.FILTER(PriceList!$P$4:$P$2641,PriceList!$M$4:$M$2641=A567,""),1)</f>
        <v>O Ring - EPDM</v>
      </c>
    </row>
    <row r="568" spans="1:7" x14ac:dyDescent="0.45">
      <c r="A568" t="s">
        <v>4634</v>
      </c>
      <c r="B568">
        <f>COUNTIF(PriceList!$M$4:$M$2641,A568)</f>
        <v>1</v>
      </c>
      <c r="C568" t="str">
        <f>IF(B568=1,"1:1","1:Many")</f>
        <v>1:1</v>
      </c>
      <c r="D568" s="42" t="str" cm="1">
        <f t="array" ref="D568">_xlfn.TEXTJOIN(" | ",TRUE,_xlfn._xlws.FILTER(PriceList!$B$4:$B$2641,PriceList!$M$4:$M$2641=A568,""))</f>
        <v>ORV8 008-2</v>
      </c>
      <c r="E568" t="str" cm="1">
        <f t="array" ref="E568">_xlfn.TEXTJOIN(", ",TRUE,_xlfn._xlws.FILTER(ROW(PriceList!$B$4:$B$2641),PriceList!$M$4:$M$2641=A568,""))</f>
        <v>1575</v>
      </c>
      <c r="F568" s="42" t="str" cm="1">
        <f t="array" ref="F568">_xlfn.TEXTJOIN(" | ",TRUE,_xlfn.UNIQUE(_xlfn._xlws.FILTER(PriceList!$Q$4:$Q$2641&amp;" x "&amp;PriceList!$R$4:$R$2641&amp;" x "&amp;PriceList!$S$4:$S$2641,PriceList!$M$4:$M$2641=A568,"")))</f>
        <v>8 x 12 x 2</v>
      </c>
      <c r="G568" t="str" cm="1">
        <f t="array" ref="G568">INDEX(_xlfn._xlws.FILTER(PriceList!$P$4:$P$2641,PriceList!$M$4:$M$2641=A568,""),1)</f>
        <v>O Ring - FPM/FKM/VitonÂ®</v>
      </c>
    </row>
    <row r="569" spans="1:7" x14ac:dyDescent="0.45">
      <c r="A569" t="s">
        <v>3918</v>
      </c>
      <c r="B569">
        <f>COUNTIF(PriceList!$M$4:$M$2641,A569)</f>
        <v>2</v>
      </c>
      <c r="C569" t="str">
        <f>IF(B569=1,"1:1","1:Many")</f>
        <v>1:Many</v>
      </c>
      <c r="D569" s="42" t="str" cm="1">
        <f t="array" ref="D569">_xlfn.TEXTJOIN(" | ",TRUE,_xlfn._xlws.FILTER(PriceList!$B$4:$B$2641,PriceList!$M$4:$M$2641=A569,""))</f>
        <v>OR7N 008-2.5 | OR9N 008-2.5</v>
      </c>
      <c r="E569" t="str" cm="1">
        <f t="array" ref="E569">_xlfn.TEXTJOIN(", ",TRUE,_xlfn._xlws.FILTER(ROW(PriceList!$B$4:$B$2641),PriceList!$M$4:$M$2641=A569,""))</f>
        <v>560, 948</v>
      </c>
      <c r="F569" s="42" t="str" cm="1">
        <f t="array" ref="F569">_xlfn.TEXTJOIN(" | ",TRUE,_xlfn.UNIQUE(_xlfn._xlws.FILTER(PriceList!$Q$4:$Q$2641&amp;" x "&amp;PriceList!$R$4:$R$2641&amp;" x "&amp;PriceList!$S$4:$S$2641,PriceList!$M$4:$M$2641=A569,"")))</f>
        <v>8 x 13 x 2.5</v>
      </c>
      <c r="G569" t="str" cm="1">
        <f t="array" ref="G569">INDEX(_xlfn._xlws.FILTER(PriceList!$P$4:$P$2641,PriceList!$M$4:$M$2641=A569,""),1)</f>
        <v>O Ring - EPDM</v>
      </c>
    </row>
    <row r="570" spans="1:7" x14ac:dyDescent="0.45">
      <c r="A570" t="s">
        <v>4635</v>
      </c>
      <c r="B570">
        <f>COUNTIF(PriceList!$M$4:$M$2641,A570)</f>
        <v>1</v>
      </c>
      <c r="C570" t="str">
        <f>IF(B570=1,"1:1","1:Many")</f>
        <v>1:1</v>
      </c>
      <c r="D570" s="42" t="str" cm="1">
        <f t="array" ref="D570">_xlfn.TEXTJOIN(" | ",TRUE,_xlfn._xlws.FILTER(PriceList!$B$4:$B$2641,PriceList!$M$4:$M$2641=A570,""))</f>
        <v>ORV8 008-2.5</v>
      </c>
      <c r="E570" t="str" cm="1">
        <f t="array" ref="E570">_xlfn.TEXTJOIN(", ",TRUE,_xlfn._xlws.FILTER(ROW(PriceList!$B$4:$B$2641),PriceList!$M$4:$M$2641=A570,""))</f>
        <v>1576</v>
      </c>
      <c r="F570" s="42" t="str" cm="1">
        <f t="array" ref="F570">_xlfn.TEXTJOIN(" | ",TRUE,_xlfn.UNIQUE(_xlfn._xlws.FILTER(PriceList!$Q$4:$Q$2641&amp;" x "&amp;PriceList!$R$4:$R$2641&amp;" x "&amp;PriceList!$S$4:$S$2641,PriceList!$M$4:$M$2641=A570,"")))</f>
        <v>8 x 13 x 2.5</v>
      </c>
      <c r="G570" t="str" cm="1">
        <f t="array" ref="G570">INDEX(_xlfn._xlws.FILTER(PriceList!$P$4:$P$2641,PriceList!$M$4:$M$2641=A570,""),1)</f>
        <v>O Ring - FPM/FKM/VitonÂ®</v>
      </c>
    </row>
    <row r="571" spans="1:7" x14ac:dyDescent="0.45">
      <c r="A571" t="s">
        <v>4356</v>
      </c>
      <c r="B571">
        <f>COUNTIF(PriceList!$M$4:$M$2641,A571)</f>
        <v>1</v>
      </c>
      <c r="C571" t="str">
        <f>IF(B571=1,"1:1","1:Many")</f>
        <v>1:1</v>
      </c>
      <c r="D571" s="42" t="str" cm="1">
        <f t="array" ref="D571">_xlfn.TEXTJOIN(" | ",TRUE,_xlfn._xlws.FILTER(PriceList!$B$4:$B$2641,PriceList!$M$4:$M$2641=A571,""))</f>
        <v>OR9N 008-3</v>
      </c>
      <c r="E571" t="str" cm="1">
        <f t="array" ref="E571">_xlfn.TEXTJOIN(", ",TRUE,_xlfn._xlws.FILTER(ROW(PriceList!$B$4:$B$2641),PriceList!$M$4:$M$2641=A571,""))</f>
        <v>949</v>
      </c>
      <c r="F571" s="42" t="str" cm="1">
        <f t="array" ref="F571">_xlfn.TEXTJOIN(" | ",TRUE,_xlfn.UNIQUE(_xlfn._xlws.FILTER(PriceList!$Q$4:$Q$2641&amp;" x "&amp;PriceList!$R$4:$R$2641&amp;" x "&amp;PriceList!$S$4:$S$2641,PriceList!$M$4:$M$2641=A571,"")))</f>
        <v>8 x 14 x 3</v>
      </c>
      <c r="G571" t="str" cm="1">
        <f t="array" ref="G571">INDEX(_xlfn._xlws.FILTER(PriceList!$P$4:$P$2641,PriceList!$M$4:$M$2641=A571,""),1)</f>
        <v>O Ring - EPDM</v>
      </c>
    </row>
    <row r="572" spans="1:7" x14ac:dyDescent="0.45">
      <c r="A572" t="s">
        <v>4628</v>
      </c>
      <c r="B572">
        <f>COUNTIF(PriceList!$M$4:$M$2641,A572)</f>
        <v>1</v>
      </c>
      <c r="C572" t="str">
        <f>IF(B572=1,"1:1","1:Many")</f>
        <v>1:1</v>
      </c>
      <c r="D572" s="42" t="str" cm="1">
        <f t="array" ref="D572">_xlfn.TEXTJOIN(" | ",TRUE,_xlfn._xlws.FILTER(PriceList!$B$4:$B$2641,PriceList!$M$4:$M$2641=A572,""))</f>
        <v>ORV8 007-5</v>
      </c>
      <c r="E572" t="str" cm="1">
        <f t="array" ref="E572">_xlfn.TEXTJOIN(", ",TRUE,_xlfn._xlws.FILTER(ROW(PriceList!$B$4:$B$2641),PriceList!$M$4:$M$2641=A572,""))</f>
        <v>1570</v>
      </c>
      <c r="F572" s="42" t="str" cm="1">
        <f t="array" ref="F572">_xlfn.TEXTJOIN(" | ",TRUE,_xlfn.UNIQUE(_xlfn._xlws.FILTER(PriceList!$Q$4:$Q$2641&amp;" x "&amp;PriceList!$R$4:$R$2641&amp;" x "&amp;PriceList!$S$4:$S$2641,PriceList!$M$4:$M$2641=A572,"")))</f>
        <v>8 x 16 x 4</v>
      </c>
      <c r="G572" t="str" cm="1">
        <f t="array" ref="G572">INDEX(_xlfn._xlws.FILTER(PriceList!$P$4:$P$2641,PriceList!$M$4:$M$2641=A572,""),1)</f>
        <v>O Ring - FPM/FKM/VitonÂ®</v>
      </c>
    </row>
    <row r="573" spans="1:7" x14ac:dyDescent="0.45">
      <c r="A573" t="s">
        <v>4629</v>
      </c>
      <c r="B573">
        <f>COUNTIF(PriceList!$M$4:$M$2641,A573)</f>
        <v>1</v>
      </c>
      <c r="C573" t="str">
        <f>IF(B573=1,"1:1","1:Many")</f>
        <v>1:1</v>
      </c>
      <c r="D573" s="42" t="str" cm="1">
        <f t="array" ref="D573">_xlfn.TEXTJOIN(" | ",TRUE,_xlfn._xlws.FILTER(PriceList!$B$4:$B$2641,PriceList!$M$4:$M$2641=A573,""))</f>
        <v>ORV8 008.1-1.6</v>
      </c>
      <c r="E573" t="str" cm="1">
        <f t="array" ref="E573">_xlfn.TEXTJOIN(", ",TRUE,_xlfn._xlws.FILTER(ROW(PriceList!$B$4:$B$2641),PriceList!$M$4:$M$2641=A573,""))</f>
        <v>1571</v>
      </c>
      <c r="F573" s="42" t="str" cm="1">
        <f t="array" ref="F573">_xlfn.TEXTJOIN(" | ",TRUE,_xlfn.UNIQUE(_xlfn._xlws.FILTER(PriceList!$Q$4:$Q$2641&amp;" x "&amp;PriceList!$R$4:$R$2641&amp;" x "&amp;PriceList!$S$4:$S$2641,PriceList!$M$4:$M$2641=A573,"")))</f>
        <v>8.1 x 11.3 x 1.6</v>
      </c>
      <c r="G573" t="str" cm="1">
        <f t="array" ref="G573">INDEX(_xlfn._xlws.FILTER(PriceList!$P$4:$P$2641,PriceList!$M$4:$M$2641=A573,""),1)</f>
        <v>O Ring - FPM/FKM/VitonÂ®</v>
      </c>
    </row>
    <row r="574" spans="1:7" x14ac:dyDescent="0.45">
      <c r="A574" t="s">
        <v>3916</v>
      </c>
      <c r="B574">
        <f>COUNTIF(PriceList!$M$4:$M$2641,A574)</f>
        <v>2</v>
      </c>
      <c r="C574" t="str">
        <f>IF(B574=1,"1:1","1:Many")</f>
        <v>1:Many</v>
      </c>
      <c r="D574" s="42" t="str" cm="1">
        <f t="array" ref="D574">_xlfn.TEXTJOIN(" | ",TRUE,_xlfn._xlws.FILTER(PriceList!$B$4:$B$2641,PriceList!$M$4:$M$2641=A574,""))</f>
        <v>OR7N 008.8-1.9 | OR9N 008.8-1.9</v>
      </c>
      <c r="E574" t="str" cm="1">
        <f t="array" ref="E574">_xlfn.TEXTJOIN(", ",TRUE,_xlfn._xlws.FILTER(ROW(PriceList!$B$4:$B$2641),PriceList!$M$4:$M$2641=A574,""))</f>
        <v>558, 946</v>
      </c>
      <c r="F574" s="42" t="str" cm="1">
        <f t="array" ref="F574">_xlfn.TEXTJOIN(" | ",TRUE,_xlfn.UNIQUE(_xlfn._xlws.FILTER(PriceList!$Q$4:$Q$2641&amp;" x "&amp;PriceList!$R$4:$R$2641&amp;" x "&amp;PriceList!$S$4:$S$2641,PriceList!$M$4:$M$2641=A574,"")))</f>
        <v>8.8 x 12.6 x 1.9</v>
      </c>
      <c r="G574" t="str" cm="1">
        <f t="array" ref="G574">INDEX(_xlfn._xlws.FILTER(PriceList!$P$4:$P$2641,PriceList!$M$4:$M$2641=A574,""),1)</f>
        <v>O Ring - NBR 70</v>
      </c>
    </row>
    <row r="575" spans="1:7" x14ac:dyDescent="0.45">
      <c r="A575" t="s">
        <v>4632</v>
      </c>
      <c r="B575">
        <f>COUNTIF(PriceList!$M$4:$M$2641,A575)</f>
        <v>1</v>
      </c>
      <c r="C575" t="str">
        <f>IF(B575=1,"1:1","1:Many")</f>
        <v>1:1</v>
      </c>
      <c r="D575" s="42" t="str" cm="1">
        <f t="array" ref="D575">_xlfn.TEXTJOIN(" | ",TRUE,_xlfn._xlws.FILTER(PriceList!$B$4:$B$2641,PriceList!$M$4:$M$2641=A575,""))</f>
        <v>ORV8 008.8-1.9</v>
      </c>
      <c r="E575" t="str" cm="1">
        <f t="array" ref="E575">_xlfn.TEXTJOIN(", ",TRUE,_xlfn._xlws.FILTER(ROW(PriceList!$B$4:$B$2641),PriceList!$M$4:$M$2641=A575,""))</f>
        <v>1573</v>
      </c>
      <c r="F575" s="42" t="str" cm="1">
        <f t="array" ref="F575">_xlfn.TEXTJOIN(" | ",TRUE,_xlfn.UNIQUE(_xlfn._xlws.FILTER(PriceList!$Q$4:$Q$2641&amp;" x "&amp;PriceList!$R$4:$R$2641&amp;" x "&amp;PriceList!$S$4:$S$2641,PriceList!$M$4:$M$2641=A575,"")))</f>
        <v>8.9 x 12.7 x 1.9</v>
      </c>
      <c r="G575" t="str" cm="1">
        <f t="array" ref="G575">INDEX(_xlfn._xlws.FILTER(PriceList!$P$4:$P$2641,PriceList!$M$4:$M$2641=A575,""),1)</f>
        <v>O Ring - FPM/FKM/VitonÂ®</v>
      </c>
    </row>
    <row r="576" spans="1:7" x14ac:dyDescent="0.45">
      <c r="A576" t="s">
        <v>4358</v>
      </c>
      <c r="B576">
        <f>COUNTIF(PriceList!$M$4:$M$2641,A576)</f>
        <v>1</v>
      </c>
      <c r="C576" t="str">
        <f>IF(B576=1,"1:1","1:Many")</f>
        <v>1:1</v>
      </c>
      <c r="D576" s="42" t="str" cm="1">
        <f t="array" ref="D576">_xlfn.TEXTJOIN(" | ",TRUE,_xlfn._xlws.FILTER(PriceList!$B$4:$B$2641,PriceList!$M$4:$M$2641=A576,""))</f>
        <v>OR9N 009-1.5</v>
      </c>
      <c r="E576" t="str" cm="1">
        <f t="array" ref="E576">_xlfn.TEXTJOIN(", ",TRUE,_xlfn._xlws.FILTER(ROW(PriceList!$B$4:$B$2641),PriceList!$M$4:$M$2641=A576,""))</f>
        <v>955</v>
      </c>
      <c r="F576" s="42" t="str" cm="1">
        <f t="array" ref="F576">_xlfn.TEXTJOIN(" | ",TRUE,_xlfn.UNIQUE(_xlfn._xlws.FILTER(PriceList!$Q$4:$Q$2641&amp;" x "&amp;PriceList!$R$4:$R$2641&amp;" x "&amp;PriceList!$S$4:$S$2641,PriceList!$M$4:$M$2641=A576,"")))</f>
        <v>9 x 12 x 1.5</v>
      </c>
      <c r="G576" t="str" cm="1">
        <f t="array" ref="G576">INDEX(_xlfn._xlws.FILTER(PriceList!$P$4:$P$2641,PriceList!$M$4:$M$2641=A576,""),1)</f>
        <v>O Ring - NBR 70</v>
      </c>
    </row>
    <row r="577" spans="1:7" x14ac:dyDescent="0.45">
      <c r="A577" t="s">
        <v>4644</v>
      </c>
      <c r="B577">
        <f>COUNTIF(PriceList!$M$4:$M$2641,A577)</f>
        <v>1</v>
      </c>
      <c r="C577" t="str">
        <f>IF(B577=1,"1:1","1:Many")</f>
        <v>1:1</v>
      </c>
      <c r="D577" s="42" t="str" cm="1">
        <f t="array" ref="D577">_xlfn.TEXTJOIN(" | ",TRUE,_xlfn._xlws.FILTER(PriceList!$B$4:$B$2641,PriceList!$M$4:$M$2641=A577,""))</f>
        <v>ORV8 009-1.5</v>
      </c>
      <c r="E577" t="str" cm="1">
        <f t="array" ref="E577">_xlfn.TEXTJOIN(", ",TRUE,_xlfn._xlws.FILTER(ROW(PriceList!$B$4:$B$2641),PriceList!$M$4:$M$2641=A577,""))</f>
        <v>1584</v>
      </c>
      <c r="F577" s="42" t="str" cm="1">
        <f t="array" ref="F577">_xlfn.TEXTJOIN(" | ",TRUE,_xlfn.UNIQUE(_xlfn._xlws.FILTER(PriceList!$Q$4:$Q$2641&amp;" x "&amp;PriceList!$R$4:$R$2641&amp;" x "&amp;PriceList!$S$4:$S$2641,PriceList!$M$4:$M$2641=A577,"")))</f>
        <v>9 x 12 x 1.5</v>
      </c>
      <c r="G577" t="str" cm="1">
        <f t="array" ref="G577">INDEX(_xlfn._xlws.FILTER(PriceList!$P$4:$P$2641,PriceList!$M$4:$M$2641=A577,""),1)</f>
        <v>O Ring - FPM/FKM/VitonÂ®</v>
      </c>
    </row>
    <row r="578" spans="1:7" x14ac:dyDescent="0.45">
      <c r="A578" t="s">
        <v>4359</v>
      </c>
      <c r="B578">
        <f>COUNTIF(PriceList!$M$4:$M$2641,A578)</f>
        <v>1</v>
      </c>
      <c r="C578" t="str">
        <f>IF(B578=1,"1:1","1:Many")</f>
        <v>1:1</v>
      </c>
      <c r="D578" s="42" t="str" cm="1">
        <f t="array" ref="D578">_xlfn.TEXTJOIN(" | ",TRUE,_xlfn._xlws.FILTER(PriceList!$B$4:$B$2641,PriceList!$M$4:$M$2641=A578,""))</f>
        <v>OR9N 009-2</v>
      </c>
      <c r="E578" t="str" cm="1">
        <f t="array" ref="E578">_xlfn.TEXTJOIN(", ",TRUE,_xlfn._xlws.FILTER(ROW(PriceList!$B$4:$B$2641),PriceList!$M$4:$M$2641=A578,""))</f>
        <v>956</v>
      </c>
      <c r="F578" s="42" t="str" cm="1">
        <f t="array" ref="F578">_xlfn.TEXTJOIN(" | ",TRUE,_xlfn.UNIQUE(_xlfn._xlws.FILTER(PriceList!$Q$4:$Q$2641&amp;" x "&amp;PriceList!$R$4:$R$2641&amp;" x "&amp;PriceList!$S$4:$S$2641,PriceList!$M$4:$M$2641=A578,"")))</f>
        <v>9 x 13 x 2</v>
      </c>
      <c r="G578" t="str" cm="1">
        <f t="array" ref="G578">INDEX(_xlfn._xlws.FILTER(PriceList!$P$4:$P$2641,PriceList!$M$4:$M$2641=A578,""),1)</f>
        <v>O Ring - EPDM</v>
      </c>
    </row>
    <row r="579" spans="1:7" x14ac:dyDescent="0.45">
      <c r="A579" t="s">
        <v>4645</v>
      </c>
      <c r="B579">
        <f>COUNTIF(PriceList!$M$4:$M$2641,A579)</f>
        <v>1</v>
      </c>
      <c r="C579" t="str">
        <f>IF(B579=1,"1:1","1:Many")</f>
        <v>1:1</v>
      </c>
      <c r="D579" s="42" t="str" cm="1">
        <f t="array" ref="D579">_xlfn.TEXTJOIN(" | ",TRUE,_xlfn._xlws.FILTER(PriceList!$B$4:$B$2641,PriceList!$M$4:$M$2641=A579,""))</f>
        <v>ORV8 009-2</v>
      </c>
      <c r="E579" t="str" cm="1">
        <f t="array" ref="E579">_xlfn.TEXTJOIN(", ",TRUE,_xlfn._xlws.FILTER(ROW(PriceList!$B$4:$B$2641),PriceList!$M$4:$M$2641=A579,""))</f>
        <v>1585</v>
      </c>
      <c r="F579" s="42" t="str" cm="1">
        <f t="array" ref="F579">_xlfn.TEXTJOIN(" | ",TRUE,_xlfn.UNIQUE(_xlfn._xlws.FILTER(PriceList!$Q$4:$Q$2641&amp;" x "&amp;PriceList!$R$4:$R$2641&amp;" x "&amp;PriceList!$S$4:$S$2641,PriceList!$M$4:$M$2641=A579,"")))</f>
        <v>9 x 13 x 2</v>
      </c>
      <c r="G579" t="str" cm="1">
        <f t="array" ref="G579">INDEX(_xlfn._xlws.FILTER(PriceList!$P$4:$P$2641,PriceList!$M$4:$M$2641=A579,""),1)</f>
        <v>O Ring - FPM/FKM/VitonÂ®</v>
      </c>
    </row>
    <row r="580" spans="1:7" x14ac:dyDescent="0.45">
      <c r="A580" t="s">
        <v>4357</v>
      </c>
      <c r="B580">
        <f>COUNTIF(PriceList!$M$4:$M$2641,A580)</f>
        <v>1</v>
      </c>
      <c r="C580" t="str">
        <f>IF(B580=1,"1:1","1:Many")</f>
        <v>1:1</v>
      </c>
      <c r="D580" s="42" t="str" cm="1">
        <f t="array" ref="D580">_xlfn.TEXTJOIN(" | ",TRUE,_xlfn._xlws.FILTER(PriceList!$B$4:$B$2641,PriceList!$M$4:$M$2641=A580,""))</f>
        <v>OR9N 009.1-1.6</v>
      </c>
      <c r="E580" t="str" cm="1">
        <f t="array" ref="E580">_xlfn.TEXTJOIN(", ",TRUE,_xlfn._xlws.FILTER(ROW(PriceList!$B$4:$B$2641),PriceList!$M$4:$M$2641=A580,""))</f>
        <v>951</v>
      </c>
      <c r="F580" s="42" t="str" cm="1">
        <f t="array" ref="F580">_xlfn.TEXTJOIN(" | ",TRUE,_xlfn.UNIQUE(_xlfn._xlws.FILTER(PriceList!$Q$4:$Q$2641&amp;" x "&amp;PriceList!$R$4:$R$2641&amp;" x "&amp;PriceList!$S$4:$S$2641,PriceList!$M$4:$M$2641=A580,"")))</f>
        <v>9.1 x 12.3 x 1.6</v>
      </c>
      <c r="G580" t="str" cm="1">
        <f t="array" ref="G580">INDEX(_xlfn._xlws.FILTER(PriceList!$P$4:$P$2641,PriceList!$M$4:$M$2641=A580,""),1)</f>
        <v>O Ring - NBR 70</v>
      </c>
    </row>
    <row r="581" spans="1:7" x14ac:dyDescent="0.45">
      <c r="A581" t="s">
        <v>4630</v>
      </c>
      <c r="B581">
        <f>COUNTIF(PriceList!$M$4:$M$2641,A581)</f>
        <v>1</v>
      </c>
      <c r="C581" t="str">
        <f>IF(B581=1,"1:1","1:Many")</f>
        <v>1:1</v>
      </c>
      <c r="D581" s="42" t="str" cm="1">
        <f t="array" ref="D581">_xlfn.TEXTJOIN(" | ",TRUE,_xlfn._xlws.FILTER(PriceList!$B$4:$B$2641,PriceList!$M$4:$M$2641=A581,""))</f>
        <v>ORV8 008.74-1.78</v>
      </c>
      <c r="E581" t="str" cm="1">
        <f t="array" ref="E581">_xlfn.TEXTJOIN(", ",TRUE,_xlfn._xlws.FILTER(ROW(PriceList!$B$4:$B$2641),PriceList!$M$4:$M$2641=A581,""))</f>
        <v>1572</v>
      </c>
      <c r="F581" s="42" t="str" cm="1">
        <f t="array" ref="F581">_xlfn.TEXTJOIN(" | ",TRUE,_xlfn.UNIQUE(_xlfn._xlws.FILTER(PriceList!$Q$4:$Q$2641&amp;" x "&amp;PriceList!$R$4:$R$2641&amp;" x "&amp;PriceList!$S$4:$S$2641,PriceList!$M$4:$M$2641=A581,"")))</f>
        <v>9.1 x 12.3 x 1.6</v>
      </c>
      <c r="G581" t="str" cm="1">
        <f t="array" ref="G581">INDEX(_xlfn._xlws.FILTER(PriceList!$P$4:$P$2641,PriceList!$M$4:$M$2641=A581,""),1)</f>
        <v>O Ring - FPM/FKM/VitonÂ®</v>
      </c>
    </row>
    <row r="582" spans="1:7" x14ac:dyDescent="0.45">
      <c r="A582" t="s">
        <v>4639</v>
      </c>
      <c r="B582">
        <f>COUNTIF(PriceList!$M$4:$M$2641,A582)</f>
        <v>1</v>
      </c>
      <c r="C582" t="str">
        <f>IF(B582=1,"1:1","1:Many")</f>
        <v>1:1</v>
      </c>
      <c r="D582" s="42" t="str" cm="1">
        <f t="array" ref="D582">_xlfn.TEXTJOIN(" | ",TRUE,_xlfn._xlws.FILTER(PriceList!$B$4:$B$2641,PriceList!$M$4:$M$2641=A582,""))</f>
        <v>ORV8 009.5-1.5</v>
      </c>
      <c r="E582" t="str" cm="1">
        <f t="array" ref="E582">_xlfn.TEXTJOIN(", ",TRUE,_xlfn._xlws.FILTER(ROW(PriceList!$B$4:$B$2641),PriceList!$M$4:$M$2641=A582,""))</f>
        <v>1580</v>
      </c>
      <c r="F582" s="42" t="str" cm="1">
        <f t="array" ref="F582">_xlfn.TEXTJOIN(" | ",TRUE,_xlfn.UNIQUE(_xlfn._xlws.FILTER(PriceList!$Q$4:$Q$2641&amp;" x "&amp;PriceList!$R$4:$R$2641&amp;" x "&amp;PriceList!$S$4:$S$2641,PriceList!$M$4:$M$2641=A582,"")))</f>
        <v>9.5 x 12.5 x 1.5</v>
      </c>
      <c r="G582" t="str" cm="1">
        <f t="array" ref="G582">INDEX(_xlfn._xlws.FILTER(PriceList!$P$4:$P$2641,PriceList!$M$4:$M$2641=A582,""),1)</f>
        <v>O Ring - FPM/FKM/VitonÂ®</v>
      </c>
    </row>
    <row r="583" spans="1:7" x14ac:dyDescent="0.45">
      <c r="A583" t="s">
        <v>3921</v>
      </c>
      <c r="B583">
        <f>COUNTIF(PriceList!$M$4:$M$2641,A583)</f>
        <v>2</v>
      </c>
      <c r="C583" t="str">
        <f>IF(B583=1,"1:1","1:Many")</f>
        <v>1:Many</v>
      </c>
      <c r="D583" s="42" t="str" cm="1">
        <f t="array" ref="D583">_xlfn.TEXTJOIN(" | ",TRUE,_xlfn._xlws.FILTER(PriceList!$B$4:$B$2641,PriceList!$M$4:$M$2641=A583,""))</f>
        <v>OR7N 009.25-1.78 | OR9N 009.25-1.78</v>
      </c>
      <c r="E583" t="str" cm="1">
        <f t="array" ref="E583">_xlfn.TEXTJOIN(", ",TRUE,_xlfn._xlws.FILTER(ROW(PriceList!$B$4:$B$2641),PriceList!$M$4:$M$2641=A583,""))</f>
        <v>562, 952</v>
      </c>
      <c r="F583" s="42" t="str" cm="1">
        <f t="array" ref="F583">_xlfn.TEXTJOIN(" | ",TRUE,_xlfn.UNIQUE(_xlfn._xlws.FILTER(PriceList!$Q$4:$Q$2641&amp;" x "&amp;PriceList!$R$4:$R$2641&amp;" x "&amp;PriceList!$S$4:$S$2641,PriceList!$M$4:$M$2641=A583,"")))</f>
        <v>9.5 x 12.7 x 1.6</v>
      </c>
      <c r="G583" t="str" cm="1">
        <f t="array" ref="G583">INDEX(_xlfn._xlws.FILTER(PriceList!$P$4:$P$2641,PriceList!$M$4:$M$2641=A583,""),1)</f>
        <v>O Ring - NBR 70</v>
      </c>
    </row>
    <row r="584" spans="1:7" x14ac:dyDescent="0.45">
      <c r="A584" t="s">
        <v>4638</v>
      </c>
      <c r="B584">
        <f>COUNTIF(PriceList!$M$4:$M$2641,A584)</f>
        <v>1</v>
      </c>
      <c r="C584" t="str">
        <f>IF(B584=1,"1:1","1:Many")</f>
        <v>1:1</v>
      </c>
      <c r="D584" s="42" t="str" cm="1">
        <f t="array" ref="D584">_xlfn.TEXTJOIN(" | ",TRUE,_xlfn._xlws.FILTER(PriceList!$B$4:$B$2641,PriceList!$M$4:$M$2641=A584,""))</f>
        <v>ORV8 009.25-1.78</v>
      </c>
      <c r="E584" t="str" cm="1">
        <f t="array" ref="E584">_xlfn.TEXTJOIN(", ",TRUE,_xlfn._xlws.FILTER(ROW(PriceList!$B$4:$B$2641),PriceList!$M$4:$M$2641=A584,""))</f>
        <v>1579</v>
      </c>
      <c r="F584" s="42" t="str" cm="1">
        <f t="array" ref="F584">_xlfn.TEXTJOIN(" | ",TRUE,_xlfn.UNIQUE(_xlfn._xlws.FILTER(PriceList!$Q$4:$Q$2641&amp;" x "&amp;PriceList!$R$4:$R$2641&amp;" x "&amp;PriceList!$S$4:$S$2641,PriceList!$M$4:$M$2641=A584,"")))</f>
        <v>9.5 x 12.7 x 1.6</v>
      </c>
      <c r="G584" t="str" cm="1">
        <f t="array" ref="G584">INDEX(_xlfn._xlws.FILTER(PriceList!$P$4:$P$2641,PriceList!$M$4:$M$2641=A584,""),1)</f>
        <v>O Ring - FPM/FKM/VitonÂ®</v>
      </c>
    </row>
    <row r="585" spans="1:7" x14ac:dyDescent="0.45">
      <c r="A585" t="s">
        <v>3923</v>
      </c>
      <c r="B585">
        <f>COUNTIF(PriceList!$M$4:$M$2641,A585)</f>
        <v>2</v>
      </c>
      <c r="C585" t="str">
        <f>IF(B585=1,"1:1","1:Many")</f>
        <v>1:Many</v>
      </c>
      <c r="D585" s="42" t="str" cm="1">
        <f t="array" ref="D585">_xlfn.TEXTJOIN(" | ",TRUE,_xlfn._xlws.FILTER(PriceList!$B$4:$B$2641,PriceList!$M$4:$M$2641=A585,""))</f>
        <v>OR7N 009.8-1.9 | OR9N 009.8-1.9</v>
      </c>
      <c r="E585" t="str" cm="1">
        <f t="array" ref="E585">_xlfn.TEXTJOIN(", ",TRUE,_xlfn._xlws.FILTER(ROW(PriceList!$B$4:$B$2641),PriceList!$M$4:$M$2641=A585,""))</f>
        <v>563, 953</v>
      </c>
      <c r="F585" s="42" t="str" cm="1">
        <f t="array" ref="F585">_xlfn.TEXTJOIN(" | ",TRUE,_xlfn.UNIQUE(_xlfn._xlws.FILTER(PriceList!$Q$4:$Q$2641&amp;" x "&amp;PriceList!$R$4:$R$2641&amp;" x "&amp;PriceList!$S$4:$S$2641,PriceList!$M$4:$M$2641=A585,"")))</f>
        <v>9.8 x 13.6 x 1.9</v>
      </c>
      <c r="G585" t="str" cm="1">
        <f t="array" ref="G585">INDEX(_xlfn._xlws.FILTER(PriceList!$P$4:$P$2641,PriceList!$M$4:$M$2641=A585,""),1)</f>
        <v>O Ring - HNBR</v>
      </c>
    </row>
    <row r="586" spans="1:7" x14ac:dyDescent="0.45">
      <c r="A586" t="s">
        <v>4641</v>
      </c>
      <c r="B586">
        <f>COUNTIF(PriceList!$M$4:$M$2641,A586)</f>
        <v>1</v>
      </c>
      <c r="C586" t="str">
        <f>IF(B586=1,"1:1","1:Many")</f>
        <v>1:1</v>
      </c>
      <c r="D586" s="42" t="str" cm="1">
        <f t="array" ref="D586">_xlfn.TEXTJOIN(" | ",TRUE,_xlfn._xlws.FILTER(PriceList!$B$4:$B$2641,PriceList!$M$4:$M$2641=A586,""))</f>
        <v>ORV8 009.8-1.9</v>
      </c>
      <c r="E586" t="str" cm="1">
        <f t="array" ref="E586">_xlfn.TEXTJOIN(", ",TRUE,_xlfn._xlws.FILTER(ROW(PriceList!$B$4:$B$2641),PriceList!$M$4:$M$2641=A586,""))</f>
        <v>1582</v>
      </c>
      <c r="F586" s="42" t="str" cm="1">
        <f t="array" ref="F586">_xlfn.TEXTJOIN(" | ",TRUE,_xlfn.UNIQUE(_xlfn._xlws.FILTER(PriceList!$Q$4:$Q$2641&amp;" x "&amp;PriceList!$R$4:$R$2641&amp;" x "&amp;PriceList!$S$4:$S$2641,PriceList!$M$4:$M$2641=A586,"")))</f>
        <v>9.8 x 13.6 x 1.9</v>
      </c>
      <c r="G586" t="str" cm="1">
        <f t="array" ref="G586">INDEX(_xlfn._xlws.FILTER(PriceList!$P$4:$P$2641,PriceList!$M$4:$M$2641=A586,""),1)</f>
        <v>O Ring - FPM/FKM/VitonÂ®</v>
      </c>
    </row>
    <row r="587" spans="1:7" x14ac:dyDescent="0.45">
      <c r="A587" t="s">
        <v>3924</v>
      </c>
      <c r="B587">
        <f>COUNTIF(PriceList!$M$4:$M$2641,A587)</f>
        <v>2</v>
      </c>
      <c r="C587" t="str">
        <f>IF(B587=1,"1:1","1:Many")</f>
        <v>1:Many</v>
      </c>
      <c r="D587" s="42" t="str" cm="1">
        <f t="array" ref="D587">_xlfn.TEXTJOIN(" | ",TRUE,_xlfn._xlws.FILTER(PriceList!$B$4:$B$2641,PriceList!$M$4:$M$2641=A587,""))</f>
        <v>OR7N 009.8-2.4 | OR9N 009.8-2.4</v>
      </c>
      <c r="E587" t="str" cm="1">
        <f t="array" ref="E587">_xlfn.TEXTJOIN(", ",TRUE,_xlfn._xlws.FILTER(ROW(PriceList!$B$4:$B$2641),PriceList!$M$4:$M$2641=A587,""))</f>
        <v>564, 954</v>
      </c>
      <c r="F587" s="42" t="str" cm="1">
        <f t="array" ref="F587">_xlfn.TEXTJOIN(" | ",TRUE,_xlfn.UNIQUE(_xlfn._xlws.FILTER(PriceList!$Q$4:$Q$2641&amp;" x "&amp;PriceList!$R$4:$R$2641&amp;" x "&amp;PriceList!$S$4:$S$2641,PriceList!$M$4:$M$2641=A587,"")))</f>
        <v>9.8 x 14.6 x 2.4</v>
      </c>
      <c r="G587" t="str" cm="1">
        <f t="array" ref="G587">INDEX(_xlfn._xlws.FILTER(PriceList!$P$4:$P$2641,PriceList!$M$4:$M$2641=A587,""),1)</f>
        <v>O Ring - NBR 90</v>
      </c>
    </row>
    <row r="588" spans="1:7" x14ac:dyDescent="0.45">
      <c r="A588" t="s">
        <v>4361</v>
      </c>
      <c r="B588">
        <f>COUNTIF(PriceList!$M$4:$M$2641,A588)</f>
        <v>1</v>
      </c>
      <c r="C588" t="str">
        <f>IF(B588=1,"1:1","1:Many")</f>
        <v>1:1</v>
      </c>
      <c r="D588" s="42" t="str" cm="1">
        <f t="array" ref="D588">_xlfn.TEXTJOIN(" | ",TRUE,_xlfn._xlws.FILTER(PriceList!$B$4:$B$2641,PriceList!$M$4:$M$2641=A588,""))</f>
        <v>OR9N 010-2</v>
      </c>
      <c r="E588" t="str" cm="1">
        <f t="array" ref="E588">_xlfn.TEXTJOIN(", ",TRUE,_xlfn._xlws.FILTER(ROW(PriceList!$B$4:$B$2641),PriceList!$M$4:$M$2641=A588,""))</f>
        <v>962</v>
      </c>
      <c r="F588" s="42" t="str" cm="1">
        <f t="array" ref="F588">_xlfn.TEXTJOIN(" | ",TRUE,_xlfn.UNIQUE(_xlfn._xlws.FILTER(PriceList!$Q$4:$Q$2641&amp;" x "&amp;PriceList!$R$4:$R$2641&amp;" x "&amp;PriceList!$S$4:$S$2641,PriceList!$M$4:$M$2641=A588,"")))</f>
        <v>10 x 14 x 2</v>
      </c>
      <c r="G588" t="str" cm="1">
        <f t="array" ref="G588">INDEX(_xlfn._xlws.FILTER(PriceList!$P$4:$P$2641,PriceList!$M$4:$M$2641=A588,""),1)</f>
        <v>O Ring - EPDM</v>
      </c>
    </row>
    <row r="589" spans="1:7" x14ac:dyDescent="0.45">
      <c r="A589" t="s">
        <v>4649</v>
      </c>
      <c r="B589">
        <f>COUNTIF(PriceList!$M$4:$M$2641,A589)</f>
        <v>1</v>
      </c>
      <c r="C589" t="str">
        <f>IF(B589=1,"1:1","1:Many")</f>
        <v>1:1</v>
      </c>
      <c r="D589" s="42" t="str" cm="1">
        <f t="array" ref="D589">_xlfn.TEXTJOIN(" | ",TRUE,_xlfn._xlws.FILTER(PriceList!$B$4:$B$2641,PriceList!$M$4:$M$2641=A589,""))</f>
        <v>ORV8 010-2</v>
      </c>
      <c r="E589" t="str" cm="1">
        <f t="array" ref="E589">_xlfn.TEXTJOIN(", ",TRUE,_xlfn._xlws.FILTER(ROW(PriceList!$B$4:$B$2641),PriceList!$M$4:$M$2641=A589,""))</f>
        <v>1589</v>
      </c>
      <c r="F589" s="42" t="str" cm="1">
        <f t="array" ref="F589">_xlfn.TEXTJOIN(" | ",TRUE,_xlfn.UNIQUE(_xlfn._xlws.FILTER(PriceList!$Q$4:$Q$2641&amp;" x "&amp;PriceList!$R$4:$R$2641&amp;" x "&amp;PriceList!$S$4:$S$2641,PriceList!$M$4:$M$2641=A589,"")))</f>
        <v>10 x 14 x 2</v>
      </c>
      <c r="G589" t="str" cm="1">
        <f t="array" ref="G589">INDEX(_xlfn._xlws.FILTER(PriceList!$P$4:$P$2641,PriceList!$M$4:$M$2641=A589,""),1)</f>
        <v>O Ring - FPM/FKM/VitonÂ®</v>
      </c>
    </row>
    <row r="590" spans="1:7" x14ac:dyDescent="0.45">
      <c r="A590" t="s">
        <v>4362</v>
      </c>
      <c r="B590">
        <f>COUNTIF(PriceList!$M$4:$M$2641,A590)</f>
        <v>1</v>
      </c>
      <c r="C590" t="str">
        <f>IF(B590=1,"1:1","1:Many")</f>
        <v>1:1</v>
      </c>
      <c r="D590" s="42" t="str" cm="1">
        <f t="array" ref="D590">_xlfn.TEXTJOIN(" | ",TRUE,_xlfn._xlws.FILTER(PriceList!$B$4:$B$2641,PriceList!$M$4:$M$2641=A590,""))</f>
        <v>OR9N 010-2.2</v>
      </c>
      <c r="E590" t="str" cm="1">
        <f t="array" ref="E590">_xlfn.TEXTJOIN(", ",TRUE,_xlfn._xlws.FILTER(ROW(PriceList!$B$4:$B$2641),PriceList!$M$4:$M$2641=A590,""))</f>
        <v>963</v>
      </c>
      <c r="F590" s="42" t="str" cm="1">
        <f t="array" ref="F590">_xlfn.TEXTJOIN(" | ",TRUE,_xlfn.UNIQUE(_xlfn._xlws.FILTER(PriceList!$Q$4:$Q$2641&amp;" x "&amp;PriceList!$R$4:$R$2641&amp;" x "&amp;PriceList!$S$4:$S$2641,PriceList!$M$4:$M$2641=A590,"")))</f>
        <v>10 x 14.4 x 2.2</v>
      </c>
      <c r="G590" t="str" cm="1">
        <f t="array" ref="G590">INDEX(_xlfn._xlws.FILTER(PriceList!$P$4:$P$2641,PriceList!$M$4:$M$2641=A590,""),1)</f>
        <v>O Ring - NBR 70</v>
      </c>
    </row>
    <row r="591" spans="1:7" x14ac:dyDescent="0.45">
      <c r="A591" t="s">
        <v>3932</v>
      </c>
      <c r="B591">
        <f>COUNTIF(PriceList!$M$4:$M$2641,A591)</f>
        <v>2</v>
      </c>
      <c r="C591" t="str">
        <f>IF(B591=1,"1:1","1:Many")</f>
        <v>1:Many</v>
      </c>
      <c r="D591" s="42" t="str" cm="1">
        <f t="array" ref="D591">_xlfn.TEXTJOIN(" | ",TRUE,_xlfn._xlws.FILTER(PriceList!$B$4:$B$2641,PriceList!$M$4:$M$2641=A591,""))</f>
        <v>OR7N 010-2.5 | OR9N 010-2.5</v>
      </c>
      <c r="E591" t="str" cm="1">
        <f t="array" ref="E591">_xlfn.TEXTJOIN(", ",TRUE,_xlfn._xlws.FILTER(ROW(PriceList!$B$4:$B$2641),PriceList!$M$4:$M$2641=A591,""))</f>
        <v>568, 964</v>
      </c>
      <c r="F591" s="42" t="str" cm="1">
        <f t="array" ref="F591">_xlfn.TEXTJOIN(" | ",TRUE,_xlfn.UNIQUE(_xlfn._xlws.FILTER(PriceList!$Q$4:$Q$2641&amp;" x "&amp;PriceList!$R$4:$R$2641&amp;" x "&amp;PriceList!$S$4:$S$2641,PriceList!$M$4:$M$2641=A591,"")))</f>
        <v>10 x 15 x 2.5</v>
      </c>
      <c r="G591" t="str" cm="1">
        <f t="array" ref="G591">INDEX(_xlfn._xlws.FILTER(PriceList!$P$4:$P$2641,PriceList!$M$4:$M$2641=A591,""),1)</f>
        <v>O Ring - EPDM</v>
      </c>
    </row>
    <row r="592" spans="1:7" x14ac:dyDescent="0.45">
      <c r="A592" t="s">
        <v>4642</v>
      </c>
      <c r="B592">
        <f>COUNTIF(PriceList!$M$4:$M$2641,A592)</f>
        <v>2</v>
      </c>
      <c r="C592" t="str">
        <f>IF(B592=1,"1:1","1:Many")</f>
        <v>1:Many</v>
      </c>
      <c r="D592" s="42" t="str" cm="1">
        <f t="array" ref="D592">_xlfn.TEXTJOIN(" | ",TRUE,_xlfn._xlws.FILTER(PriceList!$B$4:$B$2641,PriceList!$M$4:$M$2641=A592,""))</f>
        <v>ORV8 009.8-2.4 | ORV8 010-2.5</v>
      </c>
      <c r="E592" t="str" cm="1">
        <f t="array" ref="E592">_xlfn.TEXTJOIN(", ",TRUE,_xlfn._xlws.FILTER(ROW(PriceList!$B$4:$B$2641),PriceList!$M$4:$M$2641=A592,""))</f>
        <v>1583, 1590</v>
      </c>
      <c r="F592" s="42" t="str" cm="1">
        <f t="array" ref="F592">_xlfn.TEXTJOIN(" | ",TRUE,_xlfn.UNIQUE(_xlfn._xlws.FILTER(PriceList!$Q$4:$Q$2641&amp;" x "&amp;PriceList!$R$4:$R$2641&amp;" x "&amp;PriceList!$S$4:$S$2641,PriceList!$M$4:$M$2641=A592,"")))</f>
        <v>10 x 15 x 2.5</v>
      </c>
      <c r="G592" t="str" cm="1">
        <f t="array" ref="G592">INDEX(_xlfn._xlws.FILTER(PriceList!$P$4:$P$2641,PriceList!$M$4:$M$2641=A592,""),1)</f>
        <v>O Ring - FPM/FKM/VitonÂ®</v>
      </c>
    </row>
    <row r="593" spans="1:7" x14ac:dyDescent="0.45">
      <c r="A593" t="s">
        <v>4648</v>
      </c>
      <c r="B593">
        <f>COUNTIF(PriceList!$M$4:$M$2641,A593)</f>
        <v>1</v>
      </c>
      <c r="C593" t="str">
        <f>IF(B593=1,"1:1","1:Many")</f>
        <v>1:1</v>
      </c>
      <c r="D593" s="42" t="str" cm="1">
        <f t="array" ref="D593">_xlfn.TEXTJOIN(" | ",TRUE,_xlfn._xlws.FILTER(PriceList!$B$4:$B$2641,PriceList!$M$4:$M$2641=A593,""))</f>
        <v>ORV8 010.8-2.4</v>
      </c>
      <c r="E593" t="str" cm="1">
        <f t="array" ref="E593">_xlfn.TEXTJOIN(", ",TRUE,_xlfn._xlws.FILTER(ROW(PriceList!$B$4:$B$2641),PriceList!$M$4:$M$2641=A593,""))</f>
        <v>1588</v>
      </c>
      <c r="F593" s="42" t="str" cm="1">
        <f t="array" ref="F593">_xlfn.TEXTJOIN(" | ",TRUE,_xlfn.UNIQUE(_xlfn._xlws.FILTER(PriceList!$Q$4:$Q$2641&amp;" x "&amp;PriceList!$R$4:$R$2641&amp;" x "&amp;PriceList!$S$4:$S$2641,PriceList!$M$4:$M$2641=A593,"")))</f>
        <v>10.5 x 15.5 x 2.5</v>
      </c>
      <c r="G593" t="str" cm="1">
        <f t="array" ref="G593">INDEX(_xlfn._xlws.FILTER(PriceList!$P$4:$P$2641,PriceList!$M$4:$M$2641=A593,""),1)</f>
        <v>O Ring - FPM/FKM/VitonÂ®</v>
      </c>
    </row>
    <row r="594" spans="1:7" x14ac:dyDescent="0.45">
      <c r="A594" t="s">
        <v>3931</v>
      </c>
      <c r="B594">
        <f>COUNTIF(PriceList!$M$4:$M$2641,A594)</f>
        <v>3</v>
      </c>
      <c r="C594" t="str">
        <f>IF(B594=1,"1:1","1:Many")</f>
        <v>1:Many</v>
      </c>
      <c r="D594" s="42" t="str" cm="1">
        <f t="array" ref="D594">_xlfn.TEXTJOIN(" | ",TRUE,_xlfn._xlws.FILTER(PriceList!$B$4:$B$2641,PriceList!$M$4:$M$2641=A594,""))</f>
        <v>OR7N 010.8-2.4 | OR9N 010.8-2.4 | OR9N 010.9-2.3</v>
      </c>
      <c r="E594" t="str" cm="1">
        <f t="array" ref="E594">_xlfn.TEXTJOIN(", ",TRUE,_xlfn._xlws.FILTER(ROW(PriceList!$B$4:$B$2641),PriceList!$M$4:$M$2641=A594,""))</f>
        <v>567, 960, 961</v>
      </c>
      <c r="F594" s="42" t="str" cm="1">
        <f t="array" ref="F594">_xlfn.TEXTJOIN(" | ",TRUE,_xlfn.UNIQUE(_xlfn._xlws.FILTER(PriceList!$Q$4:$Q$2641&amp;" x "&amp;PriceList!$R$4:$R$2641&amp;" x "&amp;PriceList!$S$4:$S$2641,PriceList!$M$4:$M$2641=A594,"")))</f>
        <v>10.8 x 15.6 x 2.4</v>
      </c>
      <c r="G594" t="str" cm="1">
        <f t="array" ref="G594">INDEX(_xlfn._xlws.FILTER(PriceList!$P$4:$P$2641,PriceList!$M$4:$M$2641=A594,""),1)</f>
        <v>O Ring - NBR 70</v>
      </c>
    </row>
    <row r="595" spans="1:7" x14ac:dyDescent="0.45">
      <c r="A595" t="s">
        <v>4365</v>
      </c>
      <c r="B595">
        <f>COUNTIF(PriceList!$M$4:$M$2641,A595)</f>
        <v>1</v>
      </c>
      <c r="C595" t="str">
        <f>IF(B595=1,"1:1","1:Many")</f>
        <v>1:1</v>
      </c>
      <c r="D595" s="42" t="str" cm="1">
        <f t="array" ref="D595">_xlfn.TEXTJOIN(" | ",TRUE,_xlfn._xlws.FILTER(PriceList!$B$4:$B$2641,PriceList!$M$4:$M$2641=A595,""))</f>
        <v>OR9N 011-1.3</v>
      </c>
      <c r="E595" t="str" cm="1">
        <f t="array" ref="E595">_xlfn.TEXTJOIN(", ",TRUE,_xlfn._xlws.FILTER(ROW(PriceList!$B$4:$B$2641),PriceList!$M$4:$M$2641=A595,""))</f>
        <v>967</v>
      </c>
      <c r="F595" s="42" t="str" cm="1">
        <f t="array" ref="F595">_xlfn.TEXTJOIN(" | ",TRUE,_xlfn.UNIQUE(_xlfn._xlws.FILTER(PriceList!$Q$4:$Q$2641&amp;" x "&amp;PriceList!$R$4:$R$2641&amp;" x "&amp;PriceList!$S$4:$S$2641,PriceList!$M$4:$M$2641=A595,"")))</f>
        <v>11 x 13.6 x 1.3</v>
      </c>
      <c r="G595" t="str" cm="1">
        <f t="array" ref="G595">INDEX(_xlfn._xlws.FILTER(PriceList!$P$4:$P$2641,PriceList!$M$4:$M$2641=A595,""),1)</f>
        <v>O Ring - NBR 70</v>
      </c>
    </row>
    <row r="596" spans="1:7" x14ac:dyDescent="0.45">
      <c r="A596" t="s">
        <v>4366</v>
      </c>
      <c r="B596">
        <f>COUNTIF(PriceList!$M$4:$M$2641,A596)</f>
        <v>1</v>
      </c>
      <c r="C596" t="str">
        <f>IF(B596=1,"1:1","1:Many")</f>
        <v>1:1</v>
      </c>
      <c r="D596" s="42" t="str" cm="1">
        <f t="array" ref="D596">_xlfn.TEXTJOIN(" | ",TRUE,_xlfn._xlws.FILTER(PriceList!$B$4:$B$2641,PriceList!$M$4:$M$2641=A596,""))</f>
        <v>OR9N 011-1.5</v>
      </c>
      <c r="E596" t="str" cm="1">
        <f t="array" ref="E596">_xlfn.TEXTJOIN(", ",TRUE,_xlfn._xlws.FILTER(ROW(PriceList!$B$4:$B$2641),PriceList!$M$4:$M$2641=A596,""))</f>
        <v>968</v>
      </c>
      <c r="F596" s="42" t="str" cm="1">
        <f t="array" ref="F596">_xlfn.TEXTJOIN(" | ",TRUE,_xlfn.UNIQUE(_xlfn._xlws.FILTER(PriceList!$Q$4:$Q$2641&amp;" x "&amp;PriceList!$R$4:$R$2641&amp;" x "&amp;PriceList!$S$4:$S$2641,PriceList!$M$4:$M$2641=A596,"")))</f>
        <v>11 x 14 x 1.5</v>
      </c>
      <c r="G596" t="str" cm="1">
        <f t="array" ref="G596">INDEX(_xlfn._xlws.FILTER(PriceList!$P$4:$P$2641,PriceList!$M$4:$M$2641=A596,""),1)</f>
        <v>O Ring - NBR 70</v>
      </c>
    </row>
    <row r="597" spans="1:7" x14ac:dyDescent="0.45">
      <c r="A597" t="s">
        <v>4652</v>
      </c>
      <c r="B597">
        <f>COUNTIF(PriceList!$M$4:$M$2641,A597)</f>
        <v>1</v>
      </c>
      <c r="C597" t="str">
        <f>IF(B597=1,"1:1","1:Many")</f>
        <v>1:1</v>
      </c>
      <c r="D597" s="42" t="str" cm="1">
        <f t="array" ref="D597">_xlfn.TEXTJOIN(" | ",TRUE,_xlfn._xlws.FILTER(PriceList!$B$4:$B$2641,PriceList!$M$4:$M$2641=A597,""))</f>
        <v>ORV8 011-1.5</v>
      </c>
      <c r="E597" t="str" cm="1">
        <f t="array" ref="E597">_xlfn.TEXTJOIN(", ",TRUE,_xlfn._xlws.FILTER(ROW(PriceList!$B$4:$B$2641),PriceList!$M$4:$M$2641=A597,""))</f>
        <v>1593</v>
      </c>
      <c r="F597" s="42" t="str" cm="1">
        <f t="array" ref="F597">_xlfn.TEXTJOIN(" | ",TRUE,_xlfn.UNIQUE(_xlfn._xlws.FILTER(PriceList!$Q$4:$Q$2641&amp;" x "&amp;PriceList!$R$4:$R$2641&amp;" x "&amp;PriceList!$S$4:$S$2641,PriceList!$M$4:$M$2641=A597,"")))</f>
        <v>11 x 14 x 1.5</v>
      </c>
      <c r="G597" t="str" cm="1">
        <f t="array" ref="G597">INDEX(_xlfn._xlws.FILTER(PriceList!$P$4:$P$2641,PriceList!$M$4:$M$2641=A597,""),1)</f>
        <v>O Ring - FPM/FKM/VitonÂ®</v>
      </c>
    </row>
    <row r="598" spans="1:7" x14ac:dyDescent="0.45">
      <c r="A598" t="s">
        <v>4367</v>
      </c>
      <c r="B598">
        <f>COUNTIF(PriceList!$M$4:$M$2641,A598)</f>
        <v>1</v>
      </c>
      <c r="C598" t="str">
        <f>IF(B598=1,"1:1","1:Many")</f>
        <v>1:1</v>
      </c>
      <c r="D598" s="42" t="str" cm="1">
        <f t="array" ref="D598">_xlfn.TEXTJOIN(" | ",TRUE,_xlfn._xlws.FILTER(PriceList!$B$4:$B$2641,PriceList!$M$4:$M$2641=A598,""))</f>
        <v>OR9N 011-2</v>
      </c>
      <c r="E598" t="str" cm="1">
        <f t="array" ref="E598">_xlfn.TEXTJOIN(", ",TRUE,_xlfn._xlws.FILTER(ROW(PriceList!$B$4:$B$2641),PriceList!$M$4:$M$2641=A598,""))</f>
        <v>969</v>
      </c>
      <c r="F598" s="42" t="str" cm="1">
        <f t="array" ref="F598">_xlfn.TEXTJOIN(" | ",TRUE,_xlfn.UNIQUE(_xlfn._xlws.FILTER(PriceList!$Q$4:$Q$2641&amp;" x "&amp;PriceList!$R$4:$R$2641&amp;" x "&amp;PriceList!$S$4:$S$2641,PriceList!$M$4:$M$2641=A598,"")))</f>
        <v>11 x 15 x 2</v>
      </c>
      <c r="G598" t="str" cm="1">
        <f t="array" ref="G598">INDEX(_xlfn._xlws.FILTER(PriceList!$P$4:$P$2641,PriceList!$M$4:$M$2641=A598,""),1)</f>
        <v>O Ring - EPDM</v>
      </c>
    </row>
    <row r="599" spans="1:7" x14ac:dyDescent="0.45">
      <c r="A599" t="s">
        <v>4653</v>
      </c>
      <c r="B599">
        <f>COUNTIF(PriceList!$M$4:$M$2641,A599)</f>
        <v>1</v>
      </c>
      <c r="C599" t="str">
        <f>IF(B599=1,"1:1","1:Many")</f>
        <v>1:1</v>
      </c>
      <c r="D599" s="42" t="str" cm="1">
        <f t="array" ref="D599">_xlfn.TEXTJOIN(" | ",TRUE,_xlfn._xlws.FILTER(PriceList!$B$4:$B$2641,PriceList!$M$4:$M$2641=A599,""))</f>
        <v>ORV8 011-2</v>
      </c>
      <c r="E599" t="str" cm="1">
        <f t="array" ref="E599">_xlfn.TEXTJOIN(", ",TRUE,_xlfn._xlws.FILTER(ROW(PriceList!$B$4:$B$2641),PriceList!$M$4:$M$2641=A599,""))</f>
        <v>1594</v>
      </c>
      <c r="F599" s="42" t="str" cm="1">
        <f t="array" ref="F599">_xlfn.TEXTJOIN(" | ",TRUE,_xlfn.UNIQUE(_xlfn._xlws.FILTER(PriceList!$Q$4:$Q$2641&amp;" x "&amp;PriceList!$R$4:$R$2641&amp;" x "&amp;PriceList!$S$4:$S$2641,PriceList!$M$4:$M$2641=A599,"")))</f>
        <v>11 x 15 x 2</v>
      </c>
      <c r="G599" t="str" cm="1">
        <f t="array" ref="G599">INDEX(_xlfn._xlws.FILTER(PriceList!$P$4:$P$2641,PriceList!$M$4:$M$2641=A599,""),1)</f>
        <v>O Ring - FPM/FKM/VitonÂ®</v>
      </c>
    </row>
    <row r="600" spans="1:7" x14ac:dyDescent="0.45">
      <c r="A600" t="s">
        <v>3927</v>
      </c>
      <c r="B600">
        <f>COUNTIF(PriceList!$M$4:$M$2641,A600)</f>
        <v>3</v>
      </c>
      <c r="C600" t="str">
        <f>IF(B600=1,"1:1","1:Many")</f>
        <v>1:Many</v>
      </c>
      <c r="D600" s="42" t="str" cm="1">
        <f t="array" ref="D600">_xlfn.TEXTJOIN(" | ",TRUE,_xlfn._xlws.FILTER(PriceList!$B$4:$B$2641,PriceList!$M$4:$M$2641=A600,""))</f>
        <v>OR7N 010.77-2.62 | OR9N 010.77-2.62 | OR9N 011-2.5</v>
      </c>
      <c r="E600" t="str" cm="1">
        <f t="array" ref="E600">_xlfn.TEXTJOIN(", ",TRUE,_xlfn._xlws.FILTER(ROW(PriceList!$B$4:$B$2641),PriceList!$M$4:$M$2641=A600,""))</f>
        <v>565, 958, 970</v>
      </c>
      <c r="F600" s="42" t="str" cm="1">
        <f t="array" ref="F600">_xlfn.TEXTJOIN(" | ",TRUE,_xlfn.UNIQUE(_xlfn._xlws.FILTER(PriceList!$Q$4:$Q$2641&amp;" x "&amp;PriceList!$R$4:$R$2641&amp;" x "&amp;PriceList!$S$4:$S$2641,PriceList!$M$4:$M$2641=A600,"")))</f>
        <v>11 x 16 x 2.5</v>
      </c>
      <c r="G600" t="str" cm="1">
        <f t="array" ref="G600">INDEX(_xlfn._xlws.FILTER(PriceList!$P$4:$P$2641,PriceList!$M$4:$M$2641=A600,""),1)</f>
        <v>O Ring - NBR 70</v>
      </c>
    </row>
    <row r="601" spans="1:7" x14ac:dyDescent="0.45">
      <c r="A601" t="s">
        <v>4646</v>
      </c>
      <c r="B601">
        <f>COUNTIF(PriceList!$M$4:$M$2641,A601)</f>
        <v>2</v>
      </c>
      <c r="C601" t="str">
        <f>IF(B601=1,"1:1","1:Many")</f>
        <v>1:Many</v>
      </c>
      <c r="D601" s="42" t="str" cm="1">
        <f t="array" ref="D601">_xlfn.TEXTJOIN(" | ",TRUE,_xlfn._xlws.FILTER(PriceList!$B$4:$B$2641,PriceList!$M$4:$M$2641=A601,""))</f>
        <v>ORV8 010.77-2.62 | ORV8 011-2.5</v>
      </c>
      <c r="E601" t="str" cm="1">
        <f t="array" ref="E601">_xlfn.TEXTJOIN(", ",TRUE,_xlfn._xlws.FILTER(ROW(PriceList!$B$4:$B$2641),PriceList!$M$4:$M$2641=A601,""))</f>
        <v>1586, 1595</v>
      </c>
      <c r="F601" s="42" t="str" cm="1">
        <f t="array" ref="F601">_xlfn.TEXTJOIN(" | ",TRUE,_xlfn.UNIQUE(_xlfn._xlws.FILTER(PriceList!$Q$4:$Q$2641&amp;" x "&amp;PriceList!$R$4:$R$2641&amp;" x "&amp;PriceList!$S$4:$S$2641,PriceList!$M$4:$M$2641=A601,"")))</f>
        <v>11 x 16 x 2.5</v>
      </c>
      <c r="G601" t="str" cm="1">
        <f t="array" ref="G601">INDEX(_xlfn._xlws.FILTER(PriceList!$P$4:$P$2641,PriceList!$M$4:$M$2641=A601,""),1)</f>
        <v>O Ring - FPM/FKM/VitonÂ®</v>
      </c>
    </row>
    <row r="602" spans="1:7" x14ac:dyDescent="0.45">
      <c r="A602" t="s">
        <v>3929</v>
      </c>
      <c r="B602">
        <f>COUNTIF(PriceList!$M$4:$M$2641,A602)</f>
        <v>2</v>
      </c>
      <c r="C602" t="str">
        <f>IF(B602=1,"1:1","1:Many")</f>
        <v>1:Many</v>
      </c>
      <c r="D602" s="42" t="str" cm="1">
        <f t="array" ref="D602">_xlfn.TEXTJOIN(" | ",TRUE,_xlfn._xlws.FILTER(PriceList!$B$4:$B$2641,PriceList!$M$4:$M$2641=A602,""))</f>
        <v>OR7N 010.82-1.78 | OR9N 010.82-1.78</v>
      </c>
      <c r="E602" t="str" cm="1">
        <f t="array" ref="E602">_xlfn.TEXTJOIN(", ",TRUE,_xlfn._xlws.FILTER(ROW(PriceList!$B$4:$B$2641),PriceList!$M$4:$M$2641=A602,""))</f>
        <v>566, 959</v>
      </c>
      <c r="F602" s="42" t="str" cm="1">
        <f t="array" ref="F602">_xlfn.TEXTJOIN(" | ",TRUE,_xlfn.UNIQUE(_xlfn._xlws.FILTER(PriceList!$Q$4:$Q$2641&amp;" x "&amp;PriceList!$R$4:$R$2641&amp;" x "&amp;PriceList!$S$4:$S$2641,PriceList!$M$4:$M$2641=A602,"")))</f>
        <v>11.1 x 14.3 x 1.6</v>
      </c>
      <c r="G602" t="str" cm="1">
        <f t="array" ref="G602">INDEX(_xlfn._xlws.FILTER(PriceList!$P$4:$P$2641,PriceList!$M$4:$M$2641=A602,""),1)</f>
        <v>O Ring - NBR 70</v>
      </c>
    </row>
    <row r="603" spans="1:7" x14ac:dyDescent="0.45">
      <c r="A603" t="s">
        <v>4647</v>
      </c>
      <c r="B603">
        <f>COUNTIF(PriceList!$M$4:$M$2641,A603)</f>
        <v>1</v>
      </c>
      <c r="C603" t="str">
        <f>IF(B603=1,"1:1","1:Many")</f>
        <v>1:1</v>
      </c>
      <c r="D603" s="42" t="str" cm="1">
        <f t="array" ref="D603">_xlfn.TEXTJOIN(" | ",TRUE,_xlfn._xlws.FILTER(PriceList!$B$4:$B$2641,PriceList!$M$4:$M$2641=A603,""))</f>
        <v>ORV8 010.82-1.78</v>
      </c>
      <c r="E603" t="str" cm="1">
        <f t="array" ref="E603">_xlfn.TEXTJOIN(", ",TRUE,_xlfn._xlws.FILTER(ROW(PriceList!$B$4:$B$2641),PriceList!$M$4:$M$2641=A603,""))</f>
        <v>1587</v>
      </c>
      <c r="F603" s="42" t="str" cm="1">
        <f t="array" ref="F603">_xlfn.TEXTJOIN(" | ",TRUE,_xlfn.UNIQUE(_xlfn._xlws.FILTER(PriceList!$Q$4:$Q$2641&amp;" x "&amp;PriceList!$R$4:$R$2641&amp;" x "&amp;PriceList!$S$4:$S$2641,PriceList!$M$4:$M$2641=A603,"")))</f>
        <v>11.1 x 14.3 x 1.6</v>
      </c>
      <c r="G603" t="str" cm="1">
        <f t="array" ref="G603">INDEX(_xlfn._xlws.FILTER(PriceList!$P$4:$P$2641,PriceList!$M$4:$M$2641=A603,""),1)</f>
        <v>O Ring - FPM/FKM/VitonÂ®</v>
      </c>
    </row>
    <row r="604" spans="1:7" x14ac:dyDescent="0.45">
      <c r="A604" t="s">
        <v>4650</v>
      </c>
      <c r="B604">
        <f>COUNTIF(PriceList!$M$4:$M$2641,A604)</f>
        <v>2</v>
      </c>
      <c r="C604" t="str">
        <f>IF(B604=1,"1:1","1:Many")</f>
        <v>1:Many</v>
      </c>
      <c r="D604" s="42" t="str" cm="1">
        <f t="array" ref="D604">_xlfn.TEXTJOIN(" | ",TRUE,_xlfn._xlws.FILTER(PriceList!$B$4:$B$2641,PriceList!$M$4:$M$2641=A604,""))</f>
        <v>ORV8 011.35-2.62 | ORV8 011.8-2.4</v>
      </c>
      <c r="E604" t="str" cm="1">
        <f t="array" ref="E604">_xlfn.TEXTJOIN(", ",TRUE,_xlfn._xlws.FILTER(ROW(PriceList!$B$4:$B$2641),PriceList!$M$4:$M$2641=A604,""))</f>
        <v>1591, 1592</v>
      </c>
      <c r="F604" s="42" t="str" cm="1">
        <f t="array" ref="F604">_xlfn.TEXTJOIN(" | ",TRUE,_xlfn.UNIQUE(_xlfn._xlws.FILTER(PriceList!$Q$4:$Q$2641&amp;" x "&amp;PriceList!$R$4:$R$2641&amp;" x "&amp;PriceList!$S$4:$S$2641,PriceList!$M$4:$M$2641=A604,"")))</f>
        <v>11.6 x 16.4 x 2.4</v>
      </c>
      <c r="G604" t="str" cm="1">
        <f t="array" ref="G604">INDEX(_xlfn._xlws.FILTER(PriceList!$P$4:$P$2641,PriceList!$M$4:$M$2641=A604,""),1)</f>
        <v>O Ring - FPM/FKM/VitonÂ®</v>
      </c>
    </row>
    <row r="605" spans="1:7" x14ac:dyDescent="0.45">
      <c r="A605" t="s">
        <v>4363</v>
      </c>
      <c r="B605">
        <f>COUNTIF(PriceList!$M$4:$M$2641,A605)</f>
        <v>1</v>
      </c>
      <c r="C605" t="str">
        <f>IF(B605=1,"1:1","1:Many")</f>
        <v>1:1</v>
      </c>
      <c r="D605" s="42" t="str" cm="1">
        <f t="array" ref="D605">_xlfn.TEXTJOIN(" | ",TRUE,_xlfn._xlws.FILTER(PriceList!$B$4:$B$2641,PriceList!$M$4:$M$2641=A605,""))</f>
        <v>OR9N 011.8-1.9</v>
      </c>
      <c r="E605" t="str" cm="1">
        <f t="array" ref="E605">_xlfn.TEXTJOIN(", ",TRUE,_xlfn._xlws.FILTER(ROW(PriceList!$B$4:$B$2641),PriceList!$M$4:$M$2641=A605,""))</f>
        <v>965</v>
      </c>
      <c r="F605" s="42" t="str" cm="1">
        <f t="array" ref="F605">_xlfn.TEXTJOIN(" | ",TRUE,_xlfn.UNIQUE(_xlfn._xlws.FILTER(PriceList!$Q$4:$Q$2641&amp;" x "&amp;PriceList!$R$4:$R$2641&amp;" x "&amp;PriceList!$S$4:$S$2641,PriceList!$M$4:$M$2641=A605,"")))</f>
        <v>11.8 x 15.4 x 1.8</v>
      </c>
      <c r="G605" t="str" cm="1">
        <f t="array" ref="G605">INDEX(_xlfn._xlws.FILTER(PriceList!$P$4:$P$2641,PriceList!$M$4:$M$2641=A605,""),1)</f>
        <v>O Ring - NBR 70</v>
      </c>
    </row>
    <row r="606" spans="1:7" x14ac:dyDescent="0.45">
      <c r="A606" t="s">
        <v>4364</v>
      </c>
      <c r="B606">
        <f>COUNTIF(PriceList!$M$4:$M$2641,A606)</f>
        <v>1</v>
      </c>
      <c r="C606" t="str">
        <f>IF(B606=1,"1:1","1:Many")</f>
        <v>1:1</v>
      </c>
      <c r="D606" s="42" t="str" cm="1">
        <f t="array" ref="D606">_xlfn.TEXTJOIN(" | ",TRUE,_xlfn._xlws.FILTER(PriceList!$B$4:$B$2641,PriceList!$M$4:$M$2641=A606,""))</f>
        <v>OR9N 011.8-2.4</v>
      </c>
      <c r="E606" t="str" cm="1">
        <f t="array" ref="E606">_xlfn.TEXTJOIN(", ",TRUE,_xlfn._xlws.FILTER(ROW(PriceList!$B$4:$B$2641),PriceList!$M$4:$M$2641=A606,""))</f>
        <v>966</v>
      </c>
      <c r="F606" s="42" t="str" cm="1">
        <f t="array" ref="F606">_xlfn.TEXTJOIN(" | ",TRUE,_xlfn.UNIQUE(_xlfn._xlws.FILTER(PriceList!$Q$4:$Q$2641&amp;" x "&amp;PriceList!$R$4:$R$2641&amp;" x "&amp;PriceList!$S$4:$S$2641,PriceList!$M$4:$M$2641=A606,"")))</f>
        <v>11.8 x 16.6 x 2.4</v>
      </c>
      <c r="G606" t="str" cm="1">
        <f t="array" ref="G606">INDEX(_xlfn._xlws.FILTER(PriceList!$P$4:$P$2641,PriceList!$M$4:$M$2641=A606,""),1)</f>
        <v>O Ring - NBR 70</v>
      </c>
    </row>
    <row r="607" spans="1:7" x14ac:dyDescent="0.45">
      <c r="A607" t="s">
        <v>4370</v>
      </c>
      <c r="B607">
        <f>COUNTIF(PriceList!$M$4:$M$2641,A607)</f>
        <v>1</v>
      </c>
      <c r="C607" t="str">
        <f>IF(B607=1,"1:1","1:Many")</f>
        <v>1:1</v>
      </c>
      <c r="D607" s="42" t="str" cm="1">
        <f t="array" ref="D607">_xlfn.TEXTJOIN(" | ",TRUE,_xlfn._xlws.FILTER(PriceList!$B$4:$B$2641,PriceList!$M$4:$M$2641=A607,""))</f>
        <v>OR9N 012-1.5</v>
      </c>
      <c r="E607" t="str" cm="1">
        <f t="array" ref="E607">_xlfn.TEXTJOIN(", ",TRUE,_xlfn._xlws.FILTER(ROW(PriceList!$B$4:$B$2641),PriceList!$M$4:$M$2641=A607,""))</f>
        <v>975</v>
      </c>
      <c r="F607" s="42" t="str" cm="1">
        <f t="array" ref="F607">_xlfn.TEXTJOIN(" | ",TRUE,_xlfn.UNIQUE(_xlfn._xlws.FILTER(PriceList!$Q$4:$Q$2641&amp;" x "&amp;PriceList!$R$4:$R$2641&amp;" x "&amp;PriceList!$S$4:$S$2641,PriceList!$M$4:$M$2641=A607,"")))</f>
        <v>12 x 15 x 1.5</v>
      </c>
      <c r="G607" t="str" cm="1">
        <f t="array" ref="G607">INDEX(_xlfn._xlws.FILTER(PriceList!$P$4:$P$2641,PriceList!$M$4:$M$2641=A607,""),1)</f>
        <v>O Ring - NBR 70</v>
      </c>
    </row>
    <row r="608" spans="1:7" x14ac:dyDescent="0.45">
      <c r="A608" t="s">
        <v>4658</v>
      </c>
      <c r="B608">
        <f>COUNTIF(PriceList!$M$4:$M$2641,A608)</f>
        <v>1</v>
      </c>
      <c r="C608" t="str">
        <f>IF(B608=1,"1:1","1:Many")</f>
        <v>1:1</v>
      </c>
      <c r="D608" s="42" t="str" cm="1">
        <f t="array" ref="D608">_xlfn.TEXTJOIN(" | ",TRUE,_xlfn._xlws.FILTER(PriceList!$B$4:$B$2641,PriceList!$M$4:$M$2641=A608,""))</f>
        <v>ORV8 012-1.5</v>
      </c>
      <c r="E608" t="str" cm="1">
        <f t="array" ref="E608">_xlfn.TEXTJOIN(", ",TRUE,_xlfn._xlws.FILTER(ROW(PriceList!$B$4:$B$2641),PriceList!$M$4:$M$2641=A608,""))</f>
        <v>1599</v>
      </c>
      <c r="F608" s="42" t="str" cm="1">
        <f t="array" ref="F608">_xlfn.TEXTJOIN(" | ",TRUE,_xlfn.UNIQUE(_xlfn._xlws.FILTER(PriceList!$Q$4:$Q$2641&amp;" x "&amp;PriceList!$R$4:$R$2641&amp;" x "&amp;PriceList!$S$4:$S$2641,PriceList!$M$4:$M$2641=A608,"")))</f>
        <v>12 x 15 x 1.5</v>
      </c>
      <c r="G608" t="str" cm="1">
        <f t="array" ref="G608">INDEX(_xlfn._xlws.FILTER(PriceList!$P$4:$P$2641,PriceList!$M$4:$M$2641=A608,""),1)</f>
        <v>O Ring - FPM/FKM/VitonÂ®</v>
      </c>
    </row>
    <row r="609" spans="1:7" x14ac:dyDescent="0.45">
      <c r="A609" t="s">
        <v>3937</v>
      </c>
      <c r="B609">
        <f>COUNTIF(PriceList!$M$4:$M$2641,A609)</f>
        <v>2</v>
      </c>
      <c r="C609" t="str">
        <f>IF(B609=1,"1:1","1:Many")</f>
        <v>1:Many</v>
      </c>
      <c r="D609" s="42" t="str" cm="1">
        <f t="array" ref="D609">_xlfn.TEXTJOIN(" | ",TRUE,_xlfn._xlws.FILTER(PriceList!$B$4:$B$2641,PriceList!$M$4:$M$2641=A609,""))</f>
        <v>OR7N 012-2 | OR9N 012-2</v>
      </c>
      <c r="E609" t="str" cm="1">
        <f t="array" ref="E609">_xlfn.TEXTJOIN(", ",TRUE,_xlfn._xlws.FILTER(ROW(PriceList!$B$4:$B$2641),PriceList!$M$4:$M$2641=A609,""))</f>
        <v>571, 976</v>
      </c>
      <c r="F609" s="42" t="str" cm="1">
        <f t="array" ref="F609">_xlfn.TEXTJOIN(" | ",TRUE,_xlfn.UNIQUE(_xlfn._xlws.FILTER(PriceList!$Q$4:$Q$2641&amp;" x "&amp;PriceList!$R$4:$R$2641&amp;" x "&amp;PriceList!$S$4:$S$2641,PriceList!$M$4:$M$2641=A609,"")))</f>
        <v>12 x 16 x 2</v>
      </c>
      <c r="G609" t="str" cm="1">
        <f t="array" ref="G609">INDEX(_xlfn._xlws.FILTER(PriceList!$P$4:$P$2641,PriceList!$M$4:$M$2641=A609,""),1)</f>
        <v>O Ring - EPDM</v>
      </c>
    </row>
    <row r="610" spans="1:7" x14ac:dyDescent="0.45">
      <c r="A610" t="s">
        <v>4659</v>
      </c>
      <c r="B610">
        <f>COUNTIF(PriceList!$M$4:$M$2641,A610)</f>
        <v>1</v>
      </c>
      <c r="C610" t="str">
        <f>IF(B610=1,"1:1","1:Many")</f>
        <v>1:1</v>
      </c>
      <c r="D610" s="42" t="str" cm="1">
        <f t="array" ref="D610">_xlfn.TEXTJOIN(" | ",TRUE,_xlfn._xlws.FILTER(PriceList!$B$4:$B$2641,PriceList!$M$4:$M$2641=A610,""))</f>
        <v>ORV8 012-2</v>
      </c>
      <c r="E610" t="str" cm="1">
        <f t="array" ref="E610">_xlfn.TEXTJOIN(", ",TRUE,_xlfn._xlws.FILTER(ROW(PriceList!$B$4:$B$2641),PriceList!$M$4:$M$2641=A610,""))</f>
        <v>1600</v>
      </c>
      <c r="F610" s="42" t="str" cm="1">
        <f t="array" ref="F610">_xlfn.TEXTJOIN(" | ",TRUE,_xlfn.UNIQUE(_xlfn._xlws.FILTER(PriceList!$Q$4:$Q$2641&amp;" x "&amp;PriceList!$R$4:$R$2641&amp;" x "&amp;PriceList!$S$4:$S$2641,PriceList!$M$4:$M$2641=A610,"")))</f>
        <v>12 x 16 x 2</v>
      </c>
      <c r="G610" t="str" cm="1">
        <f t="array" ref="G610">INDEX(_xlfn._xlws.FILTER(PriceList!$P$4:$P$2641,PriceList!$M$4:$M$2641=A610,""),1)</f>
        <v>O Ring - FPM/FKM/VitonÂ®</v>
      </c>
    </row>
    <row r="611" spans="1:7" x14ac:dyDescent="0.45">
      <c r="A611" t="s">
        <v>4371</v>
      </c>
      <c r="B611">
        <f>COUNTIF(PriceList!$M$4:$M$2641,A611)</f>
        <v>1</v>
      </c>
      <c r="C611" t="str">
        <f>IF(B611=1,"1:1","1:Many")</f>
        <v>1:1</v>
      </c>
      <c r="D611" s="42" t="str" cm="1">
        <f t="array" ref="D611">_xlfn.TEXTJOIN(" | ",TRUE,_xlfn._xlws.FILTER(PriceList!$B$4:$B$2641,PriceList!$M$4:$M$2641=A611,""))</f>
        <v>OR9N 012-2.5</v>
      </c>
      <c r="E611" t="str" cm="1">
        <f t="array" ref="E611">_xlfn.TEXTJOIN(", ",TRUE,_xlfn._xlws.FILTER(ROW(PriceList!$B$4:$B$2641),PriceList!$M$4:$M$2641=A611,""))</f>
        <v>977</v>
      </c>
      <c r="F611" s="42" t="str" cm="1">
        <f t="array" ref="F611">_xlfn.TEXTJOIN(" | ",TRUE,_xlfn.UNIQUE(_xlfn._xlws.FILTER(PriceList!$Q$4:$Q$2641&amp;" x "&amp;PriceList!$R$4:$R$2641&amp;" x "&amp;PriceList!$S$4:$S$2641,PriceList!$M$4:$M$2641=A611,"")))</f>
        <v>12 x 17 x 2.5</v>
      </c>
      <c r="G611" t="str" cm="1">
        <f t="array" ref="G611">INDEX(_xlfn._xlws.FILTER(PriceList!$P$4:$P$2641,PriceList!$M$4:$M$2641=A611,""),1)</f>
        <v>O Ring - EPDM</v>
      </c>
    </row>
    <row r="612" spans="1:7" x14ac:dyDescent="0.45">
      <c r="A612" t="s">
        <v>4660</v>
      </c>
      <c r="B612">
        <f>COUNTIF(PriceList!$M$4:$M$2641,A612)</f>
        <v>1</v>
      </c>
      <c r="C612" t="str">
        <f>IF(B612=1,"1:1","1:Many")</f>
        <v>1:1</v>
      </c>
      <c r="D612" s="42" t="str" cm="1">
        <f t="array" ref="D612">_xlfn.TEXTJOIN(" | ",TRUE,_xlfn._xlws.FILTER(PriceList!$B$4:$B$2641,PriceList!$M$4:$M$2641=A612,""))</f>
        <v>ORV8 012-2.5</v>
      </c>
      <c r="E612" t="str" cm="1">
        <f t="array" ref="E612">_xlfn.TEXTJOIN(", ",TRUE,_xlfn._xlws.FILTER(ROW(PriceList!$B$4:$B$2641),PriceList!$M$4:$M$2641=A612,""))</f>
        <v>1601</v>
      </c>
      <c r="F612" s="42" t="str" cm="1">
        <f t="array" ref="F612">_xlfn.TEXTJOIN(" | ",TRUE,_xlfn.UNIQUE(_xlfn._xlws.FILTER(PriceList!$Q$4:$Q$2641&amp;" x "&amp;PriceList!$R$4:$R$2641&amp;" x "&amp;PriceList!$S$4:$S$2641,PriceList!$M$4:$M$2641=A612,"")))</f>
        <v>12 x 17 x 2.5</v>
      </c>
      <c r="G612" t="str" cm="1">
        <f t="array" ref="G612">INDEX(_xlfn._xlws.FILTER(PriceList!$P$4:$P$2641,PriceList!$M$4:$M$2641=A612,""),1)</f>
        <v>O Ring - FPM/FKM/VitonÂ®</v>
      </c>
    </row>
    <row r="613" spans="1:7" x14ac:dyDescent="0.45">
      <c r="A613" t="s">
        <v>3938</v>
      </c>
      <c r="B613">
        <f>COUNTIF(PriceList!$M$4:$M$2641,A613)</f>
        <v>2</v>
      </c>
      <c r="C613" t="str">
        <f>IF(B613=1,"1:1","1:Many")</f>
        <v>1:Many</v>
      </c>
      <c r="D613" s="42" t="str" cm="1">
        <f t="array" ref="D613">_xlfn.TEXTJOIN(" | ",TRUE,_xlfn._xlws.FILTER(PriceList!$B$4:$B$2641,PriceList!$M$4:$M$2641=A613,""))</f>
        <v>OR7N 012-3 | OR9N 012-3</v>
      </c>
      <c r="E613" t="str" cm="1">
        <f t="array" ref="E613">_xlfn.TEXTJOIN(", ",TRUE,_xlfn._xlws.FILTER(ROW(PriceList!$B$4:$B$2641),PriceList!$M$4:$M$2641=A613,""))</f>
        <v>572, 978</v>
      </c>
      <c r="F613" s="42" t="str" cm="1">
        <f t="array" ref="F613">_xlfn.TEXTJOIN(" | ",TRUE,_xlfn.UNIQUE(_xlfn._xlws.FILTER(PriceList!$Q$4:$Q$2641&amp;" x "&amp;PriceList!$R$4:$R$2641&amp;" x "&amp;PriceList!$S$4:$S$2641,PriceList!$M$4:$M$2641=A613,"")))</f>
        <v>12 x 18 x 3</v>
      </c>
      <c r="G613" t="str" cm="1">
        <f t="array" ref="G613">INDEX(_xlfn._xlws.FILTER(PriceList!$P$4:$P$2641,PriceList!$M$4:$M$2641=A613,""),1)</f>
        <v>O Ring - NBR 70</v>
      </c>
    </row>
    <row r="614" spans="1:7" x14ac:dyDescent="0.45">
      <c r="A614" t="s">
        <v>4369</v>
      </c>
      <c r="B614">
        <f>COUNTIF(PriceList!$M$4:$M$2641,A614)</f>
        <v>1</v>
      </c>
      <c r="C614" t="str">
        <f>IF(B614=1,"1:1","1:Many")</f>
        <v>1:1</v>
      </c>
      <c r="D614" s="42" t="str" cm="1">
        <f t="array" ref="D614">_xlfn.TEXTJOIN(" | ",TRUE,_xlfn._xlws.FILTER(PriceList!$B$4:$B$2641,PriceList!$M$4:$M$2641=A614,""))</f>
        <v>OR9N 012.3-2.4</v>
      </c>
      <c r="E614" t="str" cm="1">
        <f t="array" ref="E614">_xlfn.TEXTJOIN(", ",TRUE,_xlfn._xlws.FILTER(ROW(PriceList!$B$4:$B$2641),PriceList!$M$4:$M$2641=A614,""))</f>
        <v>973</v>
      </c>
      <c r="F614" s="42" t="str" cm="1">
        <f t="array" ref="F614">_xlfn.TEXTJOIN(" | ",TRUE,_xlfn.UNIQUE(_xlfn._xlws.FILTER(PriceList!$Q$4:$Q$2641&amp;" x "&amp;PriceList!$R$4:$R$2641&amp;" x "&amp;PriceList!$S$4:$S$2641,PriceList!$M$4:$M$2641=A614,"")))</f>
        <v>12.3 x 17.1 x 2.4</v>
      </c>
      <c r="G614" t="str" cm="1">
        <f t="array" ref="G614">INDEX(_xlfn._xlws.FILTER(PriceList!$P$4:$P$2641,PriceList!$M$4:$M$2641=A614,""),1)</f>
        <v>O Ring - NBR 70</v>
      </c>
    </row>
    <row r="615" spans="1:7" x14ac:dyDescent="0.45">
      <c r="A615" t="s">
        <v>3935</v>
      </c>
      <c r="B615">
        <f>COUNTIF(PriceList!$M$4:$M$2641,A615)</f>
        <v>2</v>
      </c>
      <c r="C615" t="str">
        <f>IF(B615=1,"1:1","1:Many")</f>
        <v>1:Many</v>
      </c>
      <c r="D615" s="42" t="str" cm="1">
        <f t="array" ref="D615">_xlfn.TEXTJOIN(" | ",TRUE,_xlfn._xlws.FILTER(PriceList!$B$4:$B$2641,PriceList!$M$4:$M$2641=A615,""))</f>
        <v>OR7N 012.42-1.78 | OR9N 012.42-1.78</v>
      </c>
      <c r="E615" t="str" cm="1">
        <f t="array" ref="E615">_xlfn.TEXTJOIN(", ",TRUE,_xlfn._xlws.FILTER(ROW(PriceList!$B$4:$B$2641),PriceList!$M$4:$M$2641=A615,""))</f>
        <v>570, 974</v>
      </c>
      <c r="F615" s="42" t="str" cm="1">
        <f t="array" ref="F615">_xlfn.TEXTJOIN(" | ",TRUE,_xlfn.UNIQUE(_xlfn._xlws.FILTER(PriceList!$Q$4:$Q$2641&amp;" x "&amp;PriceList!$R$4:$R$2641&amp;" x "&amp;PriceList!$S$4:$S$2641,PriceList!$M$4:$M$2641=A615,"")))</f>
        <v>12.5 x 16.1 x 1.8</v>
      </c>
      <c r="G615" t="str" cm="1">
        <f t="array" ref="G615">INDEX(_xlfn._xlws.FILTER(PriceList!$P$4:$P$2641,PriceList!$M$4:$M$2641=A615,""),1)</f>
        <v>O Ring - NBR 70</v>
      </c>
    </row>
    <row r="616" spans="1:7" x14ac:dyDescent="0.45">
      <c r="A616" t="s">
        <v>4656</v>
      </c>
      <c r="B616">
        <f>COUNTIF(PriceList!$M$4:$M$2641,A616)</f>
        <v>1</v>
      </c>
      <c r="C616" t="str">
        <f>IF(B616=1,"1:1","1:Many")</f>
        <v>1:1</v>
      </c>
      <c r="D616" s="42" t="str" cm="1">
        <f t="array" ref="D616">_xlfn.TEXTJOIN(" | ",TRUE,_xlfn._xlws.FILTER(PriceList!$B$4:$B$2641,PriceList!$M$4:$M$2641=A616,""))</f>
        <v>ORV8 012.4-1.9</v>
      </c>
      <c r="E616" t="str" cm="1">
        <f t="array" ref="E616">_xlfn.TEXTJOIN(", ",TRUE,_xlfn._xlws.FILTER(ROW(PriceList!$B$4:$B$2641),PriceList!$M$4:$M$2641=A616,""))</f>
        <v>1598</v>
      </c>
      <c r="F616" s="42" t="str" cm="1">
        <f t="array" ref="F616">_xlfn.TEXTJOIN(" | ",TRUE,_xlfn.UNIQUE(_xlfn._xlws.FILTER(PriceList!$Q$4:$Q$2641&amp;" x "&amp;PriceList!$R$4:$R$2641&amp;" x "&amp;PriceList!$S$4:$S$2641,PriceList!$M$4:$M$2641=A616,"")))</f>
        <v>12.5 x 16.5 x 2</v>
      </c>
      <c r="G616" t="str" cm="1">
        <f t="array" ref="G616">INDEX(_xlfn._xlws.FILTER(PriceList!$P$4:$P$2641,PriceList!$M$4:$M$2641=A616,""),1)</f>
        <v>O Ring - FPM/FKM/VitonÂ®</v>
      </c>
    </row>
    <row r="617" spans="1:7" x14ac:dyDescent="0.45">
      <c r="A617" t="s">
        <v>3933</v>
      </c>
      <c r="B617">
        <f>COUNTIF(PriceList!$M$4:$M$2641,A617)</f>
        <v>2</v>
      </c>
      <c r="C617" t="str">
        <f>IF(B617=1,"1:1","1:Many")</f>
        <v>1:Many</v>
      </c>
      <c r="D617" s="42" t="str" cm="1">
        <f t="array" ref="D617">_xlfn.TEXTJOIN(" | ",TRUE,_xlfn._xlws.FILTER(PriceList!$B$4:$B$2641,PriceList!$M$4:$M$2641=A617,""))</f>
        <v>OR7N 012.37-2.62 | OR9N 012.37-2.62</v>
      </c>
      <c r="E617" t="str" cm="1">
        <f t="array" ref="E617">_xlfn.TEXTJOIN(", ",TRUE,_xlfn._xlws.FILTER(ROW(PriceList!$B$4:$B$2641),PriceList!$M$4:$M$2641=A617,""))</f>
        <v>569, 972</v>
      </c>
      <c r="F617" s="42" t="str" cm="1">
        <f t="array" ref="F617">_xlfn.TEXTJOIN(" | ",TRUE,_xlfn.UNIQUE(_xlfn._xlws.FILTER(PriceList!$Q$4:$Q$2641&amp;" x "&amp;PriceList!$R$4:$R$2641&amp;" x "&amp;PriceList!$S$4:$S$2641,PriceList!$M$4:$M$2641=A617,"")))</f>
        <v>12.5 x 17.5 x 2.5</v>
      </c>
      <c r="G617" t="str" cm="1">
        <f t="array" ref="G617">INDEX(_xlfn._xlws.FILTER(PriceList!$P$4:$P$2641,PriceList!$M$4:$M$2641=A617,""),1)</f>
        <v>O Ring - NBR 70</v>
      </c>
    </row>
    <row r="618" spans="1:7" x14ac:dyDescent="0.45">
      <c r="A618" t="s">
        <v>4374</v>
      </c>
      <c r="B618">
        <f>COUNTIF(PriceList!$M$4:$M$2641,A618)</f>
        <v>1</v>
      </c>
      <c r="C618" t="str">
        <f>IF(B618=1,"1:1","1:Many")</f>
        <v>1:1</v>
      </c>
      <c r="D618" s="42" t="str" cm="1">
        <f t="array" ref="D618">_xlfn.TEXTJOIN(" | ",TRUE,_xlfn._xlws.FILTER(PriceList!$B$4:$B$2641,PriceList!$M$4:$M$2641=A618,""))</f>
        <v>OR9N 013-2</v>
      </c>
      <c r="E618" t="str" cm="1">
        <f t="array" ref="E618">_xlfn.TEXTJOIN(", ",TRUE,_xlfn._xlws.FILTER(ROW(PriceList!$B$4:$B$2641),PriceList!$M$4:$M$2641=A618,""))</f>
        <v>982</v>
      </c>
      <c r="F618" s="42" t="str" cm="1">
        <f t="array" ref="F618">_xlfn.TEXTJOIN(" | ",TRUE,_xlfn.UNIQUE(_xlfn._xlws.FILTER(PriceList!$Q$4:$Q$2641&amp;" x "&amp;PriceList!$R$4:$R$2641&amp;" x "&amp;PriceList!$S$4:$S$2641,PriceList!$M$4:$M$2641=A618,"")))</f>
        <v>13 x 17 x 2</v>
      </c>
      <c r="G618" t="str" cm="1">
        <f t="array" ref="G618">INDEX(_xlfn._xlws.FILTER(PriceList!$P$4:$P$2641,PriceList!$M$4:$M$2641=A618,""),1)</f>
        <v>O Ring - EPDM</v>
      </c>
    </row>
    <row r="619" spans="1:7" x14ac:dyDescent="0.45">
      <c r="A619" t="s">
        <v>4664</v>
      </c>
      <c r="B619">
        <f>COUNTIF(PriceList!$M$4:$M$2641,A619)</f>
        <v>1</v>
      </c>
      <c r="C619" t="str">
        <f>IF(B619=1,"1:1","1:Many")</f>
        <v>1:1</v>
      </c>
      <c r="D619" s="42" t="str" cm="1">
        <f t="array" ref="D619">_xlfn.TEXTJOIN(" | ",TRUE,_xlfn._xlws.FILTER(PriceList!$B$4:$B$2641,PriceList!$M$4:$M$2641=A619,""))</f>
        <v>ORV8 013-2</v>
      </c>
      <c r="E619" t="str" cm="1">
        <f t="array" ref="E619">_xlfn.TEXTJOIN(", ",TRUE,_xlfn._xlws.FILTER(ROW(PriceList!$B$4:$B$2641),PriceList!$M$4:$M$2641=A619,""))</f>
        <v>1605</v>
      </c>
      <c r="F619" s="42" t="str" cm="1">
        <f t="array" ref="F619">_xlfn.TEXTJOIN(" | ",TRUE,_xlfn.UNIQUE(_xlfn._xlws.FILTER(PriceList!$Q$4:$Q$2641&amp;" x "&amp;PriceList!$R$4:$R$2641&amp;" x "&amp;PriceList!$S$4:$S$2641,PriceList!$M$4:$M$2641=A619,"")))</f>
        <v>13 x 17 x 2</v>
      </c>
      <c r="G619" t="str" cm="1">
        <f t="array" ref="G619">INDEX(_xlfn._xlws.FILTER(PriceList!$P$4:$P$2641,PriceList!$M$4:$M$2641=A619,""),1)</f>
        <v>O Ring - FPM/FKM/VitonÂ®</v>
      </c>
    </row>
    <row r="620" spans="1:7" x14ac:dyDescent="0.45">
      <c r="A620" t="s">
        <v>4375</v>
      </c>
      <c r="B620">
        <f>COUNTIF(PriceList!$M$4:$M$2641,A620)</f>
        <v>1</v>
      </c>
      <c r="C620" t="str">
        <f>IF(B620=1,"1:1","1:Many")</f>
        <v>1:1</v>
      </c>
      <c r="D620" s="42" t="str" cm="1">
        <f t="array" ref="D620">_xlfn.TEXTJOIN(" | ",TRUE,_xlfn._xlws.FILTER(PriceList!$B$4:$B$2641,PriceList!$M$4:$M$2641=A620,""))</f>
        <v>OR9N 013-2.5</v>
      </c>
      <c r="E620" t="str" cm="1">
        <f t="array" ref="E620">_xlfn.TEXTJOIN(", ",TRUE,_xlfn._xlws.FILTER(ROW(PriceList!$B$4:$B$2641),PriceList!$M$4:$M$2641=A620,""))</f>
        <v>983</v>
      </c>
      <c r="F620" s="42" t="str" cm="1">
        <f t="array" ref="F620">_xlfn.TEXTJOIN(" | ",TRUE,_xlfn.UNIQUE(_xlfn._xlws.FILTER(PriceList!$Q$4:$Q$2641&amp;" x "&amp;PriceList!$R$4:$R$2641&amp;" x "&amp;PriceList!$S$4:$S$2641,PriceList!$M$4:$M$2641=A620,"")))</f>
        <v>13 x 18 x 2.5</v>
      </c>
      <c r="G620" t="str" cm="1">
        <f t="array" ref="G620">INDEX(_xlfn._xlws.FILTER(PriceList!$P$4:$P$2641,PriceList!$M$4:$M$2641=A620,""),1)</f>
        <v>O Ring - EPDM</v>
      </c>
    </row>
    <row r="621" spans="1:7" x14ac:dyDescent="0.45">
      <c r="A621" t="s">
        <v>4665</v>
      </c>
      <c r="B621">
        <f>COUNTIF(PriceList!$M$4:$M$2641,A621)</f>
        <v>1</v>
      </c>
      <c r="C621" t="str">
        <f>IF(B621=1,"1:1","1:Many")</f>
        <v>1:1</v>
      </c>
      <c r="D621" s="42" t="str" cm="1">
        <f t="array" ref="D621">_xlfn.TEXTJOIN(" | ",TRUE,_xlfn._xlws.FILTER(PriceList!$B$4:$B$2641,PriceList!$M$4:$M$2641=A621,""))</f>
        <v>ORV8 013-2.5</v>
      </c>
      <c r="E621" t="str" cm="1">
        <f t="array" ref="E621">_xlfn.TEXTJOIN(", ",TRUE,_xlfn._xlws.FILTER(ROW(PriceList!$B$4:$B$2641),PriceList!$M$4:$M$2641=A621,""))</f>
        <v>1606</v>
      </c>
      <c r="F621" s="42" t="str" cm="1">
        <f t="array" ref="F621">_xlfn.TEXTJOIN(" | ",TRUE,_xlfn.UNIQUE(_xlfn._xlws.FILTER(PriceList!$Q$4:$Q$2641&amp;" x "&amp;PriceList!$R$4:$R$2641&amp;" x "&amp;PriceList!$S$4:$S$2641,PriceList!$M$4:$M$2641=A621,"")))</f>
        <v>13 x 18 x 2.5</v>
      </c>
      <c r="G621" t="str" cm="1">
        <f t="array" ref="G621">INDEX(_xlfn._xlws.FILTER(PriceList!$P$4:$P$2641,PriceList!$M$4:$M$2641=A621,""),1)</f>
        <v>O Ring - FPM/FKM/VitonÂ®</v>
      </c>
    </row>
    <row r="622" spans="1:7" x14ac:dyDescent="0.45">
      <c r="A622" t="s">
        <v>4661</v>
      </c>
      <c r="B622">
        <f>COUNTIF(PriceList!$M$4:$M$2641,A622)</f>
        <v>1</v>
      </c>
      <c r="C622" t="str">
        <f>IF(B622=1,"1:1","1:Many")</f>
        <v>1:1</v>
      </c>
      <c r="D622" s="42" t="str" cm="1">
        <f t="array" ref="D622">_xlfn.TEXTJOIN(" | ",TRUE,_xlfn._xlws.FILTER(PriceList!$B$4:$B$2641,PriceList!$M$4:$M$2641=A622,""))</f>
        <v>ORV8 013.2-1.78</v>
      </c>
      <c r="E622" t="str" cm="1">
        <f t="array" ref="E622">_xlfn.TEXTJOIN(", ",TRUE,_xlfn._xlws.FILTER(ROW(PriceList!$B$4:$B$2641),PriceList!$M$4:$M$2641=A622,""))</f>
        <v>1602</v>
      </c>
      <c r="F622" s="42" t="str" cm="1">
        <f t="array" ref="F622">_xlfn.TEXTJOIN(" | ",TRUE,_xlfn.UNIQUE(_xlfn._xlws.FILTER(PriceList!$Q$4:$Q$2641&amp;" x "&amp;PriceList!$R$4:$R$2641&amp;" x "&amp;PriceList!$S$4:$S$2641,PriceList!$M$4:$M$2641=A622,"")))</f>
        <v>13.2 x 16.8 x 1.8</v>
      </c>
      <c r="G622" t="str" cm="1">
        <f t="array" ref="G622">INDEX(_xlfn._xlws.FILTER(PriceList!$P$4:$P$2641,PriceList!$M$4:$M$2641=A622,""),1)</f>
        <v>O Ring - FPM/FKM/VitonÂ®</v>
      </c>
    </row>
    <row r="623" spans="1:7" x14ac:dyDescent="0.45">
      <c r="A623" t="s">
        <v>3939</v>
      </c>
      <c r="B623">
        <f>COUNTIF(PriceList!$M$4:$M$2641,A623)</f>
        <v>2</v>
      </c>
      <c r="C623" t="str">
        <f>IF(B623=1,"1:1","1:Many")</f>
        <v>1:Many</v>
      </c>
      <c r="D623" s="42" t="str" cm="1">
        <f t="array" ref="D623">_xlfn.TEXTJOIN(" | ",TRUE,_xlfn._xlws.FILTER(PriceList!$B$4:$B$2641,PriceList!$M$4:$M$2641=A623,""))</f>
        <v>OR7N 013.8-2.4 | OR9N 013.8-2.4</v>
      </c>
      <c r="E623" t="str" cm="1">
        <f t="array" ref="E623">_xlfn.TEXTJOIN(", ",TRUE,_xlfn._xlws.FILTER(ROW(PriceList!$B$4:$B$2641),PriceList!$M$4:$M$2641=A623,""))</f>
        <v>573, 979</v>
      </c>
      <c r="F623" s="42" t="str" cm="1">
        <f t="array" ref="F623">_xlfn.TEXTJOIN(" | ",TRUE,_xlfn.UNIQUE(_xlfn._xlws.FILTER(PriceList!$Q$4:$Q$2641&amp;" x "&amp;PriceList!$R$4:$R$2641&amp;" x "&amp;PriceList!$S$4:$S$2641,PriceList!$M$4:$M$2641=A623,"")))</f>
        <v>13.8 x 18.6 x 2.4</v>
      </c>
      <c r="G623" t="str" cm="1">
        <f t="array" ref="G623">INDEX(_xlfn._xlws.FILTER(PriceList!$P$4:$P$2641,PriceList!$M$4:$M$2641=A623,""),1)</f>
        <v>O Ring - NBR 70</v>
      </c>
    </row>
    <row r="624" spans="1:7" x14ac:dyDescent="0.45">
      <c r="A624" t="s">
        <v>3942</v>
      </c>
      <c r="B624">
        <f>COUNTIF(PriceList!$M$4:$M$2641,A624)</f>
        <v>2</v>
      </c>
      <c r="C624" t="str">
        <f>IF(B624=1,"1:1","1:Many")</f>
        <v>1:Many</v>
      </c>
      <c r="D624" s="42" t="str" cm="1">
        <f t="array" ref="D624">_xlfn.TEXTJOIN(" | ",TRUE,_xlfn._xlws.FILTER(PriceList!$B$4:$B$2641,PriceList!$M$4:$M$2641=A624,""))</f>
        <v>OR7N 014-1.5 | OR9N 014-1.5</v>
      </c>
      <c r="E624" t="str" cm="1">
        <f t="array" ref="E624">_xlfn.TEXTJOIN(", ",TRUE,_xlfn._xlws.FILTER(ROW(PriceList!$B$4:$B$2641),PriceList!$M$4:$M$2641=A624,""))</f>
        <v>575, 986</v>
      </c>
      <c r="F624" s="42" t="str" cm="1">
        <f t="array" ref="F624">_xlfn.TEXTJOIN(" | ",TRUE,_xlfn.UNIQUE(_xlfn._xlws.FILTER(PriceList!$Q$4:$Q$2641&amp;" x "&amp;PriceList!$R$4:$R$2641&amp;" x "&amp;PriceList!$S$4:$S$2641,PriceList!$M$4:$M$2641=A624,"")))</f>
        <v>14 x 17 x 1.5</v>
      </c>
      <c r="G624" t="str" cm="1">
        <f t="array" ref="G624">INDEX(_xlfn._xlws.FILTER(PriceList!$P$4:$P$2641,PriceList!$M$4:$M$2641=A624,""),1)</f>
        <v>O Ring - NBR 70</v>
      </c>
    </row>
    <row r="625" spans="1:7" x14ac:dyDescent="0.45">
      <c r="A625" t="s">
        <v>4668</v>
      </c>
      <c r="B625">
        <f>COUNTIF(PriceList!$M$4:$M$2641,A625)</f>
        <v>1</v>
      </c>
      <c r="C625" t="str">
        <f>IF(B625=1,"1:1","1:Many")</f>
        <v>1:1</v>
      </c>
      <c r="D625" s="42" t="str" cm="1">
        <f t="array" ref="D625">_xlfn.TEXTJOIN(" | ",TRUE,_xlfn._xlws.FILTER(PriceList!$B$4:$B$2641,PriceList!$M$4:$M$2641=A625,""))</f>
        <v>ORV8 014-1.5</v>
      </c>
      <c r="E625" t="str" cm="1">
        <f t="array" ref="E625">_xlfn.TEXTJOIN(", ",TRUE,_xlfn._xlws.FILTER(ROW(PriceList!$B$4:$B$2641),PriceList!$M$4:$M$2641=A625,""))</f>
        <v>1609</v>
      </c>
      <c r="F625" s="42" t="str" cm="1">
        <f t="array" ref="F625">_xlfn.TEXTJOIN(" | ",TRUE,_xlfn.UNIQUE(_xlfn._xlws.FILTER(PriceList!$Q$4:$Q$2641&amp;" x "&amp;PriceList!$R$4:$R$2641&amp;" x "&amp;PriceList!$S$4:$S$2641,PriceList!$M$4:$M$2641=A625,"")))</f>
        <v>14 x 17 x 1.5</v>
      </c>
      <c r="G625" t="str" cm="1">
        <f t="array" ref="G625">INDEX(_xlfn._xlws.FILTER(PriceList!$P$4:$P$2641,PriceList!$M$4:$M$2641=A625,""),1)</f>
        <v>O Ring - FPM/FKM/VitonÂ®</v>
      </c>
    </row>
    <row r="626" spans="1:7" x14ac:dyDescent="0.45">
      <c r="A626" t="s">
        <v>4379</v>
      </c>
      <c r="B626">
        <f>COUNTIF(PriceList!$M$4:$M$2641,A626)</f>
        <v>1</v>
      </c>
      <c r="C626" t="str">
        <f>IF(B626=1,"1:1","1:Many")</f>
        <v>1:1</v>
      </c>
      <c r="D626" s="42" t="str" cm="1">
        <f t="array" ref="D626">_xlfn.TEXTJOIN(" | ",TRUE,_xlfn._xlws.FILTER(PriceList!$B$4:$B$2641,PriceList!$M$4:$M$2641=A626,""))</f>
        <v>OR9N 014-1.78</v>
      </c>
      <c r="E626" t="str" cm="1">
        <f t="array" ref="E626">_xlfn.TEXTJOIN(", ",TRUE,_xlfn._xlws.FILTER(ROW(PriceList!$B$4:$B$2641),PriceList!$M$4:$M$2641=A626,""))</f>
        <v>987</v>
      </c>
      <c r="F626" s="42" t="str" cm="1">
        <f t="array" ref="F626">_xlfn.TEXTJOIN(" | ",TRUE,_xlfn.UNIQUE(_xlfn._xlws.FILTER(PriceList!$Q$4:$Q$2641&amp;" x "&amp;PriceList!$R$4:$R$2641&amp;" x "&amp;PriceList!$S$4:$S$2641,PriceList!$M$4:$M$2641=A626,"")))</f>
        <v>14 x 17.6 x 1.8</v>
      </c>
      <c r="G626" t="str" cm="1">
        <f t="array" ref="G626">INDEX(_xlfn._xlws.FILTER(PriceList!$P$4:$P$2641,PriceList!$M$4:$M$2641=A626,""),1)</f>
        <v>O Ring - NBR 70</v>
      </c>
    </row>
    <row r="627" spans="1:7" x14ac:dyDescent="0.45">
      <c r="A627" t="s">
        <v>4669</v>
      </c>
      <c r="B627">
        <f>COUNTIF(PriceList!$M$4:$M$2641,A627)</f>
        <v>1</v>
      </c>
      <c r="C627" t="str">
        <f>IF(B627=1,"1:1","1:Many")</f>
        <v>1:1</v>
      </c>
      <c r="D627" s="42" t="str" cm="1">
        <f t="array" ref="D627">_xlfn.TEXTJOIN(" | ",TRUE,_xlfn._xlws.FILTER(PriceList!$B$4:$B$2641,PriceList!$M$4:$M$2641=A627,""))</f>
        <v>ORV8 014-1.78</v>
      </c>
      <c r="E627" t="str" cm="1">
        <f t="array" ref="E627">_xlfn.TEXTJOIN(", ",TRUE,_xlfn._xlws.FILTER(ROW(PriceList!$B$4:$B$2641),PriceList!$M$4:$M$2641=A627,""))</f>
        <v>1610</v>
      </c>
      <c r="F627" s="42" t="str" cm="1">
        <f t="array" ref="F627">_xlfn.TEXTJOIN(" | ",TRUE,_xlfn.UNIQUE(_xlfn._xlws.FILTER(PriceList!$Q$4:$Q$2641&amp;" x "&amp;PriceList!$R$4:$R$2641&amp;" x "&amp;PriceList!$S$4:$S$2641,PriceList!$M$4:$M$2641=A627,"")))</f>
        <v>14 x 17.6 x 1.8</v>
      </c>
      <c r="G627" t="str" cm="1">
        <f t="array" ref="G627">INDEX(_xlfn._xlws.FILTER(PriceList!$P$4:$P$2641,PriceList!$M$4:$M$2641=A627,""),1)</f>
        <v>O Ring - FPM/FKM/VitonÂ®</v>
      </c>
    </row>
    <row r="628" spans="1:7" x14ac:dyDescent="0.45">
      <c r="A628" t="s">
        <v>3943</v>
      </c>
      <c r="B628">
        <f>COUNTIF(PriceList!$M$4:$M$2641,A628)</f>
        <v>2</v>
      </c>
      <c r="C628" t="str">
        <f>IF(B628=1,"1:1","1:Many")</f>
        <v>1:Many</v>
      </c>
      <c r="D628" s="42" t="str" cm="1">
        <f t="array" ref="D628">_xlfn.TEXTJOIN(" | ",TRUE,_xlfn._xlws.FILTER(PriceList!$B$4:$B$2641,PriceList!$M$4:$M$2641=A628,""))</f>
        <v>OR7N 014-2 | OR9N 014-2</v>
      </c>
      <c r="E628" t="str" cm="1">
        <f t="array" ref="E628">_xlfn.TEXTJOIN(", ",TRUE,_xlfn._xlws.FILTER(ROW(PriceList!$B$4:$B$2641),PriceList!$M$4:$M$2641=A628,""))</f>
        <v>576, 988</v>
      </c>
      <c r="F628" s="42" t="str" cm="1">
        <f t="array" ref="F628">_xlfn.TEXTJOIN(" | ",TRUE,_xlfn.UNIQUE(_xlfn._xlws.FILTER(PriceList!$Q$4:$Q$2641&amp;" x "&amp;PriceList!$R$4:$R$2641&amp;" x "&amp;PriceList!$S$4:$S$2641,PriceList!$M$4:$M$2641=A628,"")))</f>
        <v>14 x 18 x 2</v>
      </c>
      <c r="G628" t="str" cm="1">
        <f t="array" ref="G628">INDEX(_xlfn._xlws.FILTER(PriceList!$P$4:$P$2641,PriceList!$M$4:$M$2641=A628,""),1)</f>
        <v>O Ring - EPDM</v>
      </c>
    </row>
    <row r="629" spans="1:7" x14ac:dyDescent="0.45">
      <c r="A629" t="s">
        <v>4670</v>
      </c>
      <c r="B629">
        <f>COUNTIF(PriceList!$M$4:$M$2641,A629)</f>
        <v>1</v>
      </c>
      <c r="C629" t="str">
        <f>IF(B629=1,"1:1","1:Many")</f>
        <v>1:1</v>
      </c>
      <c r="D629" s="42" t="str" cm="1">
        <f t="array" ref="D629">_xlfn.TEXTJOIN(" | ",TRUE,_xlfn._xlws.FILTER(PriceList!$B$4:$B$2641,PriceList!$M$4:$M$2641=A629,""))</f>
        <v>ORV8 014-2</v>
      </c>
      <c r="E629" t="str" cm="1">
        <f t="array" ref="E629">_xlfn.TEXTJOIN(", ",TRUE,_xlfn._xlws.FILTER(ROW(PriceList!$B$4:$B$2641),PriceList!$M$4:$M$2641=A629,""))</f>
        <v>1611</v>
      </c>
      <c r="F629" s="42" t="str" cm="1">
        <f t="array" ref="F629">_xlfn.TEXTJOIN(" | ",TRUE,_xlfn.UNIQUE(_xlfn._xlws.FILTER(PriceList!$Q$4:$Q$2641&amp;" x "&amp;PriceList!$R$4:$R$2641&amp;" x "&amp;PriceList!$S$4:$S$2641,PriceList!$M$4:$M$2641=A629,"")))</f>
        <v>14 x 18 x 2</v>
      </c>
      <c r="G629" t="str" cm="1">
        <f t="array" ref="G629">INDEX(_xlfn._xlws.FILTER(PriceList!$P$4:$P$2641,PriceList!$M$4:$M$2641=A629,""),1)</f>
        <v>O Ring - FPM/FKM/VitonÂ®</v>
      </c>
    </row>
    <row r="630" spans="1:7" ht="28.5" x14ac:dyDescent="0.45">
      <c r="A630" t="s">
        <v>3940</v>
      </c>
      <c r="B630">
        <f>COUNTIF(PriceList!$M$4:$M$2641,A630)</f>
        <v>4</v>
      </c>
      <c r="C630" t="str">
        <f>IF(B630=1,"1:1","1:Many")</f>
        <v>1:Many</v>
      </c>
      <c r="D630" s="42" t="str" cm="1">
        <f t="array" ref="D630">_xlfn.TEXTJOIN(" | ",TRUE,_xlfn._xlws.FILTER(PriceList!$B$4:$B$2641,PriceList!$M$4:$M$2641=A630,""))</f>
        <v>OR7N 013.94-2.62 | OR7N 014-2.5 | OR9N 013.94-2.62 | OR9N 014-2.5</v>
      </c>
      <c r="E630" t="str" cm="1">
        <f t="array" ref="E630">_xlfn.TEXTJOIN(", ",TRUE,_xlfn._xlws.FILTER(ROW(PriceList!$B$4:$B$2641),PriceList!$M$4:$M$2641=A630,""))</f>
        <v>574, 577, 980, 989</v>
      </c>
      <c r="F630" s="42" t="str" cm="1">
        <f t="array" ref="F630">_xlfn.TEXTJOIN(" | ",TRUE,_xlfn.UNIQUE(_xlfn._xlws.FILTER(PriceList!$Q$4:$Q$2641&amp;" x "&amp;PriceList!$R$4:$R$2641&amp;" x "&amp;PriceList!$S$4:$S$2641,PriceList!$M$4:$M$2641=A630,"")))</f>
        <v>14 x 19 x 2.5</v>
      </c>
      <c r="G630" t="str" cm="1">
        <f t="array" ref="G630">INDEX(_xlfn._xlws.FILTER(PriceList!$P$4:$P$2641,PriceList!$M$4:$M$2641=A630,""),1)</f>
        <v>O Ring - NBR 70</v>
      </c>
    </row>
    <row r="631" spans="1:7" x14ac:dyDescent="0.45">
      <c r="A631" t="s">
        <v>4663</v>
      </c>
      <c r="B631">
        <f>COUNTIF(PriceList!$M$4:$M$2641,A631)</f>
        <v>2</v>
      </c>
      <c r="C631" t="str">
        <f>IF(B631=1,"1:1","1:Many")</f>
        <v>1:Many</v>
      </c>
      <c r="D631" s="42" t="str" cm="1">
        <f t="array" ref="D631">_xlfn.TEXTJOIN(" | ",TRUE,_xlfn._xlws.FILTER(PriceList!$B$4:$B$2641,PriceList!$M$4:$M$2641=A631,""))</f>
        <v>ORV8 013.94-2.62 | ORV8 014-2.5</v>
      </c>
      <c r="E631" t="str" cm="1">
        <f t="array" ref="E631">_xlfn.TEXTJOIN(", ",TRUE,_xlfn._xlws.FILTER(ROW(PriceList!$B$4:$B$2641),PriceList!$M$4:$M$2641=A631,""))</f>
        <v>1604, 1612</v>
      </c>
      <c r="F631" s="42" t="str" cm="1">
        <f t="array" ref="F631">_xlfn.TEXTJOIN(" | ",TRUE,_xlfn.UNIQUE(_xlfn._xlws.FILTER(PriceList!$Q$4:$Q$2641&amp;" x "&amp;PriceList!$R$4:$R$2641&amp;" x "&amp;PriceList!$S$4:$S$2641,PriceList!$M$4:$M$2641=A631,"")))</f>
        <v>14 x 19 x 2.5</v>
      </c>
      <c r="G631" t="str" cm="1">
        <f t="array" ref="G631">INDEX(_xlfn._xlws.FILTER(PriceList!$P$4:$P$2641,PriceList!$M$4:$M$2641=A631,""),1)</f>
        <v>O Ring - FPM/FKM/VitonÂ®</v>
      </c>
    </row>
    <row r="632" spans="1:7" x14ac:dyDescent="0.45">
      <c r="A632" t="s">
        <v>4381</v>
      </c>
      <c r="B632">
        <f>COUNTIF(PriceList!$M$4:$M$2641,A632)</f>
        <v>1</v>
      </c>
      <c r="C632" t="str">
        <f>IF(B632=1,"1:1","1:Many")</f>
        <v>1:1</v>
      </c>
      <c r="D632" s="42" t="str" cm="1">
        <f t="array" ref="D632">_xlfn.TEXTJOIN(" | ",TRUE,_xlfn._xlws.FILTER(PriceList!$B$4:$B$2641,PriceList!$M$4:$M$2641=A632,""))</f>
        <v>OR9N 014-3</v>
      </c>
      <c r="E632" t="str" cm="1">
        <f t="array" ref="E632">_xlfn.TEXTJOIN(", ",TRUE,_xlfn._xlws.FILTER(ROW(PriceList!$B$4:$B$2641),PriceList!$M$4:$M$2641=A632,""))</f>
        <v>990</v>
      </c>
      <c r="F632" s="42" t="str" cm="1">
        <f t="array" ref="F632">_xlfn.TEXTJOIN(" | ",TRUE,_xlfn.UNIQUE(_xlfn._xlws.FILTER(PriceList!$Q$4:$Q$2641&amp;" x "&amp;PriceList!$R$4:$R$2641&amp;" x "&amp;PriceList!$S$4:$S$2641,PriceList!$M$4:$M$2641=A632,"")))</f>
        <v>14 x 20 x 3</v>
      </c>
      <c r="G632" t="str" cm="1">
        <f t="array" ref="G632">INDEX(_xlfn._xlws.FILTER(PriceList!$P$4:$P$2641,PriceList!$M$4:$M$2641=A632,""),1)</f>
        <v>O Ring - NBR 70</v>
      </c>
    </row>
    <row r="633" spans="1:7" x14ac:dyDescent="0.45">
      <c r="A633" t="s">
        <v>4671</v>
      </c>
      <c r="B633">
        <f>COUNTIF(PriceList!$M$4:$M$2641,A633)</f>
        <v>1</v>
      </c>
      <c r="C633" t="str">
        <f>IF(B633=1,"1:1","1:Many")</f>
        <v>1:1</v>
      </c>
      <c r="D633" s="42" t="str" cm="1">
        <f t="array" ref="D633">_xlfn.TEXTJOIN(" | ",TRUE,_xlfn._xlws.FILTER(PriceList!$B$4:$B$2641,PriceList!$M$4:$M$2641=A633,""))</f>
        <v>ORV8 014-3</v>
      </c>
      <c r="E633" t="str" cm="1">
        <f t="array" ref="E633">_xlfn.TEXTJOIN(", ",TRUE,_xlfn._xlws.FILTER(ROW(PriceList!$B$4:$B$2641),PriceList!$M$4:$M$2641=A633,""))</f>
        <v>1613</v>
      </c>
      <c r="F633" s="42" t="str" cm="1">
        <f t="array" ref="F633">_xlfn.TEXTJOIN(" | ",TRUE,_xlfn.UNIQUE(_xlfn._xlws.FILTER(PriceList!$Q$4:$Q$2641&amp;" x "&amp;PriceList!$R$4:$R$2641&amp;" x "&amp;PriceList!$S$4:$S$2641,PriceList!$M$4:$M$2641=A633,"")))</f>
        <v>14 x 20 x 3</v>
      </c>
      <c r="G633" t="str" cm="1">
        <f t="array" ref="G633">INDEX(_xlfn._xlws.FILTER(PriceList!$P$4:$P$2641,PriceList!$M$4:$M$2641=A633,""),1)</f>
        <v>O Ring - FPM/FKM/VitonÂ®</v>
      </c>
    </row>
    <row r="634" spans="1:7" x14ac:dyDescent="0.45">
      <c r="A634" t="s">
        <v>4372</v>
      </c>
      <c r="B634">
        <f>COUNTIF(PriceList!$M$4:$M$2641,A634)</f>
        <v>1</v>
      </c>
      <c r="C634" t="str">
        <f>IF(B634=1,"1:1","1:Many")</f>
        <v>1:1</v>
      </c>
      <c r="D634" s="42" t="str" cm="1">
        <f t="array" ref="D634">_xlfn.TEXTJOIN(" | ",TRUE,_xlfn._xlws.FILTER(PriceList!$B$4:$B$2641,PriceList!$M$4:$M$2641=A634,""))</f>
        <v>OR9N 013.94-3.53</v>
      </c>
      <c r="E634" t="str" cm="1">
        <f t="array" ref="E634">_xlfn.TEXTJOIN(", ",TRUE,_xlfn._xlws.FILTER(ROW(PriceList!$B$4:$B$2641),PriceList!$M$4:$M$2641=A634,""))</f>
        <v>981</v>
      </c>
      <c r="F634" s="42" t="str" cm="1">
        <f t="array" ref="F634">_xlfn.TEXTJOIN(" | ",TRUE,_xlfn.UNIQUE(_xlfn._xlws.FILTER(PriceList!$Q$4:$Q$2641&amp;" x "&amp;PriceList!$R$4:$R$2641&amp;" x "&amp;PriceList!$S$4:$S$2641,PriceList!$M$4:$M$2641=A634,"")))</f>
        <v>14 x 21 x 3.5</v>
      </c>
      <c r="G634" t="str" cm="1">
        <f t="array" ref="G634">INDEX(_xlfn._xlws.FILTER(PriceList!$P$4:$P$2641,PriceList!$M$4:$M$2641=A634,""),1)</f>
        <v>O Ring - NBR 70</v>
      </c>
    </row>
    <row r="635" spans="1:7" x14ac:dyDescent="0.45">
      <c r="A635" t="s">
        <v>4666</v>
      </c>
      <c r="B635">
        <f>COUNTIF(PriceList!$M$4:$M$2641,A635)</f>
        <v>1</v>
      </c>
      <c r="C635" t="str">
        <f>IF(B635=1,"1:1","1:Many")</f>
        <v>1:1</v>
      </c>
      <c r="D635" s="42" t="str" cm="1">
        <f t="array" ref="D635">_xlfn.TEXTJOIN(" | ",TRUE,_xlfn._xlws.FILTER(PriceList!$B$4:$B$2641,PriceList!$M$4:$M$2641=A635,""))</f>
        <v>ORV8 014.1-1.6</v>
      </c>
      <c r="E635" t="str" cm="1">
        <f t="array" ref="E635">_xlfn.TEXTJOIN(", ",TRUE,_xlfn._xlws.FILTER(ROW(PriceList!$B$4:$B$2641),PriceList!$M$4:$M$2641=A635,""))</f>
        <v>1607</v>
      </c>
      <c r="F635" s="42" t="str" cm="1">
        <f t="array" ref="F635">_xlfn.TEXTJOIN(" | ",TRUE,_xlfn.UNIQUE(_xlfn._xlws.FILTER(PriceList!$Q$4:$Q$2641&amp;" x "&amp;PriceList!$R$4:$R$2641&amp;" x "&amp;PriceList!$S$4:$S$2641,PriceList!$M$4:$M$2641=A635,"")))</f>
        <v>14.1 x 17.3 x 1.6</v>
      </c>
      <c r="G635" t="str" cm="1">
        <f t="array" ref="G635">INDEX(_xlfn._xlws.FILTER(PriceList!$P$4:$P$2641,PriceList!$M$4:$M$2641=A635,""),1)</f>
        <v>O Ring - FPM/FKM/VitonÂ®</v>
      </c>
    </row>
    <row r="636" spans="1:7" x14ac:dyDescent="0.45">
      <c r="A636" t="s">
        <v>4378</v>
      </c>
      <c r="B636">
        <f>COUNTIF(PriceList!$M$4:$M$2641,A636)</f>
        <v>1</v>
      </c>
      <c r="C636" t="str">
        <f>IF(B636=1,"1:1","1:Many")</f>
        <v>1:1</v>
      </c>
      <c r="D636" s="42" t="str" cm="1">
        <f t="array" ref="D636">_xlfn.TEXTJOIN(" | ",TRUE,_xlfn._xlws.FILTER(PriceList!$B$4:$B$2641,PriceList!$M$4:$M$2641=A636,""))</f>
        <v>OR9N 014.8-2.4</v>
      </c>
      <c r="E636" t="str" cm="1">
        <f t="array" ref="E636">_xlfn.TEXTJOIN(", ",TRUE,_xlfn._xlws.FILTER(ROW(PriceList!$B$4:$B$2641),PriceList!$M$4:$M$2641=A636,""))</f>
        <v>985</v>
      </c>
      <c r="F636" s="42" t="str" cm="1">
        <f t="array" ref="F636">_xlfn.TEXTJOIN(" | ",TRUE,_xlfn.UNIQUE(_xlfn._xlws.FILTER(PriceList!$Q$4:$Q$2641&amp;" x "&amp;PriceList!$R$4:$R$2641&amp;" x "&amp;PriceList!$S$4:$S$2641,PriceList!$M$4:$M$2641=A636,"")))</f>
        <v>14.8 x 19.6 x 2.4</v>
      </c>
      <c r="G636" t="str" cm="1">
        <f t="array" ref="G636">INDEX(_xlfn._xlws.FILTER(PriceList!$P$4:$P$2641,PriceList!$M$4:$M$2641=A636,""),1)</f>
        <v>O Ring - NBR 70</v>
      </c>
    </row>
    <row r="637" spans="1:7" x14ac:dyDescent="0.45">
      <c r="A637" t="s">
        <v>4376</v>
      </c>
      <c r="B637">
        <f>COUNTIF(PriceList!$M$4:$M$2641,A637)</f>
        <v>1</v>
      </c>
      <c r="C637" t="str">
        <f>IF(B637=1,"1:1","1:Many")</f>
        <v>1:1</v>
      </c>
      <c r="D637" s="42" t="str" cm="1">
        <f t="array" ref="D637">_xlfn.TEXTJOIN(" | ",TRUE,_xlfn._xlws.FILTER(PriceList!$B$4:$B$2641,PriceList!$M$4:$M$2641=A637,""))</f>
        <v>OR9N 014.8-1.9</v>
      </c>
      <c r="E637" t="str" cm="1">
        <f t="array" ref="E637">_xlfn.TEXTJOIN(", ",TRUE,_xlfn._xlws.FILTER(ROW(PriceList!$B$4:$B$2641),PriceList!$M$4:$M$2641=A637,""))</f>
        <v>984</v>
      </c>
      <c r="F637" s="42" t="str" cm="1">
        <f t="array" ref="F637">_xlfn.TEXTJOIN(" | ",TRUE,_xlfn.UNIQUE(_xlfn._xlws.FILTER(PriceList!$Q$4:$Q$2641&amp;" x "&amp;PriceList!$R$4:$R$2641&amp;" x "&amp;PriceList!$S$4:$S$2641,PriceList!$M$4:$M$2641=A637,"")))</f>
        <v>15 x 18.6 x 1.8</v>
      </c>
      <c r="G637" t="str" cm="1">
        <f t="array" ref="G637">INDEX(_xlfn._xlws.FILTER(PriceList!$P$4:$P$2641,PriceList!$M$4:$M$2641=A637,""),1)</f>
        <v>O Ring - NBR 70</v>
      </c>
    </row>
    <row r="638" spans="1:7" x14ac:dyDescent="0.45">
      <c r="A638" t="s">
        <v>4382</v>
      </c>
      <c r="B638">
        <f>COUNTIF(PriceList!$M$4:$M$2641,A638)</f>
        <v>1</v>
      </c>
      <c r="C638" t="str">
        <f>IF(B638=1,"1:1","1:Many")</f>
        <v>1:1</v>
      </c>
      <c r="D638" s="42" t="str" cm="1">
        <f t="array" ref="D638">_xlfn.TEXTJOIN(" | ",TRUE,_xlfn._xlws.FILTER(PriceList!$B$4:$B$2641,PriceList!$M$4:$M$2641=A638,""))</f>
        <v>OR9N 015-2</v>
      </c>
      <c r="E638" t="str" cm="1">
        <f t="array" ref="E638">_xlfn.TEXTJOIN(", ",TRUE,_xlfn._xlws.FILTER(ROW(PriceList!$B$4:$B$2641),PriceList!$M$4:$M$2641=A638,""))</f>
        <v>995</v>
      </c>
      <c r="F638" s="42" t="str" cm="1">
        <f t="array" ref="F638">_xlfn.TEXTJOIN(" | ",TRUE,_xlfn.UNIQUE(_xlfn._xlws.FILTER(PriceList!$Q$4:$Q$2641&amp;" x "&amp;PriceList!$R$4:$R$2641&amp;" x "&amp;PriceList!$S$4:$S$2641,PriceList!$M$4:$M$2641=A638,"")))</f>
        <v>15 x 19 x 2</v>
      </c>
      <c r="G638" t="str" cm="1">
        <f t="array" ref="G638">INDEX(_xlfn._xlws.FILTER(PriceList!$P$4:$P$2641,PriceList!$M$4:$M$2641=A638,""),1)</f>
        <v>O Ring - NBR 70</v>
      </c>
    </row>
    <row r="639" spans="1:7" x14ac:dyDescent="0.45">
      <c r="A639" t="s">
        <v>4676</v>
      </c>
      <c r="B639">
        <f>COUNTIF(PriceList!$M$4:$M$2641,A639)</f>
        <v>1</v>
      </c>
      <c r="C639" t="str">
        <f>IF(B639=1,"1:1","1:Many")</f>
        <v>1:1</v>
      </c>
      <c r="D639" s="42" t="str" cm="1">
        <f t="array" ref="D639">_xlfn.TEXTJOIN(" | ",TRUE,_xlfn._xlws.FILTER(PriceList!$B$4:$B$2641,PriceList!$M$4:$M$2641=A639,""))</f>
        <v>ORV8 015-2</v>
      </c>
      <c r="E639" t="str" cm="1">
        <f t="array" ref="E639">_xlfn.TEXTJOIN(", ",TRUE,_xlfn._xlws.FILTER(ROW(PriceList!$B$4:$B$2641),PriceList!$M$4:$M$2641=A639,""))</f>
        <v>1618</v>
      </c>
      <c r="F639" s="42" t="str" cm="1">
        <f t="array" ref="F639">_xlfn.TEXTJOIN(" | ",TRUE,_xlfn.UNIQUE(_xlfn._xlws.FILTER(PriceList!$Q$4:$Q$2641&amp;" x "&amp;PriceList!$R$4:$R$2641&amp;" x "&amp;PriceList!$S$4:$S$2641,PriceList!$M$4:$M$2641=A639,"")))</f>
        <v>15 x 19 x 2</v>
      </c>
      <c r="G639" t="str" cm="1">
        <f t="array" ref="G639">INDEX(_xlfn._xlws.FILTER(PriceList!$P$4:$P$2641,PriceList!$M$4:$M$2641=A639,""),1)</f>
        <v>O Ring - FPM/FKM/VitonÂ®</v>
      </c>
    </row>
    <row r="640" spans="1:7" x14ac:dyDescent="0.45">
      <c r="A640" t="s">
        <v>4383</v>
      </c>
      <c r="B640">
        <f>COUNTIF(PriceList!$M$4:$M$2641,A640)</f>
        <v>1</v>
      </c>
      <c r="C640" t="str">
        <f>IF(B640=1,"1:1","1:Many")</f>
        <v>1:1</v>
      </c>
      <c r="D640" s="42" t="str" cm="1">
        <f t="array" ref="D640">_xlfn.TEXTJOIN(" | ",TRUE,_xlfn._xlws.FILTER(PriceList!$B$4:$B$2641,PriceList!$M$4:$M$2641=A640,""))</f>
        <v>OR9N 015-2.5</v>
      </c>
      <c r="E640" t="str" cm="1">
        <f t="array" ref="E640">_xlfn.TEXTJOIN(", ",TRUE,_xlfn._xlws.FILTER(ROW(PriceList!$B$4:$B$2641),PriceList!$M$4:$M$2641=A640,""))</f>
        <v>996</v>
      </c>
      <c r="F640" s="42" t="str" cm="1">
        <f t="array" ref="F640">_xlfn.TEXTJOIN(" | ",TRUE,_xlfn.UNIQUE(_xlfn._xlws.FILTER(PriceList!$Q$4:$Q$2641&amp;" x "&amp;PriceList!$R$4:$R$2641&amp;" x "&amp;PriceList!$S$4:$S$2641,PriceList!$M$4:$M$2641=A640,"")))</f>
        <v>15 x 20 x 2.5</v>
      </c>
      <c r="G640" t="str" cm="1">
        <f t="array" ref="G640">INDEX(_xlfn._xlws.FILTER(PriceList!$P$4:$P$2641,PriceList!$M$4:$M$2641=A640,""),1)</f>
        <v>O Ring - NBR 70</v>
      </c>
    </row>
    <row r="641" spans="1:7" x14ac:dyDescent="0.45">
      <c r="A641" t="s">
        <v>4667</v>
      </c>
      <c r="B641">
        <f>COUNTIF(PriceList!$M$4:$M$2641,A641)</f>
        <v>2</v>
      </c>
      <c r="C641" t="str">
        <f>IF(B641=1,"1:1","1:Many")</f>
        <v>1:Many</v>
      </c>
      <c r="D641" s="42" t="str" cm="1">
        <f t="array" ref="D641">_xlfn.TEXTJOIN(" | ",TRUE,_xlfn._xlws.FILTER(PriceList!$B$4:$B$2641,PriceList!$M$4:$M$2641=A641,""))</f>
        <v>ORV8 014.8-2.4 | ORV8 015-2.5</v>
      </c>
      <c r="E641" t="str" cm="1">
        <f t="array" ref="E641">_xlfn.TEXTJOIN(", ",TRUE,_xlfn._xlws.FILTER(ROW(PriceList!$B$4:$B$2641),PriceList!$M$4:$M$2641=A641,""))</f>
        <v>1608, 1619</v>
      </c>
      <c r="F641" s="42" t="str" cm="1">
        <f t="array" ref="F641">_xlfn.TEXTJOIN(" | ",TRUE,_xlfn.UNIQUE(_xlfn._xlws.FILTER(PriceList!$Q$4:$Q$2641&amp;" x "&amp;PriceList!$R$4:$R$2641&amp;" x "&amp;PriceList!$S$4:$S$2641,PriceList!$M$4:$M$2641=A641,"")))</f>
        <v>15 x 20 x 2.5</v>
      </c>
      <c r="G641" t="str" cm="1">
        <f t="array" ref="G641">INDEX(_xlfn._xlws.FILTER(PriceList!$P$4:$P$2641,PriceList!$M$4:$M$2641=A641,""),1)</f>
        <v>O Ring - FPM/FKM/VitonÂ®</v>
      </c>
    </row>
    <row r="642" spans="1:7" x14ac:dyDescent="0.45">
      <c r="A642" t="s">
        <v>4384</v>
      </c>
      <c r="B642">
        <f>COUNTIF(PriceList!$M$4:$M$2641,A642)</f>
        <v>1</v>
      </c>
      <c r="C642" t="str">
        <f>IF(B642=1,"1:1","1:Many")</f>
        <v>1:1</v>
      </c>
      <c r="D642" s="42" t="str" cm="1">
        <f t="array" ref="D642">_xlfn.TEXTJOIN(" | ",TRUE,_xlfn._xlws.FILTER(PriceList!$B$4:$B$2641,PriceList!$M$4:$M$2641=A642,""))</f>
        <v>OR9N 015-3</v>
      </c>
      <c r="E642" t="str" cm="1">
        <f t="array" ref="E642">_xlfn.TEXTJOIN(", ",TRUE,_xlfn._xlws.FILTER(ROW(PriceList!$B$4:$B$2641),PriceList!$M$4:$M$2641=A642,""))</f>
        <v>997</v>
      </c>
      <c r="F642" s="42" t="str" cm="1">
        <f t="array" ref="F642">_xlfn.TEXTJOIN(" | ",TRUE,_xlfn.UNIQUE(_xlfn._xlws.FILTER(PriceList!$Q$4:$Q$2641&amp;" x "&amp;PriceList!$R$4:$R$2641&amp;" x "&amp;PriceList!$S$4:$S$2641,PriceList!$M$4:$M$2641=A642,"")))</f>
        <v>15 x 21 x 3</v>
      </c>
      <c r="G642" t="str" cm="1">
        <f t="array" ref="G642">INDEX(_xlfn._xlws.FILTER(PriceList!$P$4:$P$2641,PriceList!$M$4:$M$2641=A642,""),1)</f>
        <v>O Ring - NBR 70</v>
      </c>
    </row>
    <row r="643" spans="1:7" x14ac:dyDescent="0.45">
      <c r="A643" t="s">
        <v>4677</v>
      </c>
      <c r="B643">
        <f>COUNTIF(PriceList!$M$4:$M$2641,A643)</f>
        <v>1</v>
      </c>
      <c r="C643" t="str">
        <f>IF(B643=1,"1:1","1:Many")</f>
        <v>1:1</v>
      </c>
      <c r="D643" s="42" t="str" cm="1">
        <f t="array" ref="D643">_xlfn.TEXTJOIN(" | ",TRUE,_xlfn._xlws.FILTER(PriceList!$B$4:$B$2641,PriceList!$M$4:$M$2641=A643,""))</f>
        <v>ORV8 015-3</v>
      </c>
      <c r="E643" t="str" cm="1">
        <f t="array" ref="E643">_xlfn.TEXTJOIN(", ",TRUE,_xlfn._xlws.FILTER(ROW(PriceList!$B$4:$B$2641),PriceList!$M$4:$M$2641=A643,""))</f>
        <v>1620</v>
      </c>
      <c r="F643" s="42" t="str" cm="1">
        <f t="array" ref="F643">_xlfn.TEXTJOIN(" | ",TRUE,_xlfn.UNIQUE(_xlfn._xlws.FILTER(PriceList!$Q$4:$Q$2641&amp;" x "&amp;PriceList!$R$4:$R$2641&amp;" x "&amp;PriceList!$S$4:$S$2641,PriceList!$M$4:$M$2641=A643,"")))</f>
        <v>15 x 21 x 3</v>
      </c>
      <c r="G643" t="str" cm="1">
        <f t="array" ref="G643">INDEX(_xlfn._xlws.FILTER(PriceList!$P$4:$P$2641,PriceList!$M$4:$M$2641=A643,""),1)</f>
        <v>O Ring - FPM/FKM/VitonÂ®</v>
      </c>
    </row>
    <row r="644" spans="1:7" x14ac:dyDescent="0.45">
      <c r="A644" t="s">
        <v>4688</v>
      </c>
      <c r="B644">
        <f>COUNTIF(PriceList!$M$4:$M$2641,A644)</f>
        <v>1</v>
      </c>
      <c r="C644" t="str">
        <f>IF(B644=1,"1:1","1:Many")</f>
        <v>1:1</v>
      </c>
      <c r="D644" s="42" t="str" cm="1">
        <f t="array" ref="D644">_xlfn.TEXTJOIN(" | ",TRUE,_xlfn._xlws.FILTER(PriceList!$B$4:$B$2641,PriceList!$M$4:$M$2641=A644,""))</f>
        <v>ORV8 016-5</v>
      </c>
      <c r="E644" t="str" cm="1">
        <f t="array" ref="E644">_xlfn.TEXTJOIN(", ",TRUE,_xlfn._xlws.FILTER(ROW(PriceList!$B$4:$B$2641),PriceList!$M$4:$M$2641=A644,""))</f>
        <v>1630</v>
      </c>
      <c r="F644" s="42" t="str" cm="1">
        <f t="array" ref="F644">_xlfn.TEXTJOIN(" | ",TRUE,_xlfn.UNIQUE(_xlfn._xlws.FILTER(PriceList!$Q$4:$Q$2641&amp;" x "&amp;PriceList!$R$4:$R$2641&amp;" x "&amp;PriceList!$S$4:$S$2641,PriceList!$M$4:$M$2641=A644,"")))</f>
        <v>15 x 25 x 5</v>
      </c>
      <c r="G644" t="str" cm="1">
        <f t="array" ref="G644">INDEX(_xlfn._xlws.FILTER(PriceList!$P$4:$P$2641,PriceList!$M$4:$M$2641=A644,""),1)</f>
        <v>O Ring - FPM/FKM/VitonÂ®</v>
      </c>
    </row>
    <row r="645" spans="1:7" x14ac:dyDescent="0.45">
      <c r="A645" t="s">
        <v>3947</v>
      </c>
      <c r="B645">
        <f>COUNTIF(PriceList!$M$4:$M$2641,A645)</f>
        <v>2</v>
      </c>
      <c r="C645" t="str">
        <f>IF(B645=1,"1:1","1:Many")</f>
        <v>1:Many</v>
      </c>
      <c r="D645" s="42" t="str" cm="1">
        <f t="array" ref="D645">_xlfn.TEXTJOIN(" | ",TRUE,_xlfn._xlws.FILTER(PriceList!$B$4:$B$2641,PriceList!$M$4:$M$2641=A645,""))</f>
        <v>OR7N 015.6-1.78 | OR9N 015.6-1.78</v>
      </c>
      <c r="E645" t="str" cm="1">
        <f t="array" ref="E645">_xlfn.TEXTJOIN(", ",TRUE,_xlfn._xlws.FILTER(ROW(PriceList!$B$4:$B$2641),PriceList!$M$4:$M$2641=A645,""))</f>
        <v>580, 993</v>
      </c>
      <c r="F645" s="42" t="str" cm="1">
        <f t="array" ref="F645">_xlfn.TEXTJOIN(" | ",TRUE,_xlfn.UNIQUE(_xlfn._xlws.FILTER(PriceList!$Q$4:$Q$2641&amp;" x "&amp;PriceList!$R$4:$R$2641&amp;" x "&amp;PriceList!$S$4:$S$2641,PriceList!$M$4:$M$2641=A645,"")))</f>
        <v>15.5 x 19.5 x 2</v>
      </c>
      <c r="G645" t="str" cm="1">
        <f t="array" ref="G645">INDEX(_xlfn._xlws.FILTER(PriceList!$P$4:$P$2641,PriceList!$M$4:$M$2641=A645,""),1)</f>
        <v>O Ring - HNBR</v>
      </c>
    </row>
    <row r="646" spans="1:7" x14ac:dyDescent="0.45">
      <c r="A646" t="s">
        <v>4675</v>
      </c>
      <c r="B646">
        <f>COUNTIF(PriceList!$M$4:$M$2641,A646)</f>
        <v>1</v>
      </c>
      <c r="C646" t="str">
        <f>IF(B646=1,"1:1","1:Many")</f>
        <v>1:1</v>
      </c>
      <c r="D646" s="42" t="str" cm="1">
        <f t="array" ref="D646">_xlfn.TEXTJOIN(" | ",TRUE,_xlfn._xlws.FILTER(PriceList!$B$4:$B$2641,PriceList!$M$4:$M$2641=A646,""))</f>
        <v>ORV8 015.8-2.4</v>
      </c>
      <c r="E646" t="str" cm="1">
        <f t="array" ref="E646">_xlfn.TEXTJOIN(", ",TRUE,_xlfn._xlws.FILTER(ROW(PriceList!$B$4:$B$2641),PriceList!$M$4:$M$2641=A646,""))</f>
        <v>1617</v>
      </c>
      <c r="F646" s="42" t="str" cm="1">
        <f t="array" ref="F646">_xlfn.TEXTJOIN(" | ",TRUE,_xlfn.UNIQUE(_xlfn._xlws.FILTER(PriceList!$Q$4:$Q$2641&amp;" x "&amp;PriceList!$R$4:$R$2641&amp;" x "&amp;PriceList!$S$4:$S$2641,PriceList!$M$4:$M$2641=A646,"")))</f>
        <v>15.6 x 20.4 x 2.4</v>
      </c>
      <c r="G646" t="str" cm="1">
        <f t="array" ref="G646">INDEX(_xlfn._xlws.FILTER(PriceList!$P$4:$P$2641,PriceList!$M$4:$M$2641=A646,""),1)</f>
        <v>O Ring - FPM/FKM/VitonÂ®</v>
      </c>
    </row>
    <row r="647" spans="1:7" x14ac:dyDescent="0.45">
      <c r="A647" t="s">
        <v>3949</v>
      </c>
      <c r="B647">
        <f>COUNTIF(PriceList!$M$4:$M$2641,A647)</f>
        <v>2</v>
      </c>
      <c r="C647" t="str">
        <f>IF(B647=1,"1:1","1:Many")</f>
        <v>1:Many</v>
      </c>
      <c r="D647" s="42" t="str" cm="1">
        <f t="array" ref="D647">_xlfn.TEXTJOIN(" | ",TRUE,_xlfn._xlws.FILTER(PriceList!$B$4:$B$2641,PriceList!$M$4:$M$2641=A647,""))</f>
        <v>OR7N 015.8-2.4 | OR9N 015.8-2.4</v>
      </c>
      <c r="E647" t="str" cm="1">
        <f t="array" ref="E647">_xlfn.TEXTJOIN(", ",TRUE,_xlfn._xlws.FILTER(ROW(PriceList!$B$4:$B$2641),PriceList!$M$4:$M$2641=A647,""))</f>
        <v>581, 994</v>
      </c>
      <c r="F647" s="42" t="str" cm="1">
        <f t="array" ref="F647">_xlfn.TEXTJOIN(" | ",TRUE,_xlfn.UNIQUE(_xlfn._xlws.FILTER(PriceList!$Q$4:$Q$2641&amp;" x "&amp;PriceList!$R$4:$R$2641&amp;" x "&amp;PriceList!$S$4:$S$2641,PriceList!$M$4:$M$2641=A647,"")))</f>
        <v>15.8 x 20.6 x 2.4</v>
      </c>
      <c r="G647" t="str" cm="1">
        <f t="array" ref="G647">INDEX(_xlfn._xlws.FILTER(PriceList!$P$4:$P$2641,PriceList!$M$4:$M$2641=A647,""),1)</f>
        <v>O Ring - NBR 70</v>
      </c>
    </row>
    <row r="648" spans="1:7" x14ac:dyDescent="0.45">
      <c r="A648" t="s">
        <v>4385</v>
      </c>
      <c r="B648">
        <f>COUNTIF(PriceList!$M$4:$M$2641,A648)</f>
        <v>1</v>
      </c>
      <c r="C648" t="str">
        <f>IF(B648=1,"1:1","1:Many")</f>
        <v>1:1</v>
      </c>
      <c r="D648" s="42" t="str" cm="1">
        <f t="array" ref="D648">_xlfn.TEXTJOIN(" | ",TRUE,_xlfn._xlws.FILTER(PriceList!$B$4:$B$2641,PriceList!$M$4:$M$2641=A648,""))</f>
        <v>OR9N 016-1.6</v>
      </c>
      <c r="E648" t="str" cm="1">
        <f t="array" ref="E648">_xlfn.TEXTJOIN(", ",TRUE,_xlfn._xlws.FILTER(ROW(PriceList!$B$4:$B$2641),PriceList!$M$4:$M$2641=A648,""))</f>
        <v>999</v>
      </c>
      <c r="F648" s="42" t="str" cm="1">
        <f t="array" ref="F648">_xlfn.TEXTJOIN(" | ",TRUE,_xlfn.UNIQUE(_xlfn._xlws.FILTER(PriceList!$Q$4:$Q$2641&amp;" x "&amp;PriceList!$R$4:$R$2641&amp;" x "&amp;PriceList!$S$4:$S$2641,PriceList!$M$4:$M$2641=A648,"")))</f>
        <v>16 x 19 x 1.5</v>
      </c>
      <c r="G648" t="str" cm="1">
        <f t="array" ref="G648">INDEX(_xlfn._xlws.FILTER(PriceList!$P$4:$P$2641,PriceList!$M$4:$M$2641=A648,""),1)</f>
        <v>O Ring - NBR 70</v>
      </c>
    </row>
    <row r="649" spans="1:7" x14ac:dyDescent="0.45">
      <c r="A649" t="s">
        <v>4681</v>
      </c>
      <c r="B649">
        <f>COUNTIF(PriceList!$M$4:$M$2641,A649)</f>
        <v>2</v>
      </c>
      <c r="C649" t="str">
        <f>IF(B649=1,"1:1","1:Many")</f>
        <v>1:Many</v>
      </c>
      <c r="D649" s="42" t="str" cm="1">
        <f t="array" ref="D649">_xlfn.TEXTJOIN(" | ",TRUE,_xlfn._xlws.FILTER(PriceList!$B$4:$B$2641,PriceList!$M$4:$M$2641=A649,""))</f>
        <v>ORV8 016.5-1.5 | ORV8 016-1.6</v>
      </c>
      <c r="E649" t="str" cm="1">
        <f t="array" ref="E649">_xlfn.TEXTJOIN(", ",TRUE,_xlfn._xlws.FILTER(ROW(PriceList!$B$4:$B$2641),PriceList!$M$4:$M$2641=A649,""))</f>
        <v>1623, 1626</v>
      </c>
      <c r="F649" s="42" t="str" cm="1">
        <f t="array" ref="F649">_xlfn.TEXTJOIN(" | ",TRUE,_xlfn.UNIQUE(_xlfn._xlws.FILTER(PriceList!$Q$4:$Q$2641&amp;" x "&amp;PriceList!$R$4:$R$2641&amp;" x "&amp;PriceList!$S$4:$S$2641,PriceList!$M$4:$M$2641=A649,"")))</f>
        <v>16 x 19 x 1.5</v>
      </c>
      <c r="G649" t="str" cm="1">
        <f t="array" ref="G649">INDEX(_xlfn._xlws.FILTER(PriceList!$P$4:$P$2641,PriceList!$M$4:$M$2641=A649,""),1)</f>
        <v>O Ring - FPM/FKM/VitonÂ®</v>
      </c>
    </row>
    <row r="650" spans="1:7" x14ac:dyDescent="0.45">
      <c r="A650" t="s">
        <v>3952</v>
      </c>
      <c r="B650">
        <f>COUNTIF(PriceList!$M$4:$M$2641,A650)</f>
        <v>2</v>
      </c>
      <c r="C650" t="str">
        <f>IF(B650=1,"1:1","1:Many")</f>
        <v>1:Many</v>
      </c>
      <c r="D650" s="42" t="str" cm="1">
        <f t="array" ref="D650">_xlfn.TEXTJOIN(" | ",TRUE,_xlfn._xlws.FILTER(PriceList!$B$4:$B$2641,PriceList!$M$4:$M$2641=A650,""))</f>
        <v>OR7N 016-2 | OR9N 016-2</v>
      </c>
      <c r="E650" t="str" cm="1">
        <f t="array" ref="E650">_xlfn.TEXTJOIN(", ",TRUE,_xlfn._xlws.FILTER(ROW(PriceList!$B$4:$B$2641),PriceList!$M$4:$M$2641=A650,""))</f>
        <v>583, 1000</v>
      </c>
      <c r="F650" s="42" t="str" cm="1">
        <f t="array" ref="F650">_xlfn.TEXTJOIN(" | ",TRUE,_xlfn.UNIQUE(_xlfn._xlws.FILTER(PriceList!$Q$4:$Q$2641&amp;" x "&amp;PriceList!$R$4:$R$2641&amp;" x "&amp;PriceList!$S$4:$S$2641,PriceList!$M$4:$M$2641=A650,"")))</f>
        <v>16 x 20 x 2</v>
      </c>
      <c r="G650" t="str" cm="1">
        <f t="array" ref="G650">INDEX(_xlfn._xlws.FILTER(PriceList!$P$4:$P$2641,PriceList!$M$4:$M$2641=A650,""),1)</f>
        <v>O Ring - EPDM</v>
      </c>
    </row>
    <row r="651" spans="1:7" x14ac:dyDescent="0.45">
      <c r="A651" t="s">
        <v>4686</v>
      </c>
      <c r="B651">
        <f>COUNTIF(PriceList!$M$4:$M$2641,A651)</f>
        <v>1</v>
      </c>
      <c r="C651" t="str">
        <f>IF(B651=1,"1:1","1:Many")</f>
        <v>1:1</v>
      </c>
      <c r="D651" s="42" t="str" cm="1">
        <f t="array" ref="D651">_xlfn.TEXTJOIN(" | ",TRUE,_xlfn._xlws.FILTER(PriceList!$B$4:$B$2641,PriceList!$M$4:$M$2641=A651,""))</f>
        <v>ORV8 016-2</v>
      </c>
      <c r="E651" t="str" cm="1">
        <f t="array" ref="E651">_xlfn.TEXTJOIN(", ",TRUE,_xlfn._xlws.FILTER(ROW(PriceList!$B$4:$B$2641),PriceList!$M$4:$M$2641=A651,""))</f>
        <v>1627</v>
      </c>
      <c r="F651" s="42" t="str" cm="1">
        <f t="array" ref="F651">_xlfn.TEXTJOIN(" | ",TRUE,_xlfn.UNIQUE(_xlfn._xlws.FILTER(PriceList!$Q$4:$Q$2641&amp;" x "&amp;PriceList!$R$4:$R$2641&amp;" x "&amp;PriceList!$S$4:$S$2641,PriceList!$M$4:$M$2641=A651,"")))</f>
        <v>16 x 20 x 2</v>
      </c>
      <c r="G651" t="str" cm="1">
        <f t="array" ref="G651">INDEX(_xlfn._xlws.FILTER(PriceList!$P$4:$P$2641,PriceList!$M$4:$M$2641=A651,""),1)</f>
        <v>O Ring - FPM/FKM/VitonÂ®</v>
      </c>
    </row>
    <row r="652" spans="1:7" x14ac:dyDescent="0.45">
      <c r="A652" t="s">
        <v>3953</v>
      </c>
      <c r="B652">
        <f>COUNTIF(PriceList!$M$4:$M$2641,A652)</f>
        <v>2</v>
      </c>
      <c r="C652" t="str">
        <f>IF(B652=1,"1:1","1:Many")</f>
        <v>1:Many</v>
      </c>
      <c r="D652" s="42" t="str" cm="1">
        <f t="array" ref="D652">_xlfn.TEXTJOIN(" | ",TRUE,_xlfn._xlws.FILTER(PriceList!$B$4:$B$2641,PriceList!$M$4:$M$2641=A652,""))</f>
        <v>OR7N 016-2.5 | OR9N 016-2.5</v>
      </c>
      <c r="E652" t="str" cm="1">
        <f t="array" ref="E652">_xlfn.TEXTJOIN(", ",TRUE,_xlfn._xlws.FILTER(ROW(PriceList!$B$4:$B$2641),PriceList!$M$4:$M$2641=A652,""))</f>
        <v>584, 1001</v>
      </c>
      <c r="F652" s="42" t="str" cm="1">
        <f t="array" ref="F652">_xlfn.TEXTJOIN(" | ",TRUE,_xlfn.UNIQUE(_xlfn._xlws.FILTER(PriceList!$Q$4:$Q$2641&amp;" x "&amp;PriceList!$R$4:$R$2641&amp;" x "&amp;PriceList!$S$4:$S$2641,PriceList!$M$4:$M$2641=A652,"")))</f>
        <v>16 x 21 x 2.5</v>
      </c>
      <c r="G652" t="str" cm="1">
        <f t="array" ref="G652">INDEX(_xlfn._xlws.FILTER(PriceList!$P$4:$P$2641,PriceList!$M$4:$M$2641=A652,""),1)</f>
        <v>O Ring - EPDM</v>
      </c>
    </row>
    <row r="653" spans="1:7" x14ac:dyDescent="0.45">
      <c r="A653" t="s">
        <v>4678</v>
      </c>
      <c r="B653">
        <f>COUNTIF(PriceList!$M$4:$M$2641,A653)</f>
        <v>2</v>
      </c>
      <c r="C653" t="str">
        <f>IF(B653=1,"1:1","1:Many")</f>
        <v>1:Many</v>
      </c>
      <c r="D653" s="42" t="str" cm="1">
        <f t="array" ref="D653">_xlfn.TEXTJOIN(" | ",TRUE,_xlfn._xlws.FILTER(PriceList!$B$4:$B$2641,PriceList!$M$4:$M$2641=A653,""))</f>
        <v>ORV8 016.3-2.4 | ORV8 016-2.5</v>
      </c>
      <c r="E653" t="str" cm="1">
        <f t="array" ref="E653">_xlfn.TEXTJOIN(", ",TRUE,_xlfn._xlws.FILTER(ROW(PriceList!$B$4:$B$2641),PriceList!$M$4:$M$2641=A653,""))</f>
        <v>1621, 1628</v>
      </c>
      <c r="F653" s="42" t="str" cm="1">
        <f t="array" ref="F653">_xlfn.TEXTJOIN(" | ",TRUE,_xlfn.UNIQUE(_xlfn._xlws.FILTER(PriceList!$Q$4:$Q$2641&amp;" x "&amp;PriceList!$R$4:$R$2641&amp;" x "&amp;PriceList!$S$4:$S$2641,PriceList!$M$4:$M$2641=A653,"")))</f>
        <v>16 x 21 x 2.5</v>
      </c>
      <c r="G653" t="str" cm="1">
        <f t="array" ref="G653">INDEX(_xlfn._xlws.FILTER(PriceList!$P$4:$P$2641,PriceList!$M$4:$M$2641=A653,""),1)</f>
        <v>O Ring - FPM/FKM/VitonÂ®</v>
      </c>
    </row>
    <row r="654" spans="1:7" x14ac:dyDescent="0.45">
      <c r="A654" t="s">
        <v>4386</v>
      </c>
      <c r="B654">
        <f>COUNTIF(PriceList!$M$4:$M$2641,A654)</f>
        <v>1</v>
      </c>
      <c r="C654" t="str">
        <f>IF(B654=1,"1:1","1:Many")</f>
        <v>1:1</v>
      </c>
      <c r="D654" s="42" t="str" cm="1">
        <f t="array" ref="D654">_xlfn.TEXTJOIN(" | ",TRUE,_xlfn._xlws.FILTER(PriceList!$B$4:$B$2641,PriceList!$M$4:$M$2641=A654,""))</f>
        <v>OR9N 016-3</v>
      </c>
      <c r="E654" t="str" cm="1">
        <f t="array" ref="E654">_xlfn.TEXTJOIN(", ",TRUE,_xlfn._xlws.FILTER(ROW(PriceList!$B$4:$B$2641),PriceList!$M$4:$M$2641=A654,""))</f>
        <v>1002</v>
      </c>
      <c r="F654" s="42" t="str" cm="1">
        <f t="array" ref="F654">_xlfn.TEXTJOIN(" | ",TRUE,_xlfn.UNIQUE(_xlfn._xlws.FILTER(PriceList!$Q$4:$Q$2641&amp;" x "&amp;PriceList!$R$4:$R$2641&amp;" x "&amp;PriceList!$S$4:$S$2641,PriceList!$M$4:$M$2641=A654,"")))</f>
        <v>16 x 22 x 3</v>
      </c>
      <c r="G654" t="str" cm="1">
        <f t="array" ref="G654">INDEX(_xlfn._xlws.FILTER(PriceList!$P$4:$P$2641,PriceList!$M$4:$M$2641=A654,""),1)</f>
        <v>O Ring - NBR 70</v>
      </c>
    </row>
    <row r="655" spans="1:7" x14ac:dyDescent="0.45">
      <c r="A655" t="s">
        <v>4687</v>
      </c>
      <c r="B655">
        <f>COUNTIF(PriceList!$M$4:$M$2641,A655)</f>
        <v>1</v>
      </c>
      <c r="C655" t="str">
        <f>IF(B655=1,"1:1","1:Many")</f>
        <v>1:1</v>
      </c>
      <c r="D655" s="42" t="str" cm="1">
        <f t="array" ref="D655">_xlfn.TEXTJOIN(" | ",TRUE,_xlfn._xlws.FILTER(PriceList!$B$4:$B$2641,PriceList!$M$4:$M$2641=A655,""))</f>
        <v>ORV8 016-3</v>
      </c>
      <c r="E655" t="str" cm="1">
        <f t="array" ref="E655">_xlfn.TEXTJOIN(", ",TRUE,_xlfn._xlws.FILTER(ROW(PriceList!$B$4:$B$2641),PriceList!$M$4:$M$2641=A655,""))</f>
        <v>1629</v>
      </c>
      <c r="F655" s="42" t="str" cm="1">
        <f t="array" ref="F655">_xlfn.TEXTJOIN(" | ",TRUE,_xlfn.UNIQUE(_xlfn._xlws.FILTER(PriceList!$Q$4:$Q$2641&amp;" x "&amp;PriceList!$R$4:$R$2641&amp;" x "&amp;PriceList!$S$4:$S$2641,PriceList!$M$4:$M$2641=A655,"")))</f>
        <v>16 x 22 x 3</v>
      </c>
      <c r="G655" t="str" cm="1">
        <f t="array" ref="G655">INDEX(_xlfn._xlws.FILTER(PriceList!$P$4:$P$2641,PriceList!$M$4:$M$2641=A655,""),1)</f>
        <v>O Ring - FPM/FKM/VitonÂ®</v>
      </c>
    </row>
    <row r="656" spans="1:7" x14ac:dyDescent="0.45">
      <c r="A656" t="s">
        <v>4682</v>
      </c>
      <c r="B656">
        <f>COUNTIF(PriceList!$M$4:$M$2641,A656)</f>
        <v>1</v>
      </c>
      <c r="C656" t="str">
        <f>IF(B656=1,"1:1","1:Many")</f>
        <v>1:1</v>
      </c>
      <c r="D656" s="42" t="str" cm="1">
        <f t="array" ref="D656">_xlfn.TEXTJOIN(" | ",TRUE,_xlfn._xlws.FILTER(PriceList!$B$4:$B$2641,PriceList!$M$4:$M$2641=A656,""))</f>
        <v>ORV8 016.7-3.5</v>
      </c>
      <c r="E656" t="str" cm="1">
        <f t="array" ref="E656">_xlfn.TEXTJOIN(", ",TRUE,_xlfn._xlws.FILTER(ROW(PriceList!$B$4:$B$2641),PriceList!$M$4:$M$2641=A656,""))</f>
        <v>1624</v>
      </c>
      <c r="F656" s="42" t="str" cm="1">
        <f t="array" ref="F656">_xlfn.TEXTJOIN(" | ",TRUE,_xlfn.UNIQUE(_xlfn._xlws.FILTER(PriceList!$Q$4:$Q$2641&amp;" x "&amp;PriceList!$R$4:$R$2641&amp;" x "&amp;PriceList!$S$4:$S$2641,PriceList!$M$4:$M$2641=A656,"")))</f>
        <v>16 x 24 x 4</v>
      </c>
      <c r="G656" t="str" cm="1">
        <f t="array" ref="G656">INDEX(_xlfn._xlws.FILTER(PriceList!$P$4:$P$2641,PriceList!$M$4:$M$2641=A656,""),1)</f>
        <v>O Ring - FPM/FKM/VitonÂ®</v>
      </c>
    </row>
    <row r="657" spans="1:7" x14ac:dyDescent="0.45">
      <c r="A657" t="s">
        <v>3950</v>
      </c>
      <c r="B657">
        <f>COUNTIF(PriceList!$M$4:$M$2641,A657)</f>
        <v>2</v>
      </c>
      <c r="C657" t="str">
        <f>IF(B657=1,"1:1","1:Many")</f>
        <v>1:Many</v>
      </c>
      <c r="D657" s="42" t="str" cm="1">
        <f t="array" ref="D657">_xlfn.TEXTJOIN(" | ",TRUE,_xlfn._xlws.FILTER(PriceList!$B$4:$B$2641,PriceList!$M$4:$M$2641=A657,""))</f>
        <v>OR7N 016.36-2.21 | OR9N 016.36-2.21</v>
      </c>
      <c r="E657" t="str" cm="1">
        <f t="array" ref="E657">_xlfn.TEXTJOIN(", ",TRUE,_xlfn._xlws.FILTER(ROW(PriceList!$B$4:$B$2641),PriceList!$M$4:$M$2641=A657,""))</f>
        <v>582, 998</v>
      </c>
      <c r="F657" s="42" t="str" cm="1">
        <f t="array" ref="F657">_xlfn.TEXTJOIN(" | ",TRUE,_xlfn.UNIQUE(_xlfn._xlws.FILTER(PriceList!$Q$4:$Q$2641&amp;" x "&amp;PriceList!$R$4:$R$2641&amp;" x "&amp;PriceList!$S$4:$S$2641,PriceList!$M$4:$M$2641=A657,"")))</f>
        <v>16.3 x 20.7 x 2.2</v>
      </c>
      <c r="G657" t="str" cm="1">
        <f t="array" ref="G657">INDEX(_xlfn._xlws.FILTER(PriceList!$P$4:$P$2641,PriceList!$M$4:$M$2641=A657,""),1)</f>
        <v>O Ring - NBR 70</v>
      </c>
    </row>
    <row r="658" spans="1:7" x14ac:dyDescent="0.45">
      <c r="A658" t="s">
        <v>3956</v>
      </c>
      <c r="B658">
        <f>COUNTIF(PriceList!$M$4:$M$2641,A658)</f>
        <v>2</v>
      </c>
      <c r="C658" t="str">
        <f>IF(B658=1,"1:1","1:Many")</f>
        <v>1:Many</v>
      </c>
      <c r="D658" s="42" t="str" cm="1">
        <f t="array" ref="D658">_xlfn.TEXTJOIN(" | ",TRUE,_xlfn._xlws.FILTER(PriceList!$B$4:$B$2641,PriceList!$M$4:$M$2641=A658,""))</f>
        <v>OR7N 017.12-2.62 | OR9N 017.12-2.62</v>
      </c>
      <c r="E658" t="str" cm="1">
        <f t="array" ref="E658">_xlfn.TEXTJOIN(", ",TRUE,_xlfn._xlws.FILTER(ROW(PriceList!$B$4:$B$2641),PriceList!$M$4:$M$2641=A658,""))</f>
        <v>586, 1004</v>
      </c>
      <c r="F658" s="42" t="str" cm="1">
        <f t="array" ref="F658">_xlfn.TEXTJOIN(" | ",TRUE,_xlfn.UNIQUE(_xlfn._xlws.FILTER(PriceList!$Q$4:$Q$2641&amp;" x "&amp;PriceList!$R$4:$R$2641&amp;" x "&amp;PriceList!$S$4:$S$2641,PriceList!$M$4:$M$2641=A658,"")))</f>
        <v>16.9 x 22.3 x 2.7</v>
      </c>
      <c r="G658" t="str" cm="1">
        <f t="array" ref="G658">INDEX(_xlfn._xlws.FILTER(PriceList!$P$4:$P$2641,PriceList!$M$4:$M$2641=A658,""),1)</f>
        <v>O Ring - NBR 70</v>
      </c>
    </row>
    <row r="659" spans="1:7" x14ac:dyDescent="0.45">
      <c r="A659" t="s">
        <v>4679</v>
      </c>
      <c r="B659">
        <f>COUNTIF(PriceList!$M$4:$M$2641,A659)</f>
        <v>1</v>
      </c>
      <c r="C659" t="str">
        <f>IF(B659=1,"1:1","1:Many")</f>
        <v>1:1</v>
      </c>
      <c r="D659" s="42" t="str" cm="1">
        <f t="array" ref="D659">_xlfn.TEXTJOIN(" | ",TRUE,_xlfn._xlws.FILTER(PriceList!$B$4:$B$2641,PriceList!$M$4:$M$2641=A659,""))</f>
        <v>ORV8 016.56-1.78</v>
      </c>
      <c r="E659" t="str" cm="1">
        <f t="array" ref="E659">_xlfn.TEXTJOIN(", ",TRUE,_xlfn._xlws.FILTER(ROW(PriceList!$B$4:$B$2641),PriceList!$M$4:$M$2641=A659,""))</f>
        <v>1622</v>
      </c>
      <c r="F659" s="42" t="str" cm="1">
        <f t="array" ref="F659">_xlfn.TEXTJOIN(" | ",TRUE,_xlfn.UNIQUE(_xlfn._xlws.FILTER(PriceList!$Q$4:$Q$2641&amp;" x "&amp;PriceList!$R$4:$R$2641&amp;" x "&amp;PriceList!$S$4:$S$2641,PriceList!$M$4:$M$2641=A659,"")))</f>
        <v>17 x 20 x 1.5</v>
      </c>
      <c r="G659" t="str" cm="1">
        <f t="array" ref="G659">INDEX(_xlfn._xlws.FILTER(PriceList!$P$4:$P$2641,PriceList!$M$4:$M$2641=A659,""),1)</f>
        <v>O Ring - FPM/FKM/VitonÂ®</v>
      </c>
    </row>
    <row r="660" spans="1:7" ht="28.5" x14ac:dyDescent="0.45">
      <c r="A660" t="s">
        <v>3958</v>
      </c>
      <c r="B660">
        <f>COUNTIF(PriceList!$M$4:$M$2641,A660)</f>
        <v>4</v>
      </c>
      <c r="C660" t="str">
        <f>IF(B660=1,"1:1","1:Many")</f>
        <v>1:Many</v>
      </c>
      <c r="D660" s="42" t="str" cm="1">
        <f t="array" ref="D660">_xlfn.TEXTJOIN(" | ",TRUE,_xlfn._xlws.FILTER(PriceList!$B$4:$B$2641,PriceList!$M$4:$M$2641=A660,""))</f>
        <v>OR7N 017.17-1.78 | OR7N 017-2 | OR9N 017.17-1.78 | OR9N 017-2</v>
      </c>
      <c r="E660" t="str" cm="1">
        <f t="array" ref="E660">_xlfn.TEXTJOIN(", ",TRUE,_xlfn._xlws.FILTER(ROW(PriceList!$B$4:$B$2641),PriceList!$M$4:$M$2641=A660,""))</f>
        <v>587, 589, 1005, 1008</v>
      </c>
      <c r="F660" s="42" t="str" cm="1">
        <f t="array" ref="F660">_xlfn.TEXTJOIN(" | ",TRUE,_xlfn.UNIQUE(_xlfn._xlws.FILTER(PriceList!$Q$4:$Q$2641&amp;" x "&amp;PriceList!$R$4:$R$2641&amp;" x "&amp;PriceList!$S$4:$S$2641,PriceList!$M$4:$M$2641=A660,"")))</f>
        <v>17 x 21 x 2</v>
      </c>
      <c r="G660" t="str" cm="1">
        <f t="array" ref="G660">INDEX(_xlfn._xlws.FILTER(PriceList!$P$4:$P$2641,PriceList!$M$4:$M$2641=A660,""),1)</f>
        <v>O Ring - EPDM</v>
      </c>
    </row>
    <row r="661" spans="1:7" x14ac:dyDescent="0.45">
      <c r="A661" t="s">
        <v>4691</v>
      </c>
      <c r="B661">
        <f>COUNTIF(PriceList!$M$4:$M$2641,A661)</f>
        <v>2</v>
      </c>
      <c r="C661" t="str">
        <f>IF(B661=1,"1:1","1:Many")</f>
        <v>1:Many</v>
      </c>
      <c r="D661" s="42" t="str" cm="1">
        <f t="array" ref="D661">_xlfn.TEXTJOIN(" | ",TRUE,_xlfn._xlws.FILTER(PriceList!$B$4:$B$2641,PriceList!$M$4:$M$2641=A661,""))</f>
        <v>ORV8 017.17-1.78 | ORV8 017-2</v>
      </c>
      <c r="E661" t="str" cm="1">
        <f t="array" ref="E661">_xlfn.TEXTJOIN(", ",TRUE,_xlfn._xlws.FILTER(ROW(PriceList!$B$4:$B$2641),PriceList!$M$4:$M$2641=A661,""))</f>
        <v>1633, 1636</v>
      </c>
      <c r="F661" s="42" t="str" cm="1">
        <f t="array" ref="F661">_xlfn.TEXTJOIN(" | ",TRUE,_xlfn.UNIQUE(_xlfn._xlws.FILTER(PriceList!$Q$4:$Q$2641&amp;" x "&amp;PriceList!$R$4:$R$2641&amp;" x "&amp;PriceList!$S$4:$S$2641,PriceList!$M$4:$M$2641=A661,"")))</f>
        <v>17 x 21 x 2</v>
      </c>
      <c r="G661" t="str" cm="1">
        <f t="array" ref="G661">INDEX(_xlfn._xlws.FILTER(PriceList!$P$4:$P$2641,PriceList!$M$4:$M$2641=A661,""),1)</f>
        <v>O Ring - FPM/FKM/VitonÂ®</v>
      </c>
    </row>
    <row r="662" spans="1:7" x14ac:dyDescent="0.45">
      <c r="A662" t="s">
        <v>3961</v>
      </c>
      <c r="B662">
        <f>COUNTIF(PriceList!$M$4:$M$2641,A662)</f>
        <v>2</v>
      </c>
      <c r="C662" t="str">
        <f>IF(B662=1,"1:1","1:Many")</f>
        <v>1:Many</v>
      </c>
      <c r="D662" s="42" t="str" cm="1">
        <f t="array" ref="D662">_xlfn.TEXTJOIN(" | ",TRUE,_xlfn._xlws.FILTER(PriceList!$B$4:$B$2641,PriceList!$M$4:$M$2641=A662,""))</f>
        <v>OR7N 017-2.5 | OR9N 017-2.5</v>
      </c>
      <c r="E662" t="str" cm="1">
        <f t="array" ref="E662">_xlfn.TEXTJOIN(", ",TRUE,_xlfn._xlws.FILTER(ROW(PriceList!$B$4:$B$2641),PriceList!$M$4:$M$2641=A662,""))</f>
        <v>590, 1009</v>
      </c>
      <c r="F662" s="42" t="str" cm="1">
        <f t="array" ref="F662">_xlfn.TEXTJOIN(" | ",TRUE,_xlfn.UNIQUE(_xlfn._xlws.FILTER(PriceList!$Q$4:$Q$2641&amp;" x "&amp;PriceList!$R$4:$R$2641&amp;" x "&amp;PriceList!$S$4:$S$2641,PriceList!$M$4:$M$2641=A662,"")))</f>
        <v>17 x 22 x 2.5</v>
      </c>
      <c r="G662" t="str" cm="1">
        <f t="array" ref="G662">INDEX(_xlfn._xlws.FILTER(PriceList!$P$4:$P$2641,PriceList!$M$4:$M$2641=A662,""),1)</f>
        <v>O Ring - NBR 70</v>
      </c>
    </row>
    <row r="663" spans="1:7" x14ac:dyDescent="0.45">
      <c r="A663" t="s">
        <v>4694</v>
      </c>
      <c r="B663">
        <f>COUNTIF(PriceList!$M$4:$M$2641,A663)</f>
        <v>1</v>
      </c>
      <c r="C663" t="str">
        <f>IF(B663=1,"1:1","1:Many")</f>
        <v>1:1</v>
      </c>
      <c r="D663" s="42" t="str" cm="1">
        <f t="array" ref="D663">_xlfn.TEXTJOIN(" | ",TRUE,_xlfn._xlws.FILTER(PriceList!$B$4:$B$2641,PriceList!$M$4:$M$2641=A663,""))</f>
        <v>ORV8 017-2.5</v>
      </c>
      <c r="E663" t="str" cm="1">
        <f t="array" ref="E663">_xlfn.TEXTJOIN(", ",TRUE,_xlfn._xlws.FILTER(ROW(PriceList!$B$4:$B$2641),PriceList!$M$4:$M$2641=A663,""))</f>
        <v>1637</v>
      </c>
      <c r="F663" s="42" t="str" cm="1">
        <f t="array" ref="F663">_xlfn.TEXTJOIN(" | ",TRUE,_xlfn.UNIQUE(_xlfn._xlws.FILTER(PriceList!$Q$4:$Q$2641&amp;" x "&amp;PriceList!$R$4:$R$2641&amp;" x "&amp;PriceList!$S$4:$S$2641,PriceList!$M$4:$M$2641=A663,"")))</f>
        <v>17 x 22 x 2.5</v>
      </c>
      <c r="G663" t="str" cm="1">
        <f t="array" ref="G663">INDEX(_xlfn._xlws.FILTER(PriceList!$P$4:$P$2641,PriceList!$M$4:$M$2641=A663,""),1)</f>
        <v>O Ring - FPM/FKM/VitonÂ®</v>
      </c>
    </row>
    <row r="664" spans="1:7" x14ac:dyDescent="0.45">
      <c r="A664" t="s">
        <v>4695</v>
      </c>
      <c r="B664">
        <f>COUNTIF(PriceList!$M$4:$M$2641,A664)</f>
        <v>1</v>
      </c>
      <c r="C664" t="str">
        <f>IF(B664=1,"1:1","1:Many")</f>
        <v>1:1</v>
      </c>
      <c r="D664" s="42" t="str" cm="1">
        <f t="array" ref="D664">_xlfn.TEXTJOIN(" | ",TRUE,_xlfn._xlws.FILTER(PriceList!$B$4:$B$2641,PriceList!$M$4:$M$2641=A664,""))</f>
        <v>ORV8 017-3</v>
      </c>
      <c r="E664" t="str" cm="1">
        <f t="array" ref="E664">_xlfn.TEXTJOIN(", ",TRUE,_xlfn._xlws.FILTER(ROW(PriceList!$B$4:$B$2641),PriceList!$M$4:$M$2641=A664,""))</f>
        <v>1638</v>
      </c>
      <c r="F664" s="42" t="str" cm="1">
        <f t="array" ref="F664">_xlfn.TEXTJOIN(" | ",TRUE,_xlfn.UNIQUE(_xlfn._xlws.FILTER(PriceList!$Q$4:$Q$2641&amp;" x "&amp;PriceList!$R$4:$R$2641&amp;" x "&amp;PriceList!$S$4:$S$2641,PriceList!$M$4:$M$2641=A664,"")))</f>
        <v>17 x 23 x 3</v>
      </c>
      <c r="G664" t="str" cm="1">
        <f t="array" ref="G664">INDEX(_xlfn._xlws.FILTER(PriceList!$P$4:$P$2641,PriceList!$M$4:$M$2641=A664,""),1)</f>
        <v>O Ring - FPM/FKM/VitonÂ®</v>
      </c>
    </row>
    <row r="665" spans="1:7" x14ac:dyDescent="0.45">
      <c r="A665" t="s">
        <v>3954</v>
      </c>
      <c r="B665">
        <f>COUNTIF(PriceList!$M$4:$M$2641,A665)</f>
        <v>2</v>
      </c>
      <c r="C665" t="str">
        <f>IF(B665=1,"1:1","1:Many")</f>
        <v>1:Many</v>
      </c>
      <c r="D665" s="42" t="str" cm="1">
        <f t="array" ref="D665">_xlfn.TEXTJOIN(" | ",TRUE,_xlfn._xlws.FILTER(PriceList!$B$4:$B$2641,PriceList!$M$4:$M$2641=A665,""))</f>
        <v>OR7N 017.04-3.53 | OR9N 017.04-3.53</v>
      </c>
      <c r="E665" t="str" cm="1">
        <f t="array" ref="E665">_xlfn.TEXTJOIN(", ",TRUE,_xlfn._xlws.FILTER(ROW(PriceList!$B$4:$B$2641),PriceList!$M$4:$M$2641=A665,""))</f>
        <v>585, 1003</v>
      </c>
      <c r="F665" s="42" t="str" cm="1">
        <f t="array" ref="F665">_xlfn.TEXTJOIN(" | ",TRUE,_xlfn.UNIQUE(_xlfn._xlws.FILTER(PriceList!$Q$4:$Q$2641&amp;" x "&amp;PriceList!$R$4:$R$2641&amp;" x "&amp;PriceList!$S$4:$S$2641,PriceList!$M$4:$M$2641=A665,"")))</f>
        <v>17 x 24 x 3.5</v>
      </c>
      <c r="G665" t="str" cm="1">
        <f t="array" ref="G665">INDEX(_xlfn._xlws.FILTER(PriceList!$P$4:$P$2641,PriceList!$M$4:$M$2641=A665,""),1)</f>
        <v>O Ring - NBR 70</v>
      </c>
    </row>
    <row r="666" spans="1:7" x14ac:dyDescent="0.45">
      <c r="A666" t="s">
        <v>4387</v>
      </c>
      <c r="B666">
        <f>COUNTIF(PriceList!$M$4:$M$2641,A666)</f>
        <v>1</v>
      </c>
      <c r="C666" t="str">
        <f>IF(B666=1,"1:1","1:Many")</f>
        <v>1:1</v>
      </c>
      <c r="D666" s="42" t="str" cm="1">
        <f t="array" ref="D666">_xlfn.TEXTJOIN(" | ",TRUE,_xlfn._xlws.FILTER(PriceList!$B$4:$B$2641,PriceList!$M$4:$M$2641=A666,""))</f>
        <v>OR9N 017.1-1.6</v>
      </c>
      <c r="E666" t="str" cm="1">
        <f t="array" ref="E666">_xlfn.TEXTJOIN(", ",TRUE,_xlfn._xlws.FILTER(ROW(PriceList!$B$4:$B$2641),PriceList!$M$4:$M$2641=A666,""))</f>
        <v>1006</v>
      </c>
      <c r="F666" s="42" t="str" cm="1">
        <f t="array" ref="F666">_xlfn.TEXTJOIN(" | ",TRUE,_xlfn.UNIQUE(_xlfn._xlws.FILTER(PriceList!$Q$4:$Q$2641&amp;" x "&amp;PriceList!$R$4:$R$2641&amp;" x "&amp;PriceList!$S$4:$S$2641,PriceList!$M$4:$M$2641=A666,"")))</f>
        <v>17.1 x 20.3 x 1.6</v>
      </c>
      <c r="G666" t="str" cm="1">
        <f t="array" ref="G666">INDEX(_xlfn._xlws.FILTER(PriceList!$P$4:$P$2641,PriceList!$M$4:$M$2641=A666,""),1)</f>
        <v>O Ring - NBR 70</v>
      </c>
    </row>
    <row r="667" spans="1:7" x14ac:dyDescent="0.45">
      <c r="A667" t="s">
        <v>4692</v>
      </c>
      <c r="B667">
        <f>COUNTIF(PriceList!$M$4:$M$2641,A667)</f>
        <v>1</v>
      </c>
      <c r="C667" t="str">
        <f>IF(B667=1,"1:1","1:Many")</f>
        <v>1:1</v>
      </c>
      <c r="D667" s="42" t="str" cm="1">
        <f t="array" ref="D667">_xlfn.TEXTJOIN(" | ",TRUE,_xlfn._xlws.FILTER(PriceList!$B$4:$B$2641,PriceList!$M$4:$M$2641=A667,""))</f>
        <v>ORV8 017.1-1.6</v>
      </c>
      <c r="E667" t="str" cm="1">
        <f t="array" ref="E667">_xlfn.TEXTJOIN(", ",TRUE,_xlfn._xlws.FILTER(ROW(PriceList!$B$4:$B$2641),PriceList!$M$4:$M$2641=A667,""))</f>
        <v>1634</v>
      </c>
      <c r="F667" s="42" t="str" cm="1">
        <f t="array" ref="F667">_xlfn.TEXTJOIN(" | ",TRUE,_xlfn.UNIQUE(_xlfn._xlws.FILTER(PriceList!$Q$4:$Q$2641&amp;" x "&amp;PriceList!$R$4:$R$2641&amp;" x "&amp;PriceList!$S$4:$S$2641,PriceList!$M$4:$M$2641=A667,"")))</f>
        <v>17.1 x 20.3 x 1.6</v>
      </c>
      <c r="G667" t="str" cm="1">
        <f t="array" ref="G667">INDEX(_xlfn._xlws.FILTER(PriceList!$P$4:$P$2641,PriceList!$M$4:$M$2641=A667,""),1)</f>
        <v>O Ring - FPM/FKM/VitonÂ®</v>
      </c>
    </row>
    <row r="668" spans="1:7" x14ac:dyDescent="0.45">
      <c r="A668" t="s">
        <v>3960</v>
      </c>
      <c r="B668">
        <f>COUNTIF(PriceList!$M$4:$M$2641,A668)</f>
        <v>2</v>
      </c>
      <c r="C668" t="str">
        <f>IF(B668=1,"1:1","1:Many")</f>
        <v>1:Many</v>
      </c>
      <c r="D668" s="42" t="str" cm="1">
        <f t="array" ref="D668">_xlfn.TEXTJOIN(" | ",TRUE,_xlfn._xlws.FILTER(PriceList!$B$4:$B$2641,PriceList!$M$4:$M$2641=A668,""))</f>
        <v>OR7N 017.8-2.4 | OR9N 017.8-2.4</v>
      </c>
      <c r="E668" t="str" cm="1">
        <f t="array" ref="E668">_xlfn.TEXTJOIN(", ",TRUE,_xlfn._xlws.FILTER(ROW(PriceList!$B$4:$B$2641),PriceList!$M$4:$M$2641=A668,""))</f>
        <v>588, 1007</v>
      </c>
      <c r="F668" s="42" t="str" cm="1">
        <f t="array" ref="F668">_xlfn.TEXTJOIN(" | ",TRUE,_xlfn.UNIQUE(_xlfn._xlws.FILTER(PriceList!$Q$4:$Q$2641&amp;" x "&amp;PriceList!$R$4:$R$2641&amp;" x "&amp;PriceList!$S$4:$S$2641,PriceList!$M$4:$M$2641=A668,"")))</f>
        <v>17.8 x 22.6 x 2.4</v>
      </c>
      <c r="G668" t="str" cm="1">
        <f t="array" ref="G668">INDEX(_xlfn._xlws.FILTER(PriceList!$P$4:$P$2641,PriceList!$M$4:$M$2641=A668,""),1)</f>
        <v>O Ring - NBR 70</v>
      </c>
    </row>
    <row r="669" spans="1:7" x14ac:dyDescent="0.45">
      <c r="A669" t="s">
        <v>4693</v>
      </c>
      <c r="B669">
        <f>COUNTIF(PriceList!$M$4:$M$2641,A669)</f>
        <v>1</v>
      </c>
      <c r="C669" t="str">
        <f>IF(B669=1,"1:1","1:Many")</f>
        <v>1:1</v>
      </c>
      <c r="D669" s="42" t="str" cm="1">
        <f t="array" ref="D669">_xlfn.TEXTJOIN(" | ",TRUE,_xlfn._xlws.FILTER(PriceList!$B$4:$B$2641,PriceList!$M$4:$M$2641=A669,""))</f>
        <v>ORV8 017.8-2.4</v>
      </c>
      <c r="E669" t="str" cm="1">
        <f t="array" ref="E669">_xlfn.TEXTJOIN(", ",TRUE,_xlfn._xlws.FILTER(ROW(PriceList!$B$4:$B$2641),PriceList!$M$4:$M$2641=A669,""))</f>
        <v>1635</v>
      </c>
      <c r="F669" s="42" t="str" cm="1">
        <f t="array" ref="F669">_xlfn.TEXTJOIN(" | ",TRUE,_xlfn.UNIQUE(_xlfn._xlws.FILTER(PriceList!$Q$4:$Q$2641&amp;" x "&amp;PriceList!$R$4:$R$2641&amp;" x "&amp;PriceList!$S$4:$S$2641,PriceList!$M$4:$M$2641=A669,"")))</f>
        <v>17.8 x 22.6 x 2.4</v>
      </c>
      <c r="G669" t="str" cm="1">
        <f t="array" ref="G669">INDEX(_xlfn._xlws.FILTER(PriceList!$P$4:$P$2641,PriceList!$M$4:$M$2641=A669,""),1)</f>
        <v>O Ring - FPM/FKM/VitonÂ®</v>
      </c>
    </row>
    <row r="670" spans="1:7" x14ac:dyDescent="0.45">
      <c r="A670" t="s">
        <v>4696</v>
      </c>
      <c r="B670">
        <f>COUNTIF(PriceList!$M$4:$M$2641,A670)</f>
        <v>1</v>
      </c>
      <c r="C670" t="str">
        <f>IF(B670=1,"1:1","1:Many")</f>
        <v>1:1</v>
      </c>
      <c r="D670" s="42" t="str" cm="1">
        <f t="array" ref="D670">_xlfn.TEXTJOIN(" | ",TRUE,_xlfn._xlws.FILTER(PriceList!$B$4:$B$2641,PriceList!$M$4:$M$2641=A670,""))</f>
        <v>ORV8 018.1-1.6</v>
      </c>
      <c r="E670" t="str" cm="1">
        <f t="array" ref="E670">_xlfn.TEXTJOIN(", ",TRUE,_xlfn._xlws.FILTER(ROW(PriceList!$B$4:$B$2641),PriceList!$M$4:$M$2641=A670,""))</f>
        <v>1640</v>
      </c>
      <c r="F670" s="42" t="str" cm="1">
        <f t="array" ref="F670">_xlfn.TEXTJOIN(" | ",TRUE,_xlfn.UNIQUE(_xlfn._xlws.FILTER(PriceList!$Q$4:$Q$2641&amp;" x "&amp;PriceList!$R$4:$R$2641&amp;" x "&amp;PriceList!$S$4:$S$2641,PriceList!$M$4:$M$2641=A670,"")))</f>
        <v>18 x 21 x 1.5</v>
      </c>
      <c r="G670" t="str" cm="1">
        <f t="array" ref="G670">INDEX(_xlfn._xlws.FILTER(PriceList!$P$4:$P$2641,PriceList!$M$4:$M$2641=A670,""),1)</f>
        <v>O Ring - FPM/FKM/VitonÂ®</v>
      </c>
    </row>
    <row r="671" spans="1:7" x14ac:dyDescent="0.45">
      <c r="A671" t="s">
        <v>4388</v>
      </c>
      <c r="B671">
        <f>COUNTIF(PriceList!$M$4:$M$2641,A671)</f>
        <v>1</v>
      </c>
      <c r="C671" t="str">
        <f>IF(B671=1,"1:1","1:Many")</f>
        <v>1:1</v>
      </c>
      <c r="D671" s="42" t="str" cm="1">
        <f t="array" ref="D671">_xlfn.TEXTJOIN(" | ",TRUE,_xlfn._xlws.FILTER(PriceList!$B$4:$B$2641,PriceList!$M$4:$M$2641=A671,""))</f>
        <v>OR9N 018-2</v>
      </c>
      <c r="E671" t="str" cm="1">
        <f t="array" ref="E671">_xlfn.TEXTJOIN(", ",TRUE,_xlfn._xlws.FILTER(ROW(PriceList!$B$4:$B$2641),PriceList!$M$4:$M$2641=A671,""))</f>
        <v>1013</v>
      </c>
      <c r="F671" s="42" t="str" cm="1">
        <f t="array" ref="F671">_xlfn.TEXTJOIN(" | ",TRUE,_xlfn.UNIQUE(_xlfn._xlws.FILTER(PriceList!$Q$4:$Q$2641&amp;" x "&amp;PriceList!$R$4:$R$2641&amp;" x "&amp;PriceList!$S$4:$S$2641,PriceList!$M$4:$M$2641=A671,"")))</f>
        <v>18 x 22 x 2</v>
      </c>
      <c r="G671" t="str" cm="1">
        <f t="array" ref="G671">INDEX(_xlfn._xlws.FILTER(PriceList!$P$4:$P$2641,PriceList!$M$4:$M$2641=A671,""),1)</f>
        <v>O Ring - NBR 70</v>
      </c>
    </row>
    <row r="672" spans="1:7" x14ac:dyDescent="0.45">
      <c r="A672" t="s">
        <v>4702</v>
      </c>
      <c r="B672">
        <f>COUNTIF(PriceList!$M$4:$M$2641,A672)</f>
        <v>1</v>
      </c>
      <c r="C672" t="str">
        <f>IF(B672=1,"1:1","1:Many")</f>
        <v>1:1</v>
      </c>
      <c r="D672" s="42" t="str" cm="1">
        <f t="array" ref="D672">_xlfn.TEXTJOIN(" | ",TRUE,_xlfn._xlws.FILTER(PriceList!$B$4:$B$2641,PriceList!$M$4:$M$2641=A672,""))</f>
        <v>ORV8 018-2</v>
      </c>
      <c r="E672" t="str" cm="1">
        <f t="array" ref="E672">_xlfn.TEXTJOIN(", ",TRUE,_xlfn._xlws.FILTER(ROW(PriceList!$B$4:$B$2641),PriceList!$M$4:$M$2641=A672,""))</f>
        <v>1645</v>
      </c>
      <c r="F672" s="42" t="str" cm="1">
        <f t="array" ref="F672">_xlfn.TEXTJOIN(" | ",TRUE,_xlfn.UNIQUE(_xlfn._xlws.FILTER(PriceList!$Q$4:$Q$2641&amp;" x "&amp;PriceList!$R$4:$R$2641&amp;" x "&amp;PriceList!$S$4:$S$2641,PriceList!$M$4:$M$2641=A672,"")))</f>
        <v>18 x 22 x 2</v>
      </c>
      <c r="G672" t="str" cm="1">
        <f t="array" ref="G672">INDEX(_xlfn._xlws.FILTER(PriceList!$P$4:$P$2641,PriceList!$M$4:$M$2641=A672,""),1)</f>
        <v>O Ring - FPM/FKM/VitonÂ®</v>
      </c>
    </row>
    <row r="673" spans="1:7" x14ac:dyDescent="0.45">
      <c r="A673" t="s">
        <v>4389</v>
      </c>
      <c r="B673">
        <f>COUNTIF(PriceList!$M$4:$M$2641,A673)</f>
        <v>1</v>
      </c>
      <c r="C673" t="str">
        <f>IF(B673=1,"1:1","1:Many")</f>
        <v>1:1</v>
      </c>
      <c r="D673" s="42" t="str" cm="1">
        <f t="array" ref="D673">_xlfn.TEXTJOIN(" | ",TRUE,_xlfn._xlws.FILTER(PriceList!$B$4:$B$2641,PriceList!$M$4:$M$2641=A673,""))</f>
        <v>OR9N 018-2.5</v>
      </c>
      <c r="E673" t="str" cm="1">
        <f t="array" ref="E673">_xlfn.TEXTJOIN(", ",TRUE,_xlfn._xlws.FILTER(ROW(PriceList!$B$4:$B$2641),PriceList!$M$4:$M$2641=A673,""))</f>
        <v>1014</v>
      </c>
      <c r="F673" s="42" t="str" cm="1">
        <f t="array" ref="F673">_xlfn.TEXTJOIN(" | ",TRUE,_xlfn.UNIQUE(_xlfn._xlws.FILTER(PriceList!$Q$4:$Q$2641&amp;" x "&amp;PriceList!$R$4:$R$2641&amp;" x "&amp;PriceList!$S$4:$S$2641,PriceList!$M$4:$M$2641=A673,"")))</f>
        <v>18 x 23 x 2.5</v>
      </c>
      <c r="G673" t="str" cm="1">
        <f t="array" ref="G673">INDEX(_xlfn._xlws.FILTER(PriceList!$P$4:$P$2641,PriceList!$M$4:$M$2641=A673,""),1)</f>
        <v>O Ring - NBR 70</v>
      </c>
    </row>
    <row r="674" spans="1:7" x14ac:dyDescent="0.45">
      <c r="A674" t="s">
        <v>4703</v>
      </c>
      <c r="B674">
        <f>COUNTIF(PriceList!$M$4:$M$2641,A674)</f>
        <v>1</v>
      </c>
      <c r="C674" t="str">
        <f>IF(B674=1,"1:1","1:Many")</f>
        <v>1:1</v>
      </c>
      <c r="D674" s="42" t="str" cm="1">
        <f t="array" ref="D674">_xlfn.TEXTJOIN(" | ",TRUE,_xlfn._xlws.FILTER(PriceList!$B$4:$B$2641,PriceList!$M$4:$M$2641=A674,""))</f>
        <v>ORV8 018-2.5</v>
      </c>
      <c r="E674" t="str" cm="1">
        <f t="array" ref="E674">_xlfn.TEXTJOIN(", ",TRUE,_xlfn._xlws.FILTER(ROW(PriceList!$B$4:$B$2641),PriceList!$M$4:$M$2641=A674,""))</f>
        <v>1646</v>
      </c>
      <c r="F674" s="42" t="str" cm="1">
        <f t="array" ref="F674">_xlfn.TEXTJOIN(" | ",TRUE,_xlfn.UNIQUE(_xlfn._xlws.FILTER(PriceList!$Q$4:$Q$2641&amp;" x "&amp;PriceList!$R$4:$R$2641&amp;" x "&amp;PriceList!$S$4:$S$2641,PriceList!$M$4:$M$2641=A674,"")))</f>
        <v>18 x 23 x 2.5</v>
      </c>
      <c r="G674" t="str" cm="1">
        <f t="array" ref="G674">INDEX(_xlfn._xlws.FILTER(PriceList!$P$4:$P$2641,PriceList!$M$4:$M$2641=A674,""),1)</f>
        <v>O Ring - FPM/FKM/VitonÂ®</v>
      </c>
    </row>
    <row r="675" spans="1:7" x14ac:dyDescent="0.45">
      <c r="A675" t="s">
        <v>4390</v>
      </c>
      <c r="B675">
        <f>COUNTIF(PriceList!$M$4:$M$2641,A675)</f>
        <v>1</v>
      </c>
      <c r="C675" t="str">
        <f>IF(B675=1,"1:1","1:Many")</f>
        <v>1:1</v>
      </c>
      <c r="D675" s="42" t="str" cm="1">
        <f t="array" ref="D675">_xlfn.TEXTJOIN(" | ",TRUE,_xlfn._xlws.FILTER(PriceList!$B$4:$B$2641,PriceList!$M$4:$M$2641=A675,""))</f>
        <v>OR9N 018-3</v>
      </c>
      <c r="E675" t="str" cm="1">
        <f t="array" ref="E675">_xlfn.TEXTJOIN(", ",TRUE,_xlfn._xlws.FILTER(ROW(PriceList!$B$4:$B$2641),PriceList!$M$4:$M$2641=A675,""))</f>
        <v>1015</v>
      </c>
      <c r="F675" s="42" t="str" cm="1">
        <f t="array" ref="F675">_xlfn.TEXTJOIN(" | ",TRUE,_xlfn.UNIQUE(_xlfn._xlws.FILTER(PriceList!$Q$4:$Q$2641&amp;" x "&amp;PriceList!$R$4:$R$2641&amp;" x "&amp;PriceList!$S$4:$S$2641,PriceList!$M$4:$M$2641=A675,"")))</f>
        <v>18 x 24 x 3</v>
      </c>
      <c r="G675" t="str" cm="1">
        <f t="array" ref="G675">INDEX(_xlfn._xlws.FILTER(PriceList!$P$4:$P$2641,PriceList!$M$4:$M$2641=A675,""),1)</f>
        <v>O Ring - EPDM</v>
      </c>
    </row>
    <row r="676" spans="1:7" x14ac:dyDescent="0.45">
      <c r="A676" t="s">
        <v>4704</v>
      </c>
      <c r="B676">
        <f>COUNTIF(PriceList!$M$4:$M$2641,A676)</f>
        <v>1</v>
      </c>
      <c r="C676" t="str">
        <f>IF(B676=1,"1:1","1:Many")</f>
        <v>1:1</v>
      </c>
      <c r="D676" s="42" t="str" cm="1">
        <f t="array" ref="D676">_xlfn.TEXTJOIN(" | ",TRUE,_xlfn._xlws.FILTER(PriceList!$B$4:$B$2641,PriceList!$M$4:$M$2641=A676,""))</f>
        <v>ORV8 018-3</v>
      </c>
      <c r="E676" t="str" cm="1">
        <f t="array" ref="E676">_xlfn.TEXTJOIN(", ",TRUE,_xlfn._xlws.FILTER(ROW(PriceList!$B$4:$B$2641),PriceList!$M$4:$M$2641=A676,""))</f>
        <v>1647</v>
      </c>
      <c r="F676" s="42" t="str" cm="1">
        <f t="array" ref="F676">_xlfn.TEXTJOIN(" | ",TRUE,_xlfn.UNIQUE(_xlfn._xlws.FILTER(PriceList!$Q$4:$Q$2641&amp;" x "&amp;PriceList!$R$4:$R$2641&amp;" x "&amp;PriceList!$S$4:$S$2641,PriceList!$M$4:$M$2641=A676,"")))</f>
        <v>18 x 24 x 3</v>
      </c>
      <c r="G676" t="str" cm="1">
        <f t="array" ref="G676">INDEX(_xlfn._xlws.FILTER(PriceList!$P$4:$P$2641,PriceList!$M$4:$M$2641=A676,""),1)</f>
        <v>O Ring - FPM/FKM/VitonÂ®</v>
      </c>
    </row>
    <row r="677" spans="1:7" x14ac:dyDescent="0.45">
      <c r="A677" t="s">
        <v>4684</v>
      </c>
      <c r="B677">
        <f>COUNTIF(PriceList!$M$4:$M$2641,A677)</f>
        <v>2</v>
      </c>
      <c r="C677" t="str">
        <f>IF(B677=1,"1:1","1:Many")</f>
        <v>1:Many</v>
      </c>
      <c r="D677" s="42" t="str" cm="1">
        <f t="array" ref="D677">_xlfn.TEXTJOIN(" | ",TRUE,_xlfn._xlws.FILTER(PriceList!$B$4:$B$2641,PriceList!$M$4:$M$2641=A677,""))</f>
        <v>ORV8 016.81-5.33 | ORV8 017-5</v>
      </c>
      <c r="E677" t="str" cm="1">
        <f t="array" ref="E677">_xlfn.TEXTJOIN(", ",TRUE,_xlfn._xlws.FILTER(ROW(PriceList!$B$4:$B$2641),PriceList!$M$4:$M$2641=A677,""))</f>
        <v>1625, 1639</v>
      </c>
      <c r="F677" s="42" t="str" cm="1">
        <f t="array" ref="F677">_xlfn.TEXTJOIN(" | ",TRUE,_xlfn.UNIQUE(_xlfn._xlws.FILTER(PriceList!$Q$4:$Q$2641&amp;" x "&amp;PriceList!$R$4:$R$2641&amp;" x "&amp;PriceList!$S$4:$S$2641,PriceList!$M$4:$M$2641=A677,"")))</f>
        <v>18 x 26 x 4</v>
      </c>
      <c r="G677" t="str" cm="1">
        <f t="array" ref="G677">INDEX(_xlfn._xlws.FILTER(PriceList!$P$4:$P$2641,PriceList!$M$4:$M$2641=A677,""),1)</f>
        <v>O Ring - FPM/FKM/VitonÂ®</v>
      </c>
    </row>
    <row r="678" spans="1:7" x14ac:dyDescent="0.45">
      <c r="A678" t="s">
        <v>4706</v>
      </c>
      <c r="B678">
        <f>COUNTIF(PriceList!$M$4:$M$2641,A678)</f>
        <v>1</v>
      </c>
      <c r="C678" t="str">
        <f>IF(B678=1,"1:1","1:Many")</f>
        <v>1:1</v>
      </c>
      <c r="D678" s="42" t="str" cm="1">
        <f t="array" ref="D678">_xlfn.TEXTJOIN(" | ",TRUE,_xlfn._xlws.FILTER(PriceList!$B$4:$B$2641,PriceList!$M$4:$M$2641=A678,""))</f>
        <v>ORV8 019-2</v>
      </c>
      <c r="E678" t="str" cm="1">
        <f t="array" ref="E678">_xlfn.TEXTJOIN(", ",TRUE,_xlfn._xlws.FILTER(ROW(PriceList!$B$4:$B$2641),PriceList!$M$4:$M$2641=A678,""))</f>
        <v>1649</v>
      </c>
      <c r="F678" s="42" t="str" cm="1">
        <f t="array" ref="F678">_xlfn.TEXTJOIN(" | ",TRUE,_xlfn.UNIQUE(_xlfn._xlws.FILTER(PriceList!$Q$4:$Q$2641&amp;" x "&amp;PriceList!$R$4:$R$2641&amp;" x "&amp;PriceList!$S$4:$S$2641,PriceList!$M$4:$M$2641=A678,"")))</f>
        <v>19 x 23 x 2</v>
      </c>
      <c r="G678" t="str" cm="1">
        <f t="array" ref="G678">INDEX(_xlfn._xlws.FILTER(PriceList!$P$4:$P$2641,PriceList!$M$4:$M$2641=A678,""),1)</f>
        <v>O Ring - FPM/FKM/VitonÂ®</v>
      </c>
    </row>
    <row r="679" spans="1:7" x14ac:dyDescent="0.45">
      <c r="A679" t="s">
        <v>3964</v>
      </c>
      <c r="B679">
        <f>COUNTIF(PriceList!$M$4:$M$2641,A679)</f>
        <v>3</v>
      </c>
      <c r="C679" t="str">
        <f>IF(B679=1,"1:1","1:Many")</f>
        <v>1:Many</v>
      </c>
      <c r="D679" s="42" t="str" cm="1">
        <f t="array" ref="D679">_xlfn.TEXTJOIN(" | ",TRUE,_xlfn._xlws.FILTER(PriceList!$B$4:$B$2641,PriceList!$M$4:$M$2641=A679,""))</f>
        <v>OR7N 018.72-2.62 | OR9N 018.72-2.62 | OR9N 019-2.5</v>
      </c>
      <c r="E679" t="str" cm="1">
        <f t="array" ref="E679">_xlfn.TEXTJOIN(", ",TRUE,_xlfn._xlws.FILTER(ROW(PriceList!$B$4:$B$2641),PriceList!$M$4:$M$2641=A679,""))</f>
        <v>592, 1011, 1017</v>
      </c>
      <c r="F679" s="42" t="str" cm="1">
        <f t="array" ref="F679">_xlfn.TEXTJOIN(" | ",TRUE,_xlfn.UNIQUE(_xlfn._xlws.FILTER(PriceList!$Q$4:$Q$2641&amp;" x "&amp;PriceList!$R$4:$R$2641&amp;" x "&amp;PriceList!$S$4:$S$2641,PriceList!$M$4:$M$2641=A679,"")))</f>
        <v>19 x 24 x 2.5</v>
      </c>
      <c r="G679" t="str" cm="1">
        <f t="array" ref="G679">INDEX(_xlfn._xlws.FILTER(PriceList!$P$4:$P$2641,PriceList!$M$4:$M$2641=A679,""),1)</f>
        <v>O Ring - NBR 70</v>
      </c>
    </row>
    <row r="680" spans="1:7" x14ac:dyDescent="0.45">
      <c r="A680" t="s">
        <v>4700</v>
      </c>
      <c r="B680">
        <f>COUNTIF(PriceList!$M$4:$M$2641,A680)</f>
        <v>2</v>
      </c>
      <c r="C680" t="str">
        <f>IF(B680=1,"1:1","1:Many")</f>
        <v>1:Many</v>
      </c>
      <c r="D680" s="42" t="str" cm="1">
        <f t="array" ref="D680">_xlfn.TEXTJOIN(" | ",TRUE,_xlfn._xlws.FILTER(PriceList!$B$4:$B$2641,PriceList!$M$4:$M$2641=A680,""))</f>
        <v>ORV8 018.72-2.62 | ORV8 019-2.5</v>
      </c>
      <c r="E680" t="str" cm="1">
        <f t="array" ref="E680">_xlfn.TEXTJOIN(", ",TRUE,_xlfn._xlws.FILTER(ROW(PriceList!$B$4:$B$2641),PriceList!$M$4:$M$2641=A680,""))</f>
        <v>1643, 1650</v>
      </c>
      <c r="F680" s="42" t="str" cm="1">
        <f t="array" ref="F680">_xlfn.TEXTJOIN(" | ",TRUE,_xlfn.UNIQUE(_xlfn._xlws.FILTER(PriceList!$Q$4:$Q$2641&amp;" x "&amp;PriceList!$R$4:$R$2641&amp;" x "&amp;PriceList!$S$4:$S$2641,PriceList!$M$4:$M$2641=A680,"")))</f>
        <v>19 x 24 x 2.5</v>
      </c>
      <c r="G680" t="str" cm="1">
        <f t="array" ref="G680">INDEX(_xlfn._xlws.FILTER(PriceList!$P$4:$P$2641,PriceList!$M$4:$M$2641=A680,""),1)</f>
        <v>O Ring - FPM/FKM/VitonÂ®</v>
      </c>
    </row>
    <row r="681" spans="1:7" x14ac:dyDescent="0.45">
      <c r="A681" t="s">
        <v>4391</v>
      </c>
      <c r="B681">
        <f>COUNTIF(PriceList!$M$4:$M$2641,A681)</f>
        <v>1</v>
      </c>
      <c r="C681" t="str">
        <f>IF(B681=1,"1:1","1:Many")</f>
        <v>1:1</v>
      </c>
      <c r="D681" s="42" t="str" cm="1">
        <f t="array" ref="D681">_xlfn.TEXTJOIN(" | ",TRUE,_xlfn._xlws.FILTER(PriceList!$B$4:$B$2641,PriceList!$M$4:$M$2641=A681,""))</f>
        <v>OR9N 019-3</v>
      </c>
      <c r="E681" t="str" cm="1">
        <f t="array" ref="E681">_xlfn.TEXTJOIN(", ",TRUE,_xlfn._xlws.FILTER(ROW(PriceList!$B$4:$B$2641),PriceList!$M$4:$M$2641=A681,""))</f>
        <v>1018</v>
      </c>
      <c r="F681" s="42" t="str" cm="1">
        <f t="array" ref="F681">_xlfn.TEXTJOIN(" | ",TRUE,_xlfn.UNIQUE(_xlfn._xlws.FILTER(PriceList!$Q$4:$Q$2641&amp;" x "&amp;PriceList!$R$4:$R$2641&amp;" x "&amp;PriceList!$S$4:$S$2641,PriceList!$M$4:$M$2641=A681,"")))</f>
        <v>19 x 25 x 3</v>
      </c>
      <c r="G681" t="str" cm="1">
        <f t="array" ref="G681">INDEX(_xlfn._xlws.FILTER(PriceList!$P$4:$P$2641,PriceList!$M$4:$M$2641=A681,""),1)</f>
        <v>O Ring - NBR 70</v>
      </c>
    </row>
    <row r="682" spans="1:7" x14ac:dyDescent="0.45">
      <c r="A682" t="s">
        <v>4707</v>
      </c>
      <c r="B682">
        <f>COUNTIF(PriceList!$M$4:$M$2641,A682)</f>
        <v>1</v>
      </c>
      <c r="C682" t="str">
        <f>IF(B682=1,"1:1","1:Many")</f>
        <v>1:1</v>
      </c>
      <c r="D682" s="42" t="str" cm="1">
        <f t="array" ref="D682">_xlfn.TEXTJOIN(" | ",TRUE,_xlfn._xlws.FILTER(PriceList!$B$4:$B$2641,PriceList!$M$4:$M$2641=A682,""))</f>
        <v>ORV8 019-3</v>
      </c>
      <c r="E682" t="str" cm="1">
        <f t="array" ref="E682">_xlfn.TEXTJOIN(", ",TRUE,_xlfn._xlws.FILTER(ROW(PriceList!$B$4:$B$2641),PriceList!$M$4:$M$2641=A682,""))</f>
        <v>1651</v>
      </c>
      <c r="F682" s="42" t="str" cm="1">
        <f t="array" ref="F682">_xlfn.TEXTJOIN(" | ",TRUE,_xlfn.UNIQUE(_xlfn._xlws.FILTER(PriceList!$Q$4:$Q$2641&amp;" x "&amp;PriceList!$R$4:$R$2641&amp;" x "&amp;PriceList!$S$4:$S$2641,PriceList!$M$4:$M$2641=A682,"")))</f>
        <v>19 x 25 x 3</v>
      </c>
      <c r="G682" t="str" cm="1">
        <f t="array" ref="G682">INDEX(_xlfn._xlws.FILTER(PriceList!$P$4:$P$2641,PriceList!$M$4:$M$2641=A682,""),1)</f>
        <v>O Ring - FPM/FKM/VitonÂ®</v>
      </c>
    </row>
    <row r="683" spans="1:7" x14ac:dyDescent="0.45">
      <c r="A683" t="s">
        <v>4705</v>
      </c>
      <c r="B683">
        <f>COUNTIF(PriceList!$M$4:$M$2641,A683)</f>
        <v>1</v>
      </c>
      <c r="C683" t="str">
        <f>IF(B683=1,"1:1","1:Many")</f>
        <v>1:1</v>
      </c>
      <c r="D683" s="42" t="str" cm="1">
        <f t="array" ref="D683">_xlfn.TEXTJOIN(" | ",TRUE,_xlfn._xlws.FILTER(PriceList!$B$4:$B$2641,PriceList!$M$4:$M$2641=A683,""))</f>
        <v>ORV8 019.4-3.1</v>
      </c>
      <c r="E683" t="str" cm="1">
        <f t="array" ref="E683">_xlfn.TEXTJOIN(", ",TRUE,_xlfn._xlws.FILTER(ROW(PriceList!$B$4:$B$2641),PriceList!$M$4:$M$2641=A683,""))</f>
        <v>1648</v>
      </c>
      <c r="F683" s="42" t="str" cm="1">
        <f t="array" ref="F683">_xlfn.TEXTJOIN(" | ",TRUE,_xlfn.UNIQUE(_xlfn._xlws.FILTER(PriceList!$Q$4:$Q$2641&amp;" x "&amp;PriceList!$R$4:$R$2641&amp;" x "&amp;PriceList!$S$4:$S$2641,PriceList!$M$4:$M$2641=A683,"")))</f>
        <v>19.5 x 25.5 x 3</v>
      </c>
      <c r="G683" t="str" cm="1">
        <f t="array" ref="G683">INDEX(_xlfn._xlws.FILTER(PriceList!$P$4:$P$2641,PriceList!$M$4:$M$2641=A683,""),1)</f>
        <v>O Ring - FPM/FKM/VitonÂ®</v>
      </c>
    </row>
    <row r="684" spans="1:7" x14ac:dyDescent="0.45">
      <c r="A684" t="s">
        <v>3968</v>
      </c>
      <c r="B684">
        <f>COUNTIF(PriceList!$M$4:$M$2641,A684)</f>
        <v>2</v>
      </c>
      <c r="C684" t="str">
        <f>IF(B684=1,"1:1","1:Many")</f>
        <v>1:Many</v>
      </c>
      <c r="D684" s="42" t="str" cm="1">
        <f t="array" ref="D684">_xlfn.TEXTJOIN(" | ",TRUE,_xlfn._xlws.FILTER(PriceList!$B$4:$B$2641,PriceList!$M$4:$M$2641=A684,""))</f>
        <v>OR7N 019.8-2.4 | OR9N 019.8-2.4</v>
      </c>
      <c r="E684" t="str" cm="1">
        <f t="array" ref="E684">_xlfn.TEXTJOIN(", ",TRUE,_xlfn._xlws.FILTER(ROW(PriceList!$B$4:$B$2641),PriceList!$M$4:$M$2641=A684,""))</f>
        <v>594, 1016</v>
      </c>
      <c r="F684" s="42" t="str" cm="1">
        <f t="array" ref="F684">_xlfn.TEXTJOIN(" | ",TRUE,_xlfn.UNIQUE(_xlfn._xlws.FILTER(PriceList!$Q$4:$Q$2641&amp;" x "&amp;PriceList!$R$4:$R$2641&amp;" x "&amp;PriceList!$S$4:$S$2641,PriceList!$M$4:$M$2641=A684,"")))</f>
        <v>19.8 x 24.6 x 2.4</v>
      </c>
      <c r="G684" t="str" cm="1">
        <f t="array" ref="G684">INDEX(_xlfn._xlws.FILTER(PriceList!$P$4:$P$2641,PriceList!$M$4:$M$2641=A684,""),1)</f>
        <v>O Ring - NBR 70</v>
      </c>
    </row>
    <row r="685" spans="1:7" x14ac:dyDescent="0.45">
      <c r="A685" t="s">
        <v>4712</v>
      </c>
      <c r="B685">
        <f>COUNTIF(PriceList!$M$4:$M$2641,A685)</f>
        <v>1</v>
      </c>
      <c r="C685" t="str">
        <f>IF(B685=1,"1:1","1:Many")</f>
        <v>1:1</v>
      </c>
      <c r="D685" s="42" t="str" cm="1">
        <f t="array" ref="D685">_xlfn.TEXTJOIN(" | ",TRUE,_xlfn._xlws.FILTER(PriceList!$B$4:$B$2641,PriceList!$M$4:$M$2641=A685,""))</f>
        <v>ORV8 020-1.5</v>
      </c>
      <c r="E685" t="str" cm="1">
        <f t="array" ref="E685">_xlfn.TEXTJOIN(", ",TRUE,_xlfn._xlws.FILTER(ROW(PriceList!$B$4:$B$2641),PriceList!$M$4:$M$2641=A685,""))</f>
        <v>1657</v>
      </c>
      <c r="F685" s="42" t="str" cm="1">
        <f t="array" ref="F685">_xlfn.TEXTJOIN(" | ",TRUE,_xlfn.UNIQUE(_xlfn._xlws.FILTER(PriceList!$Q$4:$Q$2641&amp;" x "&amp;PriceList!$R$4:$R$2641&amp;" x "&amp;PriceList!$S$4:$S$2641,PriceList!$M$4:$M$2641=A685,"")))</f>
        <v>20 x 23 x 1.5</v>
      </c>
      <c r="G685" t="str" cm="1">
        <f t="array" ref="G685">INDEX(_xlfn._xlws.FILTER(PriceList!$P$4:$P$2641,PriceList!$M$4:$M$2641=A685,""),1)</f>
        <v>O Ring - FPM/FKM/VitonÂ®</v>
      </c>
    </row>
    <row r="686" spans="1:7" x14ac:dyDescent="0.45">
      <c r="A686" t="s">
        <v>4393</v>
      </c>
      <c r="B686">
        <f>COUNTIF(PriceList!$M$4:$M$2641,A686)</f>
        <v>1</v>
      </c>
      <c r="C686" t="str">
        <f>IF(B686=1,"1:1","1:Many")</f>
        <v>1:1</v>
      </c>
      <c r="D686" s="42" t="str" cm="1">
        <f t="array" ref="D686">_xlfn.TEXTJOIN(" | ",TRUE,_xlfn._xlws.FILTER(PriceList!$B$4:$B$2641,PriceList!$M$4:$M$2641=A686,""))</f>
        <v>OR9N 020-2</v>
      </c>
      <c r="E686" t="str" cm="1">
        <f t="array" ref="E686">_xlfn.TEXTJOIN(", ",TRUE,_xlfn._xlws.FILTER(ROW(PriceList!$B$4:$B$2641),PriceList!$M$4:$M$2641=A686,""))</f>
        <v>1023</v>
      </c>
      <c r="F686" s="42" t="str" cm="1">
        <f t="array" ref="F686">_xlfn.TEXTJOIN(" | ",TRUE,_xlfn.UNIQUE(_xlfn._xlws.FILTER(PriceList!$Q$4:$Q$2641&amp;" x "&amp;PriceList!$R$4:$R$2641&amp;" x "&amp;PriceList!$S$4:$S$2641,PriceList!$M$4:$M$2641=A686,"")))</f>
        <v>20 x 24 x 2</v>
      </c>
      <c r="G686" t="str" cm="1">
        <f t="array" ref="G686">INDEX(_xlfn._xlws.FILTER(PriceList!$P$4:$P$2641,PriceList!$M$4:$M$2641=A686,""),1)</f>
        <v>O Ring - NBR 70</v>
      </c>
    </row>
    <row r="687" spans="1:7" x14ac:dyDescent="0.45">
      <c r="A687" t="s">
        <v>4394</v>
      </c>
      <c r="B687">
        <f>COUNTIF(PriceList!$M$4:$M$2641,A687)</f>
        <v>1</v>
      </c>
      <c r="C687" t="str">
        <f>IF(B687=1,"1:1","1:Many")</f>
        <v>1:1</v>
      </c>
      <c r="D687" s="42" t="str" cm="1">
        <f t="array" ref="D687">_xlfn.TEXTJOIN(" | ",TRUE,_xlfn._xlws.FILTER(PriceList!$B$4:$B$2641,PriceList!$M$4:$M$2641=A687,""))</f>
        <v>OR9N 020-2.5</v>
      </c>
      <c r="E687" t="str" cm="1">
        <f t="array" ref="E687">_xlfn.TEXTJOIN(", ",TRUE,_xlfn._xlws.FILTER(ROW(PriceList!$B$4:$B$2641),PriceList!$M$4:$M$2641=A687,""))</f>
        <v>1024</v>
      </c>
      <c r="F687" s="42" t="str" cm="1">
        <f t="array" ref="F687">_xlfn.TEXTJOIN(" | ",TRUE,_xlfn.UNIQUE(_xlfn._xlws.FILTER(PriceList!$Q$4:$Q$2641&amp;" x "&amp;PriceList!$R$4:$R$2641&amp;" x "&amp;PriceList!$S$4:$S$2641,PriceList!$M$4:$M$2641=A687,"")))</f>
        <v>20 x 25 x 2.5</v>
      </c>
      <c r="G687" t="str" cm="1">
        <f t="array" ref="G687">INDEX(_xlfn._xlws.FILTER(PriceList!$P$4:$P$2641,PriceList!$M$4:$M$2641=A687,""),1)</f>
        <v>O Ring - EPDM</v>
      </c>
    </row>
    <row r="688" spans="1:7" x14ac:dyDescent="0.45">
      <c r="A688" t="s">
        <v>4714</v>
      </c>
      <c r="B688">
        <f>COUNTIF(PriceList!$M$4:$M$2641,A688)</f>
        <v>1</v>
      </c>
      <c r="C688" t="str">
        <f>IF(B688=1,"1:1","1:Many")</f>
        <v>1:1</v>
      </c>
      <c r="D688" s="42" t="str" cm="1">
        <f t="array" ref="D688">_xlfn.TEXTJOIN(" | ",TRUE,_xlfn._xlws.FILTER(PriceList!$B$4:$B$2641,PriceList!$M$4:$M$2641=A688,""))</f>
        <v>ORV8 020-2.5</v>
      </c>
      <c r="E688" t="str" cm="1">
        <f t="array" ref="E688">_xlfn.TEXTJOIN(", ",TRUE,_xlfn._xlws.FILTER(ROW(PriceList!$B$4:$B$2641),PriceList!$M$4:$M$2641=A688,""))</f>
        <v>1659</v>
      </c>
      <c r="F688" s="42" t="str" cm="1">
        <f t="array" ref="F688">_xlfn.TEXTJOIN(" | ",TRUE,_xlfn.UNIQUE(_xlfn._xlws.FILTER(PriceList!$Q$4:$Q$2641&amp;" x "&amp;PriceList!$R$4:$R$2641&amp;" x "&amp;PriceList!$S$4:$S$2641,PriceList!$M$4:$M$2641=A688,"")))</f>
        <v>20 x 25 x 2.5</v>
      </c>
      <c r="G688" t="str" cm="1">
        <f t="array" ref="G688">INDEX(_xlfn._xlws.FILTER(PriceList!$P$4:$P$2641,PriceList!$M$4:$M$2641=A688,""),1)</f>
        <v>O Ring - FPM/FKM/VitonÂ®</v>
      </c>
    </row>
    <row r="689" spans="1:7" x14ac:dyDescent="0.45">
      <c r="A689" t="s">
        <v>4715</v>
      </c>
      <c r="B689">
        <f>COUNTIF(PriceList!$M$4:$M$2641,A689)</f>
        <v>1</v>
      </c>
      <c r="C689" t="str">
        <f>IF(B689=1,"1:1","1:Many")</f>
        <v>1:1</v>
      </c>
      <c r="D689" s="42" t="str" cm="1">
        <f t="array" ref="D689">_xlfn.TEXTJOIN(" | ",TRUE,_xlfn._xlws.FILTER(PriceList!$B$4:$B$2641,PriceList!$M$4:$M$2641=A689,""))</f>
        <v>ORV8 020-3</v>
      </c>
      <c r="E689" t="str" cm="1">
        <f t="array" ref="E689">_xlfn.TEXTJOIN(", ",TRUE,_xlfn._xlws.FILTER(ROW(PriceList!$B$4:$B$2641),PriceList!$M$4:$M$2641=A689,""))</f>
        <v>1660</v>
      </c>
      <c r="F689" s="42" t="str" cm="1">
        <f t="array" ref="F689">_xlfn.TEXTJOIN(" | ",TRUE,_xlfn.UNIQUE(_xlfn._xlws.FILTER(PriceList!$Q$4:$Q$2641&amp;" x "&amp;PriceList!$R$4:$R$2641&amp;" x "&amp;PriceList!$S$4:$S$2641,PriceList!$M$4:$M$2641=A689,"")))</f>
        <v>20 x 26 x 3</v>
      </c>
      <c r="G689" t="str" cm="1">
        <f t="array" ref="G689">INDEX(_xlfn._xlws.FILTER(PriceList!$P$4:$P$2641,PriceList!$M$4:$M$2641=A689,""),1)</f>
        <v>O Ring - FPM/FKM/VitonÂ®</v>
      </c>
    </row>
    <row r="690" spans="1:7" x14ac:dyDescent="0.45">
      <c r="A690" t="s">
        <v>3969</v>
      </c>
      <c r="B690">
        <f>COUNTIF(PriceList!$M$4:$M$2641,A690)</f>
        <v>2</v>
      </c>
      <c r="C690" t="str">
        <f>IF(B690=1,"1:1","1:Many")</f>
        <v>1:Many</v>
      </c>
      <c r="D690" s="42" t="str" cm="1">
        <f t="array" ref="D690">_xlfn.TEXTJOIN(" | ",TRUE,_xlfn._xlws.FILTER(PriceList!$B$4:$B$2641,PriceList!$M$4:$M$2641=A690,""))</f>
        <v>OR7N 020.22-3.53 | OR9N 020.22-3.53</v>
      </c>
      <c r="E690" t="str" cm="1">
        <f t="array" ref="E690">_xlfn.TEXTJOIN(", ",TRUE,_xlfn._xlws.FILTER(ROW(PriceList!$B$4:$B$2641),PriceList!$M$4:$M$2641=A690,""))</f>
        <v>595, 1019</v>
      </c>
      <c r="F690" s="42" t="str" cm="1">
        <f t="array" ref="F690">_xlfn.TEXTJOIN(" | ",TRUE,_xlfn.UNIQUE(_xlfn._xlws.FILTER(PriceList!$Q$4:$Q$2641&amp;" x "&amp;PriceList!$R$4:$R$2641&amp;" x "&amp;PriceList!$S$4:$S$2641,PriceList!$M$4:$M$2641=A690,"")))</f>
        <v>20 x 27 x 3.5</v>
      </c>
      <c r="G690" t="str" cm="1">
        <f t="array" ref="G690">INDEX(_xlfn._xlws.FILTER(PriceList!$P$4:$P$2641,PriceList!$M$4:$M$2641=A690,""),1)</f>
        <v>O Ring - NBR 70</v>
      </c>
    </row>
    <row r="691" spans="1:7" x14ac:dyDescent="0.45">
      <c r="A691" t="s">
        <v>4708</v>
      </c>
      <c r="B691">
        <f>COUNTIF(PriceList!$M$4:$M$2641,A691)</f>
        <v>2</v>
      </c>
      <c r="C691" t="str">
        <f>IF(B691=1,"1:1","1:Many")</f>
        <v>1:Many</v>
      </c>
      <c r="D691" s="42" t="str" cm="1">
        <f t="array" ref="D691">_xlfn.TEXTJOIN(" | ",TRUE,_xlfn._xlws.FILTER(PriceList!$B$4:$B$2641,PriceList!$M$4:$M$2641=A691,""))</f>
        <v>ORV8 020.22-3.53 | ORV8 020-3.5</v>
      </c>
      <c r="E691" t="str" cm="1">
        <f t="array" ref="E691">_xlfn.TEXTJOIN(", ",TRUE,_xlfn._xlws.FILTER(ROW(PriceList!$B$4:$B$2641),PriceList!$M$4:$M$2641=A691,""))</f>
        <v>1652, 1661</v>
      </c>
      <c r="F691" s="42" t="str" cm="1">
        <f t="array" ref="F691">_xlfn.TEXTJOIN(" | ",TRUE,_xlfn.UNIQUE(_xlfn._xlws.FILTER(PriceList!$Q$4:$Q$2641&amp;" x "&amp;PriceList!$R$4:$R$2641&amp;" x "&amp;PriceList!$S$4:$S$2641,PriceList!$M$4:$M$2641=A691,"")))</f>
        <v>20 x 27 x 3.5</v>
      </c>
      <c r="G691" t="str" cm="1">
        <f t="array" ref="G691">INDEX(_xlfn._xlws.FILTER(PriceList!$P$4:$P$2641,PriceList!$M$4:$M$2641=A691,""),1)</f>
        <v>O Ring - FPM/FKM/VitonÂ®</v>
      </c>
    </row>
    <row r="692" spans="1:7" x14ac:dyDescent="0.45">
      <c r="A692" t="s">
        <v>4697</v>
      </c>
      <c r="B692">
        <f>COUNTIF(PriceList!$M$4:$M$2641,A692)</f>
        <v>1</v>
      </c>
      <c r="C692" t="str">
        <f>IF(B692=1,"1:1","1:Many")</f>
        <v>1:1</v>
      </c>
      <c r="D692" s="42" t="str" cm="1">
        <f t="array" ref="D692">_xlfn.TEXTJOIN(" | ",TRUE,_xlfn._xlws.FILTER(PriceList!$B$4:$B$2641,PriceList!$M$4:$M$2641=A692,""))</f>
        <v>ORV8 018.5-5</v>
      </c>
      <c r="E692" t="str" cm="1">
        <f t="array" ref="E692">_xlfn.TEXTJOIN(", ",TRUE,_xlfn._xlws.FILTER(ROW(PriceList!$B$4:$B$2641),PriceList!$M$4:$M$2641=A692,""))</f>
        <v>1641</v>
      </c>
      <c r="F692" s="42" t="str" cm="1">
        <f t="array" ref="F692">_xlfn.TEXTJOIN(" | ",TRUE,_xlfn.UNIQUE(_xlfn._xlws.FILTER(PriceList!$Q$4:$Q$2641&amp;" x "&amp;PriceList!$R$4:$R$2641&amp;" x "&amp;PriceList!$S$4:$S$2641,PriceList!$M$4:$M$2641=A692,"")))</f>
        <v>20 x 28 x 4</v>
      </c>
      <c r="G692" t="str" cm="1">
        <f t="array" ref="G692">INDEX(_xlfn._xlws.FILTER(PriceList!$P$4:$P$2641,PriceList!$M$4:$M$2641=A692,""),1)</f>
        <v>O Ring - FPM/FKM/VitonÂ®</v>
      </c>
    </row>
    <row r="693" spans="1:7" x14ac:dyDescent="0.45">
      <c r="A693" t="s">
        <v>3971</v>
      </c>
      <c r="B693">
        <f>COUNTIF(PriceList!$M$4:$M$2641,A693)</f>
        <v>2</v>
      </c>
      <c r="C693" t="str">
        <f>IF(B693=1,"1:1","1:Many")</f>
        <v>1:Many</v>
      </c>
      <c r="D693" s="42" t="str" cm="1">
        <f t="array" ref="D693">_xlfn.TEXTJOIN(" | ",TRUE,_xlfn._xlws.FILTER(PriceList!$B$4:$B$2641,PriceList!$M$4:$M$2641=A693,""))</f>
        <v>OR7N 020.29-2.62 | OR9N 020.29-2.62</v>
      </c>
      <c r="E693" t="str" cm="1">
        <f t="array" ref="E693">_xlfn.TEXTJOIN(", ",TRUE,_xlfn._xlws.FILTER(ROW(PriceList!$B$4:$B$2641),PriceList!$M$4:$M$2641=A693,""))</f>
        <v>596, 1020</v>
      </c>
      <c r="F693" s="42" t="str" cm="1">
        <f t="array" ref="F693">_xlfn.TEXTJOIN(" | ",TRUE,_xlfn.UNIQUE(_xlfn._xlws.FILTER(PriceList!$Q$4:$Q$2641&amp;" x "&amp;PriceList!$R$4:$R$2641&amp;" x "&amp;PriceList!$S$4:$S$2641,PriceList!$M$4:$M$2641=A693,"")))</f>
        <v>20.3 x 25.1 x 2.4</v>
      </c>
      <c r="G693" t="str" cm="1">
        <f t="array" ref="G693">INDEX(_xlfn._xlws.FILTER(PriceList!$P$4:$P$2641,PriceList!$M$4:$M$2641=A693,""),1)</f>
        <v>O Ring - NBR 70</v>
      </c>
    </row>
    <row r="694" spans="1:7" x14ac:dyDescent="0.45">
      <c r="A694" t="s">
        <v>4709</v>
      </c>
      <c r="B694">
        <f>COUNTIF(PriceList!$M$4:$M$2641,A694)</f>
        <v>2</v>
      </c>
      <c r="C694" t="str">
        <f>IF(B694=1,"1:1","1:Many")</f>
        <v>1:Many</v>
      </c>
      <c r="D694" s="42" t="str" cm="1">
        <f t="array" ref="D694">_xlfn.TEXTJOIN(" | ",TRUE,_xlfn._xlws.FILTER(PriceList!$B$4:$B$2641,PriceList!$M$4:$M$2641=A694,""))</f>
        <v>ORV8 020.29-2.62 | ORV8 020.3-2.4</v>
      </c>
      <c r="E694" t="str" cm="1">
        <f t="array" ref="E694">_xlfn.TEXTJOIN(", ",TRUE,_xlfn._xlws.FILTER(ROW(PriceList!$B$4:$B$2641),PriceList!$M$4:$M$2641=A694,""))</f>
        <v>1653, 1655</v>
      </c>
      <c r="F694" s="42" t="str" cm="1">
        <f t="array" ref="F694">_xlfn.TEXTJOIN(" | ",TRUE,_xlfn.UNIQUE(_xlfn._xlws.FILTER(PriceList!$Q$4:$Q$2641&amp;" x "&amp;PriceList!$R$4:$R$2641&amp;" x "&amp;PriceList!$S$4:$S$2641,PriceList!$M$4:$M$2641=A694,"")))</f>
        <v>20.3 x 25.1 x 2.4</v>
      </c>
      <c r="G694" t="str" cm="1">
        <f t="array" ref="G694">INDEX(_xlfn._xlws.FILTER(PriceList!$P$4:$P$2641,PriceList!$M$4:$M$2641=A694,""),1)</f>
        <v>O Ring - FPM/FKM/VitonÂ®</v>
      </c>
    </row>
    <row r="695" spans="1:7" x14ac:dyDescent="0.45">
      <c r="A695" t="s">
        <v>4392</v>
      </c>
      <c r="B695">
        <f>COUNTIF(PriceList!$M$4:$M$2641,A695)</f>
        <v>1</v>
      </c>
      <c r="C695" t="str">
        <f>IF(B695=1,"1:1","1:Many")</f>
        <v>1:1</v>
      </c>
      <c r="D695" s="42" t="str" cm="1">
        <f t="array" ref="D695">_xlfn.TEXTJOIN(" | ",TRUE,_xlfn._xlws.FILTER(PriceList!$B$4:$B$2641,PriceList!$M$4:$M$2641=A695,""))</f>
        <v>OR9N 020.8-2.4</v>
      </c>
      <c r="E695" t="str" cm="1">
        <f t="array" ref="E695">_xlfn.TEXTJOIN(", ",TRUE,_xlfn._xlws.FILTER(ROW(PriceList!$B$4:$B$2641),PriceList!$M$4:$M$2641=A695,""))</f>
        <v>1022</v>
      </c>
      <c r="F695" s="42" t="str" cm="1">
        <f t="array" ref="F695">_xlfn.TEXTJOIN(" | ",TRUE,_xlfn.UNIQUE(_xlfn._xlws.FILTER(PriceList!$Q$4:$Q$2641&amp;" x "&amp;PriceList!$R$4:$R$2641&amp;" x "&amp;PriceList!$S$4:$S$2641,PriceList!$M$4:$M$2641=A695,"")))</f>
        <v>20.8 x 25.6 x 2.4</v>
      </c>
      <c r="G695" t="str" cm="1">
        <f t="array" ref="G695">INDEX(_xlfn._xlws.FILTER(PriceList!$P$4:$P$2641,PriceList!$M$4:$M$2641=A695,""),1)</f>
        <v>O Ring - NBR 70</v>
      </c>
    </row>
    <row r="696" spans="1:7" x14ac:dyDescent="0.45">
      <c r="A696" t="s">
        <v>3981</v>
      </c>
      <c r="B696">
        <f>COUNTIF(PriceList!$M$4:$M$2641,A696)</f>
        <v>2</v>
      </c>
      <c r="C696" t="str">
        <f>IF(B696=1,"1:1","1:Many")</f>
        <v>1:Many</v>
      </c>
      <c r="D696" s="42" t="str" cm="1">
        <f t="array" ref="D696">_xlfn.TEXTJOIN(" | ",TRUE,_xlfn._xlws.FILTER(PriceList!$B$4:$B$2641,PriceList!$M$4:$M$2641=A696,""))</f>
        <v>OR7N 021-2 | OR9N 021-2</v>
      </c>
      <c r="E696" t="str" cm="1">
        <f t="array" ref="E696">_xlfn.TEXTJOIN(", ",TRUE,_xlfn._xlws.FILTER(ROW(PriceList!$B$4:$B$2641),PriceList!$M$4:$M$2641=A696,""))</f>
        <v>602, 1030</v>
      </c>
      <c r="F696" s="42" t="str" cm="1">
        <f t="array" ref="F696">_xlfn.TEXTJOIN(" | ",TRUE,_xlfn.UNIQUE(_xlfn._xlws.FILTER(PriceList!$Q$4:$Q$2641&amp;" x "&amp;PriceList!$R$4:$R$2641&amp;" x "&amp;PriceList!$S$4:$S$2641,PriceList!$M$4:$M$2641=A696,"")))</f>
        <v>21 x 25 x 2</v>
      </c>
      <c r="G696" t="str" cm="1">
        <f t="array" ref="G696">INDEX(_xlfn._xlws.FILTER(PriceList!$P$4:$P$2641,PriceList!$M$4:$M$2641=A696,""),1)</f>
        <v>O Ring - NBR 70</v>
      </c>
    </row>
    <row r="697" spans="1:7" x14ac:dyDescent="0.45">
      <c r="A697" t="s">
        <v>4723</v>
      </c>
      <c r="B697">
        <f>COUNTIF(PriceList!$M$4:$M$2641,A697)</f>
        <v>1</v>
      </c>
      <c r="C697" t="str">
        <f>IF(B697=1,"1:1","1:Many")</f>
        <v>1:1</v>
      </c>
      <c r="D697" s="42" t="str" cm="1">
        <f t="array" ref="D697">_xlfn.TEXTJOIN(" | ",TRUE,_xlfn._xlws.FILTER(PriceList!$B$4:$B$2641,PriceList!$M$4:$M$2641=A697,""))</f>
        <v>ORV8 021-2</v>
      </c>
      <c r="E697" t="str" cm="1">
        <f t="array" ref="E697">_xlfn.TEXTJOIN(", ",TRUE,_xlfn._xlws.FILTER(ROW(PriceList!$B$4:$B$2641),PriceList!$M$4:$M$2641=A697,""))</f>
        <v>1669</v>
      </c>
      <c r="F697" s="42" t="str" cm="1">
        <f t="array" ref="F697">_xlfn.TEXTJOIN(" | ",TRUE,_xlfn.UNIQUE(_xlfn._xlws.FILTER(PriceList!$Q$4:$Q$2641&amp;" x "&amp;PriceList!$R$4:$R$2641&amp;" x "&amp;PriceList!$S$4:$S$2641,PriceList!$M$4:$M$2641=A697,"")))</f>
        <v>21 x 25 x 2</v>
      </c>
      <c r="G697" t="str" cm="1">
        <f t="array" ref="G697">INDEX(_xlfn._xlws.FILTER(PriceList!$P$4:$P$2641,PriceList!$M$4:$M$2641=A697,""),1)</f>
        <v>O Ring - FPM/FKM/VitonÂ®</v>
      </c>
    </row>
    <row r="698" spans="1:7" x14ac:dyDescent="0.45">
      <c r="A698" t="s">
        <v>4711</v>
      </c>
      <c r="B698">
        <f>COUNTIF(PriceList!$M$4:$M$2641,A698)</f>
        <v>3</v>
      </c>
      <c r="C698" t="str">
        <f>IF(B698=1,"1:1","1:Many")</f>
        <v>1:Many</v>
      </c>
      <c r="D698" s="42" t="str" cm="1">
        <f t="array" ref="D698">_xlfn.TEXTJOIN(" | ",TRUE,_xlfn._xlws.FILTER(PriceList!$B$4:$B$2641,PriceList!$M$4:$M$2641=A698,""))</f>
        <v>ORV8 020.8-2.4 | ORV8 021.3-2.4 | ORV8 021-2.5</v>
      </c>
      <c r="E698" t="str" cm="1">
        <f t="array" ref="E698">_xlfn.TEXTJOIN(", ",TRUE,_xlfn._xlws.FILTER(ROW(PriceList!$B$4:$B$2641),PriceList!$M$4:$M$2641=A698,""))</f>
        <v>1656, 1662, 1670</v>
      </c>
      <c r="F698" s="42" t="str" cm="1">
        <f t="array" ref="F698">_xlfn.TEXTJOIN(" | ",TRUE,_xlfn.UNIQUE(_xlfn._xlws.FILTER(PriceList!$Q$4:$Q$2641&amp;" x "&amp;PriceList!$R$4:$R$2641&amp;" x "&amp;PriceList!$S$4:$S$2641,PriceList!$M$4:$M$2641=A698,"")))</f>
        <v>21 x 26 x 2.5</v>
      </c>
      <c r="G698" t="str" cm="1">
        <f t="array" ref="G698">INDEX(_xlfn._xlws.FILTER(PriceList!$P$4:$P$2641,PriceList!$M$4:$M$2641=A698,""),1)</f>
        <v>O Ring - FPM/FKM/VitonÂ®</v>
      </c>
    </row>
    <row r="699" spans="1:7" x14ac:dyDescent="0.45">
      <c r="A699" t="s">
        <v>4716</v>
      </c>
      <c r="B699">
        <f>COUNTIF(PriceList!$M$4:$M$2641,A699)</f>
        <v>1</v>
      </c>
      <c r="C699" t="str">
        <f>IF(B699=1,"1:1","1:Many")</f>
        <v>1:1</v>
      </c>
      <c r="D699" s="42" t="str" cm="1">
        <f t="array" ref="D699">_xlfn.TEXTJOIN(" | ",TRUE,_xlfn._xlws.FILTER(PriceList!$B$4:$B$2641,PriceList!$M$4:$M$2641=A699,""))</f>
        <v>ORV8 021.5-3</v>
      </c>
      <c r="E699" t="str" cm="1">
        <f t="array" ref="E699">_xlfn.TEXTJOIN(", ",TRUE,_xlfn._xlws.FILTER(ROW(PriceList!$B$4:$B$2641),PriceList!$M$4:$M$2641=A699,""))</f>
        <v>1663</v>
      </c>
      <c r="F699" s="42" t="str" cm="1">
        <f t="array" ref="F699">_xlfn.TEXTJOIN(" | ",TRUE,_xlfn.UNIQUE(_xlfn._xlws.FILTER(PriceList!$Q$4:$Q$2641&amp;" x "&amp;PriceList!$R$4:$R$2641&amp;" x "&amp;PriceList!$S$4:$S$2641,PriceList!$M$4:$M$2641=A699,"")))</f>
        <v>21.5 x 27.5 x 3</v>
      </c>
      <c r="G699" t="str" cm="1">
        <f t="array" ref="G699">INDEX(_xlfn._xlws.FILTER(PriceList!$P$4:$P$2641,PriceList!$M$4:$M$2641=A699,""),1)</f>
        <v>O Ring - FPM/FKM/VitonÂ®</v>
      </c>
    </row>
    <row r="700" spans="1:7" x14ac:dyDescent="0.45">
      <c r="A700" t="s">
        <v>4720</v>
      </c>
      <c r="B700">
        <f>COUNTIF(PriceList!$M$4:$M$2641,A700)</f>
        <v>1</v>
      </c>
      <c r="C700" t="str">
        <f>IF(B700=1,"1:1","1:Many")</f>
        <v>1:1</v>
      </c>
      <c r="D700" s="42" t="str" cm="1">
        <f t="array" ref="D700">_xlfn.TEXTJOIN(" | ",TRUE,_xlfn._xlws.FILTER(PriceList!$B$4:$B$2641,PriceList!$M$4:$M$2641=A700,""))</f>
        <v>ORV8 021.8-2.4</v>
      </c>
      <c r="E700" t="str" cm="1">
        <f t="array" ref="E700">_xlfn.TEXTJOIN(", ",TRUE,_xlfn._xlws.FILTER(ROW(PriceList!$B$4:$B$2641),PriceList!$M$4:$M$2641=A700,""))</f>
        <v>1667</v>
      </c>
      <c r="F700" s="42" t="str" cm="1">
        <f t="array" ref="F700">_xlfn.TEXTJOIN(" | ",TRUE,_xlfn.UNIQUE(_xlfn._xlws.FILTER(PriceList!$Q$4:$Q$2641&amp;" x "&amp;PriceList!$R$4:$R$2641&amp;" x "&amp;PriceList!$S$4:$S$2641,PriceList!$M$4:$M$2641=A700,"")))</f>
        <v>21.6 x 26.4 x 2.4</v>
      </c>
      <c r="G700" t="str" cm="1">
        <f t="array" ref="G700">INDEX(_xlfn._xlws.FILTER(PriceList!$P$4:$P$2641,PriceList!$M$4:$M$2641=A700,""),1)</f>
        <v>O Ring - FPM/FKM/VitonÂ®</v>
      </c>
    </row>
    <row r="701" spans="1:7" x14ac:dyDescent="0.45">
      <c r="A701" t="s">
        <v>4395</v>
      </c>
      <c r="B701">
        <f>COUNTIF(PriceList!$M$4:$M$2641,A701)</f>
        <v>1</v>
      </c>
      <c r="C701" t="str">
        <f>IF(B701=1,"1:1","1:Many")</f>
        <v>1:1</v>
      </c>
      <c r="D701" s="42" t="str" cm="1">
        <f t="array" ref="D701">_xlfn.TEXTJOIN(" | ",TRUE,_xlfn._xlws.FILTER(PriceList!$B$4:$B$2641,PriceList!$M$4:$M$2641=A701,""))</f>
        <v>OR9N 021.7-3.5</v>
      </c>
      <c r="E701" t="str" cm="1">
        <f t="array" ref="E701">_xlfn.TEXTJOIN(", ",TRUE,_xlfn._xlws.FILTER(ROW(PriceList!$B$4:$B$2641),PriceList!$M$4:$M$2641=A701,""))</f>
        <v>1025</v>
      </c>
      <c r="F701" s="42" t="str" cm="1">
        <f t="array" ref="F701">_xlfn.TEXTJOIN(" | ",TRUE,_xlfn.UNIQUE(_xlfn._xlws.FILTER(PriceList!$Q$4:$Q$2641&amp;" x "&amp;PriceList!$R$4:$R$2641&amp;" x "&amp;PriceList!$S$4:$S$2641,PriceList!$M$4:$M$2641=A701,"")))</f>
        <v>21.7 x 28.7 x 3.5</v>
      </c>
      <c r="G701" t="str" cm="1">
        <f t="array" ref="G701">INDEX(_xlfn._xlws.FILTER(PriceList!$P$4:$P$2641,PriceList!$M$4:$M$2641=A701,""),1)</f>
        <v>O Ring - NBR 90</v>
      </c>
    </row>
    <row r="702" spans="1:7" x14ac:dyDescent="0.45">
      <c r="A702" t="s">
        <v>3978</v>
      </c>
      <c r="B702">
        <f>COUNTIF(PriceList!$M$4:$M$2641,A702)</f>
        <v>2</v>
      </c>
      <c r="C702" t="str">
        <f>IF(B702=1,"1:1","1:Many")</f>
        <v>1:Many</v>
      </c>
      <c r="D702" s="42" t="str" cm="1">
        <f t="array" ref="D702">_xlfn.TEXTJOIN(" | ",TRUE,_xlfn._xlws.FILTER(PriceList!$B$4:$B$2641,PriceList!$M$4:$M$2641=A702,""))</f>
        <v>OR7N 021.8-2.4 | OR9N 021.8-2.4</v>
      </c>
      <c r="E702" t="str" cm="1">
        <f t="array" ref="E702">_xlfn.TEXTJOIN(", ",TRUE,_xlfn._xlws.FILTER(ROW(PriceList!$B$4:$B$2641),PriceList!$M$4:$M$2641=A702,""))</f>
        <v>600, 1028</v>
      </c>
      <c r="F702" s="42" t="str" cm="1">
        <f t="array" ref="F702">_xlfn.TEXTJOIN(" | ",TRUE,_xlfn.UNIQUE(_xlfn._xlws.FILTER(PriceList!$Q$4:$Q$2641&amp;" x "&amp;PriceList!$R$4:$R$2641&amp;" x "&amp;PriceList!$S$4:$S$2641,PriceList!$M$4:$M$2641=A702,"")))</f>
        <v>21.8 x 26.6 x 2.4</v>
      </c>
      <c r="G702" t="str" cm="1">
        <f t="array" ref="G702">INDEX(_xlfn._xlws.FILTER(PriceList!$P$4:$P$2641,PriceList!$M$4:$M$2641=A702,""),1)</f>
        <v>O Ring - NBR 70</v>
      </c>
    </row>
    <row r="703" spans="1:7" x14ac:dyDescent="0.45">
      <c r="A703" t="s">
        <v>4725</v>
      </c>
      <c r="B703">
        <f>COUNTIF(PriceList!$M$4:$M$2641,A703)</f>
        <v>1</v>
      </c>
      <c r="C703" t="str">
        <f>IF(B703=1,"1:1","1:Many")</f>
        <v>1:1</v>
      </c>
      <c r="D703" s="42" t="str" cm="1">
        <f t="array" ref="D703">_xlfn.TEXTJOIN(" | ",TRUE,_xlfn._xlws.FILTER(PriceList!$B$4:$B$2641,PriceList!$M$4:$M$2641=A703,""))</f>
        <v>ORV8 022-1.5</v>
      </c>
      <c r="E703" t="str" cm="1">
        <f t="array" ref="E703">_xlfn.TEXTJOIN(", ",TRUE,_xlfn._xlws.FILTER(ROW(PriceList!$B$4:$B$2641),PriceList!$M$4:$M$2641=A703,""))</f>
        <v>1674</v>
      </c>
      <c r="F703" s="42" t="str" cm="1">
        <f t="array" ref="F703">_xlfn.TEXTJOIN(" | ",TRUE,_xlfn.UNIQUE(_xlfn._xlws.FILTER(PriceList!$Q$4:$Q$2641&amp;" x "&amp;PriceList!$R$4:$R$2641&amp;" x "&amp;PriceList!$S$4:$S$2641,PriceList!$M$4:$M$2641=A703,"")))</f>
        <v>22 x 25 x 1.5</v>
      </c>
      <c r="G703" t="str" cm="1">
        <f t="array" ref="G703">INDEX(_xlfn._xlws.FILTER(PriceList!$P$4:$P$2641,PriceList!$M$4:$M$2641=A703,""),1)</f>
        <v>O Ring - FPM/FKM/VitonÂ®</v>
      </c>
    </row>
    <row r="704" spans="1:7" x14ac:dyDescent="0.45">
      <c r="A704" t="s">
        <v>3979</v>
      </c>
      <c r="B704">
        <f>COUNTIF(PriceList!$M$4:$M$2641,A704)</f>
        <v>2</v>
      </c>
      <c r="C704" t="str">
        <f>IF(B704=1,"1:1","1:Many")</f>
        <v>1:Many</v>
      </c>
      <c r="D704" s="42" t="str" cm="1">
        <f t="array" ref="D704">_xlfn.TEXTJOIN(" | ",TRUE,_xlfn._xlws.FILTER(PriceList!$B$4:$B$2641,PriceList!$M$4:$M$2641=A704,""))</f>
        <v>OR7N 021.95-1.78 | OR9N 021.95-1.78</v>
      </c>
      <c r="E704" t="str" cm="1">
        <f t="array" ref="E704">_xlfn.TEXTJOIN(", ",TRUE,_xlfn._xlws.FILTER(ROW(PriceList!$B$4:$B$2641),PriceList!$M$4:$M$2641=A704,""))</f>
        <v>601, 1029</v>
      </c>
      <c r="F704" s="42" t="str" cm="1">
        <f t="array" ref="F704">_xlfn.TEXTJOIN(" | ",TRUE,_xlfn.UNIQUE(_xlfn._xlws.FILTER(PriceList!$Q$4:$Q$2641&amp;" x "&amp;PriceList!$R$4:$R$2641&amp;" x "&amp;PriceList!$S$4:$S$2641,PriceList!$M$4:$M$2641=A704,"")))</f>
        <v>22 x 25.6 x 1.8</v>
      </c>
      <c r="G704" t="str" cm="1">
        <f t="array" ref="G704">INDEX(_xlfn._xlws.FILTER(PriceList!$P$4:$P$2641,PriceList!$M$4:$M$2641=A704,""),1)</f>
        <v>O Ring - NBR 70</v>
      </c>
    </row>
    <row r="705" spans="1:7" x14ac:dyDescent="0.45">
      <c r="A705" t="s">
        <v>4396</v>
      </c>
      <c r="B705">
        <f>COUNTIF(PriceList!$M$4:$M$2641,A705)</f>
        <v>1</v>
      </c>
      <c r="C705" t="str">
        <f>IF(B705=1,"1:1","1:Many")</f>
        <v>1:1</v>
      </c>
      <c r="D705" s="42" t="str" cm="1">
        <f t="array" ref="D705">_xlfn.TEXTJOIN(" | ",TRUE,_xlfn._xlws.FILTER(PriceList!$B$4:$B$2641,PriceList!$M$4:$M$2641=A705,""))</f>
        <v>OR9N 022-2</v>
      </c>
      <c r="E705" t="str" cm="1">
        <f t="array" ref="E705">_xlfn.TEXTJOIN(", ",TRUE,_xlfn._xlws.FILTER(ROW(PriceList!$B$4:$B$2641),PriceList!$M$4:$M$2641=A705,""))</f>
        <v>1031</v>
      </c>
      <c r="F705" s="42" t="str" cm="1">
        <f t="array" ref="F705">_xlfn.TEXTJOIN(" | ",TRUE,_xlfn.UNIQUE(_xlfn._xlws.FILTER(PriceList!$Q$4:$Q$2641&amp;" x "&amp;PriceList!$R$4:$R$2641&amp;" x "&amp;PriceList!$S$4:$S$2641,PriceList!$M$4:$M$2641=A705,"")))</f>
        <v>22 x 26 x 2</v>
      </c>
      <c r="G705" t="str" cm="1">
        <f t="array" ref="G705">INDEX(_xlfn._xlws.FILTER(PriceList!$P$4:$P$2641,PriceList!$M$4:$M$2641=A705,""),1)</f>
        <v>O Ring - NBR 70</v>
      </c>
    </row>
    <row r="706" spans="1:7" x14ac:dyDescent="0.45">
      <c r="A706" t="s">
        <v>3976</v>
      </c>
      <c r="B706">
        <f>COUNTIF(PriceList!$M$4:$M$2641,A706)</f>
        <v>3</v>
      </c>
      <c r="C706" t="str">
        <f>IF(B706=1,"1:1","1:Many")</f>
        <v>1:Many</v>
      </c>
      <c r="D706" s="42" t="str" cm="1">
        <f t="array" ref="D706">_xlfn.TEXTJOIN(" | ",TRUE,_xlfn._xlws.FILTER(PriceList!$B$4:$B$2641,PriceList!$M$4:$M$2641=A706,""))</f>
        <v>OR7N 021.89-2.62 | OR9N 021.89-2.62 | OR9N 022-2.5</v>
      </c>
      <c r="E706" t="str" cm="1">
        <f t="array" ref="E706">_xlfn.TEXTJOIN(", ",TRUE,_xlfn._xlws.FILTER(ROW(PriceList!$B$4:$B$2641),PriceList!$M$4:$M$2641=A706,""))</f>
        <v>599, 1027, 1032</v>
      </c>
      <c r="F706" s="42" t="str" cm="1">
        <f t="array" ref="F706">_xlfn.TEXTJOIN(" | ",TRUE,_xlfn.UNIQUE(_xlfn._xlws.FILTER(PriceList!$Q$4:$Q$2641&amp;" x "&amp;PriceList!$R$4:$R$2641&amp;" x "&amp;PriceList!$S$4:$S$2641,PriceList!$M$4:$M$2641=A706,"")))</f>
        <v>22 x 27 x 2.5</v>
      </c>
      <c r="G706" t="str" cm="1">
        <f t="array" ref="G706">INDEX(_xlfn._xlws.FILTER(PriceList!$P$4:$P$2641,PriceList!$M$4:$M$2641=A706,""),1)</f>
        <v>O Ring - EPDM</v>
      </c>
    </row>
    <row r="707" spans="1:7" x14ac:dyDescent="0.45">
      <c r="A707" t="s">
        <v>4719</v>
      </c>
      <c r="B707">
        <f>COUNTIF(PriceList!$M$4:$M$2641,A707)</f>
        <v>2</v>
      </c>
      <c r="C707" t="str">
        <f>IF(B707=1,"1:1","1:Many")</f>
        <v>1:Many</v>
      </c>
      <c r="D707" s="42" t="str" cm="1">
        <f t="array" ref="D707">_xlfn.TEXTJOIN(" | ",TRUE,_xlfn._xlws.FILTER(PriceList!$B$4:$B$2641,PriceList!$M$4:$M$2641=A707,""))</f>
        <v>ORV8 021.89-2.62 | ORV8 022-2.5</v>
      </c>
      <c r="E707" t="str" cm="1">
        <f t="array" ref="E707">_xlfn.TEXTJOIN(", ",TRUE,_xlfn._xlws.FILTER(ROW(PriceList!$B$4:$B$2641),PriceList!$M$4:$M$2641=A707,""))</f>
        <v>1666, 1675</v>
      </c>
      <c r="F707" s="42" t="str" cm="1">
        <f t="array" ref="F707">_xlfn.TEXTJOIN(" | ",TRUE,_xlfn.UNIQUE(_xlfn._xlws.FILTER(PriceList!$Q$4:$Q$2641&amp;" x "&amp;PriceList!$R$4:$R$2641&amp;" x "&amp;PriceList!$S$4:$S$2641,PriceList!$M$4:$M$2641=A707,"")))</f>
        <v>22 x 27 x 2.5</v>
      </c>
      <c r="G707" t="str" cm="1">
        <f t="array" ref="G707">INDEX(_xlfn._xlws.FILTER(PriceList!$P$4:$P$2641,PriceList!$M$4:$M$2641=A707,""),1)</f>
        <v>O Ring - FPM/FKM/VitonÂ®</v>
      </c>
    </row>
    <row r="708" spans="1:7" x14ac:dyDescent="0.45">
      <c r="A708" t="s">
        <v>4397</v>
      </c>
      <c r="B708">
        <f>COUNTIF(PriceList!$M$4:$M$2641,A708)</f>
        <v>1</v>
      </c>
      <c r="C708" t="str">
        <f>IF(B708=1,"1:1","1:Many")</f>
        <v>1:1</v>
      </c>
      <c r="D708" s="42" t="str" cm="1">
        <f t="array" ref="D708">_xlfn.TEXTJOIN(" | ",TRUE,_xlfn._xlws.FILTER(PriceList!$B$4:$B$2641,PriceList!$M$4:$M$2641=A708,""))</f>
        <v>OR9N 022-3</v>
      </c>
      <c r="E708" t="str" cm="1">
        <f t="array" ref="E708">_xlfn.TEXTJOIN(", ",TRUE,_xlfn._xlws.FILTER(ROW(PriceList!$B$4:$B$2641),PriceList!$M$4:$M$2641=A708,""))</f>
        <v>1033</v>
      </c>
      <c r="F708" s="42" t="str" cm="1">
        <f t="array" ref="F708">_xlfn.TEXTJOIN(" | ",TRUE,_xlfn.UNIQUE(_xlfn._xlws.FILTER(PriceList!$Q$4:$Q$2641&amp;" x "&amp;PriceList!$R$4:$R$2641&amp;" x "&amp;PriceList!$S$4:$S$2641,PriceList!$M$4:$M$2641=A708,"")))</f>
        <v>22 x 28 x 3</v>
      </c>
      <c r="G708" t="str" cm="1">
        <f t="array" ref="G708">INDEX(_xlfn._xlws.FILTER(PriceList!$P$4:$P$2641,PriceList!$M$4:$M$2641=A708,""),1)</f>
        <v>O Ring - EPDM</v>
      </c>
    </row>
    <row r="709" spans="1:7" x14ac:dyDescent="0.45">
      <c r="A709" t="s">
        <v>4726</v>
      </c>
      <c r="B709">
        <f>COUNTIF(PriceList!$M$4:$M$2641,A709)</f>
        <v>1</v>
      </c>
      <c r="C709" t="str">
        <f>IF(B709=1,"1:1","1:Many")</f>
        <v>1:1</v>
      </c>
      <c r="D709" s="42" t="str" cm="1">
        <f t="array" ref="D709">_xlfn.TEXTJOIN(" | ",TRUE,_xlfn._xlws.FILTER(PriceList!$B$4:$B$2641,PriceList!$M$4:$M$2641=A709,""))</f>
        <v>ORV8 022-3</v>
      </c>
      <c r="E709" t="str" cm="1">
        <f t="array" ref="E709">_xlfn.TEXTJOIN(", ",TRUE,_xlfn._xlws.FILTER(ROW(PriceList!$B$4:$B$2641),PriceList!$M$4:$M$2641=A709,""))</f>
        <v>1676</v>
      </c>
      <c r="F709" s="42" t="str" cm="1">
        <f t="array" ref="F709">_xlfn.TEXTJOIN(" | ",TRUE,_xlfn.UNIQUE(_xlfn._xlws.FILTER(PriceList!$Q$4:$Q$2641&amp;" x "&amp;PriceList!$R$4:$R$2641&amp;" x "&amp;PriceList!$S$4:$S$2641,PriceList!$M$4:$M$2641=A709,"")))</f>
        <v>22 x 28 x 3</v>
      </c>
      <c r="G709" t="str" cm="1">
        <f t="array" ref="G709">INDEX(_xlfn._xlws.FILTER(PriceList!$P$4:$P$2641,PriceList!$M$4:$M$2641=A709,""),1)</f>
        <v>O Ring - FPM/FKM/VitonÂ®</v>
      </c>
    </row>
    <row r="710" spans="1:7" x14ac:dyDescent="0.45">
      <c r="A710" t="s">
        <v>3974</v>
      </c>
      <c r="B710">
        <f>COUNTIF(PriceList!$M$4:$M$2641,A710)</f>
        <v>2</v>
      </c>
      <c r="C710" t="str">
        <f>IF(B710=1,"1:1","1:Many")</f>
        <v>1:Many</v>
      </c>
      <c r="D710" s="42" t="str" cm="1">
        <f t="array" ref="D710">_xlfn.TEXTJOIN(" | ",TRUE,_xlfn._xlws.FILTER(PriceList!$B$4:$B$2641,PriceList!$M$4:$M$2641=A710,""))</f>
        <v>OR7N 021.82-3.53 | OR9N 021.82-3.53</v>
      </c>
      <c r="E710" t="str" cm="1">
        <f t="array" ref="E710">_xlfn.TEXTJOIN(", ",TRUE,_xlfn._xlws.FILTER(ROW(PriceList!$B$4:$B$2641),PriceList!$M$4:$M$2641=A710,""))</f>
        <v>598, 1026</v>
      </c>
      <c r="F710" s="42" t="str" cm="1">
        <f t="array" ref="F710">_xlfn.TEXTJOIN(" | ",TRUE,_xlfn.UNIQUE(_xlfn._xlws.FILTER(PriceList!$Q$4:$Q$2641&amp;" x "&amp;PriceList!$R$4:$R$2641&amp;" x "&amp;PriceList!$S$4:$S$2641,PriceList!$M$4:$M$2641=A710,"")))</f>
        <v>22 x 29 x 3.5</v>
      </c>
      <c r="G710" t="str" cm="1">
        <f t="array" ref="G710">INDEX(_xlfn._xlws.FILTER(PriceList!$P$4:$P$2641,PriceList!$M$4:$M$2641=A710,""),1)</f>
        <v>O Ring - NBR 70</v>
      </c>
    </row>
    <row r="711" spans="1:7" x14ac:dyDescent="0.45">
      <c r="A711" t="s">
        <v>4717</v>
      </c>
      <c r="B711">
        <f>COUNTIF(PriceList!$M$4:$M$2641,A711)</f>
        <v>2</v>
      </c>
      <c r="C711" t="str">
        <f>IF(B711=1,"1:1","1:Many")</f>
        <v>1:Many</v>
      </c>
      <c r="D711" s="42" t="str" cm="1">
        <f t="array" ref="D711">_xlfn.TEXTJOIN(" | ",TRUE,_xlfn._xlws.FILTER(PriceList!$B$4:$B$2641,PriceList!$M$4:$M$2641=A711,""))</f>
        <v>ORV8 021.7-3.5 | ORV8 021.82-3.53</v>
      </c>
      <c r="E711" t="str" cm="1">
        <f t="array" ref="E711">_xlfn.TEXTJOIN(", ",TRUE,_xlfn._xlws.FILTER(ROW(PriceList!$B$4:$B$2641),PriceList!$M$4:$M$2641=A711,""))</f>
        <v>1664, 1665</v>
      </c>
      <c r="F711" s="42" t="str" cm="1">
        <f t="array" ref="F711">_xlfn.TEXTJOIN(" | ",TRUE,_xlfn.UNIQUE(_xlfn._xlws.FILTER(PriceList!$Q$4:$Q$2641&amp;" x "&amp;PriceList!$R$4:$R$2641&amp;" x "&amp;PriceList!$S$4:$S$2641,PriceList!$M$4:$M$2641=A711,"")))</f>
        <v>22 x 29 x 3.5</v>
      </c>
      <c r="G711" t="str" cm="1">
        <f t="array" ref="G711">INDEX(_xlfn._xlws.FILTER(PriceList!$P$4:$P$2641,PriceList!$M$4:$M$2641=A711,""),1)</f>
        <v>O Ring - FPM/FKM/VitonÂ®</v>
      </c>
    </row>
    <row r="712" spans="1:7" x14ac:dyDescent="0.45">
      <c r="A712" t="s">
        <v>4727</v>
      </c>
      <c r="B712">
        <f>COUNTIF(PriceList!$M$4:$M$2641,A712)</f>
        <v>1</v>
      </c>
      <c r="C712" t="str">
        <f>IF(B712=1,"1:1","1:Many")</f>
        <v>1:1</v>
      </c>
      <c r="D712" s="42" t="str" cm="1">
        <f t="array" ref="D712">_xlfn.TEXTJOIN(" | ",TRUE,_xlfn._xlws.FILTER(PriceList!$B$4:$B$2641,PriceList!$M$4:$M$2641=A712,""))</f>
        <v>ORV8 022-4</v>
      </c>
      <c r="E712" t="str" cm="1">
        <f t="array" ref="E712">_xlfn.TEXTJOIN(", ",TRUE,_xlfn._xlws.FILTER(ROW(PriceList!$B$4:$B$2641),PriceList!$M$4:$M$2641=A712,""))</f>
        <v>1677</v>
      </c>
      <c r="F712" s="42" t="str" cm="1">
        <f t="array" ref="F712">_xlfn.TEXTJOIN(" | ",TRUE,_xlfn.UNIQUE(_xlfn._xlws.FILTER(PriceList!$Q$4:$Q$2641&amp;" x "&amp;PriceList!$R$4:$R$2641&amp;" x "&amp;PriceList!$S$4:$S$2641,PriceList!$M$4:$M$2641=A712,"")))</f>
        <v>22 x 30 x 4</v>
      </c>
      <c r="G712" t="str" cm="1">
        <f t="array" ref="G712">INDEX(_xlfn._xlws.FILTER(PriceList!$P$4:$P$2641,PriceList!$M$4:$M$2641=A712,""),1)</f>
        <v>O Ring - FPM/FKM/VitonÂ®</v>
      </c>
    </row>
    <row r="713" spans="1:7" x14ac:dyDescent="0.45">
      <c r="A713" t="s">
        <v>4398</v>
      </c>
      <c r="B713">
        <f>COUNTIF(PriceList!$M$4:$M$2641,A713)</f>
        <v>1</v>
      </c>
      <c r="C713" t="str">
        <f>IF(B713=1,"1:1","1:Many")</f>
        <v>1:1</v>
      </c>
      <c r="D713" s="42" t="str" cm="1">
        <f t="array" ref="D713">_xlfn.TEXTJOIN(" | ",TRUE,_xlfn._xlws.FILTER(PriceList!$B$4:$B$2641,PriceList!$M$4:$M$2641=A713,""))</f>
        <v>OR9N 022-5</v>
      </c>
      <c r="E713" t="str" cm="1">
        <f t="array" ref="E713">_xlfn.TEXTJOIN(", ",TRUE,_xlfn._xlws.FILTER(ROW(PriceList!$B$4:$B$2641),PriceList!$M$4:$M$2641=A713,""))</f>
        <v>1034</v>
      </c>
      <c r="F713" s="42" t="str" cm="1">
        <f t="array" ref="F713">_xlfn.TEXTJOIN(" | ",TRUE,_xlfn.UNIQUE(_xlfn._xlws.FILTER(PriceList!$Q$4:$Q$2641&amp;" x "&amp;PriceList!$R$4:$R$2641&amp;" x "&amp;PriceList!$S$4:$S$2641,PriceList!$M$4:$M$2641=A713,"")))</f>
        <v>22 x 32 x 5</v>
      </c>
      <c r="G713" t="str" cm="1">
        <f t="array" ref="G713">INDEX(_xlfn._xlws.FILTER(PriceList!$P$4:$P$2641,PriceList!$M$4:$M$2641=A713,""),1)</f>
        <v>O Ring - NBR 70</v>
      </c>
    </row>
    <row r="714" spans="1:7" x14ac:dyDescent="0.45">
      <c r="A714" t="s">
        <v>4721</v>
      </c>
      <c r="B714">
        <f>COUNTIF(PriceList!$M$4:$M$2641,A714)</f>
        <v>2</v>
      </c>
      <c r="C714" t="str">
        <f>IF(B714=1,"1:1","1:Many")</f>
        <v>1:Many</v>
      </c>
      <c r="D714" s="42" t="str" cm="1">
        <f t="array" ref="D714">_xlfn.TEXTJOIN(" | ",TRUE,_xlfn._xlws.FILTER(PriceList!$B$4:$B$2641,PriceList!$M$4:$M$2641=A714,""))</f>
        <v>ORV8 021.95-1.78 | ORV8 022.1-1.6</v>
      </c>
      <c r="E714" t="str" cm="1">
        <f t="array" ref="E714">_xlfn.TEXTJOIN(", ",TRUE,_xlfn._xlws.FILTER(ROW(PriceList!$B$4:$B$2641),PriceList!$M$4:$M$2641=A714,""))</f>
        <v>1668, 1671</v>
      </c>
      <c r="F714" s="42" t="str" cm="1">
        <f t="array" ref="F714">_xlfn.TEXTJOIN(" | ",TRUE,_xlfn.UNIQUE(_xlfn._xlws.FILTER(PriceList!$Q$4:$Q$2641&amp;" x "&amp;PriceList!$R$4:$R$2641&amp;" x "&amp;PriceList!$S$4:$S$2641,PriceList!$M$4:$M$2641=A714,"")))</f>
        <v>22.1 x 25.3 x 1.6</v>
      </c>
      <c r="G714" t="str" cm="1">
        <f t="array" ref="G714">INDEX(_xlfn._xlws.FILTER(PriceList!$P$4:$P$2641,PriceList!$M$4:$M$2641=A714,""),1)</f>
        <v>O Ring - FPM/FKM/VitonÂ®</v>
      </c>
    </row>
    <row r="715" spans="1:7" x14ac:dyDescent="0.45">
      <c r="A715" t="s">
        <v>4724</v>
      </c>
      <c r="B715">
        <f>COUNTIF(PriceList!$M$4:$M$2641,A715)</f>
        <v>2</v>
      </c>
      <c r="C715" t="str">
        <f>IF(B715=1,"1:1","1:Many")</f>
        <v>1:Many</v>
      </c>
      <c r="D715" s="42" t="str" cm="1">
        <f t="array" ref="D715">_xlfn.TEXTJOIN(" | ",TRUE,_xlfn._xlws.FILTER(PriceList!$B$4:$B$2641,PriceList!$M$4:$M$2641=A715,""))</f>
        <v>ORV8 022.4-3.1 | ORV8 022.5-3</v>
      </c>
      <c r="E715" t="str" cm="1">
        <f t="array" ref="E715">_xlfn.TEXTJOIN(", ",TRUE,_xlfn._xlws.FILTER(ROW(PriceList!$B$4:$B$2641),PriceList!$M$4:$M$2641=A715,""))</f>
        <v>1672, 1673</v>
      </c>
      <c r="F715" s="42" t="str" cm="1">
        <f t="array" ref="F715">_xlfn.TEXTJOIN(" | ",TRUE,_xlfn.UNIQUE(_xlfn._xlws.FILTER(PriceList!$Q$4:$Q$2641&amp;" x "&amp;PriceList!$R$4:$R$2641&amp;" x "&amp;PriceList!$S$4:$S$2641,PriceList!$M$4:$M$2641=A715,"")))</f>
        <v>22.5 x 28.5 x 3</v>
      </c>
      <c r="G715" t="str" cm="1">
        <f t="array" ref="G715">INDEX(_xlfn._xlws.FILTER(PriceList!$P$4:$P$2641,PriceList!$M$4:$M$2641=A715,""),1)</f>
        <v>O Ring - FPM/FKM/VitonÂ®</v>
      </c>
    </row>
    <row r="716" spans="1:7" x14ac:dyDescent="0.45">
      <c r="A716" t="s">
        <v>4734</v>
      </c>
      <c r="B716">
        <f>COUNTIF(PriceList!$M$4:$M$2641,A716)</f>
        <v>1</v>
      </c>
      <c r="C716" t="str">
        <f>IF(B716=1,"1:1","1:Many")</f>
        <v>1:1</v>
      </c>
      <c r="D716" s="42" t="str" cm="1">
        <f t="array" ref="D716">_xlfn.TEXTJOIN(" | ",TRUE,_xlfn._xlws.FILTER(PriceList!$B$4:$B$2641,PriceList!$M$4:$M$2641=A716,""))</f>
        <v>ORV8 023-2</v>
      </c>
      <c r="E716" t="str" cm="1">
        <f t="array" ref="E716">_xlfn.TEXTJOIN(", ",TRUE,_xlfn._xlws.FILTER(ROW(PriceList!$B$4:$B$2641),PriceList!$M$4:$M$2641=A716,""))</f>
        <v>1684</v>
      </c>
      <c r="F716" s="42" t="str" cm="1">
        <f t="array" ref="F716">_xlfn.TEXTJOIN(" | ",TRUE,_xlfn.UNIQUE(_xlfn._xlws.FILTER(PriceList!$Q$4:$Q$2641&amp;" x "&amp;PriceList!$R$4:$R$2641&amp;" x "&amp;PriceList!$S$4:$S$2641,PriceList!$M$4:$M$2641=A716,"")))</f>
        <v>23 x 27 x 2</v>
      </c>
      <c r="G716" t="str" cm="1">
        <f t="array" ref="G716">INDEX(_xlfn._xlws.FILTER(PriceList!$P$4:$P$2641,PriceList!$M$4:$M$2641=A716,""),1)</f>
        <v>O Ring - FPM/FKM/VitonÂ®</v>
      </c>
    </row>
    <row r="717" spans="1:7" x14ac:dyDescent="0.45">
      <c r="A717" t="s">
        <v>4399</v>
      </c>
      <c r="B717">
        <f>COUNTIF(PriceList!$M$4:$M$2641,A717)</f>
        <v>1</v>
      </c>
      <c r="C717" t="str">
        <f>IF(B717=1,"1:1","1:Many")</f>
        <v>1:1</v>
      </c>
      <c r="D717" s="42" t="str" cm="1">
        <f t="array" ref="D717">_xlfn.TEXTJOIN(" | ",TRUE,_xlfn._xlws.FILTER(PriceList!$B$4:$B$2641,PriceList!$M$4:$M$2641=A717,""))</f>
        <v>OR9N 023-2.5</v>
      </c>
      <c r="E717" t="str" cm="1">
        <f t="array" ref="E717">_xlfn.TEXTJOIN(", ",TRUE,_xlfn._xlws.FILTER(ROW(PriceList!$B$4:$B$2641),PriceList!$M$4:$M$2641=A717,""))</f>
        <v>1040</v>
      </c>
      <c r="F717" s="42" t="str" cm="1">
        <f t="array" ref="F717">_xlfn.TEXTJOIN(" | ",TRUE,_xlfn.UNIQUE(_xlfn._xlws.FILTER(PriceList!$Q$4:$Q$2641&amp;" x "&amp;PriceList!$R$4:$R$2641&amp;" x "&amp;PriceList!$S$4:$S$2641,PriceList!$M$4:$M$2641=A717,"")))</f>
        <v>23 x 28 x 2.5</v>
      </c>
      <c r="G717" t="str" cm="1">
        <f t="array" ref="G717">INDEX(_xlfn._xlws.FILTER(PriceList!$P$4:$P$2641,PriceList!$M$4:$M$2641=A717,""),1)</f>
        <v>O Ring - NBR 70</v>
      </c>
    </row>
    <row r="718" spans="1:7" x14ac:dyDescent="0.45">
      <c r="A718" t="s">
        <v>4735</v>
      </c>
      <c r="B718">
        <f>COUNTIF(PriceList!$M$4:$M$2641,A718)</f>
        <v>1</v>
      </c>
      <c r="C718" t="str">
        <f>IF(B718=1,"1:1","1:Many")</f>
        <v>1:1</v>
      </c>
      <c r="D718" s="42" t="str" cm="1">
        <f t="array" ref="D718">_xlfn.TEXTJOIN(" | ",TRUE,_xlfn._xlws.FILTER(PriceList!$B$4:$B$2641,PriceList!$M$4:$M$2641=A718,""))</f>
        <v>ORV8 023-2.5</v>
      </c>
      <c r="E718" t="str" cm="1">
        <f t="array" ref="E718">_xlfn.TEXTJOIN(", ",TRUE,_xlfn._xlws.FILTER(ROW(PriceList!$B$4:$B$2641),PriceList!$M$4:$M$2641=A718,""))</f>
        <v>1685</v>
      </c>
      <c r="F718" s="42" t="str" cm="1">
        <f t="array" ref="F718">_xlfn.TEXTJOIN(" | ",TRUE,_xlfn.UNIQUE(_xlfn._xlws.FILTER(PriceList!$Q$4:$Q$2641&amp;" x "&amp;PriceList!$R$4:$R$2641&amp;" x "&amp;PriceList!$S$4:$S$2641,PriceList!$M$4:$M$2641=A718,"")))</f>
        <v>23 x 28 x 2.5</v>
      </c>
      <c r="G718" t="str" cm="1">
        <f t="array" ref="G718">INDEX(_xlfn._xlws.FILTER(PriceList!$P$4:$P$2641,PriceList!$M$4:$M$2641=A718,""),1)</f>
        <v>O Ring - FPM/FKM/VitonÂ®</v>
      </c>
    </row>
    <row r="719" spans="1:7" x14ac:dyDescent="0.45">
      <c r="A719" t="s">
        <v>4400</v>
      </c>
      <c r="B719">
        <f>COUNTIF(PriceList!$M$4:$M$2641,A719)</f>
        <v>1</v>
      </c>
      <c r="C719" t="str">
        <f>IF(B719=1,"1:1","1:Many")</f>
        <v>1:1</v>
      </c>
      <c r="D719" s="42" t="str" cm="1">
        <f t="array" ref="D719">_xlfn.TEXTJOIN(" | ",TRUE,_xlfn._xlws.FILTER(PriceList!$B$4:$B$2641,PriceList!$M$4:$M$2641=A719,""))</f>
        <v>OR9N 023-3</v>
      </c>
      <c r="E719" t="str" cm="1">
        <f t="array" ref="E719">_xlfn.TEXTJOIN(", ",TRUE,_xlfn._xlws.FILTER(ROW(PriceList!$B$4:$B$2641),PriceList!$M$4:$M$2641=A719,""))</f>
        <v>1041</v>
      </c>
      <c r="F719" s="42" t="str" cm="1">
        <f t="array" ref="F719">_xlfn.TEXTJOIN(" | ",TRUE,_xlfn.UNIQUE(_xlfn._xlws.FILTER(PriceList!$Q$4:$Q$2641&amp;" x "&amp;PriceList!$R$4:$R$2641&amp;" x "&amp;PriceList!$S$4:$S$2641,PriceList!$M$4:$M$2641=A719,"")))</f>
        <v>23 x 29 x 3</v>
      </c>
      <c r="G719" t="str" cm="1">
        <f t="array" ref="G719">INDEX(_xlfn._xlws.FILTER(PriceList!$P$4:$P$2641,PriceList!$M$4:$M$2641=A719,""),1)</f>
        <v>O Ring - NBR 70</v>
      </c>
    </row>
    <row r="720" spans="1:7" x14ac:dyDescent="0.45">
      <c r="A720" t="s">
        <v>4736</v>
      </c>
      <c r="B720">
        <f>COUNTIF(PriceList!$M$4:$M$2641,A720)</f>
        <v>1</v>
      </c>
      <c r="C720" t="str">
        <f>IF(B720=1,"1:1","1:Many")</f>
        <v>1:1</v>
      </c>
      <c r="D720" s="42" t="str" cm="1">
        <f t="array" ref="D720">_xlfn.TEXTJOIN(" | ",TRUE,_xlfn._xlws.FILTER(PriceList!$B$4:$B$2641,PriceList!$M$4:$M$2641=A720,""))</f>
        <v>ORV8 023-3</v>
      </c>
      <c r="E720" t="str" cm="1">
        <f t="array" ref="E720">_xlfn.TEXTJOIN(", ",TRUE,_xlfn._xlws.FILTER(ROW(PriceList!$B$4:$B$2641),PriceList!$M$4:$M$2641=A720,""))</f>
        <v>1686</v>
      </c>
      <c r="F720" s="42" t="str" cm="1">
        <f t="array" ref="F720">_xlfn.TEXTJOIN(" | ",TRUE,_xlfn.UNIQUE(_xlfn._xlws.FILTER(PriceList!$Q$4:$Q$2641&amp;" x "&amp;PriceList!$R$4:$R$2641&amp;" x "&amp;PriceList!$S$4:$S$2641,PriceList!$M$4:$M$2641=A720,"")))</f>
        <v>23 x 29 x 3</v>
      </c>
      <c r="G720" t="str" cm="1">
        <f t="array" ref="G720">INDEX(_xlfn._xlws.FILTER(PriceList!$P$4:$P$2641,PriceList!$M$4:$M$2641=A720,""),1)</f>
        <v>O Ring - FPM/FKM/VitonÂ®</v>
      </c>
    </row>
    <row r="721" spans="1:7" x14ac:dyDescent="0.45">
      <c r="A721" t="s">
        <v>4401</v>
      </c>
      <c r="B721">
        <f>COUNTIF(PriceList!$M$4:$M$2641,A721)</f>
        <v>1</v>
      </c>
      <c r="C721" t="str">
        <f>IF(B721=1,"1:1","1:Many")</f>
        <v>1:1</v>
      </c>
      <c r="D721" s="42" t="str" cm="1">
        <f t="array" ref="D721">_xlfn.TEXTJOIN(" | ",TRUE,_xlfn._xlws.FILTER(PriceList!$B$4:$B$2641,PriceList!$M$4:$M$2641=A721,""))</f>
        <v>OR9N 023-6</v>
      </c>
      <c r="E721" t="str" cm="1">
        <f t="array" ref="E721">_xlfn.TEXTJOIN(", ",TRUE,_xlfn._xlws.FILTER(ROW(PriceList!$B$4:$B$2641),PriceList!$M$4:$M$2641=A721,""))</f>
        <v>1042</v>
      </c>
      <c r="F721" s="42" t="str" cm="1">
        <f t="array" ref="F721">_xlfn.TEXTJOIN(" | ",TRUE,_xlfn.UNIQUE(_xlfn._xlws.FILTER(PriceList!$Q$4:$Q$2641&amp;" x "&amp;PriceList!$R$4:$R$2641&amp;" x "&amp;PriceList!$S$4:$S$2641,PriceList!$M$4:$M$2641=A721,"")))</f>
        <v>23 x 35 x 6</v>
      </c>
      <c r="G721" t="str" cm="1">
        <f t="array" ref="G721">INDEX(_xlfn._xlws.FILTER(PriceList!$P$4:$P$2641,PriceList!$M$4:$M$2641=A721,""),1)</f>
        <v>O Ring - NBR 70</v>
      </c>
    </row>
    <row r="722" spans="1:7" x14ac:dyDescent="0.45">
      <c r="A722" t="s">
        <v>3986</v>
      </c>
      <c r="B722">
        <f>COUNTIF(PriceList!$M$4:$M$2641,A722)</f>
        <v>2</v>
      </c>
      <c r="C722" t="str">
        <f>IF(B722=1,"1:1","1:Many")</f>
        <v>1:Many</v>
      </c>
      <c r="D722" s="42" t="str" cm="1">
        <f t="array" ref="D722">_xlfn.TEXTJOIN(" | ",TRUE,_xlfn._xlws.FILTER(PriceList!$B$4:$B$2641,PriceList!$M$4:$M$2641=A722,""))</f>
        <v>OR7N 023.52-1.78 | OR9N 023.52-1.78</v>
      </c>
      <c r="E722" t="str" cm="1">
        <f t="array" ref="E722">_xlfn.TEXTJOIN(", ",TRUE,_xlfn._xlws.FILTER(ROW(PriceList!$B$4:$B$2641),PriceList!$M$4:$M$2641=A722,""))</f>
        <v>605, 1037</v>
      </c>
      <c r="F722" s="42" t="str" cm="1">
        <f t="array" ref="F722">_xlfn.TEXTJOIN(" | ",TRUE,_xlfn.UNIQUE(_xlfn._xlws.FILTER(PriceList!$Q$4:$Q$2641&amp;" x "&amp;PriceList!$R$4:$R$2641&amp;" x "&amp;PriceList!$S$4:$S$2641,PriceList!$M$4:$M$2641=A722,"")))</f>
        <v>23.5 x 27.5 x 2</v>
      </c>
      <c r="G722" t="str" cm="1">
        <f t="array" ref="G722">INDEX(_xlfn._xlws.FILTER(PriceList!$P$4:$P$2641,PriceList!$M$4:$M$2641=A722,""),1)</f>
        <v>O Ring - NBR 70</v>
      </c>
    </row>
    <row r="723" spans="1:7" x14ac:dyDescent="0.45">
      <c r="A723" t="s">
        <v>3988</v>
      </c>
      <c r="B723">
        <f>COUNTIF(PriceList!$M$4:$M$2641,A723)</f>
        <v>2</v>
      </c>
      <c r="C723" t="str">
        <f>IF(B723=1,"1:1","1:Many")</f>
        <v>1:Many</v>
      </c>
      <c r="D723" s="42" t="str" cm="1">
        <f t="array" ref="D723">_xlfn.TEXTJOIN(" | ",TRUE,_xlfn._xlws.FILTER(PriceList!$B$4:$B$2641,PriceList!$M$4:$M$2641=A723,""))</f>
        <v>OR7N 023.5-3 | OR9N 023.5-3</v>
      </c>
      <c r="E723" t="str" cm="1">
        <f t="array" ref="E723">_xlfn.TEXTJOIN(", ",TRUE,_xlfn._xlws.FILTER(ROW(PriceList!$B$4:$B$2641),PriceList!$M$4:$M$2641=A723,""))</f>
        <v>606, 1038</v>
      </c>
      <c r="F723" s="42" t="str" cm="1">
        <f t="array" ref="F723">_xlfn.TEXTJOIN(" | ",TRUE,_xlfn.UNIQUE(_xlfn._xlws.FILTER(PriceList!$Q$4:$Q$2641&amp;" x "&amp;PriceList!$R$4:$R$2641&amp;" x "&amp;PriceList!$S$4:$S$2641,PriceList!$M$4:$M$2641=A723,"")))</f>
        <v>23.5 x 29.5 x 3</v>
      </c>
      <c r="G723" t="str" cm="1">
        <f t="array" ref="G723">INDEX(_xlfn._xlws.FILTER(PriceList!$P$4:$P$2641,PriceList!$M$4:$M$2641=A723,""),1)</f>
        <v>O Ring - NBR 90</v>
      </c>
    </row>
    <row r="724" spans="1:7" x14ac:dyDescent="0.45">
      <c r="A724" t="s">
        <v>4732</v>
      </c>
      <c r="B724">
        <f>COUNTIF(PriceList!$M$4:$M$2641,A724)</f>
        <v>1</v>
      </c>
      <c r="C724" t="str">
        <f>IF(B724=1,"1:1","1:Many")</f>
        <v>1:1</v>
      </c>
      <c r="D724" s="42" t="str" cm="1">
        <f t="array" ref="D724">_xlfn.TEXTJOIN(" | ",TRUE,_xlfn._xlws.FILTER(PriceList!$B$4:$B$2641,PriceList!$M$4:$M$2641=A724,""))</f>
        <v>ORV8 023.5-3</v>
      </c>
      <c r="E724" t="str" cm="1">
        <f t="array" ref="E724">_xlfn.TEXTJOIN(", ",TRUE,_xlfn._xlws.FILTER(ROW(PriceList!$B$4:$B$2641),PriceList!$M$4:$M$2641=A724,""))</f>
        <v>1682</v>
      </c>
      <c r="F724" s="42" t="str" cm="1">
        <f t="array" ref="F724">_xlfn.TEXTJOIN(" | ",TRUE,_xlfn.UNIQUE(_xlfn._xlws.FILTER(PriceList!$Q$4:$Q$2641&amp;" x "&amp;PriceList!$R$4:$R$2641&amp;" x "&amp;PriceList!$S$4:$S$2641,PriceList!$M$4:$M$2641=A724,"")))</f>
        <v>23.5 x 29.5 x 3</v>
      </c>
      <c r="G724" t="str" cm="1">
        <f t="array" ref="G724">INDEX(_xlfn._xlws.FILTER(PriceList!$P$4:$P$2641,PriceList!$M$4:$M$2641=A724,""),1)</f>
        <v>O Ring - FPM/FKM/VitonÂ®</v>
      </c>
    </row>
    <row r="725" spans="1:7" x14ac:dyDescent="0.45">
      <c r="A725" t="s">
        <v>3989</v>
      </c>
      <c r="B725">
        <f>COUNTIF(PriceList!$M$4:$M$2641,A725)</f>
        <v>2</v>
      </c>
      <c r="C725" t="str">
        <f>IF(B725=1,"1:1","1:Many")</f>
        <v>1:Many</v>
      </c>
      <c r="D725" s="42" t="str" cm="1">
        <f t="array" ref="D725">_xlfn.TEXTJOIN(" | ",TRUE,_xlfn._xlws.FILTER(PriceList!$B$4:$B$2641,PriceList!$M$4:$M$2641=A725,""))</f>
        <v>OR7N 023.7-3.5 | OR9N 023.7-3.5</v>
      </c>
      <c r="E725" t="str" cm="1">
        <f t="array" ref="E725">_xlfn.TEXTJOIN(", ",TRUE,_xlfn._xlws.FILTER(ROW(PriceList!$B$4:$B$2641),PriceList!$M$4:$M$2641=A725,""))</f>
        <v>607, 1039</v>
      </c>
      <c r="F725" s="42" t="str" cm="1">
        <f t="array" ref="F725">_xlfn.TEXTJOIN(" | ",TRUE,_xlfn.UNIQUE(_xlfn._xlws.FILTER(PriceList!$Q$4:$Q$2641&amp;" x "&amp;PriceList!$R$4:$R$2641&amp;" x "&amp;PriceList!$S$4:$S$2641,PriceList!$M$4:$M$2641=A725,"")))</f>
        <v>23.7 x 30.7 x 3.5</v>
      </c>
      <c r="G725" t="str" cm="1">
        <f t="array" ref="G725">INDEX(_xlfn._xlws.FILTER(PriceList!$P$4:$P$2641,PriceList!$M$4:$M$2641=A725,""),1)</f>
        <v>O Ring - NBR 90</v>
      </c>
    </row>
    <row r="726" spans="1:7" x14ac:dyDescent="0.45">
      <c r="A726" t="s">
        <v>4404</v>
      </c>
      <c r="B726">
        <f>COUNTIF(PriceList!$M$4:$M$2641,A726)</f>
        <v>1</v>
      </c>
      <c r="C726" t="str">
        <f>IF(B726=1,"1:1","1:Many")</f>
        <v>1:1</v>
      </c>
      <c r="D726" s="42" t="str" cm="1">
        <f t="array" ref="D726">_xlfn.TEXTJOIN(" | ",TRUE,_xlfn._xlws.FILTER(PriceList!$B$4:$B$2641,PriceList!$M$4:$M$2641=A726,""))</f>
        <v>OR9N 024-1.5</v>
      </c>
      <c r="E726" t="str" cm="1">
        <f t="array" ref="E726">_xlfn.TEXTJOIN(", ",TRUE,_xlfn._xlws.FILTER(ROW(PriceList!$B$4:$B$2641),PriceList!$M$4:$M$2641=A726,""))</f>
        <v>1046</v>
      </c>
      <c r="F726" s="42" t="str" cm="1">
        <f t="array" ref="F726">_xlfn.TEXTJOIN(" | ",TRUE,_xlfn.UNIQUE(_xlfn._xlws.FILTER(PriceList!$Q$4:$Q$2641&amp;" x "&amp;PriceList!$R$4:$R$2641&amp;" x "&amp;PriceList!$S$4:$S$2641,PriceList!$M$4:$M$2641=A726,"")))</f>
        <v>24 x 27 x 1.5</v>
      </c>
      <c r="G726" t="str" cm="1">
        <f t="array" ref="G726">INDEX(_xlfn._xlws.FILTER(PriceList!$P$4:$P$2641,PriceList!$M$4:$M$2641=A726,""),1)</f>
        <v>O Ring - NBR 70</v>
      </c>
    </row>
    <row r="727" spans="1:7" x14ac:dyDescent="0.45">
      <c r="A727" t="s">
        <v>4739</v>
      </c>
      <c r="B727">
        <f>COUNTIF(PriceList!$M$4:$M$2641,A727)</f>
        <v>1</v>
      </c>
      <c r="C727" t="str">
        <f>IF(B727=1,"1:1","1:Many")</f>
        <v>1:1</v>
      </c>
      <c r="D727" s="42" t="str" cm="1">
        <f t="array" ref="D727">_xlfn.TEXTJOIN(" | ",TRUE,_xlfn._xlws.FILTER(PriceList!$B$4:$B$2641,PriceList!$M$4:$M$2641=A727,""))</f>
        <v>ORV8 024-1.5</v>
      </c>
      <c r="E727" t="str" cm="1">
        <f t="array" ref="E727">_xlfn.TEXTJOIN(", ",TRUE,_xlfn._xlws.FILTER(ROW(PriceList!$B$4:$B$2641),PriceList!$M$4:$M$2641=A727,""))</f>
        <v>1689</v>
      </c>
      <c r="F727" s="42" t="str" cm="1">
        <f t="array" ref="F727">_xlfn.TEXTJOIN(" | ",TRUE,_xlfn.UNIQUE(_xlfn._xlws.FILTER(PriceList!$Q$4:$Q$2641&amp;" x "&amp;PriceList!$R$4:$R$2641&amp;" x "&amp;PriceList!$S$4:$S$2641,PriceList!$M$4:$M$2641=A727,"")))</f>
        <v>24 x 27 x 1.5</v>
      </c>
      <c r="G727" t="str" cm="1">
        <f t="array" ref="G727">INDEX(_xlfn._xlws.FILTER(PriceList!$P$4:$P$2641,PriceList!$M$4:$M$2641=A727,""),1)</f>
        <v>O Ring - FPM/FKM/VitonÂ®</v>
      </c>
    </row>
    <row r="728" spans="1:7" x14ac:dyDescent="0.45">
      <c r="A728" t="s">
        <v>3992</v>
      </c>
      <c r="B728">
        <f>COUNTIF(PriceList!$M$4:$M$2641,A728)</f>
        <v>2</v>
      </c>
      <c r="C728" t="str">
        <f>IF(B728=1,"1:1","1:Many")</f>
        <v>1:Many</v>
      </c>
      <c r="D728" s="42" t="str" cm="1">
        <f t="array" ref="D728">_xlfn.TEXTJOIN(" | ",TRUE,_xlfn._xlws.FILTER(PriceList!$B$4:$B$2641,PriceList!$M$4:$M$2641=A728,""))</f>
        <v>OR7N 024-2 | OR9N 024-2</v>
      </c>
      <c r="E728" t="str" cm="1">
        <f t="array" ref="E728">_xlfn.TEXTJOIN(", ",TRUE,_xlfn._xlws.FILTER(ROW(PriceList!$B$4:$B$2641),PriceList!$M$4:$M$2641=A728,""))</f>
        <v>609, 1047</v>
      </c>
      <c r="F728" s="42" t="str" cm="1">
        <f t="array" ref="F728">_xlfn.TEXTJOIN(" | ",TRUE,_xlfn.UNIQUE(_xlfn._xlws.FILTER(PriceList!$Q$4:$Q$2641&amp;" x "&amp;PriceList!$R$4:$R$2641&amp;" x "&amp;PriceList!$S$4:$S$2641,PriceList!$M$4:$M$2641=A728,"")))</f>
        <v>24 x 28 x 2</v>
      </c>
      <c r="G728" t="str" cm="1">
        <f t="array" ref="G728">INDEX(_xlfn._xlws.FILTER(PriceList!$P$4:$P$2641,PriceList!$M$4:$M$2641=A728,""),1)</f>
        <v>O Ring - NBR 70</v>
      </c>
    </row>
    <row r="729" spans="1:7" x14ac:dyDescent="0.45">
      <c r="A729" t="s">
        <v>4740</v>
      </c>
      <c r="B729">
        <f>COUNTIF(PriceList!$M$4:$M$2641,A729)</f>
        <v>1</v>
      </c>
      <c r="C729" t="str">
        <f>IF(B729=1,"1:1","1:Many")</f>
        <v>1:1</v>
      </c>
      <c r="D729" s="42" t="str" cm="1">
        <f t="array" ref="D729">_xlfn.TEXTJOIN(" | ",TRUE,_xlfn._xlws.FILTER(PriceList!$B$4:$B$2641,PriceList!$M$4:$M$2641=A729,""))</f>
        <v>ORV8 024-2</v>
      </c>
      <c r="E729" t="str" cm="1">
        <f t="array" ref="E729">_xlfn.TEXTJOIN(", ",TRUE,_xlfn._xlws.FILTER(ROW(PriceList!$B$4:$B$2641),PriceList!$M$4:$M$2641=A729,""))</f>
        <v>1690</v>
      </c>
      <c r="F729" s="42" t="str" cm="1">
        <f t="array" ref="F729">_xlfn.TEXTJOIN(" | ",TRUE,_xlfn.UNIQUE(_xlfn._xlws.FILTER(PriceList!$Q$4:$Q$2641&amp;" x "&amp;PriceList!$R$4:$R$2641&amp;" x "&amp;PriceList!$S$4:$S$2641,PriceList!$M$4:$M$2641=A729,"")))</f>
        <v>24 x 28 x 2</v>
      </c>
      <c r="G729" t="str" cm="1">
        <f t="array" ref="G729">INDEX(_xlfn._xlws.FILTER(PriceList!$P$4:$P$2641,PriceList!$M$4:$M$2641=A729,""),1)</f>
        <v>O Ring - FPM/FKM/VitonÂ®</v>
      </c>
    </row>
    <row r="730" spans="1:7" x14ac:dyDescent="0.45">
      <c r="A730" t="s">
        <v>4405</v>
      </c>
      <c r="B730">
        <f>COUNTIF(PriceList!$M$4:$M$2641,A730)</f>
        <v>1</v>
      </c>
      <c r="C730" t="str">
        <f>IF(B730=1,"1:1","1:Many")</f>
        <v>1:1</v>
      </c>
      <c r="D730" s="42" t="str" cm="1">
        <f t="array" ref="D730">_xlfn.TEXTJOIN(" | ",TRUE,_xlfn._xlws.FILTER(PriceList!$B$4:$B$2641,PriceList!$M$4:$M$2641=A730,""))</f>
        <v>OR9N 024-2.5</v>
      </c>
      <c r="E730" t="str" cm="1">
        <f t="array" ref="E730">_xlfn.TEXTJOIN(", ",TRUE,_xlfn._xlws.FILTER(ROW(PriceList!$B$4:$B$2641),PriceList!$M$4:$M$2641=A730,""))</f>
        <v>1048</v>
      </c>
      <c r="F730" s="42" t="str" cm="1">
        <f t="array" ref="F730">_xlfn.TEXTJOIN(" | ",TRUE,_xlfn.UNIQUE(_xlfn._xlws.FILTER(PriceList!$Q$4:$Q$2641&amp;" x "&amp;PriceList!$R$4:$R$2641&amp;" x "&amp;PriceList!$S$4:$S$2641,PriceList!$M$4:$M$2641=A730,"")))</f>
        <v>24 x 29 x 2.5</v>
      </c>
      <c r="G730" t="str" cm="1">
        <f t="array" ref="G730">INDEX(_xlfn._xlws.FILTER(PriceList!$P$4:$P$2641,PriceList!$M$4:$M$2641=A730,""),1)</f>
        <v>O Ring - EPDM</v>
      </c>
    </row>
    <row r="731" spans="1:7" x14ac:dyDescent="0.45">
      <c r="A731" t="s">
        <v>4741</v>
      </c>
      <c r="B731">
        <f>COUNTIF(PriceList!$M$4:$M$2641,A731)</f>
        <v>1</v>
      </c>
      <c r="C731" t="str">
        <f>IF(B731=1,"1:1","1:Many")</f>
        <v>1:1</v>
      </c>
      <c r="D731" s="42" t="str" cm="1">
        <f t="array" ref="D731">_xlfn.TEXTJOIN(" | ",TRUE,_xlfn._xlws.FILTER(PriceList!$B$4:$B$2641,PriceList!$M$4:$M$2641=A731,""))</f>
        <v>ORV8 024-2.5</v>
      </c>
      <c r="E731" t="str" cm="1">
        <f t="array" ref="E731">_xlfn.TEXTJOIN(", ",TRUE,_xlfn._xlws.FILTER(ROW(PriceList!$B$4:$B$2641),PriceList!$M$4:$M$2641=A731,""))</f>
        <v>1691</v>
      </c>
      <c r="F731" s="42" t="str" cm="1">
        <f t="array" ref="F731">_xlfn.TEXTJOIN(" | ",TRUE,_xlfn.UNIQUE(_xlfn._xlws.FILTER(PriceList!$Q$4:$Q$2641&amp;" x "&amp;PriceList!$R$4:$R$2641&amp;" x "&amp;PriceList!$S$4:$S$2641,PriceList!$M$4:$M$2641=A731,"")))</f>
        <v>24 x 29 x 2.5</v>
      </c>
      <c r="G731" t="str" cm="1">
        <f t="array" ref="G731">INDEX(_xlfn._xlws.FILTER(PriceList!$P$4:$P$2641,PriceList!$M$4:$M$2641=A731,""),1)</f>
        <v>O Ring - FPM/FKM/VitonÂ®</v>
      </c>
    </row>
    <row r="732" spans="1:7" x14ac:dyDescent="0.45">
      <c r="A732" t="s">
        <v>4742</v>
      </c>
      <c r="B732">
        <f>COUNTIF(PriceList!$M$4:$M$2641,A732)</f>
        <v>1</v>
      </c>
      <c r="C732" t="str">
        <f>IF(B732=1,"1:1","1:Many")</f>
        <v>1:1</v>
      </c>
      <c r="D732" s="42" t="str" cm="1">
        <f t="array" ref="D732">_xlfn.TEXTJOIN(" | ",TRUE,_xlfn._xlws.FILTER(PriceList!$B$4:$B$2641,PriceList!$M$4:$M$2641=A732,""))</f>
        <v>ORV8 024-3</v>
      </c>
      <c r="E732" t="str" cm="1">
        <f t="array" ref="E732">_xlfn.TEXTJOIN(", ",TRUE,_xlfn._xlws.FILTER(ROW(PriceList!$B$4:$B$2641),PriceList!$M$4:$M$2641=A732,""))</f>
        <v>1692</v>
      </c>
      <c r="F732" s="42" t="str" cm="1">
        <f t="array" ref="F732">_xlfn.TEXTJOIN(" | ",TRUE,_xlfn.UNIQUE(_xlfn._xlws.FILTER(PriceList!$Q$4:$Q$2641&amp;" x "&amp;PriceList!$R$4:$R$2641&amp;" x "&amp;PriceList!$S$4:$S$2641,PriceList!$M$4:$M$2641=A732,"")))</f>
        <v>24 x 30 x 3</v>
      </c>
      <c r="G732" t="str" cm="1">
        <f t="array" ref="G732">INDEX(_xlfn._xlws.FILTER(PriceList!$P$4:$P$2641,PriceList!$M$4:$M$2641=A732,""),1)</f>
        <v>O Ring - FPM/FKM/VitonÂ®</v>
      </c>
    </row>
    <row r="733" spans="1:7" x14ac:dyDescent="0.45">
      <c r="A733" t="s">
        <v>4406</v>
      </c>
      <c r="B733">
        <f>COUNTIF(PriceList!$M$4:$M$2641,A733)</f>
        <v>1</v>
      </c>
      <c r="C733" t="str">
        <f>IF(B733=1,"1:1","1:Many")</f>
        <v>1:1</v>
      </c>
      <c r="D733" s="42" t="str" cm="1">
        <f t="array" ref="D733">_xlfn.TEXTJOIN(" | ",TRUE,_xlfn._xlws.FILTER(PriceList!$B$4:$B$2641,PriceList!$M$4:$M$2641=A733,""))</f>
        <v>OR9N 024-4</v>
      </c>
      <c r="E733" t="str" cm="1">
        <f t="array" ref="E733">_xlfn.TEXTJOIN(", ",TRUE,_xlfn._xlws.FILTER(ROW(PriceList!$B$4:$B$2641),PriceList!$M$4:$M$2641=A733,""))</f>
        <v>1049</v>
      </c>
      <c r="F733" s="42" t="str" cm="1">
        <f t="array" ref="F733">_xlfn.TEXTJOIN(" | ",TRUE,_xlfn.UNIQUE(_xlfn._xlws.FILTER(PriceList!$Q$4:$Q$2641&amp;" x "&amp;PriceList!$R$4:$R$2641&amp;" x "&amp;PriceList!$S$4:$S$2641,PriceList!$M$4:$M$2641=A733,"")))</f>
        <v>24 x 32 x 4</v>
      </c>
      <c r="G733" t="str" cm="1">
        <f t="array" ref="G733">INDEX(_xlfn._xlws.FILTER(PriceList!$P$4:$P$2641,PriceList!$M$4:$M$2641=A733,""),1)</f>
        <v>O Ring - NBR 70</v>
      </c>
    </row>
    <row r="734" spans="1:7" x14ac:dyDescent="0.45">
      <c r="A734" t="s">
        <v>4402</v>
      </c>
      <c r="B734">
        <f>COUNTIF(PriceList!$M$4:$M$2641,A734)</f>
        <v>1</v>
      </c>
      <c r="C734" t="str">
        <f>IF(B734=1,"1:1","1:Many")</f>
        <v>1:1</v>
      </c>
      <c r="D734" s="42" t="str" cm="1">
        <f t="array" ref="D734">_xlfn.TEXTJOIN(" | ",TRUE,_xlfn._xlws.FILTER(PriceList!$B$4:$B$2641,PriceList!$M$4:$M$2641=A734,""))</f>
        <v>OR9N 024.4-3.1</v>
      </c>
      <c r="E734" t="str" cm="1">
        <f t="array" ref="E734">_xlfn.TEXTJOIN(", ",TRUE,_xlfn._xlws.FILTER(ROW(PriceList!$B$4:$B$2641),PriceList!$M$4:$M$2641=A734,""))</f>
        <v>1043</v>
      </c>
      <c r="F734" s="42" t="str" cm="1">
        <f t="array" ref="F734">_xlfn.TEXTJOIN(" | ",TRUE,_xlfn.UNIQUE(_xlfn._xlws.FILTER(PriceList!$Q$4:$Q$2641&amp;" x "&amp;PriceList!$R$4:$R$2641&amp;" x "&amp;PriceList!$S$4:$S$2641,PriceList!$M$4:$M$2641=A734,"")))</f>
        <v>24.4 x 30.6 x 3.1</v>
      </c>
      <c r="G734" t="str" cm="1">
        <f t="array" ref="G734">INDEX(_xlfn._xlws.FILTER(PriceList!$P$4:$P$2641,PriceList!$M$4:$M$2641=A734,""),1)</f>
        <v>O Ring - NBR 70</v>
      </c>
    </row>
    <row r="735" spans="1:7" x14ac:dyDescent="0.45">
      <c r="A735" t="s">
        <v>4737</v>
      </c>
      <c r="B735">
        <f>COUNTIF(PriceList!$M$4:$M$2641,A735)</f>
        <v>1</v>
      </c>
      <c r="C735" t="str">
        <f>IF(B735=1,"1:1","1:Many")</f>
        <v>1:1</v>
      </c>
      <c r="D735" s="42" t="str" cm="1">
        <f t="array" ref="D735">_xlfn.TEXTJOIN(" | ",TRUE,_xlfn._xlws.FILTER(PriceList!$B$4:$B$2641,PriceList!$M$4:$M$2641=A735,""))</f>
        <v>ORV8 024.4-3.1</v>
      </c>
      <c r="E735" t="str" cm="1">
        <f t="array" ref="E735">_xlfn.TEXTJOIN(", ",TRUE,_xlfn._xlws.FILTER(ROW(PriceList!$B$4:$B$2641),PriceList!$M$4:$M$2641=A735,""))</f>
        <v>1687</v>
      </c>
      <c r="F735" s="42" t="str" cm="1">
        <f t="array" ref="F735">_xlfn.TEXTJOIN(" | ",TRUE,_xlfn.UNIQUE(_xlfn._xlws.FILTER(PriceList!$Q$4:$Q$2641&amp;" x "&amp;PriceList!$R$4:$R$2641&amp;" x "&amp;PriceList!$S$4:$S$2641,PriceList!$M$4:$M$2641=A735,"")))</f>
        <v>24.5 x 30.5 x 3</v>
      </c>
      <c r="G735" t="str" cm="1">
        <f t="array" ref="G735">INDEX(_xlfn._xlws.FILTER(PriceList!$P$4:$P$2641,PriceList!$M$4:$M$2641=A735,""),1)</f>
        <v>O Ring - FPM/FKM/VitonÂ®</v>
      </c>
    </row>
    <row r="736" spans="1:7" x14ac:dyDescent="0.45">
      <c r="A736" t="s">
        <v>4403</v>
      </c>
      <c r="B736">
        <f>COUNTIF(PriceList!$M$4:$M$2641,A736)</f>
        <v>1</v>
      </c>
      <c r="C736" t="str">
        <f>IF(B736=1,"1:1","1:Many")</f>
        <v>1:1</v>
      </c>
      <c r="D736" s="42" t="str" cm="1">
        <f t="array" ref="D736">_xlfn.TEXTJOIN(" | ",TRUE,_xlfn._xlws.FILTER(PriceList!$B$4:$B$2641,PriceList!$M$4:$M$2641=A736,""))</f>
        <v>OR9N 024.7-3.5</v>
      </c>
      <c r="E736" t="str" cm="1">
        <f t="array" ref="E736">_xlfn.TEXTJOIN(", ",TRUE,_xlfn._xlws.FILTER(ROW(PriceList!$B$4:$B$2641),PriceList!$M$4:$M$2641=A736,""))</f>
        <v>1044</v>
      </c>
      <c r="F736" s="42" t="str" cm="1">
        <f t="array" ref="F736">_xlfn.TEXTJOIN(" | ",TRUE,_xlfn.UNIQUE(_xlfn._xlws.FILTER(PriceList!$Q$4:$Q$2641&amp;" x "&amp;PriceList!$R$4:$R$2641&amp;" x "&amp;PriceList!$S$4:$S$2641,PriceList!$M$4:$M$2641=A736,"")))</f>
        <v>24.7 x 31.7 x 3.5</v>
      </c>
      <c r="G736" t="str" cm="1">
        <f t="array" ref="G736">INDEX(_xlfn._xlws.FILTER(PriceList!$P$4:$P$2641,PriceList!$M$4:$M$2641=A736,""),1)</f>
        <v>O Ring - NBR 70</v>
      </c>
    </row>
    <row r="737" spans="1:7" x14ac:dyDescent="0.45">
      <c r="A737" t="s">
        <v>4407</v>
      </c>
      <c r="B737">
        <f>COUNTIF(PriceList!$M$4:$M$2641,A737)</f>
        <v>1</v>
      </c>
      <c r="C737" t="str">
        <f>IF(B737=1,"1:1","1:Many")</f>
        <v>1:1</v>
      </c>
      <c r="D737" s="42" t="str" cm="1">
        <f t="array" ref="D737">_xlfn.TEXTJOIN(" | ",TRUE,_xlfn._xlws.FILTER(PriceList!$B$4:$B$2641,PriceList!$M$4:$M$2641=A737,""))</f>
        <v>OR9N 025-1.5</v>
      </c>
      <c r="E737" t="str" cm="1">
        <f t="array" ref="E737">_xlfn.TEXTJOIN(", ",TRUE,_xlfn._xlws.FILTER(ROW(PriceList!$B$4:$B$2641),PriceList!$M$4:$M$2641=A737,""))</f>
        <v>1053</v>
      </c>
      <c r="F737" s="42" t="str" cm="1">
        <f t="array" ref="F737">_xlfn.TEXTJOIN(" | ",TRUE,_xlfn.UNIQUE(_xlfn._xlws.FILTER(PriceList!$Q$4:$Q$2641&amp;" x "&amp;PriceList!$R$4:$R$2641&amp;" x "&amp;PriceList!$S$4:$S$2641,PriceList!$M$4:$M$2641=A737,"")))</f>
        <v>25 x 28 x 1.5</v>
      </c>
      <c r="G737" t="str" cm="1">
        <f t="array" ref="G737">INDEX(_xlfn._xlws.FILTER(PriceList!$P$4:$P$2641,PriceList!$M$4:$M$2641=A737,""),1)</f>
        <v>O Ring - NBR 70</v>
      </c>
    </row>
    <row r="738" spans="1:7" x14ac:dyDescent="0.45">
      <c r="A738" t="s">
        <v>3997</v>
      </c>
      <c r="B738">
        <f>COUNTIF(PriceList!$M$4:$M$2641,A738)</f>
        <v>2</v>
      </c>
      <c r="C738" t="str">
        <f>IF(B738=1,"1:1","1:Many")</f>
        <v>1:Many</v>
      </c>
      <c r="D738" s="42" t="str" cm="1">
        <f t="array" ref="D738">_xlfn.TEXTJOIN(" | ",TRUE,_xlfn._xlws.FILTER(PriceList!$B$4:$B$2641,PriceList!$M$4:$M$2641=A738,""))</f>
        <v>OR7N 025-2 | OR9N 025-2</v>
      </c>
      <c r="E738" t="str" cm="1">
        <f t="array" ref="E738">_xlfn.TEXTJOIN(", ",TRUE,_xlfn._xlws.FILTER(ROW(PriceList!$B$4:$B$2641),PriceList!$M$4:$M$2641=A738,""))</f>
        <v>613, 1054</v>
      </c>
      <c r="F738" s="42" t="str" cm="1">
        <f t="array" ref="F738">_xlfn.TEXTJOIN(" | ",TRUE,_xlfn.UNIQUE(_xlfn._xlws.FILTER(PriceList!$Q$4:$Q$2641&amp;" x "&amp;PriceList!$R$4:$R$2641&amp;" x "&amp;PriceList!$S$4:$S$2641,PriceList!$M$4:$M$2641=A738,"")))</f>
        <v>25 x 29 x 2</v>
      </c>
      <c r="G738" t="str" cm="1">
        <f t="array" ref="G738">INDEX(_xlfn._xlws.FILTER(PriceList!$P$4:$P$2641,PriceList!$M$4:$M$2641=A738,""),1)</f>
        <v>O Ring - NBR 70</v>
      </c>
    </row>
    <row r="739" spans="1:7" x14ac:dyDescent="0.45">
      <c r="A739" t="s">
        <v>4746</v>
      </c>
      <c r="B739">
        <f>COUNTIF(PriceList!$M$4:$M$2641,A739)</f>
        <v>1</v>
      </c>
      <c r="C739" t="str">
        <f>IF(B739=1,"1:1","1:Many")</f>
        <v>1:1</v>
      </c>
      <c r="D739" s="42" t="str" cm="1">
        <f t="array" ref="D739">_xlfn.TEXTJOIN(" | ",TRUE,_xlfn._xlws.FILTER(PriceList!$B$4:$B$2641,PriceList!$M$4:$M$2641=A739,""))</f>
        <v>ORV8 025-2</v>
      </c>
      <c r="E739" t="str" cm="1">
        <f t="array" ref="E739">_xlfn.TEXTJOIN(", ",TRUE,_xlfn._xlws.FILTER(ROW(PriceList!$B$4:$B$2641),PriceList!$M$4:$M$2641=A739,""))</f>
        <v>1696</v>
      </c>
      <c r="F739" s="42" t="str" cm="1">
        <f t="array" ref="F739">_xlfn.TEXTJOIN(" | ",TRUE,_xlfn.UNIQUE(_xlfn._xlws.FILTER(PriceList!$Q$4:$Q$2641&amp;" x "&amp;PriceList!$R$4:$R$2641&amp;" x "&amp;PriceList!$S$4:$S$2641,PriceList!$M$4:$M$2641=A739,"")))</f>
        <v>25 x 29 x 2</v>
      </c>
      <c r="G739" t="str" cm="1">
        <f t="array" ref="G739">INDEX(_xlfn._xlws.FILTER(PriceList!$P$4:$P$2641,PriceList!$M$4:$M$2641=A739,""),1)</f>
        <v>O Ring - FPM/FKM/VitonÂ®</v>
      </c>
    </row>
    <row r="740" spans="1:7" x14ac:dyDescent="0.45">
      <c r="A740" t="s">
        <v>3993</v>
      </c>
      <c r="B740">
        <f>COUNTIF(PriceList!$M$4:$M$2641,A740)</f>
        <v>3</v>
      </c>
      <c r="C740" t="str">
        <f>IF(B740=1,"1:1","1:Many")</f>
        <v>1:Many</v>
      </c>
      <c r="D740" s="42" t="str" cm="1">
        <f t="array" ref="D740">_xlfn.TEXTJOIN(" | ",TRUE,_xlfn._xlws.FILTER(PriceList!$B$4:$B$2641,PriceList!$M$4:$M$2641=A740,""))</f>
        <v>OR7N 025.07-2.62 | OR9N 025.07-2.62 | OR9N 025-2.5</v>
      </c>
      <c r="E740" t="str" cm="1">
        <f t="array" ref="E740">_xlfn.TEXTJOIN(", ",TRUE,_xlfn._xlws.FILTER(ROW(PriceList!$B$4:$B$2641),PriceList!$M$4:$M$2641=A740,""))</f>
        <v>610, 1050, 1055</v>
      </c>
      <c r="F740" s="42" t="str" cm="1">
        <f t="array" ref="F740">_xlfn.TEXTJOIN(" | ",TRUE,_xlfn.UNIQUE(_xlfn._xlws.FILTER(PriceList!$Q$4:$Q$2641&amp;" x "&amp;PriceList!$R$4:$R$2641&amp;" x "&amp;PriceList!$S$4:$S$2641,PriceList!$M$4:$M$2641=A740,"")))</f>
        <v>25 x 30 x 2.5</v>
      </c>
      <c r="G740" t="str" cm="1">
        <f t="array" ref="G740">INDEX(_xlfn._xlws.FILTER(PriceList!$P$4:$P$2641,PriceList!$M$4:$M$2641=A740,""),1)</f>
        <v>O Ring - NBR 70</v>
      </c>
    </row>
    <row r="741" spans="1:7" x14ac:dyDescent="0.45">
      <c r="A741" t="s">
        <v>4743</v>
      </c>
      <c r="B741">
        <f>COUNTIF(PriceList!$M$4:$M$2641,A741)</f>
        <v>2</v>
      </c>
      <c r="C741" t="str">
        <f>IF(B741=1,"1:1","1:Many")</f>
        <v>1:Many</v>
      </c>
      <c r="D741" s="42" t="str" cm="1">
        <f t="array" ref="D741">_xlfn.TEXTJOIN(" | ",TRUE,_xlfn._xlws.FILTER(PriceList!$B$4:$B$2641,PriceList!$M$4:$M$2641=A741,""))</f>
        <v>ORV8 025.07-2.62 | ORV8 025-2.5</v>
      </c>
      <c r="E741" t="str" cm="1">
        <f t="array" ref="E741">_xlfn.TEXTJOIN(", ",TRUE,_xlfn._xlws.FILTER(ROW(PriceList!$B$4:$B$2641),PriceList!$M$4:$M$2641=A741,""))</f>
        <v>1693, 1697</v>
      </c>
      <c r="F741" s="42" t="str" cm="1">
        <f t="array" ref="F741">_xlfn.TEXTJOIN(" | ",TRUE,_xlfn.UNIQUE(_xlfn._xlws.FILTER(PriceList!$Q$4:$Q$2641&amp;" x "&amp;PriceList!$R$4:$R$2641&amp;" x "&amp;PriceList!$S$4:$S$2641,PriceList!$M$4:$M$2641=A741,"")))</f>
        <v>25 x 30 x 2.5</v>
      </c>
      <c r="G741" t="str" cm="1">
        <f t="array" ref="G741">INDEX(_xlfn._xlws.FILTER(PriceList!$P$4:$P$2641,PriceList!$M$4:$M$2641=A741,""),1)</f>
        <v>O Ring - FPM/FKM/VitonÂ®</v>
      </c>
    </row>
    <row r="742" spans="1:7" x14ac:dyDescent="0.45">
      <c r="A742" t="s">
        <v>4408</v>
      </c>
      <c r="B742">
        <f>COUNTIF(PriceList!$M$4:$M$2641,A742)</f>
        <v>1</v>
      </c>
      <c r="C742" t="str">
        <f>IF(B742=1,"1:1","1:Many")</f>
        <v>1:1</v>
      </c>
      <c r="D742" s="42" t="str" cm="1">
        <f t="array" ref="D742">_xlfn.TEXTJOIN(" | ",TRUE,_xlfn._xlws.FILTER(PriceList!$B$4:$B$2641,PriceList!$M$4:$M$2641=A742,""))</f>
        <v>OR9N 025-3</v>
      </c>
      <c r="E742" t="str" cm="1">
        <f t="array" ref="E742">_xlfn.TEXTJOIN(", ",TRUE,_xlfn._xlws.FILTER(ROW(PriceList!$B$4:$B$2641),PriceList!$M$4:$M$2641=A742,""))</f>
        <v>1056</v>
      </c>
      <c r="F742" s="42" t="str" cm="1">
        <f t="array" ref="F742">_xlfn.TEXTJOIN(" | ",TRUE,_xlfn.UNIQUE(_xlfn._xlws.FILTER(PriceList!$Q$4:$Q$2641&amp;" x "&amp;PriceList!$R$4:$R$2641&amp;" x "&amp;PriceList!$S$4:$S$2641,PriceList!$M$4:$M$2641=A742,"")))</f>
        <v>25 x 31 x 3</v>
      </c>
      <c r="G742" t="str" cm="1">
        <f t="array" ref="G742">INDEX(_xlfn._xlws.FILTER(PriceList!$P$4:$P$2641,PriceList!$M$4:$M$2641=A742,""),1)</f>
        <v>O Ring - EPDM</v>
      </c>
    </row>
    <row r="743" spans="1:7" x14ac:dyDescent="0.45">
      <c r="A743" t="s">
        <v>4747</v>
      </c>
      <c r="B743">
        <f>COUNTIF(PriceList!$M$4:$M$2641,A743)</f>
        <v>1</v>
      </c>
      <c r="C743" t="str">
        <f>IF(B743=1,"1:1","1:Many")</f>
        <v>1:1</v>
      </c>
      <c r="D743" s="42" t="str" cm="1">
        <f t="array" ref="D743">_xlfn.TEXTJOIN(" | ",TRUE,_xlfn._xlws.FILTER(PriceList!$B$4:$B$2641,PriceList!$M$4:$M$2641=A743,""))</f>
        <v>ORV8 025-3</v>
      </c>
      <c r="E743" t="str" cm="1">
        <f t="array" ref="E743">_xlfn.TEXTJOIN(", ",TRUE,_xlfn._xlws.FILTER(ROW(PriceList!$B$4:$B$2641),PriceList!$M$4:$M$2641=A743,""))</f>
        <v>1698</v>
      </c>
      <c r="F743" s="42" t="str" cm="1">
        <f t="array" ref="F743">_xlfn.TEXTJOIN(" | ",TRUE,_xlfn.UNIQUE(_xlfn._xlws.FILTER(PriceList!$Q$4:$Q$2641&amp;" x "&amp;PriceList!$R$4:$R$2641&amp;" x "&amp;PriceList!$S$4:$S$2641,PriceList!$M$4:$M$2641=A743,"")))</f>
        <v>25 x 31 x 3</v>
      </c>
      <c r="G743" t="str" cm="1">
        <f t="array" ref="G743">INDEX(_xlfn._xlws.FILTER(PriceList!$P$4:$P$2641,PriceList!$M$4:$M$2641=A743,""),1)</f>
        <v>O Ring - FPM/FKM/VitonÂ®</v>
      </c>
    </row>
    <row r="744" spans="1:7" x14ac:dyDescent="0.45">
      <c r="A744" t="s">
        <v>3990</v>
      </c>
      <c r="B744">
        <f>COUNTIF(PriceList!$M$4:$M$2641,A744)</f>
        <v>2</v>
      </c>
      <c r="C744" t="str">
        <f>IF(B744=1,"1:1","1:Many")</f>
        <v>1:Many</v>
      </c>
      <c r="D744" s="42" t="str" cm="1">
        <f t="array" ref="D744">_xlfn.TEXTJOIN(" | ",TRUE,_xlfn._xlws.FILTER(PriceList!$B$4:$B$2641,PriceList!$M$4:$M$2641=A744,""))</f>
        <v>OR7N 024.99-3.53 | OR9N 024.99-3.53</v>
      </c>
      <c r="E744" t="str" cm="1">
        <f t="array" ref="E744">_xlfn.TEXTJOIN(", ",TRUE,_xlfn._xlws.FILTER(ROW(PriceList!$B$4:$B$2641),PriceList!$M$4:$M$2641=A744,""))</f>
        <v>608, 1045</v>
      </c>
      <c r="F744" s="42" t="str" cm="1">
        <f t="array" ref="F744">_xlfn.TEXTJOIN(" | ",TRUE,_xlfn.UNIQUE(_xlfn._xlws.FILTER(PriceList!$Q$4:$Q$2641&amp;" x "&amp;PriceList!$R$4:$R$2641&amp;" x "&amp;PriceList!$S$4:$S$2641,PriceList!$M$4:$M$2641=A744,"")))</f>
        <v>25 x 32 x 3.5</v>
      </c>
      <c r="G744" t="str" cm="1">
        <f t="array" ref="G744">INDEX(_xlfn._xlws.FILTER(PriceList!$P$4:$P$2641,PriceList!$M$4:$M$2641=A744,""),1)</f>
        <v>O Ring - NBR 70</v>
      </c>
    </row>
    <row r="745" spans="1:7" x14ac:dyDescent="0.45">
      <c r="A745" t="s">
        <v>4738</v>
      </c>
      <c r="B745">
        <f>COUNTIF(PriceList!$M$4:$M$2641,A745)</f>
        <v>1</v>
      </c>
      <c r="C745" t="str">
        <f>IF(B745=1,"1:1","1:Many")</f>
        <v>1:1</v>
      </c>
      <c r="D745" s="42" t="str" cm="1">
        <f t="array" ref="D745">_xlfn.TEXTJOIN(" | ",TRUE,_xlfn._xlws.FILTER(PriceList!$B$4:$B$2641,PriceList!$M$4:$M$2641=A745,""))</f>
        <v>ORV8 024.99-3.53</v>
      </c>
      <c r="E745" t="str" cm="1">
        <f t="array" ref="E745">_xlfn.TEXTJOIN(", ",TRUE,_xlfn._xlws.FILTER(ROW(PriceList!$B$4:$B$2641),PriceList!$M$4:$M$2641=A745,""))</f>
        <v>1688</v>
      </c>
      <c r="F745" s="42" t="str" cm="1">
        <f t="array" ref="F745">_xlfn.TEXTJOIN(" | ",TRUE,_xlfn.UNIQUE(_xlfn._xlws.FILTER(PriceList!$Q$4:$Q$2641&amp;" x "&amp;PriceList!$R$4:$R$2641&amp;" x "&amp;PriceList!$S$4:$S$2641,PriceList!$M$4:$M$2641=A745,"")))</f>
        <v>25 x 32 x 3.5</v>
      </c>
      <c r="G745" t="str" cm="1">
        <f t="array" ref="G745">INDEX(_xlfn._xlws.FILTER(PriceList!$P$4:$P$2641,PriceList!$M$4:$M$2641=A745,""),1)</f>
        <v>O Ring - FPM/FKM/VitonÂ®</v>
      </c>
    </row>
    <row r="746" spans="1:7" x14ac:dyDescent="0.45">
      <c r="A746" t="s">
        <v>4745</v>
      </c>
      <c r="B746">
        <f>COUNTIF(PriceList!$M$4:$M$2641,A746)</f>
        <v>1</v>
      </c>
      <c r="C746" t="str">
        <f>IF(B746=1,"1:1","1:Many")</f>
        <v>1:1</v>
      </c>
      <c r="D746" s="42" t="str" cm="1">
        <f t="array" ref="D746">_xlfn.TEXTJOIN(" | ",TRUE,_xlfn._xlws.FILTER(PriceList!$B$4:$B$2641,PriceList!$M$4:$M$2641=A746,""))</f>
        <v>ORV8 025.7-3.5</v>
      </c>
      <c r="E746" t="str" cm="1">
        <f t="array" ref="E746">_xlfn.TEXTJOIN(", ",TRUE,_xlfn._xlws.FILTER(ROW(PriceList!$B$4:$B$2641),PriceList!$M$4:$M$2641=A746,""))</f>
        <v>1695</v>
      </c>
      <c r="F746" s="42" t="str" cm="1">
        <f t="array" ref="F746">_xlfn.TEXTJOIN(" | ",TRUE,_xlfn.UNIQUE(_xlfn._xlws.FILTER(PriceList!$Q$4:$Q$2641&amp;" x "&amp;PriceList!$R$4:$R$2641&amp;" x "&amp;PriceList!$S$4:$S$2641,PriceList!$M$4:$M$2641=A746,"")))</f>
        <v>25 x 33 x 4</v>
      </c>
      <c r="G746" t="str" cm="1">
        <f t="array" ref="G746">INDEX(_xlfn._xlws.FILTER(PriceList!$P$4:$P$2641,PriceList!$M$4:$M$2641=A746,""),1)</f>
        <v>O Ring - FPM/FKM/VitonÂ®</v>
      </c>
    </row>
    <row r="747" spans="1:7" x14ac:dyDescent="0.45">
      <c r="A747" t="s">
        <v>4409</v>
      </c>
      <c r="B747">
        <f>COUNTIF(PriceList!$M$4:$M$2641,A747)</f>
        <v>1</v>
      </c>
      <c r="C747" t="str">
        <f>IF(B747=1,"1:1","1:Many")</f>
        <v>1:1</v>
      </c>
      <c r="D747" s="42" t="str" cm="1">
        <f t="array" ref="D747">_xlfn.TEXTJOIN(" | ",TRUE,_xlfn._xlws.FILTER(PriceList!$B$4:$B$2641,PriceList!$M$4:$M$2641=A747,""))</f>
        <v>OR9N 025-5</v>
      </c>
      <c r="E747" t="str" cm="1">
        <f t="array" ref="E747">_xlfn.TEXTJOIN(", ",TRUE,_xlfn._xlws.FILTER(ROW(PriceList!$B$4:$B$2641),PriceList!$M$4:$M$2641=A747,""))</f>
        <v>1057</v>
      </c>
      <c r="F747" s="42" t="str" cm="1">
        <f t="array" ref="F747">_xlfn.TEXTJOIN(" | ",TRUE,_xlfn.UNIQUE(_xlfn._xlws.FILTER(PriceList!$Q$4:$Q$2641&amp;" x "&amp;PriceList!$R$4:$R$2641&amp;" x "&amp;PriceList!$S$4:$S$2641,PriceList!$M$4:$M$2641=A747,"")))</f>
        <v>25 x 35 x 5</v>
      </c>
      <c r="G747" t="str" cm="1">
        <f t="array" ref="G747">INDEX(_xlfn._xlws.FILTER(PriceList!$P$4:$P$2641,PriceList!$M$4:$M$2641=A747,""),1)</f>
        <v>O Ring - NBR 70</v>
      </c>
    </row>
    <row r="748" spans="1:7" x14ac:dyDescent="0.45">
      <c r="A748" t="s">
        <v>4748</v>
      </c>
      <c r="B748">
        <f>COUNTIF(PriceList!$M$4:$M$2641,A748)</f>
        <v>1</v>
      </c>
      <c r="C748" t="str">
        <f>IF(B748=1,"1:1","1:Many")</f>
        <v>1:1</v>
      </c>
      <c r="D748" s="42" t="str" cm="1">
        <f t="array" ref="D748">_xlfn.TEXTJOIN(" | ",TRUE,_xlfn._xlws.FILTER(PriceList!$B$4:$B$2641,PriceList!$M$4:$M$2641=A748,""))</f>
        <v>ORV8 025-5</v>
      </c>
      <c r="E748" t="str" cm="1">
        <f t="array" ref="E748">_xlfn.TEXTJOIN(", ",TRUE,_xlfn._xlws.FILTER(ROW(PriceList!$B$4:$B$2641),PriceList!$M$4:$M$2641=A748,""))</f>
        <v>1699</v>
      </c>
      <c r="F748" s="42" t="str" cm="1">
        <f t="array" ref="F748">_xlfn.TEXTJOIN(" | ",TRUE,_xlfn.UNIQUE(_xlfn._xlws.FILTER(PriceList!$Q$4:$Q$2641&amp;" x "&amp;PriceList!$R$4:$R$2641&amp;" x "&amp;PriceList!$S$4:$S$2641,PriceList!$M$4:$M$2641=A748,"")))</f>
        <v>25 x 35 x 5</v>
      </c>
      <c r="G748" t="str" cm="1">
        <f t="array" ref="G748">INDEX(_xlfn._xlws.FILTER(PriceList!$P$4:$P$2641,PriceList!$M$4:$M$2641=A748,""),1)</f>
        <v>O Ring - FPM/FKM/VitonÂ®</v>
      </c>
    </row>
    <row r="749" spans="1:7" x14ac:dyDescent="0.45">
      <c r="A749" t="s">
        <v>4753</v>
      </c>
      <c r="B749">
        <f>COUNTIF(PriceList!$M$4:$M$2641,A749)</f>
        <v>1</v>
      </c>
      <c r="C749" t="str">
        <f>IF(B749=1,"1:1","1:Many")</f>
        <v>1:1</v>
      </c>
      <c r="D749" s="42" t="str" cm="1">
        <f t="array" ref="D749">_xlfn.TEXTJOIN(" | ",TRUE,_xlfn._xlws.FILTER(PriceList!$B$4:$B$2641,PriceList!$M$4:$M$2641=A749,""))</f>
        <v>ORV8 026-2</v>
      </c>
      <c r="E749" t="str" cm="1">
        <f t="array" ref="E749">_xlfn.TEXTJOIN(", ",TRUE,_xlfn._xlws.FILTER(ROW(PriceList!$B$4:$B$2641),PriceList!$M$4:$M$2641=A749,""))</f>
        <v>1704</v>
      </c>
      <c r="F749" s="42" t="str" cm="1">
        <f t="array" ref="F749">_xlfn.TEXTJOIN(" | ",TRUE,_xlfn.UNIQUE(_xlfn._xlws.FILTER(PriceList!$Q$4:$Q$2641&amp;" x "&amp;PriceList!$R$4:$R$2641&amp;" x "&amp;PriceList!$S$4:$S$2641,PriceList!$M$4:$M$2641=A749,"")))</f>
        <v>25.3 x 30.1 x 2.4</v>
      </c>
      <c r="G749" t="str" cm="1">
        <f t="array" ref="G749">INDEX(_xlfn._xlws.FILTER(PriceList!$P$4:$P$2641,PriceList!$M$4:$M$2641=A749,""),1)</f>
        <v>O Ring - FPM/FKM/VitonÂ®</v>
      </c>
    </row>
    <row r="750" spans="1:7" x14ac:dyDescent="0.45">
      <c r="A750" t="s">
        <v>3996</v>
      </c>
      <c r="B750">
        <f>COUNTIF(PriceList!$M$4:$M$2641,A750)</f>
        <v>2</v>
      </c>
      <c r="C750" t="str">
        <f>IF(B750=1,"1:1","1:Many")</f>
        <v>1:Many</v>
      </c>
      <c r="D750" s="42" t="str" cm="1">
        <f t="array" ref="D750">_xlfn.TEXTJOIN(" | ",TRUE,_xlfn._xlws.FILTER(PriceList!$B$4:$B$2641,PriceList!$M$4:$M$2641=A750,""))</f>
        <v>OR7N 025.7-3.5 | OR9N 025.7-3.5</v>
      </c>
      <c r="E750" t="str" cm="1">
        <f t="array" ref="E750">_xlfn.TEXTJOIN(", ",TRUE,_xlfn._xlws.FILTER(ROW(PriceList!$B$4:$B$2641),PriceList!$M$4:$M$2641=A750,""))</f>
        <v>612, 1052</v>
      </c>
      <c r="F750" s="42" t="str" cm="1">
        <f t="array" ref="F750">_xlfn.TEXTJOIN(" | ",TRUE,_xlfn.UNIQUE(_xlfn._xlws.FILTER(PriceList!$Q$4:$Q$2641&amp;" x "&amp;PriceList!$R$4:$R$2641&amp;" x "&amp;PriceList!$S$4:$S$2641,PriceList!$M$4:$M$2641=A750,"")))</f>
        <v>25.7 x 32.7 x 3.5</v>
      </c>
      <c r="G750" t="str" cm="1">
        <f t="array" ref="G750">INDEX(_xlfn._xlws.FILTER(PriceList!$P$4:$P$2641,PriceList!$M$4:$M$2641=A750,""),1)</f>
        <v>O Ring - NBR 90</v>
      </c>
    </row>
    <row r="751" spans="1:7" x14ac:dyDescent="0.45">
      <c r="A751" t="s">
        <v>4749</v>
      </c>
      <c r="B751">
        <f>COUNTIF(PriceList!$M$4:$M$2641,A751)</f>
        <v>1</v>
      </c>
      <c r="C751" t="str">
        <f>IF(B751=1,"1:1","1:Many")</f>
        <v>1:1</v>
      </c>
      <c r="D751" s="42" t="str" cm="1">
        <f t="array" ref="D751">_xlfn.TEXTJOIN(" | ",TRUE,_xlfn._xlws.FILTER(PriceList!$B$4:$B$2641,PriceList!$M$4:$M$2641=A751,""))</f>
        <v>ORV8 026.2-2.4</v>
      </c>
      <c r="E751" t="str" cm="1">
        <f t="array" ref="E751">_xlfn.TEXTJOIN(", ",TRUE,_xlfn._xlws.FILTER(ROW(PriceList!$B$4:$B$2641),PriceList!$M$4:$M$2641=A751,""))</f>
        <v>1700</v>
      </c>
      <c r="F751" s="42" t="str" cm="1">
        <f t="array" ref="F751">_xlfn.TEXTJOIN(" | ",TRUE,_xlfn.UNIQUE(_xlfn._xlws.FILTER(PriceList!$Q$4:$Q$2641&amp;" x "&amp;PriceList!$R$4:$R$2641&amp;" x "&amp;PriceList!$S$4:$S$2641,PriceList!$M$4:$M$2641=A751,"")))</f>
        <v>26 x 31 x 2.5</v>
      </c>
      <c r="G751" t="str" cm="1">
        <f t="array" ref="G751">INDEX(_xlfn._xlws.FILTER(PriceList!$P$4:$P$2641,PriceList!$M$4:$M$2641=A751,""),1)</f>
        <v>O Ring - FPM/FKM/VitonÂ®</v>
      </c>
    </row>
    <row r="752" spans="1:7" x14ac:dyDescent="0.45">
      <c r="A752" t="s">
        <v>4411</v>
      </c>
      <c r="B752">
        <f>COUNTIF(PriceList!$M$4:$M$2641,A752)</f>
        <v>1</v>
      </c>
      <c r="C752" t="str">
        <f>IF(B752=1,"1:1","1:Many")</f>
        <v>1:1</v>
      </c>
      <c r="D752" s="42" t="str" cm="1">
        <f t="array" ref="D752">_xlfn.TEXTJOIN(" | ",TRUE,_xlfn._xlws.FILTER(PriceList!$B$4:$B$2641,PriceList!$M$4:$M$2641=A752,""))</f>
        <v>OR9N 026-3</v>
      </c>
      <c r="E752" t="str" cm="1">
        <f t="array" ref="E752">_xlfn.TEXTJOIN(", ",TRUE,_xlfn._xlws.FILTER(ROW(PriceList!$B$4:$B$2641),PriceList!$M$4:$M$2641=A752,""))</f>
        <v>1061</v>
      </c>
      <c r="F752" s="42" t="str" cm="1">
        <f t="array" ref="F752">_xlfn.TEXTJOIN(" | ",TRUE,_xlfn.UNIQUE(_xlfn._xlws.FILTER(PriceList!$Q$4:$Q$2641&amp;" x "&amp;PriceList!$R$4:$R$2641&amp;" x "&amp;PriceList!$S$4:$S$2641,PriceList!$M$4:$M$2641=A752,"")))</f>
        <v>26 x 32 x 3</v>
      </c>
      <c r="G752" t="str" cm="1">
        <f t="array" ref="G752">INDEX(_xlfn._xlws.FILTER(PriceList!$P$4:$P$2641,PriceList!$M$4:$M$2641=A752,""),1)</f>
        <v>O Ring - NBR 70</v>
      </c>
    </row>
    <row r="753" spans="1:7" x14ac:dyDescent="0.45">
      <c r="A753" t="s">
        <v>4754</v>
      </c>
      <c r="B753">
        <f>COUNTIF(PriceList!$M$4:$M$2641,A753)</f>
        <v>1</v>
      </c>
      <c r="C753" t="str">
        <f>IF(B753=1,"1:1","1:Many")</f>
        <v>1:1</v>
      </c>
      <c r="D753" s="42" t="str" cm="1">
        <f t="array" ref="D753">_xlfn.TEXTJOIN(" | ",TRUE,_xlfn._xlws.FILTER(PriceList!$B$4:$B$2641,PriceList!$M$4:$M$2641=A753,""))</f>
        <v>ORV8 026-3</v>
      </c>
      <c r="E753" t="str" cm="1">
        <f t="array" ref="E753">_xlfn.TEXTJOIN(", ",TRUE,_xlfn._xlws.FILTER(ROW(PriceList!$B$4:$B$2641),PriceList!$M$4:$M$2641=A753,""))</f>
        <v>1705</v>
      </c>
      <c r="F753" s="42" t="str" cm="1">
        <f t="array" ref="F753">_xlfn.TEXTJOIN(" | ",TRUE,_xlfn.UNIQUE(_xlfn._xlws.FILTER(PriceList!$Q$4:$Q$2641&amp;" x "&amp;PriceList!$R$4:$R$2641&amp;" x "&amp;PriceList!$S$4:$S$2641,PriceList!$M$4:$M$2641=A753,"")))</f>
        <v>26 x 32 x 3</v>
      </c>
      <c r="G753" t="str" cm="1">
        <f t="array" ref="G753">INDEX(_xlfn._xlws.FILTER(PriceList!$P$4:$P$2641,PriceList!$M$4:$M$2641=A753,""),1)</f>
        <v>O Ring - FPM/FKM/VitonÂ®</v>
      </c>
    </row>
    <row r="754" spans="1:7" x14ac:dyDescent="0.45">
      <c r="A754" t="s">
        <v>4412</v>
      </c>
      <c r="B754">
        <f>COUNTIF(PriceList!$M$4:$M$2641,A754)</f>
        <v>1</v>
      </c>
      <c r="C754" t="str">
        <f>IF(B754=1,"1:1","1:Many")</f>
        <v>1:1</v>
      </c>
      <c r="D754" s="42" t="str" cm="1">
        <f t="array" ref="D754">_xlfn.TEXTJOIN(" | ",TRUE,_xlfn._xlws.FILTER(PriceList!$B$4:$B$2641,PriceList!$M$4:$M$2641=A754,""))</f>
        <v>OR9N 027-2.5</v>
      </c>
      <c r="E754" t="str" cm="1">
        <f t="array" ref="E754">_xlfn.TEXTJOIN(", ",TRUE,_xlfn._xlws.FILTER(ROW(PriceList!$B$4:$B$2641),PriceList!$M$4:$M$2641=A754,""))</f>
        <v>1063</v>
      </c>
      <c r="F754" s="42" t="str" cm="1">
        <f t="array" ref="F754">_xlfn.TEXTJOIN(" | ",TRUE,_xlfn.UNIQUE(_xlfn._xlws.FILTER(PriceList!$Q$4:$Q$2641&amp;" x "&amp;PriceList!$R$4:$R$2641&amp;" x "&amp;PriceList!$S$4:$S$2641,PriceList!$M$4:$M$2641=A754,"")))</f>
        <v>27 x 32 x 2.5</v>
      </c>
      <c r="G754" t="str" cm="1">
        <f t="array" ref="G754">INDEX(_xlfn._xlws.FILTER(PriceList!$P$4:$P$2641,PriceList!$M$4:$M$2641=A754,""),1)</f>
        <v>O Ring - NBR 70</v>
      </c>
    </row>
    <row r="755" spans="1:7" x14ac:dyDescent="0.45">
      <c r="A755" t="s">
        <v>4756</v>
      </c>
      <c r="B755">
        <f>COUNTIF(PriceList!$M$4:$M$2641,A755)</f>
        <v>1</v>
      </c>
      <c r="C755" t="str">
        <f>IF(B755=1,"1:1","1:Many")</f>
        <v>1:1</v>
      </c>
      <c r="D755" s="42" t="str" cm="1">
        <f t="array" ref="D755">_xlfn.TEXTJOIN(" | ",TRUE,_xlfn._xlws.FILTER(PriceList!$B$4:$B$2641,PriceList!$M$4:$M$2641=A755,""))</f>
        <v>ORV8 027-2.5</v>
      </c>
      <c r="E755" t="str" cm="1">
        <f t="array" ref="E755">_xlfn.TEXTJOIN(", ",TRUE,_xlfn._xlws.FILTER(ROW(PriceList!$B$4:$B$2641),PriceList!$M$4:$M$2641=A755,""))</f>
        <v>1707</v>
      </c>
      <c r="F755" s="42" t="str" cm="1">
        <f t="array" ref="F755">_xlfn.TEXTJOIN(" | ",TRUE,_xlfn.UNIQUE(_xlfn._xlws.FILTER(PriceList!$Q$4:$Q$2641&amp;" x "&amp;PriceList!$R$4:$R$2641&amp;" x "&amp;PriceList!$S$4:$S$2641,PriceList!$M$4:$M$2641=A755,"")))</f>
        <v>27 x 32 x 2.5</v>
      </c>
      <c r="G755" t="str" cm="1">
        <f t="array" ref="G755">INDEX(_xlfn._xlws.FILTER(PriceList!$P$4:$P$2641,PriceList!$M$4:$M$2641=A755,""),1)</f>
        <v>O Ring - FPM/FKM/VitonÂ®</v>
      </c>
    </row>
    <row r="756" spans="1:7" x14ac:dyDescent="0.45">
      <c r="A756" t="s">
        <v>4413</v>
      </c>
      <c r="B756">
        <f>COUNTIF(PriceList!$M$4:$M$2641,A756)</f>
        <v>1</v>
      </c>
      <c r="C756" t="str">
        <f>IF(B756=1,"1:1","1:Many")</f>
        <v>1:1</v>
      </c>
      <c r="D756" s="42" t="str" cm="1">
        <f t="array" ref="D756">_xlfn.TEXTJOIN(" | ",TRUE,_xlfn._xlws.FILTER(PriceList!$B$4:$B$2641,PriceList!$M$4:$M$2641=A756,""))</f>
        <v>OR9N 027-3</v>
      </c>
      <c r="E756" t="str" cm="1">
        <f t="array" ref="E756">_xlfn.TEXTJOIN(", ",TRUE,_xlfn._xlws.FILTER(ROW(PriceList!$B$4:$B$2641),PriceList!$M$4:$M$2641=A756,""))</f>
        <v>1064</v>
      </c>
      <c r="F756" s="42" t="str" cm="1">
        <f t="array" ref="F756">_xlfn.TEXTJOIN(" | ",TRUE,_xlfn.UNIQUE(_xlfn._xlws.FILTER(PriceList!$Q$4:$Q$2641&amp;" x "&amp;PriceList!$R$4:$R$2641&amp;" x "&amp;PriceList!$S$4:$S$2641,PriceList!$M$4:$M$2641=A756,"")))</f>
        <v>27 x 33 x 3</v>
      </c>
      <c r="G756" t="str" cm="1">
        <f t="array" ref="G756">INDEX(_xlfn._xlws.FILTER(PriceList!$P$4:$P$2641,PriceList!$M$4:$M$2641=A756,""),1)</f>
        <v>O Ring - NBR 70</v>
      </c>
    </row>
    <row r="757" spans="1:7" x14ac:dyDescent="0.45">
      <c r="A757" t="s">
        <v>4757</v>
      </c>
      <c r="B757">
        <f>COUNTIF(PriceList!$M$4:$M$2641,A757)</f>
        <v>1</v>
      </c>
      <c r="C757" t="str">
        <f>IF(B757=1,"1:1","1:Many")</f>
        <v>1:1</v>
      </c>
      <c r="D757" s="42" t="str" cm="1">
        <f t="array" ref="D757">_xlfn.TEXTJOIN(" | ",TRUE,_xlfn._xlws.FILTER(PriceList!$B$4:$B$2641,PriceList!$M$4:$M$2641=A757,""))</f>
        <v>ORV8 027-3</v>
      </c>
      <c r="E757" t="str" cm="1">
        <f t="array" ref="E757">_xlfn.TEXTJOIN(", ",TRUE,_xlfn._xlws.FILTER(ROW(PriceList!$B$4:$B$2641),PriceList!$M$4:$M$2641=A757,""))</f>
        <v>1708</v>
      </c>
      <c r="F757" s="42" t="str" cm="1">
        <f t="array" ref="F757">_xlfn.TEXTJOIN(" | ",TRUE,_xlfn.UNIQUE(_xlfn._xlws.FILTER(PriceList!$Q$4:$Q$2641&amp;" x "&amp;PriceList!$R$4:$R$2641&amp;" x "&amp;PriceList!$S$4:$S$2641,PriceList!$M$4:$M$2641=A757,"")))</f>
        <v>27 x 33 x 3</v>
      </c>
      <c r="G757" t="str" cm="1">
        <f t="array" ref="G757">INDEX(_xlfn._xlws.FILTER(PriceList!$P$4:$P$2641,PriceList!$M$4:$M$2641=A757,""),1)</f>
        <v>O Ring - FPM/FKM/VitonÂ®</v>
      </c>
    </row>
    <row r="758" spans="1:7" x14ac:dyDescent="0.45">
      <c r="A758" t="s">
        <v>4755</v>
      </c>
      <c r="B758">
        <f>COUNTIF(PriceList!$M$4:$M$2641,A758)</f>
        <v>1</v>
      </c>
      <c r="C758" t="str">
        <f>IF(B758=1,"1:1","1:Many")</f>
        <v>1:1</v>
      </c>
      <c r="D758" s="42" t="str" cm="1">
        <f t="array" ref="D758">_xlfn.TEXTJOIN(" | ",TRUE,_xlfn._xlws.FILTER(PriceList!$B$4:$B$2641,PriceList!$M$4:$M$2641=A758,""))</f>
        <v>ORV8 027.7-3.5</v>
      </c>
      <c r="E758" t="str" cm="1">
        <f t="array" ref="E758">_xlfn.TEXTJOIN(", ",TRUE,_xlfn._xlws.FILTER(ROW(PriceList!$B$4:$B$2641),PriceList!$M$4:$M$2641=A758,""))</f>
        <v>1706</v>
      </c>
      <c r="F758" s="42" t="str" cm="1">
        <f t="array" ref="F758">_xlfn.TEXTJOIN(" | ",TRUE,_xlfn.UNIQUE(_xlfn._xlws.FILTER(PriceList!$Q$4:$Q$2641&amp;" x "&amp;PriceList!$R$4:$R$2641&amp;" x "&amp;PriceList!$S$4:$S$2641,PriceList!$M$4:$M$2641=A758,"")))</f>
        <v>27 x 35 x 4</v>
      </c>
      <c r="G758" t="str" cm="1">
        <f t="array" ref="G758">INDEX(_xlfn._xlws.FILTER(PriceList!$P$4:$P$2641,PriceList!$M$4:$M$2641=A758,""),1)</f>
        <v>O Ring - FPM/FKM/VitonÂ®</v>
      </c>
    </row>
    <row r="759" spans="1:7" x14ac:dyDescent="0.45">
      <c r="A759" t="s">
        <v>4002</v>
      </c>
      <c r="B759">
        <f>COUNTIF(PriceList!$M$4:$M$2641,A759)</f>
        <v>2</v>
      </c>
      <c r="C759" t="str">
        <f>IF(B759=1,"1:1","1:Many")</f>
        <v>1:Many</v>
      </c>
      <c r="D759" s="42" t="str" cm="1">
        <f t="array" ref="D759">_xlfn.TEXTJOIN(" | ",TRUE,_xlfn._xlws.FILTER(PriceList!$B$4:$B$2641,PriceList!$M$4:$M$2641=A759,""))</f>
        <v>OR7N 027.7-3.5 | OR9N 027.7-3.5</v>
      </c>
      <c r="E759" t="str" cm="1">
        <f t="array" ref="E759">_xlfn.TEXTJOIN(", ",TRUE,_xlfn._xlws.FILTER(ROW(PriceList!$B$4:$B$2641),PriceList!$M$4:$M$2641=A759,""))</f>
        <v>616, 1062</v>
      </c>
      <c r="F759" s="42" t="str" cm="1">
        <f t="array" ref="F759">_xlfn.TEXTJOIN(" | ",TRUE,_xlfn.UNIQUE(_xlfn._xlws.FILTER(PriceList!$Q$4:$Q$2641&amp;" x "&amp;PriceList!$R$4:$R$2641&amp;" x "&amp;PriceList!$S$4:$S$2641,PriceList!$M$4:$M$2641=A759,"")))</f>
        <v>27.7 x 34.7 x 3.5</v>
      </c>
      <c r="G759" t="str" cm="1">
        <f t="array" ref="G759">INDEX(_xlfn._xlws.FILTER(PriceList!$P$4:$P$2641,PriceList!$M$4:$M$2641=A759,""),1)</f>
        <v>O Ring - NBR 70</v>
      </c>
    </row>
    <row r="760" spans="1:7" x14ac:dyDescent="0.45">
      <c r="A760" t="s">
        <v>4005</v>
      </c>
      <c r="B760">
        <f>COUNTIF(PriceList!$M$4:$M$2641,A760)</f>
        <v>2</v>
      </c>
      <c r="C760" t="str">
        <f>IF(B760=1,"1:1","1:Many")</f>
        <v>1:Many</v>
      </c>
      <c r="D760" s="42" t="str" cm="1">
        <f t="array" ref="D760">_xlfn.TEXTJOIN(" | ",TRUE,_xlfn._xlws.FILTER(PriceList!$B$4:$B$2641,PriceList!$M$4:$M$2641=A760,""))</f>
        <v>OR7N 028.30-1.78 | OR9N 028.30-1.78</v>
      </c>
      <c r="E760" t="str" cm="1">
        <f t="array" ref="E760">_xlfn.TEXTJOIN(", ",TRUE,_xlfn._xlws.FILTER(ROW(PriceList!$B$4:$B$2641),PriceList!$M$4:$M$2641=A760,""))</f>
        <v>619, 1067</v>
      </c>
      <c r="F760" s="42" t="str" cm="1">
        <f t="array" ref="F760">_xlfn.TEXTJOIN(" | ",TRUE,_xlfn.UNIQUE(_xlfn._xlws.FILTER(PriceList!$Q$4:$Q$2641&amp;" x "&amp;PriceList!$R$4:$R$2641&amp;" x "&amp;PriceList!$S$4:$S$2641,PriceList!$M$4:$M$2641=A760,"")))</f>
        <v>28 x 32 x 2</v>
      </c>
      <c r="G760" t="str" cm="1">
        <f t="array" ref="G760">INDEX(_xlfn._xlws.FILTER(PriceList!$P$4:$P$2641,PriceList!$M$4:$M$2641=A760,""),1)</f>
        <v>O Ring - NBR 70</v>
      </c>
    </row>
    <row r="761" spans="1:7" x14ac:dyDescent="0.45">
      <c r="A761" t="s">
        <v>4760</v>
      </c>
      <c r="B761">
        <f>COUNTIF(PriceList!$M$4:$M$2641,A761)</f>
        <v>2</v>
      </c>
      <c r="C761" t="str">
        <f>IF(B761=1,"1:1","1:Many")</f>
        <v>1:Many</v>
      </c>
      <c r="D761" s="42" t="str" cm="1">
        <f t="array" ref="D761">_xlfn.TEXTJOIN(" | ",TRUE,_xlfn._xlws.FILTER(PriceList!$B$4:$B$2641,PriceList!$M$4:$M$2641=A761,""))</f>
        <v>ORV8 028.3-1.78 | ORV8 028-2</v>
      </c>
      <c r="E761" t="str" cm="1">
        <f t="array" ref="E761">_xlfn.TEXTJOIN(", ",TRUE,_xlfn._xlws.FILTER(ROW(PriceList!$B$4:$B$2641),PriceList!$M$4:$M$2641=A761,""))</f>
        <v>1711, 1713</v>
      </c>
      <c r="F761" s="42" t="str" cm="1">
        <f t="array" ref="F761">_xlfn.TEXTJOIN(" | ",TRUE,_xlfn.UNIQUE(_xlfn._xlws.FILTER(PriceList!$Q$4:$Q$2641&amp;" x "&amp;PriceList!$R$4:$R$2641&amp;" x "&amp;PriceList!$S$4:$S$2641,PriceList!$M$4:$M$2641=A761,"")))</f>
        <v>28 x 32 x 2</v>
      </c>
      <c r="G761" t="str" cm="1">
        <f t="array" ref="G761">INDEX(_xlfn._xlws.FILTER(PriceList!$P$4:$P$2641,PriceList!$M$4:$M$2641=A761,""),1)</f>
        <v>O Ring - FPM/FKM/VitonÂ®</v>
      </c>
    </row>
    <row r="762" spans="1:7" x14ac:dyDescent="0.45">
      <c r="A762" t="s">
        <v>4415</v>
      </c>
      <c r="B762">
        <f>COUNTIF(PriceList!$M$4:$M$2641,A762)</f>
        <v>1</v>
      </c>
      <c r="C762" t="str">
        <f>IF(B762=1,"1:1","1:Many")</f>
        <v>1:1</v>
      </c>
      <c r="D762" s="42" t="str" cm="1">
        <f t="array" ref="D762">_xlfn.TEXTJOIN(" | ",TRUE,_xlfn._xlws.FILTER(PriceList!$B$4:$B$2641,PriceList!$M$4:$M$2641=A762,""))</f>
        <v>OR9N 028-2.5</v>
      </c>
      <c r="E762" t="str" cm="1">
        <f t="array" ref="E762">_xlfn.TEXTJOIN(", ",TRUE,_xlfn._xlws.FILTER(ROW(PriceList!$B$4:$B$2641),PriceList!$M$4:$M$2641=A762,""))</f>
        <v>1069</v>
      </c>
      <c r="F762" s="42" t="str" cm="1">
        <f t="array" ref="F762">_xlfn.TEXTJOIN(" | ",TRUE,_xlfn.UNIQUE(_xlfn._xlws.FILTER(PriceList!$Q$4:$Q$2641&amp;" x "&amp;PriceList!$R$4:$R$2641&amp;" x "&amp;PriceList!$S$4:$S$2641,PriceList!$M$4:$M$2641=A762,"")))</f>
        <v>28 x 33 x 2.5</v>
      </c>
      <c r="G762" t="str" cm="1">
        <f t="array" ref="G762">INDEX(_xlfn._xlws.FILTER(PriceList!$P$4:$P$2641,PriceList!$M$4:$M$2641=A762,""),1)</f>
        <v>O Ring - NBR 70</v>
      </c>
    </row>
    <row r="763" spans="1:7" x14ac:dyDescent="0.45">
      <c r="A763" t="s">
        <v>4762</v>
      </c>
      <c r="B763">
        <f>COUNTIF(PriceList!$M$4:$M$2641,A763)</f>
        <v>1</v>
      </c>
      <c r="C763" t="str">
        <f>IF(B763=1,"1:1","1:Many")</f>
        <v>1:1</v>
      </c>
      <c r="D763" s="42" t="str" cm="1">
        <f t="array" ref="D763">_xlfn.TEXTJOIN(" | ",TRUE,_xlfn._xlws.FILTER(PriceList!$B$4:$B$2641,PriceList!$M$4:$M$2641=A763,""))</f>
        <v>ORV8 028-2.5</v>
      </c>
      <c r="E763" t="str" cm="1">
        <f t="array" ref="E763">_xlfn.TEXTJOIN(", ",TRUE,_xlfn._xlws.FILTER(ROW(PriceList!$B$4:$B$2641),PriceList!$M$4:$M$2641=A763,""))</f>
        <v>1714</v>
      </c>
      <c r="F763" s="42" t="str" cm="1">
        <f t="array" ref="F763">_xlfn.TEXTJOIN(" | ",TRUE,_xlfn.UNIQUE(_xlfn._xlws.FILTER(PriceList!$Q$4:$Q$2641&amp;" x "&amp;PriceList!$R$4:$R$2641&amp;" x "&amp;PriceList!$S$4:$S$2641,PriceList!$M$4:$M$2641=A763,"")))</f>
        <v>28 x 33 x 2.5</v>
      </c>
      <c r="G763" t="str" cm="1">
        <f t="array" ref="G763">INDEX(_xlfn._xlws.FILTER(PriceList!$P$4:$P$2641,PriceList!$M$4:$M$2641=A763,""),1)</f>
        <v>O Ring - FPM/FKM/VitonÂ®</v>
      </c>
    </row>
    <row r="764" spans="1:7" x14ac:dyDescent="0.45">
      <c r="A764" t="s">
        <v>4763</v>
      </c>
      <c r="B764">
        <f>COUNTIF(PriceList!$M$4:$M$2641,A764)</f>
        <v>1</v>
      </c>
      <c r="C764" t="str">
        <f>IF(B764=1,"1:1","1:Many")</f>
        <v>1:1</v>
      </c>
      <c r="D764" s="42" t="str" cm="1">
        <f t="array" ref="D764">_xlfn.TEXTJOIN(" | ",TRUE,_xlfn._xlws.FILTER(PriceList!$B$4:$B$2641,PriceList!$M$4:$M$2641=A764,""))</f>
        <v>ORV8 028-3</v>
      </c>
      <c r="E764" t="str" cm="1">
        <f t="array" ref="E764">_xlfn.TEXTJOIN(", ",TRUE,_xlfn._xlws.FILTER(ROW(PriceList!$B$4:$B$2641),PriceList!$M$4:$M$2641=A764,""))</f>
        <v>1715</v>
      </c>
      <c r="F764" s="42" t="str" cm="1">
        <f t="array" ref="F764">_xlfn.TEXTJOIN(" | ",TRUE,_xlfn.UNIQUE(_xlfn._xlws.FILTER(PriceList!$Q$4:$Q$2641&amp;" x "&amp;PriceList!$R$4:$R$2641&amp;" x "&amp;PriceList!$S$4:$S$2641,PriceList!$M$4:$M$2641=A764,"")))</f>
        <v>28 x 34 x 3</v>
      </c>
      <c r="G764" t="str" cm="1">
        <f t="array" ref="G764">INDEX(_xlfn._xlws.FILTER(PriceList!$P$4:$P$2641,PriceList!$M$4:$M$2641=A764,""),1)</f>
        <v>O Ring - FPM/FKM/VitonÂ®</v>
      </c>
    </row>
    <row r="765" spans="1:7" x14ac:dyDescent="0.45">
      <c r="A765" t="s">
        <v>4414</v>
      </c>
      <c r="B765">
        <f>COUNTIF(PriceList!$M$4:$M$2641,A765)</f>
        <v>1</v>
      </c>
      <c r="C765" t="str">
        <f>IF(B765=1,"1:1","1:Many")</f>
        <v>1:1</v>
      </c>
      <c r="D765" s="42" t="str" cm="1">
        <f t="array" ref="D765">_xlfn.TEXTJOIN(" | ",TRUE,_xlfn._xlws.FILTER(PriceList!$B$4:$B$2641,PriceList!$M$4:$M$2641=A765,""))</f>
        <v>OR9N 028.7-3.5</v>
      </c>
      <c r="E765" t="str" cm="1">
        <f t="array" ref="E765">_xlfn.TEXTJOIN(", ",TRUE,_xlfn._xlws.FILTER(ROW(PriceList!$B$4:$B$2641),PriceList!$M$4:$M$2641=A765,""))</f>
        <v>1068</v>
      </c>
      <c r="F765" s="42" t="str" cm="1">
        <f t="array" ref="F765">_xlfn.TEXTJOIN(" | ",TRUE,_xlfn.UNIQUE(_xlfn._xlws.FILTER(PriceList!$Q$4:$Q$2641&amp;" x "&amp;PriceList!$R$4:$R$2641&amp;" x "&amp;PriceList!$S$4:$S$2641,PriceList!$M$4:$M$2641=A765,"")))</f>
        <v>28.7 x 35.7 x 3.5</v>
      </c>
      <c r="G765" t="str" cm="1">
        <f t="array" ref="G765">INDEX(_xlfn._xlws.FILTER(PriceList!$P$4:$P$2641,PriceList!$M$4:$M$2641=A765,""),1)</f>
        <v>O Ring - NBR 90</v>
      </c>
    </row>
    <row r="766" spans="1:7" x14ac:dyDescent="0.45">
      <c r="A766" t="s">
        <v>4417</v>
      </c>
      <c r="B766">
        <f>COUNTIF(PriceList!$M$4:$M$2641,A766)</f>
        <v>1</v>
      </c>
      <c r="C766" t="str">
        <f>IF(B766=1,"1:1","1:Many")</f>
        <v>1:1</v>
      </c>
      <c r="D766" s="42" t="str" cm="1">
        <f t="array" ref="D766">_xlfn.TEXTJOIN(" | ",TRUE,_xlfn._xlws.FILTER(PriceList!$B$4:$B$2641,PriceList!$M$4:$M$2641=A766,""))</f>
        <v>OR9N 029-2.5</v>
      </c>
      <c r="E766" t="str" cm="1">
        <f t="array" ref="E766">_xlfn.TEXTJOIN(", ",TRUE,_xlfn._xlws.FILTER(ROW(PriceList!$B$4:$B$2641),PriceList!$M$4:$M$2641=A766,""))</f>
        <v>1076</v>
      </c>
      <c r="F766" s="42" t="str" cm="1">
        <f t="array" ref="F766">_xlfn.TEXTJOIN(" | ",TRUE,_xlfn.UNIQUE(_xlfn._xlws.FILTER(PriceList!$Q$4:$Q$2641&amp;" x "&amp;PriceList!$R$4:$R$2641&amp;" x "&amp;PriceList!$S$4:$S$2641,PriceList!$M$4:$M$2641=A766,"")))</f>
        <v>29 x 34 x 2.5</v>
      </c>
      <c r="G766" t="str" cm="1">
        <f t="array" ref="G766">INDEX(_xlfn._xlws.FILTER(PriceList!$P$4:$P$2641,PriceList!$M$4:$M$2641=A766,""),1)</f>
        <v>O Ring - NBR 70</v>
      </c>
    </row>
    <row r="767" spans="1:7" x14ac:dyDescent="0.45">
      <c r="A767" t="s">
        <v>4013</v>
      </c>
      <c r="B767">
        <f>COUNTIF(PriceList!$M$4:$M$2641,A767)</f>
        <v>2</v>
      </c>
      <c r="C767" t="str">
        <f>IF(B767=1,"1:1","1:Many")</f>
        <v>1:Many</v>
      </c>
      <c r="D767" s="42" t="str" cm="1">
        <f t="array" ref="D767">_xlfn.TEXTJOIN(" | ",TRUE,_xlfn._xlws.FILTER(PriceList!$B$4:$B$2641,PriceList!$M$4:$M$2641=A767,""))</f>
        <v>OR7N 029-3 | OR9N 029-3</v>
      </c>
      <c r="E767" t="str" cm="1">
        <f t="array" ref="E767">_xlfn.TEXTJOIN(", ",TRUE,_xlfn._xlws.FILTER(ROW(PriceList!$B$4:$B$2641),PriceList!$M$4:$M$2641=A767,""))</f>
        <v>624, 1077</v>
      </c>
      <c r="F767" s="42" t="str" cm="1">
        <f t="array" ref="F767">_xlfn.TEXTJOIN(" | ",TRUE,_xlfn.UNIQUE(_xlfn._xlws.FILTER(PriceList!$Q$4:$Q$2641&amp;" x "&amp;PriceList!$R$4:$R$2641&amp;" x "&amp;PriceList!$S$4:$S$2641,PriceList!$M$4:$M$2641=A767,"")))</f>
        <v>29 x 35 x 3</v>
      </c>
      <c r="G767" t="str" cm="1">
        <f t="array" ref="G767">INDEX(_xlfn._xlws.FILTER(PriceList!$P$4:$P$2641,PriceList!$M$4:$M$2641=A767,""),1)</f>
        <v>O Ring - NBR 70</v>
      </c>
    </row>
    <row r="768" spans="1:7" x14ac:dyDescent="0.45">
      <c r="A768" t="s">
        <v>4761</v>
      </c>
      <c r="B768">
        <f>COUNTIF(PriceList!$M$4:$M$2641,A768)</f>
        <v>1</v>
      </c>
      <c r="C768" t="str">
        <f>IF(B768=1,"1:1","1:Many")</f>
        <v>1:1</v>
      </c>
      <c r="D768" s="42" t="str" cm="1">
        <f t="array" ref="D768">_xlfn.TEXTJOIN(" | ",TRUE,_xlfn._xlws.FILTER(PriceList!$B$4:$B$2641,PriceList!$M$4:$M$2641=A768,""))</f>
        <v>ORV8 028.7-3.5</v>
      </c>
      <c r="E768" t="str" cm="1">
        <f t="array" ref="E768">_xlfn.TEXTJOIN(", ",TRUE,_xlfn._xlws.FILTER(ROW(PriceList!$B$4:$B$2641),PriceList!$M$4:$M$2641=A768,""))</f>
        <v>1712</v>
      </c>
      <c r="F768" s="42" t="str" cm="1">
        <f t="array" ref="F768">_xlfn.TEXTJOIN(" | ",TRUE,_xlfn.UNIQUE(_xlfn._xlws.FILTER(PriceList!$Q$4:$Q$2641&amp;" x "&amp;PriceList!$R$4:$R$2641&amp;" x "&amp;PriceList!$S$4:$S$2641,PriceList!$M$4:$M$2641=A768,"")))</f>
        <v>29.2 x 35.2 x 3</v>
      </c>
      <c r="G768" t="str" cm="1">
        <f t="array" ref="G768">INDEX(_xlfn._xlws.FILTER(PriceList!$P$4:$P$2641,PriceList!$M$4:$M$2641=A768,""),1)</f>
        <v>O Ring - FPM/FKM/VitonÂ®</v>
      </c>
    </row>
    <row r="769" spans="1:7" x14ac:dyDescent="0.45">
      <c r="A769" t="s">
        <v>4416</v>
      </c>
      <c r="B769">
        <f>COUNTIF(PriceList!$M$4:$M$2641,A769)</f>
        <v>1</v>
      </c>
      <c r="C769" t="str">
        <f>IF(B769=1,"1:1","1:Many")</f>
        <v>1:1</v>
      </c>
      <c r="D769" s="42" t="str" cm="1">
        <f t="array" ref="D769">_xlfn.TEXTJOIN(" | ",TRUE,_xlfn._xlws.FILTER(PriceList!$B$4:$B$2641,PriceList!$M$4:$M$2641=A769,""))</f>
        <v>OR9N 029.4-3.1</v>
      </c>
      <c r="E769" t="str" cm="1">
        <f t="array" ref="E769">_xlfn.TEXTJOIN(", ",TRUE,_xlfn._xlws.FILTER(ROW(PriceList!$B$4:$B$2641),PriceList!$M$4:$M$2641=A769,""))</f>
        <v>1070</v>
      </c>
      <c r="F769" s="42" t="str" cm="1">
        <f t="array" ref="F769">_xlfn.TEXTJOIN(" | ",TRUE,_xlfn.UNIQUE(_xlfn._xlws.FILTER(PriceList!$Q$4:$Q$2641&amp;" x "&amp;PriceList!$R$4:$R$2641&amp;" x "&amp;PriceList!$S$4:$S$2641,PriceList!$M$4:$M$2641=A769,"")))</f>
        <v>29.4 x 35.6 x 3.1</v>
      </c>
      <c r="G769" t="str" cm="1">
        <f t="array" ref="G769">INDEX(_xlfn._xlws.FILTER(PriceList!$P$4:$P$2641,PriceList!$M$4:$M$2641=A769,""),1)</f>
        <v>O Ring - NBR 70</v>
      </c>
    </row>
    <row r="770" spans="1:7" x14ac:dyDescent="0.45">
      <c r="A770" t="s">
        <v>4764</v>
      </c>
      <c r="B770">
        <f>COUNTIF(PriceList!$M$4:$M$2641,A770)</f>
        <v>1</v>
      </c>
      <c r="C770" t="str">
        <f>IF(B770=1,"1:1","1:Many")</f>
        <v>1:1</v>
      </c>
      <c r="D770" s="42" t="str" cm="1">
        <f t="array" ref="D770">_xlfn.TEXTJOIN(" | ",TRUE,_xlfn._xlws.FILTER(PriceList!$B$4:$B$2641,PriceList!$M$4:$M$2641=A770,""))</f>
        <v>ORV8 029.4-3.1</v>
      </c>
      <c r="E770" t="str" cm="1">
        <f t="array" ref="E770">_xlfn.TEXTJOIN(", ",TRUE,_xlfn._xlws.FILTER(ROW(PriceList!$B$4:$B$2641),PriceList!$M$4:$M$2641=A770,""))</f>
        <v>1716</v>
      </c>
      <c r="F770" s="42" t="str" cm="1">
        <f t="array" ref="F770">_xlfn.TEXTJOIN(" | ",TRUE,_xlfn.UNIQUE(_xlfn._xlws.FILTER(PriceList!$Q$4:$Q$2641&amp;" x "&amp;PriceList!$R$4:$R$2641&amp;" x "&amp;PriceList!$S$4:$S$2641,PriceList!$M$4:$M$2641=A770,"")))</f>
        <v>29.5 x 35.5 x 3</v>
      </c>
      <c r="G770" t="str" cm="1">
        <f t="array" ref="G770">INDEX(_xlfn._xlws.FILTER(PriceList!$P$4:$P$2641,PriceList!$M$4:$M$2641=A770,""),1)</f>
        <v>O Ring - FPM/FKM/VitonÂ®</v>
      </c>
    </row>
    <row r="771" spans="1:7" x14ac:dyDescent="0.45">
      <c r="A771" t="s">
        <v>4770</v>
      </c>
      <c r="B771">
        <f>COUNTIF(PriceList!$M$4:$M$2641,A771)</f>
        <v>1</v>
      </c>
      <c r="C771" t="str">
        <f>IF(B771=1,"1:1","1:Many")</f>
        <v>1:1</v>
      </c>
      <c r="D771" s="42" t="str" cm="1">
        <f t="array" ref="D771">_xlfn.TEXTJOIN(" | ",TRUE,_xlfn._xlws.FILTER(PriceList!$B$4:$B$2641,PriceList!$M$4:$M$2641=A771,""))</f>
        <v>ORV8 030-2</v>
      </c>
      <c r="E771" t="str" cm="1">
        <f t="array" ref="E771">_xlfn.TEXTJOIN(", ",TRUE,_xlfn._xlws.FILTER(ROW(PriceList!$B$4:$B$2641),PriceList!$M$4:$M$2641=A771,""))</f>
        <v>1722</v>
      </c>
      <c r="F771" s="42" t="str" cm="1">
        <f t="array" ref="F771">_xlfn.TEXTJOIN(" | ",TRUE,_xlfn.UNIQUE(_xlfn._xlws.FILTER(PriceList!$Q$4:$Q$2641&amp;" x "&amp;PriceList!$R$4:$R$2641&amp;" x "&amp;PriceList!$S$4:$S$2641,PriceList!$M$4:$M$2641=A771,"")))</f>
        <v>29.6 x 34.4 x 2.4</v>
      </c>
      <c r="G771" t="str" cm="1">
        <f t="array" ref="G771">INDEX(_xlfn._xlws.FILTER(PriceList!$P$4:$P$2641,PriceList!$M$4:$M$2641=A771,""),1)</f>
        <v>O Ring - FPM/FKM/VitonÂ®</v>
      </c>
    </row>
    <row r="772" spans="1:7" ht="28.5" x14ac:dyDescent="0.45">
      <c r="A772" t="s">
        <v>4009</v>
      </c>
      <c r="B772">
        <f>COUNTIF(PriceList!$M$4:$M$2641,A772)</f>
        <v>3</v>
      </c>
      <c r="C772" t="str">
        <f>IF(B772=1,"1:1","1:Many")</f>
        <v>1:Many</v>
      </c>
      <c r="D772" s="42" t="str" cm="1">
        <f t="array" ref="D772">_xlfn.TEXTJOIN(" | ",TRUE,_xlfn._xlws.FILTER(PriceList!$B$4:$B$2641,PriceList!$M$4:$M$2641=A772,""))</f>
        <v>OR7N 029.74-3.53 | OR9N 029.74-3.53 | OR9N 029.7-3.5</v>
      </c>
      <c r="E772" t="str" cm="1">
        <f t="array" ref="E772">_xlfn.TEXTJOIN(", ",TRUE,_xlfn._xlws.FILTER(ROW(PriceList!$B$4:$B$2641),PriceList!$M$4:$M$2641=A772,""))</f>
        <v>621, 1072, 1073</v>
      </c>
      <c r="F772" s="42" t="str" cm="1">
        <f t="array" ref="F772">_xlfn.TEXTJOIN(" | ",TRUE,_xlfn.UNIQUE(_xlfn._xlws.FILTER(PriceList!$Q$4:$Q$2641&amp;" x "&amp;PriceList!$R$4:$R$2641&amp;" x "&amp;PriceList!$S$4:$S$2641,PriceList!$M$4:$M$2641=A772,"")))</f>
        <v>29.7 x 36.7 x 3.5</v>
      </c>
      <c r="G772" t="str" cm="1">
        <f t="array" ref="G772">INDEX(_xlfn._xlws.FILTER(PriceList!$P$4:$P$2641,PriceList!$M$4:$M$2641=A772,""),1)</f>
        <v>O Ring - NBR 90</v>
      </c>
    </row>
    <row r="773" spans="1:7" x14ac:dyDescent="0.45">
      <c r="A773" t="s">
        <v>4419</v>
      </c>
      <c r="B773">
        <f>COUNTIF(PriceList!$M$4:$M$2641,A773)</f>
        <v>1</v>
      </c>
      <c r="C773" t="str">
        <f>IF(B773=1,"1:1","1:Many")</f>
        <v>1:1</v>
      </c>
      <c r="D773" s="42" t="str" cm="1">
        <f t="array" ref="D773">_xlfn.TEXTJOIN(" | ",TRUE,_xlfn._xlws.FILTER(PriceList!$B$4:$B$2641,PriceList!$M$4:$M$2641=A773,""))</f>
        <v>OR9N 030-2</v>
      </c>
      <c r="E773" t="str" cm="1">
        <f t="array" ref="E773">_xlfn.TEXTJOIN(", ",TRUE,_xlfn._xlws.FILTER(ROW(PriceList!$B$4:$B$2641),PriceList!$M$4:$M$2641=A773,""))</f>
        <v>1079</v>
      </c>
      <c r="F773" s="42" t="str" cm="1">
        <f t="array" ref="F773">_xlfn.TEXTJOIN(" | ",TRUE,_xlfn.UNIQUE(_xlfn._xlws.FILTER(PriceList!$Q$4:$Q$2641&amp;" x "&amp;PriceList!$R$4:$R$2641&amp;" x "&amp;PriceList!$S$4:$S$2641,PriceList!$M$4:$M$2641=A773,"")))</f>
        <v>30 x 34 x 2</v>
      </c>
      <c r="G773" t="str" cm="1">
        <f t="array" ref="G773">INDEX(_xlfn._xlws.FILTER(PriceList!$P$4:$P$2641,PriceList!$M$4:$M$2641=A773,""),1)</f>
        <v>O Ring - NBR 70</v>
      </c>
    </row>
    <row r="774" spans="1:7" x14ac:dyDescent="0.45">
      <c r="A774" t="s">
        <v>4010</v>
      </c>
      <c r="B774">
        <f>COUNTIF(PriceList!$M$4:$M$2641,A774)</f>
        <v>3</v>
      </c>
      <c r="C774" t="str">
        <f>IF(B774=1,"1:1","1:Many")</f>
        <v>1:Many</v>
      </c>
      <c r="D774" s="42" t="str" cm="1">
        <f t="array" ref="D774">_xlfn.TEXTJOIN(" | ",TRUE,_xlfn._xlws.FILTER(PriceList!$B$4:$B$2641,PriceList!$M$4:$M$2641=A774,""))</f>
        <v>OR7N 029.82-2.62 | OR9N 029.82-2.62 | OR9N 030-2.5</v>
      </c>
      <c r="E774" t="str" cm="1">
        <f t="array" ref="E774">_xlfn.TEXTJOIN(", ",TRUE,_xlfn._xlws.FILTER(ROW(PriceList!$B$4:$B$2641),PriceList!$M$4:$M$2641=A774,""))</f>
        <v>622, 1074, 1080</v>
      </c>
      <c r="F774" s="42" t="str" cm="1">
        <f t="array" ref="F774">_xlfn.TEXTJOIN(" | ",TRUE,_xlfn.UNIQUE(_xlfn._xlws.FILTER(PriceList!$Q$4:$Q$2641&amp;" x "&amp;PriceList!$R$4:$R$2641&amp;" x "&amp;PriceList!$S$4:$S$2641,PriceList!$M$4:$M$2641=A774,"")))</f>
        <v>30 x 35 x 2.5</v>
      </c>
      <c r="G774" t="str" cm="1">
        <f t="array" ref="G774">INDEX(_xlfn._xlws.FILTER(PriceList!$P$4:$P$2641,PriceList!$M$4:$M$2641=A774,""),1)</f>
        <v>O Ring - NBR 70</v>
      </c>
    </row>
    <row r="775" spans="1:7" x14ac:dyDescent="0.45">
      <c r="A775" t="s">
        <v>4767</v>
      </c>
      <c r="B775">
        <f>COUNTIF(PriceList!$M$4:$M$2641,A775)</f>
        <v>2</v>
      </c>
      <c r="C775" t="str">
        <f>IF(B775=1,"1:1","1:Many")</f>
        <v>1:Many</v>
      </c>
      <c r="D775" s="42" t="str" cm="1">
        <f t="array" ref="D775">_xlfn.TEXTJOIN(" | ",TRUE,_xlfn._xlws.FILTER(PriceList!$B$4:$B$2641,PriceList!$M$4:$M$2641=A775,""))</f>
        <v>ORV8 029.82-2.62 | ORV8 030-2.5</v>
      </c>
      <c r="E775" t="str" cm="1">
        <f t="array" ref="E775">_xlfn.TEXTJOIN(", ",TRUE,_xlfn._xlws.FILTER(ROW(PriceList!$B$4:$B$2641),PriceList!$M$4:$M$2641=A775,""))</f>
        <v>1719, 1723</v>
      </c>
      <c r="F775" s="42" t="str" cm="1">
        <f t="array" ref="F775">_xlfn.TEXTJOIN(" | ",TRUE,_xlfn.UNIQUE(_xlfn._xlws.FILTER(PriceList!$Q$4:$Q$2641&amp;" x "&amp;PriceList!$R$4:$R$2641&amp;" x "&amp;PriceList!$S$4:$S$2641,PriceList!$M$4:$M$2641=A775,"")))</f>
        <v>30 x 35 x 2.5</v>
      </c>
      <c r="G775" t="str" cm="1">
        <f t="array" ref="G775">INDEX(_xlfn._xlws.FILTER(PriceList!$P$4:$P$2641,PriceList!$M$4:$M$2641=A775,""),1)</f>
        <v>O Ring - FPM/FKM/VitonÂ®</v>
      </c>
    </row>
    <row r="776" spans="1:7" x14ac:dyDescent="0.45">
      <c r="A776" t="s">
        <v>4014</v>
      </c>
      <c r="B776">
        <f>COUNTIF(PriceList!$M$4:$M$2641,A776)</f>
        <v>2</v>
      </c>
      <c r="C776" t="str">
        <f>IF(B776=1,"1:1","1:Many")</f>
        <v>1:Many</v>
      </c>
      <c r="D776" s="42" t="str" cm="1">
        <f t="array" ref="D776">_xlfn.TEXTJOIN(" | ",TRUE,_xlfn._xlws.FILTER(PriceList!$B$4:$B$2641,PriceList!$M$4:$M$2641=A776,""))</f>
        <v>OR7N 030-3 | OR9N 030-3</v>
      </c>
      <c r="E776" t="str" cm="1">
        <f t="array" ref="E776">_xlfn.TEXTJOIN(", ",TRUE,_xlfn._xlws.FILTER(ROW(PriceList!$B$4:$B$2641),PriceList!$M$4:$M$2641=A776,""))</f>
        <v>625, 1081</v>
      </c>
      <c r="F776" s="42" t="str" cm="1">
        <f t="array" ref="F776">_xlfn.TEXTJOIN(" | ",TRUE,_xlfn.UNIQUE(_xlfn._xlws.FILTER(PriceList!$Q$4:$Q$2641&amp;" x "&amp;PriceList!$R$4:$R$2641&amp;" x "&amp;PriceList!$S$4:$S$2641,PriceList!$M$4:$M$2641=A776,"")))</f>
        <v>30 x 36 x 3</v>
      </c>
      <c r="G776" t="str" cm="1">
        <f t="array" ref="G776">INDEX(_xlfn._xlws.FILTER(PriceList!$P$4:$P$2641,PriceList!$M$4:$M$2641=A776,""),1)</f>
        <v>O Ring - EPDM</v>
      </c>
    </row>
    <row r="777" spans="1:7" x14ac:dyDescent="0.45">
      <c r="A777" t="s">
        <v>4771</v>
      </c>
      <c r="B777">
        <f>COUNTIF(PriceList!$M$4:$M$2641,A777)</f>
        <v>1</v>
      </c>
      <c r="C777" t="str">
        <f>IF(B777=1,"1:1","1:Many")</f>
        <v>1:1</v>
      </c>
      <c r="D777" s="42" t="str" cm="1">
        <f t="array" ref="D777">_xlfn.TEXTJOIN(" | ",TRUE,_xlfn._xlws.FILTER(PriceList!$B$4:$B$2641,PriceList!$M$4:$M$2641=A777,""))</f>
        <v>ORV8 030-3</v>
      </c>
      <c r="E777" t="str" cm="1">
        <f t="array" ref="E777">_xlfn.TEXTJOIN(", ",TRUE,_xlfn._xlws.FILTER(ROW(PriceList!$B$4:$B$2641),PriceList!$M$4:$M$2641=A777,""))</f>
        <v>1724</v>
      </c>
      <c r="F777" s="42" t="str" cm="1">
        <f t="array" ref="F777">_xlfn.TEXTJOIN(" | ",TRUE,_xlfn.UNIQUE(_xlfn._xlws.FILTER(PriceList!$Q$4:$Q$2641&amp;" x "&amp;PriceList!$R$4:$R$2641&amp;" x "&amp;PriceList!$S$4:$S$2641,PriceList!$M$4:$M$2641=A777,"")))</f>
        <v>30 x 36 x 3</v>
      </c>
      <c r="G777" t="str" cm="1">
        <f t="array" ref="G777">INDEX(_xlfn._xlws.FILTER(PriceList!$P$4:$P$2641,PriceList!$M$4:$M$2641=A777,""),1)</f>
        <v>O Ring - FPM/FKM/VitonÂ®</v>
      </c>
    </row>
    <row r="778" spans="1:7" x14ac:dyDescent="0.45">
      <c r="A778" t="s">
        <v>4420</v>
      </c>
      <c r="B778">
        <f>COUNTIF(PriceList!$M$4:$M$2641,A778)</f>
        <v>1</v>
      </c>
      <c r="C778" t="str">
        <f>IF(B778=1,"1:1","1:Many")</f>
        <v>1:1</v>
      </c>
      <c r="D778" s="42" t="str" cm="1">
        <f t="array" ref="D778">_xlfn.TEXTJOIN(" | ",TRUE,_xlfn._xlws.FILTER(PriceList!$B$4:$B$2641,PriceList!$M$4:$M$2641=A778,""))</f>
        <v>OR9N 030-4</v>
      </c>
      <c r="E778" t="str" cm="1">
        <f t="array" ref="E778">_xlfn.TEXTJOIN(", ",TRUE,_xlfn._xlws.FILTER(ROW(PriceList!$B$4:$B$2641),PriceList!$M$4:$M$2641=A778,""))</f>
        <v>1082</v>
      </c>
      <c r="F778" s="42" t="str" cm="1">
        <f t="array" ref="F778">_xlfn.TEXTJOIN(" | ",TRUE,_xlfn.UNIQUE(_xlfn._xlws.FILTER(PriceList!$Q$4:$Q$2641&amp;" x "&amp;PriceList!$R$4:$R$2641&amp;" x "&amp;PriceList!$S$4:$S$2641,PriceList!$M$4:$M$2641=A778,"")))</f>
        <v>30 x 38 x 4</v>
      </c>
      <c r="G778" t="str" cm="1">
        <f t="array" ref="G778">INDEX(_xlfn._xlws.FILTER(PriceList!$P$4:$P$2641,PriceList!$M$4:$M$2641=A778,""),1)</f>
        <v>O Ring - NBR 70</v>
      </c>
    </row>
    <row r="779" spans="1:7" x14ac:dyDescent="0.45">
      <c r="A779" t="s">
        <v>4769</v>
      </c>
      <c r="B779">
        <f>COUNTIF(PriceList!$M$4:$M$2641,A779)</f>
        <v>2</v>
      </c>
      <c r="C779" t="str">
        <f>IF(B779=1,"1:1","1:Many")</f>
        <v>1:Many</v>
      </c>
      <c r="D779" s="42" t="str" cm="1">
        <f t="array" ref="D779">_xlfn.TEXTJOIN(" | ",TRUE,_xlfn._xlws.FILTER(PriceList!$B$4:$B$2641,PriceList!$M$4:$M$2641=A779,""))</f>
        <v>ORV8 030.7-3.5 | ORV8 030-4</v>
      </c>
      <c r="E779" t="str" cm="1">
        <f t="array" ref="E779">_xlfn.TEXTJOIN(", ",TRUE,_xlfn._xlws.FILTER(ROW(PriceList!$B$4:$B$2641),PriceList!$M$4:$M$2641=A779,""))</f>
        <v>1721, 1726</v>
      </c>
      <c r="F779" s="42" t="str" cm="1">
        <f t="array" ref="F779">_xlfn.TEXTJOIN(" | ",TRUE,_xlfn.UNIQUE(_xlfn._xlws.FILTER(PriceList!$Q$4:$Q$2641&amp;" x "&amp;PriceList!$R$4:$R$2641&amp;" x "&amp;PriceList!$S$4:$S$2641,PriceList!$M$4:$M$2641=A779,"")))</f>
        <v>30 x 38 x 4</v>
      </c>
      <c r="G779" t="str" cm="1">
        <f t="array" ref="G779">INDEX(_xlfn._xlws.FILTER(PriceList!$P$4:$P$2641,PriceList!$M$4:$M$2641=A779,""),1)</f>
        <v>O Ring - FPM/FKM/VitonÂ®</v>
      </c>
    </row>
    <row r="780" spans="1:7" x14ac:dyDescent="0.45">
      <c r="A780" t="s">
        <v>4421</v>
      </c>
      <c r="B780">
        <f>COUNTIF(PriceList!$M$4:$M$2641,A780)</f>
        <v>1</v>
      </c>
      <c r="C780" t="str">
        <f>IF(B780=1,"1:1","1:Many")</f>
        <v>1:1</v>
      </c>
      <c r="D780" s="42" t="str" cm="1">
        <f t="array" ref="D780">_xlfn.TEXTJOIN(" | ",TRUE,_xlfn._xlws.FILTER(PriceList!$B$4:$B$2641,PriceList!$M$4:$M$2641=A780,""))</f>
        <v>OR9N 030-5</v>
      </c>
      <c r="E780" t="str" cm="1">
        <f t="array" ref="E780">_xlfn.TEXTJOIN(", ",TRUE,_xlfn._xlws.FILTER(ROW(PriceList!$B$4:$B$2641),PriceList!$M$4:$M$2641=A780,""))</f>
        <v>1083</v>
      </c>
      <c r="F780" s="42" t="str" cm="1">
        <f t="array" ref="F780">_xlfn.TEXTJOIN(" | ",TRUE,_xlfn.UNIQUE(_xlfn._xlws.FILTER(PriceList!$Q$4:$Q$2641&amp;" x "&amp;PriceList!$R$4:$R$2641&amp;" x "&amp;PriceList!$S$4:$S$2641,PriceList!$M$4:$M$2641=A780,"")))</f>
        <v>30 x 40 x 5</v>
      </c>
      <c r="G780" t="str" cm="1">
        <f t="array" ref="G780">INDEX(_xlfn._xlws.FILTER(PriceList!$P$4:$P$2641,PriceList!$M$4:$M$2641=A780,""),1)</f>
        <v>O Ring - NBR 70</v>
      </c>
    </row>
    <row r="781" spans="1:7" x14ac:dyDescent="0.45">
      <c r="A781" t="s">
        <v>4418</v>
      </c>
      <c r="B781">
        <f>COUNTIF(PriceList!$M$4:$M$2641,A781)</f>
        <v>1</v>
      </c>
      <c r="C781" t="str">
        <f>IF(B781=1,"1:1","1:Many")</f>
        <v>1:1</v>
      </c>
      <c r="D781" s="42" t="str" cm="1">
        <f t="array" ref="D781">_xlfn.TEXTJOIN(" | ",TRUE,_xlfn._xlws.FILTER(PriceList!$B$4:$B$2641,PriceList!$M$4:$M$2641=A781,""))</f>
        <v>OR9N 030.7-3.5</v>
      </c>
      <c r="E781" t="str" cm="1">
        <f t="array" ref="E781">_xlfn.TEXTJOIN(", ",TRUE,_xlfn._xlws.FILTER(ROW(PriceList!$B$4:$B$2641),PriceList!$M$4:$M$2641=A781,""))</f>
        <v>1078</v>
      </c>
      <c r="F781" s="42" t="str" cm="1">
        <f t="array" ref="F781">_xlfn.TEXTJOIN(" | ",TRUE,_xlfn.UNIQUE(_xlfn._xlws.FILTER(PriceList!$Q$4:$Q$2641&amp;" x "&amp;PriceList!$R$4:$R$2641&amp;" x "&amp;PriceList!$S$4:$S$2641,PriceList!$M$4:$M$2641=A781,"")))</f>
        <v>30.7 x 37.7 x 3.5</v>
      </c>
      <c r="G781" t="str" cm="1">
        <f t="array" ref="G781">INDEX(_xlfn._xlws.FILTER(PriceList!$P$4:$P$2641,PriceList!$M$4:$M$2641=A781,""),1)</f>
        <v>O Ring - NBR 70</v>
      </c>
    </row>
    <row r="782" spans="1:7" x14ac:dyDescent="0.45">
      <c r="A782" t="s">
        <v>4423</v>
      </c>
      <c r="B782">
        <f>COUNTIF(PriceList!$M$4:$M$2641,A782)</f>
        <v>1</v>
      </c>
      <c r="C782" t="str">
        <f>IF(B782=1,"1:1","1:Many")</f>
        <v>1:1</v>
      </c>
      <c r="D782" s="42" t="str" cm="1">
        <f t="array" ref="D782">_xlfn.TEXTJOIN(" | ",TRUE,_xlfn._xlws.FILTER(PriceList!$B$4:$B$2641,PriceList!$M$4:$M$2641=A782,""))</f>
        <v>OR9N 031-3</v>
      </c>
      <c r="E782" t="str" cm="1">
        <f t="array" ref="E782">_xlfn.TEXTJOIN(", ",TRUE,_xlfn._xlws.FILTER(ROW(PriceList!$B$4:$B$2641),PriceList!$M$4:$M$2641=A782,""))</f>
        <v>1089</v>
      </c>
      <c r="F782" s="42" t="str" cm="1">
        <f t="array" ref="F782">_xlfn.TEXTJOIN(" | ",TRUE,_xlfn.UNIQUE(_xlfn._xlws.FILTER(PriceList!$Q$4:$Q$2641&amp;" x "&amp;PriceList!$R$4:$R$2641&amp;" x "&amp;PriceList!$S$4:$S$2641,PriceList!$M$4:$M$2641=A782,"")))</f>
        <v>31 x 37 x 3</v>
      </c>
      <c r="G782" t="str" cm="1">
        <f t="array" ref="G782">INDEX(_xlfn._xlws.FILTER(PriceList!$P$4:$P$2641,PriceList!$M$4:$M$2641=A782,""),1)</f>
        <v>O Ring - NBR 70</v>
      </c>
    </row>
    <row r="783" spans="1:7" x14ac:dyDescent="0.45">
      <c r="A783" t="s">
        <v>4778</v>
      </c>
      <c r="B783">
        <f>COUNTIF(PriceList!$M$4:$M$2641,A783)</f>
        <v>1</v>
      </c>
      <c r="C783" t="str">
        <f>IF(B783=1,"1:1","1:Many")</f>
        <v>1:1</v>
      </c>
      <c r="D783" s="42" t="str" cm="1">
        <f t="array" ref="D783">_xlfn.TEXTJOIN(" | ",TRUE,_xlfn._xlws.FILTER(PriceList!$B$4:$B$2641,PriceList!$M$4:$M$2641=A783,""))</f>
        <v>ORV8 031.7-3.5</v>
      </c>
      <c r="E783" t="str" cm="1">
        <f t="array" ref="E783">_xlfn.TEXTJOIN(", ",TRUE,_xlfn._xlws.FILTER(ROW(PriceList!$B$4:$B$2641),PriceList!$M$4:$M$2641=A783,""))</f>
        <v>1731</v>
      </c>
      <c r="F783" s="42" t="str" cm="1">
        <f t="array" ref="F783">_xlfn.TEXTJOIN(" | ",TRUE,_xlfn.UNIQUE(_xlfn._xlws.FILTER(PriceList!$Q$4:$Q$2641&amp;" x "&amp;PriceList!$R$4:$R$2641&amp;" x "&amp;PriceList!$S$4:$S$2641,PriceList!$M$4:$M$2641=A783,"")))</f>
        <v>31 x 39 x 4</v>
      </c>
      <c r="G783" t="str" cm="1">
        <f t="array" ref="G783">INDEX(_xlfn._xlws.FILTER(PriceList!$P$4:$P$2641,PriceList!$M$4:$M$2641=A783,""),1)</f>
        <v>O Ring - FPM/FKM/VitonÂ®</v>
      </c>
    </row>
    <row r="784" spans="1:7" x14ac:dyDescent="0.45">
      <c r="A784" t="s">
        <v>4018</v>
      </c>
      <c r="B784">
        <f>COUNTIF(PriceList!$M$4:$M$2641,A784)</f>
        <v>2</v>
      </c>
      <c r="C784" t="str">
        <f>IF(B784=1,"1:1","1:Many")</f>
        <v>1:Many</v>
      </c>
      <c r="D784" s="42" t="str" cm="1">
        <f t="array" ref="D784">_xlfn.TEXTJOIN(" | ",TRUE,_xlfn._xlws.FILTER(PriceList!$B$4:$B$2641,PriceList!$M$4:$M$2641=A784,""))</f>
        <v>OR7N 031.42-2.62 | OR9N 031.42-2.62</v>
      </c>
      <c r="E784" t="str" cm="1">
        <f t="array" ref="E784">_xlfn.TEXTJOIN(", ",TRUE,_xlfn._xlws.FILTER(ROW(PriceList!$B$4:$B$2641),PriceList!$M$4:$M$2641=A784,""))</f>
        <v>628, 1086</v>
      </c>
      <c r="F784" s="42" t="str" cm="1">
        <f t="array" ref="F784">_xlfn.TEXTJOIN(" | ",TRUE,_xlfn.UNIQUE(_xlfn._xlws.FILTER(PriceList!$Q$4:$Q$2641&amp;" x "&amp;PriceList!$R$4:$R$2641&amp;" x "&amp;PriceList!$S$4:$S$2641,PriceList!$M$4:$M$2641=A784,"")))</f>
        <v>31.6 x 36.4 x 2.4</v>
      </c>
      <c r="G784" t="str" cm="1">
        <f t="array" ref="G784">INDEX(_xlfn._xlws.FILTER(PriceList!$P$4:$P$2641,PriceList!$M$4:$M$2641=A784,""),1)</f>
        <v>O Ring - NBR 70</v>
      </c>
    </row>
    <row r="785" spans="1:7" x14ac:dyDescent="0.45">
      <c r="A785" t="s">
        <v>4422</v>
      </c>
      <c r="B785">
        <f>COUNTIF(PriceList!$M$4:$M$2641,A785)</f>
        <v>1</v>
      </c>
      <c r="C785" t="str">
        <f>IF(B785=1,"1:1","1:Many")</f>
        <v>1:1</v>
      </c>
      <c r="D785" s="42" t="str" cm="1">
        <f t="array" ref="D785">_xlfn.TEXTJOIN(" | ",TRUE,_xlfn._xlws.FILTER(PriceList!$B$4:$B$2641,PriceList!$M$4:$M$2641=A785,""))</f>
        <v>OR9N 031.7-3.5</v>
      </c>
      <c r="E785" t="str" cm="1">
        <f t="array" ref="E785">_xlfn.TEXTJOIN(", ",TRUE,_xlfn._xlws.FILTER(ROW(PriceList!$B$4:$B$2641),PriceList!$M$4:$M$2641=A785,""))</f>
        <v>1088</v>
      </c>
      <c r="F785" s="42" t="str" cm="1">
        <f t="array" ref="F785">_xlfn.TEXTJOIN(" | ",TRUE,_xlfn.UNIQUE(_xlfn._xlws.FILTER(PriceList!$Q$4:$Q$2641&amp;" x "&amp;PriceList!$R$4:$R$2641&amp;" x "&amp;PriceList!$S$4:$S$2641,PriceList!$M$4:$M$2641=A785,"")))</f>
        <v>31.7 x 38.7 x 3.5</v>
      </c>
      <c r="G785" t="str" cm="1">
        <f t="array" ref="G785">INDEX(_xlfn._xlws.FILTER(PriceList!$P$4:$P$2641,PriceList!$M$4:$M$2641=A785,""),1)</f>
        <v>O Ring - NBR 70</v>
      </c>
    </row>
    <row r="786" spans="1:7" x14ac:dyDescent="0.45">
      <c r="A786" t="s">
        <v>4783</v>
      </c>
      <c r="B786">
        <f>COUNTIF(PriceList!$M$4:$M$2641,A786)</f>
        <v>1</v>
      </c>
      <c r="C786" t="str">
        <f>IF(B786=1,"1:1","1:Many")</f>
        <v>1:1</v>
      </c>
      <c r="D786" s="42" t="str" cm="1">
        <f t="array" ref="D786">_xlfn.TEXTJOIN(" | ",TRUE,_xlfn._xlws.FILTER(PriceList!$B$4:$B$2641,PriceList!$M$4:$M$2641=A786,""))</f>
        <v>ORV8 032-2</v>
      </c>
      <c r="E786" t="str" cm="1">
        <f t="array" ref="E786">_xlfn.TEXTJOIN(", ",TRUE,_xlfn._xlws.FILTER(ROW(PriceList!$B$4:$B$2641),PriceList!$M$4:$M$2641=A786,""))</f>
        <v>1735</v>
      </c>
      <c r="F786" s="42" t="str" cm="1">
        <f t="array" ref="F786">_xlfn.TEXTJOIN(" | ",TRUE,_xlfn.UNIQUE(_xlfn._xlws.FILTER(PriceList!$Q$4:$Q$2641&amp;" x "&amp;PriceList!$R$4:$R$2641&amp;" x "&amp;PriceList!$S$4:$S$2641,PriceList!$M$4:$M$2641=A786,"")))</f>
        <v>32 x 36 x 2</v>
      </c>
      <c r="G786" t="str" cm="1">
        <f t="array" ref="G786">INDEX(_xlfn._xlws.FILTER(PriceList!$P$4:$P$2641,PriceList!$M$4:$M$2641=A786,""),1)</f>
        <v>O Ring - FPM/FKM/VitonÂ®</v>
      </c>
    </row>
    <row r="787" spans="1:7" x14ac:dyDescent="0.45">
      <c r="A787" t="s">
        <v>4424</v>
      </c>
      <c r="B787">
        <f>COUNTIF(PriceList!$M$4:$M$2641,A787)</f>
        <v>1</v>
      </c>
      <c r="C787" t="str">
        <f>IF(B787=1,"1:1","1:Many")</f>
        <v>1:1</v>
      </c>
      <c r="D787" s="42" t="str" cm="1">
        <f t="array" ref="D787">_xlfn.TEXTJOIN(" | ",TRUE,_xlfn._xlws.FILTER(PriceList!$B$4:$B$2641,PriceList!$M$4:$M$2641=A787,""))</f>
        <v>OR9N 032-2.5</v>
      </c>
      <c r="E787" t="str" cm="1">
        <f t="array" ref="E787">_xlfn.TEXTJOIN(", ",TRUE,_xlfn._xlws.FILTER(ROW(PriceList!$B$4:$B$2641),PriceList!$M$4:$M$2641=A787,""))</f>
        <v>1093</v>
      </c>
      <c r="F787" s="42" t="str" cm="1">
        <f t="array" ref="F787">_xlfn.TEXTJOIN(" | ",TRUE,_xlfn.UNIQUE(_xlfn._xlws.FILTER(PriceList!$Q$4:$Q$2641&amp;" x "&amp;PriceList!$R$4:$R$2641&amp;" x "&amp;PriceList!$S$4:$S$2641,PriceList!$M$4:$M$2641=A787,"")))</f>
        <v>32 x 37 x 2.5</v>
      </c>
      <c r="G787" t="str" cm="1">
        <f t="array" ref="G787">INDEX(_xlfn._xlws.FILTER(PriceList!$P$4:$P$2641,PriceList!$M$4:$M$2641=A787,""),1)</f>
        <v>O Ring - NBR 70</v>
      </c>
    </row>
    <row r="788" spans="1:7" x14ac:dyDescent="0.45">
      <c r="A788" t="s">
        <v>4784</v>
      </c>
      <c r="B788">
        <f>COUNTIF(PriceList!$M$4:$M$2641,A788)</f>
        <v>1</v>
      </c>
      <c r="C788" t="str">
        <f>IF(B788=1,"1:1","1:Many")</f>
        <v>1:1</v>
      </c>
      <c r="D788" s="42" t="str" cm="1">
        <f t="array" ref="D788">_xlfn.TEXTJOIN(" | ",TRUE,_xlfn._xlws.FILTER(PriceList!$B$4:$B$2641,PriceList!$M$4:$M$2641=A788,""))</f>
        <v>ORV8 032-2.5</v>
      </c>
      <c r="E788" t="str" cm="1">
        <f t="array" ref="E788">_xlfn.TEXTJOIN(", ",TRUE,_xlfn._xlws.FILTER(ROW(PriceList!$B$4:$B$2641),PriceList!$M$4:$M$2641=A788,""))</f>
        <v>1736</v>
      </c>
      <c r="F788" s="42" t="str" cm="1">
        <f t="array" ref="F788">_xlfn.TEXTJOIN(" | ",TRUE,_xlfn.UNIQUE(_xlfn._xlws.FILTER(PriceList!$Q$4:$Q$2641&amp;" x "&amp;PriceList!$R$4:$R$2641&amp;" x "&amp;PriceList!$S$4:$S$2641,PriceList!$M$4:$M$2641=A788,"")))</f>
        <v>32 x 37 x 2.5</v>
      </c>
      <c r="G788" t="str" cm="1">
        <f t="array" ref="G788">INDEX(_xlfn._xlws.FILTER(PriceList!$P$4:$P$2641,PriceList!$M$4:$M$2641=A788,""),1)</f>
        <v>O Ring - FPM/FKM/VitonÂ®</v>
      </c>
    </row>
    <row r="789" spans="1:7" x14ac:dyDescent="0.45">
      <c r="A789" t="s">
        <v>4027</v>
      </c>
      <c r="B789">
        <f>COUNTIF(PriceList!$M$4:$M$2641,A789)</f>
        <v>2</v>
      </c>
      <c r="C789" t="str">
        <f>IF(B789=1,"1:1","1:Many")</f>
        <v>1:Many</v>
      </c>
      <c r="D789" s="42" t="str" cm="1">
        <f t="array" ref="D789">_xlfn.TEXTJOIN(" | ",TRUE,_xlfn._xlws.FILTER(PriceList!$B$4:$B$2641,PriceList!$M$4:$M$2641=A789,""))</f>
        <v>OR7N 032-3 | OR9N 032-3</v>
      </c>
      <c r="E789" t="str" cm="1">
        <f t="array" ref="E789">_xlfn.TEXTJOIN(", ",TRUE,_xlfn._xlws.FILTER(ROW(PriceList!$B$4:$B$2641),PriceList!$M$4:$M$2641=A789,""))</f>
        <v>633, 1094</v>
      </c>
      <c r="F789" s="42" t="str" cm="1">
        <f t="array" ref="F789">_xlfn.TEXTJOIN(" | ",TRUE,_xlfn.UNIQUE(_xlfn._xlws.FILTER(PriceList!$Q$4:$Q$2641&amp;" x "&amp;PriceList!$R$4:$R$2641&amp;" x "&amp;PriceList!$S$4:$S$2641,PriceList!$M$4:$M$2641=A789,"")))</f>
        <v>32 x 38 x 3</v>
      </c>
      <c r="G789" t="str" cm="1">
        <f t="array" ref="G789">INDEX(_xlfn._xlws.FILTER(PriceList!$P$4:$P$2641,PriceList!$M$4:$M$2641=A789,""),1)</f>
        <v>O Ring - NBR 70</v>
      </c>
    </row>
    <row r="790" spans="1:7" x14ac:dyDescent="0.45">
      <c r="A790" t="s">
        <v>4785</v>
      </c>
      <c r="B790">
        <f>COUNTIF(PriceList!$M$4:$M$2641,A790)</f>
        <v>1</v>
      </c>
      <c r="C790" t="str">
        <f>IF(B790=1,"1:1","1:Many")</f>
        <v>1:1</v>
      </c>
      <c r="D790" s="42" t="str" cm="1">
        <f t="array" ref="D790">_xlfn.TEXTJOIN(" | ",TRUE,_xlfn._xlws.FILTER(PriceList!$B$4:$B$2641,PriceList!$M$4:$M$2641=A790,""))</f>
        <v>ORV8 032-3</v>
      </c>
      <c r="E790" t="str" cm="1">
        <f t="array" ref="E790">_xlfn.TEXTJOIN(", ",TRUE,_xlfn._xlws.FILTER(ROW(PriceList!$B$4:$B$2641),PriceList!$M$4:$M$2641=A790,""))</f>
        <v>1737</v>
      </c>
      <c r="F790" s="42" t="str" cm="1">
        <f t="array" ref="F790">_xlfn.TEXTJOIN(" | ",TRUE,_xlfn.UNIQUE(_xlfn._xlws.FILTER(PriceList!$Q$4:$Q$2641&amp;" x "&amp;PriceList!$R$4:$R$2641&amp;" x "&amp;PriceList!$S$4:$S$2641,PriceList!$M$4:$M$2641=A790,"")))</f>
        <v>32 x 38 x 3</v>
      </c>
      <c r="G790" t="str" cm="1">
        <f t="array" ref="G790">INDEX(_xlfn._xlws.FILTER(PriceList!$P$4:$P$2641,PriceList!$M$4:$M$2641=A790,""),1)</f>
        <v>O Ring - FPM/FKM/VitonÂ®</v>
      </c>
    </row>
    <row r="791" spans="1:7" x14ac:dyDescent="0.45">
      <c r="A791" t="s">
        <v>4028</v>
      </c>
      <c r="B791">
        <f>COUNTIF(PriceList!$M$4:$M$2641,A791)</f>
        <v>2</v>
      </c>
      <c r="C791" t="str">
        <f>IF(B791=1,"1:1","1:Many")</f>
        <v>1:Many</v>
      </c>
      <c r="D791" s="42" t="str" cm="1">
        <f t="array" ref="D791">_xlfn.TEXTJOIN(" | ",TRUE,_xlfn._xlws.FILTER(PriceList!$B$4:$B$2641,PriceList!$M$4:$M$2641=A791,""))</f>
        <v>OR7N 032-4 | OR9N 032-4</v>
      </c>
      <c r="E791" t="str" cm="1">
        <f t="array" ref="E791">_xlfn.TEXTJOIN(", ",TRUE,_xlfn._xlws.FILTER(ROW(PriceList!$B$4:$B$2641),PriceList!$M$4:$M$2641=A791,""))</f>
        <v>634, 1095</v>
      </c>
      <c r="F791" s="42" t="str" cm="1">
        <f t="array" ref="F791">_xlfn.TEXTJOIN(" | ",TRUE,_xlfn.UNIQUE(_xlfn._xlws.FILTER(PriceList!$Q$4:$Q$2641&amp;" x "&amp;PriceList!$R$4:$R$2641&amp;" x "&amp;PriceList!$S$4:$S$2641,PriceList!$M$4:$M$2641=A791,"")))</f>
        <v>32 x 40 x 4</v>
      </c>
      <c r="G791" t="str" cm="1">
        <f t="array" ref="G791">INDEX(_xlfn._xlws.FILTER(PriceList!$P$4:$P$2641,PriceList!$M$4:$M$2641=A791,""),1)</f>
        <v>O Ring - NBR 70</v>
      </c>
    </row>
    <row r="792" spans="1:7" x14ac:dyDescent="0.45">
      <c r="A792" t="s">
        <v>4025</v>
      </c>
      <c r="B792">
        <f>COUNTIF(PriceList!$M$4:$M$2641,A792)</f>
        <v>2</v>
      </c>
      <c r="C792" t="str">
        <f>IF(B792=1,"1:1","1:Many")</f>
        <v>1:Many</v>
      </c>
      <c r="D792" s="42" t="str" cm="1">
        <f t="array" ref="D792">_xlfn.TEXTJOIN(" | ",TRUE,_xlfn._xlws.FILTER(PriceList!$B$4:$B$2641,PriceList!$M$4:$M$2641=A792,""))</f>
        <v>OR7N 032.99-2.62 | OR9N 032.99-2.62</v>
      </c>
      <c r="E792" t="str" cm="1">
        <f t="array" ref="E792">_xlfn.TEXTJOIN(", ",TRUE,_xlfn._xlws.FILTER(ROW(PriceList!$B$4:$B$2641),PriceList!$M$4:$M$2641=A792,""))</f>
        <v>632, 1092</v>
      </c>
      <c r="F792" s="42" t="str" cm="1">
        <f t="array" ref="F792">_xlfn.TEXTJOIN(" | ",TRUE,_xlfn.UNIQUE(_xlfn._xlws.FILTER(PriceList!$Q$4:$Q$2641&amp;" x "&amp;PriceList!$R$4:$R$2641&amp;" x "&amp;PriceList!$S$4:$S$2641,PriceList!$M$4:$M$2641=A792,"")))</f>
        <v>33 x 38 x 2.5</v>
      </c>
      <c r="G792" t="str" cm="1">
        <f t="array" ref="G792">INDEX(_xlfn._xlws.FILTER(PriceList!$P$4:$P$2641,PriceList!$M$4:$M$2641=A792,""),1)</f>
        <v>O Ring - NBR 70</v>
      </c>
    </row>
    <row r="793" spans="1:7" x14ac:dyDescent="0.45">
      <c r="A793" t="s">
        <v>4781</v>
      </c>
      <c r="B793">
        <f>COUNTIF(PriceList!$M$4:$M$2641,A793)</f>
        <v>2</v>
      </c>
      <c r="C793" t="str">
        <f>IF(B793=1,"1:1","1:Many")</f>
        <v>1:Many</v>
      </c>
      <c r="D793" s="42" t="str" cm="1">
        <f t="array" ref="D793">_xlfn.TEXTJOIN(" | ",TRUE,_xlfn._xlws.FILTER(PriceList!$B$4:$B$2641,PriceList!$M$4:$M$2641=A793,""))</f>
        <v>ORV8 032.92-2.62 | ORV8 033.3-2.4</v>
      </c>
      <c r="E793" t="str" cm="1">
        <f t="array" ref="E793">_xlfn.TEXTJOIN(", ",TRUE,_xlfn._xlws.FILTER(ROW(PriceList!$B$4:$B$2641),PriceList!$M$4:$M$2641=A793,""))</f>
        <v>1733, 1739</v>
      </c>
      <c r="F793" s="42" t="str" cm="1">
        <f t="array" ref="F793">_xlfn.TEXTJOIN(" | ",TRUE,_xlfn.UNIQUE(_xlfn._xlws.FILTER(PriceList!$Q$4:$Q$2641&amp;" x "&amp;PriceList!$R$4:$R$2641&amp;" x "&amp;PriceList!$S$4:$S$2641,PriceList!$M$4:$M$2641=A793,"")))</f>
        <v>33 x 38 x 2.5</v>
      </c>
      <c r="G793" t="str" cm="1">
        <f t="array" ref="G793">INDEX(_xlfn._xlws.FILTER(PriceList!$P$4:$P$2641,PriceList!$M$4:$M$2641=A793,""),1)</f>
        <v>O Ring - FPM/FKM/VitonÂ®</v>
      </c>
    </row>
    <row r="794" spans="1:7" x14ac:dyDescent="0.45">
      <c r="A794" t="s">
        <v>4788</v>
      </c>
      <c r="B794">
        <f>COUNTIF(PriceList!$M$4:$M$2641,A794)</f>
        <v>1</v>
      </c>
      <c r="C794" t="str">
        <f>IF(B794=1,"1:1","1:Many")</f>
        <v>1:1</v>
      </c>
      <c r="D794" s="42" t="str" cm="1">
        <f t="array" ref="D794">_xlfn.TEXTJOIN(" | ",TRUE,_xlfn._xlws.FILTER(PriceList!$B$4:$B$2641,PriceList!$M$4:$M$2641=A794,""))</f>
        <v>ORV8 033-3</v>
      </c>
      <c r="E794" t="str" cm="1">
        <f t="array" ref="E794">_xlfn.TEXTJOIN(", ",TRUE,_xlfn._xlws.FILTER(ROW(PriceList!$B$4:$B$2641),PriceList!$M$4:$M$2641=A794,""))</f>
        <v>1741</v>
      </c>
      <c r="F794" s="42" t="str" cm="1">
        <f t="array" ref="F794">_xlfn.TEXTJOIN(" | ",TRUE,_xlfn.UNIQUE(_xlfn._xlws.FILTER(PriceList!$Q$4:$Q$2641&amp;" x "&amp;PriceList!$R$4:$R$2641&amp;" x "&amp;PriceList!$S$4:$S$2641,PriceList!$M$4:$M$2641=A794,"")))</f>
        <v>33 x 39 x 3</v>
      </c>
      <c r="G794" t="str" cm="1">
        <f t="array" ref="G794">INDEX(_xlfn._xlws.FILTER(PriceList!$P$4:$P$2641,PriceList!$M$4:$M$2641=A794,""),1)</f>
        <v>O Ring - FPM/FKM/VitonÂ®</v>
      </c>
    </row>
    <row r="795" spans="1:7" x14ac:dyDescent="0.45">
      <c r="A795" t="s">
        <v>4023</v>
      </c>
      <c r="B795">
        <f>COUNTIF(PriceList!$M$4:$M$2641,A795)</f>
        <v>2</v>
      </c>
      <c r="C795" t="str">
        <f>IF(B795=1,"1:1","1:Many")</f>
        <v>1:Many</v>
      </c>
      <c r="D795" s="42" t="str" cm="1">
        <f t="array" ref="D795">_xlfn.TEXTJOIN(" | ",TRUE,_xlfn._xlws.FILTER(PriceList!$B$4:$B$2641,PriceList!$M$4:$M$2641=A795,""))</f>
        <v>OR7N 032.92-3.53 | OR9N 032.92-3.53</v>
      </c>
      <c r="E795" t="str" cm="1">
        <f t="array" ref="E795">_xlfn.TEXTJOIN(", ",TRUE,_xlfn._xlws.FILTER(ROW(PriceList!$B$4:$B$2641),PriceList!$M$4:$M$2641=A795,""))</f>
        <v>631, 1091</v>
      </c>
      <c r="F795" s="42" t="str" cm="1">
        <f t="array" ref="F795">_xlfn.TEXTJOIN(" | ",TRUE,_xlfn.UNIQUE(_xlfn._xlws.FILTER(PriceList!$Q$4:$Q$2641&amp;" x "&amp;PriceList!$R$4:$R$2641&amp;" x "&amp;PriceList!$S$4:$S$2641,PriceList!$M$4:$M$2641=A795,"")))</f>
        <v>33 x 40 x 3.5</v>
      </c>
      <c r="G795" t="str" cm="1">
        <f t="array" ref="G795">INDEX(_xlfn._xlws.FILTER(PriceList!$P$4:$P$2641,PriceList!$M$4:$M$2641=A795,""),1)</f>
        <v>O Ring - NBR 70</v>
      </c>
    </row>
    <row r="796" spans="1:7" x14ac:dyDescent="0.45">
      <c r="A796" t="s">
        <v>4787</v>
      </c>
      <c r="B796">
        <f>COUNTIF(PriceList!$M$4:$M$2641,A796)</f>
        <v>1</v>
      </c>
      <c r="C796" t="str">
        <f>IF(B796=1,"1:1","1:Many")</f>
        <v>1:1</v>
      </c>
      <c r="D796" s="42" t="str" cm="1">
        <f t="array" ref="D796">_xlfn.TEXTJOIN(" | ",TRUE,_xlfn._xlws.FILTER(PriceList!$B$4:$B$2641,PriceList!$M$4:$M$2641=A796,""))</f>
        <v>ORV8 033.7-3.5</v>
      </c>
      <c r="E796" t="str" cm="1">
        <f t="array" ref="E796">_xlfn.TEXTJOIN(", ",TRUE,_xlfn._xlws.FILTER(ROW(PriceList!$B$4:$B$2641),PriceList!$M$4:$M$2641=A796,""))</f>
        <v>1740</v>
      </c>
      <c r="F796" s="42" t="str" cm="1">
        <f t="array" ref="F796">_xlfn.TEXTJOIN(" | ",TRUE,_xlfn.UNIQUE(_xlfn._xlws.FILTER(PriceList!$Q$4:$Q$2641&amp;" x "&amp;PriceList!$R$4:$R$2641&amp;" x "&amp;PriceList!$S$4:$S$2641,PriceList!$M$4:$M$2641=A796,"")))</f>
        <v>33 x 41 x 4</v>
      </c>
      <c r="G796" t="str" cm="1">
        <f t="array" ref="G796">INDEX(_xlfn._xlws.FILTER(PriceList!$P$4:$P$2641,PriceList!$M$4:$M$2641=A796,""),1)</f>
        <v>O Ring - FPM/FKM/VitonÂ®</v>
      </c>
    </row>
    <row r="797" spans="1:7" x14ac:dyDescent="0.45">
      <c r="A797" t="s">
        <v>4030</v>
      </c>
      <c r="B797">
        <f>COUNTIF(PriceList!$M$4:$M$2641,A797)</f>
        <v>2</v>
      </c>
      <c r="C797" t="str">
        <f>IF(B797=1,"1:1","1:Many")</f>
        <v>1:Many</v>
      </c>
      <c r="D797" s="42" t="str" cm="1">
        <f t="array" ref="D797">_xlfn.TEXTJOIN(" | ",TRUE,_xlfn._xlws.FILTER(PriceList!$B$4:$B$2641,PriceList!$M$4:$M$2641=A797,""))</f>
        <v>OR7N 033.7-3.5 | OR9N 033.7-3.5</v>
      </c>
      <c r="E797" t="str" cm="1">
        <f t="array" ref="E797">_xlfn.TEXTJOIN(", ",TRUE,_xlfn._xlws.FILTER(ROW(PriceList!$B$4:$B$2641),PriceList!$M$4:$M$2641=A797,""))</f>
        <v>636, 1097</v>
      </c>
      <c r="F797" s="42" t="str" cm="1">
        <f t="array" ref="F797">_xlfn.TEXTJOIN(" | ",TRUE,_xlfn.UNIQUE(_xlfn._xlws.FILTER(PriceList!$Q$4:$Q$2641&amp;" x "&amp;PriceList!$R$4:$R$2641&amp;" x "&amp;PriceList!$S$4:$S$2641,PriceList!$M$4:$M$2641=A797,"")))</f>
        <v>33.7 x 40.7 x 3.5</v>
      </c>
      <c r="G797" t="str" cm="1">
        <f t="array" ref="G797">INDEX(_xlfn._xlws.FILTER(PriceList!$P$4:$P$2641,PriceList!$M$4:$M$2641=A797,""),1)</f>
        <v>O Ring - NBR 70</v>
      </c>
    </row>
    <row r="798" spans="1:7" x14ac:dyDescent="0.45">
      <c r="A798" t="s">
        <v>4794</v>
      </c>
      <c r="B798">
        <f>COUNTIF(PriceList!$M$4:$M$2641,A798)</f>
        <v>1</v>
      </c>
      <c r="C798" t="str">
        <f>IF(B798=1,"1:1","1:Many")</f>
        <v>1:1</v>
      </c>
      <c r="D798" s="42" t="str" cm="1">
        <f t="array" ref="D798">_xlfn.TEXTJOIN(" | ",TRUE,_xlfn._xlws.FILTER(PriceList!$B$4:$B$2641,PriceList!$M$4:$M$2641=A798,""))</f>
        <v>ORV8 034-2</v>
      </c>
      <c r="E798" t="str" cm="1">
        <f t="array" ref="E798">_xlfn.TEXTJOIN(", ",TRUE,_xlfn._xlws.FILTER(ROW(PriceList!$B$4:$B$2641),PriceList!$M$4:$M$2641=A798,""))</f>
        <v>1747</v>
      </c>
      <c r="F798" s="42" t="str" cm="1">
        <f t="array" ref="F798">_xlfn.TEXTJOIN(" | ",TRUE,_xlfn.UNIQUE(_xlfn._xlws.FILTER(PriceList!$Q$4:$Q$2641&amp;" x "&amp;PriceList!$R$4:$R$2641&amp;" x "&amp;PriceList!$S$4:$S$2641,PriceList!$M$4:$M$2641=A798,"")))</f>
        <v>34 x 38 x 2</v>
      </c>
      <c r="G798" t="str" cm="1">
        <f t="array" ref="G798">INDEX(_xlfn._xlws.FILTER(PriceList!$P$4:$P$2641,PriceList!$M$4:$M$2641=A798,""),1)</f>
        <v>O Ring - FPM/FKM/VitonÂ®</v>
      </c>
    </row>
    <row r="799" spans="1:7" x14ac:dyDescent="0.45">
      <c r="A799" t="s">
        <v>4038</v>
      </c>
      <c r="B799">
        <f>COUNTIF(PriceList!$M$4:$M$2641,A799)</f>
        <v>2</v>
      </c>
      <c r="C799" t="str">
        <f>IF(B799=1,"1:1","1:Many")</f>
        <v>1:Many</v>
      </c>
      <c r="D799" s="42" t="str" cm="1">
        <f t="array" ref="D799">_xlfn.TEXTJOIN(" | ",TRUE,_xlfn._xlws.FILTER(PriceList!$B$4:$B$2641,PriceList!$M$4:$M$2641=A799,""))</f>
        <v>OR7N 034-3 | OR9N 034-3</v>
      </c>
      <c r="E799" t="str" cm="1">
        <f t="array" ref="E799">_xlfn.TEXTJOIN(", ",TRUE,_xlfn._xlws.FILTER(ROW(PriceList!$B$4:$B$2641),PriceList!$M$4:$M$2641=A799,""))</f>
        <v>642, 1104</v>
      </c>
      <c r="F799" s="42" t="str" cm="1">
        <f t="array" ref="F799">_xlfn.TEXTJOIN(" | ",TRUE,_xlfn.UNIQUE(_xlfn._xlws.FILTER(PriceList!$Q$4:$Q$2641&amp;" x "&amp;PriceList!$R$4:$R$2641&amp;" x "&amp;PriceList!$S$4:$S$2641,PriceList!$M$4:$M$2641=A799,"")))</f>
        <v>34 x 40 x 3</v>
      </c>
      <c r="G799" t="str" cm="1">
        <f t="array" ref="G799">INDEX(_xlfn._xlws.FILTER(PriceList!$P$4:$P$2641,PriceList!$M$4:$M$2641=A799,""),1)</f>
        <v>O Ring - NBR 70</v>
      </c>
    </row>
    <row r="800" spans="1:7" x14ac:dyDescent="0.45">
      <c r="A800" t="s">
        <v>4795</v>
      </c>
      <c r="B800">
        <f>COUNTIF(PriceList!$M$4:$M$2641,A800)</f>
        <v>1</v>
      </c>
      <c r="C800" t="str">
        <f>IF(B800=1,"1:1","1:Many")</f>
        <v>1:1</v>
      </c>
      <c r="D800" s="42" t="str" cm="1">
        <f t="array" ref="D800">_xlfn.TEXTJOIN(" | ",TRUE,_xlfn._xlws.FILTER(PriceList!$B$4:$B$2641,PriceList!$M$4:$M$2641=A800,""))</f>
        <v>ORV8 034-3</v>
      </c>
      <c r="E800" t="str" cm="1">
        <f t="array" ref="E800">_xlfn.TEXTJOIN(", ",TRUE,_xlfn._xlws.FILTER(ROW(PriceList!$B$4:$B$2641),PriceList!$M$4:$M$2641=A800,""))</f>
        <v>1748</v>
      </c>
      <c r="F800" s="42" t="str" cm="1">
        <f t="array" ref="F800">_xlfn.TEXTJOIN(" | ",TRUE,_xlfn.UNIQUE(_xlfn._xlws.FILTER(PriceList!$Q$4:$Q$2641&amp;" x "&amp;PriceList!$R$4:$R$2641&amp;" x "&amp;PriceList!$S$4:$S$2641,PriceList!$M$4:$M$2641=A800,"")))</f>
        <v>34 x 40 x 3</v>
      </c>
      <c r="G800" t="str" cm="1">
        <f t="array" ref="G800">INDEX(_xlfn._xlws.FILTER(PriceList!$P$4:$P$2641,PriceList!$M$4:$M$2641=A800,""),1)</f>
        <v>O Ring - FPM/FKM/VitonÂ®</v>
      </c>
    </row>
    <row r="801" spans="1:7" x14ac:dyDescent="0.45">
      <c r="A801" t="s">
        <v>4425</v>
      </c>
      <c r="B801">
        <f>COUNTIF(PriceList!$M$4:$M$2641,A801)</f>
        <v>1</v>
      </c>
      <c r="C801" t="str">
        <f>IF(B801=1,"1:1","1:Many")</f>
        <v>1:1</v>
      </c>
      <c r="D801" s="42" t="str" cm="1">
        <f t="array" ref="D801">_xlfn.TEXTJOIN(" | ",TRUE,_xlfn._xlws.FILTER(PriceList!$B$4:$B$2641,PriceList!$M$4:$M$2641=A801,""))</f>
        <v>OR9N 034-4</v>
      </c>
      <c r="E801" t="str" cm="1">
        <f t="array" ref="E801">_xlfn.TEXTJOIN(", ",TRUE,_xlfn._xlws.FILTER(ROW(PriceList!$B$4:$B$2641),PriceList!$M$4:$M$2641=A801,""))</f>
        <v>1105</v>
      </c>
      <c r="F801" s="42" t="str" cm="1">
        <f t="array" ref="F801">_xlfn.TEXTJOIN(" | ",TRUE,_xlfn.UNIQUE(_xlfn._xlws.FILTER(PriceList!$Q$4:$Q$2641&amp;" x "&amp;PriceList!$R$4:$R$2641&amp;" x "&amp;PriceList!$S$4:$S$2641,PriceList!$M$4:$M$2641=A801,"")))</f>
        <v>34 x 42 x 4</v>
      </c>
      <c r="G801" t="str" cm="1">
        <f t="array" ref="G801">INDEX(_xlfn._xlws.FILTER(PriceList!$P$4:$P$2641,PriceList!$M$4:$M$2641=A801,""),1)</f>
        <v>O Ring - NBR 70</v>
      </c>
    </row>
    <row r="802" spans="1:7" x14ac:dyDescent="0.45">
      <c r="A802" t="s">
        <v>4033</v>
      </c>
      <c r="B802">
        <f>COUNTIF(PriceList!$M$4:$M$2641,A802)</f>
        <v>2</v>
      </c>
      <c r="C802" t="str">
        <f>IF(B802=1,"1:1","1:Many")</f>
        <v>1:Many</v>
      </c>
      <c r="D802" s="42" t="str" cm="1">
        <f t="array" ref="D802">_xlfn.TEXTJOIN(" | ",TRUE,_xlfn._xlws.FILTER(PriceList!$B$4:$B$2641,PriceList!$M$4:$M$2641=A802,""))</f>
        <v>OR7N 034.4-3.1 | OR9N 034.4-3.1</v>
      </c>
      <c r="E802" t="str" cm="1">
        <f t="array" ref="E802">_xlfn.TEXTJOIN(", ",TRUE,_xlfn._xlws.FILTER(ROW(PriceList!$B$4:$B$2641),PriceList!$M$4:$M$2641=A802,""))</f>
        <v>638, 1099</v>
      </c>
      <c r="F802" s="42" t="str" cm="1">
        <f t="array" ref="F802">_xlfn.TEXTJOIN(" | ",TRUE,_xlfn.UNIQUE(_xlfn._xlws.FILTER(PriceList!$Q$4:$Q$2641&amp;" x "&amp;PriceList!$R$4:$R$2641&amp;" x "&amp;PriceList!$S$4:$S$2641,PriceList!$M$4:$M$2641=A802,"")))</f>
        <v>34.4 x 40.6 x 3.1</v>
      </c>
      <c r="G802" t="str" cm="1">
        <f t="array" ref="G802">INDEX(_xlfn._xlws.FILTER(PriceList!$P$4:$P$2641,PriceList!$M$4:$M$2641=A802,""),1)</f>
        <v>O Ring - NBR 70</v>
      </c>
    </row>
    <row r="803" spans="1:7" x14ac:dyDescent="0.45">
      <c r="A803" t="s">
        <v>4790</v>
      </c>
      <c r="B803">
        <f>COUNTIF(PriceList!$M$4:$M$2641,A803)</f>
        <v>1</v>
      </c>
      <c r="C803" t="str">
        <f>IF(B803=1,"1:1","1:Many")</f>
        <v>1:1</v>
      </c>
      <c r="D803" s="42" t="str" cm="1">
        <f t="array" ref="D803">_xlfn.TEXTJOIN(" | ",TRUE,_xlfn._xlws.FILTER(PriceList!$B$4:$B$2641,PriceList!$M$4:$M$2641=A803,""))</f>
        <v>ORV8 034.4-3.1</v>
      </c>
      <c r="E803" t="str" cm="1">
        <f t="array" ref="E803">_xlfn.TEXTJOIN(", ",TRUE,_xlfn._xlws.FILTER(ROW(PriceList!$B$4:$B$2641),PriceList!$M$4:$M$2641=A803,""))</f>
        <v>1743</v>
      </c>
      <c r="F803" s="42" t="str" cm="1">
        <f t="array" ref="F803">_xlfn.TEXTJOIN(" | ",TRUE,_xlfn.UNIQUE(_xlfn._xlws.FILTER(PriceList!$Q$4:$Q$2641&amp;" x "&amp;PriceList!$R$4:$R$2641&amp;" x "&amp;PriceList!$S$4:$S$2641,PriceList!$M$4:$M$2641=A803,"")))</f>
        <v>34.5 x 40.5 x 3</v>
      </c>
      <c r="G803" t="str" cm="1">
        <f t="array" ref="G803">INDEX(_xlfn._xlws.FILTER(PriceList!$P$4:$P$2641,PriceList!$M$4:$M$2641=A803,""),1)</f>
        <v>O Ring - FPM/FKM/VitonÂ®</v>
      </c>
    </row>
    <row r="804" spans="1:7" ht="28.5" x14ac:dyDescent="0.45">
      <c r="A804" t="s">
        <v>4034</v>
      </c>
      <c r="B804">
        <f>COUNTIF(PriceList!$M$4:$M$2641,A804)</f>
        <v>3</v>
      </c>
      <c r="C804" t="str">
        <f>IF(B804=1,"1:1","1:Many")</f>
        <v>1:Many</v>
      </c>
      <c r="D804" s="42" t="str" cm="1">
        <f t="array" ref="D804">_xlfn.TEXTJOIN(" | ",TRUE,_xlfn._xlws.FILTER(PriceList!$B$4:$B$2641,PriceList!$M$4:$M$2641=A804,""))</f>
        <v>OR7N 034.52-3.53 | OR9N 034.52-3.53 | OR9N 034.7-3.5</v>
      </c>
      <c r="E804" t="str" cm="1">
        <f t="array" ref="E804">_xlfn.TEXTJOIN(", ",TRUE,_xlfn._xlws.FILTER(ROW(PriceList!$B$4:$B$2641),PriceList!$M$4:$M$2641=A804,""))</f>
        <v>639, 1100, 1103</v>
      </c>
      <c r="F804" s="42" t="str" cm="1">
        <f t="array" ref="F804">_xlfn.TEXTJOIN(" | ",TRUE,_xlfn.UNIQUE(_xlfn._xlws.FILTER(PriceList!$Q$4:$Q$2641&amp;" x "&amp;PriceList!$R$4:$R$2641&amp;" x "&amp;PriceList!$S$4:$S$2641,PriceList!$M$4:$M$2641=A804,"")))</f>
        <v>34.7 x 41.7 x 3.5</v>
      </c>
      <c r="G804" t="str" cm="1">
        <f t="array" ref="G804">INDEX(_xlfn._xlws.FILTER(PriceList!$P$4:$P$2641,PriceList!$M$4:$M$2641=A804,""),1)</f>
        <v>O Ring - NBR 70</v>
      </c>
    </row>
    <row r="805" spans="1:7" x14ac:dyDescent="0.45">
      <c r="A805" t="s">
        <v>4039</v>
      </c>
      <c r="B805">
        <f>COUNTIF(PriceList!$M$4:$M$2641,A805)</f>
        <v>2</v>
      </c>
      <c r="C805" t="str">
        <f>IF(B805=1,"1:1","1:Many")</f>
        <v>1:Many</v>
      </c>
      <c r="D805" s="42" t="str" cm="1">
        <f t="array" ref="D805">_xlfn.TEXTJOIN(" | ",TRUE,_xlfn._xlws.FILTER(PriceList!$B$4:$B$2641,PriceList!$M$4:$M$2641=A805,""))</f>
        <v>OR7N 035-2 | OR9N 035-2</v>
      </c>
      <c r="E805" t="str" cm="1">
        <f t="array" ref="E805">_xlfn.TEXTJOIN(", ",TRUE,_xlfn._xlws.FILTER(ROW(PriceList!$B$4:$B$2641),PriceList!$M$4:$M$2641=A805,""))</f>
        <v>643, 1107</v>
      </c>
      <c r="F805" s="42" t="str" cm="1">
        <f t="array" ref="F805">_xlfn.TEXTJOIN(" | ",TRUE,_xlfn.UNIQUE(_xlfn._xlws.FILTER(PriceList!$Q$4:$Q$2641&amp;" x "&amp;PriceList!$R$4:$R$2641&amp;" x "&amp;PriceList!$S$4:$S$2641,PriceList!$M$4:$M$2641=A805,"")))</f>
        <v>35 x 39 x 2</v>
      </c>
      <c r="G805" t="str" cm="1">
        <f t="array" ref="G805">INDEX(_xlfn._xlws.FILTER(PriceList!$P$4:$P$2641,PriceList!$M$4:$M$2641=A805,""),1)</f>
        <v>O Ring - NBR 70</v>
      </c>
    </row>
    <row r="806" spans="1:7" x14ac:dyDescent="0.45">
      <c r="A806" t="s">
        <v>4796</v>
      </c>
      <c r="B806">
        <f>COUNTIF(PriceList!$M$4:$M$2641,A806)</f>
        <v>1</v>
      </c>
      <c r="C806" t="str">
        <f>IF(B806=1,"1:1","1:Many")</f>
        <v>1:1</v>
      </c>
      <c r="D806" s="42" t="str" cm="1">
        <f t="array" ref="D806">_xlfn.TEXTJOIN(" | ",TRUE,_xlfn._xlws.FILTER(PriceList!$B$4:$B$2641,PriceList!$M$4:$M$2641=A806,""))</f>
        <v>ORV8 035.5-1.78</v>
      </c>
      <c r="E806" t="str" cm="1">
        <f t="array" ref="E806">_xlfn.TEXTJOIN(", ",TRUE,_xlfn._xlws.FILTER(ROW(PriceList!$B$4:$B$2641),PriceList!$M$4:$M$2641=A806,""))</f>
        <v>1749</v>
      </c>
      <c r="F806" s="42" t="str" cm="1">
        <f t="array" ref="F806">_xlfn.TEXTJOIN(" | ",TRUE,_xlfn.UNIQUE(_xlfn._xlws.FILTER(PriceList!$Q$4:$Q$2641&amp;" x "&amp;PriceList!$R$4:$R$2641&amp;" x "&amp;PriceList!$S$4:$S$2641,PriceList!$M$4:$M$2641=A806,"")))</f>
        <v>35 x 39 x 2</v>
      </c>
      <c r="G806" t="str" cm="1">
        <f t="array" ref="G806">INDEX(_xlfn._xlws.FILTER(PriceList!$P$4:$P$2641,PriceList!$M$4:$M$2641=A806,""),1)</f>
        <v>O Ring - FPM/FKM/VitonÂ®</v>
      </c>
    </row>
    <row r="807" spans="1:7" x14ac:dyDescent="0.45">
      <c r="A807" t="s">
        <v>4427</v>
      </c>
      <c r="B807">
        <f>COUNTIF(PriceList!$M$4:$M$2641,A807)</f>
        <v>1</v>
      </c>
      <c r="C807" t="str">
        <f>IF(B807=1,"1:1","1:Many")</f>
        <v>1:1</v>
      </c>
      <c r="D807" s="42" t="str" cm="1">
        <f t="array" ref="D807">_xlfn.TEXTJOIN(" | ",TRUE,_xlfn._xlws.FILTER(PriceList!$B$4:$B$2641,PriceList!$M$4:$M$2641=A807,""))</f>
        <v>OR9N 035-2.5</v>
      </c>
      <c r="E807" t="str" cm="1">
        <f t="array" ref="E807">_xlfn.TEXTJOIN(", ",TRUE,_xlfn._xlws.FILTER(ROW(PriceList!$B$4:$B$2641),PriceList!$M$4:$M$2641=A807,""))</f>
        <v>1108</v>
      </c>
      <c r="F807" s="42" t="str" cm="1">
        <f t="array" ref="F807">_xlfn.TEXTJOIN(" | ",TRUE,_xlfn.UNIQUE(_xlfn._xlws.FILTER(PriceList!$Q$4:$Q$2641&amp;" x "&amp;PriceList!$R$4:$R$2641&amp;" x "&amp;PriceList!$S$4:$S$2641,PriceList!$M$4:$M$2641=A807,"")))</f>
        <v>35 x 40 x 2.5</v>
      </c>
      <c r="G807" t="str" cm="1">
        <f t="array" ref="G807">INDEX(_xlfn._xlws.FILTER(PriceList!$P$4:$P$2641,PriceList!$M$4:$M$2641=A807,""),1)</f>
        <v>O Ring - NBR 70</v>
      </c>
    </row>
    <row r="808" spans="1:7" x14ac:dyDescent="0.45">
      <c r="A808" t="s">
        <v>4799</v>
      </c>
      <c r="B808">
        <f>COUNTIF(PriceList!$M$4:$M$2641,A808)</f>
        <v>1</v>
      </c>
      <c r="C808" t="str">
        <f>IF(B808=1,"1:1","1:Many")</f>
        <v>1:1</v>
      </c>
      <c r="D808" s="42" t="str" cm="1">
        <f t="array" ref="D808">_xlfn.TEXTJOIN(" | ",TRUE,_xlfn._xlws.FILTER(PriceList!$B$4:$B$2641,PriceList!$M$4:$M$2641=A808,""))</f>
        <v>ORV8 035-2.5</v>
      </c>
      <c r="E808" t="str" cm="1">
        <f t="array" ref="E808">_xlfn.TEXTJOIN(", ",TRUE,_xlfn._xlws.FILTER(ROW(PriceList!$B$4:$B$2641),PriceList!$M$4:$M$2641=A808,""))</f>
        <v>1751</v>
      </c>
      <c r="F808" s="42" t="str" cm="1">
        <f t="array" ref="F808">_xlfn.TEXTJOIN(" | ",TRUE,_xlfn.UNIQUE(_xlfn._xlws.FILTER(PriceList!$Q$4:$Q$2641&amp;" x "&amp;PriceList!$R$4:$R$2641&amp;" x "&amp;PriceList!$S$4:$S$2641,PriceList!$M$4:$M$2641=A808,"")))</f>
        <v>35 x 40 x 2.5</v>
      </c>
      <c r="G808" t="str" cm="1">
        <f t="array" ref="G808">INDEX(_xlfn._xlws.FILTER(PriceList!$P$4:$P$2641,PriceList!$M$4:$M$2641=A808,""),1)</f>
        <v>O Ring - FPM/FKM/VitonÂ®</v>
      </c>
    </row>
    <row r="809" spans="1:7" x14ac:dyDescent="0.45">
      <c r="A809" t="s">
        <v>4428</v>
      </c>
      <c r="B809">
        <f>COUNTIF(PriceList!$M$4:$M$2641,A809)</f>
        <v>1</v>
      </c>
      <c r="C809" t="str">
        <f>IF(B809=1,"1:1","1:Many")</f>
        <v>1:1</v>
      </c>
      <c r="D809" s="42" t="str" cm="1">
        <f t="array" ref="D809">_xlfn.TEXTJOIN(" | ",TRUE,_xlfn._xlws.FILTER(PriceList!$B$4:$B$2641,PriceList!$M$4:$M$2641=A809,""))</f>
        <v>OR9N 035-3</v>
      </c>
      <c r="E809" t="str" cm="1">
        <f t="array" ref="E809">_xlfn.TEXTJOIN(", ",TRUE,_xlfn._xlws.FILTER(ROW(PriceList!$B$4:$B$2641),PriceList!$M$4:$M$2641=A809,""))</f>
        <v>1109</v>
      </c>
      <c r="F809" s="42" t="str" cm="1">
        <f t="array" ref="F809">_xlfn.TEXTJOIN(" | ",TRUE,_xlfn.UNIQUE(_xlfn._xlws.FILTER(PriceList!$Q$4:$Q$2641&amp;" x "&amp;PriceList!$R$4:$R$2641&amp;" x "&amp;PriceList!$S$4:$S$2641,PriceList!$M$4:$M$2641=A809,"")))</f>
        <v>35 x 41 x 3</v>
      </c>
      <c r="G809" t="str" cm="1">
        <f t="array" ref="G809">INDEX(_xlfn._xlws.FILTER(PriceList!$P$4:$P$2641,PriceList!$M$4:$M$2641=A809,""),1)</f>
        <v>O Ring - NBR 70</v>
      </c>
    </row>
    <row r="810" spans="1:7" x14ac:dyDescent="0.45">
      <c r="A810" t="s">
        <v>4800</v>
      </c>
      <c r="B810">
        <f>COUNTIF(PriceList!$M$4:$M$2641,A810)</f>
        <v>1</v>
      </c>
      <c r="C810" t="str">
        <f>IF(B810=1,"1:1","1:Many")</f>
        <v>1:1</v>
      </c>
      <c r="D810" s="42" t="str" cm="1">
        <f t="array" ref="D810">_xlfn.TEXTJOIN(" | ",TRUE,_xlfn._xlws.FILTER(PriceList!$B$4:$B$2641,PriceList!$M$4:$M$2641=A810,""))</f>
        <v>ORV8 035-3</v>
      </c>
      <c r="E810" t="str" cm="1">
        <f t="array" ref="E810">_xlfn.TEXTJOIN(", ",TRUE,_xlfn._xlws.FILTER(ROW(PriceList!$B$4:$B$2641),PriceList!$M$4:$M$2641=A810,""))</f>
        <v>1752</v>
      </c>
      <c r="F810" s="42" t="str" cm="1">
        <f t="array" ref="F810">_xlfn.TEXTJOIN(" | ",TRUE,_xlfn.UNIQUE(_xlfn._xlws.FILTER(PriceList!$Q$4:$Q$2641&amp;" x "&amp;PriceList!$R$4:$R$2641&amp;" x "&amp;PriceList!$S$4:$S$2641,PriceList!$M$4:$M$2641=A810,"")))</f>
        <v>35 x 41 x 3</v>
      </c>
      <c r="G810" t="str" cm="1">
        <f t="array" ref="G810">INDEX(_xlfn._xlws.FILTER(PriceList!$P$4:$P$2641,PriceList!$M$4:$M$2641=A810,""),1)</f>
        <v>O Ring - FPM/FKM/VitonÂ®</v>
      </c>
    </row>
    <row r="811" spans="1:7" x14ac:dyDescent="0.45">
      <c r="A811" t="s">
        <v>4429</v>
      </c>
      <c r="B811">
        <f>COUNTIF(PriceList!$M$4:$M$2641,A811)</f>
        <v>1</v>
      </c>
      <c r="C811" t="str">
        <f>IF(B811=1,"1:1","1:Many")</f>
        <v>1:1</v>
      </c>
      <c r="D811" s="42" t="str" cm="1">
        <f t="array" ref="D811">_xlfn.TEXTJOIN(" | ",TRUE,_xlfn._xlws.FILTER(PriceList!$B$4:$B$2641,PriceList!$M$4:$M$2641=A811,""))</f>
        <v>OR9N 035-4</v>
      </c>
      <c r="E811" t="str" cm="1">
        <f t="array" ref="E811">_xlfn.TEXTJOIN(", ",TRUE,_xlfn._xlws.FILTER(ROW(PriceList!$B$4:$B$2641),PriceList!$M$4:$M$2641=A811,""))</f>
        <v>1110</v>
      </c>
      <c r="F811" s="42" t="str" cm="1">
        <f t="array" ref="F811">_xlfn.TEXTJOIN(" | ",TRUE,_xlfn.UNIQUE(_xlfn._xlws.FILTER(PriceList!$Q$4:$Q$2641&amp;" x "&amp;PriceList!$R$4:$R$2641&amp;" x "&amp;PriceList!$S$4:$S$2641,PriceList!$M$4:$M$2641=A811,"")))</f>
        <v>35 x 43 x 4</v>
      </c>
      <c r="G811" t="str" cm="1">
        <f t="array" ref="G811">INDEX(_xlfn._xlws.FILTER(PriceList!$P$4:$P$2641,PriceList!$M$4:$M$2641=A811,""),1)</f>
        <v>O Ring - NBR 70</v>
      </c>
    </row>
    <row r="812" spans="1:7" x14ac:dyDescent="0.45">
      <c r="A812" t="s">
        <v>4798</v>
      </c>
      <c r="B812">
        <f>COUNTIF(PriceList!$M$4:$M$2641,A812)</f>
        <v>2</v>
      </c>
      <c r="C812" t="str">
        <f>IF(B812=1,"1:1","1:Many")</f>
        <v>1:Many</v>
      </c>
      <c r="D812" s="42" t="str" cm="1">
        <f t="array" ref="D812">_xlfn.TEXTJOIN(" | ",TRUE,_xlfn._xlws.FILTER(PriceList!$B$4:$B$2641,PriceList!$M$4:$M$2641=A812,""))</f>
        <v>ORV8 035.7-3.5 | ORV8 035-4</v>
      </c>
      <c r="E812" t="str" cm="1">
        <f t="array" ref="E812">_xlfn.TEXTJOIN(", ",TRUE,_xlfn._xlws.FILTER(ROW(PriceList!$B$4:$B$2641),PriceList!$M$4:$M$2641=A812,""))</f>
        <v>1750, 1753</v>
      </c>
      <c r="F812" s="42" t="str" cm="1">
        <f t="array" ref="F812">_xlfn.TEXTJOIN(" | ",TRUE,_xlfn.UNIQUE(_xlfn._xlws.FILTER(PriceList!$Q$4:$Q$2641&amp;" x "&amp;PriceList!$R$4:$R$2641&amp;" x "&amp;PriceList!$S$4:$S$2641,PriceList!$M$4:$M$2641=A812,"")))</f>
        <v>35 x 43 x 4</v>
      </c>
      <c r="G812" t="str" cm="1">
        <f t="array" ref="G812">INDEX(_xlfn._xlws.FILTER(PriceList!$P$4:$P$2641,PriceList!$M$4:$M$2641=A812,""),1)</f>
        <v>O Ring - FPM/FKM/VitonÂ®</v>
      </c>
    </row>
    <row r="813" spans="1:7" x14ac:dyDescent="0.45">
      <c r="A813" t="s">
        <v>4801</v>
      </c>
      <c r="B813">
        <f>COUNTIF(PriceList!$M$4:$M$2641,A813)</f>
        <v>1</v>
      </c>
      <c r="C813" t="str">
        <f>IF(B813=1,"1:1","1:Many")</f>
        <v>1:1</v>
      </c>
      <c r="D813" s="42" t="str" cm="1">
        <f t="array" ref="D813">_xlfn.TEXTJOIN(" | ",TRUE,_xlfn._xlws.FILTER(PriceList!$B$4:$B$2641,PriceList!$M$4:$M$2641=A813,""))</f>
        <v>ORV8 035-5</v>
      </c>
      <c r="E813" t="str" cm="1">
        <f t="array" ref="E813">_xlfn.TEXTJOIN(", ",TRUE,_xlfn._xlws.FILTER(ROW(PriceList!$B$4:$B$2641),PriceList!$M$4:$M$2641=A813,""))</f>
        <v>1754</v>
      </c>
      <c r="F813" s="42" t="str" cm="1">
        <f t="array" ref="F813">_xlfn.TEXTJOIN(" | ",TRUE,_xlfn.UNIQUE(_xlfn._xlws.FILTER(PriceList!$Q$4:$Q$2641&amp;" x "&amp;PriceList!$R$4:$R$2641&amp;" x "&amp;PriceList!$S$4:$S$2641,PriceList!$M$4:$M$2641=A813,"")))</f>
        <v>35 x 45 x 5</v>
      </c>
      <c r="G813" t="str" cm="1">
        <f t="array" ref="G813">INDEX(_xlfn._xlws.FILTER(PriceList!$P$4:$P$2641,PriceList!$M$4:$M$2641=A813,""),1)</f>
        <v>O Ring - FPM/FKM/VitonÂ®</v>
      </c>
    </row>
    <row r="814" spans="1:7" x14ac:dyDescent="0.45">
      <c r="A814" t="s">
        <v>4426</v>
      </c>
      <c r="B814">
        <f>COUNTIF(PriceList!$M$4:$M$2641,A814)</f>
        <v>1</v>
      </c>
      <c r="C814" t="str">
        <f>IF(B814=1,"1:1","1:Many")</f>
        <v>1:1</v>
      </c>
      <c r="D814" s="42" t="str" cm="1">
        <f t="array" ref="D814">_xlfn.TEXTJOIN(" | ",TRUE,_xlfn._xlws.FILTER(PriceList!$B$4:$B$2641,PriceList!$M$4:$M$2641=A814,""))</f>
        <v>OR9N 035.7-3.5</v>
      </c>
      <c r="E814" t="str" cm="1">
        <f t="array" ref="E814">_xlfn.TEXTJOIN(", ",TRUE,_xlfn._xlws.FILTER(ROW(PriceList!$B$4:$B$2641),PriceList!$M$4:$M$2641=A814,""))</f>
        <v>1106</v>
      </c>
      <c r="F814" s="42" t="str" cm="1">
        <f t="array" ref="F814">_xlfn.TEXTJOIN(" | ",TRUE,_xlfn.UNIQUE(_xlfn._xlws.FILTER(PriceList!$Q$4:$Q$2641&amp;" x "&amp;PriceList!$R$4:$R$2641&amp;" x "&amp;PriceList!$S$4:$S$2641,PriceList!$M$4:$M$2641=A814,"")))</f>
        <v>35.7 x 42.7 x 3.5</v>
      </c>
      <c r="G814" t="str" cm="1">
        <f t="array" ref="G814">INDEX(_xlfn._xlws.FILTER(PriceList!$P$4:$P$2641,PriceList!$M$4:$M$2641=A814,""),1)</f>
        <v>O Ring - NBR 90</v>
      </c>
    </row>
    <row r="815" spans="1:7" x14ac:dyDescent="0.45">
      <c r="A815" t="s">
        <v>4808</v>
      </c>
      <c r="B815">
        <f>COUNTIF(PriceList!$M$4:$M$2641,A815)</f>
        <v>1</v>
      </c>
      <c r="C815" t="str">
        <f>IF(B815=1,"1:1","1:Many")</f>
        <v>1:1</v>
      </c>
      <c r="D815" s="42" t="str" cm="1">
        <f t="array" ref="D815">_xlfn.TEXTJOIN(" | ",TRUE,_xlfn._xlws.FILTER(PriceList!$B$4:$B$2641,PriceList!$M$4:$M$2641=A815,""))</f>
        <v>ORV8 036-2</v>
      </c>
      <c r="E815" t="str" cm="1">
        <f t="array" ref="E815">_xlfn.TEXTJOIN(", ",TRUE,_xlfn._xlws.FILTER(ROW(PriceList!$B$4:$B$2641),PriceList!$M$4:$M$2641=A815,""))</f>
        <v>1760</v>
      </c>
      <c r="F815" s="42" t="str" cm="1">
        <f t="array" ref="F815">_xlfn.TEXTJOIN(" | ",TRUE,_xlfn.UNIQUE(_xlfn._xlws.FILTER(PriceList!$Q$4:$Q$2641&amp;" x "&amp;PriceList!$R$4:$R$2641&amp;" x "&amp;PriceList!$S$4:$S$2641,PriceList!$M$4:$M$2641=A815,"")))</f>
        <v>36 x 40 x 2</v>
      </c>
      <c r="G815" t="str" cm="1">
        <f t="array" ref="G815">INDEX(_xlfn._xlws.FILTER(PriceList!$P$4:$P$2641,PriceList!$M$4:$M$2641=A815,""),1)</f>
        <v>O Ring - FPM/FKM/VitonÂ®</v>
      </c>
    </row>
    <row r="816" spans="1:7" x14ac:dyDescent="0.45">
      <c r="A816" t="s">
        <v>4804</v>
      </c>
      <c r="B816">
        <f>COUNTIF(PriceList!$M$4:$M$2641,A816)</f>
        <v>2</v>
      </c>
      <c r="C816" t="str">
        <f>IF(B816=1,"1:1","1:Many")</f>
        <v>1:Many</v>
      </c>
      <c r="D816" s="42" t="str" cm="1">
        <f t="array" ref="D816">_xlfn.TEXTJOIN(" | ",TRUE,_xlfn._xlws.FILTER(PriceList!$B$4:$B$2641,PriceList!$M$4:$M$2641=A816,""))</f>
        <v>ORV8 036.2-2.4 | ORV8 036-2.5</v>
      </c>
      <c r="E816" t="str" cm="1">
        <f t="array" ref="E816">_xlfn.TEXTJOIN(", ",TRUE,_xlfn._xlws.FILTER(ROW(PriceList!$B$4:$B$2641),PriceList!$M$4:$M$2641=A816,""))</f>
        <v>1757, 1761</v>
      </c>
      <c r="F816" s="42" t="str" cm="1">
        <f t="array" ref="F816">_xlfn.TEXTJOIN(" | ",TRUE,_xlfn.UNIQUE(_xlfn._xlws.FILTER(PriceList!$Q$4:$Q$2641&amp;" x "&amp;PriceList!$R$4:$R$2641&amp;" x "&amp;PriceList!$S$4:$S$2641,PriceList!$M$4:$M$2641=A816,"")))</f>
        <v>36 x 41 x 2.5</v>
      </c>
      <c r="G816" t="str" cm="1">
        <f t="array" ref="G816">INDEX(_xlfn._xlws.FILTER(PriceList!$P$4:$P$2641,PriceList!$M$4:$M$2641=A816,""),1)</f>
        <v>O Ring - FPM/FKM/VitonÂ®</v>
      </c>
    </row>
    <row r="817" spans="1:7" x14ac:dyDescent="0.45">
      <c r="A817" t="s">
        <v>4805</v>
      </c>
      <c r="B817">
        <f>COUNTIF(PriceList!$M$4:$M$2641,A817)</f>
        <v>3</v>
      </c>
      <c r="C817" t="str">
        <f>IF(B817=1,"1:1","1:Many")</f>
        <v>1:Many</v>
      </c>
      <c r="D817" s="42" t="str" cm="1">
        <f t="array" ref="D817">_xlfn.TEXTJOIN(" | ",TRUE,_xlfn._xlws.FILTER(PriceList!$B$4:$B$2641,PriceList!$M$4:$M$2641=A817,""))</f>
        <v>ORV8 036.5-3 | ORV8 036-3 | ORV8 037-2.5</v>
      </c>
      <c r="E817" t="str" cm="1">
        <f t="array" ref="E817">_xlfn.TEXTJOIN(", ",TRUE,_xlfn._xlws.FILTER(ROW(PriceList!$B$4:$B$2641),PriceList!$M$4:$M$2641=A817,""))</f>
        <v>1758, 1762, 1772</v>
      </c>
      <c r="F817" s="42" t="str" cm="1">
        <f t="array" ref="F817">_xlfn.TEXTJOIN(" | ",TRUE,_xlfn.UNIQUE(_xlfn._xlws.FILTER(PriceList!$Q$4:$Q$2641&amp;" x "&amp;PriceList!$R$4:$R$2641&amp;" x "&amp;PriceList!$S$4:$S$2641,PriceList!$M$4:$M$2641=A817,"")))</f>
        <v>36 x 42 x 3</v>
      </c>
      <c r="G817" t="str" cm="1">
        <f t="array" ref="G817">INDEX(_xlfn._xlws.FILTER(PriceList!$P$4:$P$2641,PriceList!$M$4:$M$2641=A817,""),1)</f>
        <v>O Ring - FPM/FKM/VitonÂ®</v>
      </c>
    </row>
    <row r="818" spans="1:7" x14ac:dyDescent="0.45">
      <c r="A818" t="s">
        <v>4040</v>
      </c>
      <c r="B818">
        <f>COUNTIF(PriceList!$M$4:$M$2641,A818)</f>
        <v>2</v>
      </c>
      <c r="C818" t="str">
        <f>IF(B818=1,"1:1","1:Many")</f>
        <v>1:Many</v>
      </c>
      <c r="D818" s="42" t="str" cm="1">
        <f t="array" ref="D818">_xlfn.TEXTJOIN(" | ",TRUE,_xlfn._xlws.FILTER(PriceList!$B$4:$B$2641,PriceList!$M$4:$M$2641=A818,""))</f>
        <v>OR7N 036.09-3.53 | OR9N 036.09-3.53</v>
      </c>
      <c r="E818" t="str" cm="1">
        <f t="array" ref="E818">_xlfn.TEXTJOIN(", ",TRUE,_xlfn._xlws.FILTER(ROW(PriceList!$B$4:$B$2641),PriceList!$M$4:$M$2641=A818,""))</f>
        <v>644, 1111</v>
      </c>
      <c r="F818" s="42" t="str" cm="1">
        <f t="array" ref="F818">_xlfn.TEXTJOIN(" | ",TRUE,_xlfn.UNIQUE(_xlfn._xlws.FILTER(PriceList!$Q$4:$Q$2641&amp;" x "&amp;PriceList!$R$4:$R$2641&amp;" x "&amp;PriceList!$S$4:$S$2641,PriceList!$M$4:$M$2641=A818,"")))</f>
        <v>36 x 43 x 3.5</v>
      </c>
      <c r="G818" t="str" cm="1">
        <f t="array" ref="G818">INDEX(_xlfn._xlws.FILTER(PriceList!$P$4:$P$2641,PriceList!$M$4:$M$2641=A818,""),1)</f>
        <v>O Ring - NBR 70</v>
      </c>
    </row>
    <row r="819" spans="1:7" x14ac:dyDescent="0.45">
      <c r="A819" t="s">
        <v>4806</v>
      </c>
      <c r="B819">
        <f>COUNTIF(PriceList!$M$4:$M$2641,A819)</f>
        <v>1</v>
      </c>
      <c r="C819" t="str">
        <f>IF(B819=1,"1:1","1:Many")</f>
        <v>1:1</v>
      </c>
      <c r="D819" s="42" t="str" cm="1">
        <f t="array" ref="D819">_xlfn.TEXTJOIN(" | ",TRUE,_xlfn._xlws.FILTER(PriceList!$B$4:$B$2641,PriceList!$M$4:$M$2641=A819,""))</f>
        <v>ORV8 036.5-3.53</v>
      </c>
      <c r="E819" t="str" cm="1">
        <f t="array" ref="E819">_xlfn.TEXTJOIN(", ",TRUE,_xlfn._xlws.FILTER(ROW(PriceList!$B$4:$B$2641),PriceList!$M$4:$M$2641=A819,""))</f>
        <v>1759</v>
      </c>
      <c r="F819" s="42" t="str" cm="1">
        <f t="array" ref="F819">_xlfn.TEXTJOIN(" | ",TRUE,_xlfn.UNIQUE(_xlfn._xlws.FILTER(PriceList!$Q$4:$Q$2641&amp;" x "&amp;PriceList!$R$4:$R$2641&amp;" x "&amp;PriceList!$S$4:$S$2641,PriceList!$M$4:$M$2641=A819,"")))</f>
        <v>36 x 44 x 4</v>
      </c>
      <c r="G819" t="str" cm="1">
        <f t="array" ref="G819">INDEX(_xlfn._xlws.FILTER(PriceList!$P$4:$P$2641,PriceList!$M$4:$M$2641=A819,""),1)</f>
        <v>O Ring - FPM/FKM/VitonÂ®</v>
      </c>
    </row>
    <row r="820" spans="1:7" x14ac:dyDescent="0.45">
      <c r="A820" t="s">
        <v>4430</v>
      </c>
      <c r="B820">
        <f>COUNTIF(PriceList!$M$4:$M$2641,A820)</f>
        <v>1</v>
      </c>
      <c r="C820" t="str">
        <f>IF(B820=1,"1:1","1:Many")</f>
        <v>1:1</v>
      </c>
      <c r="D820" s="42" t="str" cm="1">
        <f t="array" ref="D820">_xlfn.TEXTJOIN(" | ",TRUE,_xlfn._xlws.FILTER(PriceList!$B$4:$B$2641,PriceList!$M$4:$M$2641=A820,""))</f>
        <v>OR9N 037-2.5</v>
      </c>
      <c r="E820" t="str" cm="1">
        <f t="array" ref="E820">_xlfn.TEXTJOIN(", ",TRUE,_xlfn._xlws.FILTER(ROW(PriceList!$B$4:$B$2641),PriceList!$M$4:$M$2641=A820,""))</f>
        <v>1119</v>
      </c>
      <c r="F820" s="42" t="str" cm="1">
        <f t="array" ref="F820">_xlfn.TEXTJOIN(" | ",TRUE,_xlfn.UNIQUE(_xlfn._xlws.FILTER(PriceList!$Q$4:$Q$2641&amp;" x "&amp;PriceList!$R$4:$R$2641&amp;" x "&amp;PriceList!$S$4:$S$2641,PriceList!$M$4:$M$2641=A820,"")))</f>
        <v>37 x 42 x 2.5</v>
      </c>
      <c r="G820" t="str" cm="1">
        <f t="array" ref="G820">INDEX(_xlfn._xlws.FILTER(PriceList!$P$4:$P$2641,PriceList!$M$4:$M$2641=A820,""),1)</f>
        <v>O Ring - NBR 70</v>
      </c>
    </row>
    <row r="821" spans="1:7" x14ac:dyDescent="0.45">
      <c r="A821" t="s">
        <v>4812</v>
      </c>
      <c r="B821">
        <f>COUNTIF(PriceList!$M$4:$M$2641,A821)</f>
        <v>2</v>
      </c>
      <c r="C821" t="str">
        <f>IF(B821=1,"1:1","1:Many")</f>
        <v>1:Many</v>
      </c>
      <c r="D821" s="42" t="str" cm="1">
        <f t="array" ref="D821">_xlfn.TEXTJOIN(" | ",TRUE,_xlfn._xlws.FILTER(PriceList!$B$4:$B$2641,PriceList!$M$4:$M$2641=A821,""))</f>
        <v>ORV8 037.4-3.1 | ORV8 037.5-3</v>
      </c>
      <c r="E821" t="str" cm="1">
        <f t="array" ref="E821">_xlfn.TEXTJOIN(", ",TRUE,_xlfn._xlws.FILTER(ROW(PriceList!$B$4:$B$2641),PriceList!$M$4:$M$2641=A821,""))</f>
        <v>1766, 1767</v>
      </c>
      <c r="F821" s="42" t="str" cm="1">
        <f t="array" ref="F821">_xlfn.TEXTJOIN(" | ",TRUE,_xlfn.UNIQUE(_xlfn._xlws.FILTER(PriceList!$Q$4:$Q$2641&amp;" x "&amp;PriceList!$R$4:$R$2641&amp;" x "&amp;PriceList!$S$4:$S$2641,PriceList!$M$4:$M$2641=A821,"")))</f>
        <v>37 x 43 x 3</v>
      </c>
      <c r="G821" t="str" cm="1">
        <f t="array" ref="G821">INDEX(_xlfn._xlws.FILTER(PriceList!$P$4:$P$2641,PriceList!$M$4:$M$2641=A821,""),1)</f>
        <v>O Ring - FPM/FKM/VitonÂ®</v>
      </c>
    </row>
    <row r="822" spans="1:7" x14ac:dyDescent="0.45">
      <c r="A822" t="s">
        <v>4810</v>
      </c>
      <c r="B822">
        <f>COUNTIF(PriceList!$M$4:$M$2641,A822)</f>
        <v>1</v>
      </c>
      <c r="C822" t="str">
        <f>IF(B822=1,"1:1","1:Many")</f>
        <v>1:1</v>
      </c>
      <c r="D822" s="42" t="str" cm="1">
        <f t="array" ref="D822">_xlfn.TEXTJOIN(" | ",TRUE,_xlfn._xlws.FILTER(PriceList!$B$4:$B$2641,PriceList!$M$4:$M$2641=A822,""))</f>
        <v>ORV8 037.1-1.6</v>
      </c>
      <c r="E822" t="str" cm="1">
        <f t="array" ref="E822">_xlfn.TEXTJOIN(", ",TRUE,_xlfn._xlws.FILTER(ROW(PriceList!$B$4:$B$2641),PriceList!$M$4:$M$2641=A822,""))</f>
        <v>1764</v>
      </c>
      <c r="F822" s="42" t="str" cm="1">
        <f t="array" ref="F822">_xlfn.TEXTJOIN(" | ",TRUE,_xlfn.UNIQUE(_xlfn._xlws.FILTER(PriceList!$Q$4:$Q$2641&amp;" x "&amp;PriceList!$R$4:$R$2641&amp;" x "&amp;PriceList!$S$4:$S$2641,PriceList!$M$4:$M$2641=A822,"")))</f>
        <v>37.1 x 40.3 x 1.6</v>
      </c>
      <c r="G822" t="str" cm="1">
        <f t="array" ref="G822">INDEX(_xlfn._xlws.FILTER(PriceList!$P$4:$P$2641,PriceList!$M$4:$M$2641=A822,""),1)</f>
        <v>O Ring - FPM/FKM/VitonÂ®</v>
      </c>
    </row>
    <row r="823" spans="1:7" x14ac:dyDescent="0.45">
      <c r="A823" t="s">
        <v>4044</v>
      </c>
      <c r="B823">
        <f>COUNTIF(PriceList!$M$4:$M$2641,A823)</f>
        <v>2</v>
      </c>
      <c r="C823" t="str">
        <f>IF(B823=1,"1:1","1:Many")</f>
        <v>1:Many</v>
      </c>
      <c r="D823" s="42" t="str" cm="1">
        <f t="array" ref="D823">_xlfn.TEXTJOIN(" | ",TRUE,_xlfn._xlws.FILTER(PriceList!$B$4:$B$2641,PriceList!$M$4:$M$2641=A823,""))</f>
        <v>OR7N 037.5-3 | OR9N 037.5-3</v>
      </c>
      <c r="E823" t="str" cm="1">
        <f t="array" ref="E823">_xlfn.TEXTJOIN(", ",TRUE,_xlfn._xlws.FILTER(ROW(PriceList!$B$4:$B$2641),PriceList!$M$4:$M$2641=A823,""))</f>
        <v>647, 1114</v>
      </c>
      <c r="F823" s="42" t="str" cm="1">
        <f t="array" ref="F823">_xlfn.TEXTJOIN(" | ",TRUE,_xlfn.UNIQUE(_xlfn._xlws.FILTER(PriceList!$Q$4:$Q$2641&amp;" x "&amp;PriceList!$R$4:$R$2641&amp;" x "&amp;PriceList!$S$4:$S$2641,PriceList!$M$4:$M$2641=A823,"")))</f>
        <v>37.5 x 43.5 x 3</v>
      </c>
      <c r="G823" t="str" cm="1">
        <f t="array" ref="G823">INDEX(_xlfn._xlws.FILTER(PriceList!$P$4:$P$2641,PriceList!$M$4:$M$2641=A823,""),1)</f>
        <v>O Ring - NBR 70</v>
      </c>
    </row>
    <row r="824" spans="1:7" ht="28.5" x14ac:dyDescent="0.45">
      <c r="A824" t="s">
        <v>4045</v>
      </c>
      <c r="B824">
        <f>COUNTIF(PriceList!$M$4:$M$2641,A824)</f>
        <v>3</v>
      </c>
      <c r="C824" t="str">
        <f>IF(B824=1,"1:1","1:Many")</f>
        <v>1:Many</v>
      </c>
      <c r="D824" s="42" t="str" cm="1">
        <f t="array" ref="D824">_xlfn.TEXTJOIN(" | ",TRUE,_xlfn._xlws.FILTER(PriceList!$B$4:$B$2641,PriceList!$M$4:$M$2641=A824,""))</f>
        <v>OR7N 037.69-3.53 | OR9N 037.69-3.53 | OR9N 037.7-3.5</v>
      </c>
      <c r="E824" t="str" cm="1">
        <f t="array" ref="E824">_xlfn.TEXTJOIN(", ",TRUE,_xlfn._xlws.FILTER(ROW(PriceList!$B$4:$B$2641),PriceList!$M$4:$M$2641=A824,""))</f>
        <v>648, 1115, 1117</v>
      </c>
      <c r="F824" s="42" t="str" cm="1">
        <f t="array" ref="F824">_xlfn.TEXTJOIN(" | ",TRUE,_xlfn.UNIQUE(_xlfn._xlws.FILTER(PriceList!$Q$4:$Q$2641&amp;" x "&amp;PriceList!$R$4:$R$2641&amp;" x "&amp;PriceList!$S$4:$S$2641,PriceList!$M$4:$M$2641=A824,"")))</f>
        <v>37.7 x 44.7 x 3.5</v>
      </c>
      <c r="G824" t="str" cm="1">
        <f t="array" ref="G824">INDEX(_xlfn._xlws.FILTER(PriceList!$P$4:$P$2641,PriceList!$M$4:$M$2641=A824,""),1)</f>
        <v>O Ring - NBR 90</v>
      </c>
    </row>
    <row r="825" spans="1:7" x14ac:dyDescent="0.45">
      <c r="A825" t="s">
        <v>4049</v>
      </c>
      <c r="B825">
        <f>COUNTIF(PriceList!$M$4:$M$2641,A825)</f>
        <v>2</v>
      </c>
      <c r="C825" t="str">
        <f>IF(B825=1,"1:1","1:Many")</f>
        <v>1:Many</v>
      </c>
      <c r="D825" s="42" t="str" cm="1">
        <f t="array" ref="D825">_xlfn.TEXTJOIN(" | ",TRUE,_xlfn._xlws.FILTER(PriceList!$B$4:$B$2641,PriceList!$M$4:$M$2641=A825,""))</f>
        <v>OR7N 038-2 | OR9N 038-2</v>
      </c>
      <c r="E825" t="str" cm="1">
        <f t="array" ref="E825">_xlfn.TEXTJOIN(", ",TRUE,_xlfn._xlws.FILTER(ROW(PriceList!$B$4:$B$2641),PriceList!$M$4:$M$2641=A825,""))</f>
        <v>652, 1121</v>
      </c>
      <c r="F825" s="42" t="str" cm="1">
        <f t="array" ref="F825">_xlfn.TEXTJOIN(" | ",TRUE,_xlfn.UNIQUE(_xlfn._xlws.FILTER(PriceList!$Q$4:$Q$2641&amp;" x "&amp;PriceList!$R$4:$R$2641&amp;" x "&amp;PriceList!$S$4:$S$2641,PriceList!$M$4:$M$2641=A825,"")))</f>
        <v>38 x 42 x 2</v>
      </c>
      <c r="G825" t="str" cm="1">
        <f t="array" ref="G825">INDEX(_xlfn._xlws.FILTER(PriceList!$P$4:$P$2641,PriceList!$M$4:$M$2641=A825,""),1)</f>
        <v>O Ring - NBR 70</v>
      </c>
    </row>
    <row r="826" spans="1:7" x14ac:dyDescent="0.45">
      <c r="A826" t="s">
        <v>4820</v>
      </c>
      <c r="B826">
        <f>COUNTIF(PriceList!$M$4:$M$2641,A826)</f>
        <v>1</v>
      </c>
      <c r="C826" t="str">
        <f>IF(B826=1,"1:1","1:Many")</f>
        <v>1:1</v>
      </c>
      <c r="D826" s="42" t="str" cm="1">
        <f t="array" ref="D826">_xlfn.TEXTJOIN(" | ",TRUE,_xlfn._xlws.FILTER(PriceList!$B$4:$B$2641,PriceList!$M$4:$M$2641=A826,""))</f>
        <v>ORV8 038-2</v>
      </c>
      <c r="E826" t="str" cm="1">
        <f t="array" ref="E826">_xlfn.TEXTJOIN(", ",TRUE,_xlfn._xlws.FILTER(ROW(PriceList!$B$4:$B$2641),PriceList!$M$4:$M$2641=A826,""))</f>
        <v>1774</v>
      </c>
      <c r="F826" s="42" t="str" cm="1">
        <f t="array" ref="F826">_xlfn.TEXTJOIN(" | ",TRUE,_xlfn.UNIQUE(_xlfn._xlws.FILTER(PriceList!$Q$4:$Q$2641&amp;" x "&amp;PriceList!$R$4:$R$2641&amp;" x "&amp;PriceList!$S$4:$S$2641,PriceList!$M$4:$M$2641=A826,"")))</f>
        <v>38 x 42 x 2</v>
      </c>
      <c r="G826" t="str" cm="1">
        <f t="array" ref="G826">INDEX(_xlfn._xlws.FILTER(PriceList!$P$4:$P$2641,PriceList!$M$4:$M$2641=A826,""),1)</f>
        <v>O Ring - FPM/FKM/VitonÂ®</v>
      </c>
    </row>
    <row r="827" spans="1:7" x14ac:dyDescent="0.45">
      <c r="A827" t="s">
        <v>4046</v>
      </c>
      <c r="B827">
        <f>COUNTIF(PriceList!$M$4:$M$2641,A827)</f>
        <v>2</v>
      </c>
      <c r="C827" t="str">
        <f>IF(B827=1,"1:1","1:Many")</f>
        <v>1:Many</v>
      </c>
      <c r="D827" s="42" t="str" cm="1">
        <f t="array" ref="D827">_xlfn.TEXTJOIN(" | ",TRUE,_xlfn._xlws.FILTER(PriceList!$B$4:$B$2641,PriceList!$M$4:$M$2641=A827,""))</f>
        <v>OR7N 037.77-2.62 | OR9N 037.77-2.62</v>
      </c>
      <c r="E827" t="str" cm="1">
        <f t="array" ref="E827">_xlfn.TEXTJOIN(", ",TRUE,_xlfn._xlws.FILTER(ROW(PriceList!$B$4:$B$2641),PriceList!$M$4:$M$2641=A827,""))</f>
        <v>649, 1116</v>
      </c>
      <c r="F827" s="42" t="str" cm="1">
        <f t="array" ref="F827">_xlfn.TEXTJOIN(" | ",TRUE,_xlfn.UNIQUE(_xlfn._xlws.FILTER(PriceList!$Q$4:$Q$2641&amp;" x "&amp;PriceList!$R$4:$R$2641&amp;" x "&amp;PriceList!$S$4:$S$2641,PriceList!$M$4:$M$2641=A827,"")))</f>
        <v>38 x 43 x 2.5</v>
      </c>
      <c r="G827" t="str" cm="1">
        <f t="array" ref="G827">INDEX(_xlfn._xlws.FILTER(PriceList!$P$4:$P$2641,PriceList!$M$4:$M$2641=A827,""),1)</f>
        <v>O Ring - NBR 70</v>
      </c>
    </row>
    <row r="828" spans="1:7" x14ac:dyDescent="0.45">
      <c r="A828" t="s">
        <v>4816</v>
      </c>
      <c r="B828">
        <f>COUNTIF(PriceList!$M$4:$M$2641,A828)</f>
        <v>2</v>
      </c>
      <c r="C828" t="str">
        <f>IF(B828=1,"1:1","1:Many")</f>
        <v>1:Many</v>
      </c>
      <c r="D828" s="42" t="str" cm="1">
        <f t="array" ref="D828">_xlfn.TEXTJOIN(" | ",TRUE,_xlfn._xlws.FILTER(PriceList!$B$4:$B$2641,PriceList!$M$4:$M$2641=A828,""))</f>
        <v>ORV8 037.77-2.62 | ORV8 038-2.4</v>
      </c>
      <c r="E828" t="str" cm="1">
        <f t="array" ref="E828">_xlfn.TEXTJOIN(", ",TRUE,_xlfn._xlws.FILTER(ROW(PriceList!$B$4:$B$2641),PriceList!$M$4:$M$2641=A828,""))</f>
        <v>1769, 1775</v>
      </c>
      <c r="F828" s="42" t="str" cm="1">
        <f t="array" ref="F828">_xlfn.TEXTJOIN(" | ",TRUE,_xlfn.UNIQUE(_xlfn._xlws.FILTER(PriceList!$Q$4:$Q$2641&amp;" x "&amp;PriceList!$R$4:$R$2641&amp;" x "&amp;PriceList!$S$4:$S$2641,PriceList!$M$4:$M$2641=A828,"")))</f>
        <v>38 x 43 x 2.5</v>
      </c>
      <c r="G828" t="str" cm="1">
        <f t="array" ref="G828">INDEX(_xlfn._xlws.FILTER(PriceList!$P$4:$P$2641,PriceList!$M$4:$M$2641=A828,""),1)</f>
        <v>O Ring - FPM/FKM/VitonÂ®</v>
      </c>
    </row>
    <row r="829" spans="1:7" ht="28.5" x14ac:dyDescent="0.45">
      <c r="A829" t="s">
        <v>4814</v>
      </c>
      <c r="B829">
        <f>COUNTIF(PriceList!$M$4:$M$2641,A829)</f>
        <v>4</v>
      </c>
      <c r="C829" t="str">
        <f>IF(B829=1,"1:1","1:Many")</f>
        <v>1:Many</v>
      </c>
      <c r="D829" s="42" t="str" cm="1">
        <f t="array" ref="D829">_xlfn.TEXTJOIN(" | ",TRUE,_xlfn._xlws.FILTER(PriceList!$B$4:$B$2641,PriceList!$M$4:$M$2641=A829,""))</f>
        <v>ORV8 037.69-3.53 | ORV8 037.7-3.5 | ORV8 038-3.5 | ORV8 039-2.5</v>
      </c>
      <c r="E829" t="str" cm="1">
        <f t="array" ref="E829">_xlfn.TEXTJOIN(", ",TRUE,_xlfn._xlws.FILTER(ROW(PriceList!$B$4:$B$2641),PriceList!$M$4:$M$2641=A829,""))</f>
        <v>1768, 1770, 1776, 1782</v>
      </c>
      <c r="F829" s="42" t="str" cm="1">
        <f t="array" ref="F829">_xlfn.TEXTJOIN(" | ",TRUE,_xlfn.UNIQUE(_xlfn._xlws.FILTER(PriceList!$Q$4:$Q$2641&amp;" x "&amp;PriceList!$R$4:$R$2641&amp;" x "&amp;PriceList!$S$4:$S$2641,PriceList!$M$4:$M$2641=A829,"")))</f>
        <v>38 x 44 x 3</v>
      </c>
      <c r="G829" t="str" cm="1">
        <f t="array" ref="G829">INDEX(_xlfn._xlws.FILTER(PriceList!$P$4:$P$2641,PriceList!$M$4:$M$2641=A829,""),1)</f>
        <v>O Ring - FPM/FKM/VitonÂ®</v>
      </c>
    </row>
    <row r="830" spans="1:7" x14ac:dyDescent="0.45">
      <c r="A830" t="s">
        <v>4431</v>
      </c>
      <c r="B830">
        <f>COUNTIF(PriceList!$M$4:$M$2641,A830)</f>
        <v>1</v>
      </c>
      <c r="C830" t="str">
        <f>IF(B830=1,"1:1","1:Many")</f>
        <v>1:1</v>
      </c>
      <c r="D830" s="42" t="str" cm="1">
        <f t="array" ref="D830">_xlfn.TEXTJOIN(" | ",TRUE,_xlfn._xlws.FILTER(PriceList!$B$4:$B$2641,PriceList!$M$4:$M$2641=A830,""))</f>
        <v>OR9N 038-4</v>
      </c>
      <c r="E830" t="str" cm="1">
        <f t="array" ref="E830">_xlfn.TEXTJOIN(", ",TRUE,_xlfn._xlws.FILTER(ROW(PriceList!$B$4:$B$2641),PriceList!$M$4:$M$2641=A830,""))</f>
        <v>1122</v>
      </c>
      <c r="F830" s="42" t="str" cm="1">
        <f t="array" ref="F830">_xlfn.TEXTJOIN(" | ",TRUE,_xlfn.UNIQUE(_xlfn._xlws.FILTER(PriceList!$Q$4:$Q$2641&amp;" x "&amp;PriceList!$R$4:$R$2641&amp;" x "&amp;PriceList!$S$4:$S$2641,PriceList!$M$4:$M$2641=A830,"")))</f>
        <v>38 x 46 x 4</v>
      </c>
      <c r="G830" t="str" cm="1">
        <f t="array" ref="G830">INDEX(_xlfn._xlws.FILTER(PriceList!$P$4:$P$2641,PriceList!$M$4:$M$2641=A830,""),1)</f>
        <v>O Ring - NBR 70</v>
      </c>
    </row>
    <row r="831" spans="1:7" x14ac:dyDescent="0.45">
      <c r="A831" t="s">
        <v>4819</v>
      </c>
      <c r="B831">
        <f>COUNTIF(PriceList!$M$4:$M$2641,A831)</f>
        <v>2</v>
      </c>
      <c r="C831" t="str">
        <f>IF(B831=1,"1:1","1:Many")</f>
        <v>1:Many</v>
      </c>
      <c r="D831" s="42" t="str" cm="1">
        <f t="array" ref="D831">_xlfn.TEXTJOIN(" | ",TRUE,_xlfn._xlws.FILTER(PriceList!$B$4:$B$2641,PriceList!$M$4:$M$2641=A831,""))</f>
        <v>ORV8 038.7-3.5 | ORV8 038-4</v>
      </c>
      <c r="E831" t="str" cm="1">
        <f t="array" ref="E831">_xlfn.TEXTJOIN(", ",TRUE,_xlfn._xlws.FILTER(ROW(PriceList!$B$4:$B$2641),PriceList!$M$4:$M$2641=A831,""))</f>
        <v>1773, 1777</v>
      </c>
      <c r="F831" s="42" t="str" cm="1">
        <f t="array" ref="F831">_xlfn.TEXTJOIN(" | ",TRUE,_xlfn.UNIQUE(_xlfn._xlws.FILTER(PriceList!$Q$4:$Q$2641&amp;" x "&amp;PriceList!$R$4:$R$2641&amp;" x "&amp;PriceList!$S$4:$S$2641,PriceList!$M$4:$M$2641=A831,"")))</f>
        <v>38 x 46 x 4</v>
      </c>
      <c r="G831" t="str" cm="1">
        <f t="array" ref="G831">INDEX(_xlfn._xlws.FILTER(PriceList!$P$4:$P$2641,PriceList!$M$4:$M$2641=A831,""),1)</f>
        <v>O Ring - FPM/FKM/VitonÂ®</v>
      </c>
    </row>
    <row r="832" spans="1:7" x14ac:dyDescent="0.45">
      <c r="A832" t="s">
        <v>4048</v>
      </c>
      <c r="B832">
        <f>COUNTIF(PriceList!$M$4:$M$2641,A832)</f>
        <v>2</v>
      </c>
      <c r="C832" t="str">
        <f>IF(B832=1,"1:1","1:Many")</f>
        <v>1:Many</v>
      </c>
      <c r="D832" s="42" t="str" cm="1">
        <f t="array" ref="D832">_xlfn.TEXTJOIN(" | ",TRUE,_xlfn._xlws.FILTER(PriceList!$B$4:$B$2641,PriceList!$M$4:$M$2641=A832,""))</f>
        <v>OR7N 038.7-3.5 | OR9N 038.7-3.5</v>
      </c>
      <c r="E832" t="str" cm="1">
        <f t="array" ref="E832">_xlfn.TEXTJOIN(", ",TRUE,_xlfn._xlws.FILTER(ROW(PriceList!$B$4:$B$2641),PriceList!$M$4:$M$2641=A832,""))</f>
        <v>651, 1120</v>
      </c>
      <c r="F832" s="42" t="str" cm="1">
        <f t="array" ref="F832">_xlfn.TEXTJOIN(" | ",TRUE,_xlfn.UNIQUE(_xlfn._xlws.FILTER(PriceList!$Q$4:$Q$2641&amp;" x "&amp;PriceList!$R$4:$R$2641&amp;" x "&amp;PriceList!$S$4:$S$2641,PriceList!$M$4:$M$2641=A832,"")))</f>
        <v>38.7 x 45.7 x 3.5</v>
      </c>
      <c r="G832" t="str" cm="1">
        <f t="array" ref="G832">INDEX(_xlfn._xlws.FILTER(PriceList!$P$4:$P$2641,PriceList!$M$4:$M$2641=A832,""),1)</f>
        <v>O Ring - NBR 90</v>
      </c>
    </row>
    <row r="833" spans="1:7" x14ac:dyDescent="0.45">
      <c r="A833" t="s">
        <v>4822</v>
      </c>
      <c r="B833">
        <f>COUNTIF(PriceList!$M$4:$M$2641,A833)</f>
        <v>1</v>
      </c>
      <c r="C833" t="str">
        <f>IF(B833=1,"1:1","1:Many")</f>
        <v>1:1</v>
      </c>
      <c r="D833" s="42" t="str" cm="1">
        <f t="array" ref="D833">_xlfn.TEXTJOIN(" | ",TRUE,_xlfn._xlws.FILTER(PriceList!$B$4:$B$2641,PriceList!$M$4:$M$2641=A833,""))</f>
        <v>ORV8 039.45-1.78</v>
      </c>
      <c r="E833" t="str" cm="1">
        <f t="array" ref="E833">_xlfn.TEXTJOIN(", ",TRUE,_xlfn._xlws.FILTER(ROW(PriceList!$B$4:$B$2641),PriceList!$M$4:$M$2641=A833,""))</f>
        <v>1779</v>
      </c>
      <c r="F833" s="42" t="str" cm="1">
        <f t="array" ref="F833">_xlfn.TEXTJOIN(" | ",TRUE,_xlfn.UNIQUE(_xlfn._xlws.FILTER(PriceList!$Q$4:$Q$2641&amp;" x "&amp;PriceList!$R$4:$R$2641&amp;" x "&amp;PriceList!$S$4:$S$2641,PriceList!$M$4:$M$2641=A833,"")))</f>
        <v>39 x 43 x 2</v>
      </c>
      <c r="G833" t="str" cm="1">
        <f t="array" ref="G833">INDEX(_xlfn._xlws.FILTER(PriceList!$P$4:$P$2641,PriceList!$M$4:$M$2641=A833,""),1)</f>
        <v>O Ring - FPM/FKM/VitonÂ®</v>
      </c>
    </row>
    <row r="834" spans="1:7" x14ac:dyDescent="0.45">
      <c r="A834" t="s">
        <v>4052</v>
      </c>
      <c r="B834">
        <f>COUNTIF(PriceList!$M$4:$M$2641,A834)</f>
        <v>2</v>
      </c>
      <c r="C834" t="str">
        <f>IF(B834=1,"1:1","1:Many")</f>
        <v>1:Many</v>
      </c>
      <c r="D834" s="42" t="str" cm="1">
        <f t="array" ref="D834">_xlfn.TEXTJOIN(" | ",TRUE,_xlfn._xlws.FILTER(PriceList!$B$4:$B$2641,PriceList!$M$4:$M$2641=A834,""))</f>
        <v>OR7N 039.4-3.1 | OR9N 039.4-3.1</v>
      </c>
      <c r="E834" t="str" cm="1">
        <f t="array" ref="E834">_xlfn.TEXTJOIN(", ",TRUE,_xlfn._xlws.FILTER(ROW(PriceList!$B$4:$B$2641),PriceList!$M$4:$M$2641=A834,""))</f>
        <v>654, 1124</v>
      </c>
      <c r="F834" s="42" t="str" cm="1">
        <f t="array" ref="F834">_xlfn.TEXTJOIN(" | ",TRUE,_xlfn.UNIQUE(_xlfn._xlws.FILTER(PriceList!$Q$4:$Q$2641&amp;" x "&amp;PriceList!$R$4:$R$2641&amp;" x "&amp;PriceList!$S$4:$S$2641,PriceList!$M$4:$M$2641=A834,"")))</f>
        <v>39.4 x 45.6 x 3.1</v>
      </c>
      <c r="G834" t="str" cm="1">
        <f t="array" ref="G834">INDEX(_xlfn._xlws.FILTER(PriceList!$P$4:$P$2641,PriceList!$M$4:$M$2641=A834,""),1)</f>
        <v>O Ring - NBR 70</v>
      </c>
    </row>
    <row r="835" spans="1:7" x14ac:dyDescent="0.45">
      <c r="A835" t="s">
        <v>4824</v>
      </c>
      <c r="B835">
        <f>COUNTIF(PriceList!$M$4:$M$2641,A835)</f>
        <v>1</v>
      </c>
      <c r="C835" t="str">
        <f>IF(B835=1,"1:1","1:Many")</f>
        <v>1:1</v>
      </c>
      <c r="D835" s="42" t="str" cm="1">
        <f t="array" ref="D835">_xlfn.TEXTJOIN(" | ",TRUE,_xlfn._xlws.FILTER(PriceList!$B$4:$B$2641,PriceList!$M$4:$M$2641=A835,""))</f>
        <v>ORV8 039.4-3.1</v>
      </c>
      <c r="E835" t="str" cm="1">
        <f t="array" ref="E835">_xlfn.TEXTJOIN(", ",TRUE,_xlfn._xlws.FILTER(ROW(PriceList!$B$4:$B$2641),PriceList!$M$4:$M$2641=A835,""))</f>
        <v>1780</v>
      </c>
      <c r="F835" s="42" t="str" cm="1">
        <f t="array" ref="F835">_xlfn.TEXTJOIN(" | ",TRUE,_xlfn.UNIQUE(_xlfn._xlws.FILTER(PriceList!$Q$4:$Q$2641&amp;" x "&amp;PriceList!$R$4:$R$2641&amp;" x "&amp;PriceList!$S$4:$S$2641,PriceList!$M$4:$M$2641=A835,"")))</f>
        <v>39.5 x 45.5 x 3</v>
      </c>
      <c r="G835" t="str" cm="1">
        <f t="array" ref="G835">INDEX(_xlfn._xlws.FILTER(PriceList!$P$4:$P$2641,PriceList!$M$4:$M$2641=A835,""),1)</f>
        <v>O Ring - FPM/FKM/VitonÂ®</v>
      </c>
    </row>
    <row r="836" spans="1:7" x14ac:dyDescent="0.45">
      <c r="A836" t="s">
        <v>4050</v>
      </c>
      <c r="B836">
        <f>COUNTIF(PriceList!$M$4:$M$2641,A836)</f>
        <v>2</v>
      </c>
      <c r="C836" t="str">
        <f>IF(B836=1,"1:1","1:Many")</f>
        <v>1:Many</v>
      </c>
      <c r="D836" s="42" t="str" cm="1">
        <f t="array" ref="D836">_xlfn.TEXTJOIN(" | ",TRUE,_xlfn._xlws.FILTER(PriceList!$B$4:$B$2641,PriceList!$M$4:$M$2641=A836,""))</f>
        <v>OR7N 039.34-2.62 | OR9N 039.34-2.62</v>
      </c>
      <c r="E836" t="str" cm="1">
        <f t="array" ref="E836">_xlfn.TEXTJOIN(", ",TRUE,_xlfn._xlws.FILTER(ROW(PriceList!$B$4:$B$2641),PriceList!$M$4:$M$2641=A836,""))</f>
        <v>653, 1123</v>
      </c>
      <c r="F836" s="42" t="str" cm="1">
        <f t="array" ref="F836">_xlfn.TEXTJOIN(" | ",TRUE,_xlfn.UNIQUE(_xlfn._xlws.FILTER(PriceList!$Q$4:$Q$2641&amp;" x "&amp;PriceList!$R$4:$R$2641&amp;" x "&amp;PriceList!$S$4:$S$2641,PriceList!$M$4:$M$2641=A836,"")))</f>
        <v>39.6 x 44.4 x 2.4</v>
      </c>
      <c r="G836" t="str" cm="1">
        <f t="array" ref="G836">INDEX(_xlfn._xlws.FILTER(PriceList!$P$4:$P$2641,PriceList!$M$4:$M$2641=A836,""),1)</f>
        <v>O Ring - NBR 70</v>
      </c>
    </row>
    <row r="837" spans="1:7" x14ac:dyDescent="0.45">
      <c r="A837" t="s">
        <v>4053</v>
      </c>
      <c r="B837">
        <f>COUNTIF(PriceList!$M$4:$M$2641,A837)</f>
        <v>2</v>
      </c>
      <c r="C837" t="str">
        <f>IF(B837=1,"1:1","1:Many")</f>
        <v>1:Many</v>
      </c>
      <c r="D837" s="42" t="str" cm="1">
        <f t="array" ref="D837">_xlfn.TEXTJOIN(" | ",TRUE,_xlfn._xlws.FILTER(PriceList!$B$4:$B$2641,PriceList!$M$4:$M$2641=A837,""))</f>
        <v>OR7N 039.7-3.5 | OR9N 039.7-3.5</v>
      </c>
      <c r="E837" t="str" cm="1">
        <f t="array" ref="E837">_xlfn.TEXTJOIN(", ",TRUE,_xlfn._xlws.FILTER(ROW(PriceList!$B$4:$B$2641),PriceList!$M$4:$M$2641=A837,""))</f>
        <v>655, 1125</v>
      </c>
      <c r="F837" s="42" t="str" cm="1">
        <f t="array" ref="F837">_xlfn.TEXTJOIN(" | ",TRUE,_xlfn.UNIQUE(_xlfn._xlws.FILTER(PriceList!$Q$4:$Q$2641&amp;" x "&amp;PriceList!$R$4:$R$2641&amp;" x "&amp;PriceList!$S$4:$S$2641,PriceList!$M$4:$M$2641=A837,"")))</f>
        <v>39.7 x 46.7 x 3.5</v>
      </c>
      <c r="G837" t="str" cm="1">
        <f t="array" ref="G837">INDEX(_xlfn._xlws.FILTER(PriceList!$P$4:$P$2641,PriceList!$M$4:$M$2641=A837,""),1)</f>
        <v>O Ring - NBR 70</v>
      </c>
    </row>
    <row r="838" spans="1:7" x14ac:dyDescent="0.45">
      <c r="A838" t="s">
        <v>4432</v>
      </c>
      <c r="B838">
        <f>COUNTIF(PriceList!$M$4:$M$2641,A838)</f>
        <v>1</v>
      </c>
      <c r="C838" t="str">
        <f>IF(B838=1,"1:1","1:Many")</f>
        <v>1:1</v>
      </c>
      <c r="D838" s="42" t="str" cm="1">
        <f t="array" ref="D838">_xlfn.TEXTJOIN(" | ",TRUE,_xlfn._xlws.FILTER(PriceList!$B$4:$B$2641,PriceList!$M$4:$M$2641=A838,""))</f>
        <v>OR9N 040-2</v>
      </c>
      <c r="E838" t="str" cm="1">
        <f t="array" ref="E838">_xlfn.TEXTJOIN(", ",TRUE,_xlfn._xlws.FILTER(ROW(PriceList!$B$4:$B$2641),PriceList!$M$4:$M$2641=A838,""))</f>
        <v>1129</v>
      </c>
      <c r="F838" s="42" t="str" cm="1">
        <f t="array" ref="F838">_xlfn.TEXTJOIN(" | ",TRUE,_xlfn.UNIQUE(_xlfn._xlws.FILTER(PriceList!$Q$4:$Q$2641&amp;" x "&amp;PriceList!$R$4:$R$2641&amp;" x "&amp;PriceList!$S$4:$S$2641,PriceList!$M$4:$M$2641=A838,"")))</f>
        <v>40 x 44 x 2</v>
      </c>
      <c r="G838" t="str" cm="1">
        <f t="array" ref="G838">INDEX(_xlfn._xlws.FILTER(PriceList!$P$4:$P$2641,PriceList!$M$4:$M$2641=A838,""),1)</f>
        <v>O Ring - NBR 70</v>
      </c>
    </row>
    <row r="839" spans="1:7" x14ac:dyDescent="0.45">
      <c r="A839" t="s">
        <v>4058</v>
      </c>
      <c r="B839">
        <f>COUNTIF(PriceList!$M$4:$M$2641,A839)</f>
        <v>2</v>
      </c>
      <c r="C839" t="str">
        <f>IF(B839=1,"1:1","1:Many")</f>
        <v>1:Many</v>
      </c>
      <c r="D839" s="42" t="str" cm="1">
        <f t="array" ref="D839">_xlfn.TEXTJOIN(" | ",TRUE,_xlfn._xlws.FILTER(PriceList!$B$4:$B$2641,PriceList!$M$4:$M$2641=A839,""))</f>
        <v>OR7N 040-2.5 | OR9N 040-2.5</v>
      </c>
      <c r="E839" t="str" cm="1">
        <f t="array" ref="E839">_xlfn.TEXTJOIN(", ",TRUE,_xlfn._xlws.FILTER(ROW(PriceList!$B$4:$B$2641),PriceList!$M$4:$M$2641=A839,""))</f>
        <v>659, 1130</v>
      </c>
      <c r="F839" s="42" t="str" cm="1">
        <f t="array" ref="F839">_xlfn.TEXTJOIN(" | ",TRUE,_xlfn.UNIQUE(_xlfn._xlws.FILTER(PriceList!$Q$4:$Q$2641&amp;" x "&amp;PriceList!$R$4:$R$2641&amp;" x "&amp;PriceList!$S$4:$S$2641,PriceList!$M$4:$M$2641=A839,"")))</f>
        <v>40 x 45 x 2.5</v>
      </c>
      <c r="G839" t="str" cm="1">
        <f t="array" ref="G839">INDEX(_xlfn._xlws.FILTER(PriceList!$P$4:$P$2641,PriceList!$M$4:$M$2641=A839,""),1)</f>
        <v>O Ring - EPDM</v>
      </c>
    </row>
    <row r="840" spans="1:7" x14ac:dyDescent="0.45">
      <c r="A840" t="s">
        <v>4831</v>
      </c>
      <c r="B840">
        <f>COUNTIF(PriceList!$M$4:$M$2641,A840)</f>
        <v>1</v>
      </c>
      <c r="C840" t="str">
        <f>IF(B840=1,"1:1","1:Many")</f>
        <v>1:1</v>
      </c>
      <c r="D840" s="42" t="str" cm="1">
        <f t="array" ref="D840">_xlfn.TEXTJOIN(" | ",TRUE,_xlfn._xlws.FILTER(PriceList!$B$4:$B$2641,PriceList!$M$4:$M$2641=A840,""))</f>
        <v>ORV8 040-2.5</v>
      </c>
      <c r="E840" t="str" cm="1">
        <f t="array" ref="E840">_xlfn.TEXTJOIN(", ",TRUE,_xlfn._xlws.FILTER(ROW(PriceList!$B$4:$B$2641),PriceList!$M$4:$M$2641=A840,""))</f>
        <v>1787</v>
      </c>
      <c r="F840" s="42" t="str" cm="1">
        <f t="array" ref="F840">_xlfn.TEXTJOIN(" | ",TRUE,_xlfn.UNIQUE(_xlfn._xlws.FILTER(PriceList!$Q$4:$Q$2641&amp;" x "&amp;PriceList!$R$4:$R$2641&amp;" x "&amp;PriceList!$S$4:$S$2641,PriceList!$M$4:$M$2641=A840,"")))</f>
        <v>40 x 45 x 2.5</v>
      </c>
      <c r="G840" t="str" cm="1">
        <f t="array" ref="G840">INDEX(_xlfn._xlws.FILTER(PriceList!$P$4:$P$2641,PriceList!$M$4:$M$2641=A840,""),1)</f>
        <v>O Ring - FPM/FKM/VitonÂ®</v>
      </c>
    </row>
    <row r="841" spans="1:7" x14ac:dyDescent="0.45">
      <c r="A841" t="s">
        <v>4059</v>
      </c>
      <c r="B841">
        <f>COUNTIF(PriceList!$M$4:$M$2641,A841)</f>
        <v>2</v>
      </c>
      <c r="C841" t="str">
        <f>IF(B841=1,"1:1","1:Many")</f>
        <v>1:Many</v>
      </c>
      <c r="D841" s="42" t="str" cm="1">
        <f t="array" ref="D841">_xlfn.TEXTJOIN(" | ",TRUE,_xlfn._xlws.FILTER(PriceList!$B$4:$B$2641,PriceList!$M$4:$M$2641=A841,""))</f>
        <v>OR7N 040-3 | OR9N 040-3</v>
      </c>
      <c r="E841" t="str" cm="1">
        <f t="array" ref="E841">_xlfn.TEXTJOIN(", ",TRUE,_xlfn._xlws.FILTER(ROW(PriceList!$B$4:$B$2641),PriceList!$M$4:$M$2641=A841,""))</f>
        <v>660, 1131</v>
      </c>
      <c r="F841" s="42" t="str" cm="1">
        <f t="array" ref="F841">_xlfn.TEXTJOIN(" | ",TRUE,_xlfn.UNIQUE(_xlfn._xlws.FILTER(PriceList!$Q$4:$Q$2641&amp;" x "&amp;PriceList!$R$4:$R$2641&amp;" x "&amp;PriceList!$S$4:$S$2641,PriceList!$M$4:$M$2641=A841,"")))</f>
        <v>40 x 46 x 3</v>
      </c>
      <c r="G841" t="str" cm="1">
        <f t="array" ref="G841">INDEX(_xlfn._xlws.FILTER(PriceList!$P$4:$P$2641,PriceList!$M$4:$M$2641=A841,""),1)</f>
        <v>O Ring - NBR 70</v>
      </c>
    </row>
    <row r="842" spans="1:7" x14ac:dyDescent="0.45">
      <c r="A842" t="s">
        <v>4832</v>
      </c>
      <c r="B842">
        <f>COUNTIF(PriceList!$M$4:$M$2641,A842)</f>
        <v>1</v>
      </c>
      <c r="C842" t="str">
        <f>IF(B842=1,"1:1","1:Many")</f>
        <v>1:1</v>
      </c>
      <c r="D842" s="42" t="str" cm="1">
        <f t="array" ref="D842">_xlfn.TEXTJOIN(" | ",TRUE,_xlfn._xlws.FILTER(PriceList!$B$4:$B$2641,PriceList!$M$4:$M$2641=A842,""))</f>
        <v>ORV8 040-3</v>
      </c>
      <c r="E842" t="str" cm="1">
        <f t="array" ref="E842">_xlfn.TEXTJOIN(", ",TRUE,_xlfn._xlws.FILTER(ROW(PriceList!$B$4:$B$2641),PriceList!$M$4:$M$2641=A842,""))</f>
        <v>1788</v>
      </c>
      <c r="F842" s="42" t="str" cm="1">
        <f t="array" ref="F842">_xlfn.TEXTJOIN(" | ",TRUE,_xlfn.UNIQUE(_xlfn._xlws.FILTER(PriceList!$Q$4:$Q$2641&amp;" x "&amp;PriceList!$R$4:$R$2641&amp;" x "&amp;PriceList!$S$4:$S$2641,PriceList!$M$4:$M$2641=A842,"")))</f>
        <v>40 x 46 x 3</v>
      </c>
      <c r="G842" t="str" cm="1">
        <f t="array" ref="G842">INDEX(_xlfn._xlws.FILTER(PriceList!$P$4:$P$2641,PriceList!$M$4:$M$2641=A842,""),1)</f>
        <v>O Ring - FPM/FKM/VitonÂ®</v>
      </c>
    </row>
    <row r="843" spans="1:7" x14ac:dyDescent="0.45">
      <c r="A843" t="s">
        <v>4433</v>
      </c>
      <c r="B843">
        <f>COUNTIF(PriceList!$M$4:$M$2641,A843)</f>
        <v>1</v>
      </c>
      <c r="C843" t="str">
        <f>IF(B843=1,"1:1","1:Many")</f>
        <v>1:1</v>
      </c>
      <c r="D843" s="42" t="str" cm="1">
        <f t="array" ref="D843">_xlfn.TEXTJOIN(" | ",TRUE,_xlfn._xlws.FILTER(PriceList!$B$4:$B$2641,PriceList!$M$4:$M$2641=A843,""))</f>
        <v>OR9N 040-4</v>
      </c>
      <c r="E843" t="str" cm="1">
        <f t="array" ref="E843">_xlfn.TEXTJOIN(", ",TRUE,_xlfn._xlws.FILTER(ROW(PriceList!$B$4:$B$2641),PriceList!$M$4:$M$2641=A843,""))</f>
        <v>1132</v>
      </c>
      <c r="F843" s="42" t="str" cm="1">
        <f t="array" ref="F843">_xlfn.TEXTJOIN(" | ",TRUE,_xlfn.UNIQUE(_xlfn._xlws.FILTER(PriceList!$Q$4:$Q$2641&amp;" x "&amp;PriceList!$R$4:$R$2641&amp;" x "&amp;PriceList!$S$4:$S$2641,PriceList!$M$4:$M$2641=A843,"")))</f>
        <v>40 x 48 x 4</v>
      </c>
      <c r="G843" t="str" cm="1">
        <f t="array" ref="G843">INDEX(_xlfn._xlws.FILTER(PriceList!$P$4:$P$2641,PriceList!$M$4:$M$2641=A843,""),1)</f>
        <v>O Ring - NBR 70</v>
      </c>
    </row>
    <row r="844" spans="1:7" x14ac:dyDescent="0.45">
      <c r="A844" t="s">
        <v>4060</v>
      </c>
      <c r="B844">
        <f>COUNTIF(PriceList!$M$4:$M$2641,A844)</f>
        <v>2</v>
      </c>
      <c r="C844" t="str">
        <f>IF(B844=1,"1:1","1:Many")</f>
        <v>1:Many</v>
      </c>
      <c r="D844" s="42" t="str" cm="1">
        <f t="array" ref="D844">_xlfn.TEXTJOIN(" | ",TRUE,_xlfn._xlws.FILTER(PriceList!$B$4:$B$2641,PriceList!$M$4:$M$2641=A844,""))</f>
        <v>OR7N 040-5 | OR9N 040-5</v>
      </c>
      <c r="E844" t="str" cm="1">
        <f t="array" ref="E844">_xlfn.TEXTJOIN(", ",TRUE,_xlfn._xlws.FILTER(ROW(PriceList!$B$4:$B$2641),PriceList!$M$4:$M$2641=A844,""))</f>
        <v>661, 1133</v>
      </c>
      <c r="F844" s="42" t="str" cm="1">
        <f t="array" ref="F844">_xlfn.TEXTJOIN(" | ",TRUE,_xlfn.UNIQUE(_xlfn._xlws.FILTER(PriceList!$Q$4:$Q$2641&amp;" x "&amp;PriceList!$R$4:$R$2641&amp;" x "&amp;PriceList!$S$4:$S$2641,PriceList!$M$4:$M$2641=A844,"")))</f>
        <v>40 x 50 x 5</v>
      </c>
      <c r="G844" t="str" cm="1">
        <f t="array" ref="G844">INDEX(_xlfn._xlws.FILTER(PriceList!$P$4:$P$2641,PriceList!$M$4:$M$2641=A844,""),1)</f>
        <v>O Ring - NBR 70</v>
      </c>
    </row>
    <row r="845" spans="1:7" x14ac:dyDescent="0.45">
      <c r="A845" t="s">
        <v>4061</v>
      </c>
      <c r="B845">
        <f>COUNTIF(PriceList!$M$4:$M$2641,A845)</f>
        <v>2</v>
      </c>
      <c r="C845" t="str">
        <f>IF(B845=1,"1:1","1:Many")</f>
        <v>1:Many</v>
      </c>
      <c r="D845" s="42" t="str" cm="1">
        <f t="array" ref="D845">_xlfn.TEXTJOIN(" | ",TRUE,_xlfn._xlws.FILTER(PriceList!$B$4:$B$2641,PriceList!$M$4:$M$2641=A845,""))</f>
        <v>OR7N 041-1.78 | OR9N 041-1.78</v>
      </c>
      <c r="E845" t="str" cm="1">
        <f t="array" ref="E845">_xlfn.TEXTJOIN(", ",TRUE,_xlfn._xlws.FILTER(ROW(PriceList!$B$4:$B$2641),PriceList!$M$4:$M$2641=A845,""))</f>
        <v>662, 1136</v>
      </c>
      <c r="F845" s="42" t="str" cm="1">
        <f t="array" ref="F845">_xlfn.TEXTJOIN(" | ",TRUE,_xlfn.UNIQUE(_xlfn._xlws.FILTER(PriceList!$Q$4:$Q$2641&amp;" x "&amp;PriceList!$R$4:$R$2641&amp;" x "&amp;PriceList!$S$4:$S$2641,PriceList!$M$4:$M$2641=A845,"")))</f>
        <v>41 x 45 x 2</v>
      </c>
      <c r="G845" t="str" cm="1">
        <f t="array" ref="G845">INDEX(_xlfn._xlws.FILTER(PriceList!$P$4:$P$2641,PriceList!$M$4:$M$2641=A845,""),1)</f>
        <v>O Ring - NBR 70</v>
      </c>
    </row>
    <row r="846" spans="1:7" x14ac:dyDescent="0.45">
      <c r="A846" t="s">
        <v>4836</v>
      </c>
      <c r="B846">
        <f>COUNTIF(PriceList!$M$4:$M$2641,A846)</f>
        <v>1</v>
      </c>
      <c r="C846" t="str">
        <f>IF(B846=1,"1:1","1:Many")</f>
        <v>1:1</v>
      </c>
      <c r="D846" s="42" t="str" cm="1">
        <f t="array" ref="D846">_xlfn.TEXTJOIN(" | ",TRUE,_xlfn._xlws.FILTER(PriceList!$B$4:$B$2641,PriceList!$M$4:$M$2641=A846,""))</f>
        <v>ORV8 041-1.78</v>
      </c>
      <c r="E846" t="str" cm="1">
        <f t="array" ref="E846">_xlfn.TEXTJOIN(", ",TRUE,_xlfn._xlws.FILTER(ROW(PriceList!$B$4:$B$2641),PriceList!$M$4:$M$2641=A846,""))</f>
        <v>1793</v>
      </c>
      <c r="F846" s="42" t="str" cm="1">
        <f t="array" ref="F846">_xlfn.TEXTJOIN(" | ",TRUE,_xlfn.UNIQUE(_xlfn._xlws.FILTER(PriceList!$Q$4:$Q$2641&amp;" x "&amp;PriceList!$R$4:$R$2641&amp;" x "&amp;PriceList!$S$4:$S$2641,PriceList!$M$4:$M$2641=A846,"")))</f>
        <v>41 x 45 x 2</v>
      </c>
      <c r="G846" t="str" cm="1">
        <f t="array" ref="G846">INDEX(_xlfn._xlws.FILTER(PriceList!$P$4:$P$2641,PriceList!$M$4:$M$2641=A846,""),1)</f>
        <v>O Ring - FPM/FKM/VitonÂ®</v>
      </c>
    </row>
    <row r="847" spans="1:7" x14ac:dyDescent="0.45">
      <c r="A847" t="s">
        <v>4057</v>
      </c>
      <c r="B847">
        <f>COUNTIF(PriceList!$M$4:$M$2641,A847)</f>
        <v>2</v>
      </c>
      <c r="C847" t="str">
        <f>IF(B847=1,"1:1","1:Many")</f>
        <v>1:Many</v>
      </c>
      <c r="D847" s="42" t="str" cm="1">
        <f t="array" ref="D847">_xlfn.TEXTJOIN(" | ",TRUE,_xlfn._xlws.FILTER(PriceList!$B$4:$B$2641,PriceList!$M$4:$M$2641=A847,""))</f>
        <v>OR7N 040.94-2.62 | OR9N 040.94-2.62</v>
      </c>
      <c r="E847" t="str" cm="1">
        <f t="array" ref="E847">_xlfn.TEXTJOIN(", ",TRUE,_xlfn._xlws.FILTER(ROW(PriceList!$B$4:$B$2641),PriceList!$M$4:$M$2641=A847,""))</f>
        <v>658, 1128</v>
      </c>
      <c r="F847" s="42" t="str" cm="1">
        <f t="array" ref="F847">_xlfn.TEXTJOIN(" | ",TRUE,_xlfn.UNIQUE(_xlfn._xlws.FILTER(PriceList!$Q$4:$Q$2641&amp;" x "&amp;PriceList!$R$4:$R$2641&amp;" x "&amp;PriceList!$S$4:$S$2641,PriceList!$M$4:$M$2641=A847,"")))</f>
        <v>41 x 46 x 2.5</v>
      </c>
      <c r="G847" t="str" cm="1">
        <f t="array" ref="G847">INDEX(_xlfn._xlws.FILTER(PriceList!$P$4:$P$2641,PriceList!$M$4:$M$2641=A847,""),1)</f>
        <v>O Ring - NBR 70</v>
      </c>
    </row>
    <row r="848" spans="1:7" x14ac:dyDescent="0.45">
      <c r="A848" t="s">
        <v>4434</v>
      </c>
      <c r="B848">
        <f>COUNTIF(PriceList!$M$4:$M$2641,A848)</f>
        <v>1</v>
      </c>
      <c r="C848" t="str">
        <f>IF(B848=1,"1:1","1:Many")</f>
        <v>1:1</v>
      </c>
      <c r="D848" s="42" t="str" cm="1">
        <f t="array" ref="D848">_xlfn.TEXTJOIN(" | ",TRUE,_xlfn._xlws.FILTER(PriceList!$B$4:$B$2641,PriceList!$M$4:$M$2641=A848,""))</f>
        <v>OR9N 041.2-3</v>
      </c>
      <c r="E848" t="str" cm="1">
        <f t="array" ref="E848">_xlfn.TEXTJOIN(", ",TRUE,_xlfn._xlws.FILTER(ROW(PriceList!$B$4:$B$2641),PriceList!$M$4:$M$2641=A848,""))</f>
        <v>1134</v>
      </c>
      <c r="F848" s="42" t="str" cm="1">
        <f t="array" ref="F848">_xlfn.TEXTJOIN(" | ",TRUE,_xlfn.UNIQUE(_xlfn._xlws.FILTER(PriceList!$Q$4:$Q$2641&amp;" x "&amp;PriceList!$R$4:$R$2641&amp;" x "&amp;PriceList!$S$4:$S$2641,PriceList!$M$4:$M$2641=A848,"")))</f>
        <v>41 x 47 x 3</v>
      </c>
      <c r="G848" t="str" cm="1">
        <f t="array" ref="G848">INDEX(_xlfn._xlws.FILTER(PriceList!$P$4:$P$2641,PriceList!$M$4:$M$2641=A848,""),1)</f>
        <v>O Ring - NBR 70</v>
      </c>
    </row>
    <row r="849" spans="1:7" x14ac:dyDescent="0.45">
      <c r="A849" t="s">
        <v>4834</v>
      </c>
      <c r="B849">
        <f>COUNTIF(PriceList!$M$4:$M$2641,A849)</f>
        <v>1</v>
      </c>
      <c r="C849" t="str">
        <f>IF(B849=1,"1:1","1:Many")</f>
        <v>1:1</v>
      </c>
      <c r="D849" s="42" t="str" cm="1">
        <f t="array" ref="D849">_xlfn.TEXTJOIN(" | ",TRUE,_xlfn._xlws.FILTER(PriceList!$B$4:$B$2641,PriceList!$M$4:$M$2641=A849,""))</f>
        <v>ORV8 041.2-3</v>
      </c>
      <c r="E849" t="str" cm="1">
        <f t="array" ref="E849">_xlfn.TEXTJOIN(", ",TRUE,_xlfn._xlws.FILTER(ROW(PriceList!$B$4:$B$2641),PriceList!$M$4:$M$2641=A849,""))</f>
        <v>1790</v>
      </c>
      <c r="F849" s="42" t="str" cm="1">
        <f t="array" ref="F849">_xlfn.TEXTJOIN(" | ",TRUE,_xlfn.UNIQUE(_xlfn._xlws.FILTER(PriceList!$Q$4:$Q$2641&amp;" x "&amp;PriceList!$R$4:$R$2641&amp;" x "&amp;PriceList!$S$4:$S$2641,PriceList!$M$4:$M$2641=A849,"")))</f>
        <v>41 x 47 x 3</v>
      </c>
      <c r="G849" t="str" cm="1">
        <f t="array" ref="G849">INDEX(_xlfn._xlws.FILTER(PriceList!$P$4:$P$2641,PriceList!$M$4:$M$2641=A849,""),1)</f>
        <v>O Ring - FPM/FKM/VitonÂ®</v>
      </c>
    </row>
    <row r="850" spans="1:7" x14ac:dyDescent="0.45">
      <c r="A850" t="s">
        <v>4055</v>
      </c>
      <c r="B850">
        <f>COUNTIF(PriceList!$M$4:$M$2641,A850)</f>
        <v>2</v>
      </c>
      <c r="C850" t="str">
        <f>IF(B850=1,"1:1","1:Many")</f>
        <v>1:Many</v>
      </c>
      <c r="D850" s="42" t="str" cm="1">
        <f t="array" ref="D850">_xlfn.TEXTJOIN(" | ",TRUE,_xlfn._xlws.FILTER(PriceList!$B$4:$B$2641,PriceList!$M$4:$M$2641=A850,""))</f>
        <v>OR7N 040.87-3.53 | OR9N 040.87-3.53</v>
      </c>
      <c r="E850" t="str" cm="1">
        <f t="array" ref="E850">_xlfn.TEXTJOIN(", ",TRUE,_xlfn._xlws.FILTER(ROW(PriceList!$B$4:$B$2641),PriceList!$M$4:$M$2641=A850,""))</f>
        <v>657, 1127</v>
      </c>
      <c r="F850" s="42" t="str" cm="1">
        <f t="array" ref="F850">_xlfn.TEXTJOIN(" | ",TRUE,_xlfn.UNIQUE(_xlfn._xlws.FILTER(PriceList!$Q$4:$Q$2641&amp;" x "&amp;PriceList!$R$4:$R$2641&amp;" x "&amp;PriceList!$S$4:$S$2641,PriceList!$M$4:$M$2641=A850,"")))</f>
        <v>41 x 48 x 3.5</v>
      </c>
      <c r="G850" t="str" cm="1">
        <f t="array" ref="G850">INDEX(_xlfn._xlws.FILTER(PriceList!$P$4:$P$2641,PriceList!$M$4:$M$2641=A850,""),1)</f>
        <v>O Ring - NBR 70</v>
      </c>
    </row>
    <row r="851" spans="1:7" x14ac:dyDescent="0.45">
      <c r="A851" t="s">
        <v>4833</v>
      </c>
      <c r="B851">
        <f>COUNTIF(PriceList!$M$4:$M$2641,A851)</f>
        <v>2</v>
      </c>
      <c r="C851" t="str">
        <f>IF(B851=1,"1:1","1:Many")</f>
        <v>1:Many</v>
      </c>
      <c r="D851" s="42" t="str" cm="1">
        <f t="array" ref="D851">_xlfn.TEXTJOIN(" | ",TRUE,_xlfn._xlws.FILTER(PriceList!$B$4:$B$2641,PriceList!$M$4:$M$2641=A851,""))</f>
        <v>ORV8 040-5 | ORV8 041.7-3.5</v>
      </c>
      <c r="E851" t="str" cm="1">
        <f t="array" ref="E851">_xlfn.TEXTJOIN(", ",TRUE,_xlfn._xlws.FILTER(ROW(PriceList!$B$4:$B$2641),PriceList!$M$4:$M$2641=A851,""))</f>
        <v>1789, 1792</v>
      </c>
      <c r="F851" s="42" t="str" cm="1">
        <f t="array" ref="F851">_xlfn.TEXTJOIN(" | ",TRUE,_xlfn.UNIQUE(_xlfn._xlws.FILTER(PriceList!$Q$4:$Q$2641&amp;" x "&amp;PriceList!$R$4:$R$2641&amp;" x "&amp;PriceList!$S$4:$S$2641,PriceList!$M$4:$M$2641=A851,"")))</f>
        <v>41 x 49 x 4</v>
      </c>
      <c r="G851" t="str" cm="1">
        <f t="array" ref="G851">INDEX(_xlfn._xlws.FILTER(PriceList!$P$4:$P$2641,PriceList!$M$4:$M$2641=A851,""),1)</f>
        <v>O Ring - FPM/FKM/VitonÂ®</v>
      </c>
    </row>
    <row r="852" spans="1:7" x14ac:dyDescent="0.45">
      <c r="A852" t="s">
        <v>4436</v>
      </c>
      <c r="B852">
        <f>COUNTIF(PriceList!$M$4:$M$2641,A852)</f>
        <v>1</v>
      </c>
      <c r="C852" t="str">
        <f>IF(B852=1,"1:1","1:Many")</f>
        <v>1:1</v>
      </c>
      <c r="D852" s="42" t="str" cm="1">
        <f t="array" ref="D852">_xlfn.TEXTJOIN(" | ",TRUE,_xlfn._xlws.FILTER(PriceList!$B$4:$B$2641,PriceList!$M$4:$M$2641=A852,""))</f>
        <v>OR9N 041.7-3.5</v>
      </c>
      <c r="E852" t="str" cm="1">
        <f t="array" ref="E852">_xlfn.TEXTJOIN(", ",TRUE,_xlfn._xlws.FILTER(ROW(PriceList!$B$4:$B$2641),PriceList!$M$4:$M$2641=A852,""))</f>
        <v>1135</v>
      </c>
      <c r="F852" s="42" t="str" cm="1">
        <f t="array" ref="F852">_xlfn.TEXTJOIN(" | ",TRUE,_xlfn.UNIQUE(_xlfn._xlws.FILTER(PriceList!$Q$4:$Q$2641&amp;" x "&amp;PriceList!$R$4:$R$2641&amp;" x "&amp;PriceList!$S$4:$S$2641,PriceList!$M$4:$M$2641=A852,"")))</f>
        <v>41.7 x 48.7 x 3.5</v>
      </c>
      <c r="G852" t="str" cm="1">
        <f t="array" ref="G852">INDEX(_xlfn._xlws.FILTER(PriceList!$P$4:$P$2641,PriceList!$M$4:$M$2641=A852,""),1)</f>
        <v>O Ring - NBR 70</v>
      </c>
    </row>
    <row r="853" spans="1:7" x14ac:dyDescent="0.45">
      <c r="A853" t="s">
        <v>4437</v>
      </c>
      <c r="B853">
        <f>COUNTIF(PriceList!$M$4:$M$2641,A853)</f>
        <v>1</v>
      </c>
      <c r="C853" t="str">
        <f>IF(B853=1,"1:1","1:Many")</f>
        <v>1:1</v>
      </c>
      <c r="D853" s="42" t="str" cm="1">
        <f t="array" ref="D853">_xlfn.TEXTJOIN(" | ",TRUE,_xlfn._xlws.FILTER(PriceList!$B$4:$B$2641,PriceList!$M$4:$M$2641=A853,""))</f>
        <v>OR9N 042-2.5</v>
      </c>
      <c r="E853" t="str" cm="1">
        <f t="array" ref="E853">_xlfn.TEXTJOIN(", ",TRUE,_xlfn._xlws.FILTER(ROW(PriceList!$B$4:$B$2641),PriceList!$M$4:$M$2641=A853,""))</f>
        <v>1138</v>
      </c>
      <c r="F853" s="42" t="str" cm="1">
        <f t="array" ref="F853">_xlfn.TEXTJOIN(" | ",TRUE,_xlfn.UNIQUE(_xlfn._xlws.FILTER(PriceList!$Q$4:$Q$2641&amp;" x "&amp;PriceList!$R$4:$R$2641&amp;" x "&amp;PriceList!$S$4:$S$2641,PriceList!$M$4:$M$2641=A853,"")))</f>
        <v>42 x 47 x 2.5</v>
      </c>
      <c r="G853" t="str" cm="1">
        <f t="array" ref="G853">INDEX(_xlfn._xlws.FILTER(PriceList!$P$4:$P$2641,PriceList!$M$4:$M$2641=A853,""),1)</f>
        <v>O Ring - NBR 70</v>
      </c>
    </row>
    <row r="854" spans="1:7" x14ac:dyDescent="0.45">
      <c r="A854" t="s">
        <v>4438</v>
      </c>
      <c r="B854">
        <f>COUNTIF(PriceList!$M$4:$M$2641,A854)</f>
        <v>1</v>
      </c>
      <c r="C854" t="str">
        <f>IF(B854=1,"1:1","1:Many")</f>
        <v>1:1</v>
      </c>
      <c r="D854" s="42" t="str" cm="1">
        <f t="array" ref="D854">_xlfn.TEXTJOIN(" | ",TRUE,_xlfn._xlws.FILTER(PriceList!$B$4:$B$2641,PriceList!$M$4:$M$2641=A854,""))</f>
        <v>OR9N 042-3</v>
      </c>
      <c r="E854" t="str" cm="1">
        <f t="array" ref="E854">_xlfn.TEXTJOIN(", ",TRUE,_xlfn._xlws.FILTER(ROW(PriceList!$B$4:$B$2641),PriceList!$M$4:$M$2641=A854,""))</f>
        <v>1139</v>
      </c>
      <c r="F854" s="42" t="str" cm="1">
        <f t="array" ref="F854">_xlfn.TEXTJOIN(" | ",TRUE,_xlfn.UNIQUE(_xlfn._xlws.FILTER(PriceList!$Q$4:$Q$2641&amp;" x "&amp;PriceList!$R$4:$R$2641&amp;" x "&amp;PriceList!$S$4:$S$2641,PriceList!$M$4:$M$2641=A854,"")))</f>
        <v>42 x 48 x 3</v>
      </c>
      <c r="G854" t="str" cm="1">
        <f t="array" ref="G854">INDEX(_xlfn._xlws.FILTER(PriceList!$P$4:$P$2641,PriceList!$M$4:$M$2641=A854,""),1)</f>
        <v>O Ring - NBR 70</v>
      </c>
    </row>
    <row r="855" spans="1:7" x14ac:dyDescent="0.45">
      <c r="A855" t="s">
        <v>4835</v>
      </c>
      <c r="B855">
        <f>COUNTIF(PriceList!$M$4:$M$2641,A855)</f>
        <v>1</v>
      </c>
      <c r="C855" t="str">
        <f>IF(B855=1,"1:1","1:Many")</f>
        <v>1:1</v>
      </c>
      <c r="D855" s="42" t="str" cm="1">
        <f t="array" ref="D855">_xlfn.TEXTJOIN(" | ",TRUE,_xlfn._xlws.FILTER(PriceList!$B$4:$B$2641,PriceList!$M$4:$M$2641=A855,""))</f>
        <v>ORV8 041.7-3.1</v>
      </c>
      <c r="E855" t="str" cm="1">
        <f t="array" ref="E855">_xlfn.TEXTJOIN(", ",TRUE,_xlfn._xlws.FILTER(ROW(PriceList!$B$4:$B$2641),PriceList!$M$4:$M$2641=A855,""))</f>
        <v>1791</v>
      </c>
      <c r="F855" s="42" t="str" cm="1">
        <f t="array" ref="F855">_xlfn.TEXTJOIN(" | ",TRUE,_xlfn.UNIQUE(_xlfn._xlws.FILTER(PriceList!$Q$4:$Q$2641&amp;" x "&amp;PriceList!$R$4:$R$2641&amp;" x "&amp;PriceList!$S$4:$S$2641,PriceList!$M$4:$M$2641=A855,"")))</f>
        <v>42 x 48 x 3</v>
      </c>
      <c r="G855" t="str" cm="1">
        <f t="array" ref="G855">INDEX(_xlfn._xlws.FILTER(PriceList!$P$4:$P$2641,PriceList!$M$4:$M$2641=A855,""),1)</f>
        <v>O Ring - FPM/FKM/VitonÂ®</v>
      </c>
    </row>
    <row r="856" spans="1:7" x14ac:dyDescent="0.45">
      <c r="A856" t="s">
        <v>4439</v>
      </c>
      <c r="B856">
        <f>COUNTIF(PriceList!$M$4:$M$2641,A856)</f>
        <v>1</v>
      </c>
      <c r="C856" t="str">
        <f>IF(B856=1,"1:1","1:Many")</f>
        <v>1:1</v>
      </c>
      <c r="D856" s="42" t="str" cm="1">
        <f t="array" ref="D856">_xlfn.TEXTJOIN(" | ",TRUE,_xlfn._xlws.FILTER(PriceList!$B$4:$B$2641,PriceList!$M$4:$M$2641=A856,""))</f>
        <v>OR9N 042-4</v>
      </c>
      <c r="E856" t="str" cm="1">
        <f t="array" ref="E856">_xlfn.TEXTJOIN(", ",TRUE,_xlfn._xlws.FILTER(ROW(PriceList!$B$4:$B$2641),PriceList!$M$4:$M$2641=A856,""))</f>
        <v>1140</v>
      </c>
      <c r="F856" s="42" t="str" cm="1">
        <f t="array" ref="F856">_xlfn.TEXTJOIN(" | ",TRUE,_xlfn.UNIQUE(_xlfn._xlws.FILTER(PriceList!$Q$4:$Q$2641&amp;" x "&amp;PriceList!$R$4:$R$2641&amp;" x "&amp;PriceList!$S$4:$S$2641,PriceList!$M$4:$M$2641=A856,"")))</f>
        <v>42 x 50 x 4</v>
      </c>
      <c r="G856" t="str" cm="1">
        <f t="array" ref="G856">INDEX(_xlfn._xlws.FILTER(PriceList!$P$4:$P$2641,PriceList!$M$4:$M$2641=A856,""),1)</f>
        <v>O Ring - NBR 70</v>
      </c>
    </row>
    <row r="857" spans="1:7" x14ac:dyDescent="0.45">
      <c r="A857" t="s">
        <v>4840</v>
      </c>
      <c r="B857">
        <f>COUNTIF(PriceList!$M$4:$M$2641,A857)</f>
        <v>1</v>
      </c>
      <c r="C857" t="str">
        <f>IF(B857=1,"1:1","1:Many")</f>
        <v>1:1</v>
      </c>
      <c r="D857" s="42" t="str" cm="1">
        <f t="array" ref="D857">_xlfn.TEXTJOIN(" | ",TRUE,_xlfn._xlws.FILTER(PriceList!$B$4:$B$2641,PriceList!$M$4:$M$2641=A857,""))</f>
        <v>ORV8 042-4</v>
      </c>
      <c r="E857" t="str" cm="1">
        <f t="array" ref="E857">_xlfn.TEXTJOIN(", ",TRUE,_xlfn._xlws.FILTER(ROW(PriceList!$B$4:$B$2641),PriceList!$M$4:$M$2641=A857,""))</f>
        <v>1796</v>
      </c>
      <c r="F857" s="42" t="str" cm="1">
        <f t="array" ref="F857">_xlfn.TEXTJOIN(" | ",TRUE,_xlfn.UNIQUE(_xlfn._xlws.FILTER(PriceList!$Q$4:$Q$2641&amp;" x "&amp;PriceList!$R$4:$R$2641&amp;" x "&amp;PriceList!$S$4:$S$2641,PriceList!$M$4:$M$2641=A857,"")))</f>
        <v>42 x 50 x 4</v>
      </c>
      <c r="G857" t="str" cm="1">
        <f t="array" ref="G857">INDEX(_xlfn._xlws.FILTER(PriceList!$P$4:$P$2641,PriceList!$M$4:$M$2641=A857,""),1)</f>
        <v>O Ring - FPM/FKM/VitonÂ®</v>
      </c>
    </row>
    <row r="858" spans="1:7" x14ac:dyDescent="0.45">
      <c r="A858" t="s">
        <v>4440</v>
      </c>
      <c r="B858">
        <f>COUNTIF(PriceList!$M$4:$M$2641,A858)</f>
        <v>1</v>
      </c>
      <c r="C858" t="str">
        <f>IF(B858=1,"1:1","1:Many")</f>
        <v>1:1</v>
      </c>
      <c r="D858" s="42" t="str" cm="1">
        <f t="array" ref="D858">_xlfn.TEXTJOIN(" | ",TRUE,_xlfn._xlws.FILTER(PriceList!$B$4:$B$2641,PriceList!$M$4:$M$2641=A858,""))</f>
        <v>OR9N 043.5-2</v>
      </c>
      <c r="E858" t="str" cm="1">
        <f t="array" ref="E858">_xlfn.TEXTJOIN(", ",TRUE,_xlfn._xlws.FILTER(ROW(PriceList!$B$4:$B$2641),PriceList!$M$4:$M$2641=A858,""))</f>
        <v>1141</v>
      </c>
      <c r="F858" s="42" t="str" cm="1">
        <f t="array" ref="F858">_xlfn.TEXTJOIN(" | ",TRUE,_xlfn.UNIQUE(_xlfn._xlws.FILTER(PriceList!$Q$4:$Q$2641&amp;" x "&amp;PriceList!$R$4:$R$2641&amp;" x "&amp;PriceList!$S$4:$S$2641,PriceList!$M$4:$M$2641=A858,"")))</f>
        <v>43 x 47 x 2</v>
      </c>
      <c r="G858" t="str" cm="1">
        <f t="array" ref="G858">INDEX(_xlfn._xlws.FILTER(PriceList!$P$4:$P$2641,PriceList!$M$4:$M$2641=A858,""),1)</f>
        <v>O Ring - NBR 70</v>
      </c>
    </row>
    <row r="859" spans="1:7" x14ac:dyDescent="0.45">
      <c r="A859" t="s">
        <v>4066</v>
      </c>
      <c r="B859">
        <f>COUNTIF(PriceList!$M$4:$M$2641,A859)</f>
        <v>2</v>
      </c>
      <c r="C859" t="str">
        <f>IF(B859=1,"1:1","1:Many")</f>
        <v>1:Many</v>
      </c>
      <c r="D859" s="42" t="str" cm="1">
        <f t="array" ref="D859">_xlfn.TEXTJOIN(" | ",TRUE,_xlfn._xlws.FILTER(PriceList!$B$4:$B$2641,PriceList!$M$4:$M$2641=A859,""))</f>
        <v>OR7N 043-3 | OR9N 043-3</v>
      </c>
      <c r="E859" t="str" cm="1">
        <f t="array" ref="E859">_xlfn.TEXTJOIN(", ",TRUE,_xlfn._xlws.FILTER(ROW(PriceList!$B$4:$B$2641),PriceList!$M$4:$M$2641=A859,""))</f>
        <v>666, 1144</v>
      </c>
      <c r="F859" s="42" t="str" cm="1">
        <f t="array" ref="F859">_xlfn.TEXTJOIN(" | ",TRUE,_xlfn.UNIQUE(_xlfn._xlws.FILTER(PriceList!$Q$4:$Q$2641&amp;" x "&amp;PriceList!$R$4:$R$2641&amp;" x "&amp;PriceList!$S$4:$S$2641,PriceList!$M$4:$M$2641=A859,"")))</f>
        <v>43 x 49 x 3</v>
      </c>
      <c r="G859" t="str" cm="1">
        <f t="array" ref="G859">INDEX(_xlfn._xlws.FILTER(PriceList!$P$4:$P$2641,PriceList!$M$4:$M$2641=A859,""),1)</f>
        <v>O Ring - NBR 70</v>
      </c>
    </row>
    <row r="860" spans="1:7" x14ac:dyDescent="0.45">
      <c r="A860" t="s">
        <v>4843</v>
      </c>
      <c r="B860">
        <f>COUNTIF(PriceList!$M$4:$M$2641,A860)</f>
        <v>1</v>
      </c>
      <c r="C860" t="str">
        <f>IF(B860=1,"1:1","1:Many")</f>
        <v>1:1</v>
      </c>
      <c r="D860" s="42" t="str" cm="1">
        <f t="array" ref="D860">_xlfn.TEXTJOIN(" | ",TRUE,_xlfn._xlws.FILTER(PriceList!$B$4:$B$2641,PriceList!$M$4:$M$2641=A860,""))</f>
        <v>ORV8 043-3</v>
      </c>
      <c r="E860" t="str" cm="1">
        <f t="array" ref="E860">_xlfn.TEXTJOIN(", ",TRUE,_xlfn._xlws.FILTER(ROW(PriceList!$B$4:$B$2641),PriceList!$M$4:$M$2641=A860,""))</f>
        <v>1798</v>
      </c>
      <c r="F860" s="42" t="str" cm="1">
        <f t="array" ref="F860">_xlfn.TEXTJOIN(" | ",TRUE,_xlfn.UNIQUE(_xlfn._xlws.FILTER(PriceList!$Q$4:$Q$2641&amp;" x "&amp;PriceList!$R$4:$R$2641&amp;" x "&amp;PriceList!$S$4:$S$2641,PriceList!$M$4:$M$2641=A860,"")))</f>
        <v>43 x 49 x 3</v>
      </c>
      <c r="G860" t="str" cm="1">
        <f t="array" ref="G860">INDEX(_xlfn._xlws.FILTER(PriceList!$P$4:$P$2641,PriceList!$M$4:$M$2641=A860,""),1)</f>
        <v>O Ring - FPM/FKM/VitonÂ®</v>
      </c>
    </row>
    <row r="861" spans="1:7" x14ac:dyDescent="0.45">
      <c r="A861" t="s">
        <v>4064</v>
      </c>
      <c r="B861">
        <f>COUNTIF(PriceList!$M$4:$M$2641,A861)</f>
        <v>2</v>
      </c>
      <c r="C861" t="str">
        <f>IF(B861=1,"1:1","1:Many")</f>
        <v>1:Many</v>
      </c>
      <c r="D861" s="42" t="str" cm="1">
        <f t="array" ref="D861">_xlfn.TEXTJOIN(" | ",TRUE,_xlfn._xlws.FILTER(PriceList!$B$4:$B$2641,PriceList!$M$4:$M$2641=A861,""))</f>
        <v>OR7N 043.7-3.5 | OR9N 043.7-3.5</v>
      </c>
      <c r="E861" t="str" cm="1">
        <f t="array" ref="E861">_xlfn.TEXTJOIN(", ",TRUE,_xlfn._xlws.FILTER(ROW(PriceList!$B$4:$B$2641),PriceList!$M$4:$M$2641=A861,""))</f>
        <v>664, 1142</v>
      </c>
      <c r="F861" s="42" t="str" cm="1">
        <f t="array" ref="F861">_xlfn.TEXTJOIN(" | ",TRUE,_xlfn.UNIQUE(_xlfn._xlws.FILTER(PriceList!$Q$4:$Q$2641&amp;" x "&amp;PriceList!$R$4:$R$2641&amp;" x "&amp;PriceList!$S$4:$S$2641,PriceList!$M$4:$M$2641=A861,"")))</f>
        <v>43.7 x 50.7 x 3.5</v>
      </c>
      <c r="G861" t="str" cm="1">
        <f t="array" ref="G861">INDEX(_xlfn._xlws.FILTER(PriceList!$P$4:$P$2641,PriceList!$M$4:$M$2641=A861,""),1)</f>
        <v>O Ring - NBR 90</v>
      </c>
    </row>
    <row r="862" spans="1:7" x14ac:dyDescent="0.45">
      <c r="A862" t="s">
        <v>4849</v>
      </c>
      <c r="B862">
        <f>COUNTIF(PriceList!$M$4:$M$2641,A862)</f>
        <v>1</v>
      </c>
      <c r="C862" t="str">
        <f>IF(B862=1,"1:1","1:Many")</f>
        <v>1:1</v>
      </c>
      <c r="D862" s="42" t="str" cm="1">
        <f t="array" ref="D862">_xlfn.TEXTJOIN(" | ",TRUE,_xlfn._xlws.FILTER(PriceList!$B$4:$B$2641,PriceList!$M$4:$M$2641=A862,""))</f>
        <v>ORV8 044-2</v>
      </c>
      <c r="E862" t="str" cm="1">
        <f t="array" ref="E862">_xlfn.TEXTJOIN(", ",TRUE,_xlfn._xlws.FILTER(ROW(PriceList!$B$4:$B$2641),PriceList!$M$4:$M$2641=A862,""))</f>
        <v>1804</v>
      </c>
      <c r="F862" s="42" t="str" cm="1">
        <f t="array" ref="F862">_xlfn.TEXTJOIN(" | ",TRUE,_xlfn.UNIQUE(_xlfn._xlws.FILTER(PriceList!$Q$4:$Q$2641&amp;" x "&amp;PriceList!$R$4:$R$2641&amp;" x "&amp;PriceList!$S$4:$S$2641,PriceList!$M$4:$M$2641=A862,"")))</f>
        <v>44 x 48 x 2</v>
      </c>
      <c r="G862" t="str" cm="1">
        <f t="array" ref="G862">INDEX(_xlfn._xlws.FILTER(PriceList!$P$4:$P$2641,PriceList!$M$4:$M$2641=A862,""),1)</f>
        <v>O Ring - FPM/FKM/VitonÂ®</v>
      </c>
    </row>
    <row r="863" spans="1:7" x14ac:dyDescent="0.45">
      <c r="A863" t="s">
        <v>4071</v>
      </c>
      <c r="B863">
        <f>COUNTIF(PriceList!$M$4:$M$2641,A863)</f>
        <v>2</v>
      </c>
      <c r="C863" t="str">
        <f>IF(B863=1,"1:1","1:Many")</f>
        <v>1:Many</v>
      </c>
      <c r="D863" s="42" t="str" cm="1">
        <f t="array" ref="D863">_xlfn.TEXTJOIN(" | ",TRUE,_xlfn._xlws.FILTER(PriceList!$B$4:$B$2641,PriceList!$M$4:$M$2641=A863,""))</f>
        <v>OR7N 044-3 | OR9N 044-3</v>
      </c>
      <c r="E863" t="str" cm="1">
        <f t="array" ref="E863">_xlfn.TEXTJOIN(", ",TRUE,_xlfn._xlws.FILTER(ROW(PriceList!$B$4:$B$2641),PriceList!$M$4:$M$2641=A863,""))</f>
        <v>671, 1150</v>
      </c>
      <c r="F863" s="42" t="str" cm="1">
        <f t="array" ref="F863">_xlfn.TEXTJOIN(" | ",TRUE,_xlfn.UNIQUE(_xlfn._xlws.FILTER(PriceList!$Q$4:$Q$2641&amp;" x "&amp;PriceList!$R$4:$R$2641&amp;" x "&amp;PriceList!$S$4:$S$2641,PriceList!$M$4:$M$2641=A863,"")))</f>
        <v>44 x 50 x 3</v>
      </c>
      <c r="G863" t="str" cm="1">
        <f t="array" ref="G863">INDEX(_xlfn._xlws.FILTER(PriceList!$P$4:$P$2641,PriceList!$M$4:$M$2641=A863,""),1)</f>
        <v>O Ring - NBR 70</v>
      </c>
    </row>
    <row r="864" spans="1:7" x14ac:dyDescent="0.45">
      <c r="A864" t="s">
        <v>4850</v>
      </c>
      <c r="B864">
        <f>COUNTIF(PriceList!$M$4:$M$2641,A864)</f>
        <v>1</v>
      </c>
      <c r="C864" t="str">
        <f>IF(B864=1,"1:1","1:Many")</f>
        <v>1:1</v>
      </c>
      <c r="D864" s="42" t="str" cm="1">
        <f t="array" ref="D864">_xlfn.TEXTJOIN(" | ",TRUE,_xlfn._xlws.FILTER(PriceList!$B$4:$B$2641,PriceList!$M$4:$M$2641=A864,""))</f>
        <v>ORV8 044-3</v>
      </c>
      <c r="E864" t="str" cm="1">
        <f t="array" ref="E864">_xlfn.TEXTJOIN(", ",TRUE,_xlfn._xlws.FILTER(ROW(PriceList!$B$4:$B$2641),PriceList!$M$4:$M$2641=A864,""))</f>
        <v>1805</v>
      </c>
      <c r="F864" s="42" t="str" cm="1">
        <f t="array" ref="F864">_xlfn.TEXTJOIN(" | ",TRUE,_xlfn.UNIQUE(_xlfn._xlws.FILTER(PriceList!$Q$4:$Q$2641&amp;" x "&amp;PriceList!$R$4:$R$2641&amp;" x "&amp;PriceList!$S$4:$S$2641,PriceList!$M$4:$M$2641=A864,"")))</f>
        <v>44 x 50 x 3</v>
      </c>
      <c r="G864" t="str" cm="1">
        <f t="array" ref="G864">INDEX(_xlfn._xlws.FILTER(PriceList!$P$4:$P$2641,PriceList!$M$4:$M$2641=A864,""),1)</f>
        <v>O Ring - FPM/FKM/VitonÂ®</v>
      </c>
    </row>
    <row r="865" spans="1:7" x14ac:dyDescent="0.45">
      <c r="A865" t="s">
        <v>4067</v>
      </c>
      <c r="B865">
        <f>COUNTIF(PriceList!$M$4:$M$2641,A865)</f>
        <v>2</v>
      </c>
      <c r="C865" t="str">
        <f>IF(B865=1,"1:1","1:Many")</f>
        <v>1:Many</v>
      </c>
      <c r="D865" s="42" t="str" cm="1">
        <f t="array" ref="D865">_xlfn.TEXTJOIN(" | ",TRUE,_xlfn._xlws.FILTER(PriceList!$B$4:$B$2641,PriceList!$M$4:$M$2641=A865,""))</f>
        <v>OR7N 044.04-3.53 | OR9N 044.04-3.53</v>
      </c>
      <c r="E865" t="str" cm="1">
        <f t="array" ref="E865">_xlfn.TEXTJOIN(", ",TRUE,_xlfn._xlws.FILTER(ROW(PriceList!$B$4:$B$2641),PriceList!$M$4:$M$2641=A865,""))</f>
        <v>667, 1145</v>
      </c>
      <c r="F865" s="42" t="str" cm="1">
        <f t="array" ref="F865">_xlfn.TEXTJOIN(" | ",TRUE,_xlfn.UNIQUE(_xlfn._xlws.FILTER(PriceList!$Q$4:$Q$2641&amp;" x "&amp;PriceList!$R$4:$R$2641&amp;" x "&amp;PriceList!$S$4:$S$2641,PriceList!$M$4:$M$2641=A865,"")))</f>
        <v>44 x 51 x 3.5</v>
      </c>
      <c r="G865" t="str" cm="1">
        <f t="array" ref="G865">INDEX(_xlfn._xlws.FILTER(PriceList!$P$4:$P$2641,PriceList!$M$4:$M$2641=A865,""),1)</f>
        <v>O Ring - NBR 70</v>
      </c>
    </row>
    <row r="866" spans="1:7" x14ac:dyDescent="0.45">
      <c r="A866" t="s">
        <v>4070</v>
      </c>
      <c r="B866">
        <f>COUNTIF(PriceList!$M$4:$M$2641,A866)</f>
        <v>2</v>
      </c>
      <c r="C866" t="str">
        <f>IF(B866=1,"1:1","1:Many")</f>
        <v>1:Many</v>
      </c>
      <c r="D866" s="42" t="str" cm="1">
        <f t="array" ref="D866">_xlfn.TEXTJOIN(" | ",TRUE,_xlfn._xlws.FILTER(PriceList!$B$4:$B$2641,PriceList!$M$4:$M$2641=A866,""))</f>
        <v>OR7N 044.4-3.1 | OR9N 044.4-3.1</v>
      </c>
      <c r="E866" t="str" cm="1">
        <f t="array" ref="E866">_xlfn.TEXTJOIN(", ",TRUE,_xlfn._xlws.FILTER(ROW(PriceList!$B$4:$B$2641),PriceList!$M$4:$M$2641=A866,""))</f>
        <v>670, 1148</v>
      </c>
      <c r="F866" s="42" t="str" cm="1">
        <f t="array" ref="F866">_xlfn.TEXTJOIN(" | ",TRUE,_xlfn.UNIQUE(_xlfn._xlws.FILTER(PriceList!$Q$4:$Q$2641&amp;" x "&amp;PriceList!$R$4:$R$2641&amp;" x "&amp;PriceList!$S$4:$S$2641,PriceList!$M$4:$M$2641=A866,"")))</f>
        <v>44.4 x 50.6 x 3.1</v>
      </c>
      <c r="G866" t="str" cm="1">
        <f t="array" ref="G866">INDEX(_xlfn._xlws.FILTER(PriceList!$P$4:$P$2641,PriceList!$M$4:$M$2641=A866,""),1)</f>
        <v>O Ring - NBR 70</v>
      </c>
    </row>
    <row r="867" spans="1:7" x14ac:dyDescent="0.45">
      <c r="A867" t="s">
        <v>4847</v>
      </c>
      <c r="B867">
        <f>COUNTIF(PriceList!$M$4:$M$2641,A867)</f>
        <v>1</v>
      </c>
      <c r="C867" t="str">
        <f>IF(B867=1,"1:1","1:Many")</f>
        <v>1:1</v>
      </c>
      <c r="D867" s="42" t="str" cm="1">
        <f t="array" ref="D867">_xlfn.TEXTJOIN(" | ",TRUE,_xlfn._xlws.FILTER(PriceList!$B$4:$B$2641,PriceList!$M$4:$M$2641=A867,""))</f>
        <v>ORV8 044.4-3.1</v>
      </c>
      <c r="E867" t="str" cm="1">
        <f t="array" ref="E867">_xlfn.TEXTJOIN(", ",TRUE,_xlfn._xlws.FILTER(ROW(PriceList!$B$4:$B$2641),PriceList!$M$4:$M$2641=A867,""))</f>
        <v>1802</v>
      </c>
      <c r="F867" s="42" t="str" cm="1">
        <f t="array" ref="F867">_xlfn.TEXTJOIN(" | ",TRUE,_xlfn.UNIQUE(_xlfn._xlws.FILTER(PriceList!$Q$4:$Q$2641&amp;" x "&amp;PriceList!$R$4:$R$2641&amp;" x "&amp;PriceList!$S$4:$S$2641,PriceList!$M$4:$M$2641=A867,"")))</f>
        <v>44.5 x 50.5 x 3</v>
      </c>
      <c r="G867" t="str" cm="1">
        <f t="array" ref="G867">INDEX(_xlfn._xlws.FILTER(PriceList!$P$4:$P$2641,PriceList!$M$4:$M$2641=A867,""),1)</f>
        <v>O Ring - FPM/FKM/VitonÂ®</v>
      </c>
    </row>
    <row r="868" spans="1:7" x14ac:dyDescent="0.45">
      <c r="A868" t="s">
        <v>4442</v>
      </c>
      <c r="B868">
        <f>COUNTIF(PriceList!$M$4:$M$2641,A868)</f>
        <v>1</v>
      </c>
      <c r="C868" t="str">
        <f>IF(B868=1,"1:1","1:Many")</f>
        <v>1:1</v>
      </c>
      <c r="D868" s="42" t="str" cm="1">
        <f t="array" ref="D868">_xlfn.TEXTJOIN(" | ",TRUE,_xlfn._xlws.FILTER(PriceList!$B$4:$B$2641,PriceList!$M$4:$M$2641=A868,""))</f>
        <v>OR9N 044.7-3.5</v>
      </c>
      <c r="E868" t="str" cm="1">
        <f t="array" ref="E868">_xlfn.TEXTJOIN(", ",TRUE,_xlfn._xlws.FILTER(ROW(PriceList!$B$4:$B$2641),PriceList!$M$4:$M$2641=A868,""))</f>
        <v>1149</v>
      </c>
      <c r="F868" s="42" t="str" cm="1">
        <f t="array" ref="F868">_xlfn.TEXTJOIN(" | ",TRUE,_xlfn.UNIQUE(_xlfn._xlws.FILTER(PriceList!$Q$4:$Q$2641&amp;" x "&amp;PriceList!$R$4:$R$2641&amp;" x "&amp;PriceList!$S$4:$S$2641,PriceList!$M$4:$M$2641=A868,"")))</f>
        <v>44.7 x 51.7 x 3.5</v>
      </c>
      <c r="G868" t="str" cm="1">
        <f t="array" ref="G868">INDEX(_xlfn._xlws.FILTER(PriceList!$P$4:$P$2641,PriceList!$M$4:$M$2641=A868,""),1)</f>
        <v>O Ring - NBR 70</v>
      </c>
    </row>
    <row r="869" spans="1:7" x14ac:dyDescent="0.45">
      <c r="A869" t="s">
        <v>4443</v>
      </c>
      <c r="B869">
        <f>COUNTIF(PriceList!$M$4:$M$2641,A869)</f>
        <v>1</v>
      </c>
      <c r="C869" t="str">
        <f>IF(B869=1,"1:1","1:Many")</f>
        <v>1:1</v>
      </c>
      <c r="D869" s="42" t="str" cm="1">
        <f t="array" ref="D869">_xlfn.TEXTJOIN(" | ",TRUE,_xlfn._xlws.FILTER(PriceList!$B$4:$B$2641,PriceList!$M$4:$M$2641=A869,""))</f>
        <v>OR9N 045-2</v>
      </c>
      <c r="E869" t="str" cm="1">
        <f t="array" ref="E869">_xlfn.TEXTJOIN(", ",TRUE,_xlfn._xlws.FILTER(ROW(PriceList!$B$4:$B$2641),PriceList!$M$4:$M$2641=A869,""))</f>
        <v>1153</v>
      </c>
      <c r="F869" s="42" t="str" cm="1">
        <f t="array" ref="F869">_xlfn.TEXTJOIN(" | ",TRUE,_xlfn.UNIQUE(_xlfn._xlws.FILTER(PriceList!$Q$4:$Q$2641&amp;" x "&amp;PriceList!$R$4:$R$2641&amp;" x "&amp;PriceList!$S$4:$S$2641,PriceList!$M$4:$M$2641=A869,"")))</f>
        <v>45 x 49 x 2</v>
      </c>
      <c r="G869" t="str" cm="1">
        <f t="array" ref="G869">INDEX(_xlfn._xlws.FILTER(PriceList!$P$4:$P$2641,PriceList!$M$4:$M$2641=A869,""),1)</f>
        <v>O Ring - NBR 70</v>
      </c>
    </row>
    <row r="870" spans="1:7" x14ac:dyDescent="0.45">
      <c r="A870" t="s">
        <v>4075</v>
      </c>
      <c r="B870">
        <f>COUNTIF(PriceList!$M$4:$M$2641,A870)</f>
        <v>2</v>
      </c>
      <c r="C870" t="str">
        <f>IF(B870=1,"1:1","1:Many")</f>
        <v>1:Many</v>
      </c>
      <c r="D870" s="42" t="str" cm="1">
        <f t="array" ref="D870">_xlfn.TEXTJOIN(" | ",TRUE,_xlfn._xlws.FILTER(PriceList!$B$4:$B$2641,PriceList!$M$4:$M$2641=A870,""))</f>
        <v>OR7N 045-2.5 | OR9N 045-2.5</v>
      </c>
      <c r="E870" t="str" cm="1">
        <f t="array" ref="E870">_xlfn.TEXTJOIN(", ",TRUE,_xlfn._xlws.FILTER(ROW(PriceList!$B$4:$B$2641),PriceList!$M$4:$M$2641=A870,""))</f>
        <v>674, 1154</v>
      </c>
      <c r="F870" s="42" t="str" cm="1">
        <f t="array" ref="F870">_xlfn.TEXTJOIN(" | ",TRUE,_xlfn.UNIQUE(_xlfn._xlws.FILTER(PriceList!$Q$4:$Q$2641&amp;" x "&amp;PriceList!$R$4:$R$2641&amp;" x "&amp;PriceList!$S$4:$S$2641,PriceList!$M$4:$M$2641=A870,"")))</f>
        <v>45 x 50 x 2.5</v>
      </c>
      <c r="G870" t="str" cm="1">
        <f t="array" ref="G870">INDEX(_xlfn._xlws.FILTER(PriceList!$P$4:$P$2641,PriceList!$M$4:$M$2641=A870,""),1)</f>
        <v>O Ring - NBR 70</v>
      </c>
    </row>
    <row r="871" spans="1:7" x14ac:dyDescent="0.45">
      <c r="A871" t="s">
        <v>4856</v>
      </c>
      <c r="B871">
        <f>COUNTIF(PriceList!$M$4:$M$2641,A871)</f>
        <v>1</v>
      </c>
      <c r="C871" t="str">
        <f>IF(B871=1,"1:1","1:Many")</f>
        <v>1:1</v>
      </c>
      <c r="D871" s="42" t="str" cm="1">
        <f t="array" ref="D871">_xlfn.TEXTJOIN(" | ",TRUE,_xlfn._xlws.FILTER(PriceList!$B$4:$B$2641,PriceList!$M$4:$M$2641=A871,""))</f>
        <v>ORV8 045-2.5</v>
      </c>
      <c r="E871" t="str" cm="1">
        <f t="array" ref="E871">_xlfn.TEXTJOIN(", ",TRUE,_xlfn._xlws.FILTER(ROW(PriceList!$B$4:$B$2641),PriceList!$M$4:$M$2641=A871,""))</f>
        <v>1809</v>
      </c>
      <c r="F871" s="42" t="str" cm="1">
        <f t="array" ref="F871">_xlfn.TEXTJOIN(" | ",TRUE,_xlfn.UNIQUE(_xlfn._xlws.FILTER(PriceList!$Q$4:$Q$2641&amp;" x "&amp;PriceList!$R$4:$R$2641&amp;" x "&amp;PriceList!$S$4:$S$2641,PriceList!$M$4:$M$2641=A871,"")))</f>
        <v>45 x 50 x 2.5</v>
      </c>
      <c r="G871" t="str" cm="1">
        <f t="array" ref="G871">INDEX(_xlfn._xlws.FILTER(PriceList!$P$4:$P$2641,PriceList!$M$4:$M$2641=A871,""),1)</f>
        <v>O Ring - FPM/FKM/VitonÂ®</v>
      </c>
    </row>
    <row r="872" spans="1:7" x14ac:dyDescent="0.45">
      <c r="A872" t="s">
        <v>4076</v>
      </c>
      <c r="B872">
        <f>COUNTIF(PriceList!$M$4:$M$2641,A872)</f>
        <v>2</v>
      </c>
      <c r="C872" t="str">
        <f>IF(B872=1,"1:1","1:Many")</f>
        <v>1:Many</v>
      </c>
      <c r="D872" s="42" t="str" cm="1">
        <f t="array" ref="D872">_xlfn.TEXTJOIN(" | ",TRUE,_xlfn._xlws.FILTER(PriceList!$B$4:$B$2641,PriceList!$M$4:$M$2641=A872,""))</f>
        <v>OR7N 045-3 | OR9N 045-3</v>
      </c>
      <c r="E872" t="str" cm="1">
        <f t="array" ref="E872">_xlfn.TEXTJOIN(", ",TRUE,_xlfn._xlws.FILTER(ROW(PriceList!$B$4:$B$2641),PriceList!$M$4:$M$2641=A872,""))</f>
        <v>675, 1155</v>
      </c>
      <c r="F872" s="42" t="str" cm="1">
        <f t="array" ref="F872">_xlfn.TEXTJOIN(" | ",TRUE,_xlfn.UNIQUE(_xlfn._xlws.FILTER(PriceList!$Q$4:$Q$2641&amp;" x "&amp;PriceList!$R$4:$R$2641&amp;" x "&amp;PriceList!$S$4:$S$2641,PriceList!$M$4:$M$2641=A872,"")))</f>
        <v>45 x 51 x 3</v>
      </c>
      <c r="G872" t="str" cm="1">
        <f t="array" ref="G872">INDEX(_xlfn._xlws.FILTER(PriceList!$P$4:$P$2641,PriceList!$M$4:$M$2641=A872,""),1)</f>
        <v>O Ring - NBR 70</v>
      </c>
    </row>
    <row r="873" spans="1:7" x14ac:dyDescent="0.45">
      <c r="A873" t="s">
        <v>4848</v>
      </c>
      <c r="B873">
        <f>COUNTIF(PriceList!$M$4:$M$2641,A873)</f>
        <v>1</v>
      </c>
      <c r="C873" t="str">
        <f>IF(B873=1,"1:1","1:Many")</f>
        <v>1:1</v>
      </c>
      <c r="D873" s="42" t="str" cm="1">
        <f t="array" ref="D873">_xlfn.TEXTJOIN(" | ",TRUE,_xlfn._xlws.FILTER(PriceList!$B$4:$B$2641,PriceList!$M$4:$M$2641=A873,""))</f>
        <v>ORV8 044.7-3.5</v>
      </c>
      <c r="E873" t="str" cm="1">
        <f t="array" ref="E873">_xlfn.TEXTJOIN(", ",TRUE,_xlfn._xlws.FILTER(ROW(PriceList!$B$4:$B$2641),PriceList!$M$4:$M$2641=A873,""))</f>
        <v>1803</v>
      </c>
      <c r="F873" s="42" t="str" cm="1">
        <f t="array" ref="F873">_xlfn.TEXTJOIN(" | ",TRUE,_xlfn.UNIQUE(_xlfn._xlws.FILTER(PriceList!$Q$4:$Q$2641&amp;" x "&amp;PriceList!$R$4:$R$2641&amp;" x "&amp;PriceList!$S$4:$S$2641,PriceList!$M$4:$M$2641=A873,"")))</f>
        <v>45 x 52 x 3.5</v>
      </c>
      <c r="G873" t="str" cm="1">
        <f t="array" ref="G873">INDEX(_xlfn._xlws.FILTER(PriceList!$P$4:$P$2641,PriceList!$M$4:$M$2641=A873,""),1)</f>
        <v>O Ring - FPM/FKM/VitonÂ®</v>
      </c>
    </row>
    <row r="874" spans="1:7" x14ac:dyDescent="0.45">
      <c r="A874" t="s">
        <v>4857</v>
      </c>
      <c r="B874">
        <f>COUNTIF(PriceList!$M$4:$M$2641,A874)</f>
        <v>1</v>
      </c>
      <c r="C874" t="str">
        <f>IF(B874=1,"1:1","1:Many")</f>
        <v>1:1</v>
      </c>
      <c r="D874" s="42" t="str" cm="1">
        <f t="array" ref="D874">_xlfn.TEXTJOIN(" | ",TRUE,_xlfn._xlws.FILTER(PriceList!$B$4:$B$2641,PriceList!$M$4:$M$2641=A874,""))</f>
        <v>ORV8 045-4</v>
      </c>
      <c r="E874" t="str" cm="1">
        <f t="array" ref="E874">_xlfn.TEXTJOIN(", ",TRUE,_xlfn._xlws.FILTER(ROW(PriceList!$B$4:$B$2641),PriceList!$M$4:$M$2641=A874,""))</f>
        <v>1810</v>
      </c>
      <c r="F874" s="42" t="str" cm="1">
        <f t="array" ref="F874">_xlfn.TEXTJOIN(" | ",TRUE,_xlfn.UNIQUE(_xlfn._xlws.FILTER(PriceList!$Q$4:$Q$2641&amp;" x "&amp;PriceList!$R$4:$R$2641&amp;" x "&amp;PriceList!$S$4:$S$2641,PriceList!$M$4:$M$2641=A874,"")))</f>
        <v>45 x 53 x 4</v>
      </c>
      <c r="G874" t="str" cm="1">
        <f t="array" ref="G874">INDEX(_xlfn._xlws.FILTER(PriceList!$P$4:$P$2641,PriceList!$M$4:$M$2641=A874,""),1)</f>
        <v>O Ring - FPM/FKM/VitonÂ®</v>
      </c>
    </row>
    <row r="875" spans="1:7" x14ac:dyDescent="0.45">
      <c r="A875" t="s">
        <v>4444</v>
      </c>
      <c r="B875">
        <f>COUNTIF(PriceList!$M$4:$M$2641,A875)</f>
        <v>1</v>
      </c>
      <c r="C875" t="str">
        <f>IF(B875=1,"1:1","1:Many")</f>
        <v>1:1</v>
      </c>
      <c r="D875" s="42" t="str" cm="1">
        <f t="array" ref="D875">_xlfn.TEXTJOIN(" | ",TRUE,_xlfn._xlws.FILTER(PriceList!$B$4:$B$2641,PriceList!$M$4:$M$2641=A875,""))</f>
        <v>OR9N 045-5</v>
      </c>
      <c r="E875" t="str" cm="1">
        <f t="array" ref="E875">_xlfn.TEXTJOIN(", ",TRUE,_xlfn._xlws.FILTER(ROW(PriceList!$B$4:$B$2641),PriceList!$M$4:$M$2641=A875,""))</f>
        <v>1156</v>
      </c>
      <c r="F875" s="42" t="str" cm="1">
        <f t="array" ref="F875">_xlfn.TEXTJOIN(" | ",TRUE,_xlfn.UNIQUE(_xlfn._xlws.FILTER(PriceList!$Q$4:$Q$2641&amp;" x "&amp;PriceList!$R$4:$R$2641&amp;" x "&amp;PriceList!$S$4:$S$2641,PriceList!$M$4:$M$2641=A875,"")))</f>
        <v>45 x 55 x 5</v>
      </c>
      <c r="G875" t="str" cm="1">
        <f t="array" ref="G875">INDEX(_xlfn._xlws.FILTER(PriceList!$P$4:$P$2641,PriceList!$M$4:$M$2641=A875,""),1)</f>
        <v>O Ring - NBR 70</v>
      </c>
    </row>
    <row r="876" spans="1:7" x14ac:dyDescent="0.45">
      <c r="A876" t="s">
        <v>4858</v>
      </c>
      <c r="B876">
        <f>COUNTIF(PriceList!$M$4:$M$2641,A876)</f>
        <v>1</v>
      </c>
      <c r="C876" t="str">
        <f>IF(B876=1,"1:1","1:Many")</f>
        <v>1:1</v>
      </c>
      <c r="D876" s="42" t="str" cm="1">
        <f t="array" ref="D876">_xlfn.TEXTJOIN(" | ",TRUE,_xlfn._xlws.FILTER(PriceList!$B$4:$B$2641,PriceList!$M$4:$M$2641=A876,""))</f>
        <v>ORV8 045-5</v>
      </c>
      <c r="E876" t="str" cm="1">
        <f t="array" ref="E876">_xlfn.TEXTJOIN(", ",TRUE,_xlfn._xlws.FILTER(ROW(PriceList!$B$4:$B$2641),PriceList!$M$4:$M$2641=A876,""))</f>
        <v>1811</v>
      </c>
      <c r="F876" s="42" t="str" cm="1">
        <f t="array" ref="F876">_xlfn.TEXTJOIN(" | ",TRUE,_xlfn.UNIQUE(_xlfn._xlws.FILTER(PriceList!$Q$4:$Q$2641&amp;" x "&amp;PriceList!$R$4:$R$2641&amp;" x "&amp;PriceList!$S$4:$S$2641,PriceList!$M$4:$M$2641=A876,"")))</f>
        <v>45 x 55 x 5</v>
      </c>
      <c r="G876" t="str" cm="1">
        <f t="array" ref="G876">INDEX(_xlfn._xlws.FILTER(PriceList!$P$4:$P$2641,PriceList!$M$4:$M$2641=A876,""),1)</f>
        <v>O Ring - FPM/FKM/VitonÂ®</v>
      </c>
    </row>
    <row r="877" spans="1:7" x14ac:dyDescent="0.45">
      <c r="A877" t="s">
        <v>4074</v>
      </c>
      <c r="B877">
        <f>COUNTIF(PriceList!$M$4:$M$2641,A877)</f>
        <v>2</v>
      </c>
      <c r="C877" t="str">
        <f>IF(B877=1,"1:1","1:Many")</f>
        <v>1:Many</v>
      </c>
      <c r="D877" s="42" t="str" cm="1">
        <f t="array" ref="D877">_xlfn.TEXTJOIN(" | ",TRUE,_xlfn._xlws.FILTER(PriceList!$B$4:$B$2641,PriceList!$M$4:$M$2641=A877,""))</f>
        <v>OR7N 045.7-3.5 | OR9N 045.7-3.5</v>
      </c>
      <c r="E877" t="str" cm="1">
        <f t="array" ref="E877">_xlfn.TEXTJOIN(", ",TRUE,_xlfn._xlws.FILTER(ROW(PriceList!$B$4:$B$2641),PriceList!$M$4:$M$2641=A877,""))</f>
        <v>673, 1152</v>
      </c>
      <c r="F877" s="42" t="str" cm="1">
        <f t="array" ref="F877">_xlfn.TEXTJOIN(" | ",TRUE,_xlfn.UNIQUE(_xlfn._xlws.FILTER(PriceList!$Q$4:$Q$2641&amp;" x "&amp;PriceList!$R$4:$R$2641&amp;" x "&amp;PriceList!$S$4:$S$2641,PriceList!$M$4:$M$2641=A877,"")))</f>
        <v>45.7 x 52.7 x 3.5</v>
      </c>
      <c r="G877" t="str" cm="1">
        <f t="array" ref="G877">INDEX(_xlfn._xlws.FILTER(PriceList!$P$4:$P$2641,PriceList!$M$4:$M$2641=A877,""),1)</f>
        <v>O Ring - NBR 90</v>
      </c>
    </row>
    <row r="878" spans="1:7" x14ac:dyDescent="0.45">
      <c r="A878" t="s">
        <v>4860</v>
      </c>
      <c r="B878">
        <f>COUNTIF(PriceList!$M$4:$M$2641,A878)</f>
        <v>1</v>
      </c>
      <c r="C878" t="str">
        <f>IF(B878=1,"1:1","1:Many")</f>
        <v>1:1</v>
      </c>
      <c r="D878" s="42" t="str" cm="1">
        <f t="array" ref="D878">_xlfn.TEXTJOIN(" | ",TRUE,_xlfn._xlws.FILTER(PriceList!$B$4:$B$2641,PriceList!$M$4:$M$2641=A878,""))</f>
        <v>ORV8 046-1.78</v>
      </c>
      <c r="E878" t="str" cm="1">
        <f t="array" ref="E878">_xlfn.TEXTJOIN(", ",TRUE,_xlfn._xlws.FILTER(ROW(PriceList!$B$4:$B$2641),PriceList!$M$4:$M$2641=A878,""))</f>
        <v>1813</v>
      </c>
      <c r="F878" s="42" t="str" cm="1">
        <f t="array" ref="F878">_xlfn.TEXTJOIN(" | ",TRUE,_xlfn.UNIQUE(_xlfn._xlws.FILTER(PriceList!$Q$4:$Q$2641&amp;" x "&amp;PriceList!$R$4:$R$2641&amp;" x "&amp;PriceList!$S$4:$S$2641,PriceList!$M$4:$M$2641=A878,"")))</f>
        <v>46 x 50 x 2</v>
      </c>
      <c r="G878" t="str" cm="1">
        <f t="array" ref="G878">INDEX(_xlfn._xlws.FILTER(PriceList!$P$4:$P$2641,PriceList!$M$4:$M$2641=A878,""),1)</f>
        <v>O Ring - FPM/FKM/VitonÂ®</v>
      </c>
    </row>
    <row r="879" spans="1:7" x14ac:dyDescent="0.45">
      <c r="A879" t="s">
        <v>4072</v>
      </c>
      <c r="B879">
        <f>COUNTIF(PriceList!$M$4:$M$2641,A879)</f>
        <v>2</v>
      </c>
      <c r="C879" t="str">
        <f>IF(B879=1,"1:1","1:Many")</f>
        <v>1:Many</v>
      </c>
      <c r="D879" s="42" t="str" cm="1">
        <f t="array" ref="D879">_xlfn.TEXTJOIN(" | ",TRUE,_xlfn._xlws.FILTER(PriceList!$B$4:$B$2641,PriceList!$M$4:$M$2641=A879,""))</f>
        <v>OR7N 045.69-2.62 | OR9N 045.69-2.62</v>
      </c>
      <c r="E879" t="str" cm="1">
        <f t="array" ref="E879">_xlfn.TEXTJOIN(", ",TRUE,_xlfn._xlws.FILTER(ROW(PriceList!$B$4:$B$2641),PriceList!$M$4:$M$2641=A879,""))</f>
        <v>672, 1151</v>
      </c>
      <c r="F879" s="42" t="str" cm="1">
        <f t="array" ref="F879">_xlfn.TEXTJOIN(" | ",TRUE,_xlfn.UNIQUE(_xlfn._xlws.FILTER(PriceList!$Q$4:$Q$2641&amp;" x "&amp;PriceList!$R$4:$R$2641&amp;" x "&amp;PriceList!$S$4:$S$2641,PriceList!$M$4:$M$2641=A879,"")))</f>
        <v>46 x 51 x 2.5</v>
      </c>
      <c r="G879" t="str" cm="1">
        <f t="array" ref="G879">INDEX(_xlfn._xlws.FILTER(PriceList!$P$4:$P$2641,PriceList!$M$4:$M$2641=A879,""),1)</f>
        <v>O Ring - NBR 70</v>
      </c>
    </row>
    <row r="880" spans="1:7" x14ac:dyDescent="0.45">
      <c r="A880" t="s">
        <v>4851</v>
      </c>
      <c r="B880">
        <f>COUNTIF(PriceList!$M$4:$M$2641,A880)</f>
        <v>1</v>
      </c>
      <c r="C880" t="str">
        <f>IF(B880=1,"1:1","1:Many")</f>
        <v>1:1</v>
      </c>
      <c r="D880" s="42" t="str" cm="1">
        <f t="array" ref="D880">_xlfn.TEXTJOIN(" | ",TRUE,_xlfn._xlws.FILTER(PriceList!$B$4:$B$2641,PriceList!$M$4:$M$2641=A880,""))</f>
        <v>ORV8 045.69-2.62</v>
      </c>
      <c r="E880" t="str" cm="1">
        <f t="array" ref="E880">_xlfn.TEXTJOIN(", ",TRUE,_xlfn._xlws.FILTER(ROW(PriceList!$B$4:$B$2641),PriceList!$M$4:$M$2641=A880,""))</f>
        <v>1806</v>
      </c>
      <c r="F880" s="42" t="str" cm="1">
        <f t="array" ref="F880">_xlfn.TEXTJOIN(" | ",TRUE,_xlfn.UNIQUE(_xlfn._xlws.FILTER(PriceList!$Q$4:$Q$2641&amp;" x "&amp;PriceList!$R$4:$R$2641&amp;" x "&amp;PriceList!$S$4:$S$2641,PriceList!$M$4:$M$2641=A880,"")))</f>
        <v>46 x 51 x 2.5</v>
      </c>
      <c r="G880" t="str" cm="1">
        <f t="array" ref="G880">INDEX(_xlfn._xlws.FILTER(PriceList!$P$4:$P$2641,PriceList!$M$4:$M$2641=A880,""),1)</f>
        <v>O Ring - FPM/FKM/VitonÂ®</v>
      </c>
    </row>
    <row r="881" spans="1:7" x14ac:dyDescent="0.45">
      <c r="A881" t="s">
        <v>4445</v>
      </c>
      <c r="B881">
        <f>COUNTIF(PriceList!$M$4:$M$2641,A881)</f>
        <v>1</v>
      </c>
      <c r="C881" t="str">
        <f>IF(B881=1,"1:1","1:Many")</f>
        <v>1:1</v>
      </c>
      <c r="D881" s="42" t="str" cm="1">
        <f t="array" ref="D881">_xlfn.TEXTJOIN(" | ",TRUE,_xlfn._xlws.FILTER(PriceList!$B$4:$B$2641,PriceList!$M$4:$M$2641=A881,""))</f>
        <v>OR9N 046-3</v>
      </c>
      <c r="E881" t="str" cm="1">
        <f t="array" ref="E881">_xlfn.TEXTJOIN(", ",TRUE,_xlfn._xlws.FILTER(ROW(PriceList!$B$4:$B$2641),PriceList!$M$4:$M$2641=A881,""))</f>
        <v>1158</v>
      </c>
      <c r="F881" s="42" t="str" cm="1">
        <f t="array" ref="F881">_xlfn.TEXTJOIN(" | ",TRUE,_xlfn.UNIQUE(_xlfn._xlws.FILTER(PriceList!$Q$4:$Q$2641&amp;" x "&amp;PriceList!$R$4:$R$2641&amp;" x "&amp;PriceList!$S$4:$S$2641,PriceList!$M$4:$M$2641=A881,"")))</f>
        <v>46 x 52 x 3</v>
      </c>
      <c r="G881" t="str" cm="1">
        <f t="array" ref="G881">INDEX(_xlfn._xlws.FILTER(PriceList!$P$4:$P$2641,PriceList!$M$4:$M$2641=A881,""),1)</f>
        <v>O Ring - NBR 70</v>
      </c>
    </row>
    <row r="882" spans="1:7" x14ac:dyDescent="0.45">
      <c r="A882" t="s">
        <v>4861</v>
      </c>
      <c r="B882">
        <f>COUNTIF(PriceList!$M$4:$M$2641,A882)</f>
        <v>1</v>
      </c>
      <c r="C882" t="str">
        <f>IF(B882=1,"1:1","1:Many")</f>
        <v>1:1</v>
      </c>
      <c r="D882" s="42" t="str" cm="1">
        <f t="array" ref="D882">_xlfn.TEXTJOIN(" | ",TRUE,_xlfn._xlws.FILTER(PriceList!$B$4:$B$2641,PriceList!$M$4:$M$2641=A882,""))</f>
        <v>ORV8 046-3</v>
      </c>
      <c r="E882" t="str" cm="1">
        <f t="array" ref="E882">_xlfn.TEXTJOIN(", ",TRUE,_xlfn._xlws.FILTER(ROW(PriceList!$B$4:$B$2641),PriceList!$M$4:$M$2641=A882,""))</f>
        <v>1814</v>
      </c>
      <c r="F882" s="42" t="str" cm="1">
        <f t="array" ref="F882">_xlfn.TEXTJOIN(" | ",TRUE,_xlfn.UNIQUE(_xlfn._xlws.FILTER(PriceList!$Q$4:$Q$2641&amp;" x "&amp;PriceList!$R$4:$R$2641&amp;" x "&amp;PriceList!$S$4:$S$2641,PriceList!$M$4:$M$2641=A882,"")))</f>
        <v>46 x 52 x 3</v>
      </c>
      <c r="G882" t="str" cm="1">
        <f t="array" ref="G882">INDEX(_xlfn._xlws.FILTER(PriceList!$P$4:$P$2641,PriceList!$M$4:$M$2641=A882,""),1)</f>
        <v>O Ring - FPM/FKM/VitonÂ®</v>
      </c>
    </row>
    <row r="883" spans="1:7" x14ac:dyDescent="0.45">
      <c r="A883" t="s">
        <v>4080</v>
      </c>
      <c r="B883">
        <f>COUNTIF(PriceList!$M$4:$M$2641,A883)</f>
        <v>2</v>
      </c>
      <c r="C883" t="str">
        <f>IF(B883=1,"1:1","1:Many")</f>
        <v>1:Many</v>
      </c>
      <c r="D883" s="42" t="str" cm="1">
        <f t="array" ref="D883">_xlfn.TEXTJOIN(" | ",TRUE,_xlfn._xlws.FILTER(PriceList!$B$4:$B$2641,PriceList!$M$4:$M$2641=A883,""))</f>
        <v>OR7N 047.35-1.78 | OR9N 047.35-1.78</v>
      </c>
      <c r="E883" t="str" cm="1">
        <f t="array" ref="E883">_xlfn.TEXTJOIN(", ",TRUE,_xlfn._xlws.FILTER(ROW(PriceList!$B$4:$B$2641),PriceList!$M$4:$M$2641=A883,""))</f>
        <v>679, 1161</v>
      </c>
      <c r="F883" s="42" t="str" cm="1">
        <f t="array" ref="F883">_xlfn.TEXTJOIN(" | ",TRUE,_xlfn.UNIQUE(_xlfn._xlws.FILTER(PriceList!$Q$4:$Q$2641&amp;" x "&amp;PriceList!$R$4:$R$2641&amp;" x "&amp;PriceList!$S$4:$S$2641,PriceList!$M$4:$M$2641=A883,"")))</f>
        <v>47 x 51 x 2</v>
      </c>
      <c r="G883" t="str" cm="1">
        <f t="array" ref="G883">INDEX(_xlfn._xlws.FILTER(PriceList!$P$4:$P$2641,PriceList!$M$4:$M$2641=A883,""),1)</f>
        <v>O Ring - NBR 70</v>
      </c>
    </row>
    <row r="884" spans="1:7" x14ac:dyDescent="0.45">
      <c r="A884" t="s">
        <v>4865</v>
      </c>
      <c r="B884">
        <f>COUNTIF(PriceList!$M$4:$M$2641,A884)</f>
        <v>1</v>
      </c>
      <c r="C884" t="str">
        <f>IF(B884=1,"1:1","1:Many")</f>
        <v>1:1</v>
      </c>
      <c r="D884" s="42" t="str" cm="1">
        <f t="array" ref="D884">_xlfn.TEXTJOIN(" | ",TRUE,_xlfn._xlws.FILTER(PriceList!$B$4:$B$2641,PriceList!$M$4:$M$2641=A884,""))</f>
        <v>ORV8 047.35-1.78</v>
      </c>
      <c r="E884" t="str" cm="1">
        <f t="array" ref="E884">_xlfn.TEXTJOIN(", ",TRUE,_xlfn._xlws.FILTER(ROW(PriceList!$B$4:$B$2641),PriceList!$M$4:$M$2641=A884,""))</f>
        <v>1818</v>
      </c>
      <c r="F884" s="42" t="str" cm="1">
        <f t="array" ref="F884">_xlfn.TEXTJOIN(" | ",TRUE,_xlfn.UNIQUE(_xlfn._xlws.FILTER(PriceList!$Q$4:$Q$2641&amp;" x "&amp;PriceList!$R$4:$R$2641&amp;" x "&amp;PriceList!$S$4:$S$2641,PriceList!$M$4:$M$2641=A884,"")))</f>
        <v>47 x 51 x 2</v>
      </c>
      <c r="G884" t="str" cm="1">
        <f t="array" ref="G884">INDEX(_xlfn._xlws.FILTER(PriceList!$P$4:$P$2641,PriceList!$M$4:$M$2641=A884,""),1)</f>
        <v>O Ring - FPM/FKM/VitonÂ®</v>
      </c>
    </row>
    <row r="885" spans="1:7" x14ac:dyDescent="0.45">
      <c r="A885" t="s">
        <v>4868</v>
      </c>
      <c r="B885">
        <f>COUNTIF(PriceList!$M$4:$M$2641,A885)</f>
        <v>1</v>
      </c>
      <c r="C885" t="str">
        <f>IF(B885=1,"1:1","1:Many")</f>
        <v>1:1</v>
      </c>
      <c r="D885" s="42" t="str" cm="1">
        <f t="array" ref="D885">_xlfn.TEXTJOIN(" | ",TRUE,_xlfn._xlws.FILTER(PriceList!$B$4:$B$2641,PriceList!$M$4:$M$2641=A885,""))</f>
        <v>ORV8 047-3</v>
      </c>
      <c r="E885" t="str" cm="1">
        <f t="array" ref="E885">_xlfn.TEXTJOIN(", ",TRUE,_xlfn._xlws.FILTER(ROW(PriceList!$B$4:$B$2641),PriceList!$M$4:$M$2641=A885,""))</f>
        <v>1820</v>
      </c>
      <c r="F885" s="42" t="str" cm="1">
        <f t="array" ref="F885">_xlfn.TEXTJOIN(" | ",TRUE,_xlfn.UNIQUE(_xlfn._xlws.FILTER(PriceList!$Q$4:$Q$2641&amp;" x "&amp;PriceList!$R$4:$R$2641&amp;" x "&amp;PriceList!$S$4:$S$2641,PriceList!$M$4:$M$2641=A885,"")))</f>
        <v>47 x 53 x 3</v>
      </c>
      <c r="G885" t="str" cm="1">
        <f t="array" ref="G885">INDEX(_xlfn._xlws.FILTER(PriceList!$P$4:$P$2641,PriceList!$M$4:$M$2641=A885,""),1)</f>
        <v>O Ring - FPM/FKM/VitonÂ®</v>
      </c>
    </row>
    <row r="886" spans="1:7" x14ac:dyDescent="0.45">
      <c r="A886" t="s">
        <v>4082</v>
      </c>
      <c r="B886">
        <f>COUNTIF(PriceList!$M$4:$M$2641,A886)</f>
        <v>2</v>
      </c>
      <c r="C886" t="str">
        <f>IF(B886=1,"1:1","1:Many")</f>
        <v>1:Many</v>
      </c>
      <c r="D886" s="42" t="str" cm="1">
        <f t="array" ref="D886">_xlfn.TEXTJOIN(" | ",TRUE,_xlfn._xlws.FILTER(PriceList!$B$4:$B$2641,PriceList!$M$4:$M$2641=A886,""))</f>
        <v>OR7N 047-4 | OR9N 047-4</v>
      </c>
      <c r="E886" t="str" cm="1">
        <f t="array" ref="E886">_xlfn.TEXTJOIN(", ",TRUE,_xlfn._xlws.FILTER(ROW(PriceList!$B$4:$B$2641),PriceList!$M$4:$M$2641=A886,""))</f>
        <v>680, 1163</v>
      </c>
      <c r="F886" s="42" t="str" cm="1">
        <f t="array" ref="F886">_xlfn.TEXTJOIN(" | ",TRUE,_xlfn.UNIQUE(_xlfn._xlws.FILTER(PriceList!$Q$4:$Q$2641&amp;" x "&amp;PriceList!$R$4:$R$2641&amp;" x "&amp;PriceList!$S$4:$S$2641,PriceList!$M$4:$M$2641=A886,"")))</f>
        <v>47 x 55 x 4</v>
      </c>
      <c r="G886" t="str" cm="1">
        <f t="array" ref="G886">INDEX(_xlfn._xlws.FILTER(PriceList!$P$4:$P$2641,PriceList!$M$4:$M$2641=A886,""),1)</f>
        <v>O Ring - NBR 70</v>
      </c>
    </row>
    <row r="887" spans="1:7" x14ac:dyDescent="0.45">
      <c r="A887" t="s">
        <v>4854</v>
      </c>
      <c r="B887">
        <f>COUNTIF(PriceList!$M$4:$M$2641,A887)</f>
        <v>1</v>
      </c>
      <c r="C887" t="str">
        <f>IF(B887=1,"1:1","1:Many")</f>
        <v>1:1</v>
      </c>
      <c r="D887" s="42" t="str" cm="1">
        <f t="array" ref="D887">_xlfn.TEXTJOIN(" | ",TRUE,_xlfn._xlws.FILTER(PriceList!$B$4:$B$2641,PriceList!$M$4:$M$2641=A887,""))</f>
        <v>ORV8 045.7-5.33</v>
      </c>
      <c r="E887" t="str" cm="1">
        <f t="array" ref="E887">_xlfn.TEXTJOIN(", ",TRUE,_xlfn._xlws.FILTER(ROW(PriceList!$B$4:$B$2641),PriceList!$M$4:$M$2641=A887,""))</f>
        <v>1808</v>
      </c>
      <c r="F887" s="42" t="str" cm="1">
        <f t="array" ref="F887">_xlfn.TEXTJOIN(" | ",TRUE,_xlfn.UNIQUE(_xlfn._xlws.FILTER(PriceList!$Q$4:$Q$2641&amp;" x "&amp;PriceList!$R$4:$R$2641&amp;" x "&amp;PriceList!$S$4:$S$2641,PriceList!$M$4:$M$2641=A887,"")))</f>
        <v>47 x 57 x 5</v>
      </c>
      <c r="G887" t="str" cm="1">
        <f t="array" ref="G887">INDEX(_xlfn._xlws.FILTER(PriceList!$P$4:$P$2641,PriceList!$M$4:$M$2641=A887,""),1)</f>
        <v>O Ring - FPM/FKM/VitonÂ®</v>
      </c>
    </row>
    <row r="888" spans="1:7" x14ac:dyDescent="0.45">
      <c r="A888" t="s">
        <v>4446</v>
      </c>
      <c r="B888">
        <f>COUNTIF(PriceList!$M$4:$M$2641,A888)</f>
        <v>1</v>
      </c>
      <c r="C888" t="str">
        <f>IF(B888=1,"1:1","1:Many")</f>
        <v>1:1</v>
      </c>
      <c r="D888" s="42" t="str" cm="1">
        <f t="array" ref="D888">_xlfn.TEXTJOIN(" | ",TRUE,_xlfn._xlws.FILTER(PriceList!$B$4:$B$2641,PriceList!$M$4:$M$2641=A888,""))</f>
        <v>OR9N 047.7-3.5</v>
      </c>
      <c r="E888" t="str" cm="1">
        <f t="array" ref="E888">_xlfn.TEXTJOIN(", ",TRUE,_xlfn._xlws.FILTER(ROW(PriceList!$B$4:$B$2641),PriceList!$M$4:$M$2641=A888,""))</f>
        <v>1162</v>
      </c>
      <c r="F888" s="42" t="str" cm="1">
        <f t="array" ref="F888">_xlfn.TEXTJOIN(" | ",TRUE,_xlfn.UNIQUE(_xlfn._xlws.FILTER(PriceList!$Q$4:$Q$2641&amp;" x "&amp;PriceList!$R$4:$R$2641&amp;" x "&amp;PriceList!$S$4:$S$2641,PriceList!$M$4:$M$2641=A888,"")))</f>
        <v>47.7 x 54.7 x 3.5</v>
      </c>
      <c r="G888" t="str" cm="1">
        <f t="array" ref="G888">INDEX(_xlfn._xlws.FILTER(PriceList!$P$4:$P$2641,PriceList!$M$4:$M$2641=A888,""),1)</f>
        <v>O Ring - NBR 90</v>
      </c>
    </row>
    <row r="889" spans="1:7" x14ac:dyDescent="0.45">
      <c r="A889" t="s">
        <v>4872</v>
      </c>
      <c r="B889">
        <f>COUNTIF(PriceList!$M$4:$M$2641,A889)</f>
        <v>1</v>
      </c>
      <c r="C889" t="str">
        <f>IF(B889=1,"1:1","1:Many")</f>
        <v>1:1</v>
      </c>
      <c r="D889" s="42" t="str" cm="1">
        <f t="array" ref="D889">_xlfn.TEXTJOIN(" | ",TRUE,_xlfn._xlws.FILTER(PriceList!$B$4:$B$2641,PriceList!$M$4:$M$2641=A889,""))</f>
        <v>ORV8 048-2</v>
      </c>
      <c r="E889" t="str" cm="1">
        <f t="array" ref="E889">_xlfn.TEXTJOIN(", ",TRUE,_xlfn._xlws.FILTER(ROW(PriceList!$B$4:$B$2641),PriceList!$M$4:$M$2641=A889,""))</f>
        <v>1824</v>
      </c>
      <c r="F889" s="42" t="str" cm="1">
        <f t="array" ref="F889">_xlfn.TEXTJOIN(" | ",TRUE,_xlfn.UNIQUE(_xlfn._xlws.FILTER(PriceList!$Q$4:$Q$2641&amp;" x "&amp;PriceList!$R$4:$R$2641&amp;" x "&amp;PriceList!$S$4:$S$2641,PriceList!$M$4:$M$2641=A889,"")))</f>
        <v>48 x 52 x 2</v>
      </c>
      <c r="G889" t="str" cm="1">
        <f t="array" ref="G889">INDEX(_xlfn._xlws.FILTER(PriceList!$P$4:$P$2641,PriceList!$M$4:$M$2641=A889,""),1)</f>
        <v>O Ring - FPM/FKM/VitonÂ®</v>
      </c>
    </row>
    <row r="890" spans="1:7" x14ac:dyDescent="0.45">
      <c r="A890" t="s">
        <v>4447</v>
      </c>
      <c r="B890">
        <f>COUNTIF(PriceList!$M$4:$M$2641,A890)</f>
        <v>1</v>
      </c>
      <c r="C890" t="str">
        <f>IF(B890=1,"1:1","1:Many")</f>
        <v>1:1</v>
      </c>
      <c r="D890" s="42" t="str" cm="1">
        <f t="array" ref="D890">_xlfn.TEXTJOIN(" | ",TRUE,_xlfn._xlws.FILTER(PriceList!$B$4:$B$2641,PriceList!$M$4:$M$2641=A890,""))</f>
        <v>OR9N 048-2.5</v>
      </c>
      <c r="E890" t="str" cm="1">
        <f t="array" ref="E890">_xlfn.TEXTJOIN(", ",TRUE,_xlfn._xlws.FILTER(ROW(PriceList!$B$4:$B$2641),PriceList!$M$4:$M$2641=A890,""))</f>
        <v>1166</v>
      </c>
      <c r="F890" s="42" t="str" cm="1">
        <f t="array" ref="F890">_xlfn.TEXTJOIN(" | ",TRUE,_xlfn.UNIQUE(_xlfn._xlws.FILTER(PriceList!$Q$4:$Q$2641&amp;" x "&amp;PriceList!$R$4:$R$2641&amp;" x "&amp;PriceList!$S$4:$S$2641,PriceList!$M$4:$M$2641=A890,"")))</f>
        <v>48 x 53 x 2.5</v>
      </c>
      <c r="G890" t="str" cm="1">
        <f t="array" ref="G890">INDEX(_xlfn._xlws.FILTER(PriceList!$P$4:$P$2641,PriceList!$M$4:$M$2641=A890,""),1)</f>
        <v>O Ring - NBR 70</v>
      </c>
    </row>
    <row r="891" spans="1:7" x14ac:dyDescent="0.45">
      <c r="A891" t="s">
        <v>4086</v>
      </c>
      <c r="B891">
        <f>COUNTIF(PriceList!$M$4:$M$2641,A891)</f>
        <v>2</v>
      </c>
      <c r="C891" t="str">
        <f>IF(B891=1,"1:1","1:Many")</f>
        <v>1:Many</v>
      </c>
      <c r="D891" s="42" t="str" cm="1">
        <f t="array" ref="D891">_xlfn.TEXTJOIN(" | ",TRUE,_xlfn._xlws.FILTER(PriceList!$B$4:$B$2641,PriceList!$M$4:$M$2641=A891,""))</f>
        <v>OR7N 048-3 | OR9N 048-3</v>
      </c>
      <c r="E891" t="str" cm="1">
        <f t="array" ref="E891">_xlfn.TEXTJOIN(", ",TRUE,_xlfn._xlws.FILTER(ROW(PriceList!$B$4:$B$2641),PriceList!$M$4:$M$2641=A891,""))</f>
        <v>683, 1167</v>
      </c>
      <c r="F891" s="42" t="str" cm="1">
        <f t="array" ref="F891">_xlfn.TEXTJOIN(" | ",TRUE,_xlfn.UNIQUE(_xlfn._xlws.FILTER(PriceList!$Q$4:$Q$2641&amp;" x "&amp;PriceList!$R$4:$R$2641&amp;" x "&amp;PriceList!$S$4:$S$2641,PriceList!$M$4:$M$2641=A891,"")))</f>
        <v>48 x 54 x 3</v>
      </c>
      <c r="G891" t="str" cm="1">
        <f t="array" ref="G891">INDEX(_xlfn._xlws.FILTER(PriceList!$P$4:$P$2641,PriceList!$M$4:$M$2641=A891,""),1)</f>
        <v>O Ring - NBR 70</v>
      </c>
    </row>
    <row r="892" spans="1:7" x14ac:dyDescent="0.45">
      <c r="A892" t="s">
        <v>4873</v>
      </c>
      <c r="B892">
        <f>COUNTIF(PriceList!$M$4:$M$2641,A892)</f>
        <v>1</v>
      </c>
      <c r="C892" t="str">
        <f>IF(B892=1,"1:1","1:Many")</f>
        <v>1:1</v>
      </c>
      <c r="D892" s="42" t="str" cm="1">
        <f t="array" ref="D892">_xlfn.TEXTJOIN(" | ",TRUE,_xlfn._xlws.FILTER(PriceList!$B$4:$B$2641,PriceList!$M$4:$M$2641=A892,""))</f>
        <v>ORV8 048-3</v>
      </c>
      <c r="E892" t="str" cm="1">
        <f t="array" ref="E892">_xlfn.TEXTJOIN(", ",TRUE,_xlfn._xlws.FILTER(ROW(PriceList!$B$4:$B$2641),PriceList!$M$4:$M$2641=A892,""))</f>
        <v>1825</v>
      </c>
      <c r="F892" s="42" t="str" cm="1">
        <f t="array" ref="F892">_xlfn.TEXTJOIN(" | ",TRUE,_xlfn.UNIQUE(_xlfn._xlws.FILTER(PriceList!$Q$4:$Q$2641&amp;" x "&amp;PriceList!$R$4:$R$2641&amp;" x "&amp;PriceList!$S$4:$S$2641,PriceList!$M$4:$M$2641=A892,"")))</f>
        <v>48 x 54 x 3</v>
      </c>
      <c r="G892" t="str" cm="1">
        <f t="array" ref="G892">INDEX(_xlfn._xlws.FILTER(PriceList!$P$4:$P$2641,PriceList!$M$4:$M$2641=A892,""),1)</f>
        <v>O Ring - FPM/FKM/VitonÂ®</v>
      </c>
    </row>
    <row r="893" spans="1:7" x14ac:dyDescent="0.45">
      <c r="A893" t="s">
        <v>4869</v>
      </c>
      <c r="B893">
        <f>COUNTIF(PriceList!$M$4:$M$2641,A893)</f>
        <v>1</v>
      </c>
      <c r="C893" t="str">
        <f>IF(B893=1,"1:1","1:Many")</f>
        <v>1:1</v>
      </c>
      <c r="D893" s="42" t="str" cm="1">
        <f t="array" ref="D893">_xlfn.TEXTJOIN(" | ",TRUE,_xlfn._xlws.FILTER(PriceList!$B$4:$B$2641,PriceList!$M$4:$M$2641=A893,""))</f>
        <v>ORV8 047-4</v>
      </c>
      <c r="E893" t="str" cm="1">
        <f t="array" ref="E893">_xlfn.TEXTJOIN(", ",TRUE,_xlfn._xlws.FILTER(ROW(PriceList!$B$4:$B$2641),PriceList!$M$4:$M$2641=A893,""))</f>
        <v>1821</v>
      </c>
      <c r="F893" s="42" t="str" cm="1">
        <f t="array" ref="F893">_xlfn.TEXTJOIN(" | ",TRUE,_xlfn.UNIQUE(_xlfn._xlws.FILTER(PriceList!$Q$4:$Q$2641&amp;" x "&amp;PriceList!$R$4:$R$2641&amp;" x "&amp;PriceList!$S$4:$S$2641,PriceList!$M$4:$M$2641=A893,"")))</f>
        <v>48 x 55 x 3.5</v>
      </c>
      <c r="G893" t="str" cm="1">
        <f t="array" ref="G893">INDEX(_xlfn._xlws.FILTER(PriceList!$P$4:$P$2641,PriceList!$M$4:$M$2641=A893,""),1)</f>
        <v>O Ring - FPM/FKM/VitonÂ®</v>
      </c>
    </row>
    <row r="894" spans="1:7" x14ac:dyDescent="0.45">
      <c r="A894" t="s">
        <v>4870</v>
      </c>
      <c r="B894">
        <f>COUNTIF(PriceList!$M$4:$M$2641,A894)</f>
        <v>2</v>
      </c>
      <c r="C894" t="str">
        <f>IF(B894=1,"1:1","1:Many")</f>
        <v>1:Many</v>
      </c>
      <c r="D894" s="42" t="str" cm="1">
        <f t="array" ref="D894">_xlfn.TEXTJOIN(" | ",TRUE,_xlfn._xlws.FILTER(PriceList!$B$4:$B$2641,PriceList!$M$4:$M$2641=A894,""))</f>
        <v>ORV8 048.7-3.5 | ORV8 048-4</v>
      </c>
      <c r="E894" t="str" cm="1">
        <f t="array" ref="E894">_xlfn.TEXTJOIN(", ",TRUE,_xlfn._xlws.FILTER(ROW(PriceList!$B$4:$B$2641),PriceList!$M$4:$M$2641=A894,""))</f>
        <v>1822, 1826</v>
      </c>
      <c r="F894" s="42" t="str" cm="1">
        <f t="array" ref="F894">_xlfn.TEXTJOIN(" | ",TRUE,_xlfn.UNIQUE(_xlfn._xlws.FILTER(PriceList!$Q$4:$Q$2641&amp;" x "&amp;PriceList!$R$4:$R$2641&amp;" x "&amp;PriceList!$S$4:$S$2641,PriceList!$M$4:$M$2641=A894,"")))</f>
        <v>48 x 56 x 4</v>
      </c>
      <c r="G894" t="str" cm="1">
        <f t="array" ref="G894">INDEX(_xlfn._xlws.FILTER(PriceList!$P$4:$P$2641,PriceList!$M$4:$M$2641=A894,""),1)</f>
        <v>O Ring - FPM/FKM/VitonÂ®</v>
      </c>
    </row>
    <row r="895" spans="1:7" x14ac:dyDescent="0.45">
      <c r="A895" t="s">
        <v>4448</v>
      </c>
      <c r="B895">
        <f>COUNTIF(PriceList!$M$4:$M$2641,A895)</f>
        <v>1</v>
      </c>
      <c r="C895" t="str">
        <f>IF(B895=1,"1:1","1:Many")</f>
        <v>1:1</v>
      </c>
      <c r="D895" s="42" t="str" cm="1">
        <f t="array" ref="D895">_xlfn.TEXTJOIN(" | ",TRUE,_xlfn._xlws.FILTER(PriceList!$B$4:$B$2641,PriceList!$M$4:$M$2641=A895,""))</f>
        <v>OR9N 048-5</v>
      </c>
      <c r="E895" t="str" cm="1">
        <f t="array" ref="E895">_xlfn.TEXTJOIN(", ",TRUE,_xlfn._xlws.FILTER(ROW(PriceList!$B$4:$B$2641),PriceList!$M$4:$M$2641=A895,""))</f>
        <v>1168</v>
      </c>
      <c r="F895" s="42" t="str" cm="1">
        <f t="array" ref="F895">_xlfn.TEXTJOIN(" | ",TRUE,_xlfn.UNIQUE(_xlfn._xlws.FILTER(PriceList!$Q$4:$Q$2641&amp;" x "&amp;PriceList!$R$4:$R$2641&amp;" x "&amp;PriceList!$S$4:$S$2641,PriceList!$M$4:$M$2641=A895,"")))</f>
        <v>48 x 58 x 5</v>
      </c>
      <c r="G895" t="str" cm="1">
        <f t="array" ref="G895">INDEX(_xlfn._xlws.FILTER(PriceList!$P$4:$P$2641,PriceList!$M$4:$M$2641=A895,""),1)</f>
        <v>O Ring - NBR 70</v>
      </c>
    </row>
    <row r="896" spans="1:7" x14ac:dyDescent="0.45">
      <c r="A896" t="s">
        <v>4083</v>
      </c>
      <c r="B896">
        <f>COUNTIF(PriceList!$M$4:$M$2641,A896)</f>
        <v>2</v>
      </c>
      <c r="C896" t="str">
        <f>IF(B896=1,"1:1","1:Many")</f>
        <v>1:Many</v>
      </c>
      <c r="D896" s="42" t="str" cm="1">
        <f t="array" ref="D896">_xlfn.TEXTJOIN(" | ",TRUE,_xlfn._xlws.FILTER(PriceList!$B$4:$B$2641,PriceList!$M$4:$M$2641=A896,""))</f>
        <v>OR7N 048.7-3.5 | OR9N 048.7-3.5</v>
      </c>
      <c r="E896" t="str" cm="1">
        <f t="array" ref="E896">_xlfn.TEXTJOIN(", ",TRUE,_xlfn._xlws.FILTER(ROW(PriceList!$B$4:$B$2641),PriceList!$M$4:$M$2641=A896,""))</f>
        <v>681, 1164</v>
      </c>
      <c r="F896" s="42" t="str" cm="1">
        <f t="array" ref="F896">_xlfn.TEXTJOIN(" | ",TRUE,_xlfn.UNIQUE(_xlfn._xlws.FILTER(PriceList!$Q$4:$Q$2641&amp;" x "&amp;PriceList!$R$4:$R$2641&amp;" x "&amp;PriceList!$S$4:$S$2641,PriceList!$M$4:$M$2641=A896,"")))</f>
        <v>48.7 x 55.7 x 3.5</v>
      </c>
      <c r="G896" t="str" cm="1">
        <f t="array" ref="G896">INDEX(_xlfn._xlws.FILTER(PriceList!$P$4:$P$2641,PriceList!$M$4:$M$2641=A896,""),1)</f>
        <v>O Ring - NBR 70</v>
      </c>
    </row>
    <row r="897" spans="1:7" x14ac:dyDescent="0.45">
      <c r="A897" t="s">
        <v>4084</v>
      </c>
      <c r="B897">
        <f>COUNTIF(PriceList!$M$4:$M$2641,A897)</f>
        <v>2</v>
      </c>
      <c r="C897" t="str">
        <f>IF(B897=1,"1:1","1:Many")</f>
        <v>1:Many</v>
      </c>
      <c r="D897" s="42" t="str" cm="1">
        <f t="array" ref="D897">_xlfn.TEXTJOIN(" | ",TRUE,_xlfn._xlws.FILTER(PriceList!$B$4:$B$2641,PriceList!$M$4:$M$2641=A897,""))</f>
        <v>OR7N 048.9-2.62 | OR9N 048.9-2.62</v>
      </c>
      <c r="E897" t="str" cm="1">
        <f t="array" ref="E897">_xlfn.TEXTJOIN(", ",TRUE,_xlfn._xlws.FILTER(ROW(PriceList!$B$4:$B$2641),PriceList!$M$4:$M$2641=A897,""))</f>
        <v>682, 1165</v>
      </c>
      <c r="F897" s="42" t="str" cm="1">
        <f t="array" ref="F897">_xlfn.TEXTJOIN(" | ",TRUE,_xlfn.UNIQUE(_xlfn._xlws.FILTER(PriceList!$Q$4:$Q$2641&amp;" x "&amp;PriceList!$R$4:$R$2641&amp;" x "&amp;PriceList!$S$4:$S$2641,PriceList!$M$4:$M$2641=A897,"")))</f>
        <v>49 x 54 x 2.5</v>
      </c>
      <c r="G897" t="str" cm="1">
        <f t="array" ref="G897">INDEX(_xlfn._xlws.FILTER(PriceList!$P$4:$P$2641,PriceList!$M$4:$M$2641=A897,""),1)</f>
        <v>O Ring - NBR 70</v>
      </c>
    </row>
    <row r="898" spans="1:7" x14ac:dyDescent="0.45">
      <c r="A898" t="s">
        <v>4871</v>
      </c>
      <c r="B898">
        <f>COUNTIF(PriceList!$M$4:$M$2641,A898)</f>
        <v>2</v>
      </c>
      <c r="C898" t="str">
        <f>IF(B898=1,"1:1","1:Many")</f>
        <v>1:Many</v>
      </c>
      <c r="D898" s="42" t="str" cm="1">
        <f t="array" ref="D898">_xlfn.TEXTJOIN(" | ",TRUE,_xlfn._xlws.FILTER(PriceList!$B$4:$B$2641,PriceList!$M$4:$M$2641=A898,""))</f>
        <v>ORV8 048.9-2.62 | ORV8 049.4-2.4</v>
      </c>
      <c r="E898" t="str" cm="1">
        <f t="array" ref="E898">_xlfn.TEXTJOIN(", ",TRUE,_xlfn._xlws.FILTER(ROW(PriceList!$B$4:$B$2641),PriceList!$M$4:$M$2641=A898,""))</f>
        <v>1823, 1828</v>
      </c>
      <c r="F898" s="42" t="str" cm="1">
        <f t="array" ref="F898">_xlfn.TEXTJOIN(" | ",TRUE,_xlfn.UNIQUE(_xlfn._xlws.FILTER(PriceList!$Q$4:$Q$2641&amp;" x "&amp;PriceList!$R$4:$R$2641&amp;" x "&amp;PriceList!$S$4:$S$2641,PriceList!$M$4:$M$2641=A898,"")))</f>
        <v>49 x 54 x 2.5</v>
      </c>
      <c r="G898" t="str" cm="1">
        <f t="array" ref="G898">INDEX(_xlfn._xlws.FILTER(PriceList!$P$4:$P$2641,PriceList!$M$4:$M$2641=A898,""),1)</f>
        <v>O Ring - FPM/FKM/VitonÂ®</v>
      </c>
    </row>
    <row r="899" spans="1:7" x14ac:dyDescent="0.45">
      <c r="A899" t="s">
        <v>4449</v>
      </c>
      <c r="B899">
        <f>COUNTIF(PriceList!$M$4:$M$2641,A899)</f>
        <v>1</v>
      </c>
      <c r="C899" t="str">
        <f>IF(B899=1,"1:1","1:Many")</f>
        <v>1:1</v>
      </c>
      <c r="D899" s="42" t="str" cm="1">
        <f t="array" ref="D899">_xlfn.TEXTJOIN(" | ",TRUE,_xlfn._xlws.FILTER(PriceList!$B$4:$B$2641,PriceList!$M$4:$M$2641=A899,""))</f>
        <v>OR9N 049.2-5.7</v>
      </c>
      <c r="E899" t="str" cm="1">
        <f t="array" ref="E899">_xlfn.TEXTJOIN(", ",TRUE,_xlfn._xlws.FILTER(ROW(PriceList!$B$4:$B$2641),PriceList!$M$4:$M$2641=A899,""))</f>
        <v>1169</v>
      </c>
      <c r="F899" s="42" t="str" cm="1">
        <f t="array" ref="F899">_xlfn.TEXTJOIN(" | ",TRUE,_xlfn.UNIQUE(_xlfn._xlws.FILTER(PriceList!$Q$4:$Q$2641&amp;" x "&amp;PriceList!$R$4:$R$2641&amp;" x "&amp;PriceList!$S$4:$S$2641,PriceList!$M$4:$M$2641=A899,"")))</f>
        <v>49.3 x 60.7 x 5.7</v>
      </c>
      <c r="G899" t="str" cm="1">
        <f t="array" ref="G899">INDEX(_xlfn._xlws.FILTER(PriceList!$P$4:$P$2641,PriceList!$M$4:$M$2641=A899,""),1)</f>
        <v>O Ring - NBR 70</v>
      </c>
    </row>
    <row r="900" spans="1:7" x14ac:dyDescent="0.45">
      <c r="A900" t="s">
        <v>4450</v>
      </c>
      <c r="B900">
        <f>COUNTIF(PriceList!$M$4:$M$2641,A900)</f>
        <v>1</v>
      </c>
      <c r="C900" t="str">
        <f>IF(B900=1,"1:1","1:Many")</f>
        <v>1:1</v>
      </c>
      <c r="D900" s="42" t="str" cm="1">
        <f t="array" ref="D900">_xlfn.TEXTJOIN(" | ",TRUE,_xlfn._xlws.FILTER(PriceList!$B$4:$B$2641,PriceList!$M$4:$M$2641=A900,""))</f>
        <v>OR9N 049.4-3.1</v>
      </c>
      <c r="E900" t="str" cm="1">
        <f t="array" ref="E900">_xlfn.TEXTJOIN(", ",TRUE,_xlfn._xlws.FILTER(ROW(PriceList!$B$4:$B$2641),PriceList!$M$4:$M$2641=A900,""))</f>
        <v>1170</v>
      </c>
      <c r="F900" s="42" t="str" cm="1">
        <f t="array" ref="F900">_xlfn.TEXTJOIN(" | ",TRUE,_xlfn.UNIQUE(_xlfn._xlws.FILTER(PriceList!$Q$4:$Q$2641&amp;" x "&amp;PriceList!$R$4:$R$2641&amp;" x "&amp;PriceList!$S$4:$S$2641,PriceList!$M$4:$M$2641=A900,"")))</f>
        <v>49.4 x 55.6 x 3.1</v>
      </c>
      <c r="G900" t="str" cm="1">
        <f t="array" ref="G900">INDEX(_xlfn._xlws.FILTER(PriceList!$P$4:$P$2641,PriceList!$M$4:$M$2641=A900,""),1)</f>
        <v>O Ring - NBR 70</v>
      </c>
    </row>
    <row r="901" spans="1:7" x14ac:dyDescent="0.45">
      <c r="A901" t="s">
        <v>4876</v>
      </c>
      <c r="B901">
        <f>COUNTIF(PriceList!$M$4:$M$2641,A901)</f>
        <v>1</v>
      </c>
      <c r="C901" t="str">
        <f>IF(B901=1,"1:1","1:Many")</f>
        <v>1:1</v>
      </c>
      <c r="D901" s="42" t="str" cm="1">
        <f t="array" ref="D901">_xlfn.TEXTJOIN(" | ",TRUE,_xlfn._xlws.FILTER(PriceList!$B$4:$B$2641,PriceList!$M$4:$M$2641=A901,""))</f>
        <v>ORV8 049.4-3.1</v>
      </c>
      <c r="E901" t="str" cm="1">
        <f t="array" ref="E901">_xlfn.TEXTJOIN(", ",TRUE,_xlfn._xlws.FILTER(ROW(PriceList!$B$4:$B$2641),PriceList!$M$4:$M$2641=A901,""))</f>
        <v>1829</v>
      </c>
      <c r="F901" s="42" t="str" cm="1">
        <f t="array" ref="F901">_xlfn.TEXTJOIN(" | ",TRUE,_xlfn.UNIQUE(_xlfn._xlws.FILTER(PriceList!$Q$4:$Q$2641&amp;" x "&amp;PriceList!$R$4:$R$2641&amp;" x "&amp;PriceList!$S$4:$S$2641,PriceList!$M$4:$M$2641=A901,"")))</f>
        <v>49.5 x 55.5 x 3</v>
      </c>
      <c r="G901" t="str" cm="1">
        <f t="array" ref="G901">INDEX(_xlfn._xlws.FILTER(PriceList!$P$4:$P$2641,PriceList!$M$4:$M$2641=A901,""),1)</f>
        <v>O Ring - FPM/FKM/VitonÂ®</v>
      </c>
    </row>
    <row r="902" spans="1:7" x14ac:dyDescent="0.45">
      <c r="A902" t="s">
        <v>4087</v>
      </c>
      <c r="B902">
        <f>COUNTIF(PriceList!$M$4:$M$2641,A902)</f>
        <v>2</v>
      </c>
      <c r="C902" t="str">
        <f>IF(B902=1,"1:1","1:Many")</f>
        <v>1:Many</v>
      </c>
      <c r="D902" s="42" t="str" cm="1">
        <f t="array" ref="D902">_xlfn.TEXTJOIN(" | ",TRUE,_xlfn._xlws.FILTER(PriceList!$B$4:$B$2641,PriceList!$M$4:$M$2641=A902,""))</f>
        <v>OR7N 049.7-3.5 | OR9N 049.7-3.5</v>
      </c>
      <c r="E902" t="str" cm="1">
        <f t="array" ref="E902">_xlfn.TEXTJOIN(", ",TRUE,_xlfn._xlws.FILTER(ROW(PriceList!$B$4:$B$2641),PriceList!$M$4:$M$2641=A902,""))</f>
        <v>684, 1171</v>
      </c>
      <c r="F902" s="42" t="str" cm="1">
        <f t="array" ref="F902">_xlfn.TEXTJOIN(" | ",TRUE,_xlfn.UNIQUE(_xlfn._xlws.FILTER(PriceList!$Q$4:$Q$2641&amp;" x "&amp;PriceList!$R$4:$R$2641&amp;" x "&amp;PriceList!$S$4:$S$2641,PriceList!$M$4:$M$2641=A902,"")))</f>
        <v>49.7 x 56.7 x 3.5</v>
      </c>
      <c r="G902" t="str" cm="1">
        <f t="array" ref="G902">INDEX(_xlfn._xlws.FILTER(PriceList!$P$4:$P$2641,PriceList!$M$4:$M$2641=A902,""),1)</f>
        <v>O Ring - NBR 90</v>
      </c>
    </row>
    <row r="903" spans="1:7" x14ac:dyDescent="0.45">
      <c r="A903" t="s">
        <v>4452</v>
      </c>
      <c r="B903">
        <f>COUNTIF(PriceList!$M$4:$M$2641,A903)</f>
        <v>1</v>
      </c>
      <c r="C903" t="str">
        <f>IF(B903=1,"1:1","1:Many")</f>
        <v>1:1</v>
      </c>
      <c r="D903" s="42" t="str" cm="1">
        <f t="array" ref="D903">_xlfn.TEXTJOIN(" | ",TRUE,_xlfn._xlws.FILTER(PriceList!$B$4:$B$2641,PriceList!$M$4:$M$2641=A903,""))</f>
        <v>OR9N 050-2</v>
      </c>
      <c r="E903" t="str" cm="1">
        <f t="array" ref="E903">_xlfn.TEXTJOIN(", ",TRUE,_xlfn._xlws.FILTER(ROW(PriceList!$B$4:$B$2641),PriceList!$M$4:$M$2641=A903,""))</f>
        <v>1176</v>
      </c>
      <c r="F903" s="42" t="str" cm="1">
        <f t="array" ref="F903">_xlfn.TEXTJOIN(" | ",TRUE,_xlfn.UNIQUE(_xlfn._xlws.FILTER(PriceList!$Q$4:$Q$2641&amp;" x "&amp;PriceList!$R$4:$R$2641&amp;" x "&amp;PriceList!$S$4:$S$2641,PriceList!$M$4:$M$2641=A903,"")))</f>
        <v>50 x 54 x 2</v>
      </c>
      <c r="G903" t="str" cm="1">
        <f t="array" ref="G903">INDEX(_xlfn._xlws.FILTER(PriceList!$P$4:$P$2641,PriceList!$M$4:$M$2641=A903,""),1)</f>
        <v>O Ring - NBR 70</v>
      </c>
    </row>
    <row r="904" spans="1:7" x14ac:dyDescent="0.45">
      <c r="A904" t="s">
        <v>4453</v>
      </c>
      <c r="B904">
        <f>COUNTIF(PriceList!$M$4:$M$2641,A904)</f>
        <v>1</v>
      </c>
      <c r="C904" t="str">
        <f>IF(B904=1,"1:1","1:Many")</f>
        <v>1:1</v>
      </c>
      <c r="D904" s="42" t="str" cm="1">
        <f t="array" ref="D904">_xlfn.TEXTJOIN(" | ",TRUE,_xlfn._xlws.FILTER(PriceList!$B$4:$B$2641,PriceList!$M$4:$M$2641=A904,""))</f>
        <v>OR9N 050-2.5</v>
      </c>
      <c r="E904" t="str" cm="1">
        <f t="array" ref="E904">_xlfn.TEXTJOIN(", ",TRUE,_xlfn._xlws.FILTER(ROW(PriceList!$B$4:$B$2641),PriceList!$M$4:$M$2641=A904,""))</f>
        <v>1177</v>
      </c>
      <c r="F904" s="42" t="str" cm="1">
        <f t="array" ref="F904">_xlfn.TEXTJOIN(" | ",TRUE,_xlfn.UNIQUE(_xlfn._xlws.FILTER(PriceList!$Q$4:$Q$2641&amp;" x "&amp;PriceList!$R$4:$R$2641&amp;" x "&amp;PriceList!$S$4:$S$2641,PriceList!$M$4:$M$2641=A904,"")))</f>
        <v>50 x 55 x 2.5</v>
      </c>
      <c r="G904" t="str" cm="1">
        <f t="array" ref="G904">INDEX(_xlfn._xlws.FILTER(PriceList!$P$4:$P$2641,PriceList!$M$4:$M$2641=A904,""),1)</f>
        <v>O Ring - NBR 70</v>
      </c>
    </row>
    <row r="905" spans="1:7" x14ac:dyDescent="0.45">
      <c r="A905" t="s">
        <v>4882</v>
      </c>
      <c r="B905">
        <f>COUNTIF(PriceList!$M$4:$M$2641,A905)</f>
        <v>1</v>
      </c>
      <c r="C905" t="str">
        <f>IF(B905=1,"1:1","1:Many")</f>
        <v>1:1</v>
      </c>
      <c r="D905" s="42" t="str" cm="1">
        <f t="array" ref="D905">_xlfn.TEXTJOIN(" | ",TRUE,_xlfn._xlws.FILTER(PriceList!$B$4:$B$2641,PriceList!$M$4:$M$2641=A905,""))</f>
        <v>ORV8 050-2.5</v>
      </c>
      <c r="E905" t="str" cm="1">
        <f t="array" ref="E905">_xlfn.TEXTJOIN(", ",TRUE,_xlfn._xlws.FILTER(ROW(PriceList!$B$4:$B$2641),PriceList!$M$4:$M$2641=A905,""))</f>
        <v>1835</v>
      </c>
      <c r="F905" s="42" t="str" cm="1">
        <f t="array" ref="F905">_xlfn.TEXTJOIN(" | ",TRUE,_xlfn.UNIQUE(_xlfn._xlws.FILTER(PriceList!$Q$4:$Q$2641&amp;" x "&amp;PriceList!$R$4:$R$2641&amp;" x "&amp;PriceList!$S$4:$S$2641,PriceList!$M$4:$M$2641=A905,"")))</f>
        <v>50 x 55 x 2.5</v>
      </c>
      <c r="G905" t="str" cm="1">
        <f t="array" ref="G905">INDEX(_xlfn._xlws.FILTER(PriceList!$P$4:$P$2641,PriceList!$M$4:$M$2641=A905,""),1)</f>
        <v>O Ring - FPM/FKM/VitonÂ®</v>
      </c>
    </row>
    <row r="906" spans="1:7" x14ac:dyDescent="0.45">
      <c r="A906" t="s">
        <v>4454</v>
      </c>
      <c r="B906">
        <f>COUNTIF(PriceList!$M$4:$M$2641,A906)</f>
        <v>1</v>
      </c>
      <c r="C906" t="str">
        <f>IF(B906=1,"1:1","1:Many")</f>
        <v>1:1</v>
      </c>
      <c r="D906" s="42" t="str" cm="1">
        <f t="array" ref="D906">_xlfn.TEXTJOIN(" | ",TRUE,_xlfn._xlws.FILTER(PriceList!$B$4:$B$2641,PriceList!$M$4:$M$2641=A906,""))</f>
        <v>OR9N 050-3</v>
      </c>
      <c r="E906" t="str" cm="1">
        <f t="array" ref="E906">_xlfn.TEXTJOIN(", ",TRUE,_xlfn._xlws.FILTER(ROW(PriceList!$B$4:$B$2641),PriceList!$M$4:$M$2641=A906,""))</f>
        <v>1178</v>
      </c>
      <c r="F906" s="42" t="str" cm="1">
        <f t="array" ref="F906">_xlfn.TEXTJOIN(" | ",TRUE,_xlfn.UNIQUE(_xlfn._xlws.FILTER(PriceList!$Q$4:$Q$2641&amp;" x "&amp;PriceList!$R$4:$R$2641&amp;" x "&amp;PriceList!$S$4:$S$2641,PriceList!$M$4:$M$2641=A906,"")))</f>
        <v>50 x 56 x 3</v>
      </c>
      <c r="G906" t="str" cm="1">
        <f t="array" ref="G906">INDEX(_xlfn._xlws.FILTER(PriceList!$P$4:$P$2641,PriceList!$M$4:$M$2641=A906,""),1)</f>
        <v>O Ring - NBR 70</v>
      </c>
    </row>
    <row r="907" spans="1:7" x14ac:dyDescent="0.45">
      <c r="A907" t="s">
        <v>4877</v>
      </c>
      <c r="B907">
        <f>COUNTIF(PriceList!$M$4:$M$2641,A907)</f>
        <v>1</v>
      </c>
      <c r="C907" t="str">
        <f>IF(B907=1,"1:1","1:Many")</f>
        <v>1:1</v>
      </c>
      <c r="D907" s="42" t="str" cm="1">
        <f t="array" ref="D907">_xlfn.TEXTJOIN(" | ",TRUE,_xlfn._xlws.FILTER(PriceList!$B$4:$B$2641,PriceList!$M$4:$M$2641=A907,""))</f>
        <v>ORV8 049.7-3.5</v>
      </c>
      <c r="E907" t="str" cm="1">
        <f t="array" ref="E907">_xlfn.TEXTJOIN(", ",TRUE,_xlfn._xlws.FILTER(ROW(PriceList!$B$4:$B$2641),PriceList!$M$4:$M$2641=A907,""))</f>
        <v>1830</v>
      </c>
      <c r="F907" s="42" t="str" cm="1">
        <f t="array" ref="F907">_xlfn.TEXTJOIN(" | ",TRUE,_xlfn.UNIQUE(_xlfn._xlws.FILTER(PriceList!$Q$4:$Q$2641&amp;" x "&amp;PriceList!$R$4:$R$2641&amp;" x "&amp;PriceList!$S$4:$S$2641,PriceList!$M$4:$M$2641=A907,"")))</f>
        <v>50 x 56 x 3</v>
      </c>
      <c r="G907" t="str" cm="1">
        <f t="array" ref="G907">INDEX(_xlfn._xlws.FILTER(PriceList!$P$4:$P$2641,PriceList!$M$4:$M$2641=A907,""),1)</f>
        <v>O Ring - FPM/FKM/VitonÂ®</v>
      </c>
    </row>
    <row r="908" spans="1:7" x14ac:dyDescent="0.45">
      <c r="A908" t="s">
        <v>4455</v>
      </c>
      <c r="B908">
        <f>COUNTIF(PriceList!$M$4:$M$2641,A908)</f>
        <v>1</v>
      </c>
      <c r="C908" t="str">
        <f>IF(B908=1,"1:1","1:Many")</f>
        <v>1:1</v>
      </c>
      <c r="D908" s="42" t="str" cm="1">
        <f t="array" ref="D908">_xlfn.TEXTJOIN(" | ",TRUE,_xlfn._xlws.FILTER(PriceList!$B$4:$B$2641,PriceList!$M$4:$M$2641=A908,""))</f>
        <v>OR9N 050-4</v>
      </c>
      <c r="E908" t="str" cm="1">
        <f t="array" ref="E908">_xlfn.TEXTJOIN(", ",TRUE,_xlfn._xlws.FILTER(ROW(PriceList!$B$4:$B$2641),PriceList!$M$4:$M$2641=A908,""))</f>
        <v>1179</v>
      </c>
      <c r="F908" s="42" t="str" cm="1">
        <f t="array" ref="F908">_xlfn.TEXTJOIN(" | ",TRUE,_xlfn.UNIQUE(_xlfn._xlws.FILTER(PriceList!$Q$4:$Q$2641&amp;" x "&amp;PriceList!$R$4:$R$2641&amp;" x "&amp;PriceList!$S$4:$S$2641,PriceList!$M$4:$M$2641=A908,"")))</f>
        <v>50 x 58 x 4</v>
      </c>
      <c r="G908" t="str" cm="1">
        <f t="array" ref="G908">INDEX(_xlfn._xlws.FILTER(PriceList!$P$4:$P$2641,PriceList!$M$4:$M$2641=A908,""),1)</f>
        <v>O Ring - NBR 70</v>
      </c>
    </row>
    <row r="909" spans="1:7" x14ac:dyDescent="0.45">
      <c r="A909" t="s">
        <v>4883</v>
      </c>
      <c r="B909">
        <f>COUNTIF(PriceList!$M$4:$M$2641,A909)</f>
        <v>1</v>
      </c>
      <c r="C909" t="str">
        <f>IF(B909=1,"1:1","1:Many")</f>
        <v>1:1</v>
      </c>
      <c r="D909" s="42" t="str" cm="1">
        <f t="array" ref="D909">_xlfn.TEXTJOIN(" | ",TRUE,_xlfn._xlws.FILTER(PriceList!$B$4:$B$2641,PriceList!$M$4:$M$2641=A909,""))</f>
        <v>ORV8 050-4</v>
      </c>
      <c r="E909" t="str" cm="1">
        <f t="array" ref="E909">_xlfn.TEXTJOIN(", ",TRUE,_xlfn._xlws.FILTER(ROW(PriceList!$B$4:$B$2641),PriceList!$M$4:$M$2641=A909,""))</f>
        <v>1836</v>
      </c>
      <c r="F909" s="42" t="str" cm="1">
        <f t="array" ref="F909">_xlfn.TEXTJOIN(" | ",TRUE,_xlfn.UNIQUE(_xlfn._xlws.FILTER(PriceList!$Q$4:$Q$2641&amp;" x "&amp;PriceList!$R$4:$R$2641&amp;" x "&amp;PriceList!$S$4:$S$2641,PriceList!$M$4:$M$2641=A909,"")))</f>
        <v>50 x 58 x 4</v>
      </c>
      <c r="G909" t="str" cm="1">
        <f t="array" ref="G909">INDEX(_xlfn._xlws.FILTER(PriceList!$P$4:$P$2641,PriceList!$M$4:$M$2641=A909,""),1)</f>
        <v>O Ring - FPM/FKM/VitonÂ®</v>
      </c>
    </row>
    <row r="910" spans="1:7" x14ac:dyDescent="0.45">
      <c r="A910" t="s">
        <v>4092</v>
      </c>
      <c r="B910">
        <f>COUNTIF(PriceList!$M$4:$M$2641,A910)</f>
        <v>2</v>
      </c>
      <c r="C910" t="str">
        <f>IF(B910=1,"1:1","1:Many")</f>
        <v>1:Many</v>
      </c>
      <c r="D910" s="42" t="str" cm="1">
        <f t="array" ref="D910">_xlfn.TEXTJOIN(" | ",TRUE,_xlfn._xlws.FILTER(PriceList!$B$4:$B$2641,PriceList!$M$4:$M$2641=A910,""))</f>
        <v>OR7N 050-5 | OR9N 050-5</v>
      </c>
      <c r="E910" t="str" cm="1">
        <f t="array" ref="E910">_xlfn.TEXTJOIN(", ",TRUE,_xlfn._xlws.FILTER(ROW(PriceList!$B$4:$B$2641),PriceList!$M$4:$M$2641=A910,""))</f>
        <v>688, 1180</v>
      </c>
      <c r="F910" s="42" t="str" cm="1">
        <f t="array" ref="F910">_xlfn.TEXTJOIN(" | ",TRUE,_xlfn.UNIQUE(_xlfn._xlws.FILTER(PriceList!$Q$4:$Q$2641&amp;" x "&amp;PriceList!$R$4:$R$2641&amp;" x "&amp;PriceList!$S$4:$S$2641,PriceList!$M$4:$M$2641=A910,"")))</f>
        <v>50 x 60 x 5</v>
      </c>
      <c r="G910" t="str" cm="1">
        <f t="array" ref="G910">INDEX(_xlfn._xlws.FILTER(PriceList!$P$4:$P$2641,PriceList!$M$4:$M$2641=A910,""),1)</f>
        <v>O Ring - NBR 70</v>
      </c>
    </row>
    <row r="911" spans="1:7" x14ac:dyDescent="0.45">
      <c r="A911" t="s">
        <v>4874</v>
      </c>
      <c r="B911">
        <f>COUNTIF(PriceList!$M$4:$M$2641,A911)</f>
        <v>2</v>
      </c>
      <c r="C911" t="str">
        <f>IF(B911=1,"1:1","1:Many")</f>
        <v>1:Many</v>
      </c>
      <c r="D911" s="42" t="str" cm="1">
        <f t="array" ref="D911">_xlfn.TEXTJOIN(" | ",TRUE,_xlfn._xlws.FILTER(PriceList!$B$4:$B$2641,PriceList!$M$4:$M$2641=A911,""))</f>
        <v>ORV8 049.2-5.7 | ORV8 050-5</v>
      </c>
      <c r="E911" t="str" cm="1">
        <f t="array" ref="E911">_xlfn.TEXTJOIN(", ",TRUE,_xlfn._xlws.FILTER(ROW(PriceList!$B$4:$B$2641),PriceList!$M$4:$M$2641=A911,""))</f>
        <v>1827, 1837</v>
      </c>
      <c r="F911" s="42" t="str" cm="1">
        <f t="array" ref="F911">_xlfn.TEXTJOIN(" | ",TRUE,_xlfn.UNIQUE(_xlfn._xlws.FILTER(PriceList!$Q$4:$Q$2641&amp;" x "&amp;PriceList!$R$4:$R$2641&amp;" x "&amp;PriceList!$S$4:$S$2641,PriceList!$M$4:$M$2641=A911,"")))</f>
        <v>50 x 60 x 5</v>
      </c>
      <c r="G911" t="str" cm="1">
        <f t="array" ref="G911">INDEX(_xlfn._xlws.FILTER(PriceList!$P$4:$P$2641,PriceList!$M$4:$M$2641=A911,""),1)</f>
        <v>O Ring - FPM/FKM/VitonÂ®</v>
      </c>
    </row>
    <row r="912" spans="1:7" x14ac:dyDescent="0.45">
      <c r="A912" t="s">
        <v>4088</v>
      </c>
      <c r="B912">
        <f>COUNTIF(PriceList!$M$4:$M$2641,A912)</f>
        <v>2</v>
      </c>
      <c r="C912" t="str">
        <f>IF(B912=1,"1:1","1:Many")</f>
        <v>1:Many</v>
      </c>
      <c r="D912" s="42" t="str" cm="1">
        <f t="array" ref="D912">_xlfn.TEXTJOIN(" | ",TRUE,_xlfn._xlws.FILTER(PriceList!$B$4:$B$2641,PriceList!$M$4:$M$2641=A912,""))</f>
        <v>OR7N 050.17-5.33 | OR9N 050.17-5.33</v>
      </c>
      <c r="E912" t="str" cm="1">
        <f t="array" ref="E912">_xlfn.TEXTJOIN(", ",TRUE,_xlfn._xlws.FILTER(ROW(PriceList!$B$4:$B$2641),PriceList!$M$4:$M$2641=A912,""))</f>
        <v>685, 1172</v>
      </c>
      <c r="F912" s="42" t="str" cm="1">
        <f t="array" ref="F912">_xlfn.TEXTJOIN(" | ",TRUE,_xlfn.UNIQUE(_xlfn._xlws.FILTER(PriceList!$Q$4:$Q$2641&amp;" x "&amp;PriceList!$R$4:$R$2641&amp;" x "&amp;PriceList!$S$4:$S$2641,PriceList!$M$4:$M$2641=A912,"")))</f>
        <v>50 x 61 x 5.5</v>
      </c>
      <c r="G912" t="str" cm="1">
        <f t="array" ref="G912">INDEX(_xlfn._xlws.FILTER(PriceList!$P$4:$P$2641,PriceList!$M$4:$M$2641=A912,""),1)</f>
        <v>O Ring - NBR 70</v>
      </c>
    </row>
    <row r="913" spans="1:7" x14ac:dyDescent="0.45">
      <c r="A913" t="s">
        <v>4456</v>
      </c>
      <c r="B913">
        <f>COUNTIF(PriceList!$M$4:$M$2641,A913)</f>
        <v>1</v>
      </c>
      <c r="C913" t="str">
        <f>IF(B913=1,"1:1","1:Many")</f>
        <v>1:1</v>
      </c>
      <c r="D913" s="42" t="str" cm="1">
        <f t="array" ref="D913">_xlfn.TEXTJOIN(" | ",TRUE,_xlfn._xlws.FILTER(PriceList!$B$4:$B$2641,PriceList!$M$4:$M$2641=A913,""))</f>
        <v>OR9N 051.6-5.7</v>
      </c>
      <c r="E913" t="str" cm="1">
        <f t="array" ref="E913">_xlfn.TEXTJOIN(", ",TRUE,_xlfn._xlws.FILTER(ROW(PriceList!$B$4:$B$2641),PriceList!$M$4:$M$2641=A913,""))</f>
        <v>1181</v>
      </c>
      <c r="F913" s="42" t="str" cm="1">
        <f t="array" ref="F913">_xlfn.TEXTJOIN(" | ",TRUE,_xlfn.UNIQUE(_xlfn._xlws.FILTER(PriceList!$Q$4:$Q$2641&amp;" x "&amp;PriceList!$R$4:$R$2641&amp;" x "&amp;PriceList!$S$4:$S$2641,PriceList!$M$4:$M$2641=A913,"")))</f>
        <v>51.6 x 63 x 5.7</v>
      </c>
      <c r="G913" t="str" cm="1">
        <f t="array" ref="G913">INDEX(_xlfn._xlws.FILTER(PriceList!$P$4:$P$2641,PriceList!$M$4:$M$2641=A913,""),1)</f>
        <v>O Ring - NBR 70</v>
      </c>
    </row>
    <row r="914" spans="1:7" x14ac:dyDescent="0.45">
      <c r="A914" t="s">
        <v>4885</v>
      </c>
      <c r="B914">
        <f>COUNTIF(PriceList!$M$4:$M$2641,A914)</f>
        <v>1</v>
      </c>
      <c r="C914" t="str">
        <f>IF(B914=1,"1:1","1:Many")</f>
        <v>1:1</v>
      </c>
      <c r="D914" s="42" t="str" cm="1">
        <f t="array" ref="D914">_xlfn.TEXTJOIN(" | ",TRUE,_xlfn._xlws.FILTER(PriceList!$B$4:$B$2641,PriceList!$M$4:$M$2641=A914,""))</f>
        <v>ORV8 052-2</v>
      </c>
      <c r="E914" t="str" cm="1">
        <f t="array" ref="E914">_xlfn.TEXTJOIN(", ",TRUE,_xlfn._xlws.FILTER(ROW(PriceList!$B$4:$B$2641),PriceList!$M$4:$M$2641=A914,""))</f>
        <v>1839</v>
      </c>
      <c r="F914" s="42" t="str" cm="1">
        <f t="array" ref="F914">_xlfn.TEXTJOIN(" | ",TRUE,_xlfn.UNIQUE(_xlfn._xlws.FILTER(PriceList!$Q$4:$Q$2641&amp;" x "&amp;PriceList!$R$4:$R$2641&amp;" x "&amp;PriceList!$S$4:$S$2641,PriceList!$M$4:$M$2641=A914,"")))</f>
        <v>52 x 56 x 2</v>
      </c>
      <c r="G914" t="str" cm="1">
        <f t="array" ref="G914">INDEX(_xlfn._xlws.FILTER(PriceList!$P$4:$P$2641,PriceList!$M$4:$M$2641=A914,""),1)</f>
        <v>O Ring - FPM/FKM/VitonÂ®</v>
      </c>
    </row>
    <row r="915" spans="1:7" x14ac:dyDescent="0.45">
      <c r="A915" t="s">
        <v>4093</v>
      </c>
      <c r="B915">
        <f>COUNTIF(PriceList!$M$4:$M$2641,A915)</f>
        <v>2</v>
      </c>
      <c r="C915" t="str">
        <f>IF(B915=1,"1:1","1:Many")</f>
        <v>1:Many</v>
      </c>
      <c r="D915" s="42" t="str" cm="1">
        <f t="array" ref="D915">_xlfn.TEXTJOIN(" | ",TRUE,_xlfn._xlws.FILTER(PriceList!$B$4:$B$2641,PriceList!$M$4:$M$2641=A915,""))</f>
        <v>OR7N 052.07-2.62 | OR9N 052.07-2.62</v>
      </c>
      <c r="E915" t="str" cm="1">
        <f t="array" ref="E915">_xlfn.TEXTJOIN(", ",TRUE,_xlfn._xlws.FILTER(ROW(PriceList!$B$4:$B$2641),PriceList!$M$4:$M$2641=A915,""))</f>
        <v>689, 1182</v>
      </c>
      <c r="F915" s="42" t="str" cm="1">
        <f t="array" ref="F915">_xlfn.TEXTJOIN(" | ",TRUE,_xlfn.UNIQUE(_xlfn._xlws.FILTER(PriceList!$Q$4:$Q$2641&amp;" x "&amp;PriceList!$R$4:$R$2641&amp;" x "&amp;PriceList!$S$4:$S$2641,PriceList!$M$4:$M$2641=A915,"")))</f>
        <v>52 x 57 x 2.5</v>
      </c>
      <c r="G915" t="str" cm="1">
        <f t="array" ref="G915">INDEX(_xlfn._xlws.FILTER(PriceList!$P$4:$P$2641,PriceList!$M$4:$M$2641=A915,""),1)</f>
        <v>O Ring - NBR 70</v>
      </c>
    </row>
    <row r="916" spans="1:7" x14ac:dyDescent="0.45">
      <c r="A916" t="s">
        <v>4884</v>
      </c>
      <c r="B916">
        <f>COUNTIF(PriceList!$M$4:$M$2641,A916)</f>
        <v>1</v>
      </c>
      <c r="C916" t="str">
        <f>IF(B916=1,"1:1","1:Many")</f>
        <v>1:1</v>
      </c>
      <c r="D916" s="42" t="str" cm="1">
        <f t="array" ref="D916">_xlfn.TEXTJOIN(" | ",TRUE,_xlfn._xlws.FILTER(PriceList!$B$4:$B$2641,PriceList!$M$4:$M$2641=A916,""))</f>
        <v>ORV8 052.07-2.62</v>
      </c>
      <c r="E916" t="str" cm="1">
        <f t="array" ref="E916">_xlfn.TEXTJOIN(", ",TRUE,_xlfn._xlws.FILTER(ROW(PriceList!$B$4:$B$2641),PriceList!$M$4:$M$2641=A916,""))</f>
        <v>1838</v>
      </c>
      <c r="F916" s="42" t="str" cm="1">
        <f t="array" ref="F916">_xlfn.TEXTJOIN(" | ",TRUE,_xlfn.UNIQUE(_xlfn._xlws.FILTER(PriceList!$Q$4:$Q$2641&amp;" x "&amp;PriceList!$R$4:$R$2641&amp;" x "&amp;PriceList!$S$4:$S$2641,PriceList!$M$4:$M$2641=A916,"")))</f>
        <v>52 x 57 x 2.5</v>
      </c>
      <c r="G916" t="str" cm="1">
        <f t="array" ref="G916">INDEX(_xlfn._xlws.FILTER(PriceList!$P$4:$P$2641,PriceList!$M$4:$M$2641=A916,""),1)</f>
        <v>O Ring - FPM/FKM/VitonÂ®</v>
      </c>
    </row>
    <row r="917" spans="1:7" x14ac:dyDescent="0.45">
      <c r="A917" t="s">
        <v>4886</v>
      </c>
      <c r="B917">
        <f>COUNTIF(PriceList!$M$4:$M$2641,A917)</f>
        <v>1</v>
      </c>
      <c r="C917" t="str">
        <f>IF(B917=1,"1:1","1:Many")</f>
        <v>1:1</v>
      </c>
      <c r="D917" s="42" t="str" cm="1">
        <f t="array" ref="D917">_xlfn.TEXTJOIN(" | ",TRUE,_xlfn._xlws.FILTER(PriceList!$B$4:$B$2641,PriceList!$M$4:$M$2641=A917,""))</f>
        <v>ORV8 052-3</v>
      </c>
      <c r="E917" t="str" cm="1">
        <f t="array" ref="E917">_xlfn.TEXTJOIN(", ",TRUE,_xlfn._xlws.FILTER(ROW(PriceList!$B$4:$B$2641),PriceList!$M$4:$M$2641=A917,""))</f>
        <v>1840</v>
      </c>
      <c r="F917" s="42" t="str" cm="1">
        <f t="array" ref="F917">_xlfn.TEXTJOIN(" | ",TRUE,_xlfn.UNIQUE(_xlfn._xlws.FILTER(PriceList!$Q$4:$Q$2641&amp;" x "&amp;PriceList!$R$4:$R$2641&amp;" x "&amp;PriceList!$S$4:$S$2641,PriceList!$M$4:$M$2641=A917,"")))</f>
        <v>52 x 58 x 3</v>
      </c>
      <c r="G917" t="str" cm="1">
        <f t="array" ref="G917">INDEX(_xlfn._xlws.FILTER(PriceList!$P$4:$P$2641,PriceList!$M$4:$M$2641=A917,""),1)</f>
        <v>O Ring - FPM/FKM/VitonÂ®</v>
      </c>
    </row>
    <row r="918" spans="1:7" x14ac:dyDescent="0.45">
      <c r="A918" t="s">
        <v>4458</v>
      </c>
      <c r="B918">
        <f>COUNTIF(PriceList!$M$4:$M$2641,A918)</f>
        <v>1</v>
      </c>
      <c r="C918" t="str">
        <f>IF(B918=1,"1:1","1:Many")</f>
        <v>1:1</v>
      </c>
      <c r="D918" s="42" t="str" cm="1">
        <f t="array" ref="D918">_xlfn.TEXTJOIN(" | ",TRUE,_xlfn._xlws.FILTER(PriceList!$B$4:$B$2641,PriceList!$M$4:$M$2641=A918,""))</f>
        <v>OR9N 052-4</v>
      </c>
      <c r="E918" t="str" cm="1">
        <f t="array" ref="E918">_xlfn.TEXTJOIN(", ",TRUE,_xlfn._xlws.FILTER(ROW(PriceList!$B$4:$B$2641),PriceList!$M$4:$M$2641=A918,""))</f>
        <v>1184</v>
      </c>
      <c r="F918" s="42" t="str" cm="1">
        <f t="array" ref="F918">_xlfn.TEXTJOIN(" | ",TRUE,_xlfn.UNIQUE(_xlfn._xlws.FILTER(PriceList!$Q$4:$Q$2641&amp;" x "&amp;PriceList!$R$4:$R$2641&amp;" x "&amp;PriceList!$S$4:$S$2641,PriceList!$M$4:$M$2641=A918,"")))</f>
        <v>52 x 60 x 4</v>
      </c>
      <c r="G918" t="str" cm="1">
        <f t="array" ref="G918">INDEX(_xlfn._xlws.FILTER(PriceList!$P$4:$P$2641,PriceList!$M$4:$M$2641=A918,""),1)</f>
        <v>O Ring - NBR 70</v>
      </c>
    </row>
    <row r="919" spans="1:7" x14ac:dyDescent="0.45">
      <c r="A919" t="s">
        <v>4457</v>
      </c>
      <c r="B919">
        <f>COUNTIF(PriceList!$M$4:$M$2641,A919)</f>
        <v>1</v>
      </c>
      <c r="C919" t="str">
        <f>IF(B919=1,"1:1","1:Many")</f>
        <v>1:1</v>
      </c>
      <c r="D919" s="42" t="str" cm="1">
        <f t="array" ref="D919">_xlfn.TEXTJOIN(" | ",TRUE,_xlfn._xlws.FILTER(PriceList!$B$4:$B$2641,PriceList!$M$4:$M$2641=A919,""))</f>
        <v>OR9N 052.6-5.7</v>
      </c>
      <c r="E919" t="str" cm="1">
        <f t="array" ref="E919">_xlfn.TEXTJOIN(", ",TRUE,_xlfn._xlws.FILTER(ROW(PriceList!$B$4:$B$2641),PriceList!$M$4:$M$2641=A919,""))</f>
        <v>1183</v>
      </c>
      <c r="F919" s="42" t="str" cm="1">
        <f t="array" ref="F919">_xlfn.TEXTJOIN(" | ",TRUE,_xlfn.UNIQUE(_xlfn._xlws.FILTER(PriceList!$Q$4:$Q$2641&amp;" x "&amp;PriceList!$R$4:$R$2641&amp;" x "&amp;PriceList!$S$4:$S$2641,PriceList!$M$4:$M$2641=A919,"")))</f>
        <v>52.6 x 64 x 5.7</v>
      </c>
      <c r="G919" t="str" cm="1">
        <f t="array" ref="G919">INDEX(_xlfn._xlws.FILTER(PriceList!$P$4:$P$2641,PriceList!$M$4:$M$2641=A919,""),1)</f>
        <v>O Ring - NBR 70</v>
      </c>
    </row>
    <row r="920" spans="1:7" x14ac:dyDescent="0.45">
      <c r="A920" t="s">
        <v>4460</v>
      </c>
      <c r="B920">
        <f>COUNTIF(PriceList!$M$4:$M$2641,A920)</f>
        <v>1</v>
      </c>
      <c r="C920" t="str">
        <f>IF(B920=1,"1:1","1:Many")</f>
        <v>1:1</v>
      </c>
      <c r="D920" s="42" t="str" cm="1">
        <f t="array" ref="D920">_xlfn.TEXTJOIN(" | ",TRUE,_xlfn._xlws.FILTER(PriceList!$B$4:$B$2641,PriceList!$M$4:$M$2641=A920,""))</f>
        <v>OR9N 054-3</v>
      </c>
      <c r="E920" t="str" cm="1">
        <f t="array" ref="E920">_xlfn.TEXTJOIN(", ",TRUE,_xlfn._xlws.FILTER(ROW(PriceList!$B$4:$B$2641),PriceList!$M$4:$M$2641=A920,""))</f>
        <v>1191</v>
      </c>
      <c r="F920" s="42" t="str" cm="1">
        <f t="array" ref="F920">_xlfn.TEXTJOIN(" | ",TRUE,_xlfn.UNIQUE(_xlfn._xlws.FILTER(PriceList!$Q$4:$Q$2641&amp;" x "&amp;PriceList!$R$4:$R$2641&amp;" x "&amp;PriceList!$S$4:$S$2641,PriceList!$M$4:$M$2641=A920,"")))</f>
        <v>54 x 60 x 3</v>
      </c>
      <c r="G920" t="str" cm="1">
        <f t="array" ref="G920">INDEX(_xlfn._xlws.FILTER(PriceList!$P$4:$P$2641,PriceList!$M$4:$M$2641=A920,""),1)</f>
        <v>O Ring - NBR 70</v>
      </c>
    </row>
    <row r="921" spans="1:7" x14ac:dyDescent="0.45">
      <c r="A921" t="s">
        <v>4890</v>
      </c>
      <c r="B921">
        <f>COUNTIF(PriceList!$M$4:$M$2641,A921)</f>
        <v>2</v>
      </c>
      <c r="C921" t="str">
        <f>IF(B921=1,"1:1","1:Many")</f>
        <v>1:Many</v>
      </c>
      <c r="D921" s="42" t="str" cm="1">
        <f t="array" ref="D921">_xlfn.TEXTJOIN(" | ",TRUE,_xlfn._xlws.FILTER(PriceList!$B$4:$B$2641,PriceList!$M$4:$M$2641=A921,""))</f>
        <v>ORV8 053.4-3.1 | ORV8 054-3</v>
      </c>
      <c r="E921" t="str" cm="1">
        <f t="array" ref="E921">_xlfn.TEXTJOIN(", ",TRUE,_xlfn._xlws.FILTER(ROW(PriceList!$B$4:$B$2641),PriceList!$M$4:$M$2641=A921,""))</f>
        <v>1843, 1848</v>
      </c>
      <c r="F921" s="42" t="str" cm="1">
        <f t="array" ref="F921">_xlfn.TEXTJOIN(" | ",TRUE,_xlfn.UNIQUE(_xlfn._xlws.FILTER(PriceList!$Q$4:$Q$2641&amp;" x "&amp;PriceList!$R$4:$R$2641&amp;" x "&amp;PriceList!$S$4:$S$2641,PriceList!$M$4:$M$2641=A921,"")))</f>
        <v>54 x 60 x 3</v>
      </c>
      <c r="G921" t="str" cm="1">
        <f t="array" ref="G921">INDEX(_xlfn._xlws.FILTER(PriceList!$P$4:$P$2641,PriceList!$M$4:$M$2641=A921,""),1)</f>
        <v>O Ring - FPM/FKM/VitonÂ®</v>
      </c>
    </row>
    <row r="922" spans="1:7" x14ac:dyDescent="0.45">
      <c r="A922" t="s">
        <v>4459</v>
      </c>
      <c r="B922">
        <f>COUNTIF(PriceList!$M$4:$M$2641,A922)</f>
        <v>1</v>
      </c>
      <c r="C922" t="str">
        <f>IF(B922=1,"1:1","1:Many")</f>
        <v>1:1</v>
      </c>
      <c r="D922" s="42" t="str" cm="1">
        <f t="array" ref="D922">_xlfn.TEXTJOIN(" | ",TRUE,_xlfn._xlws.FILTER(PriceList!$B$4:$B$2641,PriceList!$M$4:$M$2641=A922,""))</f>
        <v>OR9N 054.2-5.7</v>
      </c>
      <c r="E922" t="str" cm="1">
        <f t="array" ref="E922">_xlfn.TEXTJOIN(", ",TRUE,_xlfn._xlws.FILTER(ROW(PriceList!$B$4:$B$2641),PriceList!$M$4:$M$2641=A922,""))</f>
        <v>1189</v>
      </c>
      <c r="F922" s="42" t="str" cm="1">
        <f t="array" ref="F922">_xlfn.TEXTJOIN(" | ",TRUE,_xlfn.UNIQUE(_xlfn._xlws.FILTER(PriceList!$Q$4:$Q$2641&amp;" x "&amp;PriceList!$R$4:$R$2641&amp;" x "&amp;PriceList!$S$4:$S$2641,PriceList!$M$4:$M$2641=A922,"")))</f>
        <v>54.3 x 65.7 x 5.7</v>
      </c>
      <c r="G922" t="str" cm="1">
        <f t="array" ref="G922">INDEX(_xlfn._xlws.FILTER(PriceList!$P$4:$P$2641,PriceList!$M$4:$M$2641=A922,""),1)</f>
        <v>O Ring - NBR 70</v>
      </c>
    </row>
    <row r="923" spans="1:7" x14ac:dyDescent="0.45">
      <c r="A923" t="s">
        <v>4892</v>
      </c>
      <c r="B923">
        <f>COUNTIF(PriceList!$M$4:$M$2641,A923)</f>
        <v>2</v>
      </c>
      <c r="C923" t="str">
        <f>IF(B923=1,"1:1","1:Many")</f>
        <v>1:Many</v>
      </c>
      <c r="D923" s="42" t="str" cm="1">
        <f t="array" ref="D923">_xlfn.TEXTJOIN(" | ",TRUE,_xlfn._xlws.FILTER(PriceList!$B$4:$B$2641,PriceList!$M$4:$M$2641=A923,""))</f>
        <v>ORV8 054.2-5.7 | ORV8 055-5</v>
      </c>
      <c r="E923" t="str" cm="1">
        <f t="array" ref="E923">_xlfn.TEXTJOIN(", ",TRUE,_xlfn._xlws.FILTER(ROW(PriceList!$B$4:$B$2641),PriceList!$M$4:$M$2641=A923,""))</f>
        <v>1845, 1852</v>
      </c>
      <c r="F923" s="42" t="str" cm="1">
        <f t="array" ref="F923">_xlfn.TEXTJOIN(" | ",TRUE,_xlfn.UNIQUE(_xlfn._xlws.FILTER(PriceList!$Q$4:$Q$2641&amp;" x "&amp;PriceList!$R$4:$R$2641&amp;" x "&amp;PriceList!$S$4:$S$2641,PriceList!$M$4:$M$2641=A923,"")))</f>
        <v>54.3 x 65.7 x 5.7</v>
      </c>
      <c r="G923" t="str" cm="1">
        <f t="array" ref="G923">INDEX(_xlfn._xlws.FILTER(PriceList!$P$4:$P$2641,PriceList!$M$4:$M$2641=A923,""),1)</f>
        <v>O Ring - FPM/FKM/VitonÂ®</v>
      </c>
    </row>
    <row r="924" spans="1:7" x14ac:dyDescent="0.45">
      <c r="A924" t="s">
        <v>4098</v>
      </c>
      <c r="B924">
        <f>COUNTIF(PriceList!$M$4:$M$2641,A924)</f>
        <v>2</v>
      </c>
      <c r="C924" t="str">
        <f>IF(B924=1,"1:1","1:Many")</f>
        <v>1:Many</v>
      </c>
      <c r="D924" s="42" t="str" cm="1">
        <f t="array" ref="D924">_xlfn.TEXTJOIN(" | ",TRUE,_xlfn._xlws.FILTER(PriceList!$B$4:$B$2641,PriceList!$M$4:$M$2641=A924,""))</f>
        <v>OR7N 054.4-3.1 | OR9N 054.4-3.1</v>
      </c>
      <c r="E924" t="str" cm="1">
        <f t="array" ref="E924">_xlfn.TEXTJOIN(", ",TRUE,_xlfn._xlws.FILTER(ROW(PriceList!$B$4:$B$2641),PriceList!$M$4:$M$2641=A924,""))</f>
        <v>694, 1190</v>
      </c>
      <c r="F924" s="42" t="str" cm="1">
        <f t="array" ref="F924">_xlfn.TEXTJOIN(" | ",TRUE,_xlfn.UNIQUE(_xlfn._xlws.FILTER(PriceList!$Q$4:$Q$2641&amp;" x "&amp;PriceList!$R$4:$R$2641&amp;" x "&amp;PriceList!$S$4:$S$2641,PriceList!$M$4:$M$2641=A924,"")))</f>
        <v>54.4 x 60.6 x 3.1</v>
      </c>
      <c r="G924" t="str" cm="1">
        <f t="array" ref="G924">INDEX(_xlfn._xlws.FILTER(PriceList!$P$4:$P$2641,PriceList!$M$4:$M$2641=A924,""),1)</f>
        <v>O Ring - NBR 70</v>
      </c>
    </row>
    <row r="925" spans="1:7" x14ac:dyDescent="0.45">
      <c r="A925" t="s">
        <v>4893</v>
      </c>
      <c r="B925">
        <f>COUNTIF(PriceList!$M$4:$M$2641,A925)</f>
        <v>2</v>
      </c>
      <c r="C925" t="str">
        <f>IF(B925=1,"1:1","1:Many")</f>
        <v>1:Many</v>
      </c>
      <c r="D925" s="42" t="str" cm="1">
        <f t="array" ref="D925">_xlfn.TEXTJOIN(" | ",TRUE,_xlfn._xlws.FILTER(PriceList!$B$4:$B$2641,PriceList!$M$4:$M$2641=A925,""))</f>
        <v>ORV8 054.4-3.1 | ORV8 054.7-3.5</v>
      </c>
      <c r="E925" t="str" cm="1">
        <f t="array" ref="E925">_xlfn.TEXTJOIN(", ",TRUE,_xlfn._xlws.FILTER(ROW(PriceList!$B$4:$B$2641),PriceList!$M$4:$M$2641=A925,""))</f>
        <v>1846, 1847</v>
      </c>
      <c r="F925" s="42" t="str" cm="1">
        <f t="array" ref="F925">_xlfn.TEXTJOIN(" | ",TRUE,_xlfn.UNIQUE(_xlfn._xlws.FILTER(PriceList!$Q$4:$Q$2641&amp;" x "&amp;PriceList!$R$4:$R$2641&amp;" x "&amp;PriceList!$S$4:$S$2641,PriceList!$M$4:$M$2641=A925,"")))</f>
        <v>54.4 x 60.6 x 3.1</v>
      </c>
      <c r="G925" t="str" cm="1">
        <f t="array" ref="G925">INDEX(_xlfn._xlws.FILTER(PriceList!$P$4:$P$2641,PriceList!$M$4:$M$2641=A925,""),1)</f>
        <v>O Ring - FPM/FKM/VitonÂ®</v>
      </c>
    </row>
    <row r="926" spans="1:7" x14ac:dyDescent="0.45">
      <c r="A926" t="s">
        <v>4101</v>
      </c>
      <c r="B926">
        <f>COUNTIF(PriceList!$M$4:$M$2641,A926)</f>
        <v>2</v>
      </c>
      <c r="C926" t="str">
        <f>IF(B926=1,"1:1","1:Many")</f>
        <v>1:Many</v>
      </c>
      <c r="D926" s="42" t="str" cm="1">
        <f t="array" ref="D926">_xlfn.TEXTJOIN(" | ",TRUE,_xlfn._xlws.FILTER(PriceList!$B$4:$B$2641,PriceList!$M$4:$M$2641=A926,""))</f>
        <v>OR7N 055-3 | OR9N 055-3</v>
      </c>
      <c r="E926" t="str" cm="1">
        <f t="array" ref="E926">_xlfn.TEXTJOIN(", ",TRUE,_xlfn._xlws.FILTER(ROW(PriceList!$B$4:$B$2641),PriceList!$M$4:$M$2641=A926,""))</f>
        <v>696, 1193</v>
      </c>
      <c r="F926" s="42" t="str" cm="1">
        <f t="array" ref="F926">_xlfn.TEXTJOIN(" | ",TRUE,_xlfn.UNIQUE(_xlfn._xlws.FILTER(PriceList!$Q$4:$Q$2641&amp;" x "&amp;PriceList!$R$4:$R$2641&amp;" x "&amp;PriceList!$S$4:$S$2641,PriceList!$M$4:$M$2641=A926,"")))</f>
        <v>55 x 61 x 3</v>
      </c>
      <c r="G926" t="str" cm="1">
        <f t="array" ref="G926">INDEX(_xlfn._xlws.FILTER(PriceList!$P$4:$P$2641,PriceList!$M$4:$M$2641=A926,""),1)</f>
        <v>O Ring - NBR 70</v>
      </c>
    </row>
    <row r="927" spans="1:7" x14ac:dyDescent="0.45">
      <c r="A927" t="s">
        <v>4461</v>
      </c>
      <c r="B927">
        <f>COUNTIF(PriceList!$M$4:$M$2641,A927)</f>
        <v>1</v>
      </c>
      <c r="C927" t="str">
        <f>IF(B927=1,"1:1","1:Many")</f>
        <v>1:1</v>
      </c>
      <c r="D927" s="42" t="str" cm="1">
        <f t="array" ref="D927">_xlfn.TEXTJOIN(" | ",TRUE,_xlfn._xlws.FILTER(PriceList!$B$4:$B$2641,PriceList!$M$4:$M$2641=A927,""))</f>
        <v>OR9N 055-4</v>
      </c>
      <c r="E927" t="str" cm="1">
        <f t="array" ref="E927">_xlfn.TEXTJOIN(", ",TRUE,_xlfn._xlws.FILTER(ROW(PriceList!$B$4:$B$2641),PriceList!$M$4:$M$2641=A927,""))</f>
        <v>1194</v>
      </c>
      <c r="F927" s="42" t="str" cm="1">
        <f t="array" ref="F927">_xlfn.TEXTJOIN(" | ",TRUE,_xlfn.UNIQUE(_xlfn._xlws.FILTER(PriceList!$Q$4:$Q$2641&amp;" x "&amp;PriceList!$R$4:$R$2641&amp;" x "&amp;PriceList!$S$4:$S$2641,PriceList!$M$4:$M$2641=A927,"")))</f>
        <v>55 x 63 x 4</v>
      </c>
      <c r="G927" t="str" cm="1">
        <f t="array" ref="G927">INDEX(_xlfn._xlws.FILTER(PriceList!$P$4:$P$2641,PriceList!$M$4:$M$2641=A927,""),1)</f>
        <v>O Ring - NBR 70</v>
      </c>
    </row>
    <row r="928" spans="1:7" x14ac:dyDescent="0.45">
      <c r="A928" t="s">
        <v>4898</v>
      </c>
      <c r="B928">
        <f>COUNTIF(PriceList!$M$4:$M$2641,A928)</f>
        <v>2</v>
      </c>
      <c r="C928" t="str">
        <f>IF(B928=1,"1:1","1:Many")</f>
        <v>1:Many</v>
      </c>
      <c r="D928" s="42" t="str" cm="1">
        <f t="array" ref="D928">_xlfn.TEXTJOIN(" | ",TRUE,_xlfn._xlws.FILTER(PriceList!$B$4:$B$2641,PriceList!$M$4:$M$2641=A928,""))</f>
        <v>ORV8 055-4 | ORV8 056-3.5</v>
      </c>
      <c r="E928" t="str" cm="1">
        <f t="array" ref="E928">_xlfn.TEXTJOIN(", ",TRUE,_xlfn._xlws.FILTER(ROW(PriceList!$B$4:$B$2641),PriceList!$M$4:$M$2641=A928,""))</f>
        <v>1851, 1857</v>
      </c>
      <c r="F928" s="42" t="str" cm="1">
        <f t="array" ref="F928">_xlfn.TEXTJOIN(" | ",TRUE,_xlfn.UNIQUE(_xlfn._xlws.FILTER(PriceList!$Q$4:$Q$2641&amp;" x "&amp;PriceList!$R$4:$R$2641&amp;" x "&amp;PriceList!$S$4:$S$2641,PriceList!$M$4:$M$2641=A928,"")))</f>
        <v>55 x 63 x 4</v>
      </c>
      <c r="G928" t="str" cm="1">
        <f t="array" ref="G928">INDEX(_xlfn._xlws.FILTER(PriceList!$P$4:$P$2641,PriceList!$M$4:$M$2641=A928,""),1)</f>
        <v>O Ring - FPM/FKM/VitonÂ®</v>
      </c>
    </row>
    <row r="929" spans="1:7" x14ac:dyDescent="0.45">
      <c r="A929" t="s">
        <v>4462</v>
      </c>
      <c r="B929">
        <f>COUNTIF(PriceList!$M$4:$M$2641,A929)</f>
        <v>1</v>
      </c>
      <c r="C929" t="str">
        <f>IF(B929=1,"1:1","1:Many")</f>
        <v>1:1</v>
      </c>
      <c r="D929" s="42" t="str" cm="1">
        <f t="array" ref="D929">_xlfn.TEXTJOIN(" | ",TRUE,_xlfn._xlws.FILTER(PriceList!$B$4:$B$2641,PriceList!$M$4:$M$2641=A929,""))</f>
        <v>OR9N 055-5</v>
      </c>
      <c r="E929" t="str" cm="1">
        <f t="array" ref="E929">_xlfn.TEXTJOIN(", ",TRUE,_xlfn._xlws.FILTER(ROW(PriceList!$B$4:$B$2641),PriceList!$M$4:$M$2641=A929,""))</f>
        <v>1195</v>
      </c>
      <c r="F929" s="42" t="str" cm="1">
        <f t="array" ref="F929">_xlfn.TEXTJOIN(" | ",TRUE,_xlfn.UNIQUE(_xlfn._xlws.FILTER(PriceList!$Q$4:$Q$2641&amp;" x "&amp;PriceList!$R$4:$R$2641&amp;" x "&amp;PriceList!$S$4:$S$2641,PriceList!$M$4:$M$2641=A929,"")))</f>
        <v>55 x 65 x 5</v>
      </c>
      <c r="G929" t="str" cm="1">
        <f t="array" ref="G929">INDEX(_xlfn._xlws.FILTER(PriceList!$P$4:$P$2641,PriceList!$M$4:$M$2641=A929,""),1)</f>
        <v>O Ring - NBR 70</v>
      </c>
    </row>
    <row r="930" spans="1:7" x14ac:dyDescent="0.45">
      <c r="A930" t="s">
        <v>4463</v>
      </c>
      <c r="B930">
        <f>COUNTIF(PriceList!$M$4:$M$2641,A930)</f>
        <v>1</v>
      </c>
      <c r="C930" t="str">
        <f>IF(B930=1,"1:1","1:Many")</f>
        <v>1:1</v>
      </c>
      <c r="D930" s="42" t="str" cm="1">
        <f t="array" ref="D930">_xlfn.TEXTJOIN(" | ",TRUE,_xlfn._xlws.FILTER(PriceList!$B$4:$B$2641,PriceList!$M$4:$M$2641=A930,""))</f>
        <v>OR9N 056-2.5</v>
      </c>
      <c r="E930" t="str" cm="1">
        <f t="array" ref="E930">_xlfn.TEXTJOIN(", ",TRUE,_xlfn._xlws.FILTER(ROW(PriceList!$B$4:$B$2641),PriceList!$M$4:$M$2641=A930,""))</f>
        <v>1200</v>
      </c>
      <c r="F930" s="42" t="str" cm="1">
        <f t="array" ref="F930">_xlfn.TEXTJOIN(" | ",TRUE,_xlfn.UNIQUE(_xlfn._xlws.FILTER(PriceList!$Q$4:$Q$2641&amp;" x "&amp;PriceList!$R$4:$R$2641&amp;" x "&amp;PriceList!$S$4:$S$2641,PriceList!$M$4:$M$2641=A930,"")))</f>
        <v>56 x 61 x 2.5</v>
      </c>
      <c r="G930" t="str" cm="1">
        <f t="array" ref="G930">INDEX(_xlfn._xlws.FILTER(PriceList!$P$4:$P$2641,PriceList!$M$4:$M$2641=A930,""),1)</f>
        <v>O Ring - NBR 70</v>
      </c>
    </row>
    <row r="931" spans="1:7" x14ac:dyDescent="0.45">
      <c r="A931" t="s">
        <v>4464</v>
      </c>
      <c r="B931">
        <f>COUNTIF(PriceList!$M$4:$M$2641,A931)</f>
        <v>1</v>
      </c>
      <c r="C931" t="str">
        <f>IF(B931=1,"1:1","1:Many")</f>
        <v>1:1</v>
      </c>
      <c r="D931" s="42" t="str" cm="1">
        <f t="array" ref="D931">_xlfn.TEXTJOIN(" | ",TRUE,_xlfn._xlws.FILTER(PriceList!$B$4:$B$2641,PriceList!$M$4:$M$2641=A931,""))</f>
        <v>OR9N 056-4</v>
      </c>
      <c r="E931" t="str" cm="1">
        <f t="array" ref="E931">_xlfn.TEXTJOIN(", ",TRUE,_xlfn._xlws.FILTER(ROW(PriceList!$B$4:$B$2641),PriceList!$M$4:$M$2641=A931,""))</f>
        <v>1201</v>
      </c>
      <c r="F931" s="42" t="str" cm="1">
        <f t="array" ref="F931">_xlfn.TEXTJOIN(" | ",TRUE,_xlfn.UNIQUE(_xlfn._xlws.FILTER(PriceList!$Q$4:$Q$2641&amp;" x "&amp;PriceList!$R$4:$R$2641&amp;" x "&amp;PriceList!$S$4:$S$2641,PriceList!$M$4:$M$2641=A931,"")))</f>
        <v>56 x 64 x 4</v>
      </c>
      <c r="G931" t="str" cm="1">
        <f t="array" ref="G931">INDEX(_xlfn._xlws.FILTER(PriceList!$P$4:$P$2641,PriceList!$M$4:$M$2641=A931,""),1)</f>
        <v>O Ring - NBR 70</v>
      </c>
    </row>
    <row r="932" spans="1:7" x14ac:dyDescent="0.45">
      <c r="A932" t="s">
        <v>4104</v>
      </c>
      <c r="B932">
        <f>COUNTIF(PriceList!$M$4:$M$2641,A932)</f>
        <v>2</v>
      </c>
      <c r="C932" t="str">
        <f>IF(B932=1,"1:1","1:Many")</f>
        <v>1:Many</v>
      </c>
      <c r="D932" s="42" t="str" cm="1">
        <f t="array" ref="D932">_xlfn.TEXTJOIN(" | ",TRUE,_xlfn._xlws.FILTER(PriceList!$B$4:$B$2641,PriceList!$M$4:$M$2641=A932,""))</f>
        <v>OR7N 056.82-2.62 | OR9N 056.82-2.62</v>
      </c>
      <c r="E932" t="str" cm="1">
        <f t="array" ref="E932">_xlfn.TEXTJOIN(", ",TRUE,_xlfn._xlws.FILTER(ROW(PriceList!$B$4:$B$2641),PriceList!$M$4:$M$2641=A932,""))</f>
        <v>699, 1198</v>
      </c>
      <c r="F932" s="42" t="str" cm="1">
        <f t="array" ref="F932">_xlfn.TEXTJOIN(" | ",TRUE,_xlfn.UNIQUE(_xlfn._xlws.FILTER(PriceList!$Q$4:$Q$2641&amp;" x "&amp;PriceList!$R$4:$R$2641&amp;" x "&amp;PriceList!$S$4:$S$2641,PriceList!$M$4:$M$2641=A932,"")))</f>
        <v>57 x 62 x 2.5</v>
      </c>
      <c r="G932" t="str" cm="1">
        <f t="array" ref="G932">INDEX(_xlfn._xlws.FILTER(PriceList!$P$4:$P$2641,PriceList!$M$4:$M$2641=A932,""),1)</f>
        <v>O Ring - NBR 70</v>
      </c>
    </row>
    <row r="933" spans="1:7" x14ac:dyDescent="0.45">
      <c r="A933" t="s">
        <v>4465</v>
      </c>
      <c r="B933">
        <f>COUNTIF(PriceList!$M$4:$M$2641,A933)</f>
        <v>1</v>
      </c>
      <c r="C933" t="str">
        <f>IF(B933=1,"1:1","1:Many")</f>
        <v>1:1</v>
      </c>
      <c r="D933" s="42" t="str" cm="1">
        <f t="array" ref="D933">_xlfn.TEXTJOIN(" | ",TRUE,_xlfn._xlws.FILTER(PriceList!$B$4:$B$2641,PriceList!$M$4:$M$2641=A933,""))</f>
        <v>OR9N 057-3</v>
      </c>
      <c r="E933" t="str" cm="1">
        <f t="array" ref="E933">_xlfn.TEXTJOIN(", ",TRUE,_xlfn._xlws.FILTER(ROW(PriceList!$B$4:$B$2641),PriceList!$M$4:$M$2641=A933,""))</f>
        <v>1202</v>
      </c>
      <c r="F933" s="42" t="str" cm="1">
        <f t="array" ref="F933">_xlfn.TEXTJOIN(" | ",TRUE,_xlfn.UNIQUE(_xlfn._xlws.FILTER(PriceList!$Q$4:$Q$2641&amp;" x "&amp;PriceList!$R$4:$R$2641&amp;" x "&amp;PriceList!$S$4:$S$2641,PriceList!$M$4:$M$2641=A933,"")))</f>
        <v>57 x 63 x 3</v>
      </c>
      <c r="G933" t="str" cm="1">
        <f t="array" ref="G933">INDEX(_xlfn._xlws.FILTER(PriceList!$P$4:$P$2641,PriceList!$M$4:$M$2641=A933,""),1)</f>
        <v>O Ring - NBR 70</v>
      </c>
    </row>
    <row r="934" spans="1:7" x14ac:dyDescent="0.45">
      <c r="A934" t="s">
        <v>4904</v>
      </c>
      <c r="B934">
        <f>COUNTIF(PriceList!$M$4:$M$2641,A934)</f>
        <v>2</v>
      </c>
      <c r="C934" t="str">
        <f>IF(B934=1,"1:1","1:Many")</f>
        <v>1:Many</v>
      </c>
      <c r="D934" s="42" t="str" cm="1">
        <f t="array" ref="D934">_xlfn.TEXTJOIN(" | ",TRUE,_xlfn._xlws.FILTER(PriceList!$B$4:$B$2641,PriceList!$M$4:$M$2641=A934,""))</f>
        <v>ORV8 057.4-3.1 | ORV8 057-3</v>
      </c>
      <c r="E934" t="str" cm="1">
        <f t="array" ref="E934">_xlfn.TEXTJOIN(", ",TRUE,_xlfn._xlws.FILTER(ROW(PriceList!$B$4:$B$2641),PriceList!$M$4:$M$2641=A934,""))</f>
        <v>1858, 1860</v>
      </c>
      <c r="F934" s="42" t="str" cm="1">
        <f t="array" ref="F934">_xlfn.TEXTJOIN(" | ",TRUE,_xlfn.UNIQUE(_xlfn._xlws.FILTER(PriceList!$Q$4:$Q$2641&amp;" x "&amp;PriceList!$R$4:$R$2641&amp;" x "&amp;PriceList!$S$4:$S$2641,PriceList!$M$4:$M$2641=A934,"")))</f>
        <v>57 x 63 x 3</v>
      </c>
      <c r="G934" t="str" cm="1">
        <f t="array" ref="G934">INDEX(_xlfn._xlws.FILTER(PriceList!$P$4:$P$2641,PriceList!$M$4:$M$2641=A934,""),1)</f>
        <v>O Ring - FPM/FKM/VitonÂ®</v>
      </c>
    </row>
    <row r="935" spans="1:7" x14ac:dyDescent="0.45">
      <c r="A935" t="s">
        <v>4106</v>
      </c>
      <c r="B935">
        <f>COUNTIF(PriceList!$M$4:$M$2641,A935)</f>
        <v>2</v>
      </c>
      <c r="C935" t="str">
        <f>IF(B935=1,"1:1","1:Many")</f>
        <v>1:Many</v>
      </c>
      <c r="D935" s="42" t="str" cm="1">
        <f t="array" ref="D935">_xlfn.TEXTJOIN(" | ",TRUE,_xlfn._xlws.FILTER(PriceList!$B$4:$B$2641,PriceList!$M$4:$M$2641=A935,""))</f>
        <v>OR7N 057-4 | OR9N 057-4</v>
      </c>
      <c r="E935" t="str" cm="1">
        <f t="array" ref="E935">_xlfn.TEXTJOIN(", ",TRUE,_xlfn._xlws.FILTER(ROW(PriceList!$B$4:$B$2641),PriceList!$M$4:$M$2641=A935,""))</f>
        <v>701, 1203</v>
      </c>
      <c r="F935" s="42" t="str" cm="1">
        <f t="array" ref="F935">_xlfn.TEXTJOIN(" | ",TRUE,_xlfn.UNIQUE(_xlfn._xlws.FILTER(PriceList!$Q$4:$Q$2641&amp;" x "&amp;PriceList!$R$4:$R$2641&amp;" x "&amp;PriceList!$S$4:$S$2641,PriceList!$M$4:$M$2641=A935,"")))</f>
        <v>57 x 65 x 4</v>
      </c>
      <c r="G935" t="str" cm="1">
        <f t="array" ref="G935">INDEX(_xlfn._xlws.FILTER(PriceList!$P$4:$P$2641,PriceList!$M$4:$M$2641=A935,""),1)</f>
        <v>O Ring - EPDM</v>
      </c>
    </row>
    <row r="936" spans="1:7" x14ac:dyDescent="0.45">
      <c r="A936" t="s">
        <v>4466</v>
      </c>
      <c r="B936">
        <f>COUNTIF(PriceList!$M$4:$M$2641,A936)</f>
        <v>1</v>
      </c>
      <c r="C936" t="str">
        <f>IF(B936=1,"1:1","1:Many")</f>
        <v>1:1</v>
      </c>
      <c r="D936" s="42" t="str" cm="1">
        <f t="array" ref="D936">_xlfn.TEXTJOIN(" | ",TRUE,_xlfn._xlws.FILTER(PriceList!$B$4:$B$2641,PriceList!$M$4:$M$2641=A936,""))</f>
        <v>OR9N 058-3</v>
      </c>
      <c r="E936" t="str" cm="1">
        <f t="array" ref="E936">_xlfn.TEXTJOIN(", ",TRUE,_xlfn._xlws.FILTER(ROW(PriceList!$B$4:$B$2641),PriceList!$M$4:$M$2641=A936,""))</f>
        <v>1205</v>
      </c>
      <c r="F936" s="42" t="str" cm="1">
        <f t="array" ref="F936">_xlfn.TEXTJOIN(" | ",TRUE,_xlfn.UNIQUE(_xlfn._xlws.FILTER(PriceList!$Q$4:$Q$2641&amp;" x "&amp;PriceList!$R$4:$R$2641&amp;" x "&amp;PriceList!$S$4:$S$2641,PriceList!$M$4:$M$2641=A936,"")))</f>
        <v>58 x 64 x 3</v>
      </c>
      <c r="G936" t="str" cm="1">
        <f t="array" ref="G936">INDEX(_xlfn._xlws.FILTER(PriceList!$P$4:$P$2641,PriceList!$M$4:$M$2641=A936,""),1)</f>
        <v>O Ring - NBR 70</v>
      </c>
    </row>
    <row r="937" spans="1:7" x14ac:dyDescent="0.45">
      <c r="A937" t="s">
        <v>4905</v>
      </c>
      <c r="B937">
        <f>COUNTIF(PriceList!$M$4:$M$2641,A937)</f>
        <v>1</v>
      </c>
      <c r="C937" t="str">
        <f>IF(B937=1,"1:1","1:Many")</f>
        <v>1:1</v>
      </c>
      <c r="D937" s="42" t="str" cm="1">
        <f t="array" ref="D937">_xlfn.TEXTJOIN(" | ",TRUE,_xlfn._xlws.FILTER(PriceList!$B$4:$B$2641,PriceList!$M$4:$M$2641=A937,""))</f>
        <v>ORV8 057.6-5.7</v>
      </c>
      <c r="E937" t="str" cm="1">
        <f t="array" ref="E937">_xlfn.TEXTJOIN(", ",TRUE,_xlfn._xlws.FILTER(ROW(PriceList!$B$4:$B$2641),PriceList!$M$4:$M$2641=A937,""))</f>
        <v>1859</v>
      </c>
      <c r="F937" s="42" t="str" cm="1">
        <f t="array" ref="F937">_xlfn.TEXTJOIN(" | ",TRUE,_xlfn.UNIQUE(_xlfn._xlws.FILTER(PriceList!$Q$4:$Q$2641&amp;" x "&amp;PriceList!$R$4:$R$2641&amp;" x "&amp;PriceList!$S$4:$S$2641,PriceList!$M$4:$M$2641=A937,"")))</f>
        <v>58 x 68 x 5</v>
      </c>
      <c r="G937" t="str" cm="1">
        <f t="array" ref="G937">INDEX(_xlfn._xlws.FILTER(PriceList!$P$4:$P$2641,PriceList!$M$4:$M$2641=A937,""),1)</f>
        <v>O Ring - FPM/FKM/VitonÂ®</v>
      </c>
    </row>
    <row r="938" spans="1:7" x14ac:dyDescent="0.45">
      <c r="A938" t="s">
        <v>4468</v>
      </c>
      <c r="B938">
        <f>COUNTIF(PriceList!$M$4:$M$2641,A938)</f>
        <v>1</v>
      </c>
      <c r="C938" t="str">
        <f>IF(B938=1,"1:1","1:Many")</f>
        <v>1:1</v>
      </c>
      <c r="D938" s="42" t="str" cm="1">
        <f t="array" ref="D938">_xlfn.TEXTJOIN(" | ",TRUE,_xlfn._xlws.FILTER(PriceList!$B$4:$B$2641,PriceList!$M$4:$M$2641=A938,""))</f>
        <v>OR9N 059-3</v>
      </c>
      <c r="E938" t="str" cm="1">
        <f t="array" ref="E938">_xlfn.TEXTJOIN(", ",TRUE,_xlfn._xlws.FILTER(ROW(PriceList!$B$4:$B$2641),PriceList!$M$4:$M$2641=A938,""))</f>
        <v>1211</v>
      </c>
      <c r="F938" s="42" t="str" cm="1">
        <f t="array" ref="F938">_xlfn.TEXTJOIN(" | ",TRUE,_xlfn.UNIQUE(_xlfn._xlws.FILTER(PriceList!$Q$4:$Q$2641&amp;" x "&amp;PriceList!$R$4:$R$2641&amp;" x "&amp;PriceList!$S$4:$S$2641,PriceList!$M$4:$M$2641=A938,"")))</f>
        <v>59 x 65 x 3</v>
      </c>
      <c r="G938" t="str" cm="1">
        <f t="array" ref="G938">INDEX(_xlfn._xlws.FILTER(PriceList!$P$4:$P$2641,PriceList!$M$4:$M$2641=A938,""),1)</f>
        <v>O Ring - NBR 70</v>
      </c>
    </row>
    <row r="939" spans="1:7" x14ac:dyDescent="0.45">
      <c r="A939" t="s">
        <v>4467</v>
      </c>
      <c r="B939">
        <f>COUNTIF(PriceList!$M$4:$M$2641,A939)</f>
        <v>1</v>
      </c>
      <c r="C939" t="str">
        <f>IF(B939=1,"1:1","1:Many")</f>
        <v>1:1</v>
      </c>
      <c r="D939" s="42" t="str" cm="1">
        <f t="array" ref="D939">_xlfn.TEXTJOIN(" | ",TRUE,_xlfn._xlws.FILTER(PriceList!$B$4:$B$2641,PriceList!$M$4:$M$2641=A939,""))</f>
        <v>OR9N 059.2-5.7</v>
      </c>
      <c r="E939" t="str" cm="1">
        <f t="array" ref="E939">_xlfn.TEXTJOIN(", ",TRUE,_xlfn._xlws.FILTER(ROW(PriceList!$B$4:$B$2641),PriceList!$M$4:$M$2641=A939,""))</f>
        <v>1206</v>
      </c>
      <c r="F939" s="42" t="str" cm="1">
        <f t="array" ref="F939">_xlfn.TEXTJOIN(" | ",TRUE,_xlfn.UNIQUE(_xlfn._xlws.FILTER(PriceList!$Q$4:$Q$2641&amp;" x "&amp;PriceList!$R$4:$R$2641&amp;" x "&amp;PriceList!$S$4:$S$2641,PriceList!$M$4:$M$2641=A939,"")))</f>
        <v>59.3 x 70.7 x 5.7</v>
      </c>
      <c r="G939" t="str" cm="1">
        <f t="array" ref="G939">INDEX(_xlfn._xlws.FILTER(PriceList!$P$4:$P$2641,PriceList!$M$4:$M$2641=A939,""),1)</f>
        <v>O Ring - NBR 70</v>
      </c>
    </row>
    <row r="940" spans="1:7" x14ac:dyDescent="0.45">
      <c r="A940" t="s">
        <v>4911</v>
      </c>
      <c r="B940">
        <f>COUNTIF(PriceList!$M$4:$M$2641,A940)</f>
        <v>2</v>
      </c>
      <c r="C940" t="str">
        <f>IF(B940=1,"1:1","1:Many")</f>
        <v>1:Many</v>
      </c>
      <c r="D940" s="42" t="str" cm="1">
        <f t="array" ref="D940">_xlfn.TEXTJOIN(" | ",TRUE,_xlfn._xlws.FILTER(PriceList!$B$4:$B$2641,PriceList!$M$4:$M$2641=A940,""))</f>
        <v>ORV8 058-7 | ORV8 059.2-5.7</v>
      </c>
      <c r="E940" t="str" cm="1">
        <f t="array" ref="E940">_xlfn.TEXTJOIN(", ",TRUE,_xlfn._xlws.FILTER(ROW(PriceList!$B$4:$B$2641),PriceList!$M$4:$M$2641=A940,""))</f>
        <v>1864, 1865</v>
      </c>
      <c r="F940" s="42" t="str" cm="1">
        <f t="array" ref="F940">_xlfn.TEXTJOIN(" | ",TRUE,_xlfn.UNIQUE(_xlfn._xlws.FILTER(PriceList!$Q$4:$Q$2641&amp;" x "&amp;PriceList!$R$4:$R$2641&amp;" x "&amp;PriceList!$S$4:$S$2641,PriceList!$M$4:$M$2641=A940,"")))</f>
        <v>59.3 x 70.7 x 5.7</v>
      </c>
      <c r="G940" t="str" cm="1">
        <f t="array" ref="G940">INDEX(_xlfn._xlws.FILTER(PriceList!$P$4:$P$2641,PriceList!$M$4:$M$2641=A940,""),1)</f>
        <v>O Ring - FPM/FKM/VitonÂ®</v>
      </c>
    </row>
    <row r="941" spans="1:7" x14ac:dyDescent="0.45">
      <c r="A941" t="s">
        <v>4109</v>
      </c>
      <c r="B941">
        <f>COUNTIF(PriceList!$M$4:$M$2641,A941)</f>
        <v>2</v>
      </c>
      <c r="C941" t="str">
        <f>IF(B941=1,"1:1","1:Many")</f>
        <v>1:Many</v>
      </c>
      <c r="D941" s="42" t="str" cm="1">
        <f t="array" ref="D941">_xlfn.TEXTJOIN(" | ",TRUE,_xlfn._xlws.FILTER(PriceList!$B$4:$B$2641,PriceList!$M$4:$M$2641=A941,""))</f>
        <v>OR7N 059.4-3.1 | OR9N 059.4-3.1</v>
      </c>
      <c r="E941" t="str" cm="1">
        <f t="array" ref="E941">_xlfn.TEXTJOIN(", ",TRUE,_xlfn._xlws.FILTER(ROW(PriceList!$B$4:$B$2641),PriceList!$M$4:$M$2641=A941,""))</f>
        <v>703, 1207</v>
      </c>
      <c r="F941" s="42" t="str" cm="1">
        <f t="array" ref="F941">_xlfn.TEXTJOIN(" | ",TRUE,_xlfn.UNIQUE(_xlfn._xlws.FILTER(PriceList!$Q$4:$Q$2641&amp;" x "&amp;PriceList!$R$4:$R$2641&amp;" x "&amp;PriceList!$S$4:$S$2641,PriceList!$M$4:$M$2641=A941,"")))</f>
        <v>59.4 x 65.6 x 3.1</v>
      </c>
      <c r="G941" t="str" cm="1">
        <f t="array" ref="G941">INDEX(_xlfn._xlws.FILTER(PriceList!$P$4:$P$2641,PriceList!$M$4:$M$2641=A941,""),1)</f>
        <v>O Ring - NBR 70</v>
      </c>
    </row>
    <row r="942" spans="1:7" x14ac:dyDescent="0.45">
      <c r="A942" t="s">
        <v>4913</v>
      </c>
      <c r="B942">
        <f>COUNTIF(PriceList!$M$4:$M$2641,A942)</f>
        <v>1</v>
      </c>
      <c r="C942" t="str">
        <f>IF(B942=1,"1:1","1:Many")</f>
        <v>1:1</v>
      </c>
      <c r="D942" s="42" t="str" cm="1">
        <f t="array" ref="D942">_xlfn.TEXTJOIN(" | ",TRUE,_xlfn._xlws.FILTER(PriceList!$B$4:$B$2641,PriceList!$M$4:$M$2641=A942,""))</f>
        <v>ORV8 059.4-3.1</v>
      </c>
      <c r="E942" t="str" cm="1">
        <f t="array" ref="E942">_xlfn.TEXTJOIN(", ",TRUE,_xlfn._xlws.FILTER(ROW(PriceList!$B$4:$B$2641),PriceList!$M$4:$M$2641=A942,""))</f>
        <v>1866</v>
      </c>
      <c r="F942" s="42" t="str" cm="1">
        <f t="array" ref="F942">_xlfn.TEXTJOIN(" | ",TRUE,_xlfn.UNIQUE(_xlfn._xlws.FILTER(PriceList!$Q$4:$Q$2641&amp;" x "&amp;PriceList!$R$4:$R$2641&amp;" x "&amp;PriceList!$S$4:$S$2641,PriceList!$M$4:$M$2641=A942,"")))</f>
        <v>59.5 x 65.5 x 3</v>
      </c>
      <c r="G942" t="str" cm="1">
        <f t="array" ref="G942">INDEX(_xlfn._xlws.FILTER(PriceList!$P$4:$P$2641,PriceList!$M$4:$M$2641=A942,""),1)</f>
        <v>O Ring - FPM/FKM/VitonÂ®</v>
      </c>
    </row>
    <row r="943" spans="1:7" x14ac:dyDescent="0.45">
      <c r="A943" t="s">
        <v>4917</v>
      </c>
      <c r="B943">
        <f>COUNTIF(PriceList!$M$4:$M$2641,A943)</f>
        <v>2</v>
      </c>
      <c r="C943" t="str">
        <f>IF(B943=1,"1:1","1:Many")</f>
        <v>1:Many</v>
      </c>
      <c r="D943" s="42" t="str" cm="1">
        <f t="array" ref="D943">_xlfn.TEXTJOIN(" | ",TRUE,_xlfn._xlws.FILTER(PriceList!$B$4:$B$2641,PriceList!$M$4:$M$2641=A943,""))</f>
        <v>ORV8 060.05-1.78 | ORV8 060-2</v>
      </c>
      <c r="E943" t="str" cm="1">
        <f t="array" ref="E943">_xlfn.TEXTJOIN(", ",TRUE,_xlfn._xlws.FILTER(ROW(PriceList!$B$4:$B$2641),PriceList!$M$4:$M$2641=A943,""))</f>
        <v>1870, 1872</v>
      </c>
      <c r="F943" s="42" t="str" cm="1">
        <f t="array" ref="F943">_xlfn.TEXTJOIN(" | ",TRUE,_xlfn.UNIQUE(_xlfn._xlws.FILTER(PriceList!$Q$4:$Q$2641&amp;" x "&amp;PriceList!$R$4:$R$2641&amp;" x "&amp;PriceList!$S$4:$S$2641,PriceList!$M$4:$M$2641=A943,"")))</f>
        <v>60 x 64 x 2</v>
      </c>
      <c r="G943" t="str" cm="1">
        <f t="array" ref="G943">INDEX(_xlfn._xlws.FILTER(PriceList!$P$4:$P$2641,PriceList!$M$4:$M$2641=A943,""),1)</f>
        <v>O Ring - FPM/FKM/VitonÂ®</v>
      </c>
    </row>
    <row r="944" spans="1:7" x14ac:dyDescent="0.45">
      <c r="A944" t="s">
        <v>4112</v>
      </c>
      <c r="B944">
        <f>COUNTIF(PriceList!$M$4:$M$2641,A944)</f>
        <v>2</v>
      </c>
      <c r="C944" t="str">
        <f>IF(B944=1,"1:1","1:Many")</f>
        <v>1:Many</v>
      </c>
      <c r="D944" s="42" t="str" cm="1">
        <f t="array" ref="D944">_xlfn.TEXTJOIN(" | ",TRUE,_xlfn._xlws.FILTER(PriceList!$B$4:$B$2641,PriceList!$M$4:$M$2641=A944,""))</f>
        <v>OR7N 059.99-2.62 | OR9N 059.99-2.62</v>
      </c>
      <c r="E944" t="str" cm="1">
        <f t="array" ref="E944">_xlfn.TEXTJOIN(", ",TRUE,_xlfn._xlws.FILTER(ROW(PriceList!$B$4:$B$2641),PriceList!$M$4:$M$2641=A944,""))</f>
        <v>706, 1210</v>
      </c>
      <c r="F944" s="42" t="str" cm="1">
        <f t="array" ref="F944">_xlfn.TEXTJOIN(" | ",TRUE,_xlfn.UNIQUE(_xlfn._xlws.FILTER(PriceList!$Q$4:$Q$2641&amp;" x "&amp;PriceList!$R$4:$R$2641&amp;" x "&amp;PriceList!$S$4:$S$2641,PriceList!$M$4:$M$2641=A944,"")))</f>
        <v>60 x 65 x 2.5</v>
      </c>
      <c r="G944" t="str" cm="1">
        <f t="array" ref="G944">INDEX(_xlfn._xlws.FILTER(PriceList!$P$4:$P$2641,PriceList!$M$4:$M$2641=A944,""),1)</f>
        <v>O Ring - NBR 70</v>
      </c>
    </row>
    <row r="945" spans="1:7" x14ac:dyDescent="0.45">
      <c r="A945" t="s">
        <v>4469</v>
      </c>
      <c r="B945">
        <f>COUNTIF(PriceList!$M$4:$M$2641,A945)</f>
        <v>1</v>
      </c>
      <c r="C945" t="str">
        <f>IF(B945=1,"1:1","1:Many")</f>
        <v>1:1</v>
      </c>
      <c r="D945" s="42" t="str" cm="1">
        <f t="array" ref="D945">_xlfn.TEXTJOIN(" | ",TRUE,_xlfn._xlws.FILTER(PriceList!$B$4:$B$2641,PriceList!$M$4:$M$2641=A945,""))</f>
        <v>OR9N 060-3</v>
      </c>
      <c r="E945" t="str" cm="1">
        <f t="array" ref="E945">_xlfn.TEXTJOIN(", ",TRUE,_xlfn._xlws.FILTER(ROW(PriceList!$B$4:$B$2641),PriceList!$M$4:$M$2641=A945,""))</f>
        <v>1212</v>
      </c>
      <c r="F945" s="42" t="str" cm="1">
        <f t="array" ref="F945">_xlfn.TEXTJOIN(" | ",TRUE,_xlfn.UNIQUE(_xlfn._xlws.FILTER(PriceList!$Q$4:$Q$2641&amp;" x "&amp;PriceList!$R$4:$R$2641&amp;" x "&amp;PriceList!$S$4:$S$2641,PriceList!$M$4:$M$2641=A945,"")))</f>
        <v>60 x 66 x 3</v>
      </c>
      <c r="G945" t="str" cm="1">
        <f t="array" ref="G945">INDEX(_xlfn._xlws.FILTER(PriceList!$P$4:$P$2641,PriceList!$M$4:$M$2641=A945,""),1)</f>
        <v>O Ring - NBR 70</v>
      </c>
    </row>
    <row r="946" spans="1:7" x14ac:dyDescent="0.45">
      <c r="A946" t="s">
        <v>4111</v>
      </c>
      <c r="B946">
        <f>COUNTIF(PriceList!$M$4:$M$2641,A946)</f>
        <v>2</v>
      </c>
      <c r="C946" t="str">
        <f>IF(B946=1,"1:1","1:Many")</f>
        <v>1:Many</v>
      </c>
      <c r="D946" s="42" t="str" cm="1">
        <f t="array" ref="D946">_xlfn.TEXTJOIN(" | ",TRUE,_xlfn._xlws.FILTER(PriceList!$B$4:$B$2641,PriceList!$M$4:$M$2641=A946,""))</f>
        <v>OR7N 059.92-3.53 | OR9N 059.92-3.53</v>
      </c>
      <c r="E946" t="str" cm="1">
        <f t="array" ref="E946">_xlfn.TEXTJOIN(", ",TRUE,_xlfn._xlws.FILTER(ROW(PriceList!$B$4:$B$2641),PriceList!$M$4:$M$2641=A946,""))</f>
        <v>705, 1209</v>
      </c>
      <c r="F946" s="42" t="str" cm="1">
        <f t="array" ref="F946">_xlfn.TEXTJOIN(" | ",TRUE,_xlfn.UNIQUE(_xlfn._xlws.FILTER(PriceList!$Q$4:$Q$2641&amp;" x "&amp;PriceList!$R$4:$R$2641&amp;" x "&amp;PriceList!$S$4:$S$2641,PriceList!$M$4:$M$2641=A946,"")))</f>
        <v>60 x 67 x 3.5</v>
      </c>
      <c r="G946" t="str" cm="1">
        <f t="array" ref="G946">INDEX(_xlfn._xlws.FILTER(PriceList!$P$4:$P$2641,PriceList!$M$4:$M$2641=A946,""),1)</f>
        <v>O Ring - NBR 70</v>
      </c>
    </row>
    <row r="947" spans="1:7" x14ac:dyDescent="0.45">
      <c r="A947" t="s">
        <v>4915</v>
      </c>
      <c r="B947">
        <f>COUNTIF(PriceList!$M$4:$M$2641,A947)</f>
        <v>1</v>
      </c>
      <c r="C947" t="str">
        <f>IF(B947=1,"1:1","1:Many")</f>
        <v>1:1</v>
      </c>
      <c r="D947" s="42" t="str" cm="1">
        <f t="array" ref="D947">_xlfn.TEXTJOIN(" | ",TRUE,_xlfn._xlws.FILTER(PriceList!$B$4:$B$2641,PriceList!$M$4:$M$2641=A947,""))</f>
        <v>ORV8 059.92-3.53</v>
      </c>
      <c r="E947" t="str" cm="1">
        <f t="array" ref="E947">_xlfn.TEXTJOIN(", ",TRUE,_xlfn._xlws.FILTER(ROW(PriceList!$B$4:$B$2641),PriceList!$M$4:$M$2641=A947,""))</f>
        <v>1868</v>
      </c>
      <c r="F947" s="42" t="str" cm="1">
        <f t="array" ref="F947">_xlfn.TEXTJOIN(" | ",TRUE,_xlfn.UNIQUE(_xlfn._xlws.FILTER(PriceList!$Q$4:$Q$2641&amp;" x "&amp;PriceList!$R$4:$R$2641&amp;" x "&amp;PriceList!$S$4:$S$2641,PriceList!$M$4:$M$2641=A947,"")))</f>
        <v>60 x 67 x 3.5</v>
      </c>
      <c r="G947" t="str" cm="1">
        <f t="array" ref="G947">INDEX(_xlfn._xlws.FILTER(PriceList!$P$4:$P$2641,PriceList!$M$4:$M$2641=A947,""),1)</f>
        <v>O Ring - FPM/FKM/VitonÂ®</v>
      </c>
    </row>
    <row r="948" spans="1:7" x14ac:dyDescent="0.45">
      <c r="A948" t="s">
        <v>4470</v>
      </c>
      <c r="B948">
        <f>COUNTIF(PriceList!$M$4:$M$2641,A948)</f>
        <v>1</v>
      </c>
      <c r="C948" t="str">
        <f>IF(B948=1,"1:1","1:Many")</f>
        <v>1:1</v>
      </c>
      <c r="D948" s="42" t="str" cm="1">
        <f t="array" ref="D948">_xlfn.TEXTJOIN(" | ",TRUE,_xlfn._xlws.FILTER(PriceList!$B$4:$B$2641,PriceList!$M$4:$M$2641=A948,""))</f>
        <v>OR9N 060-4</v>
      </c>
      <c r="E948" t="str" cm="1">
        <f t="array" ref="E948">_xlfn.TEXTJOIN(", ",TRUE,_xlfn._xlws.FILTER(ROW(PriceList!$B$4:$B$2641),PriceList!$M$4:$M$2641=A948,""))</f>
        <v>1213</v>
      </c>
      <c r="F948" s="42" t="str" cm="1">
        <f t="array" ref="F948">_xlfn.TEXTJOIN(" | ",TRUE,_xlfn.UNIQUE(_xlfn._xlws.FILTER(PriceList!$Q$4:$Q$2641&amp;" x "&amp;PriceList!$R$4:$R$2641&amp;" x "&amp;PriceList!$S$4:$S$2641,PriceList!$M$4:$M$2641=A948,"")))</f>
        <v>60 x 68 x 4</v>
      </c>
      <c r="G948" t="str" cm="1">
        <f t="array" ref="G948">INDEX(_xlfn._xlws.FILTER(PriceList!$P$4:$P$2641,PriceList!$M$4:$M$2641=A948,""),1)</f>
        <v>O Ring - NBR 70</v>
      </c>
    </row>
    <row r="949" spans="1:7" x14ac:dyDescent="0.45">
      <c r="A949" t="s">
        <v>4921</v>
      </c>
      <c r="B949">
        <f>COUNTIF(PriceList!$M$4:$M$2641,A949)</f>
        <v>1</v>
      </c>
      <c r="C949" t="str">
        <f>IF(B949=1,"1:1","1:Many")</f>
        <v>1:1</v>
      </c>
      <c r="D949" s="42" t="str" cm="1">
        <f t="array" ref="D949">_xlfn.TEXTJOIN(" | ",TRUE,_xlfn._xlws.FILTER(PriceList!$B$4:$B$2641,PriceList!$M$4:$M$2641=A949,""))</f>
        <v>ORV8 060-4</v>
      </c>
      <c r="E949" t="str" cm="1">
        <f t="array" ref="E949">_xlfn.TEXTJOIN(", ",TRUE,_xlfn._xlws.FILTER(ROW(PriceList!$B$4:$B$2641),PriceList!$M$4:$M$2641=A949,""))</f>
        <v>1873</v>
      </c>
      <c r="F949" s="42" t="str" cm="1">
        <f t="array" ref="F949">_xlfn.TEXTJOIN(" | ",TRUE,_xlfn.UNIQUE(_xlfn._xlws.FILTER(PriceList!$Q$4:$Q$2641&amp;" x "&amp;PriceList!$R$4:$R$2641&amp;" x "&amp;PriceList!$S$4:$S$2641,PriceList!$M$4:$M$2641=A949,"")))</f>
        <v>60 x 68 x 4</v>
      </c>
      <c r="G949" t="str" cm="1">
        <f t="array" ref="G949">INDEX(_xlfn._xlws.FILTER(PriceList!$P$4:$P$2641,PriceList!$M$4:$M$2641=A949,""),1)</f>
        <v>O Ring - FPM/FKM/VitonÂ®</v>
      </c>
    </row>
    <row r="950" spans="1:7" x14ac:dyDescent="0.45">
      <c r="A950" t="s">
        <v>4471</v>
      </c>
      <c r="B950">
        <f>COUNTIF(PriceList!$M$4:$M$2641,A950)</f>
        <v>1</v>
      </c>
      <c r="C950" t="str">
        <f>IF(B950=1,"1:1","1:Many")</f>
        <v>1:1</v>
      </c>
      <c r="D950" s="42" t="str" cm="1">
        <f t="array" ref="D950">_xlfn.TEXTJOIN(" | ",TRUE,_xlfn._xlws.FILTER(PriceList!$B$4:$B$2641,PriceList!$M$4:$M$2641=A950,""))</f>
        <v>OR9N 060-5</v>
      </c>
      <c r="E950" t="str" cm="1">
        <f t="array" ref="E950">_xlfn.TEXTJOIN(", ",TRUE,_xlfn._xlws.FILTER(ROW(PriceList!$B$4:$B$2641),PriceList!$M$4:$M$2641=A950,""))</f>
        <v>1214</v>
      </c>
      <c r="F950" s="42" t="str" cm="1">
        <f t="array" ref="F950">_xlfn.TEXTJOIN(" | ",TRUE,_xlfn.UNIQUE(_xlfn._xlws.FILTER(PriceList!$Q$4:$Q$2641&amp;" x "&amp;PriceList!$R$4:$R$2641&amp;" x "&amp;PriceList!$S$4:$S$2641,PriceList!$M$4:$M$2641=A950,"")))</f>
        <v>60 x 70 x 5</v>
      </c>
      <c r="G950" t="str" cm="1">
        <f t="array" ref="G950">INDEX(_xlfn._xlws.FILTER(PriceList!$P$4:$P$2641,PriceList!$M$4:$M$2641=A950,""),1)</f>
        <v>O Ring - NBR 70</v>
      </c>
    </row>
    <row r="951" spans="1:7" x14ac:dyDescent="0.45">
      <c r="A951" t="s">
        <v>4113</v>
      </c>
      <c r="B951">
        <f>COUNTIF(PriceList!$M$4:$M$2641,A951)</f>
        <v>2</v>
      </c>
      <c r="C951" t="str">
        <f>IF(B951=1,"1:1","1:Many")</f>
        <v>1:Many</v>
      </c>
      <c r="D951" s="42" t="str" cm="1">
        <f t="array" ref="D951">_xlfn.TEXTJOIN(" | ",TRUE,_xlfn._xlws.FILTER(PriceList!$B$4:$B$2641,PriceList!$M$4:$M$2641=A951,""))</f>
        <v>OR7N 061.6-2.62 | OR9N 061.6-2.62</v>
      </c>
      <c r="E951" t="str" cm="1">
        <f t="array" ref="E951">_xlfn.TEXTJOIN(", ",TRUE,_xlfn._xlws.FILTER(ROW(PriceList!$B$4:$B$2641),PriceList!$M$4:$M$2641=A951,""))</f>
        <v>707, 1215</v>
      </c>
      <c r="F951" s="42" t="str" cm="1">
        <f t="array" ref="F951">_xlfn.TEXTJOIN(" | ",TRUE,_xlfn.UNIQUE(_xlfn._xlws.FILTER(PriceList!$Q$4:$Q$2641&amp;" x "&amp;PriceList!$R$4:$R$2641&amp;" x "&amp;PriceList!$S$4:$S$2641,PriceList!$M$4:$M$2641=A951,"")))</f>
        <v>61.6 x 66.4 x 2.4</v>
      </c>
      <c r="G951" t="str" cm="1">
        <f t="array" ref="G951">INDEX(_xlfn._xlws.FILTER(PriceList!$P$4:$P$2641,PriceList!$M$4:$M$2641=A951,""),1)</f>
        <v>O Ring - NBR 70</v>
      </c>
    </row>
    <row r="952" spans="1:7" x14ac:dyDescent="0.45">
      <c r="A952" t="s">
        <v>4474</v>
      </c>
      <c r="B952">
        <f>COUNTIF(PriceList!$M$4:$M$2641,A952)</f>
        <v>1</v>
      </c>
      <c r="C952" t="str">
        <f>IF(B952=1,"1:1","1:Many")</f>
        <v>1:1</v>
      </c>
      <c r="D952" s="42" t="str" cm="1">
        <f t="array" ref="D952">_xlfn.TEXTJOIN(" | ",TRUE,_xlfn._xlws.FILTER(PriceList!$B$4:$B$2641,PriceList!$M$4:$M$2641=A952,""))</f>
        <v>OR9N 062-4</v>
      </c>
      <c r="E952" t="str" cm="1">
        <f t="array" ref="E952">_xlfn.TEXTJOIN(", ",TRUE,_xlfn._xlws.FILTER(ROW(PriceList!$B$4:$B$2641),PriceList!$M$4:$M$2641=A952,""))</f>
        <v>1218</v>
      </c>
      <c r="F952" s="42" t="str" cm="1">
        <f t="array" ref="F952">_xlfn.TEXTJOIN(" | ",TRUE,_xlfn.UNIQUE(_xlfn._xlws.FILTER(PriceList!$Q$4:$Q$2641&amp;" x "&amp;PriceList!$R$4:$R$2641&amp;" x "&amp;PriceList!$S$4:$S$2641,PriceList!$M$4:$M$2641=A952,"")))</f>
        <v>62 x 70 x 4</v>
      </c>
      <c r="G952" t="str" cm="1">
        <f t="array" ref="G952">INDEX(_xlfn._xlws.FILTER(PriceList!$P$4:$P$2641,PriceList!$M$4:$M$2641=A952,""),1)</f>
        <v>O Ring - NBR 70</v>
      </c>
    </row>
    <row r="953" spans="1:7" x14ac:dyDescent="0.45">
      <c r="A953" t="s">
        <v>4472</v>
      </c>
      <c r="B953">
        <f>COUNTIF(PriceList!$M$4:$M$2641,A953)</f>
        <v>1</v>
      </c>
      <c r="C953" t="str">
        <f>IF(B953=1,"1:1","1:Many")</f>
        <v>1:1</v>
      </c>
      <c r="D953" s="42" t="str" cm="1">
        <f t="array" ref="D953">_xlfn.TEXTJOIN(" | ",TRUE,_xlfn._xlws.FILTER(PriceList!$B$4:$B$2641,PriceList!$M$4:$M$2641=A953,""))</f>
        <v>OR9N 062.7-5.7</v>
      </c>
      <c r="E953" t="str" cm="1">
        <f t="array" ref="E953">_xlfn.TEXTJOIN(", ",TRUE,_xlfn._xlws.FILTER(ROW(PriceList!$B$4:$B$2641),PriceList!$M$4:$M$2641=A953,""))</f>
        <v>1216</v>
      </c>
      <c r="F953" s="42" t="str" cm="1">
        <f t="array" ref="F953">_xlfn.TEXTJOIN(" | ",TRUE,_xlfn.UNIQUE(_xlfn._xlws.FILTER(PriceList!$Q$4:$Q$2641&amp;" x "&amp;PriceList!$R$4:$R$2641&amp;" x "&amp;PriceList!$S$4:$S$2641,PriceList!$M$4:$M$2641=A953,"")))</f>
        <v>62 x 74 x 6</v>
      </c>
      <c r="G953" t="str" cm="1">
        <f t="array" ref="G953">INDEX(_xlfn._xlws.FILTER(PriceList!$P$4:$P$2641,PriceList!$M$4:$M$2641=A953,""),1)</f>
        <v>O Ring - NBR 70</v>
      </c>
    </row>
    <row r="954" spans="1:7" x14ac:dyDescent="0.45">
      <c r="A954" t="s">
        <v>4475</v>
      </c>
      <c r="B954">
        <f>COUNTIF(PriceList!$M$4:$M$2641,A954)</f>
        <v>1</v>
      </c>
      <c r="C954" t="str">
        <f>IF(B954=1,"1:1","1:Many")</f>
        <v>1:1</v>
      </c>
      <c r="D954" s="42" t="str" cm="1">
        <f t="array" ref="D954">_xlfn.TEXTJOIN(" | ",TRUE,_xlfn._xlws.FILTER(PriceList!$B$4:$B$2641,PriceList!$M$4:$M$2641=A954,""))</f>
        <v>OR9N 063-2</v>
      </c>
      <c r="E954" t="str" cm="1">
        <f t="array" ref="E954">_xlfn.TEXTJOIN(", ",TRUE,_xlfn._xlws.FILTER(ROW(PriceList!$B$4:$B$2641),PriceList!$M$4:$M$2641=A954,""))</f>
        <v>1222</v>
      </c>
      <c r="F954" s="42" t="str" cm="1">
        <f t="array" ref="F954">_xlfn.TEXTJOIN(" | ",TRUE,_xlfn.UNIQUE(_xlfn._xlws.FILTER(PriceList!$Q$4:$Q$2641&amp;" x "&amp;PriceList!$R$4:$R$2641&amp;" x "&amp;PriceList!$S$4:$S$2641,PriceList!$M$4:$M$2641=A954,"")))</f>
        <v>63 x 67 x 2</v>
      </c>
      <c r="G954" t="str" cm="1">
        <f t="array" ref="G954">INDEX(_xlfn._xlws.FILTER(PriceList!$P$4:$P$2641,PriceList!$M$4:$M$2641=A954,""),1)</f>
        <v>O Ring - NBR 70</v>
      </c>
    </row>
    <row r="955" spans="1:7" x14ac:dyDescent="0.45">
      <c r="A955" t="s">
        <v>4476</v>
      </c>
      <c r="B955">
        <f>COUNTIF(PriceList!$M$4:$M$2641,A955)</f>
        <v>1</v>
      </c>
      <c r="C955" t="str">
        <f>IF(B955=1,"1:1","1:Many")</f>
        <v>1:1</v>
      </c>
      <c r="D955" s="42" t="str" cm="1">
        <f t="array" ref="D955">_xlfn.TEXTJOIN(" | ",TRUE,_xlfn._xlws.FILTER(PriceList!$B$4:$B$2641,PriceList!$M$4:$M$2641=A955,""))</f>
        <v>OR9N 063-2.5</v>
      </c>
      <c r="E955" t="str" cm="1">
        <f t="array" ref="E955">_xlfn.TEXTJOIN(", ",TRUE,_xlfn._xlws.FILTER(ROW(PriceList!$B$4:$B$2641),PriceList!$M$4:$M$2641=A955,""))</f>
        <v>1223</v>
      </c>
      <c r="F955" s="42" t="str" cm="1">
        <f t="array" ref="F955">_xlfn.TEXTJOIN(" | ",TRUE,_xlfn.UNIQUE(_xlfn._xlws.FILTER(PriceList!$Q$4:$Q$2641&amp;" x "&amp;PriceList!$R$4:$R$2641&amp;" x "&amp;PriceList!$S$4:$S$2641,PriceList!$M$4:$M$2641=A955,"")))</f>
        <v>63 x 68 x 2.5</v>
      </c>
      <c r="G955" t="str" cm="1">
        <f t="array" ref="G955">INDEX(_xlfn._xlws.FILTER(PriceList!$P$4:$P$2641,PriceList!$M$4:$M$2641=A955,""),1)</f>
        <v>O Ring - NBR 70</v>
      </c>
    </row>
    <row r="956" spans="1:7" x14ac:dyDescent="0.45">
      <c r="A956" t="s">
        <v>4477</v>
      </c>
      <c r="B956">
        <f>COUNTIF(PriceList!$M$4:$M$2641,A956)</f>
        <v>1</v>
      </c>
      <c r="C956" t="str">
        <f>IF(B956=1,"1:1","1:Many")</f>
        <v>1:1</v>
      </c>
      <c r="D956" s="42" t="str" cm="1">
        <f t="array" ref="D956">_xlfn.TEXTJOIN(" | ",TRUE,_xlfn._xlws.FILTER(PriceList!$B$4:$B$2641,PriceList!$M$4:$M$2641=A956,""))</f>
        <v>OR9N 063-3</v>
      </c>
      <c r="E956" t="str" cm="1">
        <f t="array" ref="E956">_xlfn.TEXTJOIN(", ",TRUE,_xlfn._xlws.FILTER(ROW(PriceList!$B$4:$B$2641),PriceList!$M$4:$M$2641=A956,""))</f>
        <v>1224</v>
      </c>
      <c r="F956" s="42" t="str" cm="1">
        <f t="array" ref="F956">_xlfn.TEXTJOIN(" | ",TRUE,_xlfn.UNIQUE(_xlfn._xlws.FILTER(PriceList!$Q$4:$Q$2641&amp;" x "&amp;PriceList!$R$4:$R$2641&amp;" x "&amp;PriceList!$S$4:$S$2641,PriceList!$M$4:$M$2641=A956,"")))</f>
        <v>63 x 69 x 3</v>
      </c>
      <c r="G956" t="str" cm="1">
        <f t="array" ref="G956">INDEX(_xlfn._xlws.FILTER(PriceList!$P$4:$P$2641,PriceList!$M$4:$M$2641=A956,""),1)</f>
        <v>O Ring - NBR 70</v>
      </c>
    </row>
    <row r="957" spans="1:7" x14ac:dyDescent="0.45">
      <c r="A957" t="s">
        <v>4931</v>
      </c>
      <c r="B957">
        <f>COUNTIF(PriceList!$M$4:$M$2641,A957)</f>
        <v>1</v>
      </c>
      <c r="C957" t="str">
        <f>IF(B957=1,"1:1","1:Many")</f>
        <v>1:1</v>
      </c>
      <c r="D957" s="42" t="str" cm="1">
        <f t="array" ref="D957">_xlfn.TEXTJOIN(" | ",TRUE,_xlfn._xlws.FILTER(PriceList!$B$4:$B$2641,PriceList!$M$4:$M$2641=A957,""))</f>
        <v>ORV8 063-3</v>
      </c>
      <c r="E957" t="str" cm="1">
        <f t="array" ref="E957">_xlfn.TEXTJOIN(", ",TRUE,_xlfn._xlws.FILTER(ROW(PriceList!$B$4:$B$2641),PriceList!$M$4:$M$2641=A957,""))</f>
        <v>1882</v>
      </c>
      <c r="F957" s="42" t="str" cm="1">
        <f t="array" ref="F957">_xlfn.TEXTJOIN(" | ",TRUE,_xlfn.UNIQUE(_xlfn._xlws.FILTER(PriceList!$Q$4:$Q$2641&amp;" x "&amp;PriceList!$R$4:$R$2641&amp;" x "&amp;PriceList!$S$4:$S$2641,PriceList!$M$4:$M$2641=A957,"")))</f>
        <v>63 x 69 x 3</v>
      </c>
      <c r="G957" t="str" cm="1">
        <f t="array" ref="G957">INDEX(_xlfn._xlws.FILTER(PriceList!$P$4:$P$2641,PriceList!$M$4:$M$2641=A957,""),1)</f>
        <v>O Ring - FPM/FKM/VitonÂ®</v>
      </c>
    </row>
    <row r="958" spans="1:7" x14ac:dyDescent="0.45">
      <c r="A958" t="s">
        <v>4115</v>
      </c>
      <c r="B958">
        <f>COUNTIF(PriceList!$M$4:$M$2641,A958)</f>
        <v>2</v>
      </c>
      <c r="C958" t="str">
        <f>IF(B958=1,"1:1","1:Many")</f>
        <v>1:Many</v>
      </c>
      <c r="D958" s="42" t="str" cm="1">
        <f t="array" ref="D958">_xlfn.TEXTJOIN(" | ",TRUE,_xlfn._xlws.FILTER(PriceList!$B$4:$B$2641,PriceList!$M$4:$M$2641=A958,""))</f>
        <v>OR7N 063.09-3.53 | OR9N 063.09-3.53</v>
      </c>
      <c r="E958" t="str" cm="1">
        <f t="array" ref="E958">_xlfn.TEXTJOIN(", ",TRUE,_xlfn._xlws.FILTER(ROW(PriceList!$B$4:$B$2641),PriceList!$M$4:$M$2641=A958,""))</f>
        <v>709, 1219</v>
      </c>
      <c r="F958" s="42" t="str" cm="1">
        <f t="array" ref="F958">_xlfn.TEXTJOIN(" | ",TRUE,_xlfn.UNIQUE(_xlfn._xlws.FILTER(PriceList!$Q$4:$Q$2641&amp;" x "&amp;PriceList!$R$4:$R$2641&amp;" x "&amp;PriceList!$S$4:$S$2641,PriceList!$M$4:$M$2641=A958,"")))</f>
        <v>63 x 70 x 3.5</v>
      </c>
      <c r="G958" t="str" cm="1">
        <f t="array" ref="G958">INDEX(_xlfn._xlws.FILTER(PriceList!$P$4:$P$2641,PriceList!$M$4:$M$2641=A958,""),1)</f>
        <v>O Ring - NBR 70</v>
      </c>
    </row>
    <row r="959" spans="1:7" x14ac:dyDescent="0.45">
      <c r="A959" t="s">
        <v>4122</v>
      </c>
      <c r="B959">
        <f>COUNTIF(PriceList!$M$4:$M$2641,A959)</f>
        <v>2</v>
      </c>
      <c r="C959" t="str">
        <f>IF(B959=1,"1:1","1:Many")</f>
        <v>1:Many</v>
      </c>
      <c r="D959" s="42" t="str" cm="1">
        <f t="array" ref="D959">_xlfn.TEXTJOIN(" | ",TRUE,_xlfn._xlws.FILTER(PriceList!$B$4:$B$2641,PriceList!$M$4:$M$2641=A959,""))</f>
        <v>OR7N 064-4 | OR9N 064-4</v>
      </c>
      <c r="E959" t="str" cm="1">
        <f t="array" ref="E959">_xlfn.TEXTJOIN(", ",TRUE,_xlfn._xlws.FILTER(ROW(PriceList!$B$4:$B$2641),PriceList!$M$4:$M$2641=A959,""))</f>
        <v>715, 1228</v>
      </c>
      <c r="F959" s="42" t="str" cm="1">
        <f t="array" ref="F959">_xlfn.TEXTJOIN(" | ",TRUE,_xlfn.UNIQUE(_xlfn._xlws.FILTER(PriceList!$Q$4:$Q$2641&amp;" x "&amp;PriceList!$R$4:$R$2641&amp;" x "&amp;PriceList!$S$4:$S$2641,PriceList!$M$4:$M$2641=A959,"")))</f>
        <v>64 x 72 x 4</v>
      </c>
      <c r="G959" t="str" cm="1">
        <f t="array" ref="G959">INDEX(_xlfn._xlws.FILTER(PriceList!$P$4:$P$2641,PriceList!$M$4:$M$2641=A959,""),1)</f>
        <v>O Ring - NBR 70</v>
      </c>
    </row>
    <row r="960" spans="1:7" x14ac:dyDescent="0.45">
      <c r="A960" t="s">
        <v>4118</v>
      </c>
      <c r="B960">
        <f>COUNTIF(PriceList!$M$4:$M$2641,A960)</f>
        <v>2</v>
      </c>
      <c r="C960" t="str">
        <f>IF(B960=1,"1:1","1:Many")</f>
        <v>1:Many</v>
      </c>
      <c r="D960" s="42" t="str" cm="1">
        <f t="array" ref="D960">_xlfn.TEXTJOIN(" | ",TRUE,_xlfn._xlws.FILTER(PriceList!$B$4:$B$2641,PriceList!$M$4:$M$2641=A960,""))</f>
        <v>OR7N 064.2-5.7 | OR9N 064.2-5.7</v>
      </c>
      <c r="E960" t="str" cm="1">
        <f t="array" ref="E960">_xlfn.TEXTJOIN(", ",TRUE,_xlfn._xlws.FILTER(ROW(PriceList!$B$4:$B$2641),PriceList!$M$4:$M$2641=A960,""))</f>
        <v>712, 1225</v>
      </c>
      <c r="F960" s="42" t="str" cm="1">
        <f t="array" ref="F960">_xlfn.TEXTJOIN(" | ",TRUE,_xlfn.UNIQUE(_xlfn._xlws.FILTER(PriceList!$Q$4:$Q$2641&amp;" x "&amp;PriceList!$R$4:$R$2641&amp;" x "&amp;PriceList!$S$4:$S$2641,PriceList!$M$4:$M$2641=A960,"")))</f>
        <v>64.3 x 75.7 x 5.7</v>
      </c>
      <c r="G960" t="str" cm="1">
        <f t="array" ref="G960">INDEX(_xlfn._xlws.FILTER(PriceList!$P$4:$P$2641,PriceList!$M$4:$M$2641=A960,""),1)</f>
        <v>O Ring - NBR 70</v>
      </c>
    </row>
    <row r="961" spans="1:7" x14ac:dyDescent="0.45">
      <c r="A961" t="s">
        <v>4932</v>
      </c>
      <c r="B961">
        <f>COUNTIF(PriceList!$M$4:$M$2641,A961)</f>
        <v>2</v>
      </c>
      <c r="C961" t="str">
        <f>IF(B961=1,"1:1","1:Many")</f>
        <v>1:Many</v>
      </c>
      <c r="D961" s="42" t="str" cm="1">
        <f t="array" ref="D961">_xlfn.TEXTJOIN(" | ",TRUE,_xlfn._xlws.FILTER(PriceList!$B$4:$B$2641,PriceList!$M$4:$M$2641=A961,""))</f>
        <v>ORV8 064.2-5.7 | ORV8 064-6</v>
      </c>
      <c r="E961" t="str" cm="1">
        <f t="array" ref="E961">_xlfn.TEXTJOIN(", ",TRUE,_xlfn._xlws.FILTER(ROW(PriceList!$B$4:$B$2641),PriceList!$M$4:$M$2641=A961,""))</f>
        <v>1883, 1886</v>
      </c>
      <c r="F961" s="42" t="str" cm="1">
        <f t="array" ref="F961">_xlfn.TEXTJOIN(" | ",TRUE,_xlfn.UNIQUE(_xlfn._xlws.FILTER(PriceList!$Q$4:$Q$2641&amp;" x "&amp;PriceList!$R$4:$R$2641&amp;" x "&amp;PriceList!$S$4:$S$2641,PriceList!$M$4:$M$2641=A961,"")))</f>
        <v>64.3 x 75.7 x 5.7</v>
      </c>
      <c r="G961" t="str" cm="1">
        <f t="array" ref="G961">INDEX(_xlfn._xlws.FILTER(PriceList!$P$4:$P$2641,PriceList!$M$4:$M$2641=A961,""),1)</f>
        <v>O Ring - FPM/FKM/VitonÂ®</v>
      </c>
    </row>
    <row r="962" spans="1:7" x14ac:dyDescent="0.45">
      <c r="A962" t="s">
        <v>4120</v>
      </c>
      <c r="B962">
        <f>COUNTIF(PriceList!$M$4:$M$2641,A962)</f>
        <v>2</v>
      </c>
      <c r="C962" t="str">
        <f>IF(B962=1,"1:1","1:Many")</f>
        <v>1:Many</v>
      </c>
      <c r="D962" s="42" t="str" cm="1">
        <f t="array" ref="D962">_xlfn.TEXTJOIN(" | ",TRUE,_xlfn._xlws.FILTER(PriceList!$B$4:$B$2641,PriceList!$M$4:$M$2641=A962,""))</f>
        <v>OR7N 064.4-3.1 | OR9N 064.4-3.1</v>
      </c>
      <c r="E962" t="str" cm="1">
        <f t="array" ref="E962">_xlfn.TEXTJOIN(", ",TRUE,_xlfn._xlws.FILTER(ROW(PriceList!$B$4:$B$2641),PriceList!$M$4:$M$2641=A962,""))</f>
        <v>713, 1226</v>
      </c>
      <c r="F962" s="42" t="str" cm="1">
        <f t="array" ref="F962">_xlfn.TEXTJOIN(" | ",TRUE,_xlfn.UNIQUE(_xlfn._xlws.FILTER(PriceList!$Q$4:$Q$2641&amp;" x "&amp;PriceList!$R$4:$R$2641&amp;" x "&amp;PriceList!$S$4:$S$2641,PriceList!$M$4:$M$2641=A962,"")))</f>
        <v>64.4 x 70.6 x 3.1</v>
      </c>
      <c r="G962" t="str" cm="1">
        <f t="array" ref="G962">INDEX(_xlfn._xlws.FILTER(PriceList!$P$4:$P$2641,PriceList!$M$4:$M$2641=A962,""),1)</f>
        <v>O Ring - NBR 70</v>
      </c>
    </row>
    <row r="963" spans="1:7" x14ac:dyDescent="0.45">
      <c r="A963" t="s">
        <v>4933</v>
      </c>
      <c r="B963">
        <f>COUNTIF(PriceList!$M$4:$M$2641,A963)</f>
        <v>1</v>
      </c>
      <c r="C963" t="str">
        <f>IF(B963=1,"1:1","1:Many")</f>
        <v>1:1</v>
      </c>
      <c r="D963" s="42" t="str" cm="1">
        <f t="array" ref="D963">_xlfn.TEXTJOIN(" | ",TRUE,_xlfn._xlws.FILTER(PriceList!$B$4:$B$2641,PriceList!$M$4:$M$2641=A963,""))</f>
        <v>ORV8 064.4-3.1</v>
      </c>
      <c r="E963" t="str" cm="1">
        <f t="array" ref="E963">_xlfn.TEXTJOIN(", ",TRUE,_xlfn._xlws.FILTER(ROW(PriceList!$B$4:$B$2641),PriceList!$M$4:$M$2641=A963,""))</f>
        <v>1884</v>
      </c>
      <c r="F963" s="42" t="str" cm="1">
        <f t="array" ref="F963">_xlfn.TEXTJOIN(" | ",TRUE,_xlfn.UNIQUE(_xlfn._xlws.FILTER(PriceList!$Q$4:$Q$2641&amp;" x "&amp;PriceList!$R$4:$R$2641&amp;" x "&amp;PriceList!$S$4:$S$2641,PriceList!$M$4:$M$2641=A963,"")))</f>
        <v>64.5 x 70.5 x 3</v>
      </c>
      <c r="G963" t="str" cm="1">
        <f t="array" ref="G963">INDEX(_xlfn._xlws.FILTER(PriceList!$P$4:$P$2641,PriceList!$M$4:$M$2641=A963,""),1)</f>
        <v>O Ring - FPM/FKM/VitonÂ®</v>
      </c>
    </row>
    <row r="964" spans="1:7" x14ac:dyDescent="0.45">
      <c r="A964" t="s">
        <v>4478</v>
      </c>
      <c r="B964">
        <f>COUNTIF(PriceList!$M$4:$M$2641,A964)</f>
        <v>1</v>
      </c>
      <c r="C964" t="str">
        <f>IF(B964=1,"1:1","1:Many")</f>
        <v>1:1</v>
      </c>
      <c r="D964" s="42" t="str" cm="1">
        <f t="array" ref="D964">_xlfn.TEXTJOIN(" | ",TRUE,_xlfn._xlws.FILTER(PriceList!$B$4:$B$2641,PriceList!$M$4:$M$2641=A964,""))</f>
        <v>OR9N 065-2</v>
      </c>
      <c r="E964" t="str" cm="1">
        <f t="array" ref="E964">_xlfn.TEXTJOIN(", ",TRUE,_xlfn._xlws.FILTER(ROW(PriceList!$B$4:$B$2641),PriceList!$M$4:$M$2641=A964,""))</f>
        <v>1229</v>
      </c>
      <c r="F964" s="42" t="str" cm="1">
        <f t="array" ref="F964">_xlfn.TEXTJOIN(" | ",TRUE,_xlfn.UNIQUE(_xlfn._xlws.FILTER(PriceList!$Q$4:$Q$2641&amp;" x "&amp;PriceList!$R$4:$R$2641&amp;" x "&amp;PriceList!$S$4:$S$2641,PriceList!$M$4:$M$2641=A964,"")))</f>
        <v>65 x 69 x 2</v>
      </c>
      <c r="G964" t="str" cm="1">
        <f t="array" ref="G964">INDEX(_xlfn._xlws.FILTER(PriceList!$P$4:$P$2641,PriceList!$M$4:$M$2641=A964,""),1)</f>
        <v>O Ring - NBR 70</v>
      </c>
    </row>
    <row r="965" spans="1:7" x14ac:dyDescent="0.45">
      <c r="A965" t="s">
        <v>4121</v>
      </c>
      <c r="B965">
        <f>COUNTIF(PriceList!$M$4:$M$2641,A965)</f>
        <v>2</v>
      </c>
      <c r="C965" t="str">
        <f>IF(B965=1,"1:1","1:Many")</f>
        <v>1:Many</v>
      </c>
      <c r="D965" s="42" t="str" cm="1">
        <f t="array" ref="D965">_xlfn.TEXTJOIN(" | ",TRUE,_xlfn._xlws.FILTER(PriceList!$B$4:$B$2641,PriceList!$M$4:$M$2641=A965,""))</f>
        <v>OR7N 064.77-2.62 | OR9N 064.77-2.62</v>
      </c>
      <c r="E965" t="str" cm="1">
        <f t="array" ref="E965">_xlfn.TEXTJOIN(", ",TRUE,_xlfn._xlws.FILTER(ROW(PriceList!$B$4:$B$2641),PriceList!$M$4:$M$2641=A965,""))</f>
        <v>714, 1227</v>
      </c>
      <c r="F965" s="42" t="str" cm="1">
        <f t="array" ref="F965">_xlfn.TEXTJOIN(" | ",TRUE,_xlfn.UNIQUE(_xlfn._xlws.FILTER(PriceList!$Q$4:$Q$2641&amp;" x "&amp;PriceList!$R$4:$R$2641&amp;" x "&amp;PriceList!$S$4:$S$2641,PriceList!$M$4:$M$2641=A965,"")))</f>
        <v>65 x 70 x 2.5</v>
      </c>
      <c r="G965" t="str" cm="1">
        <f t="array" ref="G965">INDEX(_xlfn._xlws.FILTER(PriceList!$P$4:$P$2641,PriceList!$M$4:$M$2641=A965,""),1)</f>
        <v>O Ring - NBR 70</v>
      </c>
    </row>
    <row r="966" spans="1:7" x14ac:dyDescent="0.45">
      <c r="A966" t="s">
        <v>4934</v>
      </c>
      <c r="B966">
        <f>COUNTIF(PriceList!$M$4:$M$2641,A966)</f>
        <v>1</v>
      </c>
      <c r="C966" t="str">
        <f>IF(B966=1,"1:1","1:Many")</f>
        <v>1:1</v>
      </c>
      <c r="D966" s="42" t="str" cm="1">
        <f t="array" ref="D966">_xlfn.TEXTJOIN(" | ",TRUE,_xlfn._xlws.FILTER(PriceList!$B$4:$B$2641,PriceList!$M$4:$M$2641=A966,""))</f>
        <v>ORV8 064.77-2.62</v>
      </c>
      <c r="E966" t="str" cm="1">
        <f t="array" ref="E966">_xlfn.TEXTJOIN(", ",TRUE,_xlfn._xlws.FILTER(ROW(PriceList!$B$4:$B$2641),PriceList!$M$4:$M$2641=A966,""))</f>
        <v>1885</v>
      </c>
      <c r="F966" s="42" t="str" cm="1">
        <f t="array" ref="F966">_xlfn.TEXTJOIN(" | ",TRUE,_xlfn.UNIQUE(_xlfn._xlws.FILTER(PriceList!$Q$4:$Q$2641&amp;" x "&amp;PriceList!$R$4:$R$2641&amp;" x "&amp;PriceList!$S$4:$S$2641,PriceList!$M$4:$M$2641=A966,"")))</f>
        <v>65 x 70 x 2.5</v>
      </c>
      <c r="G966" t="str" cm="1">
        <f t="array" ref="G966">INDEX(_xlfn._xlws.FILTER(PriceList!$P$4:$P$2641,PriceList!$M$4:$M$2641=A966,""),1)</f>
        <v>O Ring - FPM/FKM/VitonÂ®</v>
      </c>
    </row>
    <row r="967" spans="1:7" x14ac:dyDescent="0.45">
      <c r="A967" t="s">
        <v>4479</v>
      </c>
      <c r="B967">
        <f>COUNTIF(PriceList!$M$4:$M$2641,A967)</f>
        <v>1</v>
      </c>
      <c r="C967" t="str">
        <f>IF(B967=1,"1:1","1:Many")</f>
        <v>1:1</v>
      </c>
      <c r="D967" s="42" t="str" cm="1">
        <f t="array" ref="D967">_xlfn.TEXTJOIN(" | ",TRUE,_xlfn._xlws.FILTER(PriceList!$B$4:$B$2641,PriceList!$M$4:$M$2641=A967,""))</f>
        <v>OR9N 065-4</v>
      </c>
      <c r="E967" t="str" cm="1">
        <f t="array" ref="E967">_xlfn.TEXTJOIN(", ",TRUE,_xlfn._xlws.FILTER(ROW(PriceList!$B$4:$B$2641),PriceList!$M$4:$M$2641=A967,""))</f>
        <v>1230</v>
      </c>
      <c r="F967" s="42" t="str" cm="1">
        <f t="array" ref="F967">_xlfn.TEXTJOIN(" | ",TRUE,_xlfn.UNIQUE(_xlfn._xlws.FILTER(PriceList!$Q$4:$Q$2641&amp;" x "&amp;PriceList!$R$4:$R$2641&amp;" x "&amp;PriceList!$S$4:$S$2641,PriceList!$M$4:$M$2641=A967,"")))</f>
        <v>65 x 73 x 4</v>
      </c>
      <c r="G967" t="str" cm="1">
        <f t="array" ref="G967">INDEX(_xlfn._xlws.FILTER(PriceList!$P$4:$P$2641,PriceList!$M$4:$M$2641=A967,""),1)</f>
        <v>O Ring - NBR 70</v>
      </c>
    </row>
    <row r="968" spans="1:7" x14ac:dyDescent="0.45">
      <c r="A968" t="s">
        <v>4935</v>
      </c>
      <c r="B968">
        <f>COUNTIF(PriceList!$M$4:$M$2641,A968)</f>
        <v>1</v>
      </c>
      <c r="C968" t="str">
        <f>IF(B968=1,"1:1","1:Many")</f>
        <v>1:1</v>
      </c>
      <c r="D968" s="42" t="str" cm="1">
        <f t="array" ref="D968">_xlfn.TEXTJOIN(" | ",TRUE,_xlfn._xlws.FILTER(PriceList!$B$4:$B$2641,PriceList!$M$4:$M$2641=A968,""))</f>
        <v>ORV8 065-4</v>
      </c>
      <c r="E968" t="str" cm="1">
        <f t="array" ref="E968">_xlfn.TEXTJOIN(", ",TRUE,_xlfn._xlws.FILTER(ROW(PriceList!$B$4:$B$2641),PriceList!$M$4:$M$2641=A968,""))</f>
        <v>1887</v>
      </c>
      <c r="F968" s="42" t="str" cm="1">
        <f t="array" ref="F968">_xlfn.TEXTJOIN(" | ",TRUE,_xlfn.UNIQUE(_xlfn._xlws.FILTER(PriceList!$Q$4:$Q$2641&amp;" x "&amp;PriceList!$R$4:$R$2641&amp;" x "&amp;PriceList!$S$4:$S$2641,PriceList!$M$4:$M$2641=A968,"")))</f>
        <v>65 x 73 x 4</v>
      </c>
      <c r="G968" t="str" cm="1">
        <f t="array" ref="G968">INDEX(_xlfn._xlws.FILTER(PriceList!$P$4:$P$2641,PriceList!$M$4:$M$2641=A968,""),1)</f>
        <v>O Ring - FPM/FKM/VitonÂ®</v>
      </c>
    </row>
    <row r="969" spans="1:7" x14ac:dyDescent="0.45">
      <c r="A969" t="s">
        <v>4936</v>
      </c>
      <c r="B969">
        <f>COUNTIF(PriceList!$M$4:$M$2641,A969)</f>
        <v>1</v>
      </c>
      <c r="C969" t="str">
        <f>IF(B969=1,"1:1","1:Many")</f>
        <v>1:1</v>
      </c>
      <c r="D969" s="42" t="str" cm="1">
        <f t="array" ref="D969">_xlfn.TEXTJOIN(" | ",TRUE,_xlfn._xlws.FILTER(PriceList!$B$4:$B$2641,PriceList!$M$4:$M$2641=A969,""))</f>
        <v>ORV8 065-5</v>
      </c>
      <c r="E969" t="str" cm="1">
        <f t="array" ref="E969">_xlfn.TEXTJOIN(", ",TRUE,_xlfn._xlws.FILTER(ROW(PriceList!$B$4:$B$2641),PriceList!$M$4:$M$2641=A969,""))</f>
        <v>1888</v>
      </c>
      <c r="F969" s="42" t="str" cm="1">
        <f t="array" ref="F969">_xlfn.TEXTJOIN(" | ",TRUE,_xlfn.UNIQUE(_xlfn._xlws.FILTER(PriceList!$Q$4:$Q$2641&amp;" x "&amp;PriceList!$R$4:$R$2641&amp;" x "&amp;PriceList!$S$4:$S$2641,PriceList!$M$4:$M$2641=A969,"")))</f>
        <v>65 x 74 x 4.5</v>
      </c>
      <c r="G969" t="str" cm="1">
        <f t="array" ref="G969">INDEX(_xlfn._xlws.FILTER(PriceList!$P$4:$P$2641,PriceList!$M$4:$M$2641=A969,""),1)</f>
        <v>O Ring - FPM/FKM/VitonÂ®</v>
      </c>
    </row>
    <row r="970" spans="1:7" x14ac:dyDescent="0.45">
      <c r="A970" t="s">
        <v>4126</v>
      </c>
      <c r="B970">
        <f>COUNTIF(PriceList!$M$4:$M$2641,A970)</f>
        <v>2</v>
      </c>
      <c r="C970" t="str">
        <f>IF(B970=1,"1:1","1:Many")</f>
        <v>1:Many</v>
      </c>
      <c r="D970" s="42" t="str" cm="1">
        <f t="array" ref="D970">_xlfn.TEXTJOIN(" | ",TRUE,_xlfn._xlws.FILTER(PriceList!$B$4:$B$2641,PriceList!$M$4:$M$2641=A970,""))</f>
        <v>OR7N 066.4-1.78 | OR9N 066.4-1.78</v>
      </c>
      <c r="E970" t="str" cm="1">
        <f t="array" ref="E970">_xlfn.TEXTJOIN(", ",TRUE,_xlfn._xlws.FILTER(ROW(PriceList!$B$4:$B$2641),PriceList!$M$4:$M$2641=A970,""))</f>
        <v>719, 1234</v>
      </c>
      <c r="F970" s="42" t="str" cm="1">
        <f t="array" ref="F970">_xlfn.TEXTJOIN(" | ",TRUE,_xlfn.UNIQUE(_xlfn._xlws.FILTER(PriceList!$Q$4:$Q$2641&amp;" x "&amp;PriceList!$R$4:$R$2641&amp;" x "&amp;PriceList!$S$4:$S$2641,PriceList!$M$4:$M$2641=A970,"")))</f>
        <v>66 x 70 x 2</v>
      </c>
      <c r="G970" t="str" cm="1">
        <f t="array" ref="G970">INDEX(_xlfn._xlws.FILTER(PriceList!$P$4:$P$2641,PriceList!$M$4:$M$2641=A970,""),1)</f>
        <v>O Ring - NBR 70</v>
      </c>
    </row>
    <row r="971" spans="1:7" x14ac:dyDescent="0.45">
      <c r="A971" t="s">
        <v>4480</v>
      </c>
      <c r="B971">
        <f>COUNTIF(PriceList!$M$4:$M$2641,A971)</f>
        <v>1</v>
      </c>
      <c r="C971" t="str">
        <f>IF(B971=1,"1:1","1:Many")</f>
        <v>1:1</v>
      </c>
      <c r="D971" s="42" t="str" cm="1">
        <f t="array" ref="D971">_xlfn.TEXTJOIN(" | ",TRUE,_xlfn._xlws.FILTER(PriceList!$B$4:$B$2641,PriceList!$M$4:$M$2641=A971,""))</f>
        <v>OR9N 066-3</v>
      </c>
      <c r="E971" t="str" cm="1">
        <f t="array" ref="E971">_xlfn.TEXTJOIN(", ",TRUE,_xlfn._xlws.FILTER(ROW(PriceList!$B$4:$B$2641),PriceList!$M$4:$M$2641=A971,""))</f>
        <v>1235</v>
      </c>
      <c r="F971" s="42" t="str" cm="1">
        <f t="array" ref="F971">_xlfn.TEXTJOIN(" | ",TRUE,_xlfn.UNIQUE(_xlfn._xlws.FILTER(PriceList!$Q$4:$Q$2641&amp;" x "&amp;PriceList!$R$4:$R$2641&amp;" x "&amp;PriceList!$S$4:$S$2641,PriceList!$M$4:$M$2641=A971,"")))</f>
        <v>66 x 72 x 3</v>
      </c>
      <c r="G971" t="str" cm="1">
        <f t="array" ref="G971">INDEX(_xlfn._xlws.FILTER(PriceList!$P$4:$P$2641,PriceList!$M$4:$M$2641=A971,""),1)</f>
        <v>O Ring - NBR 70</v>
      </c>
    </row>
    <row r="972" spans="1:7" x14ac:dyDescent="0.45">
      <c r="A972" t="s">
        <v>4483</v>
      </c>
      <c r="B972">
        <f>COUNTIF(PriceList!$M$4:$M$2641,A972)</f>
        <v>1</v>
      </c>
      <c r="C972" t="str">
        <f>IF(B972=1,"1:1","1:Many")</f>
        <v>1:1</v>
      </c>
      <c r="D972" s="42" t="str" cm="1">
        <f t="array" ref="D972">_xlfn.TEXTJOIN(" | ",TRUE,_xlfn._xlws.FILTER(PriceList!$B$4:$B$2641,PriceList!$M$4:$M$2641=A972,""))</f>
        <v>OR9N 067-3</v>
      </c>
      <c r="E972" t="str" cm="1">
        <f t="array" ref="E972">_xlfn.TEXTJOIN(", ",TRUE,_xlfn._xlws.FILTER(ROW(PriceList!$B$4:$B$2641),PriceList!$M$4:$M$2641=A972,""))</f>
        <v>1237</v>
      </c>
      <c r="F972" s="42" t="str" cm="1">
        <f t="array" ref="F972">_xlfn.TEXTJOIN(" | ",TRUE,_xlfn.UNIQUE(_xlfn._xlws.FILTER(PriceList!$Q$4:$Q$2641&amp;" x "&amp;PriceList!$R$4:$R$2641&amp;" x "&amp;PriceList!$S$4:$S$2641,PriceList!$M$4:$M$2641=A972,"")))</f>
        <v>67 x 73 x 3</v>
      </c>
      <c r="G972" t="str" cm="1">
        <f t="array" ref="G972">INDEX(_xlfn._xlws.FILTER(PriceList!$P$4:$P$2641,PriceList!$M$4:$M$2641=A972,""),1)</f>
        <v>O Ring - NBR 70</v>
      </c>
    </row>
    <row r="973" spans="1:7" x14ac:dyDescent="0.45">
      <c r="A973" t="s">
        <v>4481</v>
      </c>
      <c r="B973">
        <f>COUNTIF(PriceList!$M$4:$M$2641,A973)</f>
        <v>1</v>
      </c>
      <c r="C973" t="str">
        <f>IF(B973=1,"1:1","1:Many")</f>
        <v>1:1</v>
      </c>
      <c r="D973" s="42" t="str" cm="1">
        <f t="array" ref="D973">_xlfn.TEXTJOIN(" | ",TRUE,_xlfn._xlws.FILTER(PriceList!$B$4:$B$2641,PriceList!$M$4:$M$2641=A973,""))</f>
        <v>OR9N 067.95-2.62</v>
      </c>
      <c r="E973" t="str" cm="1">
        <f t="array" ref="E973">_xlfn.TEXTJOIN(", ",TRUE,_xlfn._xlws.FILTER(ROW(PriceList!$B$4:$B$2641),PriceList!$M$4:$M$2641=A973,""))</f>
        <v>1236</v>
      </c>
      <c r="F973" s="42" t="str" cm="1">
        <f t="array" ref="F973">_xlfn.TEXTJOIN(" | ",TRUE,_xlfn.UNIQUE(_xlfn._xlws.FILTER(PriceList!$Q$4:$Q$2641&amp;" x "&amp;PriceList!$R$4:$R$2641&amp;" x "&amp;PriceList!$S$4:$S$2641,PriceList!$M$4:$M$2641=A973,"")))</f>
        <v>68 x 73 x 2.5</v>
      </c>
      <c r="G973" t="str" cm="1">
        <f t="array" ref="G973">INDEX(_xlfn._xlws.FILTER(PriceList!$P$4:$P$2641,PriceList!$M$4:$M$2641=A973,""),1)</f>
        <v>O Ring - NBR 70</v>
      </c>
    </row>
    <row r="974" spans="1:7" x14ac:dyDescent="0.45">
      <c r="A974" t="s">
        <v>4942</v>
      </c>
      <c r="B974">
        <f>COUNTIF(PriceList!$M$4:$M$2641,A974)</f>
        <v>1</v>
      </c>
      <c r="C974" t="str">
        <f>IF(B974=1,"1:1","1:Many")</f>
        <v>1:1</v>
      </c>
      <c r="D974" s="42" t="str" cm="1">
        <f t="array" ref="D974">_xlfn.TEXTJOIN(" | ",TRUE,_xlfn._xlws.FILTER(PriceList!$B$4:$B$2641,PriceList!$M$4:$M$2641=A974,""))</f>
        <v>ORV8 068-3.53</v>
      </c>
      <c r="E974" t="str" cm="1">
        <f t="array" ref="E974">_xlfn.TEXTJOIN(", ",TRUE,_xlfn._xlws.FILTER(ROW(PriceList!$B$4:$B$2641),PriceList!$M$4:$M$2641=A974,""))</f>
        <v>1894</v>
      </c>
      <c r="F974" s="42" t="str" cm="1">
        <f t="array" ref="F974">_xlfn.TEXTJOIN(" | ",TRUE,_xlfn.UNIQUE(_xlfn._xlws.FILTER(PriceList!$Q$4:$Q$2641&amp;" x "&amp;PriceList!$R$4:$R$2641&amp;" x "&amp;PriceList!$S$4:$S$2641,PriceList!$M$4:$M$2641=A974,"")))</f>
        <v>68 x 75 x 3.5</v>
      </c>
      <c r="G974" t="str" cm="1">
        <f t="array" ref="G974">INDEX(_xlfn._xlws.FILTER(PriceList!$P$4:$P$2641,PriceList!$M$4:$M$2641=A974,""),1)</f>
        <v>O Ring - FPM/FKM/VitonÂ®</v>
      </c>
    </row>
    <row r="975" spans="1:7" x14ac:dyDescent="0.45">
      <c r="A975" t="s">
        <v>4484</v>
      </c>
      <c r="B975">
        <f>COUNTIF(PriceList!$M$4:$M$2641,A975)</f>
        <v>1</v>
      </c>
      <c r="C975" t="str">
        <f>IF(B975=1,"1:1","1:Many")</f>
        <v>1:1</v>
      </c>
      <c r="D975" s="42" t="str" cm="1">
        <f t="array" ref="D975">_xlfn.TEXTJOIN(" | ",TRUE,_xlfn._xlws.FILTER(PriceList!$B$4:$B$2641,PriceList!$M$4:$M$2641=A975,""))</f>
        <v>OR9N 068-4</v>
      </c>
      <c r="E975" t="str" cm="1">
        <f t="array" ref="E975">_xlfn.TEXTJOIN(", ",TRUE,_xlfn._xlws.FILTER(ROW(PriceList!$B$4:$B$2641),PriceList!$M$4:$M$2641=A975,""))</f>
        <v>1238</v>
      </c>
      <c r="F975" s="42" t="str" cm="1">
        <f t="array" ref="F975">_xlfn.TEXTJOIN(" | ",TRUE,_xlfn.UNIQUE(_xlfn._xlws.FILTER(PriceList!$Q$4:$Q$2641&amp;" x "&amp;PriceList!$R$4:$R$2641&amp;" x "&amp;PriceList!$S$4:$S$2641,PriceList!$M$4:$M$2641=A975,"")))</f>
        <v>68 x 76 x 4</v>
      </c>
      <c r="G975" t="str" cm="1">
        <f t="array" ref="G975">INDEX(_xlfn._xlws.FILTER(PriceList!$P$4:$P$2641,PriceList!$M$4:$M$2641=A975,""),1)</f>
        <v>O Ring - NBR 70</v>
      </c>
    </row>
    <row r="976" spans="1:7" x14ac:dyDescent="0.45">
      <c r="A976" t="s">
        <v>4485</v>
      </c>
      <c r="B976">
        <f>COUNTIF(PriceList!$M$4:$M$2641,A976)</f>
        <v>1</v>
      </c>
      <c r="C976" t="str">
        <f>IF(B976=1,"1:1","1:Many")</f>
        <v>1:1</v>
      </c>
      <c r="D976" s="42" t="str" cm="1">
        <f t="array" ref="D976">_xlfn.TEXTJOIN(" | ",TRUE,_xlfn._xlws.FILTER(PriceList!$B$4:$B$2641,PriceList!$M$4:$M$2641=A976,""))</f>
        <v>OR9N 069.2-5.7</v>
      </c>
      <c r="E976" t="str" cm="1">
        <f t="array" ref="E976">_xlfn.TEXTJOIN(", ",TRUE,_xlfn._xlws.FILTER(ROW(PriceList!$B$4:$B$2641),PriceList!$M$4:$M$2641=A976,""))</f>
        <v>1240</v>
      </c>
      <c r="F976" s="42" t="str" cm="1">
        <f t="array" ref="F976">_xlfn.TEXTJOIN(" | ",TRUE,_xlfn.UNIQUE(_xlfn._xlws.FILTER(PriceList!$Q$4:$Q$2641&amp;" x "&amp;PriceList!$R$4:$R$2641&amp;" x "&amp;PriceList!$S$4:$S$2641,PriceList!$M$4:$M$2641=A976,"")))</f>
        <v>69.3 x 80.7 x 5.7</v>
      </c>
      <c r="G976" t="str" cm="1">
        <f t="array" ref="G976">INDEX(_xlfn._xlws.FILTER(PriceList!$P$4:$P$2641,PriceList!$M$4:$M$2641=A976,""),1)</f>
        <v>O Ring - NBR 70</v>
      </c>
    </row>
    <row r="977" spans="1:7" x14ac:dyDescent="0.45">
      <c r="A977" t="s">
        <v>4944</v>
      </c>
      <c r="B977">
        <f>COUNTIF(PriceList!$M$4:$M$2641,A977)</f>
        <v>2</v>
      </c>
      <c r="C977" t="str">
        <f>IF(B977=1,"1:1","1:Many")</f>
        <v>1:Many</v>
      </c>
      <c r="D977" s="42" t="str" cm="1">
        <f t="array" ref="D977">_xlfn.TEXTJOIN(" | ",TRUE,_xlfn._xlws.FILTER(PriceList!$B$4:$B$2641,PriceList!$M$4:$M$2641=A977,""))</f>
        <v>ORV8 068-7 | ORV8 069.2-5.7</v>
      </c>
      <c r="E977" t="str" cm="1">
        <f t="array" ref="E977">_xlfn.TEXTJOIN(", ",TRUE,_xlfn._xlws.FILTER(ROW(PriceList!$B$4:$B$2641),PriceList!$M$4:$M$2641=A977,""))</f>
        <v>1895, 1898</v>
      </c>
      <c r="F977" s="42" t="str" cm="1">
        <f t="array" ref="F977">_xlfn.TEXTJOIN(" | ",TRUE,_xlfn.UNIQUE(_xlfn._xlws.FILTER(PriceList!$Q$4:$Q$2641&amp;" x "&amp;PriceList!$R$4:$R$2641&amp;" x "&amp;PriceList!$S$4:$S$2641,PriceList!$M$4:$M$2641=A977,"")))</f>
        <v>69.3 x 80.7 x 5.7</v>
      </c>
      <c r="G977" t="str" cm="1">
        <f t="array" ref="G977">INDEX(_xlfn._xlws.FILTER(PriceList!$P$4:$P$2641,PriceList!$M$4:$M$2641=A977,""),1)</f>
        <v>O Ring - FPM/FKM/VitonÂ®</v>
      </c>
    </row>
    <row r="978" spans="1:7" x14ac:dyDescent="0.45">
      <c r="A978" t="s">
        <v>4130</v>
      </c>
      <c r="B978">
        <f>COUNTIF(PriceList!$M$4:$M$2641,A978)</f>
        <v>2</v>
      </c>
      <c r="C978" t="str">
        <f>IF(B978=1,"1:1","1:Many")</f>
        <v>1:Many</v>
      </c>
      <c r="D978" s="42" t="str" cm="1">
        <f t="array" ref="D978">_xlfn.TEXTJOIN(" | ",TRUE,_xlfn._xlws.FILTER(PriceList!$B$4:$B$2641,PriceList!$M$4:$M$2641=A978,""))</f>
        <v>OR7N 069.4-3.1 | OR9N 069.4-3.1</v>
      </c>
      <c r="E978" t="str" cm="1">
        <f t="array" ref="E978">_xlfn.TEXTJOIN(", ",TRUE,_xlfn._xlws.FILTER(ROW(PriceList!$B$4:$B$2641),PriceList!$M$4:$M$2641=A978,""))</f>
        <v>722, 1242</v>
      </c>
      <c r="F978" s="42" t="str" cm="1">
        <f t="array" ref="F978">_xlfn.TEXTJOIN(" | ",TRUE,_xlfn.UNIQUE(_xlfn._xlws.FILTER(PriceList!$Q$4:$Q$2641&amp;" x "&amp;PriceList!$R$4:$R$2641&amp;" x "&amp;PriceList!$S$4:$S$2641,PriceList!$M$4:$M$2641=A978,"")))</f>
        <v>69.4 x 75.6 x 3.1</v>
      </c>
      <c r="G978" t="str" cm="1">
        <f t="array" ref="G978">INDEX(_xlfn._xlws.FILTER(PriceList!$P$4:$P$2641,PriceList!$M$4:$M$2641=A978,""),1)</f>
        <v>O Ring - NBR 70</v>
      </c>
    </row>
    <row r="979" spans="1:7" x14ac:dyDescent="0.45">
      <c r="A979" t="s">
        <v>4949</v>
      </c>
      <c r="B979">
        <f>COUNTIF(PriceList!$M$4:$M$2641,A979)</f>
        <v>2</v>
      </c>
      <c r="C979" t="str">
        <f>IF(B979=1,"1:1","1:Many")</f>
        <v>1:Many</v>
      </c>
      <c r="D979" s="42" t="str" cm="1">
        <f t="array" ref="D979">_xlfn.TEXTJOIN(" | ",TRUE,_xlfn._xlws.FILTER(PriceList!$B$4:$B$2641,PriceList!$M$4:$M$2641=A979,""))</f>
        <v>ORV8 069.4-3.1 | ORV8 070-2.5</v>
      </c>
      <c r="E979" t="str" cm="1">
        <f t="array" ref="E979">_xlfn.TEXTJOIN(", ",TRUE,_xlfn._xlws.FILTER(ROW(PriceList!$B$4:$B$2641),PriceList!$M$4:$M$2641=A979,""))</f>
        <v>1900, 1902</v>
      </c>
      <c r="F979" s="42" t="str" cm="1">
        <f t="array" ref="F979">_xlfn.TEXTJOIN(" | ",TRUE,_xlfn.UNIQUE(_xlfn._xlws.FILTER(PriceList!$Q$4:$Q$2641&amp;" x "&amp;PriceList!$R$4:$R$2641&amp;" x "&amp;PriceList!$S$4:$S$2641,PriceList!$M$4:$M$2641=A979,"")))</f>
        <v>69.5 x 75.5 x 3</v>
      </c>
      <c r="G979" t="str" cm="1">
        <f t="array" ref="G979">INDEX(_xlfn._xlws.FILTER(PriceList!$P$4:$P$2641,PriceList!$M$4:$M$2641=A979,""),1)</f>
        <v>O Ring - FPM/FKM/VitonÂ®</v>
      </c>
    </row>
    <row r="980" spans="1:7" x14ac:dyDescent="0.45">
      <c r="A980" t="s">
        <v>4131</v>
      </c>
      <c r="B980">
        <f>COUNTIF(PriceList!$M$4:$M$2641,A980)</f>
        <v>2</v>
      </c>
      <c r="C980" t="str">
        <f>IF(B980=1,"1:1","1:Many")</f>
        <v>1:Many</v>
      </c>
      <c r="D980" s="42" t="str" cm="1">
        <f t="array" ref="D980">_xlfn.TEXTJOIN(" | ",TRUE,_xlfn._xlws.FILTER(PriceList!$B$4:$B$2641,PriceList!$M$4:$M$2641=A980,""))</f>
        <v>OR7N 069.52-2.62 | OR9N 069.52-2.62</v>
      </c>
      <c r="E980" t="str" cm="1">
        <f t="array" ref="E980">_xlfn.TEXTJOIN(", ",TRUE,_xlfn._xlws.FILTER(ROW(PriceList!$B$4:$B$2641),PriceList!$M$4:$M$2641=A980,""))</f>
        <v>723, 1243</v>
      </c>
      <c r="F980" s="42" t="str" cm="1">
        <f t="array" ref="F980">_xlfn.TEXTJOIN(" | ",TRUE,_xlfn.UNIQUE(_xlfn._xlws.FILTER(PriceList!$Q$4:$Q$2641&amp;" x "&amp;PriceList!$R$4:$R$2641&amp;" x "&amp;PriceList!$S$4:$S$2641,PriceList!$M$4:$M$2641=A980,"")))</f>
        <v>69.6 x 74.4 x 2.4</v>
      </c>
      <c r="G980" t="str" cm="1">
        <f t="array" ref="G980">INDEX(_xlfn._xlws.FILTER(PriceList!$P$4:$P$2641,PriceList!$M$4:$M$2641=A980,""),1)</f>
        <v>O Ring - NBR 70</v>
      </c>
    </row>
    <row r="981" spans="1:7" x14ac:dyDescent="0.45">
      <c r="A981" t="s">
        <v>4488</v>
      </c>
      <c r="B981">
        <f>COUNTIF(PriceList!$M$4:$M$2641,A981)</f>
        <v>1</v>
      </c>
      <c r="C981" t="str">
        <f>IF(B981=1,"1:1","1:Many")</f>
        <v>1:1</v>
      </c>
      <c r="D981" s="42" t="str" cm="1">
        <f t="array" ref="D981">_xlfn.TEXTJOIN(" | ",TRUE,_xlfn._xlws.FILTER(PriceList!$B$4:$B$2641,PriceList!$M$4:$M$2641=A981,""))</f>
        <v>OR9N 070-2</v>
      </c>
      <c r="E981" t="str" cm="1">
        <f t="array" ref="E981">_xlfn.TEXTJOIN(", ",TRUE,_xlfn._xlws.FILTER(ROW(PriceList!$B$4:$B$2641),PriceList!$M$4:$M$2641=A981,""))</f>
        <v>1246</v>
      </c>
      <c r="F981" s="42" t="str" cm="1">
        <f t="array" ref="F981">_xlfn.TEXTJOIN(" | ",TRUE,_xlfn.UNIQUE(_xlfn._xlws.FILTER(PriceList!$Q$4:$Q$2641&amp;" x "&amp;PriceList!$R$4:$R$2641&amp;" x "&amp;PriceList!$S$4:$S$2641,PriceList!$M$4:$M$2641=A981,"")))</f>
        <v>70 x 74 x 2</v>
      </c>
      <c r="G981" t="str" cm="1">
        <f t="array" ref="G981">INDEX(_xlfn._xlws.FILTER(PriceList!$P$4:$P$2641,PriceList!$M$4:$M$2641=A981,""),1)</f>
        <v>O Ring - NBR 70</v>
      </c>
    </row>
    <row r="982" spans="1:7" x14ac:dyDescent="0.45">
      <c r="A982" t="s">
        <v>4950</v>
      </c>
      <c r="B982">
        <f>COUNTIF(PriceList!$M$4:$M$2641,A982)</f>
        <v>1</v>
      </c>
      <c r="C982" t="str">
        <f>IF(B982=1,"1:1","1:Many")</f>
        <v>1:1</v>
      </c>
      <c r="D982" s="42" t="str" cm="1">
        <f t="array" ref="D982">_xlfn.TEXTJOIN(" | ",TRUE,_xlfn._xlws.FILTER(PriceList!$B$4:$B$2641,PriceList!$M$4:$M$2641=A982,""))</f>
        <v>ORV8 070-2</v>
      </c>
      <c r="E982" t="str" cm="1">
        <f t="array" ref="E982">_xlfn.TEXTJOIN(", ",TRUE,_xlfn._xlws.FILTER(ROW(PriceList!$B$4:$B$2641),PriceList!$M$4:$M$2641=A982,""))</f>
        <v>1901</v>
      </c>
      <c r="F982" s="42" t="str" cm="1">
        <f t="array" ref="F982">_xlfn.TEXTJOIN(" | ",TRUE,_xlfn.UNIQUE(_xlfn._xlws.FILTER(PriceList!$Q$4:$Q$2641&amp;" x "&amp;PriceList!$R$4:$R$2641&amp;" x "&amp;PriceList!$S$4:$S$2641,PriceList!$M$4:$M$2641=A982,"")))</f>
        <v>70 x 74 x 2</v>
      </c>
      <c r="G982" t="str" cm="1">
        <f t="array" ref="G982">INDEX(_xlfn._xlws.FILTER(PriceList!$P$4:$P$2641,PriceList!$M$4:$M$2641=A982,""),1)</f>
        <v>O Ring - FPM/FKM/VitonÂ®</v>
      </c>
    </row>
    <row r="983" spans="1:7" x14ac:dyDescent="0.45">
      <c r="A983" t="s">
        <v>4489</v>
      </c>
      <c r="B983">
        <f>COUNTIF(PriceList!$M$4:$M$2641,A983)</f>
        <v>1</v>
      </c>
      <c r="C983" t="str">
        <f>IF(B983=1,"1:1","1:Many")</f>
        <v>1:1</v>
      </c>
      <c r="D983" s="42" t="str" cm="1">
        <f t="array" ref="D983">_xlfn.TEXTJOIN(" | ",TRUE,_xlfn._xlws.FILTER(PriceList!$B$4:$B$2641,PriceList!$M$4:$M$2641=A983,""))</f>
        <v>OR9N 070-3</v>
      </c>
      <c r="E983" t="str" cm="1">
        <f t="array" ref="E983">_xlfn.TEXTJOIN(", ",TRUE,_xlfn._xlws.FILTER(ROW(PriceList!$B$4:$B$2641),PriceList!$M$4:$M$2641=A983,""))</f>
        <v>1247</v>
      </c>
      <c r="F983" s="42" t="str" cm="1">
        <f t="array" ref="F983">_xlfn.TEXTJOIN(" | ",TRUE,_xlfn.UNIQUE(_xlfn._xlws.FILTER(PriceList!$Q$4:$Q$2641&amp;" x "&amp;PriceList!$R$4:$R$2641&amp;" x "&amp;PriceList!$S$4:$S$2641,PriceList!$M$4:$M$2641=A983,"")))</f>
        <v>70 x 76 x 3</v>
      </c>
      <c r="G983" t="str" cm="1">
        <f t="array" ref="G983">INDEX(_xlfn._xlws.FILTER(PriceList!$P$4:$P$2641,PriceList!$M$4:$M$2641=A983,""),1)</f>
        <v>O Ring - NBR 70</v>
      </c>
    </row>
    <row r="984" spans="1:7" x14ac:dyDescent="0.45">
      <c r="A984" t="s">
        <v>4951</v>
      </c>
      <c r="B984">
        <f>COUNTIF(PriceList!$M$4:$M$2641,A984)</f>
        <v>1</v>
      </c>
      <c r="C984" t="str">
        <f>IF(B984=1,"1:1","1:Many")</f>
        <v>1:1</v>
      </c>
      <c r="D984" s="42" t="str" cm="1">
        <f t="array" ref="D984">_xlfn.TEXTJOIN(" | ",TRUE,_xlfn._xlws.FILTER(PriceList!$B$4:$B$2641,PriceList!$M$4:$M$2641=A984,""))</f>
        <v>ORV8 070-4</v>
      </c>
      <c r="E984" t="str" cm="1">
        <f t="array" ref="E984">_xlfn.TEXTJOIN(", ",TRUE,_xlfn._xlws.FILTER(ROW(PriceList!$B$4:$B$2641),PriceList!$M$4:$M$2641=A984,""))</f>
        <v>1903</v>
      </c>
      <c r="F984" s="42" t="str" cm="1">
        <f t="array" ref="F984">_xlfn.TEXTJOIN(" | ",TRUE,_xlfn.UNIQUE(_xlfn._xlws.FILTER(PriceList!$Q$4:$Q$2641&amp;" x "&amp;PriceList!$R$4:$R$2641&amp;" x "&amp;PriceList!$S$4:$S$2641,PriceList!$M$4:$M$2641=A984,"")))</f>
        <v>70 x 78 x 4</v>
      </c>
      <c r="G984" t="str" cm="1">
        <f t="array" ref="G984">INDEX(_xlfn._xlws.FILTER(PriceList!$P$4:$P$2641,PriceList!$M$4:$M$2641=A984,""),1)</f>
        <v>O Ring - FPM/FKM/VitonÂ®</v>
      </c>
    </row>
    <row r="985" spans="1:7" x14ac:dyDescent="0.45">
      <c r="A985" t="s">
        <v>4134</v>
      </c>
      <c r="B985">
        <f>COUNTIF(PriceList!$M$4:$M$2641,A985)</f>
        <v>2</v>
      </c>
      <c r="C985" t="str">
        <f>IF(B985=1,"1:1","1:Many")</f>
        <v>1:Many</v>
      </c>
      <c r="D985" s="42" t="str" cm="1">
        <f t="array" ref="D985">_xlfn.TEXTJOIN(" | ",TRUE,_xlfn._xlws.FILTER(PriceList!$B$4:$B$2641,PriceList!$M$4:$M$2641=A985,""))</f>
        <v>OR7N 070-5 | OR9N 070-5</v>
      </c>
      <c r="E985" t="str" cm="1">
        <f t="array" ref="E985">_xlfn.TEXTJOIN(", ",TRUE,_xlfn._xlws.FILTER(ROW(PriceList!$B$4:$B$2641),PriceList!$M$4:$M$2641=A985,""))</f>
        <v>725, 1248</v>
      </c>
      <c r="F985" s="42" t="str" cm="1">
        <f t="array" ref="F985">_xlfn.TEXTJOIN(" | ",TRUE,_xlfn.UNIQUE(_xlfn._xlws.FILTER(PriceList!$Q$4:$Q$2641&amp;" x "&amp;PriceList!$R$4:$R$2641&amp;" x "&amp;PriceList!$S$4:$S$2641,PriceList!$M$4:$M$2641=A985,"")))</f>
        <v>70 x 80 x 5</v>
      </c>
      <c r="G985" t="str" cm="1">
        <f t="array" ref="G985">INDEX(_xlfn._xlws.FILTER(PriceList!$P$4:$P$2641,PriceList!$M$4:$M$2641=A985,""),1)</f>
        <v>O Ring - NBR 70</v>
      </c>
    </row>
    <row r="986" spans="1:7" x14ac:dyDescent="0.45">
      <c r="A986" t="s">
        <v>4952</v>
      </c>
      <c r="B986">
        <f>COUNTIF(PriceList!$M$4:$M$2641,A986)</f>
        <v>1</v>
      </c>
      <c r="C986" t="str">
        <f>IF(B986=1,"1:1","1:Many")</f>
        <v>1:1</v>
      </c>
      <c r="D986" s="42" t="str" cm="1">
        <f t="array" ref="D986">_xlfn.TEXTJOIN(" | ",TRUE,_xlfn._xlws.FILTER(PriceList!$B$4:$B$2641,PriceList!$M$4:$M$2641=A986,""))</f>
        <v>ORV8 070-5</v>
      </c>
      <c r="E986" t="str" cm="1">
        <f t="array" ref="E986">_xlfn.TEXTJOIN(", ",TRUE,_xlfn._xlws.FILTER(ROW(PriceList!$B$4:$B$2641),PriceList!$M$4:$M$2641=A986,""))</f>
        <v>1904</v>
      </c>
      <c r="F986" s="42" t="str" cm="1">
        <f t="array" ref="F986">_xlfn.TEXTJOIN(" | ",TRUE,_xlfn.UNIQUE(_xlfn._xlws.FILTER(PriceList!$Q$4:$Q$2641&amp;" x "&amp;PriceList!$R$4:$R$2641&amp;" x "&amp;PriceList!$S$4:$S$2641,PriceList!$M$4:$M$2641=A986,"")))</f>
        <v>70 x 80 x 5</v>
      </c>
      <c r="G986" t="str" cm="1">
        <f t="array" ref="G986">INDEX(_xlfn._xlws.FILTER(PriceList!$P$4:$P$2641,PriceList!$M$4:$M$2641=A986,""),1)</f>
        <v>O Ring - FPM/FKM/VitonÂ®</v>
      </c>
    </row>
    <row r="987" spans="1:7" x14ac:dyDescent="0.45">
      <c r="A987" t="s">
        <v>4486</v>
      </c>
      <c r="B987">
        <f>COUNTIF(PriceList!$M$4:$M$2641,A987)</f>
        <v>1</v>
      </c>
      <c r="C987" t="str">
        <f>IF(B987=1,"1:1","1:Many")</f>
        <v>1:1</v>
      </c>
      <c r="D987" s="42" t="str" cm="1">
        <f t="array" ref="D987">_xlfn.TEXTJOIN(" | ",TRUE,_xlfn._xlws.FILTER(PriceList!$B$4:$B$2641,PriceList!$M$4:$M$2641=A987,""))</f>
        <v>OR9N 070.6-5.7</v>
      </c>
      <c r="E987" t="str" cm="1">
        <f t="array" ref="E987">_xlfn.TEXTJOIN(", ",TRUE,_xlfn._xlws.FILTER(ROW(PriceList!$B$4:$B$2641),PriceList!$M$4:$M$2641=A987,""))</f>
        <v>1245</v>
      </c>
      <c r="F987" s="42" t="str" cm="1">
        <f t="array" ref="F987">_xlfn.TEXTJOIN(" | ",TRUE,_xlfn.UNIQUE(_xlfn._xlws.FILTER(PriceList!$Q$4:$Q$2641&amp;" x "&amp;PriceList!$R$4:$R$2641&amp;" x "&amp;PriceList!$S$4:$S$2641,PriceList!$M$4:$M$2641=A987,"")))</f>
        <v>70 x 82 x 6</v>
      </c>
      <c r="G987" t="str" cm="1">
        <f t="array" ref="G987">INDEX(_xlfn._xlws.FILTER(PriceList!$P$4:$P$2641,PriceList!$M$4:$M$2641=A987,""),1)</f>
        <v>O Ring - NBR 70</v>
      </c>
    </row>
    <row r="988" spans="1:7" x14ac:dyDescent="0.45">
      <c r="A988" t="s">
        <v>4492</v>
      </c>
      <c r="B988">
        <f>COUNTIF(PriceList!$M$4:$M$2641,A988)</f>
        <v>1</v>
      </c>
      <c r="C988" t="str">
        <f>IF(B988=1,"1:1","1:Many")</f>
        <v>1:1</v>
      </c>
      <c r="D988" s="42" t="str" cm="1">
        <f t="array" ref="D988">_xlfn.TEXTJOIN(" | ",TRUE,_xlfn._xlws.FILTER(PriceList!$B$4:$B$2641,PriceList!$M$4:$M$2641=A988,""))</f>
        <v>OR9N 072-3</v>
      </c>
      <c r="E988" t="str" cm="1">
        <f t="array" ref="E988">_xlfn.TEXTJOIN(", ",TRUE,_xlfn._xlws.FILTER(ROW(PriceList!$B$4:$B$2641),PriceList!$M$4:$M$2641=A988,""))</f>
        <v>1254</v>
      </c>
      <c r="F988" s="42" t="str" cm="1">
        <f t="array" ref="F988">_xlfn.TEXTJOIN(" | ",TRUE,_xlfn.UNIQUE(_xlfn._xlws.FILTER(PriceList!$Q$4:$Q$2641&amp;" x "&amp;PriceList!$R$4:$R$2641&amp;" x "&amp;PriceList!$S$4:$S$2641,PriceList!$M$4:$M$2641=A988,"")))</f>
        <v>72 x 78 x 3</v>
      </c>
      <c r="G988" t="str" cm="1">
        <f t="array" ref="G988">INDEX(_xlfn._xlws.FILTER(PriceList!$P$4:$P$2641,PriceList!$M$4:$M$2641=A988,""),1)</f>
        <v>O Ring - NBR 70</v>
      </c>
    </row>
    <row r="989" spans="1:7" x14ac:dyDescent="0.45">
      <c r="A989" t="s">
        <v>4957</v>
      </c>
      <c r="B989">
        <f>COUNTIF(PriceList!$M$4:$M$2641,A989)</f>
        <v>1</v>
      </c>
      <c r="C989" t="str">
        <f>IF(B989=1,"1:1","1:Many")</f>
        <v>1:1</v>
      </c>
      <c r="D989" s="42" t="str" cm="1">
        <f t="array" ref="D989">_xlfn.TEXTJOIN(" | ",TRUE,_xlfn._xlws.FILTER(PriceList!$B$4:$B$2641,PriceList!$M$4:$M$2641=A989,""))</f>
        <v>ORV8 072-3</v>
      </c>
      <c r="E989" t="str" cm="1">
        <f t="array" ref="E989">_xlfn.TEXTJOIN(", ",TRUE,_xlfn._xlws.FILTER(ROW(PriceList!$B$4:$B$2641),PriceList!$M$4:$M$2641=A989,""))</f>
        <v>1909</v>
      </c>
      <c r="F989" s="42" t="str" cm="1">
        <f t="array" ref="F989">_xlfn.TEXTJOIN(" | ",TRUE,_xlfn.UNIQUE(_xlfn._xlws.FILTER(PriceList!$Q$4:$Q$2641&amp;" x "&amp;PriceList!$R$4:$R$2641&amp;" x "&amp;PriceList!$S$4:$S$2641,PriceList!$M$4:$M$2641=A989,"")))</f>
        <v>72 x 78 x 3</v>
      </c>
      <c r="G989" t="str" cm="1">
        <f t="array" ref="G989">INDEX(_xlfn._xlws.FILTER(PriceList!$P$4:$P$2641,PriceList!$M$4:$M$2641=A989,""),1)</f>
        <v>O Ring - FPM/FKM/VitonÂ®</v>
      </c>
    </row>
    <row r="990" spans="1:7" x14ac:dyDescent="0.45">
      <c r="A990" t="s">
        <v>4139</v>
      </c>
      <c r="B990">
        <f>COUNTIF(PriceList!$M$4:$M$2641,A990)</f>
        <v>2</v>
      </c>
      <c r="C990" t="str">
        <f>IF(B990=1,"1:1","1:Many")</f>
        <v>1:Many</v>
      </c>
      <c r="D990" s="42" t="str" cm="1">
        <f t="array" ref="D990">_xlfn.TEXTJOIN(" | ",TRUE,_xlfn._xlws.FILTER(PriceList!$B$4:$B$2641,PriceList!$M$4:$M$2641=A990,""))</f>
        <v>OR7N 072-4 | OR9N 072-4</v>
      </c>
      <c r="E990" t="str" cm="1">
        <f t="array" ref="E990">_xlfn.TEXTJOIN(", ",TRUE,_xlfn._xlws.FILTER(ROW(PriceList!$B$4:$B$2641),PriceList!$M$4:$M$2641=A990,""))</f>
        <v>730, 1255</v>
      </c>
      <c r="F990" s="42" t="str" cm="1">
        <f t="array" ref="F990">_xlfn.TEXTJOIN(" | ",TRUE,_xlfn.UNIQUE(_xlfn._xlws.FILTER(PriceList!$Q$4:$Q$2641&amp;" x "&amp;PriceList!$R$4:$R$2641&amp;" x "&amp;PriceList!$S$4:$S$2641,PriceList!$M$4:$M$2641=A990,"")))</f>
        <v>72 x 80 x 4</v>
      </c>
      <c r="G990" t="str" cm="1">
        <f t="array" ref="G990">INDEX(_xlfn._xlws.FILTER(PriceList!$P$4:$P$2641,PriceList!$M$4:$M$2641=A990,""),1)</f>
        <v>O Ring - NBR 70</v>
      </c>
    </row>
    <row r="991" spans="1:7" x14ac:dyDescent="0.45">
      <c r="A991" t="s">
        <v>4958</v>
      </c>
      <c r="B991">
        <f>COUNTIF(PriceList!$M$4:$M$2641,A991)</f>
        <v>1</v>
      </c>
      <c r="C991" t="str">
        <f>IF(B991=1,"1:1","1:Many")</f>
        <v>1:1</v>
      </c>
      <c r="D991" s="42" t="str" cm="1">
        <f t="array" ref="D991">_xlfn.TEXTJOIN(" | ",TRUE,_xlfn._xlws.FILTER(PriceList!$B$4:$B$2641,PriceList!$M$4:$M$2641=A991,""))</f>
        <v>ORV8 072-4</v>
      </c>
      <c r="E991" t="str" cm="1">
        <f t="array" ref="E991">_xlfn.TEXTJOIN(", ",TRUE,_xlfn._xlws.FILTER(ROW(PriceList!$B$4:$B$2641),PriceList!$M$4:$M$2641=A991,""))</f>
        <v>1910</v>
      </c>
      <c r="F991" s="42" t="str" cm="1">
        <f t="array" ref="F991">_xlfn.TEXTJOIN(" | ",TRUE,_xlfn.UNIQUE(_xlfn._xlws.FILTER(PriceList!$Q$4:$Q$2641&amp;" x "&amp;PriceList!$R$4:$R$2641&amp;" x "&amp;PriceList!$S$4:$S$2641,PriceList!$M$4:$M$2641=A991,"")))</f>
        <v>72 x 80 x 4</v>
      </c>
      <c r="G991" t="str" cm="1">
        <f t="array" ref="G991">INDEX(_xlfn._xlws.FILTER(PriceList!$P$4:$P$2641,PriceList!$M$4:$M$2641=A991,""),1)</f>
        <v>O Ring - FPM/FKM/VitonÂ®</v>
      </c>
    </row>
    <row r="992" spans="1:7" x14ac:dyDescent="0.45">
      <c r="A992" t="s">
        <v>4138</v>
      </c>
      <c r="B992">
        <f>COUNTIF(PriceList!$M$4:$M$2641,A992)</f>
        <v>2</v>
      </c>
      <c r="C992" t="str">
        <f>IF(B992=1,"1:1","1:Many")</f>
        <v>1:Many</v>
      </c>
      <c r="D992" s="42" t="str" cm="1">
        <f t="array" ref="D992">_xlfn.TEXTJOIN(" | ",TRUE,_xlfn._xlws.FILTER(PriceList!$B$4:$B$2641,PriceList!$M$4:$M$2641=A992,""))</f>
        <v>OR7N 072.69-2.62 | OR9N 072.69-2.62</v>
      </c>
      <c r="E992" t="str" cm="1">
        <f t="array" ref="E992">_xlfn.TEXTJOIN(", ",TRUE,_xlfn._xlws.FILTER(ROW(PriceList!$B$4:$B$2641),PriceList!$M$4:$M$2641=A992,""))</f>
        <v>729, 1252</v>
      </c>
      <c r="F992" s="42" t="str" cm="1">
        <f t="array" ref="F992">_xlfn.TEXTJOIN(" | ",TRUE,_xlfn.UNIQUE(_xlfn._xlws.FILTER(PriceList!$Q$4:$Q$2641&amp;" x "&amp;PriceList!$R$4:$R$2641&amp;" x "&amp;PriceList!$S$4:$S$2641,PriceList!$M$4:$M$2641=A992,"")))</f>
        <v>73 x 78 x 2.5</v>
      </c>
      <c r="G992" t="str" cm="1">
        <f t="array" ref="G992">INDEX(_xlfn._xlws.FILTER(PriceList!$P$4:$P$2641,PriceList!$M$4:$M$2641=A992,""),1)</f>
        <v>O Ring - NBR 70</v>
      </c>
    </row>
    <row r="993" spans="1:7" x14ac:dyDescent="0.45">
      <c r="A993" t="s">
        <v>4493</v>
      </c>
      <c r="B993">
        <f>COUNTIF(PriceList!$M$4:$M$2641,A993)</f>
        <v>1</v>
      </c>
      <c r="C993" t="str">
        <f>IF(B993=1,"1:1","1:Many")</f>
        <v>1:1</v>
      </c>
      <c r="D993" s="42" t="str" cm="1">
        <f t="array" ref="D993">_xlfn.TEXTJOIN(" | ",TRUE,_xlfn._xlws.FILTER(PriceList!$B$4:$B$2641,PriceList!$M$4:$M$2641=A993,""))</f>
        <v>OR9N 073-3</v>
      </c>
      <c r="E993" t="str" cm="1">
        <f t="array" ref="E993">_xlfn.TEXTJOIN(", ",TRUE,_xlfn._xlws.FILTER(ROW(PriceList!$B$4:$B$2641),PriceList!$M$4:$M$2641=A993,""))</f>
        <v>1256</v>
      </c>
      <c r="F993" s="42" t="str" cm="1">
        <f t="array" ref="F993">_xlfn.TEXTJOIN(" | ",TRUE,_xlfn.UNIQUE(_xlfn._xlws.FILTER(PriceList!$Q$4:$Q$2641&amp;" x "&amp;PriceList!$R$4:$R$2641&amp;" x "&amp;PriceList!$S$4:$S$2641,PriceList!$M$4:$M$2641=A993,"")))</f>
        <v>73 x 79 x 3</v>
      </c>
      <c r="G993" t="str" cm="1">
        <f t="array" ref="G993">INDEX(_xlfn._xlws.FILTER(PriceList!$P$4:$P$2641,PriceList!$M$4:$M$2641=A993,""),1)</f>
        <v>O Ring - NBR 70</v>
      </c>
    </row>
    <row r="994" spans="1:7" x14ac:dyDescent="0.45">
      <c r="A994" t="s">
        <v>4959</v>
      </c>
      <c r="B994">
        <f>COUNTIF(PriceList!$M$4:$M$2641,A994)</f>
        <v>1</v>
      </c>
      <c r="C994" t="str">
        <f>IF(B994=1,"1:1","1:Many")</f>
        <v>1:1</v>
      </c>
      <c r="D994" s="42" t="str" cm="1">
        <f t="array" ref="D994">_xlfn.TEXTJOIN(" | ",TRUE,_xlfn._xlws.FILTER(PriceList!$B$4:$B$2641,PriceList!$M$4:$M$2641=A994,""))</f>
        <v>ORV8 073-3</v>
      </c>
      <c r="E994" t="str" cm="1">
        <f t="array" ref="E994">_xlfn.TEXTJOIN(", ",TRUE,_xlfn._xlws.FILTER(ROW(PriceList!$B$4:$B$2641),PriceList!$M$4:$M$2641=A994,""))</f>
        <v>1911</v>
      </c>
      <c r="F994" s="42" t="str" cm="1">
        <f t="array" ref="F994">_xlfn.TEXTJOIN(" | ",TRUE,_xlfn.UNIQUE(_xlfn._xlws.FILTER(PriceList!$Q$4:$Q$2641&amp;" x "&amp;PriceList!$R$4:$R$2641&amp;" x "&amp;PriceList!$S$4:$S$2641,PriceList!$M$4:$M$2641=A994,"")))</f>
        <v>73 x 79 x 3</v>
      </c>
      <c r="G994" t="str" cm="1">
        <f t="array" ref="G994">INDEX(_xlfn._xlws.FILTER(PriceList!$P$4:$P$2641,PriceList!$M$4:$M$2641=A994,""),1)</f>
        <v>O Ring - FPM/FKM/VitonÂ®</v>
      </c>
    </row>
    <row r="995" spans="1:7" x14ac:dyDescent="0.45">
      <c r="A995" t="s">
        <v>4495</v>
      </c>
      <c r="B995">
        <f>COUNTIF(PriceList!$M$4:$M$2641,A995)</f>
        <v>1</v>
      </c>
      <c r="C995" t="str">
        <f>IF(B995=1,"1:1","1:Many")</f>
        <v>1:1</v>
      </c>
      <c r="D995" s="42" t="str" cm="1">
        <f t="array" ref="D995">_xlfn.TEXTJOIN(" | ",TRUE,_xlfn._xlws.FILTER(PriceList!$B$4:$B$2641,PriceList!$M$4:$M$2641=A995,""))</f>
        <v>OR9N 074-2.5</v>
      </c>
      <c r="E995" t="str" cm="1">
        <f t="array" ref="E995">_xlfn.TEXTJOIN(", ",TRUE,_xlfn._xlws.FILTER(ROW(PriceList!$B$4:$B$2641),PriceList!$M$4:$M$2641=A995,""))</f>
        <v>1259</v>
      </c>
      <c r="F995" s="42" t="str" cm="1">
        <f t="array" ref="F995">_xlfn.TEXTJOIN(" | ",TRUE,_xlfn.UNIQUE(_xlfn._xlws.FILTER(PriceList!$Q$4:$Q$2641&amp;" x "&amp;PriceList!$R$4:$R$2641&amp;" x "&amp;PriceList!$S$4:$S$2641,PriceList!$M$4:$M$2641=A995,"")))</f>
        <v>74 x 79 x 2.5</v>
      </c>
      <c r="G995" t="str" cm="1">
        <f t="array" ref="G995">INDEX(_xlfn._xlws.FILTER(PriceList!$P$4:$P$2641,PriceList!$M$4:$M$2641=A995,""),1)</f>
        <v>O Ring - NBR 70</v>
      </c>
    </row>
    <row r="996" spans="1:7" x14ac:dyDescent="0.45">
      <c r="A996" t="s">
        <v>4496</v>
      </c>
      <c r="B996">
        <f>COUNTIF(PriceList!$M$4:$M$2641,A996)</f>
        <v>1</v>
      </c>
      <c r="C996" t="str">
        <f>IF(B996=1,"1:1","1:Many")</f>
        <v>1:1</v>
      </c>
      <c r="D996" s="42" t="str" cm="1">
        <f t="array" ref="D996">_xlfn.TEXTJOIN(" | ",TRUE,_xlfn._xlws.FILTER(PriceList!$B$4:$B$2641,PriceList!$M$4:$M$2641=A996,""))</f>
        <v>OR9N 074-4</v>
      </c>
      <c r="E996" t="str" cm="1">
        <f t="array" ref="E996">_xlfn.TEXTJOIN(", ",TRUE,_xlfn._xlws.FILTER(ROW(PriceList!$B$4:$B$2641),PriceList!$M$4:$M$2641=A996,""))</f>
        <v>1260</v>
      </c>
      <c r="F996" s="42" t="str" cm="1">
        <f t="array" ref="F996">_xlfn.TEXTJOIN(" | ",TRUE,_xlfn.UNIQUE(_xlfn._xlws.FILTER(PriceList!$Q$4:$Q$2641&amp;" x "&amp;PriceList!$R$4:$R$2641&amp;" x "&amp;PriceList!$S$4:$S$2641,PriceList!$M$4:$M$2641=A996,"")))</f>
        <v>74 x 82 x 4</v>
      </c>
      <c r="G996" t="str" cm="1">
        <f t="array" ref="G996">INDEX(_xlfn._xlws.FILTER(PriceList!$P$4:$P$2641,PriceList!$M$4:$M$2641=A996,""),1)</f>
        <v>O Ring - NBR 70</v>
      </c>
    </row>
    <row r="997" spans="1:7" x14ac:dyDescent="0.45">
      <c r="A997" t="s">
        <v>4494</v>
      </c>
      <c r="B997">
        <f>COUNTIF(PriceList!$M$4:$M$2641,A997)</f>
        <v>1</v>
      </c>
      <c r="C997" t="str">
        <f>IF(B997=1,"1:1","1:Many")</f>
        <v>1:1</v>
      </c>
      <c r="D997" s="42" t="str" cm="1">
        <f t="array" ref="D997">_xlfn.TEXTJOIN(" | ",TRUE,_xlfn._xlws.FILTER(PriceList!$B$4:$B$2641,PriceList!$M$4:$M$2641=A997,""))</f>
        <v>OR9N 074.2-5.7</v>
      </c>
      <c r="E997" t="str" cm="1">
        <f t="array" ref="E997">_xlfn.TEXTJOIN(", ",TRUE,_xlfn._xlws.FILTER(ROW(PriceList!$B$4:$B$2641),PriceList!$M$4:$M$2641=A997,""))</f>
        <v>1257</v>
      </c>
      <c r="F997" s="42" t="str" cm="1">
        <f t="array" ref="F997">_xlfn.TEXTJOIN(" | ",TRUE,_xlfn.UNIQUE(_xlfn._xlws.FILTER(PriceList!$Q$4:$Q$2641&amp;" x "&amp;PriceList!$R$4:$R$2641&amp;" x "&amp;PriceList!$S$4:$S$2641,PriceList!$M$4:$M$2641=A997,"")))</f>
        <v>74.3 x 85.7 x 5.7</v>
      </c>
      <c r="G997" t="str" cm="1">
        <f t="array" ref="G997">INDEX(_xlfn._xlws.FILTER(PriceList!$P$4:$P$2641,PriceList!$M$4:$M$2641=A997,""),1)</f>
        <v>O Ring - NBR 70</v>
      </c>
    </row>
    <row r="998" spans="1:7" x14ac:dyDescent="0.45">
      <c r="A998" t="s">
        <v>4960</v>
      </c>
      <c r="B998">
        <f>COUNTIF(PriceList!$M$4:$M$2641,A998)</f>
        <v>2</v>
      </c>
      <c r="C998" t="str">
        <f>IF(B998=1,"1:1","1:Many")</f>
        <v>1:Many</v>
      </c>
      <c r="D998" s="42" t="str" cm="1">
        <f t="array" ref="D998">_xlfn.TEXTJOIN(" | ",TRUE,_xlfn._xlws.FILTER(PriceList!$B$4:$B$2641,PriceList!$M$4:$M$2641=A998,""))</f>
        <v>ORV8 074.2-5.7 | ORV8 075-5</v>
      </c>
      <c r="E998" t="str" cm="1">
        <f t="array" ref="E998">_xlfn.TEXTJOIN(", ",TRUE,_xlfn._xlws.FILTER(ROW(PriceList!$B$4:$B$2641),PriceList!$M$4:$M$2641=A998,""))</f>
        <v>1912, 1920</v>
      </c>
      <c r="F998" s="42" t="str" cm="1">
        <f t="array" ref="F998">_xlfn.TEXTJOIN(" | ",TRUE,_xlfn.UNIQUE(_xlfn._xlws.FILTER(PriceList!$Q$4:$Q$2641&amp;" x "&amp;PriceList!$R$4:$R$2641&amp;" x "&amp;PriceList!$S$4:$S$2641,PriceList!$M$4:$M$2641=A998,"")))</f>
        <v>74.3 x 85.7 x 5.7</v>
      </c>
      <c r="G998" t="str" cm="1">
        <f t="array" ref="G998">INDEX(_xlfn._xlws.FILTER(PriceList!$P$4:$P$2641,PriceList!$M$4:$M$2641=A998,""),1)</f>
        <v>O Ring - FPM/FKM/VitonÂ®</v>
      </c>
    </row>
    <row r="999" spans="1:7" x14ac:dyDescent="0.45">
      <c r="A999" t="s">
        <v>4140</v>
      </c>
      <c r="B999">
        <f>COUNTIF(PriceList!$M$4:$M$2641,A999)</f>
        <v>2</v>
      </c>
      <c r="C999" t="str">
        <f>IF(B999=1,"1:1","1:Many")</f>
        <v>1:Many</v>
      </c>
      <c r="D999" s="42" t="str" cm="1">
        <f t="array" ref="D999">_xlfn.TEXTJOIN(" | ",TRUE,_xlfn._xlws.FILTER(PriceList!$B$4:$B$2641,PriceList!$M$4:$M$2641=A999,""))</f>
        <v>OR7N 074.4-3.1 | OR9N 074.4-3.1</v>
      </c>
      <c r="E999" t="str" cm="1">
        <f t="array" ref="E999">_xlfn.TEXTJOIN(", ",TRUE,_xlfn._xlws.FILTER(ROW(PriceList!$B$4:$B$2641),PriceList!$M$4:$M$2641=A999,""))</f>
        <v>731, 1258</v>
      </c>
      <c r="F999" s="42" t="str" cm="1">
        <f t="array" ref="F999">_xlfn.TEXTJOIN(" | ",TRUE,_xlfn.UNIQUE(_xlfn._xlws.FILTER(PriceList!$Q$4:$Q$2641&amp;" x "&amp;PriceList!$R$4:$R$2641&amp;" x "&amp;PriceList!$S$4:$S$2641,PriceList!$M$4:$M$2641=A999,"")))</f>
        <v>74.4 x 80.6 x 3.1</v>
      </c>
      <c r="G999" t="str" cm="1">
        <f t="array" ref="G999">INDEX(_xlfn._xlws.FILTER(PriceList!$P$4:$P$2641,PriceList!$M$4:$M$2641=A999,""),1)</f>
        <v>O Ring - NBR 70</v>
      </c>
    </row>
    <row r="1000" spans="1:7" x14ac:dyDescent="0.45">
      <c r="A1000" t="s">
        <v>4961</v>
      </c>
      <c r="B1000">
        <f>COUNTIF(PriceList!$M$4:$M$2641,A1000)</f>
        <v>1</v>
      </c>
      <c r="C1000" t="str">
        <f>IF(B1000=1,"1:1","1:Many")</f>
        <v>1:1</v>
      </c>
      <c r="D1000" s="42" t="str" cm="1">
        <f t="array" ref="D1000">_xlfn.TEXTJOIN(" | ",TRUE,_xlfn._xlws.FILTER(PriceList!$B$4:$B$2641,PriceList!$M$4:$M$2641=A1000,""))</f>
        <v>ORV8 074.4-3.1</v>
      </c>
      <c r="E1000" t="str" cm="1">
        <f t="array" ref="E1000">_xlfn.TEXTJOIN(", ",TRUE,_xlfn._xlws.FILTER(ROW(PriceList!$B$4:$B$2641),PriceList!$M$4:$M$2641=A1000,""))</f>
        <v>1913</v>
      </c>
      <c r="F1000" s="42" t="str" cm="1">
        <f t="array" ref="F1000">_xlfn.TEXTJOIN(" | ",TRUE,_xlfn.UNIQUE(_xlfn._xlws.FILTER(PriceList!$Q$4:$Q$2641&amp;" x "&amp;PriceList!$R$4:$R$2641&amp;" x "&amp;PriceList!$S$4:$S$2641,PriceList!$M$4:$M$2641=A1000,"")))</f>
        <v>74.5 x 80.5 x 3</v>
      </c>
      <c r="G1000" t="str" cm="1">
        <f t="array" ref="G1000">INDEX(_xlfn._xlws.FILTER(PriceList!$P$4:$P$2641,PriceList!$M$4:$M$2641=A1000,""),1)</f>
        <v>O Ring - FPM/FKM/VitonÂ®</v>
      </c>
    </row>
    <row r="1001" spans="1:7" x14ac:dyDescent="0.45">
      <c r="A1001" t="s">
        <v>4968</v>
      </c>
      <c r="B1001">
        <f>COUNTIF(PriceList!$M$4:$M$2641,A1001)</f>
        <v>1</v>
      </c>
      <c r="C1001" t="str">
        <f>IF(B1001=1,"1:1","1:Many")</f>
        <v>1:1</v>
      </c>
      <c r="D1001" s="42" t="str" cm="1">
        <f t="array" ref="D1001">_xlfn.TEXTJOIN(" | ",TRUE,_xlfn._xlws.FILTER(PriceList!$B$4:$B$2641,PriceList!$M$4:$M$2641=A1001,""))</f>
        <v>ORV8 075-2.5</v>
      </c>
      <c r="E1001" t="str" cm="1">
        <f t="array" ref="E1001">_xlfn.TEXTJOIN(", ",TRUE,_xlfn._xlws.FILTER(ROW(PriceList!$B$4:$B$2641),PriceList!$M$4:$M$2641=A1001,""))</f>
        <v>1919</v>
      </c>
      <c r="F1001" s="42" t="str" cm="1">
        <f t="array" ref="F1001">_xlfn.TEXTJOIN(" | ",TRUE,_xlfn.UNIQUE(_xlfn._xlws.FILTER(PriceList!$Q$4:$Q$2641&amp;" x "&amp;PriceList!$R$4:$R$2641&amp;" x "&amp;PriceList!$S$4:$S$2641,PriceList!$M$4:$M$2641=A1001,"")))</f>
        <v>75 x 80 x 2.5</v>
      </c>
      <c r="G1001" t="str" cm="1">
        <f t="array" ref="G1001">INDEX(_xlfn._xlws.FILTER(PriceList!$P$4:$P$2641,PriceList!$M$4:$M$2641=A1001,""),1)</f>
        <v>O Ring - FPM/FKM/VitonÂ®</v>
      </c>
    </row>
    <row r="1002" spans="1:7" x14ac:dyDescent="0.45">
      <c r="A1002" t="s">
        <v>4142</v>
      </c>
      <c r="B1002">
        <f>COUNTIF(PriceList!$M$4:$M$2641,A1002)</f>
        <v>2</v>
      </c>
      <c r="C1002" t="str">
        <f>IF(B1002=1,"1:1","1:Many")</f>
        <v>1:Many</v>
      </c>
      <c r="D1002" s="42" t="str" cm="1">
        <f t="array" ref="D1002">_xlfn.TEXTJOIN(" | ",TRUE,_xlfn._xlws.FILTER(PriceList!$B$4:$B$2641,PriceList!$M$4:$M$2641=A1002,""))</f>
        <v>OR7N 075.87-2.62 | OR9N 075.87-2.62</v>
      </c>
      <c r="E1002" t="str" cm="1">
        <f t="array" ref="E1002">_xlfn.TEXTJOIN(", ",TRUE,_xlfn._xlws.FILTER(ROW(PriceList!$B$4:$B$2641),PriceList!$M$4:$M$2641=A1002,""))</f>
        <v>733, 1263</v>
      </c>
      <c r="F1002" s="42" t="str" cm="1">
        <f t="array" ref="F1002">_xlfn.TEXTJOIN(" | ",TRUE,_xlfn.UNIQUE(_xlfn._xlws.FILTER(PriceList!$Q$4:$Q$2641&amp;" x "&amp;PriceList!$R$4:$R$2641&amp;" x "&amp;PriceList!$S$4:$S$2641,PriceList!$M$4:$M$2641=A1002,"")))</f>
        <v>76 x 81 x 2.5</v>
      </c>
      <c r="G1002" t="str" cm="1">
        <f t="array" ref="G1002">INDEX(_xlfn._xlws.FILTER(PriceList!$P$4:$P$2641,PriceList!$M$4:$M$2641=A1002,""),1)</f>
        <v>O Ring - NBR 70</v>
      </c>
    </row>
    <row r="1003" spans="1:7" x14ac:dyDescent="0.45">
      <c r="A1003" t="s">
        <v>4497</v>
      </c>
      <c r="B1003">
        <f>COUNTIF(PriceList!$M$4:$M$2641,A1003)</f>
        <v>1</v>
      </c>
      <c r="C1003" t="str">
        <f>IF(B1003=1,"1:1","1:Many")</f>
        <v>1:1</v>
      </c>
      <c r="D1003" s="42" t="str" cm="1">
        <f t="array" ref="D1003">_xlfn.TEXTJOIN(" | ",TRUE,_xlfn._xlws.FILTER(PriceList!$B$4:$B$2641,PriceList!$M$4:$M$2641=A1003,""))</f>
        <v>OR9N 075.79-3.53</v>
      </c>
      <c r="E1003" t="str" cm="1">
        <f t="array" ref="E1003">_xlfn.TEXTJOIN(", ",TRUE,_xlfn._xlws.FILTER(ROW(PriceList!$B$4:$B$2641),PriceList!$M$4:$M$2641=A1003,""))</f>
        <v>1262</v>
      </c>
      <c r="F1003" s="42" t="str" cm="1">
        <f t="array" ref="F1003">_xlfn.TEXTJOIN(" | ",TRUE,_xlfn.UNIQUE(_xlfn._xlws.FILTER(PriceList!$Q$4:$Q$2641&amp;" x "&amp;PriceList!$R$4:$R$2641&amp;" x "&amp;PriceList!$S$4:$S$2641,PriceList!$M$4:$M$2641=A1003,"")))</f>
        <v>76 x 83 x 3.5</v>
      </c>
      <c r="G1003" t="str" cm="1">
        <f t="array" ref="G1003">INDEX(_xlfn._xlws.FILTER(PriceList!$P$4:$P$2641,PriceList!$M$4:$M$2641=A1003,""),1)</f>
        <v>O Ring - NBR 70</v>
      </c>
    </row>
    <row r="1004" spans="1:7" x14ac:dyDescent="0.45">
      <c r="A1004" t="s">
        <v>4970</v>
      </c>
      <c r="B1004">
        <f>COUNTIF(PriceList!$M$4:$M$2641,A1004)</f>
        <v>1</v>
      </c>
      <c r="C1004" t="str">
        <f>IF(B1004=1,"1:1","1:Many")</f>
        <v>1:1</v>
      </c>
      <c r="D1004" s="42" t="str" cm="1">
        <f t="array" ref="D1004">_xlfn.TEXTJOIN(" | ",TRUE,_xlfn._xlws.FILTER(PriceList!$B$4:$B$2641,PriceList!$M$4:$M$2641=A1004,""))</f>
        <v>ORV8 077-4</v>
      </c>
      <c r="E1004" t="str" cm="1">
        <f t="array" ref="E1004">_xlfn.TEXTJOIN(", ",TRUE,_xlfn._xlws.FILTER(ROW(PriceList!$B$4:$B$2641),PriceList!$M$4:$M$2641=A1004,""))</f>
        <v>1922</v>
      </c>
      <c r="F1004" s="42" t="str" cm="1">
        <f t="array" ref="F1004">_xlfn.TEXTJOIN(" | ",TRUE,_xlfn.UNIQUE(_xlfn._xlws.FILTER(PriceList!$Q$4:$Q$2641&amp;" x "&amp;PriceList!$R$4:$R$2641&amp;" x "&amp;PriceList!$S$4:$S$2641,PriceList!$M$4:$M$2641=A1004,"")))</f>
        <v>76 x 84 x 4</v>
      </c>
      <c r="G1004" t="str" cm="1">
        <f t="array" ref="G1004">INDEX(_xlfn._xlws.FILTER(PriceList!$P$4:$P$2641,PriceList!$M$4:$M$2641=A1004,""),1)</f>
        <v>O Ring - FPM/FKM/VitonÂ®</v>
      </c>
    </row>
    <row r="1005" spans="1:7" x14ac:dyDescent="0.45">
      <c r="A1005" t="s">
        <v>4499</v>
      </c>
      <c r="B1005">
        <f>COUNTIF(PriceList!$M$4:$M$2641,A1005)</f>
        <v>1</v>
      </c>
      <c r="C1005" t="str">
        <f>IF(B1005=1,"1:1","1:Many")</f>
        <v>1:1</v>
      </c>
      <c r="D1005" s="42" t="str" cm="1">
        <f t="array" ref="D1005">_xlfn.TEXTJOIN(" | ",TRUE,_xlfn._xlws.FILTER(PriceList!$B$4:$B$2641,PriceList!$M$4:$M$2641=A1005,""))</f>
        <v>OR9N 077-4</v>
      </c>
      <c r="E1005" t="str" cm="1">
        <f t="array" ref="E1005">_xlfn.TEXTJOIN(", ",TRUE,_xlfn._xlws.FILTER(ROW(PriceList!$B$4:$B$2641),PriceList!$M$4:$M$2641=A1005,""))</f>
        <v>1265</v>
      </c>
      <c r="F1005" s="42" t="str" cm="1">
        <f t="array" ref="F1005">_xlfn.TEXTJOIN(" | ",TRUE,_xlfn.UNIQUE(_xlfn._xlws.FILTER(PriceList!$Q$4:$Q$2641&amp;" x "&amp;PriceList!$R$4:$R$2641&amp;" x "&amp;PriceList!$S$4:$S$2641,PriceList!$M$4:$M$2641=A1005,"")))</f>
        <v>77 x 85 x 4</v>
      </c>
      <c r="G1005" t="str" cm="1">
        <f t="array" ref="G1005">INDEX(_xlfn._xlws.FILTER(PriceList!$P$4:$P$2641,PriceList!$M$4:$M$2641=A1005,""),1)</f>
        <v>O Ring - NBR 70</v>
      </c>
    </row>
    <row r="1006" spans="1:7" x14ac:dyDescent="0.45">
      <c r="A1006" t="s">
        <v>4147</v>
      </c>
      <c r="B1006">
        <f>COUNTIF(PriceList!$M$4:$M$2641,A1006)</f>
        <v>2</v>
      </c>
      <c r="C1006" t="str">
        <f>IF(B1006=1,"1:1","1:Many")</f>
        <v>1:Many</v>
      </c>
      <c r="D1006" s="42" t="str" cm="1">
        <f t="array" ref="D1006">_xlfn.TEXTJOIN(" | ",TRUE,_xlfn._xlws.FILTER(PriceList!$B$4:$B$2641,PriceList!$M$4:$M$2641=A1006,""))</f>
        <v>OR7N 078-2.5 | OR9N 078-2.5</v>
      </c>
      <c r="E1006" t="str" cm="1">
        <f t="array" ref="E1006">_xlfn.TEXTJOIN(", ",TRUE,_xlfn._xlws.FILTER(ROW(PriceList!$B$4:$B$2641),PriceList!$M$4:$M$2641=A1006,""))</f>
        <v>737, 1268</v>
      </c>
      <c r="F1006" s="42" t="str" cm="1">
        <f t="array" ref="F1006">_xlfn.TEXTJOIN(" | ",TRUE,_xlfn.UNIQUE(_xlfn._xlws.FILTER(PriceList!$Q$4:$Q$2641&amp;" x "&amp;PriceList!$R$4:$R$2641&amp;" x "&amp;PriceList!$S$4:$S$2641,PriceList!$M$4:$M$2641=A1006,"")))</f>
        <v>78 x 83 x 2.5</v>
      </c>
      <c r="G1006" t="str" cm="1">
        <f t="array" ref="G1006">INDEX(_xlfn._xlws.FILTER(PriceList!$P$4:$P$2641,PriceList!$M$4:$M$2641=A1006,""),1)</f>
        <v>O Ring - NBR 70</v>
      </c>
    </row>
    <row r="1007" spans="1:7" x14ac:dyDescent="0.45">
      <c r="A1007" t="s">
        <v>4148</v>
      </c>
      <c r="B1007">
        <f>COUNTIF(PriceList!$M$4:$M$2641,A1007)</f>
        <v>2</v>
      </c>
      <c r="C1007" t="str">
        <f>IF(B1007=1,"1:1","1:Many")</f>
        <v>1:Many</v>
      </c>
      <c r="D1007" s="42" t="str" cm="1">
        <f t="array" ref="D1007">_xlfn.TEXTJOIN(" | ",TRUE,_xlfn._xlws.FILTER(PriceList!$B$4:$B$2641,PriceList!$M$4:$M$2641=A1007,""))</f>
        <v>OR7N 078-4 | OR9N 078-4</v>
      </c>
      <c r="E1007" t="str" cm="1">
        <f t="array" ref="E1007">_xlfn.TEXTJOIN(", ",TRUE,_xlfn._xlws.FILTER(ROW(PriceList!$B$4:$B$2641),PriceList!$M$4:$M$2641=A1007,""))</f>
        <v>738, 1269</v>
      </c>
      <c r="F1007" s="42" t="str" cm="1">
        <f t="array" ref="F1007">_xlfn.TEXTJOIN(" | ",TRUE,_xlfn.UNIQUE(_xlfn._xlws.FILTER(PriceList!$Q$4:$Q$2641&amp;" x "&amp;PriceList!$R$4:$R$2641&amp;" x "&amp;PriceList!$S$4:$S$2641,PriceList!$M$4:$M$2641=A1007,"")))</f>
        <v>78 x 86 x 4</v>
      </c>
      <c r="G1007" t="str" cm="1">
        <f t="array" ref="G1007">INDEX(_xlfn._xlws.FILTER(PriceList!$P$4:$P$2641,PriceList!$M$4:$M$2641=A1007,""),1)</f>
        <v>O Ring - NBR 70</v>
      </c>
    </row>
    <row r="1008" spans="1:7" x14ac:dyDescent="0.45">
      <c r="A1008" t="s">
        <v>4145</v>
      </c>
      <c r="B1008">
        <f>COUNTIF(PriceList!$M$4:$M$2641,A1008)</f>
        <v>2</v>
      </c>
      <c r="C1008" t="str">
        <f>IF(B1008=1,"1:1","1:Many")</f>
        <v>1:Many</v>
      </c>
      <c r="D1008" s="42" t="str" cm="1">
        <f t="array" ref="D1008">_xlfn.TEXTJOIN(" | ",TRUE,_xlfn._xlws.FILTER(PriceList!$B$4:$B$2641,PriceList!$M$4:$M$2641=A1008,""))</f>
        <v>OR7N 078.97-3.53 | OR9N 078.97-3.53</v>
      </c>
      <c r="E1008" t="str" cm="1">
        <f t="array" ref="E1008">_xlfn.TEXTJOIN(", ",TRUE,_xlfn._xlws.FILTER(ROW(PriceList!$B$4:$B$2641),PriceList!$M$4:$M$2641=A1008,""))</f>
        <v>736, 1267</v>
      </c>
      <c r="F1008" s="42" t="str" cm="1">
        <f t="array" ref="F1008">_xlfn.TEXTJOIN(" | ",TRUE,_xlfn.UNIQUE(_xlfn._xlws.FILTER(PriceList!$Q$4:$Q$2641&amp;" x "&amp;PriceList!$R$4:$R$2641&amp;" x "&amp;PriceList!$S$4:$S$2641,PriceList!$M$4:$M$2641=A1008,"")))</f>
        <v>79 x 86 x 3.5</v>
      </c>
      <c r="G1008" t="str" cm="1">
        <f t="array" ref="G1008">INDEX(_xlfn._xlws.FILTER(PriceList!$P$4:$P$2641,PriceList!$M$4:$M$2641=A1008,""),1)</f>
        <v>O Ring - NBR 70</v>
      </c>
    </row>
    <row r="1009" spans="1:7" x14ac:dyDescent="0.45">
      <c r="A1009" t="s">
        <v>4973</v>
      </c>
      <c r="B1009">
        <f>COUNTIF(PriceList!$M$4:$M$2641,A1009)</f>
        <v>1</v>
      </c>
      <c r="C1009" t="str">
        <f>IF(B1009=1,"1:1","1:Many")</f>
        <v>1:1</v>
      </c>
      <c r="D1009" s="42" t="str" cm="1">
        <f t="array" ref="D1009">_xlfn.TEXTJOIN(" | ",TRUE,_xlfn._xlws.FILTER(PriceList!$B$4:$B$2641,PriceList!$M$4:$M$2641=A1009,""))</f>
        <v>ORV8 078-7</v>
      </c>
      <c r="E1009" t="str" cm="1">
        <f t="array" ref="E1009">_xlfn.TEXTJOIN(", ",TRUE,_xlfn._xlws.FILTER(ROW(PriceList!$B$4:$B$2641),PriceList!$M$4:$M$2641=A1009,""))</f>
        <v>1925</v>
      </c>
      <c r="F1009" s="42" t="str" cm="1">
        <f t="array" ref="F1009">_xlfn.TEXTJOIN(" | ",TRUE,_xlfn.UNIQUE(_xlfn._xlws.FILTER(PriceList!$Q$4:$Q$2641&amp;" x "&amp;PriceList!$R$4:$R$2641&amp;" x "&amp;PriceList!$S$4:$S$2641,PriceList!$M$4:$M$2641=A1009,"")))</f>
        <v>79 x 93 x 7</v>
      </c>
      <c r="G1009" t="str" cm="1">
        <f t="array" ref="G1009">INDEX(_xlfn._xlws.FILTER(PriceList!$P$4:$P$2641,PriceList!$M$4:$M$2641=A1009,""),1)</f>
        <v>O Ring - FPM/FKM/VitonÂ®</v>
      </c>
    </row>
    <row r="1010" spans="1:7" x14ac:dyDescent="0.45">
      <c r="A1010" t="s">
        <v>4149</v>
      </c>
      <c r="B1010">
        <f>COUNTIF(PriceList!$M$4:$M$2641,A1010)</f>
        <v>2</v>
      </c>
      <c r="C1010" t="str">
        <f>IF(B1010=1,"1:1","1:Many")</f>
        <v>1:Many</v>
      </c>
      <c r="D1010" s="42" t="str" cm="1">
        <f t="array" ref="D1010">_xlfn.TEXTJOIN(" | ",TRUE,_xlfn._xlws.FILTER(PriceList!$B$4:$B$2641,PriceList!$M$4:$M$2641=A1010,""))</f>
        <v>OR7N 079.2-5.7 | OR9N 079.2-5.7</v>
      </c>
      <c r="E1010" t="str" cm="1">
        <f t="array" ref="E1010">_xlfn.TEXTJOIN(", ",TRUE,_xlfn._xlws.FILTER(ROW(PriceList!$B$4:$B$2641),PriceList!$M$4:$M$2641=A1010,""))</f>
        <v>739, 1270</v>
      </c>
      <c r="F1010" s="42" t="str" cm="1">
        <f t="array" ref="F1010">_xlfn.TEXTJOIN(" | ",TRUE,_xlfn.UNIQUE(_xlfn._xlws.FILTER(PriceList!$Q$4:$Q$2641&amp;" x "&amp;PriceList!$R$4:$R$2641&amp;" x "&amp;PriceList!$S$4:$S$2641,PriceList!$M$4:$M$2641=A1010,"")))</f>
        <v>79.3 x 90.7 x 5.7</v>
      </c>
      <c r="G1010" t="str" cm="1">
        <f t="array" ref="G1010">INDEX(_xlfn._xlws.FILTER(PriceList!$P$4:$P$2641,PriceList!$M$4:$M$2641=A1010,""),1)</f>
        <v>O Ring - NBR 70</v>
      </c>
    </row>
    <row r="1011" spans="1:7" x14ac:dyDescent="0.45">
      <c r="A1011" t="s">
        <v>4500</v>
      </c>
      <c r="B1011">
        <f>COUNTIF(PriceList!$M$4:$M$2641,A1011)</f>
        <v>1</v>
      </c>
      <c r="C1011" t="str">
        <f>IF(B1011=1,"1:1","1:Many")</f>
        <v>1:1</v>
      </c>
      <c r="D1011" s="42" t="str" cm="1">
        <f t="array" ref="D1011">_xlfn.TEXTJOIN(" | ",TRUE,_xlfn._xlws.FILTER(PriceList!$B$4:$B$2641,PriceList!$M$4:$M$2641=A1011,""))</f>
        <v>OR9N 079.4-3.1</v>
      </c>
      <c r="E1011" t="str" cm="1">
        <f t="array" ref="E1011">_xlfn.TEXTJOIN(", ",TRUE,_xlfn._xlws.FILTER(ROW(PriceList!$B$4:$B$2641),PriceList!$M$4:$M$2641=A1011,""))</f>
        <v>1271</v>
      </c>
      <c r="F1011" s="42" t="str" cm="1">
        <f t="array" ref="F1011">_xlfn.TEXTJOIN(" | ",TRUE,_xlfn.UNIQUE(_xlfn._xlws.FILTER(PriceList!$Q$4:$Q$2641&amp;" x "&amp;PriceList!$R$4:$R$2641&amp;" x "&amp;PriceList!$S$4:$S$2641,PriceList!$M$4:$M$2641=A1011,"")))</f>
        <v>79.4 x 85.6 x 3.1</v>
      </c>
      <c r="G1011" t="str" cm="1">
        <f t="array" ref="G1011">INDEX(_xlfn._xlws.FILTER(PriceList!$P$4:$P$2641,PriceList!$M$4:$M$2641=A1011,""),1)</f>
        <v>O Ring - NBR 70</v>
      </c>
    </row>
    <row r="1012" spans="1:7" x14ac:dyDescent="0.45">
      <c r="A1012" t="s">
        <v>4976</v>
      </c>
      <c r="B1012">
        <f>COUNTIF(PriceList!$M$4:$M$2641,A1012)</f>
        <v>1</v>
      </c>
      <c r="C1012" t="str">
        <f>IF(B1012=1,"1:1","1:Many")</f>
        <v>1:1</v>
      </c>
      <c r="D1012" s="42" t="str" cm="1">
        <f t="array" ref="D1012">_xlfn.TEXTJOIN(" | ",TRUE,_xlfn._xlws.FILTER(PriceList!$B$4:$B$2641,PriceList!$M$4:$M$2641=A1012,""))</f>
        <v>ORV8 079.4-3.1</v>
      </c>
      <c r="E1012" t="str" cm="1">
        <f t="array" ref="E1012">_xlfn.TEXTJOIN(", ",TRUE,_xlfn._xlws.FILTER(ROW(PriceList!$B$4:$B$2641),PriceList!$M$4:$M$2641=A1012,""))</f>
        <v>1927</v>
      </c>
      <c r="F1012" s="42" t="str" cm="1">
        <f t="array" ref="F1012">_xlfn.TEXTJOIN(" | ",TRUE,_xlfn.UNIQUE(_xlfn._xlws.FILTER(PriceList!$Q$4:$Q$2641&amp;" x "&amp;PriceList!$R$4:$R$2641&amp;" x "&amp;PriceList!$S$4:$S$2641,PriceList!$M$4:$M$2641=A1012,"")))</f>
        <v>79.5 x 85.5 x 3</v>
      </c>
      <c r="G1012" t="str" cm="1">
        <f t="array" ref="G1012">INDEX(_xlfn._xlws.FILTER(PriceList!$P$4:$P$2641,PriceList!$M$4:$M$2641=A1012,""),1)</f>
        <v>O Ring - FPM/FKM/VitonÂ®</v>
      </c>
    </row>
    <row r="1013" spans="1:7" x14ac:dyDescent="0.45">
      <c r="A1013" t="s">
        <v>4501</v>
      </c>
      <c r="B1013">
        <f>COUNTIF(PriceList!$M$4:$M$2641,A1013)</f>
        <v>1</v>
      </c>
      <c r="C1013" t="str">
        <f>IF(B1013=1,"1:1","1:Many")</f>
        <v>1:1</v>
      </c>
      <c r="D1013" s="42" t="str" cm="1">
        <f t="array" ref="D1013">_xlfn.TEXTJOIN(" | ",TRUE,_xlfn._xlws.FILTER(PriceList!$B$4:$B$2641,PriceList!$M$4:$M$2641=A1013,""))</f>
        <v>OR9N 080-2</v>
      </c>
      <c r="E1013" t="str" cm="1">
        <f t="array" ref="E1013">_xlfn.TEXTJOIN(", ",TRUE,_xlfn._xlws.FILTER(ROW(PriceList!$B$4:$B$2641),PriceList!$M$4:$M$2641=A1013,""))</f>
        <v>1272</v>
      </c>
      <c r="F1013" s="42" t="str" cm="1">
        <f t="array" ref="F1013">_xlfn.TEXTJOIN(" | ",TRUE,_xlfn.UNIQUE(_xlfn._xlws.FILTER(PriceList!$Q$4:$Q$2641&amp;" x "&amp;PriceList!$R$4:$R$2641&amp;" x "&amp;PriceList!$S$4:$S$2641,PriceList!$M$4:$M$2641=A1013,"")))</f>
        <v>80 x 84 x 2</v>
      </c>
      <c r="G1013" t="str" cm="1">
        <f t="array" ref="G1013">INDEX(_xlfn._xlws.FILTER(PriceList!$P$4:$P$2641,PriceList!$M$4:$M$2641=A1013,""),1)</f>
        <v>O Ring - EPDM</v>
      </c>
    </row>
    <row r="1014" spans="1:7" x14ac:dyDescent="0.45">
      <c r="A1014" t="s">
        <v>4502</v>
      </c>
      <c r="B1014">
        <f>COUNTIF(PriceList!$M$4:$M$2641,A1014)</f>
        <v>1</v>
      </c>
      <c r="C1014" t="str">
        <f>IF(B1014=1,"1:1","1:Many")</f>
        <v>1:1</v>
      </c>
      <c r="D1014" s="42" t="str" cm="1">
        <f t="array" ref="D1014">_xlfn.TEXTJOIN(" | ",TRUE,_xlfn._xlws.FILTER(PriceList!$B$4:$B$2641,PriceList!$M$4:$M$2641=A1014,""))</f>
        <v>OR9N 080-2.5</v>
      </c>
      <c r="E1014" t="str" cm="1">
        <f t="array" ref="E1014">_xlfn.TEXTJOIN(", ",TRUE,_xlfn._xlws.FILTER(ROW(PriceList!$B$4:$B$2641),PriceList!$M$4:$M$2641=A1014,""))</f>
        <v>1273</v>
      </c>
      <c r="F1014" s="42" t="str" cm="1">
        <f t="array" ref="F1014">_xlfn.TEXTJOIN(" | ",TRUE,_xlfn.UNIQUE(_xlfn._xlws.FILTER(PriceList!$Q$4:$Q$2641&amp;" x "&amp;PriceList!$R$4:$R$2641&amp;" x "&amp;PriceList!$S$4:$S$2641,PriceList!$M$4:$M$2641=A1014,"")))</f>
        <v>80 x 85 x 2.5</v>
      </c>
      <c r="G1014" t="str" cm="1">
        <f t="array" ref="G1014">INDEX(_xlfn._xlws.FILTER(PriceList!$P$4:$P$2641,PriceList!$M$4:$M$2641=A1014,""),1)</f>
        <v>O Ring - NBR 70</v>
      </c>
    </row>
    <row r="1015" spans="1:7" x14ac:dyDescent="0.45">
      <c r="A1015" t="s">
        <v>4977</v>
      </c>
      <c r="B1015">
        <f>COUNTIF(PriceList!$M$4:$M$2641,A1015)</f>
        <v>1</v>
      </c>
      <c r="C1015" t="str">
        <f>IF(B1015=1,"1:1","1:Many")</f>
        <v>1:1</v>
      </c>
      <c r="D1015" s="42" t="str" cm="1">
        <f t="array" ref="D1015">_xlfn.TEXTJOIN(" | ",TRUE,_xlfn._xlws.FILTER(PriceList!$B$4:$B$2641,PriceList!$M$4:$M$2641=A1015,""))</f>
        <v>ORV8 080-2.5</v>
      </c>
      <c r="E1015" t="str" cm="1">
        <f t="array" ref="E1015">_xlfn.TEXTJOIN(", ",TRUE,_xlfn._xlws.FILTER(ROW(PriceList!$B$4:$B$2641),PriceList!$M$4:$M$2641=A1015,""))</f>
        <v>1928</v>
      </c>
      <c r="F1015" s="42" t="str" cm="1">
        <f t="array" ref="F1015">_xlfn.TEXTJOIN(" | ",TRUE,_xlfn.UNIQUE(_xlfn._xlws.FILTER(PriceList!$Q$4:$Q$2641&amp;" x "&amp;PriceList!$R$4:$R$2641&amp;" x "&amp;PriceList!$S$4:$S$2641,PriceList!$M$4:$M$2641=A1015,"")))</f>
        <v>80 x 85 x 2.5</v>
      </c>
      <c r="G1015" t="str" cm="1">
        <f t="array" ref="G1015">INDEX(_xlfn._xlws.FILTER(PriceList!$P$4:$P$2641,PriceList!$M$4:$M$2641=A1015,""),1)</f>
        <v>O Ring - FPM/FKM/VitonÂ®</v>
      </c>
    </row>
    <row r="1016" spans="1:7" x14ac:dyDescent="0.45">
      <c r="A1016" t="s">
        <v>4150</v>
      </c>
      <c r="B1016">
        <f>COUNTIF(PriceList!$M$4:$M$2641,A1016)</f>
        <v>2</v>
      </c>
      <c r="C1016" t="str">
        <f>IF(B1016=1,"1:1","1:Many")</f>
        <v>1:Many</v>
      </c>
      <c r="D1016" s="42" t="str" cm="1">
        <f t="array" ref="D1016">_xlfn.TEXTJOIN(" | ",TRUE,_xlfn._xlws.FILTER(PriceList!$B$4:$B$2641,PriceList!$M$4:$M$2641=A1016,""))</f>
        <v>OR7N 080-4 | OR9N 080-4</v>
      </c>
      <c r="E1016" t="str" cm="1">
        <f t="array" ref="E1016">_xlfn.TEXTJOIN(", ",TRUE,_xlfn._xlws.FILTER(ROW(PriceList!$B$4:$B$2641),PriceList!$M$4:$M$2641=A1016,""))</f>
        <v>740, 1274</v>
      </c>
      <c r="F1016" s="42" t="str" cm="1">
        <f t="array" ref="F1016">_xlfn.TEXTJOIN(" | ",TRUE,_xlfn.UNIQUE(_xlfn._xlws.FILTER(PriceList!$Q$4:$Q$2641&amp;" x "&amp;PriceList!$R$4:$R$2641&amp;" x "&amp;PriceList!$S$4:$S$2641,PriceList!$M$4:$M$2641=A1016,"")))</f>
        <v>80 x 88 x 4</v>
      </c>
      <c r="G1016" t="str" cm="1">
        <f t="array" ref="G1016">INDEX(_xlfn._xlws.FILTER(PriceList!$P$4:$P$2641,PriceList!$M$4:$M$2641=A1016,""),1)</f>
        <v>O Ring - NBR 70</v>
      </c>
    </row>
    <row r="1017" spans="1:7" x14ac:dyDescent="0.45">
      <c r="A1017" t="s">
        <v>4503</v>
      </c>
      <c r="B1017">
        <f>COUNTIF(PriceList!$M$4:$M$2641,A1017)</f>
        <v>1</v>
      </c>
      <c r="C1017" t="str">
        <f>IF(B1017=1,"1:1","1:Many")</f>
        <v>1:1</v>
      </c>
      <c r="D1017" s="42" t="str" cm="1">
        <f t="array" ref="D1017">_xlfn.TEXTJOIN(" | ",TRUE,_xlfn._xlws.FILTER(PriceList!$B$4:$B$2641,PriceList!$M$4:$M$2641=A1017,""))</f>
        <v>OR9N 080-5</v>
      </c>
      <c r="E1017" t="str" cm="1">
        <f t="array" ref="E1017">_xlfn.TEXTJOIN(", ",TRUE,_xlfn._xlws.FILTER(ROW(PriceList!$B$4:$B$2641),PriceList!$M$4:$M$2641=A1017,""))</f>
        <v>1275</v>
      </c>
      <c r="F1017" s="42" t="str" cm="1">
        <f t="array" ref="F1017">_xlfn.TEXTJOIN(" | ",TRUE,_xlfn.UNIQUE(_xlfn._xlws.FILTER(PriceList!$Q$4:$Q$2641&amp;" x "&amp;PriceList!$R$4:$R$2641&amp;" x "&amp;PriceList!$S$4:$S$2641,PriceList!$M$4:$M$2641=A1017,"")))</f>
        <v>80 x 90 x 5</v>
      </c>
      <c r="G1017" t="str" cm="1">
        <f t="array" ref="G1017">INDEX(_xlfn._xlws.FILTER(PriceList!$P$4:$P$2641,PriceList!$M$4:$M$2641=A1017,""),1)</f>
        <v>O Ring - NBR 70</v>
      </c>
    </row>
    <row r="1018" spans="1:7" x14ac:dyDescent="0.45">
      <c r="A1018" t="s">
        <v>4504</v>
      </c>
      <c r="B1018">
        <f>COUNTIF(PriceList!$M$4:$M$2641,A1018)</f>
        <v>1</v>
      </c>
      <c r="C1018" t="str">
        <f>IF(B1018=1,"1:1","1:Many")</f>
        <v>1:1</v>
      </c>
      <c r="D1018" s="42" t="str" cm="1">
        <f t="array" ref="D1018">_xlfn.TEXTJOIN(" | ",TRUE,_xlfn._xlws.FILTER(PriceList!$B$4:$B$2641,PriceList!$M$4:$M$2641=A1018,""))</f>
        <v>OR9N 082.14-3.53</v>
      </c>
      <c r="E1018" t="str" cm="1">
        <f t="array" ref="E1018">_xlfn.TEXTJOIN(", ",TRUE,_xlfn._xlws.FILTER(ROW(PriceList!$B$4:$B$2641),PriceList!$M$4:$M$2641=A1018,""))</f>
        <v>1277</v>
      </c>
      <c r="F1018" s="42" t="str" cm="1">
        <f t="array" ref="F1018">_xlfn.TEXTJOIN(" | ",TRUE,_xlfn.UNIQUE(_xlfn._xlws.FILTER(PriceList!$Q$4:$Q$2641&amp;" x "&amp;PriceList!$R$4:$R$2641&amp;" x "&amp;PriceList!$S$4:$S$2641,PriceList!$M$4:$M$2641=A1018,"")))</f>
        <v>82 x 89 x 3.5</v>
      </c>
      <c r="G1018" t="str" cm="1">
        <f t="array" ref="G1018">INDEX(_xlfn._xlws.FILTER(PriceList!$P$4:$P$2641,PriceList!$M$4:$M$2641=A1018,""),1)</f>
        <v>O Ring - NBR 70</v>
      </c>
    </row>
    <row r="1019" spans="1:7" x14ac:dyDescent="0.45">
      <c r="A1019" t="s">
        <v>4155</v>
      </c>
      <c r="B1019">
        <f>COUNTIF(PriceList!$M$4:$M$2641,A1019)</f>
        <v>2</v>
      </c>
      <c r="C1019" t="str">
        <f>IF(B1019=1,"1:1","1:Many")</f>
        <v>1:Many</v>
      </c>
      <c r="D1019" s="42" t="str" cm="1">
        <f t="array" ref="D1019">_xlfn.TEXTJOIN(" | ",TRUE,_xlfn._xlws.FILTER(PriceList!$B$4:$B$2641,PriceList!$M$4:$M$2641=A1019,""))</f>
        <v>OR7N 082-4 | OR9N 082-4</v>
      </c>
      <c r="E1019" t="str" cm="1">
        <f t="array" ref="E1019">_xlfn.TEXTJOIN(", ",TRUE,_xlfn._xlws.FILTER(ROW(PriceList!$B$4:$B$2641),PriceList!$M$4:$M$2641=A1019,""))</f>
        <v>744, 1280</v>
      </c>
      <c r="F1019" s="42" t="str" cm="1">
        <f t="array" ref="F1019">_xlfn.TEXTJOIN(" | ",TRUE,_xlfn.UNIQUE(_xlfn._xlws.FILTER(PriceList!$Q$4:$Q$2641&amp;" x "&amp;PriceList!$R$4:$R$2641&amp;" x "&amp;PriceList!$S$4:$S$2641,PriceList!$M$4:$M$2641=A1019,"")))</f>
        <v>82 x 90 x 4</v>
      </c>
      <c r="G1019" t="str" cm="1">
        <f t="array" ref="G1019">INDEX(_xlfn._xlws.FILTER(PriceList!$P$4:$P$2641,PriceList!$M$4:$M$2641=A1019,""),1)</f>
        <v>O Ring - NBR 70</v>
      </c>
    </row>
    <row r="1020" spans="1:7" x14ac:dyDescent="0.45">
      <c r="A1020" t="s">
        <v>4983</v>
      </c>
      <c r="B1020">
        <f>COUNTIF(PriceList!$M$4:$M$2641,A1020)</f>
        <v>1</v>
      </c>
      <c r="C1020" t="str">
        <f>IF(B1020=1,"1:1","1:Many")</f>
        <v>1:1</v>
      </c>
      <c r="D1020" s="42" t="str" cm="1">
        <f t="array" ref="D1020">_xlfn.TEXTJOIN(" | ",TRUE,_xlfn._xlws.FILTER(PriceList!$B$4:$B$2641,PriceList!$M$4:$M$2641=A1020,""))</f>
        <v>ORV8 082-4</v>
      </c>
      <c r="E1020" t="str" cm="1">
        <f t="array" ref="E1020">_xlfn.TEXTJOIN(", ",TRUE,_xlfn._xlws.FILTER(ROW(PriceList!$B$4:$B$2641),PriceList!$M$4:$M$2641=A1020,""))</f>
        <v>1933</v>
      </c>
      <c r="F1020" s="42" t="str" cm="1">
        <f t="array" ref="F1020">_xlfn.TEXTJOIN(" | ",TRUE,_xlfn.UNIQUE(_xlfn._xlws.FILTER(PriceList!$Q$4:$Q$2641&amp;" x "&amp;PriceList!$R$4:$R$2641&amp;" x "&amp;PriceList!$S$4:$S$2641,PriceList!$M$4:$M$2641=A1020,"")))</f>
        <v>82 x 90 x 4</v>
      </c>
      <c r="G1020" t="str" cm="1">
        <f t="array" ref="G1020">INDEX(_xlfn._xlws.FILTER(PriceList!$P$4:$P$2641,PriceList!$M$4:$M$2641=A1020,""),1)</f>
        <v>O Ring - FPM/FKM/VitonÂ®</v>
      </c>
    </row>
    <row r="1021" spans="1:7" x14ac:dyDescent="0.45">
      <c r="A1021" t="s">
        <v>4506</v>
      </c>
      <c r="B1021">
        <f>COUNTIF(PriceList!$M$4:$M$2641,A1021)</f>
        <v>1</v>
      </c>
      <c r="C1021" t="str">
        <f>IF(B1021=1,"1:1","1:Many")</f>
        <v>1:1</v>
      </c>
      <c r="D1021" s="42" t="str" cm="1">
        <f t="array" ref="D1021">_xlfn.TEXTJOIN(" | ",TRUE,_xlfn._xlws.FILTER(PriceList!$B$4:$B$2641,PriceList!$M$4:$M$2641=A1021,""))</f>
        <v>OR9N 083-3</v>
      </c>
      <c r="E1021" t="str" cm="1">
        <f t="array" ref="E1021">_xlfn.TEXTJOIN(", ",TRUE,_xlfn._xlws.FILTER(ROW(PriceList!$B$4:$B$2641),PriceList!$M$4:$M$2641=A1021,""))</f>
        <v>1281</v>
      </c>
      <c r="F1021" s="42" t="str" cm="1">
        <f t="array" ref="F1021">_xlfn.TEXTJOIN(" | ",TRUE,_xlfn.UNIQUE(_xlfn._xlws.FILTER(PriceList!$Q$4:$Q$2641&amp;" x "&amp;PriceList!$R$4:$R$2641&amp;" x "&amp;PriceList!$S$4:$S$2641,PriceList!$M$4:$M$2641=A1021,"")))</f>
        <v>83 x 89 x 3</v>
      </c>
      <c r="G1021" t="str" cm="1">
        <f t="array" ref="G1021">INDEX(_xlfn._xlws.FILTER(PriceList!$P$4:$P$2641,PriceList!$M$4:$M$2641=A1021,""),1)</f>
        <v>O Ring - NBR 70</v>
      </c>
    </row>
    <row r="1022" spans="1:7" x14ac:dyDescent="0.45">
      <c r="A1022" t="s">
        <v>4507</v>
      </c>
      <c r="B1022">
        <f>COUNTIF(PriceList!$M$4:$M$2641,A1022)</f>
        <v>1</v>
      </c>
      <c r="C1022" t="str">
        <f>IF(B1022=1,"1:1","1:Many")</f>
        <v>1:1</v>
      </c>
      <c r="D1022" s="42" t="str" cm="1">
        <f t="array" ref="D1022">_xlfn.TEXTJOIN(" | ",TRUE,_xlfn._xlws.FILTER(PriceList!$B$4:$B$2641,PriceList!$M$4:$M$2641=A1022,""))</f>
        <v>OR9N 084.2-5.7</v>
      </c>
      <c r="E1022" t="str" cm="1">
        <f t="array" ref="E1022">_xlfn.TEXTJOIN(", ",TRUE,_xlfn._xlws.FILTER(ROW(PriceList!$B$4:$B$2641),PriceList!$M$4:$M$2641=A1022,""))</f>
        <v>1282</v>
      </c>
      <c r="F1022" s="42" t="str" cm="1">
        <f t="array" ref="F1022">_xlfn.TEXTJOIN(" | ",TRUE,_xlfn.UNIQUE(_xlfn._xlws.FILTER(PriceList!$Q$4:$Q$2641&amp;" x "&amp;PriceList!$R$4:$R$2641&amp;" x "&amp;PriceList!$S$4:$S$2641,PriceList!$M$4:$M$2641=A1022,"")))</f>
        <v>84.3 x 95.7 x 5.7</v>
      </c>
      <c r="G1022" t="str" cm="1">
        <f t="array" ref="G1022">INDEX(_xlfn._xlws.FILTER(PriceList!$P$4:$P$2641,PriceList!$M$4:$M$2641=A1022,""),1)</f>
        <v>O Ring - NBR 70</v>
      </c>
    </row>
    <row r="1023" spans="1:7" x14ac:dyDescent="0.45">
      <c r="A1023" t="s">
        <v>4156</v>
      </c>
      <c r="B1023">
        <f>COUNTIF(PriceList!$M$4:$M$2641,A1023)</f>
        <v>2</v>
      </c>
      <c r="C1023" t="str">
        <f>IF(B1023=1,"1:1","1:Many")</f>
        <v>1:Many</v>
      </c>
      <c r="D1023" s="42" t="str" cm="1">
        <f t="array" ref="D1023">_xlfn.TEXTJOIN(" | ",TRUE,_xlfn._xlws.FILTER(PriceList!$B$4:$B$2641,PriceList!$M$4:$M$2641=A1023,""))</f>
        <v>OR7N 084.4-3.1 | OR9N 084.4-3.1</v>
      </c>
      <c r="E1023" t="str" cm="1">
        <f t="array" ref="E1023">_xlfn.TEXTJOIN(", ",TRUE,_xlfn._xlws.FILTER(ROW(PriceList!$B$4:$B$2641),PriceList!$M$4:$M$2641=A1023,""))</f>
        <v>745, 1283</v>
      </c>
      <c r="F1023" s="42" t="str" cm="1">
        <f t="array" ref="F1023">_xlfn.TEXTJOIN(" | ",TRUE,_xlfn.UNIQUE(_xlfn._xlws.FILTER(PriceList!$Q$4:$Q$2641&amp;" x "&amp;PriceList!$R$4:$R$2641&amp;" x "&amp;PriceList!$S$4:$S$2641,PriceList!$M$4:$M$2641=A1023,"")))</f>
        <v>84.4 x 90.6 x 3.1</v>
      </c>
      <c r="G1023" t="str" cm="1">
        <f t="array" ref="G1023">INDEX(_xlfn._xlws.FILTER(PriceList!$P$4:$P$2641,PriceList!$M$4:$M$2641=A1023,""),1)</f>
        <v>O Ring - NBR 70</v>
      </c>
    </row>
    <row r="1024" spans="1:7" x14ac:dyDescent="0.45">
      <c r="A1024" t="s">
        <v>4986</v>
      </c>
      <c r="B1024">
        <f>COUNTIF(PriceList!$M$4:$M$2641,A1024)</f>
        <v>1</v>
      </c>
      <c r="C1024" t="str">
        <f>IF(B1024=1,"1:1","1:Many")</f>
        <v>1:1</v>
      </c>
      <c r="D1024" s="42" t="str" cm="1">
        <f t="array" ref="D1024">_xlfn.TEXTJOIN(" | ",TRUE,_xlfn._xlws.FILTER(PriceList!$B$4:$B$2641,PriceList!$M$4:$M$2641=A1024,""))</f>
        <v>ORV8 084.4-3.1</v>
      </c>
      <c r="E1024" t="str" cm="1">
        <f t="array" ref="E1024">_xlfn.TEXTJOIN(", ",TRUE,_xlfn._xlws.FILTER(ROW(PriceList!$B$4:$B$2641),PriceList!$M$4:$M$2641=A1024,""))</f>
        <v>1935</v>
      </c>
      <c r="F1024" s="42" t="str" cm="1">
        <f t="array" ref="F1024">_xlfn.TEXTJOIN(" | ",TRUE,_xlfn.UNIQUE(_xlfn._xlws.FILTER(PriceList!$Q$4:$Q$2641&amp;" x "&amp;PriceList!$R$4:$R$2641&amp;" x "&amp;PriceList!$S$4:$S$2641,PriceList!$M$4:$M$2641=A1024,"")))</f>
        <v>84.5 x 90.5 x 3</v>
      </c>
      <c r="G1024" t="str" cm="1">
        <f t="array" ref="G1024">INDEX(_xlfn._xlws.FILTER(PriceList!$P$4:$P$2641,PriceList!$M$4:$M$2641=A1024,""),1)</f>
        <v>O Ring - FPM/FKM/VitonÂ®</v>
      </c>
    </row>
    <row r="1025" spans="1:7" x14ac:dyDescent="0.45">
      <c r="A1025" t="s">
        <v>4508</v>
      </c>
      <c r="B1025">
        <f>COUNTIF(PriceList!$M$4:$M$2641,A1025)</f>
        <v>1</v>
      </c>
      <c r="C1025" t="str">
        <f>IF(B1025=1,"1:1","1:Many")</f>
        <v>1:1</v>
      </c>
      <c r="D1025" s="42" t="str" cm="1">
        <f t="array" ref="D1025">_xlfn.TEXTJOIN(" | ",TRUE,_xlfn._xlws.FILTER(PriceList!$B$4:$B$2641,PriceList!$M$4:$M$2641=A1025,""))</f>
        <v>OR9N 085-2.5</v>
      </c>
      <c r="E1025" t="str" cm="1">
        <f t="array" ref="E1025">_xlfn.TEXTJOIN(", ",TRUE,_xlfn._xlws.FILTER(ROW(PriceList!$B$4:$B$2641),PriceList!$M$4:$M$2641=A1025,""))</f>
        <v>1286</v>
      </c>
      <c r="F1025" s="42" t="str" cm="1">
        <f t="array" ref="F1025">_xlfn.TEXTJOIN(" | ",TRUE,_xlfn.UNIQUE(_xlfn._xlws.FILTER(PriceList!$Q$4:$Q$2641&amp;" x "&amp;PriceList!$R$4:$R$2641&amp;" x "&amp;PriceList!$S$4:$S$2641,PriceList!$M$4:$M$2641=A1025,"")))</f>
        <v>85 x 90 x 2.5</v>
      </c>
      <c r="G1025" t="str" cm="1">
        <f t="array" ref="G1025">INDEX(_xlfn._xlws.FILTER(PriceList!$P$4:$P$2641,PriceList!$M$4:$M$2641=A1025,""),1)</f>
        <v>O Ring - NBR 70</v>
      </c>
    </row>
    <row r="1026" spans="1:7" x14ac:dyDescent="0.45">
      <c r="A1026" t="s">
        <v>4509</v>
      </c>
      <c r="B1026">
        <f>COUNTIF(PriceList!$M$4:$M$2641,A1026)</f>
        <v>1</v>
      </c>
      <c r="C1026" t="str">
        <f>IF(B1026=1,"1:1","1:Many")</f>
        <v>1:1</v>
      </c>
      <c r="D1026" s="42" t="str" cm="1">
        <f t="array" ref="D1026">_xlfn.TEXTJOIN(" | ",TRUE,_xlfn._xlws.FILTER(PriceList!$B$4:$B$2641,PriceList!$M$4:$M$2641=A1026,""))</f>
        <v>OR9N 085-5</v>
      </c>
      <c r="E1026" t="str" cm="1">
        <f t="array" ref="E1026">_xlfn.TEXTJOIN(", ",TRUE,_xlfn._xlws.FILTER(ROW(PriceList!$B$4:$B$2641),PriceList!$M$4:$M$2641=A1026,""))</f>
        <v>1287</v>
      </c>
      <c r="F1026" s="42" t="str" cm="1">
        <f t="array" ref="F1026">_xlfn.TEXTJOIN(" | ",TRUE,_xlfn.UNIQUE(_xlfn._xlws.FILTER(PriceList!$Q$4:$Q$2641&amp;" x "&amp;PriceList!$R$4:$R$2641&amp;" x "&amp;PriceList!$S$4:$S$2641,PriceList!$M$4:$M$2641=A1026,"")))</f>
        <v>85 x 95 x 5</v>
      </c>
      <c r="G1026" t="str" cm="1">
        <f t="array" ref="G1026">INDEX(_xlfn._xlws.FILTER(PriceList!$P$4:$P$2641,PriceList!$M$4:$M$2641=A1026,""),1)</f>
        <v>O Ring - NBR 70</v>
      </c>
    </row>
    <row r="1027" spans="1:7" x14ac:dyDescent="0.45">
      <c r="A1027" t="s">
        <v>4990</v>
      </c>
      <c r="B1027">
        <f>COUNTIF(PriceList!$M$4:$M$2641,A1027)</f>
        <v>1</v>
      </c>
      <c r="C1027" t="str">
        <f>IF(B1027=1,"1:1","1:Many")</f>
        <v>1:1</v>
      </c>
      <c r="D1027" s="42" t="str" cm="1">
        <f t="array" ref="D1027">_xlfn.TEXTJOIN(" | ",TRUE,_xlfn._xlws.FILTER(PriceList!$B$4:$B$2641,PriceList!$M$4:$M$2641=A1027,""))</f>
        <v>ORV8 085-5</v>
      </c>
      <c r="E1027" t="str" cm="1">
        <f t="array" ref="E1027">_xlfn.TEXTJOIN(", ",TRUE,_xlfn._xlws.FILTER(ROW(PriceList!$B$4:$B$2641),PriceList!$M$4:$M$2641=A1027,""))</f>
        <v>1939</v>
      </c>
      <c r="F1027" s="42" t="str" cm="1">
        <f t="array" ref="F1027">_xlfn.TEXTJOIN(" | ",TRUE,_xlfn.UNIQUE(_xlfn._xlws.FILTER(PriceList!$Q$4:$Q$2641&amp;" x "&amp;PriceList!$R$4:$R$2641&amp;" x "&amp;PriceList!$S$4:$S$2641,PriceList!$M$4:$M$2641=A1027,"")))</f>
        <v>85 x 95 x 5</v>
      </c>
      <c r="G1027" t="str" cm="1">
        <f t="array" ref="G1027">INDEX(_xlfn._xlws.FILTER(PriceList!$P$4:$P$2641,PriceList!$M$4:$M$2641=A1027,""),1)</f>
        <v>O Ring - FPM/FKM/VitonÂ®</v>
      </c>
    </row>
    <row r="1028" spans="1:7" x14ac:dyDescent="0.45">
      <c r="A1028" t="s">
        <v>4510</v>
      </c>
      <c r="B1028">
        <f>COUNTIF(PriceList!$M$4:$M$2641,A1028)</f>
        <v>1</v>
      </c>
      <c r="C1028" t="str">
        <f>IF(B1028=1,"1:1","1:Many")</f>
        <v>1:1</v>
      </c>
      <c r="D1028" s="42" t="str" cm="1">
        <f t="array" ref="D1028">_xlfn.TEXTJOIN(" | ",TRUE,_xlfn._xlws.FILTER(PriceList!$B$4:$B$2641,PriceList!$M$4:$M$2641=A1028,""))</f>
        <v>OR9N 085-6</v>
      </c>
      <c r="E1028" t="str" cm="1">
        <f t="array" ref="E1028">_xlfn.TEXTJOIN(", ",TRUE,_xlfn._xlws.FILTER(ROW(PriceList!$B$4:$B$2641),PriceList!$M$4:$M$2641=A1028,""))</f>
        <v>1288</v>
      </c>
      <c r="F1028" s="42" t="str" cm="1">
        <f t="array" ref="F1028">_xlfn.TEXTJOIN(" | ",TRUE,_xlfn.UNIQUE(_xlfn._xlws.FILTER(PriceList!$Q$4:$Q$2641&amp;" x "&amp;PriceList!$R$4:$R$2641&amp;" x "&amp;PriceList!$S$4:$S$2641,PriceList!$M$4:$M$2641=A1028,"")))</f>
        <v>85 x 97 x 6</v>
      </c>
      <c r="G1028" t="str" cm="1">
        <f t="array" ref="G1028">INDEX(_xlfn._xlws.FILTER(PriceList!$P$4:$P$2641,PriceList!$M$4:$M$2641=A1028,""),1)</f>
        <v>O Ring - NBR 70</v>
      </c>
    </row>
    <row r="1029" spans="1:7" x14ac:dyDescent="0.45">
      <c r="A1029" t="s">
        <v>4511</v>
      </c>
      <c r="B1029">
        <f>COUNTIF(PriceList!$M$4:$M$2641,A1029)</f>
        <v>1</v>
      </c>
      <c r="C1029" t="str">
        <f>IF(B1029=1,"1:1","1:Many")</f>
        <v>1:1</v>
      </c>
      <c r="D1029" s="42" t="str" cm="1">
        <f t="array" ref="D1029">_xlfn.TEXTJOIN(" | ",TRUE,_xlfn._xlws.FILTER(PriceList!$B$4:$B$2641,PriceList!$M$4:$M$2641=A1029,""))</f>
        <v>OR9N 086-3</v>
      </c>
      <c r="E1029" t="str" cm="1">
        <f t="array" ref="E1029">_xlfn.TEXTJOIN(", ",TRUE,_xlfn._xlws.FILTER(ROW(PriceList!$B$4:$B$2641),PriceList!$M$4:$M$2641=A1029,""))</f>
        <v>1289</v>
      </c>
      <c r="F1029" s="42" t="str" cm="1">
        <f t="array" ref="F1029">_xlfn.TEXTJOIN(" | ",TRUE,_xlfn.UNIQUE(_xlfn._xlws.FILTER(PriceList!$Q$4:$Q$2641&amp;" x "&amp;PriceList!$R$4:$R$2641&amp;" x "&amp;PriceList!$S$4:$S$2641,PriceList!$M$4:$M$2641=A1029,"")))</f>
        <v>86 x 92 x 3</v>
      </c>
      <c r="G1029" t="str" cm="1">
        <f t="array" ref="G1029">INDEX(_xlfn._xlws.FILTER(PriceList!$P$4:$P$2641,PriceList!$M$4:$M$2641=A1029,""),1)</f>
        <v>O Ring - NBR 70</v>
      </c>
    </row>
    <row r="1030" spans="1:7" x14ac:dyDescent="0.45">
      <c r="A1030" t="s">
        <v>4512</v>
      </c>
      <c r="B1030">
        <f>COUNTIF(PriceList!$M$4:$M$2641,A1030)</f>
        <v>1</v>
      </c>
      <c r="C1030" t="str">
        <f>IF(B1030=1,"1:1","1:Many")</f>
        <v>1:1</v>
      </c>
      <c r="D1030" s="42" t="str" cm="1">
        <f t="array" ref="D1030">_xlfn.TEXTJOIN(" | ",TRUE,_xlfn._xlws.FILTER(PriceList!$B$4:$B$2641,PriceList!$M$4:$M$2641=A1030,""))</f>
        <v>OR9N 089.2-5.7</v>
      </c>
      <c r="E1030" t="str" cm="1">
        <f t="array" ref="E1030">_xlfn.TEXTJOIN(", ",TRUE,_xlfn._xlws.FILTER(ROW(PriceList!$B$4:$B$2641),PriceList!$M$4:$M$2641=A1030,""))</f>
        <v>1293</v>
      </c>
      <c r="F1030" s="42" t="str" cm="1">
        <f t="array" ref="F1030">_xlfn.TEXTJOIN(" | ",TRUE,_xlfn.UNIQUE(_xlfn._xlws.FILTER(PriceList!$Q$4:$Q$2641&amp;" x "&amp;PriceList!$R$4:$R$2641&amp;" x "&amp;PriceList!$S$4:$S$2641,PriceList!$M$4:$M$2641=A1030,"")))</f>
        <v>89.3 x 100.7 x 5.7</v>
      </c>
      <c r="G1030" t="str" cm="1">
        <f t="array" ref="G1030">INDEX(_xlfn._xlws.FILTER(PriceList!$P$4:$P$2641,PriceList!$M$4:$M$2641=A1030,""),1)</f>
        <v>O Ring - NBR 70</v>
      </c>
    </row>
    <row r="1031" spans="1:7" x14ac:dyDescent="0.45">
      <c r="A1031" t="s">
        <v>4996</v>
      </c>
      <c r="B1031">
        <f>COUNTIF(PriceList!$M$4:$M$2641,A1031)</f>
        <v>2</v>
      </c>
      <c r="C1031" t="str">
        <f>IF(B1031=1,"1:1","1:Many")</f>
        <v>1:Many</v>
      </c>
      <c r="D1031" s="42" t="str" cm="1">
        <f t="array" ref="D1031">_xlfn.TEXTJOIN(" | ",TRUE,_xlfn._xlws.FILTER(PriceList!$B$4:$B$2641,PriceList!$M$4:$M$2641=A1031,""))</f>
        <v>ORV8 088-7 | ORV8 089.2-5.7</v>
      </c>
      <c r="E1031" t="str" cm="1">
        <f t="array" ref="E1031">_xlfn.TEXTJOIN(", ",TRUE,_xlfn._xlws.FILTER(ROW(PriceList!$B$4:$B$2641),PriceList!$M$4:$M$2641=A1031,""))</f>
        <v>1944, 1945</v>
      </c>
      <c r="F1031" s="42" t="str" cm="1">
        <f t="array" ref="F1031">_xlfn.TEXTJOIN(" | ",TRUE,_xlfn.UNIQUE(_xlfn._xlws.FILTER(PriceList!$Q$4:$Q$2641&amp;" x "&amp;PriceList!$R$4:$R$2641&amp;" x "&amp;PriceList!$S$4:$S$2641,PriceList!$M$4:$M$2641=A1031,"")))</f>
        <v>89.3 x 100.7 x 5.7</v>
      </c>
      <c r="G1031" t="str" cm="1">
        <f t="array" ref="G1031">INDEX(_xlfn._xlws.FILTER(PriceList!$P$4:$P$2641,PriceList!$M$4:$M$2641=A1031,""),1)</f>
        <v>O Ring - FPM/FKM/VitonÂ®</v>
      </c>
    </row>
    <row r="1032" spans="1:7" x14ac:dyDescent="0.45">
      <c r="A1032" t="s">
        <v>4513</v>
      </c>
      <c r="B1032">
        <f>COUNTIF(PriceList!$M$4:$M$2641,A1032)</f>
        <v>1</v>
      </c>
      <c r="C1032" t="str">
        <f>IF(B1032=1,"1:1","1:Many")</f>
        <v>1:1</v>
      </c>
      <c r="D1032" s="42" t="str" cm="1">
        <f t="array" ref="D1032">_xlfn.TEXTJOIN(" | ",TRUE,_xlfn._xlws.FILTER(PriceList!$B$4:$B$2641,PriceList!$M$4:$M$2641=A1032,""))</f>
        <v>OR9N 089.4-3.1</v>
      </c>
      <c r="E1032" t="str" cm="1">
        <f t="array" ref="E1032">_xlfn.TEXTJOIN(", ",TRUE,_xlfn._xlws.FILTER(ROW(PriceList!$B$4:$B$2641),PriceList!$M$4:$M$2641=A1032,""))</f>
        <v>1294</v>
      </c>
      <c r="F1032" s="42" t="str" cm="1">
        <f t="array" ref="F1032">_xlfn.TEXTJOIN(" | ",TRUE,_xlfn.UNIQUE(_xlfn._xlws.FILTER(PriceList!$Q$4:$Q$2641&amp;" x "&amp;PriceList!$R$4:$R$2641&amp;" x "&amp;PriceList!$S$4:$S$2641,PriceList!$M$4:$M$2641=A1032,"")))</f>
        <v>89.4 x 95.6 x 3.1</v>
      </c>
      <c r="G1032" t="str" cm="1">
        <f t="array" ref="G1032">INDEX(_xlfn._xlws.FILTER(PriceList!$P$4:$P$2641,PriceList!$M$4:$M$2641=A1032,""),1)</f>
        <v>O Ring - NBR 70</v>
      </c>
    </row>
    <row r="1033" spans="1:7" x14ac:dyDescent="0.45">
      <c r="A1033" t="s">
        <v>4997</v>
      </c>
      <c r="B1033">
        <f>COUNTIF(PriceList!$M$4:$M$2641,A1033)</f>
        <v>1</v>
      </c>
      <c r="C1033" t="str">
        <f>IF(B1033=1,"1:1","1:Many")</f>
        <v>1:1</v>
      </c>
      <c r="D1033" s="42" t="str" cm="1">
        <f t="array" ref="D1033">_xlfn.TEXTJOIN(" | ",TRUE,_xlfn._xlws.FILTER(PriceList!$B$4:$B$2641,PriceList!$M$4:$M$2641=A1033,""))</f>
        <v>ORV8 089.4-3.1</v>
      </c>
      <c r="E1033" t="str" cm="1">
        <f t="array" ref="E1033">_xlfn.TEXTJOIN(", ",TRUE,_xlfn._xlws.FILTER(ROW(PriceList!$B$4:$B$2641),PriceList!$M$4:$M$2641=A1033,""))</f>
        <v>1946</v>
      </c>
      <c r="F1033" s="42" t="str" cm="1">
        <f t="array" ref="F1033">_xlfn.TEXTJOIN(" | ",TRUE,_xlfn.UNIQUE(_xlfn._xlws.FILTER(PriceList!$Q$4:$Q$2641&amp;" x "&amp;PriceList!$R$4:$R$2641&amp;" x "&amp;PriceList!$S$4:$S$2641,PriceList!$M$4:$M$2641=A1033,"")))</f>
        <v>89.5 x 95.5 x 3</v>
      </c>
      <c r="G1033" t="str" cm="1">
        <f t="array" ref="G1033">INDEX(_xlfn._xlws.FILTER(PriceList!$P$4:$P$2641,PriceList!$M$4:$M$2641=A1033,""),1)</f>
        <v>O Ring - FPM/FKM/VitonÂ®</v>
      </c>
    </row>
    <row r="1034" spans="1:7" x14ac:dyDescent="0.45">
      <c r="A1034" t="s">
        <v>4514</v>
      </c>
      <c r="B1034">
        <f>COUNTIF(PriceList!$M$4:$M$2641,A1034)</f>
        <v>1</v>
      </c>
      <c r="C1034" t="str">
        <f>IF(B1034=1,"1:1","1:Many")</f>
        <v>1:1</v>
      </c>
      <c r="D1034" s="42" t="str" cm="1">
        <f t="array" ref="D1034">_xlfn.TEXTJOIN(" | ",TRUE,_xlfn._xlws.FILTER(PriceList!$B$4:$B$2641,PriceList!$M$4:$M$2641=A1034,""))</f>
        <v>OR9N 090-2</v>
      </c>
      <c r="E1034" t="str" cm="1">
        <f t="array" ref="E1034">_xlfn.TEXTJOIN(", ",TRUE,_xlfn._xlws.FILTER(ROW(PriceList!$B$4:$B$2641),PriceList!$M$4:$M$2641=A1034,""))</f>
        <v>1295</v>
      </c>
      <c r="F1034" s="42" t="str" cm="1">
        <f t="array" ref="F1034">_xlfn.TEXTJOIN(" | ",TRUE,_xlfn.UNIQUE(_xlfn._xlws.FILTER(PriceList!$Q$4:$Q$2641&amp;" x "&amp;PriceList!$R$4:$R$2641&amp;" x "&amp;PriceList!$S$4:$S$2641,PriceList!$M$4:$M$2641=A1034,"")))</f>
        <v>90 x 94 x 2</v>
      </c>
      <c r="G1034" t="str" cm="1">
        <f t="array" ref="G1034">INDEX(_xlfn._xlws.FILTER(PriceList!$P$4:$P$2641,PriceList!$M$4:$M$2641=A1034,""),1)</f>
        <v>O Ring - NBR 70</v>
      </c>
    </row>
    <row r="1035" spans="1:7" x14ac:dyDescent="0.45">
      <c r="A1035" t="s">
        <v>4515</v>
      </c>
      <c r="B1035">
        <f>COUNTIF(PriceList!$M$4:$M$2641,A1035)</f>
        <v>1</v>
      </c>
      <c r="C1035" t="str">
        <f>IF(B1035=1,"1:1","1:Many")</f>
        <v>1:1</v>
      </c>
      <c r="D1035" s="42" t="str" cm="1">
        <f t="array" ref="D1035">_xlfn.TEXTJOIN(" | ",TRUE,_xlfn._xlws.FILTER(PriceList!$B$4:$B$2641,PriceList!$M$4:$M$2641=A1035,""))</f>
        <v>OR9N 090-2.5</v>
      </c>
      <c r="E1035" t="str" cm="1">
        <f t="array" ref="E1035">_xlfn.TEXTJOIN(", ",TRUE,_xlfn._xlws.FILTER(ROW(PriceList!$B$4:$B$2641),PriceList!$M$4:$M$2641=A1035,""))</f>
        <v>1296</v>
      </c>
      <c r="F1035" s="42" t="str" cm="1">
        <f t="array" ref="F1035">_xlfn.TEXTJOIN(" | ",TRUE,_xlfn.UNIQUE(_xlfn._xlws.FILTER(PriceList!$Q$4:$Q$2641&amp;" x "&amp;PriceList!$R$4:$R$2641&amp;" x "&amp;PriceList!$S$4:$S$2641,PriceList!$M$4:$M$2641=A1035,"")))</f>
        <v>90 x 95 x 2.5</v>
      </c>
      <c r="G1035" t="str" cm="1">
        <f t="array" ref="G1035">INDEX(_xlfn._xlws.FILTER(PriceList!$P$4:$P$2641,PriceList!$M$4:$M$2641=A1035,""),1)</f>
        <v>O Ring - NBR 70</v>
      </c>
    </row>
    <row r="1036" spans="1:7" x14ac:dyDescent="0.45">
      <c r="A1036" t="s">
        <v>4516</v>
      </c>
      <c r="B1036">
        <f>COUNTIF(PriceList!$M$4:$M$2641,A1036)</f>
        <v>1</v>
      </c>
      <c r="C1036" t="str">
        <f>IF(B1036=1,"1:1","1:Many")</f>
        <v>1:1</v>
      </c>
      <c r="D1036" s="42" t="str" cm="1">
        <f t="array" ref="D1036">_xlfn.TEXTJOIN(" | ",TRUE,_xlfn._xlws.FILTER(PriceList!$B$4:$B$2641,PriceList!$M$4:$M$2641=A1036,""))</f>
        <v>OR9N 090-4</v>
      </c>
      <c r="E1036" t="str" cm="1">
        <f t="array" ref="E1036">_xlfn.TEXTJOIN(", ",TRUE,_xlfn._xlws.FILTER(ROW(PriceList!$B$4:$B$2641),PriceList!$M$4:$M$2641=A1036,""))</f>
        <v>1297</v>
      </c>
      <c r="F1036" s="42" t="str" cm="1">
        <f t="array" ref="F1036">_xlfn.TEXTJOIN(" | ",TRUE,_xlfn.UNIQUE(_xlfn._xlws.FILTER(PriceList!$Q$4:$Q$2641&amp;" x "&amp;PriceList!$R$4:$R$2641&amp;" x "&amp;PriceList!$S$4:$S$2641,PriceList!$M$4:$M$2641=A1036,"")))</f>
        <v>90 x 98 x 4</v>
      </c>
      <c r="G1036" t="str" cm="1">
        <f t="array" ref="G1036">INDEX(_xlfn._xlws.FILTER(PriceList!$P$4:$P$2641,PriceList!$M$4:$M$2641=A1036,""),1)</f>
        <v>O Ring - NBR 70</v>
      </c>
    </row>
    <row r="1037" spans="1:7" x14ac:dyDescent="0.45">
      <c r="A1037" t="s">
        <v>4998</v>
      </c>
      <c r="B1037">
        <f>COUNTIF(PriceList!$M$4:$M$2641,A1037)</f>
        <v>1</v>
      </c>
      <c r="C1037" t="str">
        <f>IF(B1037=1,"1:1","1:Many")</f>
        <v>1:1</v>
      </c>
      <c r="D1037" s="42" t="str" cm="1">
        <f t="array" ref="D1037">_xlfn.TEXTJOIN(" | ",TRUE,_xlfn._xlws.FILTER(PriceList!$B$4:$B$2641,PriceList!$M$4:$M$2641=A1037,""))</f>
        <v>ORV8 090-4</v>
      </c>
      <c r="E1037" t="str" cm="1">
        <f t="array" ref="E1037">_xlfn.TEXTJOIN(", ",TRUE,_xlfn._xlws.FILTER(ROW(PriceList!$B$4:$B$2641),PriceList!$M$4:$M$2641=A1037,""))</f>
        <v>1947</v>
      </c>
      <c r="F1037" s="42" t="str" cm="1">
        <f t="array" ref="F1037">_xlfn.TEXTJOIN(" | ",TRUE,_xlfn.UNIQUE(_xlfn._xlws.FILTER(PriceList!$Q$4:$Q$2641&amp;" x "&amp;PriceList!$R$4:$R$2641&amp;" x "&amp;PriceList!$S$4:$S$2641,PriceList!$M$4:$M$2641=A1037,"")))</f>
        <v>90 x 98 x 4</v>
      </c>
      <c r="G1037" t="str" cm="1">
        <f t="array" ref="G1037">INDEX(_xlfn._xlws.FILTER(PriceList!$P$4:$P$2641,PriceList!$M$4:$M$2641=A1037,""),1)</f>
        <v>O Ring - FPM/FKM/VitonÂ®</v>
      </c>
    </row>
    <row r="1038" spans="1:7" x14ac:dyDescent="0.45">
      <c r="A1038" t="s">
        <v>4162</v>
      </c>
      <c r="B1038">
        <f>COUNTIF(PriceList!$M$4:$M$2641,A1038)</f>
        <v>2</v>
      </c>
      <c r="C1038" t="str">
        <f>IF(B1038=1,"1:1","1:Many")</f>
        <v>1:Many</v>
      </c>
      <c r="D1038" s="42" t="str" cm="1">
        <f t="array" ref="D1038">_xlfn.TEXTJOIN(" | ",TRUE,_xlfn._xlws.FILTER(PriceList!$B$4:$B$2641,PriceList!$M$4:$M$2641=A1038,""))</f>
        <v>OR7N 090-5 | OR9N 090-5</v>
      </c>
      <c r="E1038" t="str" cm="1">
        <f t="array" ref="E1038">_xlfn.TEXTJOIN(", ",TRUE,_xlfn._xlws.FILTER(ROW(PriceList!$B$4:$B$2641),PriceList!$M$4:$M$2641=A1038,""))</f>
        <v>751, 1298</v>
      </c>
      <c r="F1038" s="42" t="str" cm="1">
        <f t="array" ref="F1038">_xlfn.TEXTJOIN(" | ",TRUE,_xlfn.UNIQUE(_xlfn._xlws.FILTER(PriceList!$Q$4:$Q$2641&amp;" x "&amp;PriceList!$R$4:$R$2641&amp;" x "&amp;PriceList!$S$4:$S$2641,PriceList!$M$4:$M$2641=A1038,"")))</f>
        <v>90 x 100 x 5</v>
      </c>
      <c r="G1038" t="str" cm="1">
        <f t="array" ref="G1038">INDEX(_xlfn._xlws.FILTER(PriceList!$P$4:$P$2641,PriceList!$M$4:$M$2641=A1038,""),1)</f>
        <v>O Ring - NBR 70</v>
      </c>
    </row>
    <row r="1039" spans="1:7" x14ac:dyDescent="0.45">
      <c r="A1039" t="s">
        <v>4999</v>
      </c>
      <c r="B1039">
        <f>COUNTIF(PriceList!$M$4:$M$2641,A1039)</f>
        <v>1</v>
      </c>
      <c r="C1039" t="str">
        <f>IF(B1039=1,"1:1","1:Many")</f>
        <v>1:1</v>
      </c>
      <c r="D1039" s="42" t="str" cm="1">
        <f t="array" ref="D1039">_xlfn.TEXTJOIN(" | ",TRUE,_xlfn._xlws.FILTER(PriceList!$B$4:$B$2641,PriceList!$M$4:$M$2641=A1039,""))</f>
        <v>ORV8 090-5</v>
      </c>
      <c r="E1039" t="str" cm="1">
        <f t="array" ref="E1039">_xlfn.TEXTJOIN(", ",TRUE,_xlfn._xlws.FILTER(ROW(PriceList!$B$4:$B$2641),PriceList!$M$4:$M$2641=A1039,""))</f>
        <v>1948</v>
      </c>
      <c r="F1039" s="42" t="str" cm="1">
        <f t="array" ref="F1039">_xlfn.TEXTJOIN(" | ",TRUE,_xlfn.UNIQUE(_xlfn._xlws.FILTER(PriceList!$Q$4:$Q$2641&amp;" x "&amp;PriceList!$R$4:$R$2641&amp;" x "&amp;PriceList!$S$4:$S$2641,PriceList!$M$4:$M$2641=A1039,"")))</f>
        <v>90 x 100 x 5</v>
      </c>
      <c r="G1039" t="str" cm="1">
        <f t="array" ref="G1039">INDEX(_xlfn._xlws.FILTER(PriceList!$P$4:$P$2641,PriceList!$M$4:$M$2641=A1039,""),1)</f>
        <v>O Ring - FPM/FKM/VitonÂ®</v>
      </c>
    </row>
    <row r="1040" spans="1:7" x14ac:dyDescent="0.45">
      <c r="A1040" t="s">
        <v>4165</v>
      </c>
      <c r="B1040">
        <f>COUNTIF(PriceList!$M$4:$M$2641,A1040)</f>
        <v>2</v>
      </c>
      <c r="C1040" t="str">
        <f>IF(B1040=1,"1:1","1:Many")</f>
        <v>1:Many</v>
      </c>
      <c r="D1040" s="42" t="str" cm="1">
        <f t="array" ref="D1040">_xlfn.TEXTJOIN(" | ",TRUE,_xlfn._xlws.FILTER(PriceList!$B$4:$B$2641,PriceList!$M$4:$M$2641=A1040,""))</f>
        <v>OR7N 092-4 | OR9N 092-4</v>
      </c>
      <c r="E1040" t="str" cm="1">
        <f t="array" ref="E1040">_xlfn.TEXTJOIN(", ",TRUE,_xlfn._xlws.FILTER(ROW(PriceList!$B$4:$B$2641),PriceList!$M$4:$M$2641=A1040,""))</f>
        <v>754, 1301</v>
      </c>
      <c r="F1040" s="42" t="str" cm="1">
        <f t="array" ref="F1040">_xlfn.TEXTJOIN(" | ",TRUE,_xlfn.UNIQUE(_xlfn._xlws.FILTER(PriceList!$Q$4:$Q$2641&amp;" x "&amp;PriceList!$R$4:$R$2641&amp;" x "&amp;PriceList!$S$4:$S$2641,PriceList!$M$4:$M$2641=A1040,"")))</f>
        <v>92 x 100 x 4</v>
      </c>
      <c r="G1040" t="str" cm="1">
        <f t="array" ref="G1040">INDEX(_xlfn._xlws.FILTER(PriceList!$P$4:$P$2641,PriceList!$M$4:$M$2641=A1040,""),1)</f>
        <v>O Ring - NBR 70</v>
      </c>
    </row>
    <row r="1041" spans="1:7" x14ac:dyDescent="0.45">
      <c r="A1041" t="s">
        <v>5002</v>
      </c>
      <c r="B1041">
        <f>COUNTIF(PriceList!$M$4:$M$2641,A1041)</f>
        <v>1</v>
      </c>
      <c r="C1041" t="str">
        <f>IF(B1041=1,"1:1","1:Many")</f>
        <v>1:1</v>
      </c>
      <c r="D1041" s="42" t="str" cm="1">
        <f t="array" ref="D1041">_xlfn.TEXTJOIN(" | ",TRUE,_xlfn._xlws.FILTER(PriceList!$B$4:$B$2641,PriceList!$M$4:$M$2641=A1041,""))</f>
        <v>ORV8 092-4</v>
      </c>
      <c r="E1041" t="str" cm="1">
        <f t="array" ref="E1041">_xlfn.TEXTJOIN(", ",TRUE,_xlfn._xlws.FILTER(ROW(PriceList!$B$4:$B$2641),PriceList!$M$4:$M$2641=A1041,""))</f>
        <v>1951</v>
      </c>
      <c r="F1041" s="42" t="str" cm="1">
        <f t="array" ref="F1041">_xlfn.TEXTJOIN(" | ",TRUE,_xlfn.UNIQUE(_xlfn._xlws.FILTER(PriceList!$Q$4:$Q$2641&amp;" x "&amp;PriceList!$R$4:$R$2641&amp;" x "&amp;PriceList!$S$4:$S$2641,PriceList!$M$4:$M$2641=A1041,"")))</f>
        <v>92 x 100 x 4</v>
      </c>
      <c r="G1041" t="str" cm="1">
        <f t="array" ref="G1041">INDEX(_xlfn._xlws.FILTER(PriceList!$P$4:$P$2641,PriceList!$M$4:$M$2641=A1041,""),1)</f>
        <v>O Ring - FPM/FKM/VitonÂ®</v>
      </c>
    </row>
    <row r="1042" spans="1:7" x14ac:dyDescent="0.45">
      <c r="A1042" t="s">
        <v>5009</v>
      </c>
      <c r="B1042">
        <f>COUNTIF(PriceList!$M$4:$M$2641,A1042)</f>
        <v>1</v>
      </c>
      <c r="C1042" t="str">
        <f>IF(B1042=1,"1:1","1:Many")</f>
        <v>1:1</v>
      </c>
      <c r="D1042" s="42" t="str" cm="1">
        <f t="array" ref="D1042">_xlfn.TEXTJOIN(" | ",TRUE,_xlfn._xlws.FILTER(PriceList!$B$4:$B$2641,PriceList!$M$4:$M$2641=A1042,""))</f>
        <v>ORV8 094-3.5</v>
      </c>
      <c r="E1042" t="str" cm="1">
        <f t="array" ref="E1042">_xlfn.TEXTJOIN(", ",TRUE,_xlfn._xlws.FILTER(ROW(PriceList!$B$4:$B$2641),PriceList!$M$4:$M$2641=A1042,""))</f>
        <v>1958</v>
      </c>
      <c r="F1042" s="42" t="str" cm="1">
        <f t="array" ref="F1042">_xlfn.TEXTJOIN(" | ",TRUE,_xlfn.UNIQUE(_xlfn._xlws.FILTER(PriceList!$Q$4:$Q$2641&amp;" x "&amp;PriceList!$R$4:$R$2641&amp;" x "&amp;PriceList!$S$4:$S$2641,PriceList!$M$4:$M$2641=A1042,"")))</f>
        <v>94 x 101 x 3.5</v>
      </c>
      <c r="G1042" t="str" cm="1">
        <f t="array" ref="G1042">INDEX(_xlfn._xlws.FILTER(PriceList!$P$4:$P$2641,PriceList!$M$4:$M$2641=A1042,""),1)</f>
        <v>O Ring - FPM/FKM/VitonÂ®</v>
      </c>
    </row>
    <row r="1043" spans="1:7" x14ac:dyDescent="0.45">
      <c r="A1043" t="s">
        <v>4166</v>
      </c>
      <c r="B1043">
        <f>COUNTIF(PriceList!$M$4:$M$2641,A1043)</f>
        <v>2</v>
      </c>
      <c r="C1043" t="str">
        <f>IF(B1043=1,"1:1","1:Many")</f>
        <v>1:Many</v>
      </c>
      <c r="D1043" s="42" t="str" cm="1">
        <f t="array" ref="D1043">_xlfn.TEXTJOIN(" | ",TRUE,_xlfn._xlws.FILTER(PriceList!$B$4:$B$2641,PriceList!$M$4:$M$2641=A1043,""))</f>
        <v>OR7N 094.2-5.7 | OR9N 094.2-5.7</v>
      </c>
      <c r="E1043" t="str" cm="1">
        <f t="array" ref="E1043">_xlfn.TEXTJOIN(", ",TRUE,_xlfn._xlws.FILTER(ROW(PriceList!$B$4:$B$2641),PriceList!$M$4:$M$2641=A1043,""))</f>
        <v>755, 1302</v>
      </c>
      <c r="F1043" s="42" t="str" cm="1">
        <f t="array" ref="F1043">_xlfn.TEXTJOIN(" | ",TRUE,_xlfn.UNIQUE(_xlfn._xlws.FILTER(PriceList!$Q$4:$Q$2641&amp;" x "&amp;PriceList!$R$4:$R$2641&amp;" x "&amp;PriceList!$S$4:$S$2641,PriceList!$M$4:$M$2641=A1043,"")))</f>
        <v>94.3 x 105.7 x 5.7</v>
      </c>
      <c r="G1043" t="str" cm="1">
        <f t="array" ref="G1043">INDEX(_xlfn._xlws.FILTER(PriceList!$P$4:$P$2641,PriceList!$M$4:$M$2641=A1043,""),1)</f>
        <v>O Ring - NBR 70</v>
      </c>
    </row>
    <row r="1044" spans="1:7" x14ac:dyDescent="0.45">
      <c r="A1044" t="s">
        <v>4167</v>
      </c>
      <c r="B1044">
        <f>COUNTIF(PriceList!$M$4:$M$2641,A1044)</f>
        <v>2</v>
      </c>
      <c r="C1044" t="str">
        <f>IF(B1044=1,"1:1","1:Many")</f>
        <v>1:Many</v>
      </c>
      <c r="D1044" s="42" t="str" cm="1">
        <f t="array" ref="D1044">_xlfn.TEXTJOIN(" | ",TRUE,_xlfn._xlws.FILTER(PriceList!$B$4:$B$2641,PriceList!$M$4:$M$2641=A1044,""))</f>
        <v>OR7N 094.4-3.1 | OR9N 094.4-3.1</v>
      </c>
      <c r="E1044" t="str" cm="1">
        <f t="array" ref="E1044">_xlfn.TEXTJOIN(", ",TRUE,_xlfn._xlws.FILTER(ROW(PriceList!$B$4:$B$2641),PriceList!$M$4:$M$2641=A1044,""))</f>
        <v>756, 1303</v>
      </c>
      <c r="F1044" s="42" t="str" cm="1">
        <f t="array" ref="F1044">_xlfn.TEXTJOIN(" | ",TRUE,_xlfn.UNIQUE(_xlfn._xlws.FILTER(PriceList!$Q$4:$Q$2641&amp;" x "&amp;PriceList!$R$4:$R$2641&amp;" x "&amp;PriceList!$S$4:$S$2641,PriceList!$M$4:$M$2641=A1044,"")))</f>
        <v>94.4 x 100.6 x 3.1</v>
      </c>
      <c r="G1044" t="str" cm="1">
        <f t="array" ref="G1044">INDEX(_xlfn._xlws.FILTER(PriceList!$P$4:$P$2641,PriceList!$M$4:$M$2641=A1044,""),1)</f>
        <v>O Ring - NBR 70</v>
      </c>
    </row>
    <row r="1045" spans="1:7" x14ac:dyDescent="0.45">
      <c r="A1045" t="s">
        <v>5005</v>
      </c>
      <c r="B1045">
        <f>COUNTIF(PriceList!$M$4:$M$2641,A1045)</f>
        <v>1</v>
      </c>
      <c r="C1045" t="str">
        <f>IF(B1045=1,"1:1","1:Many")</f>
        <v>1:1</v>
      </c>
      <c r="D1045" s="42" t="str" cm="1">
        <f t="array" ref="D1045">_xlfn.TEXTJOIN(" | ",TRUE,_xlfn._xlws.FILTER(PriceList!$B$4:$B$2641,PriceList!$M$4:$M$2641=A1045,""))</f>
        <v>ORV8 094.4-3.1</v>
      </c>
      <c r="E1045" t="str" cm="1">
        <f t="array" ref="E1045">_xlfn.TEXTJOIN(", ",TRUE,_xlfn._xlws.FILTER(ROW(PriceList!$B$4:$B$2641),PriceList!$M$4:$M$2641=A1045,""))</f>
        <v>1953</v>
      </c>
      <c r="F1045" s="42" t="str" cm="1">
        <f t="array" ref="F1045">_xlfn.TEXTJOIN(" | ",TRUE,_xlfn.UNIQUE(_xlfn._xlws.FILTER(PriceList!$Q$4:$Q$2641&amp;" x "&amp;PriceList!$R$4:$R$2641&amp;" x "&amp;PriceList!$S$4:$S$2641,PriceList!$M$4:$M$2641=A1045,"")))</f>
        <v>94.5 x 100.5 x 3</v>
      </c>
      <c r="G1045" t="str" cm="1">
        <f t="array" ref="G1045">INDEX(_xlfn._xlws.FILTER(PriceList!$P$4:$P$2641,PriceList!$M$4:$M$2641=A1045,""),1)</f>
        <v>O Ring - FPM/FKM/VitonÂ®</v>
      </c>
    </row>
    <row r="1046" spans="1:7" x14ac:dyDescent="0.45">
      <c r="A1046" t="s">
        <v>5007</v>
      </c>
      <c r="B1046">
        <f>COUNTIF(PriceList!$M$4:$M$2641,A1046)</f>
        <v>1</v>
      </c>
      <c r="C1046" t="str">
        <f>IF(B1046=1,"1:1","1:Many")</f>
        <v>1:1</v>
      </c>
      <c r="D1046" s="42" t="str" cm="1">
        <f t="array" ref="D1046">_xlfn.TEXTJOIN(" | ",TRUE,_xlfn._xlws.FILTER(PriceList!$B$4:$B$2641,PriceList!$M$4:$M$2641=A1046,""))</f>
        <v>ORV8 094.92-2.62</v>
      </c>
      <c r="E1046" t="str" cm="1">
        <f t="array" ref="E1046">_xlfn.TEXTJOIN(", ",TRUE,_xlfn._xlws.FILTER(ROW(PriceList!$B$4:$B$2641),PriceList!$M$4:$M$2641=A1046,""))</f>
        <v>1956</v>
      </c>
      <c r="F1046" s="42" t="str" cm="1">
        <f t="array" ref="F1046">_xlfn.TEXTJOIN(" | ",TRUE,_xlfn.UNIQUE(_xlfn._xlws.FILTER(PriceList!$Q$4:$Q$2641&amp;" x "&amp;PriceList!$R$4:$R$2641&amp;" x "&amp;PriceList!$S$4:$S$2641,PriceList!$M$4:$M$2641=A1046,"")))</f>
        <v>95 x 100 x 2.5</v>
      </c>
      <c r="G1046" t="str" cm="1">
        <f t="array" ref="G1046">INDEX(_xlfn._xlws.FILTER(PriceList!$P$4:$P$2641,PriceList!$M$4:$M$2641=A1046,""),1)</f>
        <v>O Ring - FPM/FKM/VitonÂ®</v>
      </c>
    </row>
    <row r="1047" spans="1:7" x14ac:dyDescent="0.45">
      <c r="A1047" t="s">
        <v>4170</v>
      </c>
      <c r="B1047">
        <f>COUNTIF(PriceList!$M$4:$M$2641,A1047)</f>
        <v>2</v>
      </c>
      <c r="C1047" t="str">
        <f>IF(B1047=1,"1:1","1:Many")</f>
        <v>1:Many</v>
      </c>
      <c r="D1047" s="42" t="str" cm="1">
        <f t="array" ref="D1047">_xlfn.TEXTJOIN(" | ",TRUE,_xlfn._xlws.FILTER(PriceList!$B$4:$B$2641,PriceList!$M$4:$M$2641=A1047,""))</f>
        <v>OR7N 094.84-3.53 | OR9N 094.84-3.53</v>
      </c>
      <c r="E1047" t="str" cm="1">
        <f t="array" ref="E1047">_xlfn.TEXTJOIN(", ",TRUE,_xlfn._xlws.FILTER(ROW(PriceList!$B$4:$B$2641),PriceList!$M$4:$M$2641=A1047,""))</f>
        <v>758, 1305</v>
      </c>
      <c r="F1047" s="42" t="str" cm="1">
        <f t="array" ref="F1047">_xlfn.TEXTJOIN(" | ",TRUE,_xlfn.UNIQUE(_xlfn._xlws.FILTER(PriceList!$Q$4:$Q$2641&amp;" x "&amp;PriceList!$R$4:$R$2641&amp;" x "&amp;PriceList!$S$4:$S$2641,PriceList!$M$4:$M$2641=A1047,"")))</f>
        <v>95 x 102 x 3.5</v>
      </c>
      <c r="G1047" t="str" cm="1">
        <f t="array" ref="G1047">INDEX(_xlfn._xlws.FILTER(PriceList!$P$4:$P$2641,PriceList!$M$4:$M$2641=A1047,""),1)</f>
        <v>O Ring - NBR 70</v>
      </c>
    </row>
    <row r="1048" spans="1:7" x14ac:dyDescent="0.45">
      <c r="A1048" t="s">
        <v>4517</v>
      </c>
      <c r="B1048">
        <f>COUNTIF(PriceList!$M$4:$M$2641,A1048)</f>
        <v>1</v>
      </c>
      <c r="C1048" t="str">
        <f>IF(B1048=1,"1:1","1:Many")</f>
        <v>1:1</v>
      </c>
      <c r="D1048" s="42" t="str" cm="1">
        <f t="array" ref="D1048">_xlfn.TEXTJOIN(" | ",TRUE,_xlfn._xlws.FILTER(PriceList!$B$4:$B$2641,PriceList!$M$4:$M$2641=A1048,""))</f>
        <v>OR9N 095.4-4</v>
      </c>
      <c r="E1048" t="str" cm="1">
        <f t="array" ref="E1048">_xlfn.TEXTJOIN(", ",TRUE,_xlfn._xlws.FILTER(ROW(PriceList!$B$4:$B$2641),PriceList!$M$4:$M$2641=A1048,""))</f>
        <v>1308</v>
      </c>
      <c r="F1048" s="42" t="str" cm="1">
        <f t="array" ref="F1048">_xlfn.TEXTJOIN(" | ",TRUE,_xlfn.UNIQUE(_xlfn._xlws.FILTER(PriceList!$Q$4:$Q$2641&amp;" x "&amp;PriceList!$R$4:$R$2641&amp;" x "&amp;PriceList!$S$4:$S$2641,PriceList!$M$4:$M$2641=A1048,"")))</f>
        <v>95 x 103 x 4</v>
      </c>
      <c r="G1048" t="str" cm="1">
        <f t="array" ref="G1048">INDEX(_xlfn._xlws.FILTER(PriceList!$P$4:$P$2641,PriceList!$M$4:$M$2641=A1048,""),1)</f>
        <v>O Ring - NBR 70</v>
      </c>
    </row>
    <row r="1049" spans="1:7" x14ac:dyDescent="0.45">
      <c r="A1049" t="s">
        <v>4176</v>
      </c>
      <c r="B1049">
        <f>COUNTIF(PriceList!$M$4:$M$2641,A1049)</f>
        <v>2</v>
      </c>
      <c r="C1049" t="str">
        <f>IF(B1049=1,"1:1","1:Many")</f>
        <v>1:Many</v>
      </c>
      <c r="D1049" s="42" t="str" cm="1">
        <f t="array" ref="D1049">_xlfn.TEXTJOIN(" | ",TRUE,_xlfn._xlws.FILTER(PriceList!$B$4:$B$2641,PriceList!$M$4:$M$2641=A1049,""))</f>
        <v>OR7N 098.02-3.53 | OR9N 098.02-3.53</v>
      </c>
      <c r="E1049" t="str" cm="1">
        <f t="array" ref="E1049">_xlfn.TEXTJOIN(", ",TRUE,_xlfn._xlws.FILTER(ROW(PriceList!$B$4:$B$2641),PriceList!$M$4:$M$2641=A1049,""))</f>
        <v>762, 1310</v>
      </c>
      <c r="F1049" s="42" t="str" cm="1">
        <f t="array" ref="F1049">_xlfn.TEXTJOIN(" | ",TRUE,_xlfn.UNIQUE(_xlfn._xlws.FILTER(PriceList!$Q$4:$Q$2641&amp;" x "&amp;PriceList!$R$4:$R$2641&amp;" x "&amp;PriceList!$S$4:$S$2641,PriceList!$M$4:$M$2641=A1049,"")))</f>
        <v>98 x 105 x 3.5</v>
      </c>
      <c r="G1049" t="str" cm="1">
        <f t="array" ref="G1049">INDEX(_xlfn._xlws.FILTER(PriceList!$P$4:$P$2641,PriceList!$M$4:$M$2641=A1049,""),1)</f>
        <v>O Ring - NBR 70</v>
      </c>
    </row>
    <row r="1050" spans="1:7" x14ac:dyDescent="0.45">
      <c r="A1050" t="s">
        <v>4178</v>
      </c>
      <c r="B1050">
        <f>COUNTIF(PriceList!$M$4:$M$2641,A1050)</f>
        <v>2</v>
      </c>
      <c r="C1050" t="str">
        <f>IF(B1050=1,"1:1","1:Many")</f>
        <v>1:Many</v>
      </c>
      <c r="D1050" s="42" t="str" cm="1">
        <f t="array" ref="D1050">_xlfn.TEXTJOIN(" | ",TRUE,_xlfn._xlws.FILTER(PriceList!$B$4:$B$2641,PriceList!$M$4:$M$2641=A1050,""))</f>
        <v>OR7N 099.2-5.7 | OR9N 099.2-5.7</v>
      </c>
      <c r="E1050" t="str" cm="1">
        <f t="array" ref="E1050">_xlfn.TEXTJOIN(", ",TRUE,_xlfn._xlws.FILTER(ROW(PriceList!$B$4:$B$2641),PriceList!$M$4:$M$2641=A1050,""))</f>
        <v>763, 1311</v>
      </c>
      <c r="F1050" s="42" t="str" cm="1">
        <f t="array" ref="F1050">_xlfn.TEXTJOIN(" | ",TRUE,_xlfn.UNIQUE(_xlfn._xlws.FILTER(PriceList!$Q$4:$Q$2641&amp;" x "&amp;PriceList!$R$4:$R$2641&amp;" x "&amp;PriceList!$S$4:$S$2641,PriceList!$M$4:$M$2641=A1050,"")))</f>
        <v>99.3 x 110.7 x 5.7</v>
      </c>
      <c r="G1050" t="str" cm="1">
        <f t="array" ref="G1050">INDEX(_xlfn._xlws.FILTER(PriceList!$P$4:$P$2641,PriceList!$M$4:$M$2641=A1050,""),1)</f>
        <v>O Ring - NBR 70</v>
      </c>
    </row>
    <row r="1051" spans="1:7" x14ac:dyDescent="0.45">
      <c r="A1051" t="s">
        <v>5013</v>
      </c>
      <c r="B1051">
        <f>COUNTIF(PriceList!$M$4:$M$2641,A1051)</f>
        <v>1</v>
      </c>
      <c r="C1051" t="str">
        <f>IF(B1051=1,"1:1","1:Many")</f>
        <v>1:1</v>
      </c>
      <c r="D1051" s="42" t="str" cm="1">
        <f t="array" ref="D1051">_xlfn.TEXTJOIN(" | ",TRUE,_xlfn._xlws.FILTER(PriceList!$B$4:$B$2641,PriceList!$M$4:$M$2641=A1051,""))</f>
        <v>ORV8 099.2-5.7</v>
      </c>
      <c r="E1051" t="str" cm="1">
        <f t="array" ref="E1051">_xlfn.TEXTJOIN(", ",TRUE,_xlfn._xlws.FILTER(ROW(PriceList!$B$4:$B$2641),PriceList!$M$4:$M$2641=A1051,""))</f>
        <v>1962</v>
      </c>
      <c r="F1051" s="42" t="str" cm="1">
        <f t="array" ref="F1051">_xlfn.TEXTJOIN(" | ",TRUE,_xlfn.UNIQUE(_xlfn._xlws.FILTER(PriceList!$Q$4:$Q$2641&amp;" x "&amp;PriceList!$R$4:$R$2641&amp;" x "&amp;PriceList!$S$4:$S$2641,PriceList!$M$4:$M$2641=A1051,"")))</f>
        <v>99.3 x 110.7 x 5.7</v>
      </c>
      <c r="G1051" t="str" cm="1">
        <f t="array" ref="G1051">INDEX(_xlfn._xlws.FILTER(PriceList!$P$4:$P$2641,PriceList!$M$4:$M$2641=A1051,""),1)</f>
        <v>O Ring - FPM/FKM/VitonÂ®</v>
      </c>
    </row>
    <row r="1052" spans="1:7" x14ac:dyDescent="0.45">
      <c r="A1052" t="s">
        <v>4179</v>
      </c>
      <c r="B1052">
        <f>COUNTIF(PriceList!$M$4:$M$2641,A1052)</f>
        <v>2</v>
      </c>
      <c r="C1052" t="str">
        <f>IF(B1052=1,"1:1","1:Many")</f>
        <v>1:Many</v>
      </c>
      <c r="D1052" s="42" t="str" cm="1">
        <f t="array" ref="D1052">_xlfn.TEXTJOIN(" | ",TRUE,_xlfn._xlws.FILTER(PriceList!$B$4:$B$2641,PriceList!$M$4:$M$2641=A1052,""))</f>
        <v>OR7N 099.4-3.1 | OR9N 099.4-3.1</v>
      </c>
      <c r="E1052" t="str" cm="1">
        <f t="array" ref="E1052">_xlfn.TEXTJOIN(", ",TRUE,_xlfn._xlws.FILTER(ROW(PriceList!$B$4:$B$2641),PriceList!$M$4:$M$2641=A1052,""))</f>
        <v>764, 1312</v>
      </c>
      <c r="F1052" s="42" t="str" cm="1">
        <f t="array" ref="F1052">_xlfn.TEXTJOIN(" | ",TRUE,_xlfn.UNIQUE(_xlfn._xlws.FILTER(PriceList!$Q$4:$Q$2641&amp;" x "&amp;PriceList!$R$4:$R$2641&amp;" x "&amp;PriceList!$S$4:$S$2641,PriceList!$M$4:$M$2641=A1052,"")))</f>
        <v>99.4 x 105.6 x 3.1</v>
      </c>
      <c r="G1052" t="str" cm="1">
        <f t="array" ref="G1052">INDEX(_xlfn._xlws.FILTER(PriceList!$P$4:$P$2641,PriceList!$M$4:$M$2641=A1052,""),1)</f>
        <v>O Ring - NBR 70</v>
      </c>
    </row>
    <row r="1053" spans="1:7" x14ac:dyDescent="0.45">
      <c r="A1053" t="s">
        <v>5014</v>
      </c>
      <c r="B1053">
        <f>COUNTIF(PriceList!$M$4:$M$2641,A1053)</f>
        <v>1</v>
      </c>
      <c r="C1053" t="str">
        <f>IF(B1053=1,"1:1","1:Many")</f>
        <v>1:1</v>
      </c>
      <c r="D1053" s="42" t="str" cm="1">
        <f t="array" ref="D1053">_xlfn.TEXTJOIN(" | ",TRUE,_xlfn._xlws.FILTER(PriceList!$B$4:$B$2641,PriceList!$M$4:$M$2641=A1053,""))</f>
        <v>ORV8 099.4-3.1</v>
      </c>
      <c r="E1053" t="str" cm="1">
        <f t="array" ref="E1053">_xlfn.TEXTJOIN(", ",TRUE,_xlfn._xlws.FILTER(ROW(PriceList!$B$4:$B$2641),PriceList!$M$4:$M$2641=A1053,""))</f>
        <v>1963</v>
      </c>
      <c r="F1053" s="42" t="str" cm="1">
        <f t="array" ref="F1053">_xlfn.TEXTJOIN(" | ",TRUE,_xlfn.UNIQUE(_xlfn._xlws.FILTER(PriceList!$Q$4:$Q$2641&amp;" x "&amp;PriceList!$R$4:$R$2641&amp;" x "&amp;PriceList!$S$4:$S$2641,PriceList!$M$4:$M$2641=A1053,"")))</f>
        <v>99.5 x 105.5 x 3</v>
      </c>
      <c r="G1053" t="str" cm="1">
        <f t="array" ref="G1053">INDEX(_xlfn._xlws.FILTER(PriceList!$P$4:$P$2641,PriceList!$M$4:$M$2641=A1053,""),1)</f>
        <v>O Ring - FPM/FKM/VitonÂ®</v>
      </c>
    </row>
    <row r="1054" spans="1:7" x14ac:dyDescent="0.45">
      <c r="A1054" t="s">
        <v>4518</v>
      </c>
      <c r="B1054">
        <f>COUNTIF(PriceList!$M$4:$M$2641,A1054)</f>
        <v>1</v>
      </c>
      <c r="C1054" t="str">
        <f>IF(B1054=1,"1:1","1:Many")</f>
        <v>1:1</v>
      </c>
      <c r="D1054" s="42" t="str" cm="1">
        <f t="array" ref="D1054">_xlfn.TEXTJOIN(" | ",TRUE,_xlfn._xlws.FILTER(PriceList!$B$4:$B$2641,PriceList!$M$4:$M$2641=A1054,""))</f>
        <v>OR9N 100-2</v>
      </c>
      <c r="E1054" t="str" cm="1">
        <f t="array" ref="E1054">_xlfn.TEXTJOIN(", ",TRUE,_xlfn._xlws.FILTER(ROW(PriceList!$B$4:$B$2641),PriceList!$M$4:$M$2641=A1054,""))</f>
        <v>1314</v>
      </c>
      <c r="F1054" s="42" t="str" cm="1">
        <f t="array" ref="F1054">_xlfn.TEXTJOIN(" | ",TRUE,_xlfn.UNIQUE(_xlfn._xlws.FILTER(PriceList!$Q$4:$Q$2641&amp;" x "&amp;PriceList!$R$4:$R$2641&amp;" x "&amp;PriceList!$S$4:$S$2641,PriceList!$M$4:$M$2641=A1054,"")))</f>
        <v>100 x 104 x 2</v>
      </c>
      <c r="G1054" t="str" cm="1">
        <f t="array" ref="G1054">INDEX(_xlfn._xlws.FILTER(PriceList!$P$4:$P$2641,PriceList!$M$4:$M$2641=A1054,""),1)</f>
        <v>O Ring - NBR 70</v>
      </c>
    </row>
    <row r="1055" spans="1:7" x14ac:dyDescent="0.45">
      <c r="A1055" t="s">
        <v>4181</v>
      </c>
      <c r="B1055">
        <f>COUNTIF(PriceList!$M$4:$M$2641,A1055)</f>
        <v>2</v>
      </c>
      <c r="C1055" t="str">
        <f>IF(B1055=1,"1:1","1:Many")</f>
        <v>1:Many</v>
      </c>
      <c r="D1055" s="42" t="str" cm="1">
        <f t="array" ref="D1055">_xlfn.TEXTJOIN(" | ",TRUE,_xlfn._xlws.FILTER(PriceList!$B$4:$B$2641,PriceList!$M$4:$M$2641=A1055,""))</f>
        <v>OR7N 100-4 | OR9N 100-4</v>
      </c>
      <c r="E1055" t="str" cm="1">
        <f t="array" ref="E1055">_xlfn.TEXTJOIN(", ",TRUE,_xlfn._xlws.FILTER(ROW(PriceList!$B$4:$B$2641),PriceList!$M$4:$M$2641=A1055,""))</f>
        <v>766, 1315</v>
      </c>
      <c r="F1055" s="42" t="str" cm="1">
        <f t="array" ref="F1055">_xlfn.TEXTJOIN(" | ",TRUE,_xlfn.UNIQUE(_xlfn._xlws.FILTER(PriceList!$Q$4:$Q$2641&amp;" x "&amp;PriceList!$R$4:$R$2641&amp;" x "&amp;PriceList!$S$4:$S$2641,PriceList!$M$4:$M$2641=A1055,"")))</f>
        <v>100 x 108 x 4</v>
      </c>
      <c r="G1055" t="str" cm="1">
        <f t="array" ref="G1055">INDEX(_xlfn._xlws.FILTER(PriceList!$P$4:$P$2641,PriceList!$M$4:$M$2641=A1055,""),1)</f>
        <v>O Ring - NBR 70</v>
      </c>
    </row>
    <row r="1056" spans="1:7" x14ac:dyDescent="0.45">
      <c r="A1056" t="s">
        <v>5016</v>
      </c>
      <c r="B1056">
        <f>COUNTIF(PriceList!$M$4:$M$2641,A1056)</f>
        <v>1</v>
      </c>
      <c r="C1056" t="str">
        <f>IF(B1056=1,"1:1","1:Many")</f>
        <v>1:1</v>
      </c>
      <c r="D1056" s="42" t="str" cm="1">
        <f t="array" ref="D1056">_xlfn.TEXTJOIN(" | ",TRUE,_xlfn._xlws.FILTER(PriceList!$B$4:$B$2641,PriceList!$M$4:$M$2641=A1056,""))</f>
        <v>ORV8 100-4</v>
      </c>
      <c r="E1056" t="str" cm="1">
        <f t="array" ref="E1056">_xlfn.TEXTJOIN(", ",TRUE,_xlfn._xlws.FILTER(ROW(PriceList!$B$4:$B$2641),PriceList!$M$4:$M$2641=A1056,""))</f>
        <v>1965</v>
      </c>
      <c r="F1056" s="42" t="str" cm="1">
        <f t="array" ref="F1056">_xlfn.TEXTJOIN(" | ",TRUE,_xlfn.UNIQUE(_xlfn._xlws.FILTER(PriceList!$Q$4:$Q$2641&amp;" x "&amp;PriceList!$R$4:$R$2641&amp;" x "&amp;PriceList!$S$4:$S$2641,PriceList!$M$4:$M$2641=A1056,"")))</f>
        <v>100 x 108 x 4</v>
      </c>
      <c r="G1056" t="str" cm="1">
        <f t="array" ref="G1056">INDEX(_xlfn._xlws.FILTER(PriceList!$P$4:$P$2641,PriceList!$M$4:$M$2641=A1056,""),1)</f>
        <v>O Ring - FPM/FKM/VitonÂ®</v>
      </c>
    </row>
    <row r="1057" spans="1:7" x14ac:dyDescent="0.45">
      <c r="A1057" t="s">
        <v>4182</v>
      </c>
      <c r="B1057">
        <f>COUNTIF(PriceList!$M$4:$M$2641,A1057)</f>
        <v>2</v>
      </c>
      <c r="C1057" t="str">
        <f>IF(B1057=1,"1:1","1:Many")</f>
        <v>1:Many</v>
      </c>
      <c r="D1057" s="42" t="str" cm="1">
        <f t="array" ref="D1057">_xlfn.TEXTJOIN(" | ",TRUE,_xlfn._xlws.FILTER(PriceList!$B$4:$B$2641,PriceList!$M$4:$M$2641=A1057,""))</f>
        <v>OR7N 100-5 | OR9N 100-5</v>
      </c>
      <c r="E1057" t="str" cm="1">
        <f t="array" ref="E1057">_xlfn.TEXTJOIN(", ",TRUE,_xlfn._xlws.FILTER(ROW(PriceList!$B$4:$B$2641),PriceList!$M$4:$M$2641=A1057,""))</f>
        <v>767, 1316</v>
      </c>
      <c r="F1057" s="42" t="str" cm="1">
        <f t="array" ref="F1057">_xlfn.TEXTJOIN(" | ",TRUE,_xlfn.UNIQUE(_xlfn._xlws.FILTER(PriceList!$Q$4:$Q$2641&amp;" x "&amp;PriceList!$R$4:$R$2641&amp;" x "&amp;PriceList!$S$4:$S$2641,PriceList!$M$4:$M$2641=A1057,"")))</f>
        <v>100 x 110 x 5</v>
      </c>
      <c r="G1057" t="str" cm="1">
        <f t="array" ref="G1057">INDEX(_xlfn._xlws.FILTER(PriceList!$P$4:$P$2641,PriceList!$M$4:$M$2641=A1057,""),1)</f>
        <v>O Ring - NBR 70</v>
      </c>
    </row>
    <row r="1058" spans="1:7" x14ac:dyDescent="0.45">
      <c r="A1058" t="s">
        <v>5017</v>
      </c>
      <c r="B1058">
        <f>COUNTIF(PriceList!$M$4:$M$2641,A1058)</f>
        <v>1</v>
      </c>
      <c r="C1058" t="str">
        <f>IF(B1058=1,"1:1","1:Many")</f>
        <v>1:1</v>
      </c>
      <c r="D1058" s="42" t="str" cm="1">
        <f t="array" ref="D1058">_xlfn.TEXTJOIN(" | ",TRUE,_xlfn._xlws.FILTER(PriceList!$B$4:$B$2641,PriceList!$M$4:$M$2641=A1058,""))</f>
        <v>ORV8 100-5</v>
      </c>
      <c r="E1058" t="str" cm="1">
        <f t="array" ref="E1058">_xlfn.TEXTJOIN(", ",TRUE,_xlfn._xlws.FILTER(ROW(PriceList!$B$4:$B$2641),PriceList!$M$4:$M$2641=A1058,""))</f>
        <v>1966</v>
      </c>
      <c r="F1058" s="42" t="str" cm="1">
        <f t="array" ref="F1058">_xlfn.TEXTJOIN(" | ",TRUE,_xlfn.UNIQUE(_xlfn._xlws.FILTER(PriceList!$Q$4:$Q$2641&amp;" x "&amp;PriceList!$R$4:$R$2641&amp;" x "&amp;PriceList!$S$4:$S$2641,PriceList!$M$4:$M$2641=A1058,"")))</f>
        <v>100 x 110 x 5</v>
      </c>
      <c r="G1058" t="str" cm="1">
        <f t="array" ref="G1058">INDEX(_xlfn._xlws.FILTER(PriceList!$P$4:$P$2641,PriceList!$M$4:$M$2641=A1058,""),1)</f>
        <v>O Ring - FPM/FKM/VitonÂ®</v>
      </c>
    </row>
    <row r="1059" spans="1:7" x14ac:dyDescent="0.45">
      <c r="A1059" t="s">
        <v>5021</v>
      </c>
      <c r="B1059">
        <f>COUNTIF(PriceList!$M$4:$M$2641,A1059)</f>
        <v>1</v>
      </c>
      <c r="C1059" t="str">
        <f>IF(B1059=1,"1:1","1:Many")</f>
        <v>1:1</v>
      </c>
      <c r="D1059" s="42" t="str" cm="1">
        <f t="array" ref="D1059">_xlfn.TEXTJOIN(" | ",TRUE,_xlfn._xlws.FILTER(PriceList!$B$4:$B$2641,PriceList!$M$4:$M$2641=A1059,""))</f>
        <v>ORV8 101-6.99</v>
      </c>
      <c r="E1059" t="str" cm="1">
        <f t="array" ref="E1059">_xlfn.TEXTJOIN(", ",TRUE,_xlfn._xlws.FILTER(ROW(PriceList!$B$4:$B$2641),PriceList!$M$4:$M$2641=A1059,""))</f>
        <v>1970</v>
      </c>
      <c r="F1059" s="42" t="str" cm="1">
        <f t="array" ref="F1059">_xlfn.TEXTJOIN(" | ",TRUE,_xlfn.UNIQUE(_xlfn._xlws.FILTER(PriceList!$Q$4:$Q$2641&amp;" x "&amp;PriceList!$R$4:$R$2641&amp;" x "&amp;PriceList!$S$4:$S$2641,PriceList!$M$4:$M$2641=A1059,"")))</f>
        <v>101 x 115 x 7</v>
      </c>
      <c r="G1059" t="str" cm="1">
        <f t="array" ref="G1059">INDEX(_xlfn._xlws.FILTER(PriceList!$P$4:$P$2641,PriceList!$M$4:$M$2641=A1059,""),1)</f>
        <v>O Ring - FPM/FKM/VitonÂ®</v>
      </c>
    </row>
    <row r="1060" spans="1:7" x14ac:dyDescent="0.45">
      <c r="A1060" t="s">
        <v>4519</v>
      </c>
      <c r="B1060">
        <f>COUNTIF(PriceList!$M$4:$M$2641,A1060)</f>
        <v>1</v>
      </c>
      <c r="C1060" t="str">
        <f>IF(B1060=1,"1:1","1:Many")</f>
        <v>1:1</v>
      </c>
      <c r="D1060" s="42" t="str" cm="1">
        <f t="array" ref="D1060">_xlfn.TEXTJOIN(" | ",TRUE,_xlfn._xlws.FILTER(PriceList!$B$4:$B$2641,PriceList!$M$4:$M$2641=A1060,""))</f>
        <v>OR9N 101.2-5.7</v>
      </c>
      <c r="E1060" t="str" cm="1">
        <f t="array" ref="E1060">_xlfn.TEXTJOIN(", ",TRUE,_xlfn._xlws.FILTER(ROW(PriceList!$B$4:$B$2641),PriceList!$M$4:$M$2641=A1060,""))</f>
        <v>1319</v>
      </c>
      <c r="F1060" s="42" t="str" cm="1">
        <f t="array" ref="F1060">_xlfn.TEXTJOIN(" | ",TRUE,_xlfn.UNIQUE(_xlfn._xlws.FILTER(PriceList!$Q$4:$Q$2641&amp;" x "&amp;PriceList!$R$4:$R$2641&amp;" x "&amp;PriceList!$S$4:$S$2641,PriceList!$M$4:$M$2641=A1060,"")))</f>
        <v>101.6 x 113 x 5.7</v>
      </c>
      <c r="G1060" t="str" cm="1">
        <f t="array" ref="G1060">INDEX(_xlfn._xlws.FILTER(PriceList!$P$4:$P$2641,PriceList!$M$4:$M$2641=A1060,""),1)</f>
        <v>O Ring - NBR 70</v>
      </c>
    </row>
    <row r="1061" spans="1:7" x14ac:dyDescent="0.45">
      <c r="A1061" t="s">
        <v>4521</v>
      </c>
      <c r="B1061">
        <f>COUNTIF(PriceList!$M$4:$M$2641,A1061)</f>
        <v>1</v>
      </c>
      <c r="C1061" t="str">
        <f>IF(B1061=1,"1:1","1:Many")</f>
        <v>1:1</v>
      </c>
      <c r="D1061" s="42" t="str" cm="1">
        <f t="array" ref="D1061">_xlfn.TEXTJOIN(" | ",TRUE,_xlfn._xlws.FILTER(PriceList!$B$4:$B$2641,PriceList!$M$4:$M$2641=A1061,""))</f>
        <v>OR9N 102-4</v>
      </c>
      <c r="E1061" t="str" cm="1">
        <f t="array" ref="E1061">_xlfn.TEXTJOIN(", ",TRUE,_xlfn._xlws.FILTER(ROW(PriceList!$B$4:$B$2641),PriceList!$M$4:$M$2641=A1061,""))</f>
        <v>1321</v>
      </c>
      <c r="F1061" s="42" t="str" cm="1">
        <f t="array" ref="F1061">_xlfn.TEXTJOIN(" | ",TRUE,_xlfn.UNIQUE(_xlfn._xlws.FILTER(PriceList!$Q$4:$Q$2641&amp;" x "&amp;PriceList!$R$4:$R$2641&amp;" x "&amp;PriceList!$S$4:$S$2641,PriceList!$M$4:$M$2641=A1061,"")))</f>
        <v>102 x 110 x 4</v>
      </c>
      <c r="G1061" t="str" cm="1">
        <f t="array" ref="G1061">INDEX(_xlfn._xlws.FILTER(PriceList!$P$4:$P$2641,PriceList!$M$4:$M$2641=A1061,""),1)</f>
        <v>O Ring - NBR 70</v>
      </c>
    </row>
    <row r="1062" spans="1:7" x14ac:dyDescent="0.45">
      <c r="A1062" t="s">
        <v>5023</v>
      </c>
      <c r="B1062">
        <f>COUNTIF(PriceList!$M$4:$M$2641,A1062)</f>
        <v>1</v>
      </c>
      <c r="C1062" t="str">
        <f>IF(B1062=1,"1:1","1:Many")</f>
        <v>1:1</v>
      </c>
      <c r="D1062" s="42" t="str" cm="1">
        <f t="array" ref="D1062">_xlfn.TEXTJOIN(" | ",TRUE,_xlfn._xlws.FILTER(PriceList!$B$4:$B$2641,PriceList!$M$4:$M$2641=A1062,""))</f>
        <v>ORV8 102-4</v>
      </c>
      <c r="E1062" t="str" cm="1">
        <f t="array" ref="E1062">_xlfn.TEXTJOIN(", ",TRUE,_xlfn._xlws.FILTER(ROW(PriceList!$B$4:$B$2641),PriceList!$M$4:$M$2641=A1062,""))</f>
        <v>1971</v>
      </c>
      <c r="F1062" s="42" t="str" cm="1">
        <f t="array" ref="F1062">_xlfn.TEXTJOIN(" | ",TRUE,_xlfn.UNIQUE(_xlfn._xlws.FILTER(PriceList!$Q$4:$Q$2641&amp;" x "&amp;PriceList!$R$4:$R$2641&amp;" x "&amp;PriceList!$S$4:$S$2641,PriceList!$M$4:$M$2641=A1062,"")))</f>
        <v>103 x 109 x 3</v>
      </c>
      <c r="G1062" t="str" cm="1">
        <f t="array" ref="G1062">INDEX(_xlfn._xlws.FILTER(PriceList!$P$4:$P$2641,PriceList!$M$4:$M$2641=A1062,""),1)</f>
        <v>O Ring - FPM/FKM/VitonÂ®</v>
      </c>
    </row>
    <row r="1063" spans="1:7" x14ac:dyDescent="0.45">
      <c r="A1063" t="s">
        <v>4186</v>
      </c>
      <c r="B1063">
        <f>COUNTIF(PriceList!$M$4:$M$2641,A1063)</f>
        <v>2</v>
      </c>
      <c r="C1063" t="str">
        <f>IF(B1063=1,"1:1","1:Many")</f>
        <v>1:Many</v>
      </c>
      <c r="D1063" s="42" t="str" cm="1">
        <f t="array" ref="D1063">_xlfn.TEXTJOIN(" | ",TRUE,_xlfn._xlws.FILTER(PriceList!$B$4:$B$2641,PriceList!$M$4:$M$2641=A1063,""))</f>
        <v>OR7N 104.2-5.7 | OR9N 104.2-5.7</v>
      </c>
      <c r="E1063" t="str" cm="1">
        <f t="array" ref="E1063">_xlfn.TEXTJOIN(", ",TRUE,_xlfn._xlws.FILTER(ROW(PriceList!$B$4:$B$2641),PriceList!$M$4:$M$2641=A1063,""))</f>
        <v>771, 1323</v>
      </c>
      <c r="F1063" s="42" t="str" cm="1">
        <f t="array" ref="F1063">_xlfn.TEXTJOIN(" | ",TRUE,_xlfn.UNIQUE(_xlfn._xlws.FILTER(PriceList!$Q$4:$Q$2641&amp;" x "&amp;PriceList!$R$4:$R$2641&amp;" x "&amp;PriceList!$S$4:$S$2641,PriceList!$M$4:$M$2641=A1063,"")))</f>
        <v>104.3 x 115.7 x 5.7</v>
      </c>
      <c r="G1063" t="str" cm="1">
        <f t="array" ref="G1063">INDEX(_xlfn._xlws.FILTER(PriceList!$P$4:$P$2641,PriceList!$M$4:$M$2641=A1063,""),1)</f>
        <v>O Ring - NBR 70</v>
      </c>
    </row>
    <row r="1064" spans="1:7" x14ac:dyDescent="0.45">
      <c r="A1064" t="s">
        <v>5027</v>
      </c>
      <c r="B1064">
        <f>COUNTIF(PriceList!$M$4:$M$2641,A1064)</f>
        <v>1</v>
      </c>
      <c r="C1064" t="str">
        <f>IF(B1064=1,"1:1","1:Many")</f>
        <v>1:1</v>
      </c>
      <c r="D1064" s="42" t="str" cm="1">
        <f t="array" ref="D1064">_xlfn.TEXTJOIN(" | ",TRUE,_xlfn._xlws.FILTER(PriceList!$B$4:$B$2641,PriceList!$M$4:$M$2641=A1064,""))</f>
        <v>ORV8 104.2-5.7</v>
      </c>
      <c r="E1064" t="str" cm="1">
        <f t="array" ref="E1064">_xlfn.TEXTJOIN(", ",TRUE,_xlfn._xlws.FILTER(ROW(PriceList!$B$4:$B$2641),PriceList!$M$4:$M$2641=A1064,""))</f>
        <v>1974</v>
      </c>
      <c r="F1064" s="42" t="str" cm="1">
        <f t="array" ref="F1064">_xlfn.TEXTJOIN(" | ",TRUE,_xlfn.UNIQUE(_xlfn._xlws.FILTER(PriceList!$Q$4:$Q$2641&amp;" x "&amp;PriceList!$R$4:$R$2641&amp;" x "&amp;PriceList!$S$4:$S$2641,PriceList!$M$4:$M$2641=A1064,"")))</f>
        <v>104.3 x 115.7 x 5.7</v>
      </c>
      <c r="G1064" t="str" cm="1">
        <f t="array" ref="G1064">INDEX(_xlfn._xlws.FILTER(PriceList!$P$4:$P$2641,PriceList!$M$4:$M$2641=A1064,""),1)</f>
        <v>O Ring - FPM/FKM/VitonÂ®</v>
      </c>
    </row>
    <row r="1065" spans="1:7" x14ac:dyDescent="0.45">
      <c r="A1065" t="s">
        <v>4187</v>
      </c>
      <c r="B1065">
        <f>COUNTIF(PriceList!$M$4:$M$2641,A1065)</f>
        <v>2</v>
      </c>
      <c r="C1065" t="str">
        <f>IF(B1065=1,"1:1","1:Many")</f>
        <v>1:Many</v>
      </c>
      <c r="D1065" s="42" t="str" cm="1">
        <f t="array" ref="D1065">_xlfn.TEXTJOIN(" | ",TRUE,_xlfn._xlws.FILTER(PriceList!$B$4:$B$2641,PriceList!$M$4:$M$2641=A1065,""))</f>
        <v>OR7N 104.4-3.1 | OR9N 104.4-3.1</v>
      </c>
      <c r="E1065" t="str" cm="1">
        <f t="array" ref="E1065">_xlfn.TEXTJOIN(", ",TRUE,_xlfn._xlws.FILTER(ROW(PriceList!$B$4:$B$2641),PriceList!$M$4:$M$2641=A1065,""))</f>
        <v>772, 1325</v>
      </c>
      <c r="F1065" s="42" t="str" cm="1">
        <f t="array" ref="F1065">_xlfn.TEXTJOIN(" | ",TRUE,_xlfn.UNIQUE(_xlfn._xlws.FILTER(PriceList!$Q$4:$Q$2641&amp;" x "&amp;PriceList!$R$4:$R$2641&amp;" x "&amp;PriceList!$S$4:$S$2641,PriceList!$M$4:$M$2641=A1065,"")))</f>
        <v>104.4 x 110.6 x 3.1</v>
      </c>
      <c r="G1065" t="str" cm="1">
        <f t="array" ref="G1065">INDEX(_xlfn._xlws.FILTER(PriceList!$P$4:$P$2641,PriceList!$M$4:$M$2641=A1065,""),1)</f>
        <v>O Ring - NBR 70</v>
      </c>
    </row>
    <row r="1066" spans="1:7" x14ac:dyDescent="0.45">
      <c r="A1066" t="s">
        <v>5028</v>
      </c>
      <c r="B1066">
        <f>COUNTIF(PriceList!$M$4:$M$2641,A1066)</f>
        <v>1</v>
      </c>
      <c r="C1066" t="str">
        <f>IF(B1066=1,"1:1","1:Many")</f>
        <v>1:1</v>
      </c>
      <c r="D1066" s="42" t="str" cm="1">
        <f t="array" ref="D1066">_xlfn.TEXTJOIN(" | ",TRUE,_xlfn._xlws.FILTER(PriceList!$B$4:$B$2641,PriceList!$M$4:$M$2641=A1066,""))</f>
        <v>ORV8 104.4-3.1</v>
      </c>
      <c r="E1066" t="str" cm="1">
        <f t="array" ref="E1066">_xlfn.TEXTJOIN(", ",TRUE,_xlfn._xlws.FILTER(ROW(PriceList!$B$4:$B$2641),PriceList!$M$4:$M$2641=A1066,""))</f>
        <v>1975</v>
      </c>
      <c r="F1066" s="42" t="str" cm="1">
        <f t="array" ref="F1066">_xlfn.TEXTJOIN(" | ",TRUE,_xlfn.UNIQUE(_xlfn._xlws.FILTER(PriceList!$Q$4:$Q$2641&amp;" x "&amp;PriceList!$R$4:$R$2641&amp;" x "&amp;PriceList!$S$4:$S$2641,PriceList!$M$4:$M$2641=A1066,"")))</f>
        <v>104.5 x 110.5 x 3</v>
      </c>
      <c r="G1066" t="str" cm="1">
        <f t="array" ref="G1066">INDEX(_xlfn._xlws.FILTER(PriceList!$P$4:$P$2641,PriceList!$M$4:$M$2641=A1066,""),1)</f>
        <v>O Ring - FPM/FKM/VitonÂ®</v>
      </c>
    </row>
    <row r="1067" spans="1:7" x14ac:dyDescent="0.45">
      <c r="A1067" t="s">
        <v>4523</v>
      </c>
      <c r="B1067">
        <f>COUNTIF(PriceList!$M$4:$M$2641,A1067)</f>
        <v>1</v>
      </c>
      <c r="C1067" t="str">
        <f>IF(B1067=1,"1:1","1:Many")</f>
        <v>1:1</v>
      </c>
      <c r="D1067" s="42" t="str" cm="1">
        <f t="array" ref="D1067">_xlfn.TEXTJOIN(" | ",TRUE,_xlfn._xlws.FILTER(PriceList!$B$4:$B$2641,PriceList!$M$4:$M$2641=A1067,""))</f>
        <v>OR9N 105-5</v>
      </c>
      <c r="E1067" t="str" cm="1">
        <f t="array" ref="E1067">_xlfn.TEXTJOIN(", ",TRUE,_xlfn._xlws.FILTER(ROW(PriceList!$B$4:$B$2641),PriceList!$M$4:$M$2641=A1067,""))</f>
        <v>1326</v>
      </c>
      <c r="F1067" s="42" t="str" cm="1">
        <f t="array" ref="F1067">_xlfn.TEXTJOIN(" | ",TRUE,_xlfn.UNIQUE(_xlfn._xlws.FILTER(PriceList!$Q$4:$Q$2641&amp;" x "&amp;PriceList!$R$4:$R$2641&amp;" x "&amp;PriceList!$S$4:$S$2641,PriceList!$M$4:$M$2641=A1067,"")))</f>
        <v>105 x 115 x 5</v>
      </c>
      <c r="G1067" t="str" cm="1">
        <f t="array" ref="G1067">INDEX(_xlfn._xlws.FILTER(PriceList!$P$4:$P$2641,PriceList!$M$4:$M$2641=A1067,""),1)</f>
        <v>O Ring - NBR 70</v>
      </c>
    </row>
    <row r="1068" spans="1:7" x14ac:dyDescent="0.45">
      <c r="A1068" t="s">
        <v>4524</v>
      </c>
      <c r="B1068">
        <f>COUNTIF(PriceList!$M$4:$M$2641,A1068)</f>
        <v>1</v>
      </c>
      <c r="C1068" t="str">
        <f>IF(B1068=1,"1:1","1:Many")</f>
        <v>1:1</v>
      </c>
      <c r="D1068" s="42" t="str" cm="1">
        <f t="array" ref="D1068">_xlfn.TEXTJOIN(" | ",TRUE,_xlfn._xlws.FILTER(PriceList!$B$4:$B$2641,PriceList!$M$4:$M$2641=A1068,""))</f>
        <v>OR9N 109.2-5.7</v>
      </c>
      <c r="E1068" t="str" cm="1">
        <f t="array" ref="E1068">_xlfn.TEXTJOIN(", ",TRUE,_xlfn._xlws.FILTER(ROW(PriceList!$B$4:$B$2641),PriceList!$M$4:$M$2641=A1068,""))</f>
        <v>1330</v>
      </c>
      <c r="F1068" s="42" t="str" cm="1">
        <f t="array" ref="F1068">_xlfn.TEXTJOIN(" | ",TRUE,_xlfn.UNIQUE(_xlfn._xlws.FILTER(PriceList!$Q$4:$Q$2641&amp;" x "&amp;PriceList!$R$4:$R$2641&amp;" x "&amp;PriceList!$S$4:$S$2641,PriceList!$M$4:$M$2641=A1068,"")))</f>
        <v>109.3 x 120.7 x 5.7</v>
      </c>
      <c r="G1068" t="str" cm="1">
        <f t="array" ref="G1068">INDEX(_xlfn._xlws.FILTER(PriceList!$P$4:$P$2641,PriceList!$M$4:$M$2641=A1068,""),1)</f>
        <v>O Ring - NBR 70</v>
      </c>
    </row>
    <row r="1069" spans="1:7" x14ac:dyDescent="0.45">
      <c r="A1069" t="s">
        <v>5032</v>
      </c>
      <c r="B1069">
        <f>COUNTIF(PriceList!$M$4:$M$2641,A1069)</f>
        <v>2</v>
      </c>
      <c r="C1069" t="str">
        <f>IF(B1069=1,"1:1","1:Many")</f>
        <v>1:Many</v>
      </c>
      <c r="D1069" s="42" t="str" cm="1">
        <f t="array" ref="D1069">_xlfn.TEXTJOIN(" | ",TRUE,_xlfn._xlws.FILTER(PriceList!$B$4:$B$2641,PriceList!$M$4:$M$2641=A1069,""))</f>
        <v>ORV8 108-6 | ORV8 109.2-5.7</v>
      </c>
      <c r="E1069" t="str" cm="1">
        <f t="array" ref="E1069">_xlfn.TEXTJOIN(", ",TRUE,_xlfn._xlws.FILTER(ROW(PriceList!$B$4:$B$2641),PriceList!$M$4:$M$2641=A1069,""))</f>
        <v>1978, 1979</v>
      </c>
      <c r="F1069" s="42" t="str" cm="1">
        <f t="array" ref="F1069">_xlfn.TEXTJOIN(" | ",TRUE,_xlfn.UNIQUE(_xlfn._xlws.FILTER(PriceList!$Q$4:$Q$2641&amp;" x "&amp;PriceList!$R$4:$R$2641&amp;" x "&amp;PriceList!$S$4:$S$2641,PriceList!$M$4:$M$2641=A1069,"")))</f>
        <v>109.3 x 120.7 x 5.7</v>
      </c>
      <c r="G1069" t="str" cm="1">
        <f t="array" ref="G1069">INDEX(_xlfn._xlws.FILTER(PriceList!$P$4:$P$2641,PriceList!$M$4:$M$2641=A1069,""),1)</f>
        <v>O Ring - FPM/FKM/VitonÂ®</v>
      </c>
    </row>
    <row r="1070" spans="1:7" x14ac:dyDescent="0.45">
      <c r="A1070" t="s">
        <v>4192</v>
      </c>
      <c r="B1070">
        <f>COUNTIF(PriceList!$M$4:$M$2641,A1070)</f>
        <v>2</v>
      </c>
      <c r="C1070" t="str">
        <f>IF(B1070=1,"1:1","1:Many")</f>
        <v>1:Many</v>
      </c>
      <c r="D1070" s="42" t="str" cm="1">
        <f t="array" ref="D1070">_xlfn.TEXTJOIN(" | ",TRUE,_xlfn._xlws.FILTER(PriceList!$B$4:$B$2641,PriceList!$M$4:$M$2641=A1070,""))</f>
        <v>OR7N 109.4-3.1 | OR9N 109.4-3.1</v>
      </c>
      <c r="E1070" t="str" cm="1">
        <f t="array" ref="E1070">_xlfn.TEXTJOIN(", ",TRUE,_xlfn._xlws.FILTER(ROW(PriceList!$B$4:$B$2641),PriceList!$M$4:$M$2641=A1070,""))</f>
        <v>776, 1331</v>
      </c>
      <c r="F1070" s="42" t="str" cm="1">
        <f t="array" ref="F1070">_xlfn.TEXTJOIN(" | ",TRUE,_xlfn.UNIQUE(_xlfn._xlws.FILTER(PriceList!$Q$4:$Q$2641&amp;" x "&amp;PriceList!$R$4:$R$2641&amp;" x "&amp;PriceList!$S$4:$S$2641,PriceList!$M$4:$M$2641=A1070,"")))</f>
        <v>109.4 x 115.6 x 3.1</v>
      </c>
      <c r="G1070" t="str" cm="1">
        <f t="array" ref="G1070">INDEX(_xlfn._xlws.FILTER(PriceList!$P$4:$P$2641,PriceList!$M$4:$M$2641=A1070,""),1)</f>
        <v>O Ring - NBR 70</v>
      </c>
    </row>
    <row r="1071" spans="1:7" x14ac:dyDescent="0.45">
      <c r="A1071" t="s">
        <v>5034</v>
      </c>
      <c r="B1071">
        <f>COUNTIF(PriceList!$M$4:$M$2641,A1071)</f>
        <v>1</v>
      </c>
      <c r="C1071" t="str">
        <f>IF(B1071=1,"1:1","1:Many")</f>
        <v>1:1</v>
      </c>
      <c r="D1071" s="42" t="str" cm="1">
        <f t="array" ref="D1071">_xlfn.TEXTJOIN(" | ",TRUE,_xlfn._xlws.FILTER(PriceList!$B$4:$B$2641,PriceList!$M$4:$M$2641=A1071,""))</f>
        <v>ORV8 109.4-3.1</v>
      </c>
      <c r="E1071" t="str" cm="1">
        <f t="array" ref="E1071">_xlfn.TEXTJOIN(", ",TRUE,_xlfn._xlws.FILTER(ROW(PriceList!$B$4:$B$2641),PriceList!$M$4:$M$2641=A1071,""))</f>
        <v>1980</v>
      </c>
      <c r="F1071" s="42" t="str" cm="1">
        <f t="array" ref="F1071">_xlfn.TEXTJOIN(" | ",TRUE,_xlfn.UNIQUE(_xlfn._xlws.FILTER(PriceList!$Q$4:$Q$2641&amp;" x "&amp;PriceList!$R$4:$R$2641&amp;" x "&amp;PriceList!$S$4:$S$2641,PriceList!$M$4:$M$2641=A1071,"")))</f>
        <v>109.5 x 115.5 x 3</v>
      </c>
      <c r="G1071" t="str" cm="1">
        <f t="array" ref="G1071">INDEX(_xlfn._xlws.FILTER(PriceList!$P$4:$P$2641,PriceList!$M$4:$M$2641=A1071,""),1)</f>
        <v>O Ring - FPM/FKM/VitonÂ®</v>
      </c>
    </row>
    <row r="1072" spans="1:7" x14ac:dyDescent="0.45">
      <c r="A1072" t="s">
        <v>4195</v>
      </c>
      <c r="B1072">
        <f>COUNTIF(PriceList!$M$4:$M$2641,A1072)</f>
        <v>2</v>
      </c>
      <c r="C1072" t="str">
        <f>IF(B1072=1,"1:1","1:Many")</f>
        <v>1:Many</v>
      </c>
      <c r="D1072" s="42" t="str" cm="1">
        <f t="array" ref="D1072">_xlfn.TEXTJOIN(" | ",TRUE,_xlfn._xlws.FILTER(PriceList!$B$4:$B$2641,PriceList!$M$4:$M$2641=A1072,""))</f>
        <v>OR7N 110-4 | OR9N 110-4</v>
      </c>
      <c r="E1072" t="str" cm="1">
        <f t="array" ref="E1072">_xlfn.TEXTJOIN(", ",TRUE,_xlfn._xlws.FILTER(ROW(PriceList!$B$4:$B$2641),PriceList!$M$4:$M$2641=A1072,""))</f>
        <v>779, 1334</v>
      </c>
      <c r="F1072" s="42" t="str" cm="1">
        <f t="array" ref="F1072">_xlfn.TEXTJOIN(" | ",TRUE,_xlfn.UNIQUE(_xlfn._xlws.FILTER(PriceList!$Q$4:$Q$2641&amp;" x "&amp;PriceList!$R$4:$R$2641&amp;" x "&amp;PriceList!$S$4:$S$2641,PriceList!$M$4:$M$2641=A1072,"")))</f>
        <v>110 x 118 x 4</v>
      </c>
      <c r="G1072" t="str" cm="1">
        <f t="array" ref="G1072">INDEX(_xlfn._xlws.FILTER(PriceList!$P$4:$P$2641,PriceList!$M$4:$M$2641=A1072,""),1)</f>
        <v>O Ring - NBR 70</v>
      </c>
    </row>
    <row r="1073" spans="1:7" x14ac:dyDescent="0.45">
      <c r="A1073" t="s">
        <v>5037</v>
      </c>
      <c r="B1073">
        <f>COUNTIF(PriceList!$M$4:$M$2641,A1073)</f>
        <v>1</v>
      </c>
      <c r="C1073" t="str">
        <f>IF(B1073=1,"1:1","1:Many")</f>
        <v>1:1</v>
      </c>
      <c r="D1073" s="42" t="str" cm="1">
        <f t="array" ref="D1073">_xlfn.TEXTJOIN(" | ",TRUE,_xlfn._xlws.FILTER(PriceList!$B$4:$B$2641,PriceList!$M$4:$M$2641=A1073,""))</f>
        <v>ORV8 110-4</v>
      </c>
      <c r="E1073" t="str" cm="1">
        <f t="array" ref="E1073">_xlfn.TEXTJOIN(", ",TRUE,_xlfn._xlws.FILTER(ROW(PriceList!$B$4:$B$2641),PriceList!$M$4:$M$2641=A1073,""))</f>
        <v>1983</v>
      </c>
      <c r="F1073" s="42" t="str" cm="1">
        <f t="array" ref="F1073">_xlfn.TEXTJOIN(" | ",TRUE,_xlfn.UNIQUE(_xlfn._xlws.FILTER(PriceList!$Q$4:$Q$2641&amp;" x "&amp;PriceList!$R$4:$R$2641&amp;" x "&amp;PriceList!$S$4:$S$2641,PriceList!$M$4:$M$2641=A1073,"")))</f>
        <v>110 x 118 x 4</v>
      </c>
      <c r="G1073" t="str" cm="1">
        <f t="array" ref="G1073">INDEX(_xlfn._xlws.FILTER(PriceList!$P$4:$P$2641,PriceList!$M$4:$M$2641=A1073,""),1)</f>
        <v>O Ring - FPM/FKM/VitonÂ®</v>
      </c>
    </row>
    <row r="1074" spans="1:7" x14ac:dyDescent="0.45">
      <c r="A1074" t="s">
        <v>4196</v>
      </c>
      <c r="B1074">
        <f>COUNTIF(PriceList!$M$4:$M$2641,A1074)</f>
        <v>2</v>
      </c>
      <c r="C1074" t="str">
        <f>IF(B1074=1,"1:1","1:Many")</f>
        <v>1:Many</v>
      </c>
      <c r="D1074" s="42" t="str" cm="1">
        <f t="array" ref="D1074">_xlfn.TEXTJOIN(" | ",TRUE,_xlfn._xlws.FILTER(PriceList!$B$4:$B$2641,PriceList!$M$4:$M$2641=A1074,""))</f>
        <v>OR7N 110-5 | OR9N 110-5</v>
      </c>
      <c r="E1074" t="str" cm="1">
        <f t="array" ref="E1074">_xlfn.TEXTJOIN(", ",TRUE,_xlfn._xlws.FILTER(ROW(PriceList!$B$4:$B$2641),PriceList!$M$4:$M$2641=A1074,""))</f>
        <v>780, 1335</v>
      </c>
      <c r="F1074" s="42" t="str" cm="1">
        <f t="array" ref="F1074">_xlfn.TEXTJOIN(" | ",TRUE,_xlfn.UNIQUE(_xlfn._xlws.FILTER(PriceList!$Q$4:$Q$2641&amp;" x "&amp;PriceList!$R$4:$R$2641&amp;" x "&amp;PriceList!$S$4:$S$2641,PriceList!$M$4:$M$2641=A1074,"")))</f>
        <v>110 x 120 x 5</v>
      </c>
      <c r="G1074" t="str" cm="1">
        <f t="array" ref="G1074">INDEX(_xlfn._xlws.FILTER(PriceList!$P$4:$P$2641,PriceList!$M$4:$M$2641=A1074,""),1)</f>
        <v>O Ring - NBR 70</v>
      </c>
    </row>
    <row r="1075" spans="1:7" x14ac:dyDescent="0.45">
      <c r="A1075" t="s">
        <v>5038</v>
      </c>
      <c r="B1075">
        <f>COUNTIF(PriceList!$M$4:$M$2641,A1075)</f>
        <v>1</v>
      </c>
      <c r="C1075" t="str">
        <f>IF(B1075=1,"1:1","1:Many")</f>
        <v>1:1</v>
      </c>
      <c r="D1075" s="42" t="str" cm="1">
        <f t="array" ref="D1075">_xlfn.TEXTJOIN(" | ",TRUE,_xlfn._xlws.FILTER(PriceList!$B$4:$B$2641,PriceList!$M$4:$M$2641=A1075,""))</f>
        <v>ORV8 110-5</v>
      </c>
      <c r="E1075" t="str" cm="1">
        <f t="array" ref="E1075">_xlfn.TEXTJOIN(", ",TRUE,_xlfn._xlws.FILTER(ROW(PriceList!$B$4:$B$2641),PriceList!$M$4:$M$2641=A1075,""))</f>
        <v>1984</v>
      </c>
      <c r="F1075" s="42" t="str" cm="1">
        <f t="array" ref="F1075">_xlfn.TEXTJOIN(" | ",TRUE,_xlfn.UNIQUE(_xlfn._xlws.FILTER(PriceList!$Q$4:$Q$2641&amp;" x "&amp;PriceList!$R$4:$R$2641&amp;" x "&amp;PriceList!$S$4:$S$2641,PriceList!$M$4:$M$2641=A1075,"")))</f>
        <v>110 x 120 x 5</v>
      </c>
      <c r="G1075" t="str" cm="1">
        <f t="array" ref="G1075">INDEX(_xlfn._xlws.FILTER(PriceList!$P$4:$P$2641,PriceList!$M$4:$M$2641=A1075,""),1)</f>
        <v>O Ring - FPM/FKM/VitonÂ®</v>
      </c>
    </row>
    <row r="1076" spans="1:7" x14ac:dyDescent="0.45">
      <c r="A1076" t="s">
        <v>4525</v>
      </c>
      <c r="B1076">
        <f>COUNTIF(PriceList!$M$4:$M$2641,A1076)</f>
        <v>1</v>
      </c>
      <c r="C1076" t="str">
        <f>IF(B1076=1,"1:1","1:Many")</f>
        <v>1:1</v>
      </c>
      <c r="D1076" s="42" t="str" cm="1">
        <f t="array" ref="D1076">_xlfn.TEXTJOIN(" | ",TRUE,_xlfn._xlws.FILTER(PriceList!$B$4:$B$2641,PriceList!$M$4:$M$2641=A1076,""))</f>
        <v>OR9N 114.2-5.7</v>
      </c>
      <c r="E1076" t="str" cm="1">
        <f t="array" ref="E1076">_xlfn.TEXTJOIN(", ",TRUE,_xlfn._xlws.FILTER(ROW(PriceList!$B$4:$B$2641),PriceList!$M$4:$M$2641=A1076,""))</f>
        <v>1341</v>
      </c>
      <c r="F1076" s="42" t="str" cm="1">
        <f t="array" ref="F1076">_xlfn.TEXTJOIN(" | ",TRUE,_xlfn.UNIQUE(_xlfn._xlws.FILTER(PriceList!$Q$4:$Q$2641&amp;" x "&amp;PriceList!$R$4:$R$2641&amp;" x "&amp;PriceList!$S$4:$S$2641,PriceList!$M$4:$M$2641=A1076,"")))</f>
        <v>114.3 x 125.7 x 5.7</v>
      </c>
      <c r="G1076" t="str" cm="1">
        <f t="array" ref="G1076">INDEX(_xlfn._xlws.FILTER(PriceList!$P$4:$P$2641,PriceList!$M$4:$M$2641=A1076,""),1)</f>
        <v>O Ring - NBR 70</v>
      </c>
    </row>
    <row r="1077" spans="1:7" x14ac:dyDescent="0.45">
      <c r="A1077" t="s">
        <v>5043</v>
      </c>
      <c r="B1077">
        <f>COUNTIF(PriceList!$M$4:$M$2641,A1077)</f>
        <v>1</v>
      </c>
      <c r="C1077" t="str">
        <f>IF(B1077=1,"1:1","1:Many")</f>
        <v>1:1</v>
      </c>
      <c r="D1077" s="42" t="str" cm="1">
        <f t="array" ref="D1077">_xlfn.TEXTJOIN(" | ",TRUE,_xlfn._xlws.FILTER(PriceList!$B$4:$B$2641,PriceList!$M$4:$M$2641=A1077,""))</f>
        <v>ORV8 114.2-5.7</v>
      </c>
      <c r="E1077" t="str" cm="1">
        <f t="array" ref="E1077">_xlfn.TEXTJOIN(", ",TRUE,_xlfn._xlws.FILTER(ROW(PriceList!$B$4:$B$2641),PriceList!$M$4:$M$2641=A1077,""))</f>
        <v>1989</v>
      </c>
      <c r="F1077" s="42" t="str" cm="1">
        <f t="array" ref="F1077">_xlfn.TEXTJOIN(" | ",TRUE,_xlfn.UNIQUE(_xlfn._xlws.FILTER(PriceList!$Q$4:$Q$2641&amp;" x "&amp;PriceList!$R$4:$R$2641&amp;" x "&amp;PriceList!$S$4:$S$2641,PriceList!$M$4:$M$2641=A1077,"")))</f>
        <v>114.3 x 125.7 x 5.7</v>
      </c>
      <c r="G1077" t="str" cm="1">
        <f t="array" ref="G1077">INDEX(_xlfn._xlws.FILTER(PriceList!$P$4:$P$2641,PriceList!$M$4:$M$2641=A1077,""),1)</f>
        <v>O Ring - FPM/FKM/VitonÂ®</v>
      </c>
    </row>
    <row r="1078" spans="1:7" x14ac:dyDescent="0.45">
      <c r="A1078" t="s">
        <v>4203</v>
      </c>
      <c r="B1078">
        <f>COUNTIF(PriceList!$M$4:$M$2641,A1078)</f>
        <v>2</v>
      </c>
      <c r="C1078" t="str">
        <f>IF(B1078=1,"1:1","1:Many")</f>
        <v>1:Many</v>
      </c>
      <c r="D1078" s="42" t="str" cm="1">
        <f t="array" ref="D1078">_xlfn.TEXTJOIN(" | ",TRUE,_xlfn._xlws.FILTER(PriceList!$B$4:$B$2641,PriceList!$M$4:$M$2641=A1078,""))</f>
        <v>OR7N 114.4-3.1 | OR9N 114.4-3.1</v>
      </c>
      <c r="E1078" t="str" cm="1">
        <f t="array" ref="E1078">_xlfn.TEXTJOIN(", ",TRUE,_xlfn._xlws.FILTER(ROW(PriceList!$B$4:$B$2641),PriceList!$M$4:$M$2641=A1078,""))</f>
        <v>786, 1342</v>
      </c>
      <c r="F1078" s="42" t="str" cm="1">
        <f t="array" ref="F1078">_xlfn.TEXTJOIN(" | ",TRUE,_xlfn.UNIQUE(_xlfn._xlws.FILTER(PriceList!$Q$4:$Q$2641&amp;" x "&amp;PriceList!$R$4:$R$2641&amp;" x "&amp;PriceList!$S$4:$S$2641,PriceList!$M$4:$M$2641=A1078,"")))</f>
        <v>114.4 x 120.6 x 3.1</v>
      </c>
      <c r="G1078" t="str" cm="1">
        <f t="array" ref="G1078">INDEX(_xlfn._xlws.FILTER(PriceList!$P$4:$P$2641,PriceList!$M$4:$M$2641=A1078,""),1)</f>
        <v>O Ring - NBR 70</v>
      </c>
    </row>
    <row r="1079" spans="1:7" x14ac:dyDescent="0.45">
      <c r="A1079" t="s">
        <v>5044</v>
      </c>
      <c r="B1079">
        <f>COUNTIF(PriceList!$M$4:$M$2641,A1079)</f>
        <v>1</v>
      </c>
      <c r="C1079" t="str">
        <f>IF(B1079=1,"1:1","1:Many")</f>
        <v>1:1</v>
      </c>
      <c r="D1079" s="42" t="str" cm="1">
        <f t="array" ref="D1079">_xlfn.TEXTJOIN(" | ",TRUE,_xlfn._xlws.FILTER(PriceList!$B$4:$B$2641,PriceList!$M$4:$M$2641=A1079,""))</f>
        <v>ORV8 114.4-3.1</v>
      </c>
      <c r="E1079" t="str" cm="1">
        <f t="array" ref="E1079">_xlfn.TEXTJOIN(", ",TRUE,_xlfn._xlws.FILTER(ROW(PriceList!$B$4:$B$2641),PriceList!$M$4:$M$2641=A1079,""))</f>
        <v>1990</v>
      </c>
      <c r="F1079" s="42" t="str" cm="1">
        <f t="array" ref="F1079">_xlfn.TEXTJOIN(" | ",TRUE,_xlfn.UNIQUE(_xlfn._xlws.FILTER(PriceList!$Q$4:$Q$2641&amp;" x "&amp;PriceList!$R$4:$R$2641&amp;" x "&amp;PriceList!$S$4:$S$2641,PriceList!$M$4:$M$2641=A1079,"")))</f>
        <v>114.5 x 120.5 x 3</v>
      </c>
      <c r="G1079" t="str" cm="1">
        <f t="array" ref="G1079">INDEX(_xlfn._xlws.FILTER(PriceList!$P$4:$P$2641,PriceList!$M$4:$M$2641=A1079,""),1)</f>
        <v>O Ring - FPM/FKM/VitonÂ®</v>
      </c>
    </row>
    <row r="1080" spans="1:7" x14ac:dyDescent="0.45">
      <c r="A1080" t="s">
        <v>4526</v>
      </c>
      <c r="B1080">
        <f>COUNTIF(PriceList!$M$4:$M$2641,A1080)</f>
        <v>1</v>
      </c>
      <c r="C1080" t="str">
        <f>IF(B1080=1,"1:1","1:Many")</f>
        <v>1:1</v>
      </c>
      <c r="D1080" s="42" t="str" cm="1">
        <f t="array" ref="D1080">_xlfn.TEXTJOIN(" | ",TRUE,_xlfn._xlws.FILTER(PriceList!$B$4:$B$2641,PriceList!$M$4:$M$2641=A1080,""))</f>
        <v>OR9N 115-4</v>
      </c>
      <c r="E1080" t="str" cm="1">
        <f t="array" ref="E1080">_xlfn.TEXTJOIN(", ",TRUE,_xlfn._xlws.FILTER(ROW(PriceList!$B$4:$B$2641),PriceList!$M$4:$M$2641=A1080,""))</f>
        <v>1343</v>
      </c>
      <c r="F1080" s="42" t="str" cm="1">
        <f t="array" ref="F1080">_xlfn.TEXTJOIN(" | ",TRUE,_xlfn.UNIQUE(_xlfn._xlws.FILTER(PriceList!$Q$4:$Q$2641&amp;" x "&amp;PriceList!$R$4:$R$2641&amp;" x "&amp;PriceList!$S$4:$S$2641,PriceList!$M$4:$M$2641=A1080,"")))</f>
        <v>115 x 123 x 4</v>
      </c>
      <c r="G1080" t="str" cm="1">
        <f t="array" ref="G1080">INDEX(_xlfn._xlws.FILTER(PriceList!$P$4:$P$2641,PriceList!$M$4:$M$2641=A1080,""),1)</f>
        <v>O Ring - NBR 70</v>
      </c>
    </row>
    <row r="1081" spans="1:7" x14ac:dyDescent="0.45">
      <c r="A1081" t="s">
        <v>5045</v>
      </c>
      <c r="B1081">
        <f>COUNTIF(PriceList!$M$4:$M$2641,A1081)</f>
        <v>1</v>
      </c>
      <c r="C1081" t="str">
        <f>IF(B1081=1,"1:1","1:Many")</f>
        <v>1:1</v>
      </c>
      <c r="D1081" s="42" t="str" cm="1">
        <f t="array" ref="D1081">_xlfn.TEXTJOIN(" | ",TRUE,_xlfn._xlws.FILTER(PriceList!$B$4:$B$2641,PriceList!$M$4:$M$2641=A1081,""))</f>
        <v>ORV8 115-5</v>
      </c>
      <c r="E1081" t="str" cm="1">
        <f t="array" ref="E1081">_xlfn.TEXTJOIN(", ",TRUE,_xlfn._xlws.FILTER(ROW(PriceList!$B$4:$B$2641),PriceList!$M$4:$M$2641=A1081,""))</f>
        <v>1991</v>
      </c>
      <c r="F1081" s="42" t="str" cm="1">
        <f t="array" ref="F1081">_xlfn.TEXTJOIN(" | ",TRUE,_xlfn.UNIQUE(_xlfn._xlws.FILTER(PriceList!$Q$4:$Q$2641&amp;" x "&amp;PriceList!$R$4:$R$2641&amp;" x "&amp;PriceList!$S$4:$S$2641,PriceList!$M$4:$M$2641=A1081,"")))</f>
        <v>115 x 124 x 4.5</v>
      </c>
      <c r="G1081" t="str" cm="1">
        <f t="array" ref="G1081">INDEX(_xlfn._xlws.FILTER(PriceList!$P$4:$P$2641,PriceList!$M$4:$M$2641=A1081,""),1)</f>
        <v>O Ring - FPM/FKM/VitonÂ®</v>
      </c>
    </row>
    <row r="1082" spans="1:7" x14ac:dyDescent="0.45">
      <c r="A1082" t="s">
        <v>4204</v>
      </c>
      <c r="B1082">
        <f>COUNTIF(PriceList!$M$4:$M$2641,A1082)</f>
        <v>2</v>
      </c>
      <c r="C1082" t="str">
        <f>IF(B1082=1,"1:1","1:Many")</f>
        <v>1:Many</v>
      </c>
      <c r="D1082" s="42" t="str" cm="1">
        <f t="array" ref="D1082">_xlfn.TEXTJOIN(" | ",TRUE,_xlfn._xlws.FILTER(PriceList!$B$4:$B$2641,PriceList!$M$4:$M$2641=A1082,""))</f>
        <v>OR7N 115-5 | OR9N 115-5</v>
      </c>
      <c r="E1082" t="str" cm="1">
        <f t="array" ref="E1082">_xlfn.TEXTJOIN(", ",TRUE,_xlfn._xlws.FILTER(ROW(PriceList!$B$4:$B$2641),PriceList!$M$4:$M$2641=A1082,""))</f>
        <v>787, 1344</v>
      </c>
      <c r="F1082" s="42" t="str" cm="1">
        <f t="array" ref="F1082">_xlfn.TEXTJOIN(" | ",TRUE,_xlfn.UNIQUE(_xlfn._xlws.FILTER(PriceList!$Q$4:$Q$2641&amp;" x "&amp;PriceList!$R$4:$R$2641&amp;" x "&amp;PriceList!$S$4:$S$2641,PriceList!$M$4:$M$2641=A1082,"")))</f>
        <v>115 x 125 x 5</v>
      </c>
      <c r="G1082" t="str" cm="1">
        <f t="array" ref="G1082">INDEX(_xlfn._xlws.FILTER(PriceList!$P$4:$P$2641,PriceList!$M$4:$M$2641=A1082,""),1)</f>
        <v>O Ring - NBR 70</v>
      </c>
    </row>
    <row r="1083" spans="1:7" x14ac:dyDescent="0.45">
      <c r="A1083" t="s">
        <v>4208</v>
      </c>
      <c r="B1083">
        <f>COUNTIF(PriceList!$M$4:$M$2641,A1083)</f>
        <v>2</v>
      </c>
      <c r="C1083" t="str">
        <f>IF(B1083=1,"1:1","1:Many")</f>
        <v>1:Many</v>
      </c>
      <c r="D1083" s="42" t="str" cm="1">
        <f t="array" ref="D1083">_xlfn.TEXTJOIN(" | ",TRUE,_xlfn._xlws.FILTER(PriceList!$B$4:$B$2641,PriceList!$M$4:$M$2641=A1083,""))</f>
        <v>OR7N 117-4 | OR9N 117-4</v>
      </c>
      <c r="E1083" t="str" cm="1">
        <f t="array" ref="E1083">_xlfn.TEXTJOIN(", ",TRUE,_xlfn._xlws.FILTER(ROW(PriceList!$B$4:$B$2641),PriceList!$M$4:$M$2641=A1083,""))</f>
        <v>791, 1348</v>
      </c>
      <c r="F1083" s="42" t="str" cm="1">
        <f t="array" ref="F1083">_xlfn.TEXTJOIN(" | ",TRUE,_xlfn.UNIQUE(_xlfn._xlws.FILTER(PriceList!$Q$4:$Q$2641&amp;" x "&amp;PriceList!$R$4:$R$2641&amp;" x "&amp;PriceList!$S$4:$S$2641,PriceList!$M$4:$M$2641=A1083,"")))</f>
        <v>117 x 125 x 4</v>
      </c>
      <c r="G1083" t="str" cm="1">
        <f t="array" ref="G1083">INDEX(_xlfn._xlws.FILTER(PriceList!$P$4:$P$2641,PriceList!$M$4:$M$2641=A1083,""),1)</f>
        <v>O Ring - NBR 70</v>
      </c>
    </row>
    <row r="1084" spans="1:7" x14ac:dyDescent="0.45">
      <c r="A1084" t="s">
        <v>4527</v>
      </c>
      <c r="B1084">
        <f>COUNTIF(PriceList!$M$4:$M$2641,A1084)</f>
        <v>1</v>
      </c>
      <c r="C1084" t="str">
        <f>IF(B1084=1,"1:1","1:Many")</f>
        <v>1:1</v>
      </c>
      <c r="D1084" s="42" t="str" cm="1">
        <f t="array" ref="D1084">_xlfn.TEXTJOIN(" | ",TRUE,_xlfn._xlws.FILTER(PriceList!$B$4:$B$2641,PriceList!$M$4:$M$2641=A1084,""))</f>
        <v>OR9N 119.2-5.7</v>
      </c>
      <c r="E1084" t="str" cm="1">
        <f t="array" ref="E1084">_xlfn.TEXTJOIN(", ",TRUE,_xlfn._xlws.FILTER(ROW(PriceList!$B$4:$B$2641),PriceList!$M$4:$M$2641=A1084,""))</f>
        <v>1349</v>
      </c>
      <c r="F1084" s="42" t="str" cm="1">
        <f t="array" ref="F1084">_xlfn.TEXTJOIN(" | ",TRUE,_xlfn.UNIQUE(_xlfn._xlws.FILTER(PriceList!$Q$4:$Q$2641&amp;" x "&amp;PriceList!$R$4:$R$2641&amp;" x "&amp;PriceList!$S$4:$S$2641,PriceList!$M$4:$M$2641=A1084,"")))</f>
        <v>119.3 x 130.7 x 5.7</v>
      </c>
      <c r="G1084" t="str" cm="1">
        <f t="array" ref="G1084">INDEX(_xlfn._xlws.FILTER(PriceList!$P$4:$P$2641,PriceList!$M$4:$M$2641=A1084,""),1)</f>
        <v>O Ring - NBR 70</v>
      </c>
    </row>
    <row r="1085" spans="1:7" x14ac:dyDescent="0.45">
      <c r="A1085" t="s">
        <v>5050</v>
      </c>
      <c r="B1085">
        <f>COUNTIF(PriceList!$M$4:$M$2641,A1085)</f>
        <v>1</v>
      </c>
      <c r="C1085" t="str">
        <f>IF(B1085=1,"1:1","1:Many")</f>
        <v>1:1</v>
      </c>
      <c r="D1085" s="42" t="str" cm="1">
        <f t="array" ref="D1085">_xlfn.TEXTJOIN(" | ",TRUE,_xlfn._xlws.FILTER(PriceList!$B$4:$B$2641,PriceList!$M$4:$M$2641=A1085,""))</f>
        <v>ORV8 119.2-5.7</v>
      </c>
      <c r="E1085" t="str" cm="1">
        <f t="array" ref="E1085">_xlfn.TEXTJOIN(", ",TRUE,_xlfn._xlws.FILTER(ROW(PriceList!$B$4:$B$2641),PriceList!$M$4:$M$2641=A1085,""))</f>
        <v>1996</v>
      </c>
      <c r="F1085" s="42" t="str" cm="1">
        <f t="array" ref="F1085">_xlfn.TEXTJOIN(" | ",TRUE,_xlfn.UNIQUE(_xlfn._xlws.FILTER(PriceList!$Q$4:$Q$2641&amp;" x "&amp;PriceList!$R$4:$R$2641&amp;" x "&amp;PriceList!$S$4:$S$2641,PriceList!$M$4:$M$2641=A1085,"")))</f>
        <v>119.3 x 130.7 x 5.7</v>
      </c>
      <c r="G1085" t="str" cm="1">
        <f t="array" ref="G1085">INDEX(_xlfn._xlws.FILTER(PriceList!$P$4:$P$2641,PriceList!$M$4:$M$2641=A1085,""),1)</f>
        <v>O Ring - FPM/FKM/VitonÂ®</v>
      </c>
    </row>
    <row r="1086" spans="1:7" x14ac:dyDescent="0.45">
      <c r="A1086" t="s">
        <v>4209</v>
      </c>
      <c r="B1086">
        <f>COUNTIF(PriceList!$M$4:$M$2641,A1086)</f>
        <v>2</v>
      </c>
      <c r="C1086" t="str">
        <f>IF(B1086=1,"1:1","1:Many")</f>
        <v>1:Many</v>
      </c>
      <c r="D1086" s="42" t="str" cm="1">
        <f t="array" ref="D1086">_xlfn.TEXTJOIN(" | ",TRUE,_xlfn._xlws.FILTER(PriceList!$B$4:$B$2641,PriceList!$M$4:$M$2641=A1086,""))</f>
        <v>OR7N 119.4-3.1 | OR9N 119.4-3.1</v>
      </c>
      <c r="E1086" t="str" cm="1">
        <f t="array" ref="E1086">_xlfn.TEXTJOIN(", ",TRUE,_xlfn._xlws.FILTER(ROW(PriceList!$B$4:$B$2641),PriceList!$M$4:$M$2641=A1086,""))</f>
        <v>792, 1350</v>
      </c>
      <c r="F1086" s="42" t="str" cm="1">
        <f t="array" ref="F1086">_xlfn.TEXTJOIN(" | ",TRUE,_xlfn.UNIQUE(_xlfn._xlws.FILTER(PriceList!$Q$4:$Q$2641&amp;" x "&amp;PriceList!$R$4:$R$2641&amp;" x "&amp;PriceList!$S$4:$S$2641,PriceList!$M$4:$M$2641=A1086,"")))</f>
        <v>119.4 x 125.6 x 3.1</v>
      </c>
      <c r="G1086" t="str" cm="1">
        <f t="array" ref="G1086">INDEX(_xlfn._xlws.FILTER(PriceList!$P$4:$P$2641,PriceList!$M$4:$M$2641=A1086,""),1)</f>
        <v>O Ring - NBR 70</v>
      </c>
    </row>
    <row r="1087" spans="1:7" x14ac:dyDescent="0.45">
      <c r="A1087" t="s">
        <v>5051</v>
      </c>
      <c r="B1087">
        <f>COUNTIF(PriceList!$M$4:$M$2641,A1087)</f>
        <v>1</v>
      </c>
      <c r="C1087" t="str">
        <f>IF(B1087=1,"1:1","1:Many")</f>
        <v>1:1</v>
      </c>
      <c r="D1087" s="42" t="str" cm="1">
        <f t="array" ref="D1087">_xlfn.TEXTJOIN(" | ",TRUE,_xlfn._xlws.FILTER(PriceList!$B$4:$B$2641,PriceList!$M$4:$M$2641=A1087,""))</f>
        <v>ORV8 119.4-3.1</v>
      </c>
      <c r="E1087" t="str" cm="1">
        <f t="array" ref="E1087">_xlfn.TEXTJOIN(", ",TRUE,_xlfn._xlws.FILTER(ROW(PriceList!$B$4:$B$2641),PriceList!$M$4:$M$2641=A1087,""))</f>
        <v>1997</v>
      </c>
      <c r="F1087" s="42" t="str" cm="1">
        <f t="array" ref="F1087">_xlfn.TEXTJOIN(" | ",TRUE,_xlfn.UNIQUE(_xlfn._xlws.FILTER(PriceList!$Q$4:$Q$2641&amp;" x "&amp;PriceList!$R$4:$R$2641&amp;" x "&amp;PriceList!$S$4:$S$2641,PriceList!$M$4:$M$2641=A1087,"")))</f>
        <v>119.5 x 125.5 x 3</v>
      </c>
      <c r="G1087" t="str" cm="1">
        <f t="array" ref="G1087">INDEX(_xlfn._xlws.FILTER(PriceList!$P$4:$P$2641,PriceList!$M$4:$M$2641=A1087,""),1)</f>
        <v>O Ring - FPM/FKM/VitonÂ®</v>
      </c>
    </row>
    <row r="1088" spans="1:7" x14ac:dyDescent="0.45">
      <c r="A1088" t="s">
        <v>4529</v>
      </c>
      <c r="B1088">
        <f>COUNTIF(PriceList!$M$4:$M$2641,A1088)</f>
        <v>1</v>
      </c>
      <c r="C1088" t="str">
        <f>IF(B1088=1,"1:1","1:Many")</f>
        <v>1:1</v>
      </c>
      <c r="D1088" s="42" t="str" cm="1">
        <f t="array" ref="D1088">_xlfn.TEXTJOIN(" | ",TRUE,_xlfn._xlws.FILTER(PriceList!$B$4:$B$2641,PriceList!$M$4:$M$2641=A1088,""))</f>
        <v>OR9N 120-2</v>
      </c>
      <c r="E1088" t="str" cm="1">
        <f t="array" ref="E1088">_xlfn.TEXTJOIN(", ",TRUE,_xlfn._xlws.FILTER(ROW(PriceList!$B$4:$B$2641),PriceList!$M$4:$M$2641=A1088,""))</f>
        <v>1356</v>
      </c>
      <c r="F1088" s="42" t="str" cm="1">
        <f t="array" ref="F1088">_xlfn.TEXTJOIN(" | ",TRUE,_xlfn.UNIQUE(_xlfn._xlws.FILTER(PriceList!$Q$4:$Q$2641&amp;" x "&amp;PriceList!$R$4:$R$2641&amp;" x "&amp;PriceList!$S$4:$S$2641,PriceList!$M$4:$M$2641=A1088,"")))</f>
        <v>120 x 124 x 2</v>
      </c>
      <c r="G1088" t="str" cm="1">
        <f t="array" ref="G1088">INDEX(_xlfn._xlws.FILTER(PriceList!$P$4:$P$2641,PriceList!$M$4:$M$2641=A1088,""),1)</f>
        <v>O Ring - NBR 70</v>
      </c>
    </row>
    <row r="1089" spans="1:7" x14ac:dyDescent="0.45">
      <c r="A1089" t="s">
        <v>5055</v>
      </c>
      <c r="B1089">
        <f>COUNTIF(PriceList!$M$4:$M$2641,A1089)</f>
        <v>1</v>
      </c>
      <c r="C1089" t="str">
        <f>IF(B1089=1,"1:1","1:Many")</f>
        <v>1:1</v>
      </c>
      <c r="D1089" s="42" t="str" cm="1">
        <f t="array" ref="D1089">_xlfn.TEXTJOIN(" | ",TRUE,_xlfn._xlws.FILTER(PriceList!$B$4:$B$2641,PriceList!$M$4:$M$2641=A1089,""))</f>
        <v>ORV8 120-4</v>
      </c>
      <c r="E1089" t="str" cm="1">
        <f t="array" ref="E1089">_xlfn.TEXTJOIN(", ",TRUE,_xlfn._xlws.FILTER(ROW(PriceList!$B$4:$B$2641),PriceList!$M$4:$M$2641=A1089,""))</f>
        <v>2001</v>
      </c>
      <c r="F1089" s="42" t="str" cm="1">
        <f t="array" ref="F1089">_xlfn.TEXTJOIN(" | ",TRUE,_xlfn.UNIQUE(_xlfn._xlws.FILTER(PriceList!$Q$4:$Q$2641&amp;" x "&amp;PriceList!$R$4:$R$2641&amp;" x "&amp;PriceList!$S$4:$S$2641,PriceList!$M$4:$M$2641=A1089,"")))</f>
        <v>120 x 128 x 4</v>
      </c>
      <c r="G1089" t="str" cm="1">
        <f t="array" ref="G1089">INDEX(_xlfn._xlws.FILTER(PriceList!$P$4:$P$2641,PriceList!$M$4:$M$2641=A1089,""),1)</f>
        <v>O Ring - FPM/FKM/VitonÂ®</v>
      </c>
    </row>
    <row r="1090" spans="1:7" x14ac:dyDescent="0.45">
      <c r="A1090" t="s">
        <v>4214</v>
      </c>
      <c r="B1090">
        <f>COUNTIF(PriceList!$M$4:$M$2641,A1090)</f>
        <v>2</v>
      </c>
      <c r="C1090" t="str">
        <f>IF(B1090=1,"1:1","1:Many")</f>
        <v>1:Many</v>
      </c>
      <c r="D1090" s="42" t="str" cm="1">
        <f t="array" ref="D1090">_xlfn.TEXTJOIN(" | ",TRUE,_xlfn._xlws.FILTER(PriceList!$B$4:$B$2641,PriceList!$M$4:$M$2641=A1090,""))</f>
        <v>OR7N 120-5 | OR9N 120-5</v>
      </c>
      <c r="E1090" t="str" cm="1">
        <f t="array" ref="E1090">_xlfn.TEXTJOIN(", ",TRUE,_xlfn._xlws.FILTER(ROW(PriceList!$B$4:$B$2641),PriceList!$M$4:$M$2641=A1090,""))</f>
        <v>797, 1357</v>
      </c>
      <c r="F1090" s="42" t="str" cm="1">
        <f t="array" ref="F1090">_xlfn.TEXTJOIN(" | ",TRUE,_xlfn.UNIQUE(_xlfn._xlws.FILTER(PriceList!$Q$4:$Q$2641&amp;" x "&amp;PriceList!$R$4:$R$2641&amp;" x "&amp;PriceList!$S$4:$S$2641,PriceList!$M$4:$M$2641=A1090,"")))</f>
        <v>120 x 130 x 5</v>
      </c>
      <c r="G1090" t="str" cm="1">
        <f t="array" ref="G1090">INDEX(_xlfn._xlws.FILTER(PriceList!$P$4:$P$2641,PriceList!$M$4:$M$2641=A1090,""),1)</f>
        <v>O Ring - NBR 70</v>
      </c>
    </row>
    <row r="1091" spans="1:7" x14ac:dyDescent="0.45">
      <c r="A1091" t="s">
        <v>4218</v>
      </c>
      <c r="B1091">
        <f>COUNTIF(PriceList!$M$4:$M$2641,A1091)</f>
        <v>2</v>
      </c>
      <c r="C1091" t="str">
        <f>IF(B1091=1,"1:1","1:Many")</f>
        <v>1:Many</v>
      </c>
      <c r="D1091" s="42" t="str" cm="1">
        <f t="array" ref="D1091">_xlfn.TEXTJOIN(" | ",TRUE,_xlfn._xlws.FILTER(PriceList!$B$4:$B$2641,PriceList!$M$4:$M$2641=A1091,""))</f>
        <v>OR7N 124.2-5.7 | OR9N 124.2-5.7</v>
      </c>
      <c r="E1091" t="str" cm="1">
        <f t="array" ref="E1091">_xlfn.TEXTJOIN(", ",TRUE,_xlfn._xlws.FILTER(ROW(PriceList!$B$4:$B$2641),PriceList!$M$4:$M$2641=A1091,""))</f>
        <v>801, 1361</v>
      </c>
      <c r="F1091" s="42" t="str" cm="1">
        <f t="array" ref="F1091">_xlfn.TEXTJOIN(" | ",TRUE,_xlfn.UNIQUE(_xlfn._xlws.FILTER(PriceList!$Q$4:$Q$2641&amp;" x "&amp;PriceList!$R$4:$R$2641&amp;" x "&amp;PriceList!$S$4:$S$2641,PriceList!$M$4:$M$2641=A1091,"")))</f>
        <v>124.3 x 135.7 x 5.7</v>
      </c>
      <c r="G1091" t="str" cm="1">
        <f t="array" ref="G1091">INDEX(_xlfn._xlws.FILTER(PriceList!$P$4:$P$2641,PriceList!$M$4:$M$2641=A1091,""),1)</f>
        <v>O Ring - NBR 70</v>
      </c>
    </row>
    <row r="1092" spans="1:7" x14ac:dyDescent="0.45">
      <c r="A1092" t="s">
        <v>5058</v>
      </c>
      <c r="B1092">
        <f>COUNTIF(PriceList!$M$4:$M$2641,A1092)</f>
        <v>3</v>
      </c>
      <c r="C1092" t="str">
        <f>IF(B1092=1,"1:1","1:Many")</f>
        <v>1:Many</v>
      </c>
      <c r="D1092" s="42" t="str" cm="1">
        <f t="array" ref="D1092">_xlfn.TEXTJOIN(" | ",TRUE,_xlfn._xlws.FILTER(PriceList!$B$4:$B$2641,PriceList!$M$4:$M$2641=A1092,""))</f>
        <v>ORV8 123.20-6.99 | ORV8 124.2-5.7 | ORV8 125-5</v>
      </c>
      <c r="E1092" t="str" cm="1">
        <f t="array" ref="E1092">_xlfn.TEXTJOIN(", ",TRUE,_xlfn._xlws.FILTER(ROW(PriceList!$B$4:$B$2641),PriceList!$M$4:$M$2641=A1092,""))</f>
        <v>2004, 2006, 2008</v>
      </c>
      <c r="F1092" s="42" t="str" cm="1">
        <f t="array" ref="F1092">_xlfn.TEXTJOIN(" | ",TRUE,_xlfn.UNIQUE(_xlfn._xlws.FILTER(PriceList!$Q$4:$Q$2641&amp;" x "&amp;PriceList!$R$4:$R$2641&amp;" x "&amp;PriceList!$S$4:$S$2641,PriceList!$M$4:$M$2641=A1092,"")))</f>
        <v>124.3 x 135.7 x 5.7</v>
      </c>
      <c r="G1092" t="str" cm="1">
        <f t="array" ref="G1092">INDEX(_xlfn._xlws.FILTER(PriceList!$P$4:$P$2641,PriceList!$M$4:$M$2641=A1092,""),1)</f>
        <v>O Ring - FPM/FKM/VitonÂ®</v>
      </c>
    </row>
    <row r="1093" spans="1:7" x14ac:dyDescent="0.45">
      <c r="A1093" t="s">
        <v>4530</v>
      </c>
      <c r="B1093">
        <f>COUNTIF(PriceList!$M$4:$M$2641,A1093)</f>
        <v>1</v>
      </c>
      <c r="C1093" t="str">
        <f>IF(B1093=1,"1:1","1:Many")</f>
        <v>1:1</v>
      </c>
      <c r="D1093" s="42" t="str" cm="1">
        <f t="array" ref="D1093">_xlfn.TEXTJOIN(" | ",TRUE,_xlfn._xlws.FILTER(PriceList!$B$4:$B$2641,PriceList!$M$4:$M$2641=A1093,""))</f>
        <v>OR9N 124.4-3.1</v>
      </c>
      <c r="E1093" t="str" cm="1">
        <f t="array" ref="E1093">_xlfn.TEXTJOIN(", ",TRUE,_xlfn._xlws.FILTER(ROW(PriceList!$B$4:$B$2641),PriceList!$M$4:$M$2641=A1093,""))</f>
        <v>1362</v>
      </c>
      <c r="F1093" s="42" t="str" cm="1">
        <f t="array" ref="F1093">_xlfn.TEXTJOIN(" | ",TRUE,_xlfn.UNIQUE(_xlfn._xlws.FILTER(PriceList!$Q$4:$Q$2641&amp;" x "&amp;PriceList!$R$4:$R$2641&amp;" x "&amp;PriceList!$S$4:$S$2641,PriceList!$M$4:$M$2641=A1093,"")))</f>
        <v>124.4 x 130.6 x 3.1</v>
      </c>
      <c r="G1093" t="str" cm="1">
        <f t="array" ref="G1093">INDEX(_xlfn._xlws.FILTER(PriceList!$P$4:$P$2641,PriceList!$M$4:$M$2641=A1093,""),1)</f>
        <v>O Ring - NBR 70</v>
      </c>
    </row>
    <row r="1094" spans="1:7" x14ac:dyDescent="0.45">
      <c r="A1094" t="s">
        <v>5061</v>
      </c>
      <c r="B1094">
        <f>COUNTIF(PriceList!$M$4:$M$2641,A1094)</f>
        <v>1</v>
      </c>
      <c r="C1094" t="str">
        <f>IF(B1094=1,"1:1","1:Many")</f>
        <v>1:1</v>
      </c>
      <c r="D1094" s="42" t="str" cm="1">
        <f t="array" ref="D1094">_xlfn.TEXTJOIN(" | ",TRUE,_xlfn._xlws.FILTER(PriceList!$B$4:$B$2641,PriceList!$M$4:$M$2641=A1094,""))</f>
        <v>ORV8 124.4-3.1</v>
      </c>
      <c r="E1094" t="str" cm="1">
        <f t="array" ref="E1094">_xlfn.TEXTJOIN(", ",TRUE,_xlfn._xlws.FILTER(ROW(PriceList!$B$4:$B$2641),PriceList!$M$4:$M$2641=A1094,""))</f>
        <v>2007</v>
      </c>
      <c r="F1094" s="42" t="str" cm="1">
        <f t="array" ref="F1094">_xlfn.TEXTJOIN(" | ",TRUE,_xlfn.UNIQUE(_xlfn._xlws.FILTER(PriceList!$Q$4:$Q$2641&amp;" x "&amp;PriceList!$R$4:$R$2641&amp;" x "&amp;PriceList!$S$4:$S$2641,PriceList!$M$4:$M$2641=A1094,"")))</f>
        <v>124.5 x 130.5 x 3</v>
      </c>
      <c r="G1094" t="str" cm="1">
        <f t="array" ref="G1094">INDEX(_xlfn._xlws.FILTER(PriceList!$P$4:$P$2641,PriceList!$M$4:$M$2641=A1094,""),1)</f>
        <v>O Ring - FPM/FKM/VitonÂ®</v>
      </c>
    </row>
    <row r="1095" spans="1:7" x14ac:dyDescent="0.45">
      <c r="A1095" t="s">
        <v>4531</v>
      </c>
      <c r="B1095">
        <f>COUNTIF(PriceList!$M$4:$M$2641,A1095)</f>
        <v>1</v>
      </c>
      <c r="C1095" t="str">
        <f>IF(B1095=1,"1:1","1:Many")</f>
        <v>1:1</v>
      </c>
      <c r="D1095" s="42" t="str" cm="1">
        <f t="array" ref="D1095">_xlfn.TEXTJOIN(" | ",TRUE,_xlfn._xlws.FILTER(PriceList!$B$4:$B$2641,PriceList!$M$4:$M$2641=A1095,""))</f>
        <v>OR9N 125-3</v>
      </c>
      <c r="E1095" t="str" cm="1">
        <f t="array" ref="E1095">_xlfn.TEXTJOIN(", ",TRUE,_xlfn._xlws.FILTER(ROW(PriceList!$B$4:$B$2641),PriceList!$M$4:$M$2641=A1095,""))</f>
        <v>1363</v>
      </c>
      <c r="F1095" s="42" t="str" cm="1">
        <f t="array" ref="F1095">_xlfn.TEXTJOIN(" | ",TRUE,_xlfn.UNIQUE(_xlfn._xlws.FILTER(PriceList!$Q$4:$Q$2641&amp;" x "&amp;PriceList!$R$4:$R$2641&amp;" x "&amp;PriceList!$S$4:$S$2641,PriceList!$M$4:$M$2641=A1095,"")))</f>
        <v>125 x 131 x 3</v>
      </c>
      <c r="G1095" t="str" cm="1">
        <f t="array" ref="G1095">INDEX(_xlfn._xlws.FILTER(PriceList!$P$4:$P$2641,PriceList!$M$4:$M$2641=A1095,""),1)</f>
        <v>O Ring - NBR 70</v>
      </c>
    </row>
    <row r="1096" spans="1:7" x14ac:dyDescent="0.45">
      <c r="A1096" t="s">
        <v>4533</v>
      </c>
      <c r="B1096">
        <f>COUNTIF(PriceList!$M$4:$M$2641,A1096)</f>
        <v>1</v>
      </c>
      <c r="C1096" t="str">
        <f>IF(B1096=1,"1:1","1:Many")</f>
        <v>1:1</v>
      </c>
      <c r="D1096" s="42" t="str" cm="1">
        <f t="array" ref="D1096">_xlfn.TEXTJOIN(" | ",TRUE,_xlfn._xlws.FILTER(PriceList!$B$4:$B$2641,PriceList!$M$4:$M$2641=A1096,""))</f>
        <v>OR9N 129.2-5.7</v>
      </c>
      <c r="E1096" t="str" cm="1">
        <f t="array" ref="E1096">_xlfn.TEXTJOIN(", ",TRUE,_xlfn._xlws.FILTER(ROW(PriceList!$B$4:$B$2641),PriceList!$M$4:$M$2641=A1096,""))</f>
        <v>1369</v>
      </c>
      <c r="F1096" s="42" t="str" cm="1">
        <f t="array" ref="F1096">_xlfn.TEXTJOIN(" | ",TRUE,_xlfn.UNIQUE(_xlfn._xlws.FILTER(PriceList!$Q$4:$Q$2641&amp;" x "&amp;PriceList!$R$4:$R$2641&amp;" x "&amp;PriceList!$S$4:$S$2641,PriceList!$M$4:$M$2641=A1096,"")))</f>
        <v>129.3 x 140.7 x 5.7</v>
      </c>
      <c r="G1096" t="str" cm="1">
        <f t="array" ref="G1096">INDEX(_xlfn._xlws.FILTER(PriceList!$P$4:$P$2641,PriceList!$M$4:$M$2641=A1096,""),1)</f>
        <v>O Ring - NBR 70</v>
      </c>
    </row>
    <row r="1097" spans="1:7" x14ac:dyDescent="0.45">
      <c r="A1097" t="s">
        <v>5067</v>
      </c>
      <c r="B1097">
        <f>COUNTIF(PriceList!$M$4:$M$2641,A1097)</f>
        <v>1</v>
      </c>
      <c r="C1097" t="str">
        <f>IF(B1097=1,"1:1","1:Many")</f>
        <v>1:1</v>
      </c>
      <c r="D1097" s="42" t="str" cm="1">
        <f t="array" ref="D1097">_xlfn.TEXTJOIN(" | ",TRUE,_xlfn._xlws.FILTER(PriceList!$B$4:$B$2641,PriceList!$M$4:$M$2641=A1097,""))</f>
        <v>ORV8 129.2-5.7</v>
      </c>
      <c r="E1097" t="str" cm="1">
        <f t="array" ref="E1097">_xlfn.TEXTJOIN(", ",TRUE,_xlfn._xlws.FILTER(ROW(PriceList!$B$4:$B$2641),PriceList!$M$4:$M$2641=A1097,""))</f>
        <v>2013</v>
      </c>
      <c r="F1097" s="42" t="str" cm="1">
        <f t="array" ref="F1097">_xlfn.TEXTJOIN(" | ",TRUE,_xlfn.UNIQUE(_xlfn._xlws.FILTER(PriceList!$Q$4:$Q$2641&amp;" x "&amp;PriceList!$R$4:$R$2641&amp;" x "&amp;PriceList!$S$4:$S$2641,PriceList!$M$4:$M$2641=A1097,"")))</f>
        <v>129.3 x 140.7 x 5.7</v>
      </c>
      <c r="G1097" t="str" cm="1">
        <f t="array" ref="G1097">INDEX(_xlfn._xlws.FILTER(PriceList!$P$4:$P$2641,PriceList!$M$4:$M$2641=A1097,""),1)</f>
        <v>O Ring - FPM/FKM/VitonÂ®</v>
      </c>
    </row>
    <row r="1098" spans="1:7" x14ac:dyDescent="0.45">
      <c r="A1098" t="s">
        <v>4223</v>
      </c>
      <c r="B1098">
        <f>COUNTIF(PriceList!$M$4:$M$2641,A1098)</f>
        <v>2</v>
      </c>
      <c r="C1098" t="str">
        <f>IF(B1098=1,"1:1","1:Many")</f>
        <v>1:Many</v>
      </c>
      <c r="D1098" s="42" t="str" cm="1">
        <f t="array" ref="D1098">_xlfn.TEXTJOIN(" | ",TRUE,_xlfn._xlws.FILTER(PriceList!$B$4:$B$2641,PriceList!$M$4:$M$2641=A1098,""))</f>
        <v>OR7N 129.4-3.1 | OR9N 129.4-3.1</v>
      </c>
      <c r="E1098" t="str" cm="1">
        <f t="array" ref="E1098">_xlfn.TEXTJOIN(", ",TRUE,_xlfn._xlws.FILTER(ROW(PriceList!$B$4:$B$2641),PriceList!$M$4:$M$2641=A1098,""))</f>
        <v>806, 1370</v>
      </c>
      <c r="F1098" s="42" t="str" cm="1">
        <f t="array" ref="F1098">_xlfn.TEXTJOIN(" | ",TRUE,_xlfn.UNIQUE(_xlfn._xlws.FILTER(PriceList!$Q$4:$Q$2641&amp;" x "&amp;PriceList!$R$4:$R$2641&amp;" x "&amp;PriceList!$S$4:$S$2641,PriceList!$M$4:$M$2641=A1098,"")))</f>
        <v>129.4 x 135.6 x 3.1</v>
      </c>
      <c r="G1098" t="str" cm="1">
        <f t="array" ref="G1098">INDEX(_xlfn._xlws.FILTER(PriceList!$P$4:$P$2641,PriceList!$M$4:$M$2641=A1098,""),1)</f>
        <v>O Ring - NBR 70</v>
      </c>
    </row>
    <row r="1099" spans="1:7" x14ac:dyDescent="0.45">
      <c r="A1099" t="s">
        <v>5068</v>
      </c>
      <c r="B1099">
        <f>COUNTIF(PriceList!$M$4:$M$2641,A1099)</f>
        <v>1</v>
      </c>
      <c r="C1099" t="str">
        <f>IF(B1099=1,"1:1","1:Many")</f>
        <v>1:1</v>
      </c>
      <c r="D1099" s="42" t="str" cm="1">
        <f t="array" ref="D1099">_xlfn.TEXTJOIN(" | ",TRUE,_xlfn._xlws.FILTER(PriceList!$B$4:$B$2641,PriceList!$M$4:$M$2641=A1099,""))</f>
        <v>ORV8 129.4-3.1</v>
      </c>
      <c r="E1099" t="str" cm="1">
        <f t="array" ref="E1099">_xlfn.TEXTJOIN(", ",TRUE,_xlfn._xlws.FILTER(ROW(PriceList!$B$4:$B$2641),PriceList!$M$4:$M$2641=A1099,""))</f>
        <v>2014</v>
      </c>
      <c r="F1099" s="42" t="str" cm="1">
        <f t="array" ref="F1099">_xlfn.TEXTJOIN(" | ",TRUE,_xlfn.UNIQUE(_xlfn._xlws.FILTER(PriceList!$Q$4:$Q$2641&amp;" x "&amp;PriceList!$R$4:$R$2641&amp;" x "&amp;PriceList!$S$4:$S$2641,PriceList!$M$4:$M$2641=A1099,"")))</f>
        <v>129.5 x 135.5 x 3</v>
      </c>
      <c r="G1099" t="str" cm="1">
        <f t="array" ref="G1099">INDEX(_xlfn._xlws.FILTER(PriceList!$P$4:$P$2641,PriceList!$M$4:$M$2641=A1099,""),1)</f>
        <v>O Ring - FPM/FKM/VitonÂ®</v>
      </c>
    </row>
    <row r="1100" spans="1:7" x14ac:dyDescent="0.45">
      <c r="A1100" t="s">
        <v>4226</v>
      </c>
      <c r="B1100">
        <f>COUNTIF(PriceList!$M$4:$M$2641,A1100)</f>
        <v>2</v>
      </c>
      <c r="C1100" t="str">
        <f>IF(B1100=1,"1:1","1:Many")</f>
        <v>1:Many</v>
      </c>
      <c r="D1100" s="42" t="str" cm="1">
        <f t="array" ref="D1100">_xlfn.TEXTJOIN(" | ",TRUE,_xlfn._xlws.FILTER(PriceList!$B$4:$B$2641,PriceList!$M$4:$M$2641=A1100,""))</f>
        <v>OR7N 129.77-3.53 | OR9N 129.77-3.53</v>
      </c>
      <c r="E1100" t="str" cm="1">
        <f t="array" ref="E1100">_xlfn.TEXTJOIN(", ",TRUE,_xlfn._xlws.FILTER(ROW(PriceList!$B$4:$B$2641),PriceList!$M$4:$M$2641=A1100,""))</f>
        <v>809, 1373</v>
      </c>
      <c r="F1100" s="42" t="str" cm="1">
        <f t="array" ref="F1100">_xlfn.TEXTJOIN(" | ",TRUE,_xlfn.UNIQUE(_xlfn._xlws.FILTER(PriceList!$Q$4:$Q$2641&amp;" x "&amp;PriceList!$R$4:$R$2641&amp;" x "&amp;PriceList!$S$4:$S$2641,PriceList!$M$4:$M$2641=A1100,"")))</f>
        <v>130 x 137 x 3.5</v>
      </c>
      <c r="G1100" t="str" cm="1">
        <f t="array" ref="G1100">INDEX(_xlfn._xlws.FILTER(PriceList!$P$4:$P$2641,PriceList!$M$4:$M$2641=A1100,""),1)</f>
        <v>O Ring - NBR 70</v>
      </c>
    </row>
    <row r="1101" spans="1:7" x14ac:dyDescent="0.45">
      <c r="A1101" t="s">
        <v>4228</v>
      </c>
      <c r="B1101">
        <f>COUNTIF(PriceList!$M$4:$M$2641,A1101)</f>
        <v>2</v>
      </c>
      <c r="C1101" t="str">
        <f>IF(B1101=1,"1:1","1:Many")</f>
        <v>1:Many</v>
      </c>
      <c r="D1101" s="42" t="str" cm="1">
        <f t="array" ref="D1101">_xlfn.TEXTJOIN(" | ",TRUE,_xlfn._xlws.FILTER(PriceList!$B$4:$B$2641,PriceList!$M$4:$M$2641=A1101,""))</f>
        <v>OR7N 130-5 | OR9N 130-5</v>
      </c>
      <c r="E1101" t="str" cm="1">
        <f t="array" ref="E1101">_xlfn.TEXTJOIN(", ",TRUE,_xlfn._xlws.FILTER(ROW(PriceList!$B$4:$B$2641),PriceList!$M$4:$M$2641=A1101,""))</f>
        <v>810, 1374</v>
      </c>
      <c r="F1101" s="42" t="str" cm="1">
        <f t="array" ref="F1101">_xlfn.TEXTJOIN(" | ",TRUE,_xlfn.UNIQUE(_xlfn._xlws.FILTER(PriceList!$Q$4:$Q$2641&amp;" x "&amp;PriceList!$R$4:$R$2641&amp;" x "&amp;PriceList!$S$4:$S$2641,PriceList!$M$4:$M$2641=A1101,"")))</f>
        <v>130 x 140 x 5</v>
      </c>
      <c r="G1101" t="str" cm="1">
        <f t="array" ref="G1101">INDEX(_xlfn._xlws.FILTER(PriceList!$P$4:$P$2641,PriceList!$M$4:$M$2641=A1101,""),1)</f>
        <v>O Ring - NBR 70</v>
      </c>
    </row>
    <row r="1102" spans="1:7" x14ac:dyDescent="0.45">
      <c r="A1102" t="s">
        <v>5074</v>
      </c>
      <c r="B1102">
        <f>COUNTIF(PriceList!$M$4:$M$2641,A1102)</f>
        <v>1</v>
      </c>
      <c r="C1102" t="str">
        <f>IF(B1102=1,"1:1","1:Many")</f>
        <v>1:1</v>
      </c>
      <c r="D1102" s="42" t="str" cm="1">
        <f t="array" ref="D1102">_xlfn.TEXTJOIN(" | ",TRUE,_xlfn._xlws.FILTER(PriceList!$B$4:$B$2641,PriceList!$M$4:$M$2641=A1102,""))</f>
        <v>ORV8 132-4</v>
      </c>
      <c r="E1102" t="str" cm="1">
        <f t="array" ref="E1102">_xlfn.TEXTJOIN(", ",TRUE,_xlfn._xlws.FILTER(ROW(PriceList!$B$4:$B$2641),PriceList!$M$4:$M$2641=A1102,""))</f>
        <v>2020</v>
      </c>
      <c r="F1102" s="42" t="str" cm="1">
        <f t="array" ref="F1102">_xlfn.TEXTJOIN(" | ",TRUE,_xlfn.UNIQUE(_xlfn._xlws.FILTER(PriceList!$Q$4:$Q$2641&amp;" x "&amp;PriceList!$R$4:$R$2641&amp;" x "&amp;PriceList!$S$4:$S$2641,PriceList!$M$4:$M$2641=A1102,"")))</f>
        <v>132 x 140 x 4</v>
      </c>
      <c r="G1102" t="str" cm="1">
        <f t="array" ref="G1102">INDEX(_xlfn._xlws.FILTER(PriceList!$P$4:$P$2641,PriceList!$M$4:$M$2641=A1102,""),1)</f>
        <v>O Ring - FPM/FKM/VitonÂ®</v>
      </c>
    </row>
    <row r="1103" spans="1:7" x14ac:dyDescent="0.45">
      <c r="A1103" t="s">
        <v>5075</v>
      </c>
      <c r="B1103">
        <f>COUNTIF(PriceList!$M$4:$M$2641,A1103)</f>
        <v>1</v>
      </c>
      <c r="C1103" t="str">
        <f>IF(B1103=1,"1:1","1:Many")</f>
        <v>1:1</v>
      </c>
      <c r="D1103" s="42" t="str" cm="1">
        <f t="array" ref="D1103">_xlfn.TEXTJOIN(" | ",TRUE,_xlfn._xlws.FILTER(PriceList!$B$4:$B$2641,PriceList!$M$4:$M$2641=A1103,""))</f>
        <v>ORV8 132-5</v>
      </c>
      <c r="E1103" t="str" cm="1">
        <f t="array" ref="E1103">_xlfn.TEXTJOIN(", ",TRUE,_xlfn._xlws.FILTER(ROW(PriceList!$B$4:$B$2641),PriceList!$M$4:$M$2641=A1103,""))</f>
        <v>2021</v>
      </c>
      <c r="F1103" s="42" t="str" cm="1">
        <f t="array" ref="F1103">_xlfn.TEXTJOIN(" | ",TRUE,_xlfn.UNIQUE(_xlfn._xlws.FILTER(PriceList!$Q$4:$Q$2641&amp;" x "&amp;PriceList!$R$4:$R$2641&amp;" x "&amp;PriceList!$S$4:$S$2641,PriceList!$M$4:$M$2641=A1103,"")))</f>
        <v>133 x 141 x 4</v>
      </c>
      <c r="G1103" t="str" cm="1">
        <f t="array" ref="G1103">INDEX(_xlfn._xlws.FILTER(PriceList!$P$4:$P$2641,PriceList!$M$4:$M$2641=A1103,""),1)</f>
        <v>O Ring - FPM/FKM/VitonÂ®</v>
      </c>
    </row>
    <row r="1104" spans="1:7" x14ac:dyDescent="0.45">
      <c r="A1104" t="s">
        <v>5080</v>
      </c>
      <c r="B1104">
        <f>COUNTIF(PriceList!$M$4:$M$2641,A1104)</f>
        <v>1</v>
      </c>
      <c r="C1104" t="str">
        <f>IF(B1104=1,"1:1","1:Many")</f>
        <v>1:1</v>
      </c>
      <c r="D1104" s="42" t="str" cm="1">
        <f t="array" ref="D1104">_xlfn.TEXTJOIN(" | ",TRUE,_xlfn._xlws.FILTER(PriceList!$B$4:$B$2641,PriceList!$M$4:$M$2641=A1104,""))</f>
        <v>ORV8 134.4-3.1</v>
      </c>
      <c r="E1104" t="str" cm="1">
        <f t="array" ref="E1104">_xlfn.TEXTJOIN(", ",TRUE,_xlfn._xlws.FILTER(ROW(PriceList!$B$4:$B$2641),PriceList!$M$4:$M$2641=A1104,""))</f>
        <v>2025</v>
      </c>
      <c r="F1104" s="42" t="str" cm="1">
        <f t="array" ref="F1104">_xlfn.TEXTJOIN(" | ",TRUE,_xlfn.UNIQUE(_xlfn._xlws.FILTER(PriceList!$Q$4:$Q$2641&amp;" x "&amp;PriceList!$R$4:$R$2641&amp;" x "&amp;PriceList!$S$4:$S$2641,PriceList!$M$4:$M$2641=A1104,"")))</f>
        <v>134 x 140 x 3</v>
      </c>
      <c r="G1104" t="str" cm="1">
        <f t="array" ref="G1104">INDEX(_xlfn._xlws.FILTER(PriceList!$P$4:$P$2641,PriceList!$M$4:$M$2641=A1104,""),1)</f>
        <v>O Ring - FPM/FKM/VitonÂ®</v>
      </c>
    </row>
    <row r="1105" spans="1:7" x14ac:dyDescent="0.45">
      <c r="A1105" t="s">
        <v>4233</v>
      </c>
      <c r="B1105">
        <f>COUNTIF(PriceList!$M$4:$M$2641,A1105)</f>
        <v>2</v>
      </c>
      <c r="C1105" t="str">
        <f>IF(B1105=1,"1:1","1:Many")</f>
        <v>1:Many</v>
      </c>
      <c r="D1105" s="42" t="str" cm="1">
        <f t="array" ref="D1105">_xlfn.TEXTJOIN(" | ",TRUE,_xlfn._xlws.FILTER(PriceList!$B$4:$B$2641,PriceList!$M$4:$M$2641=A1105,""))</f>
        <v>OR7N 134.2-5.7 | OR9N 134.2-5.7</v>
      </c>
      <c r="E1105" t="str" cm="1">
        <f t="array" ref="E1105">_xlfn.TEXTJOIN(", ",TRUE,_xlfn._xlws.FILTER(ROW(PriceList!$B$4:$B$2641),PriceList!$M$4:$M$2641=A1105,""))</f>
        <v>815, 1379</v>
      </c>
      <c r="F1105" s="42" t="str" cm="1">
        <f t="array" ref="F1105">_xlfn.TEXTJOIN(" | ",TRUE,_xlfn.UNIQUE(_xlfn._xlws.FILTER(PriceList!$Q$4:$Q$2641&amp;" x "&amp;PriceList!$R$4:$R$2641&amp;" x "&amp;PriceList!$S$4:$S$2641,PriceList!$M$4:$M$2641=A1105,"")))</f>
        <v>134.3 x 145.7 x 5.7</v>
      </c>
      <c r="G1105" t="str" cm="1">
        <f t="array" ref="G1105">INDEX(_xlfn._xlws.FILTER(PriceList!$P$4:$P$2641,PriceList!$M$4:$M$2641=A1105,""),1)</f>
        <v>O Ring - NBR 70</v>
      </c>
    </row>
    <row r="1106" spans="1:7" x14ac:dyDescent="0.45">
      <c r="A1106" t="s">
        <v>4234</v>
      </c>
      <c r="B1106">
        <f>COUNTIF(PriceList!$M$4:$M$2641,A1106)</f>
        <v>2</v>
      </c>
      <c r="C1106" t="str">
        <f>IF(B1106=1,"1:1","1:Many")</f>
        <v>1:Many</v>
      </c>
      <c r="D1106" s="42" t="str" cm="1">
        <f t="array" ref="D1106">_xlfn.TEXTJOIN(" | ",TRUE,_xlfn._xlws.FILTER(PriceList!$B$4:$B$2641,PriceList!$M$4:$M$2641=A1106,""))</f>
        <v>OR7N 134.4-3.1 | OR9N 134.4-3.1</v>
      </c>
      <c r="E1106" t="str" cm="1">
        <f t="array" ref="E1106">_xlfn.TEXTJOIN(", ",TRUE,_xlfn._xlws.FILTER(ROW(PriceList!$B$4:$B$2641),PriceList!$M$4:$M$2641=A1106,""))</f>
        <v>816, 1380</v>
      </c>
      <c r="F1106" s="42" t="str" cm="1">
        <f t="array" ref="F1106">_xlfn.TEXTJOIN(" | ",TRUE,_xlfn.UNIQUE(_xlfn._xlws.FILTER(PriceList!$Q$4:$Q$2641&amp;" x "&amp;PriceList!$R$4:$R$2641&amp;" x "&amp;PriceList!$S$4:$S$2641,PriceList!$M$4:$M$2641=A1106,"")))</f>
        <v>134.4 x 140.6 x 3.1</v>
      </c>
      <c r="G1106" t="str" cm="1">
        <f t="array" ref="G1106">INDEX(_xlfn._xlws.FILTER(PriceList!$P$4:$P$2641,PriceList!$M$4:$M$2641=A1106,""),1)</f>
        <v>O Ring - NBR 70</v>
      </c>
    </row>
    <row r="1107" spans="1:7" x14ac:dyDescent="0.45">
      <c r="A1107" t="s">
        <v>4534</v>
      </c>
      <c r="B1107">
        <f>COUNTIF(PriceList!$M$4:$M$2641,A1107)</f>
        <v>1</v>
      </c>
      <c r="C1107" t="str">
        <f>IF(B1107=1,"1:1","1:Many")</f>
        <v>1:1</v>
      </c>
      <c r="D1107" s="42" t="str" cm="1">
        <f t="array" ref="D1107">_xlfn.TEXTJOIN(" | ",TRUE,_xlfn._xlws.FILTER(PriceList!$B$4:$B$2641,PriceList!$M$4:$M$2641=A1107,""))</f>
        <v>OR9N 135-3</v>
      </c>
      <c r="E1107" t="str" cm="1">
        <f t="array" ref="E1107">_xlfn.TEXTJOIN(", ",TRUE,_xlfn._xlws.FILTER(ROW(PriceList!$B$4:$B$2641),PriceList!$M$4:$M$2641=A1107,""))</f>
        <v>1383</v>
      </c>
      <c r="F1107" s="42" t="str" cm="1">
        <f t="array" ref="F1107">_xlfn.TEXTJOIN(" | ",TRUE,_xlfn.UNIQUE(_xlfn._xlws.FILTER(PriceList!$Q$4:$Q$2641&amp;" x "&amp;PriceList!$R$4:$R$2641&amp;" x "&amp;PriceList!$S$4:$S$2641,PriceList!$M$4:$M$2641=A1107,"")))</f>
        <v>135 x 141 x 3</v>
      </c>
      <c r="G1107" t="str" cm="1">
        <f t="array" ref="G1107">INDEX(_xlfn._xlws.FILTER(PriceList!$P$4:$P$2641,PriceList!$M$4:$M$2641=A1107,""),1)</f>
        <v>O Ring - NBR 70</v>
      </c>
    </row>
    <row r="1108" spans="1:7" x14ac:dyDescent="0.45">
      <c r="A1108" t="s">
        <v>4535</v>
      </c>
      <c r="B1108">
        <f>COUNTIF(PriceList!$M$4:$M$2641,A1108)</f>
        <v>1</v>
      </c>
      <c r="C1108" t="str">
        <f>IF(B1108=1,"1:1","1:Many")</f>
        <v>1:1</v>
      </c>
      <c r="D1108" s="42" t="str" cm="1">
        <f t="array" ref="D1108">_xlfn.TEXTJOIN(" | ",TRUE,_xlfn._xlws.FILTER(PriceList!$B$4:$B$2641,PriceList!$M$4:$M$2641=A1108,""))</f>
        <v>OR9N 135-5</v>
      </c>
      <c r="E1108" t="str" cm="1">
        <f t="array" ref="E1108">_xlfn.TEXTJOIN(", ",TRUE,_xlfn._xlws.FILTER(ROW(PriceList!$B$4:$B$2641),PriceList!$M$4:$M$2641=A1108,""))</f>
        <v>1384</v>
      </c>
      <c r="F1108" s="42" t="str" cm="1">
        <f t="array" ref="F1108">_xlfn.TEXTJOIN(" | ",TRUE,_xlfn.UNIQUE(_xlfn._xlws.FILTER(PriceList!$Q$4:$Q$2641&amp;" x "&amp;PriceList!$R$4:$R$2641&amp;" x "&amp;PriceList!$S$4:$S$2641,PriceList!$M$4:$M$2641=A1108,"")))</f>
        <v>135 x 145 x 5</v>
      </c>
      <c r="G1108" t="str" cm="1">
        <f t="array" ref="G1108">INDEX(_xlfn._xlws.FILTER(PriceList!$P$4:$P$2641,PriceList!$M$4:$M$2641=A1108,""),1)</f>
        <v>O Ring - NBR 70</v>
      </c>
    </row>
    <row r="1109" spans="1:7" x14ac:dyDescent="0.45">
      <c r="A1109" t="s">
        <v>4536</v>
      </c>
      <c r="B1109">
        <f>COUNTIF(PriceList!$M$4:$M$2641,A1109)</f>
        <v>1</v>
      </c>
      <c r="C1109" t="str">
        <f>IF(B1109=1,"1:1","1:Many")</f>
        <v>1:1</v>
      </c>
      <c r="D1109" s="42" t="str" cm="1">
        <f t="array" ref="D1109">_xlfn.TEXTJOIN(" | ",TRUE,_xlfn._xlws.FILTER(PriceList!$B$4:$B$2641,PriceList!$M$4:$M$2641=A1109,""))</f>
        <v>OR9N 137-3</v>
      </c>
      <c r="E1109" t="str" cm="1">
        <f t="array" ref="E1109">_xlfn.TEXTJOIN(", ",TRUE,_xlfn._xlws.FILTER(ROW(PriceList!$B$4:$B$2641),PriceList!$M$4:$M$2641=A1109,""))</f>
        <v>1386</v>
      </c>
      <c r="F1109" s="42" t="str" cm="1">
        <f t="array" ref="F1109">_xlfn.TEXTJOIN(" | ",TRUE,_xlfn.UNIQUE(_xlfn._xlws.FILTER(PriceList!$Q$4:$Q$2641&amp;" x "&amp;PriceList!$R$4:$R$2641&amp;" x "&amp;PriceList!$S$4:$S$2641,PriceList!$M$4:$M$2641=A1109,"")))</f>
        <v>137 x 143 x 3</v>
      </c>
      <c r="G1109" t="str" cm="1">
        <f t="array" ref="G1109">INDEX(_xlfn._xlws.FILTER(PriceList!$P$4:$P$2641,PriceList!$M$4:$M$2641=A1109,""),1)</f>
        <v>O Ring - NBR 70</v>
      </c>
    </row>
    <row r="1110" spans="1:7" x14ac:dyDescent="0.45">
      <c r="A1110" t="s">
        <v>4241</v>
      </c>
      <c r="B1110">
        <f>COUNTIF(PriceList!$M$4:$M$2641,A1110)</f>
        <v>2</v>
      </c>
      <c r="C1110" t="str">
        <f>IF(B1110=1,"1:1","1:Many")</f>
        <v>1:Many</v>
      </c>
      <c r="D1110" s="42" t="str" cm="1">
        <f t="array" ref="D1110">_xlfn.TEXTJOIN(" | ",TRUE,_xlfn._xlws.FILTER(PriceList!$B$4:$B$2641,PriceList!$M$4:$M$2641=A1110,""))</f>
        <v>OR7N 139.2-5.7 | OR9N 139.2-5.7</v>
      </c>
      <c r="E1110" t="str" cm="1">
        <f t="array" ref="E1110">_xlfn.TEXTJOIN(", ",TRUE,_xlfn._xlws.FILTER(ROW(PriceList!$B$4:$B$2641),PriceList!$M$4:$M$2641=A1110,""))</f>
        <v>823, 1390</v>
      </c>
      <c r="F1110" s="42" t="str" cm="1">
        <f t="array" ref="F1110">_xlfn.TEXTJOIN(" | ",TRUE,_xlfn.UNIQUE(_xlfn._xlws.FILTER(PriceList!$Q$4:$Q$2641&amp;" x "&amp;PriceList!$R$4:$R$2641&amp;" x "&amp;PriceList!$S$4:$S$2641,PriceList!$M$4:$M$2641=A1110,"")))</f>
        <v>139.3 x 150.7 x 5.7</v>
      </c>
      <c r="G1110" t="str" cm="1">
        <f t="array" ref="G1110">INDEX(_xlfn._xlws.FILTER(PriceList!$P$4:$P$2641,PriceList!$M$4:$M$2641=A1110,""),1)</f>
        <v>O Ring - NBR 70</v>
      </c>
    </row>
    <row r="1111" spans="1:7" x14ac:dyDescent="0.45">
      <c r="A1111" t="s">
        <v>5087</v>
      </c>
      <c r="B1111">
        <f>COUNTIF(PriceList!$M$4:$M$2641,A1111)</f>
        <v>1</v>
      </c>
      <c r="C1111" t="str">
        <f>IF(B1111=1,"1:1","1:Many")</f>
        <v>1:1</v>
      </c>
      <c r="D1111" s="42" t="str" cm="1">
        <f t="array" ref="D1111">_xlfn.TEXTJOIN(" | ",TRUE,_xlfn._xlws.FILTER(PriceList!$B$4:$B$2641,PriceList!$M$4:$M$2641=A1111,""))</f>
        <v>ORV8 139.2-5.7</v>
      </c>
      <c r="E1111" t="str" cm="1">
        <f t="array" ref="E1111">_xlfn.TEXTJOIN(", ",TRUE,_xlfn._xlws.FILTER(ROW(PriceList!$B$4:$B$2641),PriceList!$M$4:$M$2641=A1111,""))</f>
        <v>2033</v>
      </c>
      <c r="F1111" s="42" t="str" cm="1">
        <f t="array" ref="F1111">_xlfn.TEXTJOIN(" | ",TRUE,_xlfn.UNIQUE(_xlfn._xlws.FILTER(PriceList!$Q$4:$Q$2641&amp;" x "&amp;PriceList!$R$4:$R$2641&amp;" x "&amp;PriceList!$S$4:$S$2641,PriceList!$M$4:$M$2641=A1111,"")))</f>
        <v>139.3 x 150.7 x 5.7</v>
      </c>
      <c r="G1111" t="str" cm="1">
        <f t="array" ref="G1111">INDEX(_xlfn._xlws.FILTER(PriceList!$P$4:$P$2641,PriceList!$M$4:$M$2641=A1111,""),1)</f>
        <v>O Ring - FPM/FKM/VitonÂ®</v>
      </c>
    </row>
    <row r="1112" spans="1:7" x14ac:dyDescent="0.45">
      <c r="A1112" t="s">
        <v>4242</v>
      </c>
      <c r="B1112">
        <f>COUNTIF(PriceList!$M$4:$M$2641,A1112)</f>
        <v>2</v>
      </c>
      <c r="C1112" t="str">
        <f>IF(B1112=1,"1:1","1:Many")</f>
        <v>1:Many</v>
      </c>
      <c r="D1112" s="42" t="str" cm="1">
        <f t="array" ref="D1112">_xlfn.TEXTJOIN(" | ",TRUE,_xlfn._xlws.FILTER(PriceList!$B$4:$B$2641,PriceList!$M$4:$M$2641=A1112,""))</f>
        <v>OR7N 139.4-3.1 | OR9N 139.4-3.1</v>
      </c>
      <c r="E1112" t="str" cm="1">
        <f t="array" ref="E1112">_xlfn.TEXTJOIN(", ",TRUE,_xlfn._xlws.FILTER(ROW(PriceList!$B$4:$B$2641),PriceList!$M$4:$M$2641=A1112,""))</f>
        <v>824, 1391</v>
      </c>
      <c r="F1112" s="42" t="str" cm="1">
        <f t="array" ref="F1112">_xlfn.TEXTJOIN(" | ",TRUE,_xlfn.UNIQUE(_xlfn._xlws.FILTER(PriceList!$Q$4:$Q$2641&amp;" x "&amp;PriceList!$R$4:$R$2641&amp;" x "&amp;PriceList!$S$4:$S$2641,PriceList!$M$4:$M$2641=A1112,"")))</f>
        <v>139.4 x 145.6 x 3.1</v>
      </c>
      <c r="G1112" t="str" cm="1">
        <f t="array" ref="G1112">INDEX(_xlfn._xlws.FILTER(PriceList!$P$4:$P$2641,PriceList!$M$4:$M$2641=A1112,""),1)</f>
        <v>O Ring - NBR 70</v>
      </c>
    </row>
    <row r="1113" spans="1:7" x14ac:dyDescent="0.45">
      <c r="A1113" t="s">
        <v>5088</v>
      </c>
      <c r="B1113">
        <f>COUNTIF(PriceList!$M$4:$M$2641,A1113)</f>
        <v>1</v>
      </c>
      <c r="C1113" t="str">
        <f>IF(B1113=1,"1:1","1:Many")</f>
        <v>1:1</v>
      </c>
      <c r="D1113" s="42" t="str" cm="1">
        <f t="array" ref="D1113">_xlfn.TEXTJOIN(" | ",TRUE,_xlfn._xlws.FILTER(PriceList!$B$4:$B$2641,PriceList!$M$4:$M$2641=A1113,""))</f>
        <v>ORV8 139.4-3.1</v>
      </c>
      <c r="E1113" t="str" cm="1">
        <f t="array" ref="E1113">_xlfn.TEXTJOIN(", ",TRUE,_xlfn._xlws.FILTER(ROW(PriceList!$B$4:$B$2641),PriceList!$M$4:$M$2641=A1113,""))</f>
        <v>2034</v>
      </c>
      <c r="F1113" s="42" t="str" cm="1">
        <f t="array" ref="F1113">_xlfn.TEXTJOIN(" | ",TRUE,_xlfn.UNIQUE(_xlfn._xlws.FILTER(PriceList!$Q$4:$Q$2641&amp;" x "&amp;PriceList!$R$4:$R$2641&amp;" x "&amp;PriceList!$S$4:$S$2641,PriceList!$M$4:$M$2641=A1113,"")))</f>
        <v>139.5 x 145.5 x 3</v>
      </c>
      <c r="G1113" t="str" cm="1">
        <f t="array" ref="G1113">INDEX(_xlfn._xlws.FILTER(PriceList!$P$4:$P$2641,PriceList!$M$4:$M$2641=A1113,""),1)</f>
        <v>O Ring - FPM/FKM/VitonÂ®</v>
      </c>
    </row>
    <row r="1114" spans="1:7" x14ac:dyDescent="0.45">
      <c r="A1114" t="s">
        <v>4243</v>
      </c>
      <c r="B1114">
        <f>COUNTIF(PriceList!$M$4:$M$2641,A1114)</f>
        <v>2</v>
      </c>
      <c r="C1114" t="str">
        <f>IF(B1114=1,"1:1","1:Many")</f>
        <v>1:Many</v>
      </c>
      <c r="D1114" s="42" t="str" cm="1">
        <f t="array" ref="D1114">_xlfn.TEXTJOIN(" | ",TRUE,_xlfn._xlws.FILTER(PriceList!$B$4:$B$2641,PriceList!$M$4:$M$2641=A1114,""))</f>
        <v>OR7N 140-5 | OR9N 140-5</v>
      </c>
      <c r="E1114" t="str" cm="1">
        <f t="array" ref="E1114">_xlfn.TEXTJOIN(", ",TRUE,_xlfn._xlws.FILTER(ROW(PriceList!$B$4:$B$2641),PriceList!$M$4:$M$2641=A1114,""))</f>
        <v>825, 1392</v>
      </c>
      <c r="F1114" s="42" t="str" cm="1">
        <f t="array" ref="F1114">_xlfn.TEXTJOIN(" | ",TRUE,_xlfn.UNIQUE(_xlfn._xlws.FILTER(PriceList!$Q$4:$Q$2641&amp;" x "&amp;PriceList!$R$4:$R$2641&amp;" x "&amp;PriceList!$S$4:$S$2641,PriceList!$M$4:$M$2641=A1114,"")))</f>
        <v>140 x 150 x 5</v>
      </c>
      <c r="G1114" t="str" cm="1">
        <f t="array" ref="G1114">INDEX(_xlfn._xlws.FILTER(PriceList!$P$4:$P$2641,PriceList!$M$4:$M$2641=A1114,""),1)</f>
        <v>O Ring - NBR 70</v>
      </c>
    </row>
    <row r="1115" spans="1:7" x14ac:dyDescent="0.45">
      <c r="A1115" t="s">
        <v>5089</v>
      </c>
      <c r="B1115">
        <f>COUNTIF(PriceList!$M$4:$M$2641,A1115)</f>
        <v>1</v>
      </c>
      <c r="C1115" t="str">
        <f>IF(B1115=1,"1:1","1:Many")</f>
        <v>1:1</v>
      </c>
      <c r="D1115" s="42" t="str" cm="1">
        <f t="array" ref="D1115">_xlfn.TEXTJOIN(" | ",TRUE,_xlfn._xlws.FILTER(PriceList!$B$4:$B$2641,PriceList!$M$4:$M$2641=A1115,""))</f>
        <v>ORV8 140-5</v>
      </c>
      <c r="E1115" t="str" cm="1">
        <f t="array" ref="E1115">_xlfn.TEXTJOIN(", ",TRUE,_xlfn._xlws.FILTER(ROW(PriceList!$B$4:$B$2641),PriceList!$M$4:$M$2641=A1115,""))</f>
        <v>2035</v>
      </c>
      <c r="F1115" s="42" t="str" cm="1">
        <f t="array" ref="F1115">_xlfn.TEXTJOIN(" | ",TRUE,_xlfn.UNIQUE(_xlfn._xlws.FILTER(PriceList!$Q$4:$Q$2641&amp;" x "&amp;PriceList!$R$4:$R$2641&amp;" x "&amp;PriceList!$S$4:$S$2641,PriceList!$M$4:$M$2641=A1115,"")))</f>
        <v>140.2 x 149 x 4.4</v>
      </c>
      <c r="G1115" t="str" cm="1">
        <f t="array" ref="G1115">INDEX(_xlfn._xlws.FILTER(PriceList!$P$4:$P$2641,PriceList!$M$4:$M$2641=A1115,""),1)</f>
        <v>O Ring - FPM/FKM/VitonÂ®</v>
      </c>
    </row>
    <row r="1116" spans="1:7" x14ac:dyDescent="0.45">
      <c r="A1116" t="s">
        <v>4247</v>
      </c>
      <c r="B1116">
        <f>COUNTIF(PriceList!$M$4:$M$2641,A1116)</f>
        <v>2</v>
      </c>
      <c r="C1116" t="str">
        <f>IF(B1116=1,"1:1","1:Many")</f>
        <v>1:Many</v>
      </c>
      <c r="D1116" s="42" t="str" cm="1">
        <f t="array" ref="D1116">_xlfn.TEXTJOIN(" | ",TRUE,_xlfn._xlws.FILTER(PriceList!$B$4:$B$2641,PriceList!$M$4:$M$2641=A1116,""))</f>
        <v>OR7N 144.2-5.7 | OR9N 144.2-5.7</v>
      </c>
      <c r="E1116" t="str" cm="1">
        <f t="array" ref="E1116">_xlfn.TEXTJOIN(", ",TRUE,_xlfn._xlws.FILTER(ROW(PriceList!$B$4:$B$2641),PriceList!$M$4:$M$2641=A1116,""))</f>
        <v>829, 1396</v>
      </c>
      <c r="F1116" s="42" t="str" cm="1">
        <f t="array" ref="F1116">_xlfn.TEXTJOIN(" | ",TRUE,_xlfn.UNIQUE(_xlfn._xlws.FILTER(PriceList!$Q$4:$Q$2641&amp;" x "&amp;PriceList!$R$4:$R$2641&amp;" x "&amp;PriceList!$S$4:$S$2641,PriceList!$M$4:$M$2641=A1116,"")))</f>
        <v>144.3 x 155.7 x 5.7</v>
      </c>
      <c r="G1116" t="str" cm="1">
        <f t="array" ref="G1116">INDEX(_xlfn._xlws.FILTER(PriceList!$P$4:$P$2641,PriceList!$M$4:$M$2641=A1116,""),1)</f>
        <v>O Ring - NBR 70</v>
      </c>
    </row>
    <row r="1117" spans="1:7" x14ac:dyDescent="0.45">
      <c r="A1117" t="s">
        <v>5093</v>
      </c>
      <c r="B1117">
        <f>COUNTIF(PriceList!$M$4:$M$2641,A1117)</f>
        <v>1</v>
      </c>
      <c r="C1117" t="str">
        <f>IF(B1117=1,"1:1","1:Many")</f>
        <v>1:1</v>
      </c>
      <c r="D1117" s="42" t="str" cm="1">
        <f t="array" ref="D1117">_xlfn.TEXTJOIN(" | ",TRUE,_xlfn._xlws.FILTER(PriceList!$B$4:$B$2641,PriceList!$M$4:$M$2641=A1117,""))</f>
        <v>ORV8 144.2-5.7</v>
      </c>
      <c r="E1117" t="str" cm="1">
        <f t="array" ref="E1117">_xlfn.TEXTJOIN(", ",TRUE,_xlfn._xlws.FILTER(ROW(PriceList!$B$4:$B$2641),PriceList!$M$4:$M$2641=A1117,""))</f>
        <v>2038</v>
      </c>
      <c r="F1117" s="42" t="str" cm="1">
        <f t="array" ref="F1117">_xlfn.TEXTJOIN(" | ",TRUE,_xlfn.UNIQUE(_xlfn._xlws.FILTER(PriceList!$Q$4:$Q$2641&amp;" x "&amp;PriceList!$R$4:$R$2641&amp;" x "&amp;PriceList!$S$4:$S$2641,PriceList!$M$4:$M$2641=A1117,"")))</f>
        <v>144.3 x 155.7 x 5.7</v>
      </c>
      <c r="G1117" t="str" cm="1">
        <f t="array" ref="G1117">INDEX(_xlfn._xlws.FILTER(PriceList!$P$4:$P$2641,PriceList!$M$4:$M$2641=A1117,""),1)</f>
        <v>O Ring - FPM/FKM/VitonÂ®</v>
      </c>
    </row>
    <row r="1118" spans="1:7" x14ac:dyDescent="0.45">
      <c r="A1118" t="s">
        <v>4537</v>
      </c>
      <c r="B1118">
        <f>COUNTIF(PriceList!$M$4:$M$2641,A1118)</f>
        <v>1</v>
      </c>
      <c r="C1118" t="str">
        <f>IF(B1118=1,"1:1","1:Many")</f>
        <v>1:1</v>
      </c>
      <c r="D1118" s="42" t="str" cm="1">
        <f t="array" ref="D1118">_xlfn.TEXTJOIN(" | ",TRUE,_xlfn._xlws.FILTER(PriceList!$B$4:$B$2641,PriceList!$M$4:$M$2641=A1118,""))</f>
        <v>OR9N 144.4-3.1</v>
      </c>
      <c r="E1118" t="str" cm="1">
        <f t="array" ref="E1118">_xlfn.TEXTJOIN(", ",TRUE,_xlfn._xlws.FILTER(ROW(PriceList!$B$4:$B$2641),PriceList!$M$4:$M$2641=A1118,""))</f>
        <v>1397</v>
      </c>
      <c r="F1118" s="42" t="str" cm="1">
        <f t="array" ref="F1118">_xlfn.TEXTJOIN(" | ",TRUE,_xlfn.UNIQUE(_xlfn._xlws.FILTER(PriceList!$Q$4:$Q$2641&amp;" x "&amp;PriceList!$R$4:$R$2641&amp;" x "&amp;PriceList!$S$4:$S$2641,PriceList!$M$4:$M$2641=A1118,"")))</f>
        <v>144.4 x 150.6 x 3.1</v>
      </c>
      <c r="G1118" t="str" cm="1">
        <f t="array" ref="G1118">INDEX(_xlfn._xlws.FILTER(PriceList!$P$4:$P$2641,PriceList!$M$4:$M$2641=A1118,""),1)</f>
        <v>O Ring - NBR 70</v>
      </c>
    </row>
    <row r="1119" spans="1:7" x14ac:dyDescent="0.45">
      <c r="A1119" t="s">
        <v>5094</v>
      </c>
      <c r="B1119">
        <f>COUNTIF(PriceList!$M$4:$M$2641,A1119)</f>
        <v>1</v>
      </c>
      <c r="C1119" t="str">
        <f>IF(B1119=1,"1:1","1:Many")</f>
        <v>1:1</v>
      </c>
      <c r="D1119" s="42" t="str" cm="1">
        <f t="array" ref="D1119">_xlfn.TEXTJOIN(" | ",TRUE,_xlfn._xlws.FILTER(PriceList!$B$4:$B$2641,PriceList!$M$4:$M$2641=A1119,""))</f>
        <v>ORV8 144.4-3.1</v>
      </c>
      <c r="E1119" t="str" cm="1">
        <f t="array" ref="E1119">_xlfn.TEXTJOIN(", ",TRUE,_xlfn._xlws.FILTER(ROW(PriceList!$B$4:$B$2641),PriceList!$M$4:$M$2641=A1119,""))</f>
        <v>2039</v>
      </c>
      <c r="F1119" s="42" t="str" cm="1">
        <f t="array" ref="F1119">_xlfn.TEXTJOIN(" | ",TRUE,_xlfn.UNIQUE(_xlfn._xlws.FILTER(PriceList!$Q$4:$Q$2641&amp;" x "&amp;PriceList!$R$4:$R$2641&amp;" x "&amp;PriceList!$S$4:$S$2641,PriceList!$M$4:$M$2641=A1119,"")))</f>
        <v>144.5 x 150.5 x 3</v>
      </c>
      <c r="G1119" t="str" cm="1">
        <f t="array" ref="G1119">INDEX(_xlfn._xlws.FILTER(PriceList!$P$4:$P$2641,PriceList!$M$4:$M$2641=A1119,""),1)</f>
        <v>O Ring - FPM/FKM/VitonÂ®</v>
      </c>
    </row>
    <row r="1120" spans="1:7" x14ac:dyDescent="0.45">
      <c r="A1120" t="s">
        <v>4538</v>
      </c>
      <c r="B1120">
        <f>COUNTIF(PriceList!$M$4:$M$2641,A1120)</f>
        <v>1</v>
      </c>
      <c r="C1120" t="str">
        <f>IF(B1120=1,"1:1","1:Many")</f>
        <v>1:1</v>
      </c>
      <c r="D1120" s="42" t="str" cm="1">
        <f t="array" ref="D1120">_xlfn.TEXTJOIN(" | ",TRUE,_xlfn._xlws.FILTER(PriceList!$B$4:$B$2641,PriceList!$M$4:$M$2641=A1120,""))</f>
        <v>OR9N 149.2-5.7</v>
      </c>
      <c r="E1120" t="str" cm="1">
        <f t="array" ref="E1120">_xlfn.TEXTJOIN(", ",TRUE,_xlfn._xlws.FILTER(ROW(PriceList!$B$4:$B$2641),PriceList!$M$4:$M$2641=A1120,""))</f>
        <v>1404</v>
      </c>
      <c r="F1120" s="42" t="str" cm="1">
        <f t="array" ref="F1120">_xlfn.TEXTJOIN(" | ",TRUE,_xlfn.UNIQUE(_xlfn._xlws.FILTER(PriceList!$Q$4:$Q$2641&amp;" x "&amp;PriceList!$R$4:$R$2641&amp;" x "&amp;PriceList!$S$4:$S$2641,PriceList!$M$4:$M$2641=A1120,"")))</f>
        <v>149.3 x 160.7 x 5.7</v>
      </c>
      <c r="G1120" t="str" cm="1">
        <f t="array" ref="G1120">INDEX(_xlfn._xlws.FILTER(PriceList!$P$4:$P$2641,PriceList!$M$4:$M$2641=A1120,""),1)</f>
        <v>O Ring - NBR 70</v>
      </c>
    </row>
    <row r="1121" spans="1:7" x14ac:dyDescent="0.45">
      <c r="A1121" t="s">
        <v>5104</v>
      </c>
      <c r="B1121">
        <f>COUNTIF(PriceList!$M$4:$M$2641,A1121)</f>
        <v>1</v>
      </c>
      <c r="C1121" t="str">
        <f>IF(B1121=1,"1:1","1:Many")</f>
        <v>1:1</v>
      </c>
      <c r="D1121" s="42" t="str" cm="1">
        <f t="array" ref="D1121">_xlfn.TEXTJOIN(" | ",TRUE,_xlfn._xlws.FILTER(PriceList!$B$4:$B$2641,PriceList!$M$4:$M$2641=A1121,""))</f>
        <v>ORV8 149.2-5.7</v>
      </c>
      <c r="E1121" t="str" cm="1">
        <f t="array" ref="E1121">_xlfn.TEXTJOIN(", ",TRUE,_xlfn._xlws.FILTER(ROW(PriceList!$B$4:$B$2641),PriceList!$M$4:$M$2641=A1121,""))</f>
        <v>2048</v>
      </c>
      <c r="F1121" s="42" t="str" cm="1">
        <f t="array" ref="F1121">_xlfn.TEXTJOIN(" | ",TRUE,_xlfn.UNIQUE(_xlfn._xlws.FILTER(PriceList!$Q$4:$Q$2641&amp;" x "&amp;PriceList!$R$4:$R$2641&amp;" x "&amp;PriceList!$S$4:$S$2641,PriceList!$M$4:$M$2641=A1121,"")))</f>
        <v>149.3 x 160.7 x 5.7</v>
      </c>
      <c r="G1121" t="str" cm="1">
        <f t="array" ref="G1121">INDEX(_xlfn._xlws.FILTER(PriceList!$P$4:$P$2641,PriceList!$M$4:$M$2641=A1121,""),1)</f>
        <v>O Ring - FPM/FKM/VitonÂ®</v>
      </c>
    </row>
    <row r="1122" spans="1:7" x14ac:dyDescent="0.45">
      <c r="A1122" t="s">
        <v>5105</v>
      </c>
      <c r="B1122">
        <f>COUNTIF(PriceList!$M$4:$M$2641,A1122)</f>
        <v>1</v>
      </c>
      <c r="C1122" t="str">
        <f>IF(B1122=1,"1:1","1:Many")</f>
        <v>1:1</v>
      </c>
      <c r="D1122" s="42" t="str" cm="1">
        <f t="array" ref="D1122">_xlfn.TEXTJOIN(" | ",TRUE,_xlfn._xlws.FILTER(PriceList!$B$4:$B$2641,PriceList!$M$4:$M$2641=A1122,""))</f>
        <v>ORV8 149.4-3.1</v>
      </c>
      <c r="E1122" t="str" cm="1">
        <f t="array" ref="E1122">_xlfn.TEXTJOIN(", ",TRUE,_xlfn._xlws.FILTER(ROW(PriceList!$B$4:$B$2641),PriceList!$M$4:$M$2641=A1122,""))</f>
        <v>2049</v>
      </c>
      <c r="F1122" s="42" t="str" cm="1">
        <f t="array" ref="F1122">_xlfn.TEXTJOIN(" | ",TRUE,_xlfn.UNIQUE(_xlfn._xlws.FILTER(PriceList!$Q$4:$Q$2641&amp;" x "&amp;PriceList!$R$4:$R$2641&amp;" x "&amp;PriceList!$S$4:$S$2641,PriceList!$M$4:$M$2641=A1122,"")))</f>
        <v>149.5 x 155.5 x 3</v>
      </c>
      <c r="G1122" t="str" cm="1">
        <f t="array" ref="G1122">INDEX(_xlfn._xlws.FILTER(PriceList!$P$4:$P$2641,PriceList!$M$4:$M$2641=A1122,""),1)</f>
        <v>O Ring - FPM/FKM/VitonÂ®</v>
      </c>
    </row>
    <row r="1123" spans="1:7" x14ac:dyDescent="0.45">
      <c r="A1123" t="s">
        <v>4539</v>
      </c>
      <c r="B1123">
        <f>COUNTIF(PriceList!$M$4:$M$2641,A1123)</f>
        <v>1</v>
      </c>
      <c r="C1123" t="str">
        <f>IF(B1123=1,"1:1","1:Many")</f>
        <v>1:1</v>
      </c>
      <c r="D1123" s="42" t="str" cm="1">
        <f t="array" ref="D1123">_xlfn.TEXTJOIN(" | ",TRUE,_xlfn._xlws.FILTER(PriceList!$B$4:$B$2641,PriceList!$M$4:$M$2641=A1123,""))</f>
        <v>OR9N 149.5-8.4</v>
      </c>
      <c r="E1123" t="str" cm="1">
        <f t="array" ref="E1123">_xlfn.TEXTJOIN(", ",TRUE,_xlfn._xlws.FILTER(ROW(PriceList!$B$4:$B$2641),PriceList!$M$4:$M$2641=A1123,""))</f>
        <v>1405</v>
      </c>
      <c r="F1123" s="42" t="str" cm="1">
        <f t="array" ref="F1123">_xlfn.TEXTJOIN(" | ",TRUE,_xlfn.UNIQUE(_xlfn._xlws.FILTER(PriceList!$Q$4:$Q$2641&amp;" x "&amp;PriceList!$R$4:$R$2641&amp;" x "&amp;PriceList!$S$4:$S$2641,PriceList!$M$4:$M$2641=A1123,"")))</f>
        <v>149.5 x 166.3 x 8.4</v>
      </c>
      <c r="G1123" t="str" cm="1">
        <f t="array" ref="G1123">INDEX(_xlfn._xlws.FILTER(PriceList!$P$4:$P$2641,PriceList!$M$4:$M$2641=A1123,""),1)</f>
        <v>O Ring - NBR 90</v>
      </c>
    </row>
    <row r="1124" spans="1:7" x14ac:dyDescent="0.45">
      <c r="A1124" t="s">
        <v>4254</v>
      </c>
      <c r="B1124">
        <f>COUNTIF(PriceList!$M$4:$M$2641,A1124)</f>
        <v>2</v>
      </c>
      <c r="C1124" t="str">
        <f>IF(B1124=1,"1:1","1:Many")</f>
        <v>1:Many</v>
      </c>
      <c r="D1124" s="42" t="str" cm="1">
        <f t="array" ref="D1124">_xlfn.TEXTJOIN(" | ",TRUE,_xlfn._xlws.FILTER(PriceList!$B$4:$B$2641,PriceList!$M$4:$M$2641=A1124,""))</f>
        <v>OR7N 150-5 | OR9N 150-5</v>
      </c>
      <c r="E1124" t="str" cm="1">
        <f t="array" ref="E1124">_xlfn.TEXTJOIN(", ",TRUE,_xlfn._xlws.FILTER(ROW(PriceList!$B$4:$B$2641),PriceList!$M$4:$M$2641=A1124,""))</f>
        <v>836, 1406</v>
      </c>
      <c r="F1124" s="42" t="str" cm="1">
        <f t="array" ref="F1124">_xlfn.TEXTJOIN(" | ",TRUE,_xlfn.UNIQUE(_xlfn._xlws.FILTER(PriceList!$Q$4:$Q$2641&amp;" x "&amp;PriceList!$R$4:$R$2641&amp;" x "&amp;PriceList!$S$4:$S$2641,PriceList!$M$4:$M$2641=A1124,"")))</f>
        <v>150 x 160 x 5</v>
      </c>
      <c r="G1124" t="str" cm="1">
        <f t="array" ref="G1124">INDEX(_xlfn._xlws.FILTER(PriceList!$P$4:$P$2641,PriceList!$M$4:$M$2641=A1124,""),1)</f>
        <v>O Ring - NBR 70</v>
      </c>
    </row>
    <row r="1125" spans="1:7" x14ac:dyDescent="0.45">
      <c r="A1125" t="s">
        <v>5106</v>
      </c>
      <c r="B1125">
        <f>COUNTIF(PriceList!$M$4:$M$2641,A1125)</f>
        <v>1</v>
      </c>
      <c r="C1125" t="str">
        <f>IF(B1125=1,"1:1","1:Many")</f>
        <v>1:1</v>
      </c>
      <c r="D1125" s="42" t="str" cm="1">
        <f t="array" ref="D1125">_xlfn.TEXTJOIN(" | ",TRUE,_xlfn._xlws.FILTER(PriceList!$B$4:$B$2641,PriceList!$M$4:$M$2641=A1125,""))</f>
        <v>ORV8 150-5</v>
      </c>
      <c r="E1125" t="str" cm="1">
        <f t="array" ref="E1125">_xlfn.TEXTJOIN(", ",TRUE,_xlfn._xlws.FILTER(ROW(PriceList!$B$4:$B$2641),PriceList!$M$4:$M$2641=A1125,""))</f>
        <v>2050</v>
      </c>
      <c r="F1125" s="42" t="str" cm="1">
        <f t="array" ref="F1125">_xlfn.TEXTJOIN(" | ",TRUE,_xlfn.UNIQUE(_xlfn._xlws.FILTER(PriceList!$Q$4:$Q$2641&amp;" x "&amp;PriceList!$R$4:$R$2641&amp;" x "&amp;PriceList!$S$4:$S$2641,PriceList!$M$4:$M$2641=A1125,"")))</f>
        <v>150 x 160 x 5</v>
      </c>
      <c r="G1125" t="str" cm="1">
        <f t="array" ref="G1125">INDEX(_xlfn._xlws.FILTER(PriceList!$P$4:$P$2641,PriceList!$M$4:$M$2641=A1125,""),1)</f>
        <v>O Ring - FPM/FKM/VitonÂ®</v>
      </c>
    </row>
    <row r="1126" spans="1:7" x14ac:dyDescent="0.45">
      <c r="A1126" t="s">
        <v>4540</v>
      </c>
      <c r="B1126">
        <f>COUNTIF(PriceList!$M$4:$M$2641,A1126)</f>
        <v>1</v>
      </c>
      <c r="C1126" t="str">
        <f>IF(B1126=1,"1:1","1:Many")</f>
        <v>1:1</v>
      </c>
      <c r="D1126" s="42" t="str" cm="1">
        <f t="array" ref="D1126">_xlfn.TEXTJOIN(" | ",TRUE,_xlfn._xlws.FILTER(PriceList!$B$4:$B$2641,PriceList!$M$4:$M$2641=A1126,""))</f>
        <v>OR9N 152-3</v>
      </c>
      <c r="E1126" t="str" cm="1">
        <f t="array" ref="E1126">_xlfn.TEXTJOIN(", ",TRUE,_xlfn._xlws.FILTER(ROW(PriceList!$B$4:$B$2641),PriceList!$M$4:$M$2641=A1126,""))</f>
        <v>1410</v>
      </c>
      <c r="F1126" s="42" t="str" cm="1">
        <f t="array" ref="F1126">_xlfn.TEXTJOIN(" | ",TRUE,_xlfn.UNIQUE(_xlfn._xlws.FILTER(PriceList!$Q$4:$Q$2641&amp;" x "&amp;PriceList!$R$4:$R$2641&amp;" x "&amp;PriceList!$S$4:$S$2641,PriceList!$M$4:$M$2641=A1126,"")))</f>
        <v>152 x 158 x 3</v>
      </c>
      <c r="G1126" t="str" cm="1">
        <f t="array" ref="G1126">INDEX(_xlfn._xlws.FILTER(PriceList!$P$4:$P$2641,PriceList!$M$4:$M$2641=A1126,""),1)</f>
        <v>O Ring - NBR 70</v>
      </c>
    </row>
    <row r="1127" spans="1:7" x14ac:dyDescent="0.45">
      <c r="A1127" t="s">
        <v>4258</v>
      </c>
      <c r="B1127">
        <f>COUNTIF(PriceList!$M$4:$M$2641,A1127)</f>
        <v>2</v>
      </c>
      <c r="C1127" t="str">
        <f>IF(B1127=1,"1:1","1:Many")</f>
        <v>1:Many</v>
      </c>
      <c r="D1127" s="42" t="str" cm="1">
        <f t="array" ref="D1127">_xlfn.TEXTJOIN(" | ",TRUE,_xlfn._xlws.FILTER(PriceList!$B$4:$B$2641,PriceList!$M$4:$M$2641=A1127,""))</f>
        <v>OR7N 154.2-5.7 | OR9N 154.2-5.7</v>
      </c>
      <c r="E1127" t="str" cm="1">
        <f t="array" ref="E1127">_xlfn.TEXTJOIN(", ",TRUE,_xlfn._xlws.FILTER(ROW(PriceList!$B$4:$B$2641),PriceList!$M$4:$M$2641=A1127,""))</f>
        <v>840, 1411</v>
      </c>
      <c r="F1127" s="42" t="str" cm="1">
        <f t="array" ref="F1127">_xlfn.TEXTJOIN(" | ",TRUE,_xlfn.UNIQUE(_xlfn._xlws.FILTER(PriceList!$Q$4:$Q$2641&amp;" x "&amp;PriceList!$R$4:$R$2641&amp;" x "&amp;PriceList!$S$4:$S$2641,PriceList!$M$4:$M$2641=A1127,"")))</f>
        <v>154.3 x 165.7 x 5.7</v>
      </c>
      <c r="G1127" t="str" cm="1">
        <f t="array" ref="G1127">INDEX(_xlfn._xlws.FILTER(PriceList!$P$4:$P$2641,PriceList!$M$4:$M$2641=A1127,""),1)</f>
        <v>O Ring - NBR 70</v>
      </c>
    </row>
    <row r="1128" spans="1:7" x14ac:dyDescent="0.45">
      <c r="A1128" t="s">
        <v>5112</v>
      </c>
      <c r="B1128">
        <f>COUNTIF(PriceList!$M$4:$M$2641,A1128)</f>
        <v>2</v>
      </c>
      <c r="C1128" t="str">
        <f>IF(B1128=1,"1:1","1:Many")</f>
        <v>1:Many</v>
      </c>
      <c r="D1128" s="42" t="str" cm="1">
        <f t="array" ref="D1128">_xlfn.TEXTJOIN(" | ",TRUE,_xlfn._xlws.FILTER(PriceList!$B$4:$B$2641,PriceList!$M$4:$M$2641=A1128,""))</f>
        <v>ORV8 154.2-5.7 | ORV8 154.48-5.33</v>
      </c>
      <c r="E1128" t="str" cm="1">
        <f t="array" ref="E1128">_xlfn.TEXTJOIN(", ",TRUE,_xlfn._xlws.FILTER(ROW(PriceList!$B$4:$B$2641),PriceList!$M$4:$M$2641=A1128,""))</f>
        <v>2056, 2057</v>
      </c>
      <c r="F1128" s="42" t="str" cm="1">
        <f t="array" ref="F1128">_xlfn.TEXTJOIN(" | ",TRUE,_xlfn.UNIQUE(_xlfn._xlws.FILTER(PriceList!$Q$4:$Q$2641&amp;" x "&amp;PriceList!$R$4:$R$2641&amp;" x "&amp;PriceList!$S$4:$S$2641,PriceList!$M$4:$M$2641=A1128,"")))</f>
        <v>154.3 x 165.7 x 5.7</v>
      </c>
      <c r="G1128" t="str" cm="1">
        <f t="array" ref="G1128">INDEX(_xlfn._xlws.FILTER(PriceList!$P$4:$P$2641,PriceList!$M$4:$M$2641=A1128,""),1)</f>
        <v>O Ring - FPM/FKM/VitonÂ®</v>
      </c>
    </row>
    <row r="1129" spans="1:7" x14ac:dyDescent="0.45">
      <c r="A1129" t="s">
        <v>5114</v>
      </c>
      <c r="B1129">
        <f>COUNTIF(PriceList!$M$4:$M$2641,A1129)</f>
        <v>3</v>
      </c>
      <c r="C1129" t="str">
        <f>IF(B1129=1,"1:1","1:Many")</f>
        <v>1:Many</v>
      </c>
      <c r="D1129" s="42" t="str" cm="1">
        <f t="array" ref="D1129">_xlfn.TEXTJOIN(" | ",TRUE,_xlfn._xlws.FILTER(PriceList!$B$4:$B$2641,PriceList!$M$4:$M$2641=A1129,""))</f>
        <v>ORV8 154.4-3.1 | ORV8 155.76-2.62 | ORV8 156-1.78</v>
      </c>
      <c r="E1129" t="str" cm="1">
        <f t="array" ref="E1129">_xlfn.TEXTJOIN(", ",TRUE,_xlfn._xlws.FILTER(ROW(PriceList!$B$4:$B$2641),PriceList!$M$4:$M$2641=A1129,""))</f>
        <v>2058, 2059, 2060</v>
      </c>
      <c r="F1129" s="42" t="str" cm="1">
        <f t="array" ref="F1129">_xlfn.TEXTJOIN(" | ",TRUE,_xlfn.UNIQUE(_xlfn._xlws.FILTER(PriceList!$Q$4:$Q$2641&amp;" x "&amp;PriceList!$R$4:$R$2641&amp;" x "&amp;PriceList!$S$4:$S$2641,PriceList!$M$4:$M$2641=A1129,"")))</f>
        <v>154.5 x 160.5 x 3</v>
      </c>
      <c r="G1129" t="str" cm="1">
        <f t="array" ref="G1129">INDEX(_xlfn._xlws.FILTER(PriceList!$P$4:$P$2641,PriceList!$M$4:$M$2641=A1129,""),1)</f>
        <v>O Ring - FPM/FKM/VitonÂ®</v>
      </c>
    </row>
    <row r="1130" spans="1:7" x14ac:dyDescent="0.45">
      <c r="A1130" t="s">
        <v>4541</v>
      </c>
      <c r="B1130">
        <f>COUNTIF(PriceList!$M$4:$M$2641,A1130)</f>
        <v>1</v>
      </c>
      <c r="C1130" t="str">
        <f>IF(B1130=1,"1:1","1:Many")</f>
        <v>1:1</v>
      </c>
      <c r="D1130" s="42" t="str" cm="1">
        <f t="array" ref="D1130">_xlfn.TEXTJOIN(" | ",TRUE,_xlfn._xlws.FILTER(PriceList!$B$4:$B$2641,PriceList!$M$4:$M$2641=A1130,""))</f>
        <v>OR9N 154.5-8.4</v>
      </c>
      <c r="E1130" t="str" cm="1">
        <f t="array" ref="E1130">_xlfn.TEXTJOIN(", ",TRUE,_xlfn._xlws.FILTER(ROW(PriceList!$B$4:$B$2641),PriceList!$M$4:$M$2641=A1130,""))</f>
        <v>1412</v>
      </c>
      <c r="F1130" s="42" t="str" cm="1">
        <f t="array" ref="F1130">_xlfn.TEXTJOIN(" | ",TRUE,_xlfn.UNIQUE(_xlfn._xlws.FILTER(PriceList!$Q$4:$Q$2641&amp;" x "&amp;PriceList!$R$4:$R$2641&amp;" x "&amp;PriceList!$S$4:$S$2641,PriceList!$M$4:$M$2641=A1130,"")))</f>
        <v>154.5 x 171.3 x 8.4</v>
      </c>
      <c r="G1130" t="str" cm="1">
        <f t="array" ref="G1130">INDEX(_xlfn._xlws.FILTER(PriceList!$P$4:$P$2641,PriceList!$M$4:$M$2641=A1130,""),1)</f>
        <v>O Ring - NBR 70</v>
      </c>
    </row>
    <row r="1131" spans="1:7" x14ac:dyDescent="0.45">
      <c r="A1131" t="s">
        <v>4542</v>
      </c>
      <c r="B1131">
        <f>COUNTIF(PriceList!$M$4:$M$2641,A1131)</f>
        <v>1</v>
      </c>
      <c r="C1131" t="str">
        <f>IF(B1131=1,"1:1","1:Many")</f>
        <v>1:1</v>
      </c>
      <c r="D1131" s="42" t="str" cm="1">
        <f t="array" ref="D1131">_xlfn.TEXTJOIN(" | ",TRUE,_xlfn._xlws.FILTER(PriceList!$B$4:$B$2641,PriceList!$M$4:$M$2641=A1131,""))</f>
        <v>OR9N 159.5-8.4</v>
      </c>
      <c r="E1131" t="str" cm="1">
        <f t="array" ref="E1131">_xlfn.TEXTJOIN(", ",TRUE,_xlfn._xlws.FILTER(ROW(PriceList!$B$4:$B$2641),PriceList!$M$4:$M$2641=A1131,""))</f>
        <v>1417</v>
      </c>
      <c r="F1131" s="42" t="str" cm="1">
        <f t="array" ref="F1131">_xlfn.TEXTJOIN(" | ",TRUE,_xlfn.UNIQUE(_xlfn._xlws.FILTER(PriceList!$Q$4:$Q$2641&amp;" x "&amp;PriceList!$R$4:$R$2641&amp;" x "&amp;PriceList!$S$4:$S$2641,PriceList!$M$4:$M$2641=A1131,"")))</f>
        <v>159.1 x 175.9 x 8.4</v>
      </c>
      <c r="G1131" t="str" cm="1">
        <f t="array" ref="G1131">INDEX(_xlfn._xlws.FILTER(PriceList!$P$4:$P$2641,PriceList!$M$4:$M$2641=A1131,""),1)</f>
        <v>O Ring - NBR 70</v>
      </c>
    </row>
    <row r="1132" spans="1:7" x14ac:dyDescent="0.45">
      <c r="A1132" t="s">
        <v>4262</v>
      </c>
      <c r="B1132">
        <f>COUNTIF(PriceList!$M$4:$M$2641,A1132)</f>
        <v>2</v>
      </c>
      <c r="C1132" t="str">
        <f>IF(B1132=1,"1:1","1:Many")</f>
        <v>1:Many</v>
      </c>
      <c r="D1132" s="42" t="str" cm="1">
        <f t="array" ref="D1132">_xlfn.TEXTJOIN(" | ",TRUE,_xlfn._xlws.FILTER(PriceList!$B$4:$B$2641,PriceList!$M$4:$M$2641=A1132,""))</f>
        <v>OR7N 159.2-5.7 | OR9N 159.2-5.7</v>
      </c>
      <c r="E1132" t="str" cm="1">
        <f t="array" ref="E1132">_xlfn.TEXTJOIN(", ",TRUE,_xlfn._xlws.FILTER(ROW(PriceList!$B$4:$B$2641),PriceList!$M$4:$M$2641=A1132,""))</f>
        <v>844, 1416</v>
      </c>
      <c r="F1132" s="42" t="str" cm="1">
        <f t="array" ref="F1132">_xlfn.TEXTJOIN(" | ",TRUE,_xlfn.UNIQUE(_xlfn._xlws.FILTER(PriceList!$Q$4:$Q$2641&amp;" x "&amp;PriceList!$R$4:$R$2641&amp;" x "&amp;PriceList!$S$4:$S$2641,PriceList!$M$4:$M$2641=A1132,"")))</f>
        <v>159.3 x 170.7 x 5.7</v>
      </c>
      <c r="G1132" t="str" cm="1">
        <f t="array" ref="G1132">INDEX(_xlfn._xlws.FILTER(PriceList!$P$4:$P$2641,PriceList!$M$4:$M$2641=A1132,""),1)</f>
        <v>O Ring - NBR 70</v>
      </c>
    </row>
    <row r="1133" spans="1:7" x14ac:dyDescent="0.45">
      <c r="A1133" t="s">
        <v>5120</v>
      </c>
      <c r="B1133">
        <f>COUNTIF(PriceList!$M$4:$M$2641,A1133)</f>
        <v>2</v>
      </c>
      <c r="C1133" t="str">
        <f>IF(B1133=1,"1:1","1:Many")</f>
        <v>1:Many</v>
      </c>
      <c r="D1133" s="42" t="str" cm="1">
        <f t="array" ref="D1133">_xlfn.TEXTJOIN(" | ",TRUE,_xlfn._xlws.FILTER(PriceList!$B$4:$B$2641,PriceList!$M$4:$M$2641=A1133,""))</f>
        <v>ORV8 159.2-5.7 | ORV8 160-5</v>
      </c>
      <c r="E1133" t="str" cm="1">
        <f t="array" ref="E1133">_xlfn.TEXTJOIN(", ",TRUE,_xlfn._xlws.FILTER(ROW(PriceList!$B$4:$B$2641),PriceList!$M$4:$M$2641=A1133,""))</f>
        <v>2064, 2066</v>
      </c>
      <c r="F1133" s="42" t="str" cm="1">
        <f t="array" ref="F1133">_xlfn.TEXTJOIN(" | ",TRUE,_xlfn.UNIQUE(_xlfn._xlws.FILTER(PriceList!$Q$4:$Q$2641&amp;" x "&amp;PriceList!$R$4:$R$2641&amp;" x "&amp;PriceList!$S$4:$S$2641,PriceList!$M$4:$M$2641=A1133,"")))</f>
        <v>159.3 x 170.7 x 5.7</v>
      </c>
      <c r="G1133" t="str" cm="1">
        <f t="array" ref="G1133">INDEX(_xlfn._xlws.FILTER(PriceList!$P$4:$P$2641,PriceList!$M$4:$M$2641=A1133,""),1)</f>
        <v>O Ring - FPM/FKM/VitonÂ®</v>
      </c>
    </row>
    <row r="1134" spans="1:7" x14ac:dyDescent="0.45">
      <c r="A1134" t="s">
        <v>5121</v>
      </c>
      <c r="B1134">
        <f>COUNTIF(PriceList!$M$4:$M$2641,A1134)</f>
        <v>1</v>
      </c>
      <c r="C1134" t="str">
        <f>IF(B1134=1,"1:1","1:Many")</f>
        <v>1:1</v>
      </c>
      <c r="D1134" s="42" t="str" cm="1">
        <f t="array" ref="D1134">_xlfn.TEXTJOIN(" | ",TRUE,_xlfn._xlws.FILTER(PriceList!$B$4:$B$2641,PriceList!$M$4:$M$2641=A1134,""))</f>
        <v>ORV8 159.4-3.1</v>
      </c>
      <c r="E1134" t="str" cm="1">
        <f t="array" ref="E1134">_xlfn.TEXTJOIN(", ",TRUE,_xlfn._xlws.FILTER(ROW(PriceList!$B$4:$B$2641),PriceList!$M$4:$M$2641=A1134,""))</f>
        <v>2065</v>
      </c>
      <c r="F1134" s="42" t="str" cm="1">
        <f t="array" ref="F1134">_xlfn.TEXTJOIN(" | ",TRUE,_xlfn.UNIQUE(_xlfn._xlws.FILTER(PriceList!$Q$4:$Q$2641&amp;" x "&amp;PriceList!$R$4:$R$2641&amp;" x "&amp;PriceList!$S$4:$S$2641,PriceList!$M$4:$M$2641=A1134,"")))</f>
        <v>159.5 x 165.5 x 3</v>
      </c>
      <c r="G1134" t="str" cm="1">
        <f t="array" ref="G1134">INDEX(_xlfn._xlws.FILTER(PriceList!$P$4:$P$2641,PriceList!$M$4:$M$2641=A1134,""),1)</f>
        <v>O Ring - FPM/FKM/VitonÂ®</v>
      </c>
    </row>
    <row r="1135" spans="1:7" x14ac:dyDescent="0.45">
      <c r="A1135" t="s">
        <v>4543</v>
      </c>
      <c r="B1135">
        <f>COUNTIF(PriceList!$M$4:$M$2641,A1135)</f>
        <v>1</v>
      </c>
      <c r="C1135" t="str">
        <f>IF(B1135=1,"1:1","1:Many")</f>
        <v>1:1</v>
      </c>
      <c r="D1135" s="42" t="str" cm="1">
        <f t="array" ref="D1135">_xlfn.TEXTJOIN(" | ",TRUE,_xlfn._xlws.FILTER(PriceList!$B$4:$B$2641,PriceList!$M$4:$M$2641=A1135,""))</f>
        <v>OR9N 160-5</v>
      </c>
      <c r="E1135" t="str" cm="1">
        <f t="array" ref="E1135">_xlfn.TEXTJOIN(", ",TRUE,_xlfn._xlws.FILTER(ROW(PriceList!$B$4:$B$2641),PriceList!$M$4:$M$2641=A1135,""))</f>
        <v>1418</v>
      </c>
      <c r="F1135" s="42" t="str" cm="1">
        <f t="array" ref="F1135">_xlfn.TEXTJOIN(" | ",TRUE,_xlfn.UNIQUE(_xlfn._xlws.FILTER(PriceList!$Q$4:$Q$2641&amp;" x "&amp;PriceList!$R$4:$R$2641&amp;" x "&amp;PriceList!$S$4:$S$2641,PriceList!$M$4:$M$2641=A1135,"")))</f>
        <v>160 x 170 x 5</v>
      </c>
      <c r="G1135" t="str" cm="1">
        <f t="array" ref="G1135">INDEX(_xlfn._xlws.FILTER(PriceList!$P$4:$P$2641,PriceList!$M$4:$M$2641=A1135,""),1)</f>
        <v>O Ring - NBR 70</v>
      </c>
    </row>
    <row r="1136" spans="1:7" x14ac:dyDescent="0.45">
      <c r="A1136" t="s">
        <v>4263</v>
      </c>
      <c r="B1136">
        <f>COUNTIF(PriceList!$M$4:$M$2641,A1136)</f>
        <v>2</v>
      </c>
      <c r="C1136" t="str">
        <f>IF(B1136=1,"1:1","1:Many")</f>
        <v>1:Many</v>
      </c>
      <c r="D1136" s="42" t="str" cm="1">
        <f t="array" ref="D1136">_xlfn.TEXTJOIN(" | ",TRUE,_xlfn._xlws.FILTER(PriceList!$B$4:$B$2641,PriceList!$M$4:$M$2641=A1136,""))</f>
        <v>OR7N 164.2-5.7 | OR9N 164.2-5.7</v>
      </c>
      <c r="E1136" t="str" cm="1">
        <f t="array" ref="E1136">_xlfn.TEXTJOIN(", ",TRUE,_xlfn._xlws.FILTER(ROW(PriceList!$B$4:$B$2641),PriceList!$M$4:$M$2641=A1136,""))</f>
        <v>845, 1419</v>
      </c>
      <c r="F1136" s="42" t="str" cm="1">
        <f t="array" ref="F1136">_xlfn.TEXTJOIN(" | ",TRUE,_xlfn.UNIQUE(_xlfn._xlws.FILTER(PriceList!$Q$4:$Q$2641&amp;" x "&amp;PriceList!$R$4:$R$2641&amp;" x "&amp;PriceList!$S$4:$S$2641,PriceList!$M$4:$M$2641=A1136,"")))</f>
        <v>164.3 x 175.7 x 5.7</v>
      </c>
      <c r="G1136" t="str" cm="1">
        <f t="array" ref="G1136">INDEX(_xlfn._xlws.FILTER(PriceList!$P$4:$P$2641,PriceList!$M$4:$M$2641=A1136,""),1)</f>
        <v>O Ring - NBR 70</v>
      </c>
    </row>
    <row r="1137" spans="1:7" x14ac:dyDescent="0.45">
      <c r="A1137" t="s">
        <v>5122</v>
      </c>
      <c r="B1137">
        <f>COUNTIF(PriceList!$M$4:$M$2641,A1137)</f>
        <v>1</v>
      </c>
      <c r="C1137" t="str">
        <f>IF(B1137=1,"1:1","1:Many")</f>
        <v>1:1</v>
      </c>
      <c r="D1137" s="42" t="str" cm="1">
        <f t="array" ref="D1137">_xlfn.TEXTJOIN(" | ",TRUE,_xlfn._xlws.FILTER(PriceList!$B$4:$B$2641,PriceList!$M$4:$M$2641=A1137,""))</f>
        <v>ORV8 164.2-5.7</v>
      </c>
      <c r="E1137" t="str" cm="1">
        <f t="array" ref="E1137">_xlfn.TEXTJOIN(", ",TRUE,_xlfn._xlws.FILTER(ROW(PriceList!$B$4:$B$2641),PriceList!$M$4:$M$2641=A1137,""))</f>
        <v>2067</v>
      </c>
      <c r="F1137" s="42" t="str" cm="1">
        <f t="array" ref="F1137">_xlfn.TEXTJOIN(" | ",TRUE,_xlfn.UNIQUE(_xlfn._xlws.FILTER(PriceList!$Q$4:$Q$2641&amp;" x "&amp;PriceList!$R$4:$R$2641&amp;" x "&amp;PriceList!$S$4:$S$2641,PriceList!$M$4:$M$2641=A1137,"")))</f>
        <v>164.3 x 175.7 x 5.7</v>
      </c>
      <c r="G1137" t="str" cm="1">
        <f t="array" ref="G1137">INDEX(_xlfn._xlws.FILTER(PriceList!$P$4:$P$2641,PriceList!$M$4:$M$2641=A1137,""),1)</f>
        <v>O Ring - FPM/FKM/VitonÂ®</v>
      </c>
    </row>
    <row r="1138" spans="1:7" x14ac:dyDescent="0.45">
      <c r="A1138" t="s">
        <v>4544</v>
      </c>
      <c r="B1138">
        <f>COUNTIF(PriceList!$M$4:$M$2641,A1138)</f>
        <v>1</v>
      </c>
      <c r="C1138" t="str">
        <f>IF(B1138=1,"1:1","1:Many")</f>
        <v>1:1</v>
      </c>
      <c r="D1138" s="42" t="str" cm="1">
        <f t="array" ref="D1138">_xlfn.TEXTJOIN(" | ",TRUE,_xlfn._xlws.FILTER(PriceList!$B$4:$B$2641,PriceList!$M$4:$M$2641=A1138,""))</f>
        <v>OR9N 164.5-8.4</v>
      </c>
      <c r="E1138" t="str" cm="1">
        <f t="array" ref="E1138">_xlfn.TEXTJOIN(", ",TRUE,_xlfn._xlws.FILTER(ROW(PriceList!$B$4:$B$2641),PriceList!$M$4:$M$2641=A1138,""))</f>
        <v>1422</v>
      </c>
      <c r="F1138" s="42" t="str" cm="1">
        <f t="array" ref="F1138">_xlfn.TEXTJOIN(" | ",TRUE,_xlfn.UNIQUE(_xlfn._xlws.FILTER(PriceList!$Q$4:$Q$2641&amp;" x "&amp;PriceList!$R$4:$R$2641&amp;" x "&amp;PriceList!$S$4:$S$2641,PriceList!$M$4:$M$2641=A1138,"")))</f>
        <v>164.5 x 181.3 x 8.4</v>
      </c>
      <c r="G1138" t="str" cm="1">
        <f t="array" ref="G1138">INDEX(_xlfn._xlws.FILTER(PriceList!$P$4:$P$2641,PriceList!$M$4:$M$2641=A1138,""),1)</f>
        <v>O Ring - NBR 70</v>
      </c>
    </row>
    <row r="1139" spans="1:7" x14ac:dyDescent="0.45">
      <c r="A1139" t="s">
        <v>4545</v>
      </c>
      <c r="B1139">
        <f>COUNTIF(PriceList!$M$4:$M$2641,A1139)</f>
        <v>1</v>
      </c>
      <c r="C1139" t="str">
        <f>IF(B1139=1,"1:1","1:Many")</f>
        <v>1:1</v>
      </c>
      <c r="D1139" s="42" t="str" cm="1">
        <f t="array" ref="D1139">_xlfn.TEXTJOIN(" | ",TRUE,_xlfn._xlws.FILTER(PriceList!$B$4:$B$2641,PriceList!$M$4:$M$2641=A1139,""))</f>
        <v>OR9N 169.5-8.4</v>
      </c>
      <c r="E1139" t="str" cm="1">
        <f t="array" ref="E1139">_xlfn.TEXTJOIN(", ",TRUE,_xlfn._xlws.FILTER(ROW(PriceList!$B$4:$B$2641),PriceList!$M$4:$M$2641=A1139,""))</f>
        <v>1425</v>
      </c>
      <c r="F1139" s="42" t="str" cm="1">
        <f t="array" ref="F1139">_xlfn.TEXTJOIN(" | ",TRUE,_xlfn.UNIQUE(_xlfn._xlws.FILTER(PriceList!$Q$4:$Q$2641&amp;" x "&amp;PriceList!$R$4:$R$2641&amp;" x "&amp;PriceList!$S$4:$S$2641,PriceList!$M$4:$M$2641=A1139,"")))</f>
        <v>169.1 x 185.9 x 8.4</v>
      </c>
      <c r="G1139" t="str" cm="1">
        <f t="array" ref="G1139">INDEX(_xlfn._xlws.FILTER(PriceList!$P$4:$P$2641,PriceList!$M$4:$M$2641=A1139,""),1)</f>
        <v>O Ring - NBR 70</v>
      </c>
    </row>
    <row r="1140" spans="1:7" x14ac:dyDescent="0.45">
      <c r="A1140" t="s">
        <v>4267</v>
      </c>
      <c r="B1140">
        <f>COUNTIF(PriceList!$M$4:$M$2641,A1140)</f>
        <v>2</v>
      </c>
      <c r="C1140" t="str">
        <f>IF(B1140=1,"1:1","1:Many")</f>
        <v>1:Many</v>
      </c>
      <c r="D1140" s="42" t="str" cm="1">
        <f t="array" ref="D1140">_xlfn.TEXTJOIN(" | ",TRUE,_xlfn._xlws.FILTER(PriceList!$B$4:$B$2641,PriceList!$M$4:$M$2641=A1140,""))</f>
        <v>OR7N 169.2-5.7 | OR9N 169.2-5.7</v>
      </c>
      <c r="E1140" t="str" cm="1">
        <f t="array" ref="E1140">_xlfn.TEXTJOIN(", ",TRUE,_xlfn._xlws.FILTER(ROW(PriceList!$B$4:$B$2641),PriceList!$M$4:$M$2641=A1140,""))</f>
        <v>849, 1424</v>
      </c>
      <c r="F1140" s="42" t="str" cm="1">
        <f t="array" ref="F1140">_xlfn.TEXTJOIN(" | ",TRUE,_xlfn.UNIQUE(_xlfn._xlws.FILTER(PriceList!$Q$4:$Q$2641&amp;" x "&amp;PriceList!$R$4:$R$2641&amp;" x "&amp;PriceList!$S$4:$S$2641,PriceList!$M$4:$M$2641=A1140,"")))</f>
        <v>169.3 x 180.7 x 5.7</v>
      </c>
      <c r="G1140" t="str" cm="1">
        <f t="array" ref="G1140">INDEX(_xlfn._xlws.FILTER(PriceList!$P$4:$P$2641,PriceList!$M$4:$M$2641=A1140,""),1)</f>
        <v>O Ring - NBR 70</v>
      </c>
    </row>
    <row r="1141" spans="1:7" x14ac:dyDescent="0.45">
      <c r="A1141" t="s">
        <v>5127</v>
      </c>
      <c r="B1141">
        <f>COUNTIF(PriceList!$M$4:$M$2641,A1141)</f>
        <v>1</v>
      </c>
      <c r="C1141" t="str">
        <f>IF(B1141=1,"1:1","1:Many")</f>
        <v>1:1</v>
      </c>
      <c r="D1141" s="42" t="str" cm="1">
        <f t="array" ref="D1141">_xlfn.TEXTJOIN(" | ",TRUE,_xlfn._xlws.FILTER(PriceList!$B$4:$B$2641,PriceList!$M$4:$M$2641=A1141,""))</f>
        <v>ORV8 169.2-5.7</v>
      </c>
      <c r="E1141" t="str" cm="1">
        <f t="array" ref="E1141">_xlfn.TEXTJOIN(", ",TRUE,_xlfn._xlws.FILTER(ROW(PriceList!$B$4:$B$2641),PriceList!$M$4:$M$2641=A1141,""))</f>
        <v>2071</v>
      </c>
      <c r="F1141" s="42" t="str" cm="1">
        <f t="array" ref="F1141">_xlfn.TEXTJOIN(" | ",TRUE,_xlfn.UNIQUE(_xlfn._xlws.FILTER(PriceList!$Q$4:$Q$2641&amp;" x "&amp;PriceList!$R$4:$R$2641&amp;" x "&amp;PriceList!$S$4:$S$2641,PriceList!$M$4:$M$2641=A1141,"")))</f>
        <v>169.3 x 180.7 x 5.7</v>
      </c>
      <c r="G1141" t="str" cm="1">
        <f t="array" ref="G1141">INDEX(_xlfn._xlws.FILTER(PriceList!$P$4:$P$2641,PriceList!$M$4:$M$2641=A1141,""),1)</f>
        <v>O Ring - FPM/FKM/VitonÂ®</v>
      </c>
    </row>
    <row r="1142" spans="1:7" x14ac:dyDescent="0.45">
      <c r="A1142" t="s">
        <v>4546</v>
      </c>
      <c r="B1142">
        <f>COUNTIF(PriceList!$M$4:$M$2641,A1142)</f>
        <v>1</v>
      </c>
      <c r="C1142" t="str">
        <f>IF(B1142=1,"1:1","1:Many")</f>
        <v>1:1</v>
      </c>
      <c r="D1142" s="42" t="str" cm="1">
        <f t="array" ref="D1142">_xlfn.TEXTJOIN(" | ",TRUE,_xlfn._xlws.FILTER(PriceList!$B$4:$B$2641,PriceList!$M$4:$M$2641=A1142,""))</f>
        <v>OR9N 170-5</v>
      </c>
      <c r="E1142" t="str" cm="1">
        <f t="array" ref="E1142">_xlfn.TEXTJOIN(", ",TRUE,_xlfn._xlws.FILTER(ROW(PriceList!$B$4:$B$2641),PriceList!$M$4:$M$2641=A1142,""))</f>
        <v>1428</v>
      </c>
      <c r="F1142" s="42" t="str" cm="1">
        <f t="array" ref="F1142">_xlfn.TEXTJOIN(" | ",TRUE,_xlfn.UNIQUE(_xlfn._xlws.FILTER(PriceList!$Q$4:$Q$2641&amp;" x "&amp;PriceList!$R$4:$R$2641&amp;" x "&amp;PriceList!$S$4:$S$2641,PriceList!$M$4:$M$2641=A1142,"")))</f>
        <v>170 x 180 x 5</v>
      </c>
      <c r="G1142" t="str" cm="1">
        <f t="array" ref="G1142">INDEX(_xlfn._xlws.FILTER(PriceList!$P$4:$P$2641,PriceList!$M$4:$M$2641=A1142,""),1)</f>
        <v>O Ring - NBR 70</v>
      </c>
    </row>
    <row r="1143" spans="1:7" x14ac:dyDescent="0.45">
      <c r="A1143" t="s">
        <v>5132</v>
      </c>
      <c r="B1143">
        <f>COUNTIF(PriceList!$M$4:$M$2641,A1143)</f>
        <v>1</v>
      </c>
      <c r="C1143" t="str">
        <f>IF(B1143=1,"1:1","1:Many")</f>
        <v>1:1</v>
      </c>
      <c r="D1143" s="42" t="str" cm="1">
        <f t="array" ref="D1143">_xlfn.TEXTJOIN(" | ",TRUE,_xlfn._xlws.FILTER(PriceList!$B$4:$B$2641,PriceList!$M$4:$M$2641=A1143,""))</f>
        <v>ORV8 170-5</v>
      </c>
      <c r="E1143" t="str" cm="1">
        <f t="array" ref="E1143">_xlfn.TEXTJOIN(", ",TRUE,_xlfn._xlws.FILTER(ROW(PriceList!$B$4:$B$2641),PriceList!$M$4:$M$2641=A1143,""))</f>
        <v>2075</v>
      </c>
      <c r="F1143" s="42" t="str" cm="1">
        <f t="array" ref="F1143">_xlfn.TEXTJOIN(" | ",TRUE,_xlfn.UNIQUE(_xlfn._xlws.FILTER(PriceList!$Q$4:$Q$2641&amp;" x "&amp;PriceList!$R$4:$R$2641&amp;" x "&amp;PriceList!$S$4:$S$2641,PriceList!$M$4:$M$2641=A1143,"")))</f>
        <v>170 x 180 x 5</v>
      </c>
      <c r="G1143" t="str" cm="1">
        <f t="array" ref="G1143">INDEX(_xlfn._xlws.FILTER(PriceList!$P$4:$P$2641,PriceList!$M$4:$M$2641=A1143,""),1)</f>
        <v>O Ring - FPM/FKM/VitonÂ®</v>
      </c>
    </row>
    <row r="1144" spans="1:7" x14ac:dyDescent="0.45">
      <c r="A1144" t="s">
        <v>4547</v>
      </c>
      <c r="B1144">
        <f>COUNTIF(PriceList!$M$4:$M$2641,A1144)</f>
        <v>1</v>
      </c>
      <c r="C1144" t="str">
        <f>IF(B1144=1,"1:1","1:Many")</f>
        <v>1:1</v>
      </c>
      <c r="D1144" s="42" t="str" cm="1">
        <f t="array" ref="D1144">_xlfn.TEXTJOIN(" | ",TRUE,_xlfn._xlws.FILTER(PriceList!$B$4:$B$2641,PriceList!$M$4:$M$2641=A1144,""))</f>
        <v>OR9N 172-4</v>
      </c>
      <c r="E1144" t="str" cm="1">
        <f t="array" ref="E1144">_xlfn.TEXTJOIN(", ",TRUE,_xlfn._xlws.FILTER(ROW(PriceList!$B$4:$B$2641),PriceList!$M$4:$M$2641=A1144,""))</f>
        <v>1430</v>
      </c>
      <c r="F1144" s="42" t="str" cm="1">
        <f t="array" ref="F1144">_xlfn.TEXTJOIN(" | ",TRUE,_xlfn.UNIQUE(_xlfn._xlws.FILTER(PriceList!$Q$4:$Q$2641&amp;" x "&amp;PriceList!$R$4:$R$2641&amp;" x "&amp;PriceList!$S$4:$S$2641,PriceList!$M$4:$M$2641=A1144,"")))</f>
        <v>172 x 180 x 4</v>
      </c>
      <c r="G1144" t="str" cm="1">
        <f t="array" ref="G1144">INDEX(_xlfn._xlws.FILTER(PriceList!$P$4:$P$2641,PriceList!$M$4:$M$2641=A1144,""),1)</f>
        <v>O Ring - NBR 70</v>
      </c>
    </row>
    <row r="1145" spans="1:7" x14ac:dyDescent="0.45">
      <c r="A1145" t="s">
        <v>4272</v>
      </c>
      <c r="B1145">
        <f>COUNTIF(PriceList!$M$4:$M$2641,A1145)</f>
        <v>2</v>
      </c>
      <c r="C1145" t="str">
        <f>IF(B1145=1,"1:1","1:Many")</f>
        <v>1:Many</v>
      </c>
      <c r="D1145" s="42" t="str" cm="1">
        <f t="array" ref="D1145">_xlfn.TEXTJOIN(" | ",TRUE,_xlfn._xlws.FILTER(PriceList!$B$4:$B$2641,PriceList!$M$4:$M$2641=A1145,""))</f>
        <v>OR7N 174-3 | OR9N 174-3</v>
      </c>
      <c r="E1145" t="str" cm="1">
        <f t="array" ref="E1145">_xlfn.TEXTJOIN(", ",TRUE,_xlfn._xlws.FILTER(ROW(PriceList!$B$4:$B$2641),PriceList!$M$4:$M$2641=A1145,""))</f>
        <v>854, 1433</v>
      </c>
      <c r="F1145" s="42" t="str" cm="1">
        <f t="array" ref="F1145">_xlfn.TEXTJOIN(" | ",TRUE,_xlfn.UNIQUE(_xlfn._xlws.FILTER(PriceList!$Q$4:$Q$2641&amp;" x "&amp;PriceList!$R$4:$R$2641&amp;" x "&amp;PriceList!$S$4:$S$2641,PriceList!$M$4:$M$2641=A1145,"")))</f>
        <v>174 x 180 x 3</v>
      </c>
      <c r="G1145" t="str" cm="1">
        <f t="array" ref="G1145">INDEX(_xlfn._xlws.FILTER(PriceList!$P$4:$P$2641,PriceList!$M$4:$M$2641=A1145,""),1)</f>
        <v>O Ring - NBR 70</v>
      </c>
    </row>
    <row r="1146" spans="1:7" x14ac:dyDescent="0.45">
      <c r="A1146" t="s">
        <v>4271</v>
      </c>
      <c r="B1146">
        <f>COUNTIF(PriceList!$M$4:$M$2641,A1146)</f>
        <v>2</v>
      </c>
      <c r="C1146" t="str">
        <f>IF(B1146=1,"1:1","1:Many")</f>
        <v>1:Many</v>
      </c>
      <c r="D1146" s="42" t="str" cm="1">
        <f t="array" ref="D1146">_xlfn.TEXTJOIN(" | ",TRUE,_xlfn._xlws.FILTER(PriceList!$B$4:$B$2641,PriceList!$M$4:$M$2641=A1146,""))</f>
        <v>OR7N 174.2-5.7 | OR9N 174.2-5.7</v>
      </c>
      <c r="E1146" t="str" cm="1">
        <f t="array" ref="E1146">_xlfn.TEXTJOIN(", ",TRUE,_xlfn._xlws.FILTER(ROW(PriceList!$B$4:$B$2641),PriceList!$M$4:$M$2641=A1146,""))</f>
        <v>853, 1431</v>
      </c>
      <c r="F1146" s="42" t="str" cm="1">
        <f t="array" ref="F1146">_xlfn.TEXTJOIN(" | ",TRUE,_xlfn.UNIQUE(_xlfn._xlws.FILTER(PriceList!$Q$4:$Q$2641&amp;" x "&amp;PriceList!$R$4:$R$2641&amp;" x "&amp;PriceList!$S$4:$S$2641,PriceList!$M$4:$M$2641=A1146,"")))</f>
        <v>174.3 x 185.7 x 5.7</v>
      </c>
      <c r="G1146" t="str" cm="1">
        <f t="array" ref="G1146">INDEX(_xlfn._xlws.FILTER(PriceList!$P$4:$P$2641,PriceList!$M$4:$M$2641=A1146,""),1)</f>
        <v>O Ring - NBR 70</v>
      </c>
    </row>
    <row r="1147" spans="1:7" x14ac:dyDescent="0.45">
      <c r="A1147" t="s">
        <v>5134</v>
      </c>
      <c r="B1147">
        <f>COUNTIF(PriceList!$M$4:$M$2641,A1147)</f>
        <v>1</v>
      </c>
      <c r="C1147" t="str">
        <f>IF(B1147=1,"1:1","1:Many")</f>
        <v>1:1</v>
      </c>
      <c r="D1147" s="42" t="str" cm="1">
        <f t="array" ref="D1147">_xlfn.TEXTJOIN(" | ",TRUE,_xlfn._xlws.FILTER(PriceList!$B$4:$B$2641,PriceList!$M$4:$M$2641=A1147,""))</f>
        <v>ORV8 174-3</v>
      </c>
      <c r="E1147" t="str" cm="1">
        <f t="array" ref="E1147">_xlfn.TEXTJOIN(", ",TRUE,_xlfn._xlws.FILTER(ROW(PriceList!$B$4:$B$2641),PriceList!$M$4:$M$2641=A1147,""))</f>
        <v>2077</v>
      </c>
      <c r="F1147" s="42" t="str" cm="1">
        <f t="array" ref="F1147">_xlfn.TEXTJOIN(" | ",TRUE,_xlfn.UNIQUE(_xlfn._xlws.FILTER(PriceList!$Q$4:$Q$2641&amp;" x "&amp;PriceList!$R$4:$R$2641&amp;" x "&amp;PriceList!$S$4:$S$2641,PriceList!$M$4:$M$2641=A1147,"")))</f>
        <v>174.5 x 180.5 x 3</v>
      </c>
      <c r="G1147" t="str" cm="1">
        <f t="array" ref="G1147">INDEX(_xlfn._xlws.FILTER(PriceList!$P$4:$P$2641,PriceList!$M$4:$M$2641=A1147,""),1)</f>
        <v>O Ring - FPM/FKM/VitonÂ®</v>
      </c>
    </row>
    <row r="1148" spans="1:7" x14ac:dyDescent="0.45">
      <c r="A1148" t="s">
        <v>4548</v>
      </c>
      <c r="B1148">
        <f>COUNTIF(PriceList!$M$4:$M$2641,A1148)</f>
        <v>1</v>
      </c>
      <c r="C1148" t="str">
        <f>IF(B1148=1,"1:1","1:Many")</f>
        <v>1:1</v>
      </c>
      <c r="D1148" s="42" t="str" cm="1">
        <f t="array" ref="D1148">_xlfn.TEXTJOIN(" | ",TRUE,_xlfn._xlws.FILTER(PriceList!$B$4:$B$2641,PriceList!$M$4:$M$2641=A1148,""))</f>
        <v>OR9N 174.5-8.4</v>
      </c>
      <c r="E1148" t="str" cm="1">
        <f t="array" ref="E1148">_xlfn.TEXTJOIN(", ",TRUE,_xlfn._xlws.FILTER(ROW(PriceList!$B$4:$B$2641),PriceList!$M$4:$M$2641=A1148,""))</f>
        <v>1432</v>
      </c>
      <c r="F1148" s="42" t="str" cm="1">
        <f t="array" ref="F1148">_xlfn.TEXTJOIN(" | ",TRUE,_xlfn.UNIQUE(_xlfn._xlws.FILTER(PriceList!$Q$4:$Q$2641&amp;" x "&amp;PriceList!$R$4:$R$2641&amp;" x "&amp;PriceList!$S$4:$S$2641,PriceList!$M$4:$M$2641=A1148,"")))</f>
        <v>174.5 x 191.3 x 8.4</v>
      </c>
      <c r="G1148" t="str" cm="1">
        <f t="array" ref="G1148">INDEX(_xlfn._xlws.FILTER(PriceList!$P$4:$P$2641,PriceList!$M$4:$M$2641=A1148,""),1)</f>
        <v>O Ring - NBR 90</v>
      </c>
    </row>
    <row r="1149" spans="1:7" x14ac:dyDescent="0.45">
      <c r="A1149" t="s">
        <v>4549</v>
      </c>
      <c r="B1149">
        <f>COUNTIF(PriceList!$M$4:$M$2641,A1149)</f>
        <v>1</v>
      </c>
      <c r="C1149" t="str">
        <f>IF(B1149=1,"1:1","1:Many")</f>
        <v>1:1</v>
      </c>
      <c r="D1149" s="42" t="str" cm="1">
        <f t="array" ref="D1149">_xlfn.TEXTJOIN(" | ",TRUE,_xlfn._xlws.FILTER(PriceList!$B$4:$B$2641,PriceList!$M$4:$M$2641=A1149,""))</f>
        <v>OR9N 179.2-5.7</v>
      </c>
      <c r="E1149" t="str" cm="1">
        <f t="array" ref="E1149">_xlfn.TEXTJOIN(", ",TRUE,_xlfn._xlws.FILTER(ROW(PriceList!$B$4:$B$2641),PriceList!$M$4:$M$2641=A1149,""))</f>
        <v>1437</v>
      </c>
      <c r="F1149" s="42" t="str" cm="1">
        <f t="array" ref="F1149">_xlfn.TEXTJOIN(" | ",TRUE,_xlfn.UNIQUE(_xlfn._xlws.FILTER(PriceList!$Q$4:$Q$2641&amp;" x "&amp;PriceList!$R$4:$R$2641&amp;" x "&amp;PriceList!$S$4:$S$2641,PriceList!$M$4:$M$2641=A1149,"")))</f>
        <v>179.3 x 190.7 x 5.7</v>
      </c>
      <c r="G1149" t="str" cm="1">
        <f t="array" ref="G1149">INDEX(_xlfn._xlws.FILTER(PriceList!$P$4:$P$2641,PriceList!$M$4:$M$2641=A1149,""),1)</f>
        <v>O Ring - NBR 70</v>
      </c>
    </row>
    <row r="1150" spans="1:7" x14ac:dyDescent="0.45">
      <c r="A1150" t="s">
        <v>5138</v>
      </c>
      <c r="B1150">
        <f>COUNTIF(PriceList!$M$4:$M$2641,A1150)</f>
        <v>2</v>
      </c>
      <c r="C1150" t="str">
        <f>IF(B1150=1,"1:1","1:Many")</f>
        <v>1:Many</v>
      </c>
      <c r="D1150" s="42" t="str" cm="1">
        <f t="array" ref="D1150">_xlfn.TEXTJOIN(" | ",TRUE,_xlfn._xlws.FILTER(PriceList!$B$4:$B$2641,PriceList!$M$4:$M$2641=A1150,""))</f>
        <v>ORV8 179.2-5.7 | ORV8 179.30-5.33</v>
      </c>
      <c r="E1150" t="str" cm="1">
        <f t="array" ref="E1150">_xlfn.TEXTJOIN(", ",TRUE,_xlfn._xlws.FILTER(ROW(PriceList!$B$4:$B$2641),PriceList!$M$4:$M$2641=A1150,""))</f>
        <v>2081, 2082</v>
      </c>
      <c r="F1150" s="42" t="str" cm="1">
        <f t="array" ref="F1150">_xlfn.TEXTJOIN(" | ",TRUE,_xlfn.UNIQUE(_xlfn._xlws.FILTER(PriceList!$Q$4:$Q$2641&amp;" x "&amp;PriceList!$R$4:$R$2641&amp;" x "&amp;PriceList!$S$4:$S$2641,PriceList!$M$4:$M$2641=A1150,"")))</f>
        <v>179.3 x 190.7 x 5.7</v>
      </c>
      <c r="G1150" t="str" cm="1">
        <f t="array" ref="G1150">INDEX(_xlfn._xlws.FILTER(PriceList!$P$4:$P$2641,PriceList!$M$4:$M$2641=A1150,""),1)</f>
        <v>O Ring - FPM/FKM/VitonÂ®</v>
      </c>
    </row>
    <row r="1151" spans="1:7" x14ac:dyDescent="0.45">
      <c r="A1151" t="s">
        <v>4276</v>
      </c>
      <c r="B1151">
        <f>COUNTIF(PriceList!$M$4:$M$2641,A1151)</f>
        <v>2</v>
      </c>
      <c r="C1151" t="str">
        <f>IF(B1151=1,"1:1","1:Many")</f>
        <v>1:Many</v>
      </c>
      <c r="D1151" s="42" t="str" cm="1">
        <f t="array" ref="D1151">_xlfn.TEXTJOIN(" | ",TRUE,_xlfn._xlws.FILTER(PriceList!$B$4:$B$2641,PriceList!$M$4:$M$2641=A1151,""))</f>
        <v>OR7N 180-5 | OR9N 180-5</v>
      </c>
      <c r="E1151" t="str" cm="1">
        <f t="array" ref="E1151">_xlfn.TEXTJOIN(", ",TRUE,_xlfn._xlws.FILTER(ROW(PriceList!$B$4:$B$2641),PriceList!$M$4:$M$2641=A1151,""))</f>
        <v>858, 1438</v>
      </c>
      <c r="F1151" s="42" t="str" cm="1">
        <f t="array" ref="F1151">_xlfn.TEXTJOIN(" | ",TRUE,_xlfn.UNIQUE(_xlfn._xlws.FILTER(PriceList!$Q$4:$Q$2641&amp;" x "&amp;PriceList!$R$4:$R$2641&amp;" x "&amp;PriceList!$S$4:$S$2641,PriceList!$M$4:$M$2641=A1151,"")))</f>
        <v>180 x 190 x 5</v>
      </c>
      <c r="G1151" t="str" cm="1">
        <f t="array" ref="G1151">INDEX(_xlfn._xlws.FILTER(PriceList!$P$4:$P$2641,PriceList!$M$4:$M$2641=A1151,""),1)</f>
        <v>O Ring - NBR 70</v>
      </c>
    </row>
    <row r="1152" spans="1:7" x14ac:dyDescent="0.45">
      <c r="A1152" t="s">
        <v>5140</v>
      </c>
      <c r="B1152">
        <f>COUNTIF(PriceList!$M$4:$M$2641,A1152)</f>
        <v>1</v>
      </c>
      <c r="C1152" t="str">
        <f>IF(B1152=1,"1:1","1:Many")</f>
        <v>1:1</v>
      </c>
      <c r="D1152" s="42" t="str" cm="1">
        <f t="array" ref="D1152">_xlfn.TEXTJOIN(" | ",TRUE,_xlfn._xlws.FILTER(PriceList!$B$4:$B$2641,PriceList!$M$4:$M$2641=A1152,""))</f>
        <v>ORV8 183.14-3.53</v>
      </c>
      <c r="E1152" t="str" cm="1">
        <f t="array" ref="E1152">_xlfn.TEXTJOIN(", ",TRUE,_xlfn._xlws.FILTER(ROW(PriceList!$B$4:$B$2641),PriceList!$M$4:$M$2641=A1152,""))</f>
        <v>2083</v>
      </c>
      <c r="F1152" s="42" t="str" cm="1">
        <f t="array" ref="F1152">_xlfn.TEXTJOIN(" | ",TRUE,_xlfn.UNIQUE(_xlfn._xlws.FILTER(PriceList!$Q$4:$Q$2641&amp;" x "&amp;PriceList!$R$4:$R$2641&amp;" x "&amp;PriceList!$S$4:$S$2641,PriceList!$M$4:$M$2641=A1152,"")))</f>
        <v>182 x 190 x 4</v>
      </c>
      <c r="G1152" t="str" cm="1">
        <f t="array" ref="G1152">INDEX(_xlfn._xlws.FILTER(PriceList!$P$4:$P$2641,PriceList!$M$4:$M$2641=A1152,""),1)</f>
        <v>O Ring - FPM/FKM/VitonÂ®</v>
      </c>
    </row>
    <row r="1153" spans="1:7" x14ac:dyDescent="0.45">
      <c r="A1153" t="s">
        <v>4279</v>
      </c>
      <c r="B1153">
        <f>COUNTIF(PriceList!$M$4:$M$2641,A1153)</f>
        <v>2</v>
      </c>
      <c r="C1153" t="str">
        <f>IF(B1153=1,"1:1","1:Many")</f>
        <v>1:Many</v>
      </c>
      <c r="D1153" s="42" t="str" cm="1">
        <f t="array" ref="D1153">_xlfn.TEXTJOIN(" | ",TRUE,_xlfn._xlws.FILTER(PriceList!$B$4:$B$2641,PriceList!$M$4:$M$2641=A1153,""))</f>
        <v>OR7N 184.2-5.7 | OR9N 184.2-5.7</v>
      </c>
      <c r="E1153" t="str" cm="1">
        <f t="array" ref="E1153">_xlfn.TEXTJOIN(", ",TRUE,_xlfn._xlws.FILTER(ROW(PriceList!$B$4:$B$2641),PriceList!$M$4:$M$2641=A1153,""))</f>
        <v>861, 1442</v>
      </c>
      <c r="F1153" s="42" t="str" cm="1">
        <f t="array" ref="F1153">_xlfn.TEXTJOIN(" | ",TRUE,_xlfn.UNIQUE(_xlfn._xlws.FILTER(PriceList!$Q$4:$Q$2641&amp;" x "&amp;PriceList!$R$4:$R$2641&amp;" x "&amp;PriceList!$S$4:$S$2641,PriceList!$M$4:$M$2641=A1153,"")))</f>
        <v>184.3 x 195.7 x 5.7</v>
      </c>
      <c r="G1153" t="str" cm="1">
        <f t="array" ref="G1153">INDEX(_xlfn._xlws.FILTER(PriceList!$P$4:$P$2641,PriceList!$M$4:$M$2641=A1153,""),1)</f>
        <v>O Ring - NBR 70</v>
      </c>
    </row>
    <row r="1154" spans="1:7" x14ac:dyDescent="0.45">
      <c r="A1154" t="s">
        <v>4551</v>
      </c>
      <c r="B1154">
        <f>COUNTIF(PriceList!$M$4:$M$2641,A1154)</f>
        <v>1</v>
      </c>
      <c r="C1154" t="str">
        <f>IF(B1154=1,"1:1","1:Many")</f>
        <v>1:1</v>
      </c>
      <c r="D1154" s="42" t="str" cm="1">
        <f t="array" ref="D1154">_xlfn.TEXTJOIN(" | ",TRUE,_xlfn._xlws.FILTER(PriceList!$B$4:$B$2641,PriceList!$M$4:$M$2641=A1154,""))</f>
        <v>OR9N 184.5-8.4</v>
      </c>
      <c r="E1154" t="str" cm="1">
        <f t="array" ref="E1154">_xlfn.TEXTJOIN(", ",TRUE,_xlfn._xlws.FILTER(ROW(PriceList!$B$4:$B$2641),PriceList!$M$4:$M$2641=A1154,""))</f>
        <v>1443</v>
      </c>
      <c r="F1154" s="42" t="str" cm="1">
        <f t="array" ref="F1154">_xlfn.TEXTJOIN(" | ",TRUE,_xlfn.UNIQUE(_xlfn._xlws.FILTER(PriceList!$Q$4:$Q$2641&amp;" x "&amp;PriceList!$R$4:$R$2641&amp;" x "&amp;PriceList!$S$4:$S$2641,PriceList!$M$4:$M$2641=A1154,"")))</f>
        <v>184.5 x 201.3 x 8.4</v>
      </c>
      <c r="G1154" t="str" cm="1">
        <f t="array" ref="G1154">INDEX(_xlfn._xlws.FILTER(PriceList!$P$4:$P$2641,PriceList!$M$4:$M$2641=A1154,""),1)</f>
        <v>O Ring - NBR 70</v>
      </c>
    </row>
    <row r="1155" spans="1:7" x14ac:dyDescent="0.45">
      <c r="A1155" t="s">
        <v>4280</v>
      </c>
      <c r="B1155">
        <f>COUNTIF(PriceList!$M$4:$M$2641,A1155)</f>
        <v>2</v>
      </c>
      <c r="C1155" t="str">
        <f>IF(B1155=1,"1:1","1:Many")</f>
        <v>1:Many</v>
      </c>
      <c r="D1155" s="42" t="str" cm="1">
        <f t="array" ref="D1155">_xlfn.TEXTJOIN(" | ",TRUE,_xlfn._xlws.FILTER(PriceList!$B$4:$B$2641,PriceList!$M$4:$M$2641=A1155,""))</f>
        <v>OR7N 189.2-5.7 | OR9N 189.2-5.7</v>
      </c>
      <c r="E1155" t="str" cm="1">
        <f t="array" ref="E1155">_xlfn.TEXTJOIN(", ",TRUE,_xlfn._xlws.FILTER(ROW(PriceList!$B$4:$B$2641),PriceList!$M$4:$M$2641=A1155,""))</f>
        <v>862, 1444</v>
      </c>
      <c r="F1155" s="42" t="str" cm="1">
        <f t="array" ref="F1155">_xlfn.TEXTJOIN(" | ",TRUE,_xlfn.UNIQUE(_xlfn._xlws.FILTER(PriceList!$Q$4:$Q$2641&amp;" x "&amp;PriceList!$R$4:$R$2641&amp;" x "&amp;PriceList!$S$4:$S$2641,PriceList!$M$4:$M$2641=A1155,"")))</f>
        <v>189.3 x 200.7 x 5.7</v>
      </c>
      <c r="G1155" t="str" cm="1">
        <f t="array" ref="G1155">INDEX(_xlfn._xlws.FILTER(PriceList!$P$4:$P$2641,PriceList!$M$4:$M$2641=A1155,""),1)</f>
        <v>O Ring - NBR 70</v>
      </c>
    </row>
    <row r="1156" spans="1:7" x14ac:dyDescent="0.45">
      <c r="A1156" t="s">
        <v>5145</v>
      </c>
      <c r="B1156">
        <f>COUNTIF(PriceList!$M$4:$M$2641,A1156)</f>
        <v>1</v>
      </c>
      <c r="C1156" t="str">
        <f>IF(B1156=1,"1:1","1:Many")</f>
        <v>1:1</v>
      </c>
      <c r="D1156" s="42" t="str" cm="1">
        <f t="array" ref="D1156">_xlfn.TEXTJOIN(" | ",TRUE,_xlfn._xlws.FILTER(PriceList!$B$4:$B$2641,PriceList!$M$4:$M$2641=A1156,""))</f>
        <v>ORV8 189.2-5.7</v>
      </c>
      <c r="E1156" t="str" cm="1">
        <f t="array" ref="E1156">_xlfn.TEXTJOIN(", ",TRUE,_xlfn._xlws.FILTER(ROW(PriceList!$B$4:$B$2641),PriceList!$M$4:$M$2641=A1156,""))</f>
        <v>2087</v>
      </c>
      <c r="F1156" s="42" t="str" cm="1">
        <f t="array" ref="F1156">_xlfn.TEXTJOIN(" | ",TRUE,_xlfn.UNIQUE(_xlfn._xlws.FILTER(PriceList!$Q$4:$Q$2641&amp;" x "&amp;PriceList!$R$4:$R$2641&amp;" x "&amp;PriceList!$S$4:$S$2641,PriceList!$M$4:$M$2641=A1156,"")))</f>
        <v>189.3 x 200.7 x 5.7</v>
      </c>
      <c r="G1156" t="str" cm="1">
        <f t="array" ref="G1156">INDEX(_xlfn._xlws.FILTER(PriceList!$P$4:$P$2641,PriceList!$M$4:$M$2641=A1156,""),1)</f>
        <v>O Ring - FPM/FKM/VitonÂ®</v>
      </c>
    </row>
    <row r="1157" spans="1:7" x14ac:dyDescent="0.45">
      <c r="A1157" t="s">
        <v>4552</v>
      </c>
      <c r="B1157">
        <f>COUNTIF(PriceList!$M$4:$M$2641,A1157)</f>
        <v>1</v>
      </c>
      <c r="C1157" t="str">
        <f>IF(B1157=1,"1:1","1:Many")</f>
        <v>1:1</v>
      </c>
      <c r="D1157" s="42" t="str" cm="1">
        <f t="array" ref="D1157">_xlfn.TEXTJOIN(" | ",TRUE,_xlfn._xlws.FILTER(PriceList!$B$4:$B$2641,PriceList!$M$4:$M$2641=A1157,""))</f>
        <v>OR9N 190-3</v>
      </c>
      <c r="E1157" t="str" cm="1">
        <f t="array" ref="E1157">_xlfn.TEXTJOIN(", ",TRUE,_xlfn._xlws.FILTER(ROW(PriceList!$B$4:$B$2641),PriceList!$M$4:$M$2641=A1157,""))</f>
        <v>1448</v>
      </c>
      <c r="F1157" s="42" t="str" cm="1">
        <f t="array" ref="F1157">_xlfn.TEXTJOIN(" | ",TRUE,_xlfn.UNIQUE(_xlfn._xlws.FILTER(PriceList!$Q$4:$Q$2641&amp;" x "&amp;PriceList!$R$4:$R$2641&amp;" x "&amp;PriceList!$S$4:$S$2641,PriceList!$M$4:$M$2641=A1157,"")))</f>
        <v>190 x 196 x 3</v>
      </c>
      <c r="G1157" t="str" cm="1">
        <f t="array" ref="G1157">INDEX(_xlfn._xlws.FILTER(PriceList!$P$4:$P$2641,PriceList!$M$4:$M$2641=A1157,""),1)</f>
        <v>O Ring - NBR 70</v>
      </c>
    </row>
    <row r="1158" spans="1:7" x14ac:dyDescent="0.45">
      <c r="A1158" t="s">
        <v>5146</v>
      </c>
      <c r="B1158">
        <f>COUNTIF(PriceList!$M$4:$M$2641,A1158)</f>
        <v>1</v>
      </c>
      <c r="C1158" t="str">
        <f>IF(B1158=1,"1:1","1:Many")</f>
        <v>1:1</v>
      </c>
      <c r="D1158" s="42" t="str" cm="1">
        <f t="array" ref="D1158">_xlfn.TEXTJOIN(" | ",TRUE,_xlfn._xlws.FILTER(PriceList!$B$4:$B$2641,PriceList!$M$4:$M$2641=A1158,""))</f>
        <v>ORV8 189.4-3.1</v>
      </c>
      <c r="E1158" t="str" cm="1">
        <f t="array" ref="E1158">_xlfn.TEXTJOIN(", ",TRUE,_xlfn._xlws.FILTER(ROW(PriceList!$B$4:$B$2641),PriceList!$M$4:$M$2641=A1158,""))</f>
        <v>2088</v>
      </c>
      <c r="F1158" s="42" t="str" cm="1">
        <f t="array" ref="F1158">_xlfn.TEXTJOIN(" | ",TRUE,_xlfn.UNIQUE(_xlfn._xlws.FILTER(PriceList!$Q$4:$Q$2641&amp;" x "&amp;PriceList!$R$4:$R$2641&amp;" x "&amp;PriceList!$S$4:$S$2641,PriceList!$M$4:$M$2641=A1158,"")))</f>
        <v>190 x 196 x 3</v>
      </c>
      <c r="G1158" t="str" cm="1">
        <f t="array" ref="G1158">INDEX(_xlfn._xlws.FILTER(PriceList!$P$4:$P$2641,PriceList!$M$4:$M$2641=A1158,""),1)</f>
        <v>O Ring - FPM/FKM/VitonÂ®</v>
      </c>
    </row>
    <row r="1159" spans="1:7" x14ac:dyDescent="0.45">
      <c r="A1159" t="s">
        <v>4283</v>
      </c>
      <c r="B1159">
        <f>COUNTIF(PriceList!$M$4:$M$2641,A1159)</f>
        <v>2</v>
      </c>
      <c r="C1159" t="str">
        <f>IF(B1159=1,"1:1","1:Many")</f>
        <v>1:Many</v>
      </c>
      <c r="D1159" s="42" t="str" cm="1">
        <f t="array" ref="D1159">_xlfn.TEXTJOIN(" | ",TRUE,_xlfn._xlws.FILTER(PriceList!$B$4:$B$2641,PriceList!$M$4:$M$2641=A1159,""))</f>
        <v>OR7N 190.09-3.53 | OR9N 190.09-3.53</v>
      </c>
      <c r="E1159" t="str" cm="1">
        <f t="array" ref="E1159">_xlfn.TEXTJOIN(", ",TRUE,_xlfn._xlws.FILTER(ROW(PriceList!$B$4:$B$2641),PriceList!$M$4:$M$2641=A1159,""))</f>
        <v>865, 1447</v>
      </c>
      <c r="F1159" s="42" t="str" cm="1">
        <f t="array" ref="F1159">_xlfn.TEXTJOIN(" | ",TRUE,_xlfn.UNIQUE(_xlfn._xlws.FILTER(PriceList!$Q$4:$Q$2641&amp;" x "&amp;PriceList!$R$4:$R$2641&amp;" x "&amp;PriceList!$S$4:$S$2641,PriceList!$M$4:$M$2641=A1159,"")))</f>
        <v>190 x 197 x 3.5</v>
      </c>
      <c r="G1159" t="str" cm="1">
        <f t="array" ref="G1159">INDEX(_xlfn._xlws.FILTER(PriceList!$P$4:$P$2641,PriceList!$M$4:$M$2641=A1159,""),1)</f>
        <v>O Ring - NBR 70</v>
      </c>
    </row>
    <row r="1160" spans="1:7" x14ac:dyDescent="0.45">
      <c r="A1160" t="s">
        <v>4553</v>
      </c>
      <c r="B1160">
        <f>COUNTIF(PriceList!$M$4:$M$2641,A1160)</f>
        <v>1</v>
      </c>
      <c r="C1160" t="str">
        <f>IF(B1160=1,"1:1","1:Many")</f>
        <v>1:1</v>
      </c>
      <c r="D1160" s="42" t="str" cm="1">
        <f t="array" ref="D1160">_xlfn.TEXTJOIN(" | ",TRUE,_xlfn._xlws.FILTER(PriceList!$B$4:$B$2641,PriceList!$M$4:$M$2641=A1160,""))</f>
        <v>OR9N 190-5</v>
      </c>
      <c r="E1160" t="str" cm="1">
        <f t="array" ref="E1160">_xlfn.TEXTJOIN(", ",TRUE,_xlfn._xlws.FILTER(ROW(PriceList!$B$4:$B$2641),PriceList!$M$4:$M$2641=A1160,""))</f>
        <v>1449</v>
      </c>
      <c r="F1160" s="42" t="str" cm="1">
        <f t="array" ref="F1160">_xlfn.TEXTJOIN(" | ",TRUE,_xlfn.UNIQUE(_xlfn._xlws.FILTER(PriceList!$Q$4:$Q$2641&amp;" x "&amp;PriceList!$R$4:$R$2641&amp;" x "&amp;PriceList!$S$4:$S$2641,PriceList!$M$4:$M$2641=A1160,"")))</f>
        <v>190 x 200 x 5</v>
      </c>
      <c r="G1160" t="str" cm="1">
        <f t="array" ref="G1160">INDEX(_xlfn._xlws.FILTER(PriceList!$P$4:$P$2641,PriceList!$M$4:$M$2641=A1160,""),1)</f>
        <v>O Ring - NBR 70</v>
      </c>
    </row>
    <row r="1161" spans="1:7" x14ac:dyDescent="0.45">
      <c r="A1161" t="s">
        <v>4554</v>
      </c>
      <c r="B1161">
        <f>COUNTIF(PriceList!$M$4:$M$2641,A1161)</f>
        <v>1</v>
      </c>
      <c r="C1161" t="str">
        <f>IF(B1161=1,"1:1","1:Many")</f>
        <v>1:1</v>
      </c>
      <c r="D1161" s="42" t="str" cm="1">
        <f t="array" ref="D1161">_xlfn.TEXTJOIN(" | ",TRUE,_xlfn._xlws.FILTER(PriceList!$B$4:$B$2641,PriceList!$M$4:$M$2641=A1161,""))</f>
        <v>OR9N 194.2-5.7</v>
      </c>
      <c r="E1161" t="str" cm="1">
        <f t="array" ref="E1161">_xlfn.TEXTJOIN(", ",TRUE,_xlfn._xlws.FILTER(ROW(PriceList!$B$4:$B$2641),PriceList!$M$4:$M$2641=A1161,""))</f>
        <v>1450</v>
      </c>
      <c r="F1161" s="42" t="str" cm="1">
        <f t="array" ref="F1161">_xlfn.TEXTJOIN(" | ",TRUE,_xlfn.UNIQUE(_xlfn._xlws.FILTER(PriceList!$Q$4:$Q$2641&amp;" x "&amp;PriceList!$R$4:$R$2641&amp;" x "&amp;PriceList!$S$4:$S$2641,PriceList!$M$4:$M$2641=A1161,"")))</f>
        <v>194.3 x 205.7 x 5.7</v>
      </c>
      <c r="G1161" t="str" cm="1">
        <f t="array" ref="G1161">INDEX(_xlfn._xlws.FILTER(PriceList!$P$4:$P$2641,PriceList!$M$4:$M$2641=A1161,""),1)</f>
        <v>O Ring - NBR 70</v>
      </c>
    </row>
    <row r="1162" spans="1:7" x14ac:dyDescent="0.45">
      <c r="A1162" t="s">
        <v>5153</v>
      </c>
      <c r="B1162">
        <f>COUNTIF(PriceList!$M$4:$M$2641,A1162)</f>
        <v>1</v>
      </c>
      <c r="C1162" t="str">
        <f>IF(B1162=1,"1:1","1:Many")</f>
        <v>1:1</v>
      </c>
      <c r="D1162" s="42" t="str" cm="1">
        <f t="array" ref="D1162">_xlfn.TEXTJOIN(" | ",TRUE,_xlfn._xlws.FILTER(PriceList!$B$4:$B$2641,PriceList!$M$4:$M$2641=A1162,""))</f>
        <v>ORV8 194.2-5.7</v>
      </c>
      <c r="E1162" t="str" cm="1">
        <f t="array" ref="E1162">_xlfn.TEXTJOIN(", ",TRUE,_xlfn._xlws.FILTER(ROW(PriceList!$B$4:$B$2641),PriceList!$M$4:$M$2641=A1162,""))</f>
        <v>2094</v>
      </c>
      <c r="F1162" s="42" t="str" cm="1">
        <f t="array" ref="F1162">_xlfn.TEXTJOIN(" | ",TRUE,_xlfn.UNIQUE(_xlfn._xlws.FILTER(PriceList!$Q$4:$Q$2641&amp;" x "&amp;PriceList!$R$4:$R$2641&amp;" x "&amp;PriceList!$S$4:$S$2641,PriceList!$M$4:$M$2641=A1162,"")))</f>
        <v>194.3 x 205.7 x 5.7</v>
      </c>
      <c r="G1162" t="str" cm="1">
        <f t="array" ref="G1162">INDEX(_xlfn._xlws.FILTER(PriceList!$P$4:$P$2641,PriceList!$M$4:$M$2641=A1162,""),1)</f>
        <v>O Ring - FPM/FKM/VitonÂ®</v>
      </c>
    </row>
    <row r="1163" spans="1:7" x14ac:dyDescent="0.45">
      <c r="A1163" t="s">
        <v>5154</v>
      </c>
      <c r="B1163">
        <f>COUNTIF(PriceList!$M$4:$M$2641,A1163)</f>
        <v>1</v>
      </c>
      <c r="C1163" t="str">
        <f>IF(B1163=1,"1:1","1:Many")</f>
        <v>1:1</v>
      </c>
      <c r="D1163" s="42" t="str" cm="1">
        <f t="array" ref="D1163">_xlfn.TEXTJOIN(" | ",TRUE,_xlfn._xlws.FILTER(PriceList!$B$4:$B$2641,PriceList!$M$4:$M$2641=A1163,""))</f>
        <v>ORV8 194.4-3.1</v>
      </c>
      <c r="E1163" t="str" cm="1">
        <f t="array" ref="E1163">_xlfn.TEXTJOIN(", ",TRUE,_xlfn._xlws.FILTER(ROW(PriceList!$B$4:$B$2641),PriceList!$M$4:$M$2641=A1163,""))</f>
        <v>2095</v>
      </c>
      <c r="F1163" s="42" t="str" cm="1">
        <f t="array" ref="F1163">_xlfn.TEXTJOIN(" | ",TRUE,_xlfn.UNIQUE(_xlfn._xlws.FILTER(PriceList!$Q$4:$Q$2641&amp;" x "&amp;PriceList!$R$4:$R$2641&amp;" x "&amp;PriceList!$S$4:$S$2641,PriceList!$M$4:$M$2641=A1163,"")))</f>
        <v>194.5 x 200.5 x 3</v>
      </c>
      <c r="G1163" t="str" cm="1">
        <f t="array" ref="G1163">INDEX(_xlfn._xlws.FILTER(PriceList!$P$4:$P$2641,PriceList!$M$4:$M$2641=A1163,""),1)</f>
        <v>O Ring - FPM/FKM/VitonÂ®</v>
      </c>
    </row>
    <row r="1164" spans="1:7" x14ac:dyDescent="0.45">
      <c r="A1164" t="s">
        <v>4555</v>
      </c>
      <c r="B1164">
        <f>COUNTIF(PriceList!$M$4:$M$2641,A1164)</f>
        <v>1</v>
      </c>
      <c r="C1164" t="str">
        <f>IF(B1164=1,"1:1","1:Many")</f>
        <v>1:1</v>
      </c>
      <c r="D1164" s="42" t="str" cm="1">
        <f t="array" ref="D1164">_xlfn.TEXTJOIN(" | ",TRUE,_xlfn._xlws.FILTER(PriceList!$B$4:$B$2641,PriceList!$M$4:$M$2641=A1164,""))</f>
        <v>OR9N 199.2-5.7</v>
      </c>
      <c r="E1164" t="str" cm="1">
        <f t="array" ref="E1164">_xlfn.TEXTJOIN(", ",TRUE,_xlfn._xlws.FILTER(ROW(PriceList!$B$4:$B$2641),PriceList!$M$4:$M$2641=A1164,""))</f>
        <v>1454</v>
      </c>
      <c r="F1164" s="42" t="str" cm="1">
        <f t="array" ref="F1164">_xlfn.TEXTJOIN(" | ",TRUE,_xlfn.UNIQUE(_xlfn._xlws.FILTER(PriceList!$Q$4:$Q$2641&amp;" x "&amp;PriceList!$R$4:$R$2641&amp;" x "&amp;PriceList!$S$4:$S$2641,PriceList!$M$4:$M$2641=A1164,"")))</f>
        <v>199.3 x 210.7 x 5.7</v>
      </c>
      <c r="G1164" t="str" cm="1">
        <f t="array" ref="G1164">INDEX(_xlfn._xlws.FILTER(PriceList!$P$4:$P$2641,PriceList!$M$4:$M$2641=A1164,""),1)</f>
        <v>O Ring - NBR 70</v>
      </c>
    </row>
    <row r="1165" spans="1:7" x14ac:dyDescent="0.45">
      <c r="A1165" t="s">
        <v>5158</v>
      </c>
      <c r="B1165">
        <f>COUNTIF(PriceList!$M$4:$M$2641,A1165)</f>
        <v>2</v>
      </c>
      <c r="C1165" t="str">
        <f>IF(B1165=1,"1:1","1:Many")</f>
        <v>1:Many</v>
      </c>
      <c r="D1165" s="42" t="str" cm="1">
        <f t="array" ref="D1165">_xlfn.TEXTJOIN(" | ",TRUE,_xlfn._xlws.FILTER(PriceList!$B$4:$B$2641,PriceList!$M$4:$M$2641=A1165,""))</f>
        <v>ORV8 199.2-5.7 | ORV8 200-5</v>
      </c>
      <c r="E1165" t="str" cm="1">
        <f t="array" ref="E1165">_xlfn.TEXTJOIN(", ",TRUE,_xlfn._xlws.FILTER(ROW(PriceList!$B$4:$B$2641),PriceList!$M$4:$M$2641=A1165,""))</f>
        <v>2099, 2100</v>
      </c>
      <c r="F1165" s="42" t="str" cm="1">
        <f t="array" ref="F1165">_xlfn.TEXTJOIN(" | ",TRUE,_xlfn.UNIQUE(_xlfn._xlws.FILTER(PriceList!$Q$4:$Q$2641&amp;" x "&amp;PriceList!$R$4:$R$2641&amp;" x "&amp;PriceList!$S$4:$S$2641,PriceList!$M$4:$M$2641=A1165,"")))</f>
        <v>199.3 x 210.7 x 5.7</v>
      </c>
      <c r="G1165" t="str" cm="1">
        <f t="array" ref="G1165">INDEX(_xlfn._xlws.FILTER(PriceList!$P$4:$P$2641,PriceList!$M$4:$M$2641=A1165,""),1)</f>
        <v>O Ring - FPM/FKM/VitonÂ®</v>
      </c>
    </row>
    <row r="1166" spans="1:7" x14ac:dyDescent="0.45">
      <c r="A1166" t="s">
        <v>4556</v>
      </c>
      <c r="B1166">
        <f>COUNTIF(PriceList!$M$4:$M$2641,A1166)</f>
        <v>1</v>
      </c>
      <c r="C1166" t="str">
        <f>IF(B1166=1,"1:1","1:Many")</f>
        <v>1:1</v>
      </c>
      <c r="D1166" s="42" t="str" cm="1">
        <f t="array" ref="D1166">_xlfn.TEXTJOIN(" | ",TRUE,_xlfn._xlws.FILTER(PriceList!$B$4:$B$2641,PriceList!$M$4:$M$2641=A1166,""))</f>
        <v>OR9N 199.5-8.4</v>
      </c>
      <c r="E1166" t="str" cm="1">
        <f t="array" ref="E1166">_xlfn.TEXTJOIN(", ",TRUE,_xlfn._xlws.FILTER(ROW(PriceList!$B$4:$B$2641),PriceList!$M$4:$M$2641=A1166,""))</f>
        <v>1455</v>
      </c>
      <c r="F1166" s="42" t="str" cm="1">
        <f t="array" ref="F1166">_xlfn.TEXTJOIN(" | ",TRUE,_xlfn.UNIQUE(_xlfn._xlws.FILTER(PriceList!$Q$4:$Q$2641&amp;" x "&amp;PriceList!$R$4:$R$2641&amp;" x "&amp;PriceList!$S$4:$S$2641,PriceList!$M$4:$M$2641=A1166,"")))</f>
        <v>199.5 x 216.3 x 8.4</v>
      </c>
      <c r="G1166" t="str" cm="1">
        <f t="array" ref="G1166">INDEX(_xlfn._xlws.FILTER(PriceList!$P$4:$P$2641,PriceList!$M$4:$M$2641=A1166,""),1)</f>
        <v>O Ring - NBR 90</v>
      </c>
    </row>
    <row r="1167" spans="1:7" x14ac:dyDescent="0.45">
      <c r="A1167" t="s">
        <v>4557</v>
      </c>
      <c r="B1167">
        <f>COUNTIF(PriceList!$M$4:$M$2641,A1167)</f>
        <v>1</v>
      </c>
      <c r="C1167" t="str">
        <f>IF(B1167=1,"1:1","1:Many")</f>
        <v>1:1</v>
      </c>
      <c r="D1167" s="42" t="str" cm="1">
        <f t="array" ref="D1167">_xlfn.TEXTJOIN(" | ",TRUE,_xlfn._xlws.FILTER(PriceList!$B$4:$B$2641,PriceList!$M$4:$M$2641=A1167,""))</f>
        <v>OR9N 204.2-5.7</v>
      </c>
      <c r="E1167" t="str" cm="1">
        <f t="array" ref="E1167">_xlfn.TEXTJOIN(", ",TRUE,_xlfn._xlws.FILTER(ROW(PriceList!$B$4:$B$2641),PriceList!$M$4:$M$2641=A1167,""))</f>
        <v>1459</v>
      </c>
      <c r="F1167" s="42" t="str" cm="1">
        <f t="array" ref="F1167">_xlfn.TEXTJOIN(" | ",TRUE,_xlfn.UNIQUE(_xlfn._xlws.FILTER(PriceList!$Q$4:$Q$2641&amp;" x "&amp;PriceList!$R$4:$R$2641&amp;" x "&amp;PriceList!$S$4:$S$2641,PriceList!$M$4:$M$2641=A1167,"")))</f>
        <v>204.3 x 215.7 x 5.7</v>
      </c>
      <c r="G1167" t="str" cm="1">
        <f t="array" ref="G1167">INDEX(_xlfn._xlws.FILTER(PriceList!$P$4:$P$2641,PriceList!$M$4:$M$2641=A1167,""),1)</f>
        <v>O Ring - NBR 70</v>
      </c>
    </row>
    <row r="1168" spans="1:7" x14ac:dyDescent="0.45">
      <c r="A1168" t="s">
        <v>4558</v>
      </c>
      <c r="B1168">
        <f>COUNTIF(PriceList!$M$4:$M$2641,A1168)</f>
        <v>1</v>
      </c>
      <c r="C1168" t="str">
        <f>IF(B1168=1,"1:1","1:Many")</f>
        <v>1:1</v>
      </c>
      <c r="D1168" s="42" t="str" cm="1">
        <f t="array" ref="D1168">_xlfn.TEXTJOIN(" | ",TRUE,_xlfn._xlws.FILTER(PriceList!$B$4:$B$2641,PriceList!$M$4:$M$2641=A1168,""))</f>
        <v>OR9N 204.5-8.4</v>
      </c>
      <c r="E1168" t="str" cm="1">
        <f t="array" ref="E1168">_xlfn.TEXTJOIN(", ",TRUE,_xlfn._xlws.FILTER(ROW(PriceList!$B$4:$B$2641),PriceList!$M$4:$M$2641=A1168,""))</f>
        <v>1460</v>
      </c>
      <c r="F1168" s="42" t="str" cm="1">
        <f t="array" ref="F1168">_xlfn.TEXTJOIN(" | ",TRUE,_xlfn.UNIQUE(_xlfn._xlws.FILTER(PriceList!$Q$4:$Q$2641&amp;" x "&amp;PriceList!$R$4:$R$2641&amp;" x "&amp;PriceList!$S$4:$S$2641,PriceList!$M$4:$M$2641=A1168,"")))</f>
        <v>204.5 x 221.3 x 8.4</v>
      </c>
      <c r="G1168" t="str" cm="1">
        <f t="array" ref="G1168">INDEX(_xlfn._xlws.FILTER(PriceList!$P$4:$P$2641,PriceList!$M$4:$M$2641=A1168,""),1)</f>
        <v>O Ring - NBR 70</v>
      </c>
    </row>
    <row r="1169" spans="1:7" x14ac:dyDescent="0.45">
      <c r="A1169" t="s">
        <v>5162</v>
      </c>
      <c r="B1169">
        <f>COUNTIF(PriceList!$M$4:$M$2641,A1169)</f>
        <v>1</v>
      </c>
      <c r="C1169" t="str">
        <f>IF(B1169=1,"1:1","1:Many")</f>
        <v>1:1</v>
      </c>
      <c r="D1169" s="42" t="str" cm="1">
        <f t="array" ref="D1169">_xlfn.TEXTJOIN(" | ",TRUE,_xlfn._xlws.FILTER(PriceList!$B$4:$B$2641,PriceList!$M$4:$M$2641=A1169,""))</f>
        <v>ORV8 204.2-5.7</v>
      </c>
      <c r="E1169" t="str" cm="1">
        <f t="array" ref="E1169">_xlfn.TEXTJOIN(", ",TRUE,_xlfn._xlws.FILTER(ROW(PriceList!$B$4:$B$2641),PriceList!$M$4:$M$2641=A1169,""))</f>
        <v>2104</v>
      </c>
      <c r="F1169" s="42" t="str" cm="1">
        <f t="array" ref="F1169">_xlfn.TEXTJOIN(" | ",TRUE,_xlfn.UNIQUE(_xlfn._xlws.FILTER(PriceList!$Q$4:$Q$2641&amp;" x "&amp;PriceList!$R$4:$R$2641&amp;" x "&amp;PriceList!$S$4:$S$2641,PriceList!$M$4:$M$2641=A1169,"")))</f>
        <v>205 x 217 x 6</v>
      </c>
      <c r="G1169" t="str" cm="1">
        <f t="array" ref="G1169">INDEX(_xlfn._xlws.FILTER(PriceList!$P$4:$P$2641,PriceList!$M$4:$M$2641=A1169,""),1)</f>
        <v>O Ring - FPM/FKM/VitonÂ®</v>
      </c>
    </row>
    <row r="1170" spans="1:7" x14ac:dyDescent="0.45">
      <c r="A1170" t="s">
        <v>4559</v>
      </c>
      <c r="B1170">
        <f>COUNTIF(PriceList!$M$4:$M$2641,A1170)</f>
        <v>1</v>
      </c>
      <c r="C1170" t="str">
        <f>IF(B1170=1,"1:1","1:Many")</f>
        <v>1:1</v>
      </c>
      <c r="D1170" s="42" t="str" cm="1">
        <f t="array" ref="D1170">_xlfn.TEXTJOIN(" | ",TRUE,_xlfn._xlws.FILTER(PriceList!$B$4:$B$2641,PriceList!$M$4:$M$2641=A1170,""))</f>
        <v>OR9N 208.5-8.4</v>
      </c>
      <c r="E1170" t="str" cm="1">
        <f t="array" ref="E1170">_xlfn.TEXTJOIN(", ",TRUE,_xlfn._xlws.FILTER(ROW(PriceList!$B$4:$B$2641),PriceList!$M$4:$M$2641=A1170,""))</f>
        <v>1461</v>
      </c>
      <c r="F1170" s="42" t="str" cm="1">
        <f t="array" ref="F1170">_xlfn.TEXTJOIN(" | ",TRUE,_xlfn.UNIQUE(_xlfn._xlws.FILTER(PriceList!$Q$4:$Q$2641&amp;" x "&amp;PriceList!$R$4:$R$2641&amp;" x "&amp;PriceList!$S$4:$S$2641,PriceList!$M$4:$M$2641=A1170,"")))</f>
        <v>208.1 x 224.9 x 8.4</v>
      </c>
      <c r="G1170" t="str" cm="1">
        <f t="array" ref="G1170">INDEX(_xlfn._xlws.FILTER(PriceList!$P$4:$P$2641,PriceList!$M$4:$M$2641=A1170,""),1)</f>
        <v>O Ring - NBR 90</v>
      </c>
    </row>
    <row r="1171" spans="1:7" x14ac:dyDescent="0.45">
      <c r="A1171" t="s">
        <v>4560</v>
      </c>
      <c r="B1171">
        <f>COUNTIF(PriceList!$M$4:$M$2641,A1171)</f>
        <v>1</v>
      </c>
      <c r="C1171" t="str">
        <f>IF(B1171=1,"1:1","1:Many")</f>
        <v>1:1</v>
      </c>
      <c r="D1171" s="42" t="str" cm="1">
        <f t="array" ref="D1171">_xlfn.TEXTJOIN(" | ",TRUE,_xlfn._xlws.FILTER(PriceList!$B$4:$B$2641,PriceList!$M$4:$M$2641=A1171,""))</f>
        <v>OR9N 209.2-5.7</v>
      </c>
      <c r="E1171" t="str" cm="1">
        <f t="array" ref="E1171">_xlfn.TEXTJOIN(", ",TRUE,_xlfn._xlws.FILTER(ROW(PriceList!$B$4:$B$2641),PriceList!$M$4:$M$2641=A1171,""))</f>
        <v>1464</v>
      </c>
      <c r="F1171" s="42" t="str" cm="1">
        <f t="array" ref="F1171">_xlfn.TEXTJOIN(" | ",TRUE,_xlfn.UNIQUE(_xlfn._xlws.FILTER(PriceList!$Q$4:$Q$2641&amp;" x "&amp;PriceList!$R$4:$R$2641&amp;" x "&amp;PriceList!$S$4:$S$2641,PriceList!$M$4:$M$2641=A1171,"")))</f>
        <v>209.3 x 220.7 x 5.7</v>
      </c>
      <c r="G1171" t="str" cm="1">
        <f t="array" ref="G1171">INDEX(_xlfn._xlws.FILTER(PriceList!$P$4:$P$2641,PriceList!$M$4:$M$2641=A1171,""),1)</f>
        <v>O Ring - NBR 70</v>
      </c>
    </row>
    <row r="1172" spans="1:7" x14ac:dyDescent="0.45">
      <c r="A1172" t="s">
        <v>5167</v>
      </c>
      <c r="B1172">
        <f>COUNTIF(PriceList!$M$4:$M$2641,A1172)</f>
        <v>1</v>
      </c>
      <c r="C1172" t="str">
        <f>IF(B1172=1,"1:1","1:Many")</f>
        <v>1:1</v>
      </c>
      <c r="D1172" s="42" t="str" cm="1">
        <f t="array" ref="D1172">_xlfn.TEXTJOIN(" | ",TRUE,_xlfn._xlws.FILTER(PriceList!$B$4:$B$2641,PriceList!$M$4:$M$2641=A1172,""))</f>
        <v>ORV8 209.2-5.7</v>
      </c>
      <c r="E1172" t="str" cm="1">
        <f t="array" ref="E1172">_xlfn.TEXTJOIN(", ",TRUE,_xlfn._xlws.FILTER(ROW(PriceList!$B$4:$B$2641),PriceList!$M$4:$M$2641=A1172,""))</f>
        <v>2108</v>
      </c>
      <c r="F1172" s="42" t="str" cm="1">
        <f t="array" ref="F1172">_xlfn.TEXTJOIN(" | ",TRUE,_xlfn.UNIQUE(_xlfn._xlws.FILTER(PriceList!$Q$4:$Q$2641&amp;" x "&amp;PriceList!$R$4:$R$2641&amp;" x "&amp;PriceList!$S$4:$S$2641,PriceList!$M$4:$M$2641=A1172,"")))</f>
        <v>209.3 x 220.7 x 5.7</v>
      </c>
      <c r="G1172" t="str" cm="1">
        <f t="array" ref="G1172">INDEX(_xlfn._xlws.FILTER(PriceList!$P$4:$P$2641,PriceList!$M$4:$M$2641=A1172,""),1)</f>
        <v>O Ring - FPM/FKM/VitonÂ®</v>
      </c>
    </row>
    <row r="1173" spans="1:7" x14ac:dyDescent="0.45">
      <c r="A1173" t="s">
        <v>4561</v>
      </c>
      <c r="B1173">
        <f>COUNTIF(PriceList!$M$4:$M$2641,A1173)</f>
        <v>1</v>
      </c>
      <c r="C1173" t="str">
        <f>IF(B1173=1,"1:1","1:Many")</f>
        <v>1:1</v>
      </c>
      <c r="D1173" s="42" t="str" cm="1">
        <f t="array" ref="D1173">_xlfn.TEXTJOIN(" | ",TRUE,_xlfn._xlws.FILTER(PriceList!$B$4:$B$2641,PriceList!$M$4:$M$2641=A1173,""))</f>
        <v>OR9N 214.2-5.7</v>
      </c>
      <c r="E1173" t="str" cm="1">
        <f t="array" ref="E1173">_xlfn.TEXTJOIN(", ",TRUE,_xlfn._xlws.FILTER(ROW(PriceList!$B$4:$B$2641),PriceList!$M$4:$M$2641=A1173,""))</f>
        <v>1465</v>
      </c>
      <c r="F1173" s="42" t="str" cm="1">
        <f t="array" ref="F1173">_xlfn.TEXTJOIN(" | ",TRUE,_xlfn.UNIQUE(_xlfn._xlws.FILTER(PriceList!$Q$4:$Q$2641&amp;" x "&amp;PriceList!$R$4:$R$2641&amp;" x "&amp;PriceList!$S$4:$S$2641,PriceList!$M$4:$M$2641=A1173,"")))</f>
        <v>214.3 x 225.7 x 5.7</v>
      </c>
      <c r="G1173" t="str" cm="1">
        <f t="array" ref="G1173">INDEX(_xlfn._xlws.FILTER(PriceList!$P$4:$P$2641,PriceList!$M$4:$M$2641=A1173,""),1)</f>
        <v>O Ring - EPDM</v>
      </c>
    </row>
    <row r="1174" spans="1:7" x14ac:dyDescent="0.45">
      <c r="A1174" t="s">
        <v>4562</v>
      </c>
      <c r="B1174">
        <f>COUNTIF(PriceList!$M$4:$M$2641,A1174)</f>
        <v>1</v>
      </c>
      <c r="C1174" t="str">
        <f>IF(B1174=1,"1:1","1:Many")</f>
        <v>1:1</v>
      </c>
      <c r="D1174" s="42" t="str" cm="1">
        <f t="array" ref="D1174">_xlfn.TEXTJOIN(" | ",TRUE,_xlfn._xlws.FILTER(PriceList!$B$4:$B$2641,PriceList!$M$4:$M$2641=A1174,""))</f>
        <v>OR9N 214.5-8.4</v>
      </c>
      <c r="E1174" t="str" cm="1">
        <f t="array" ref="E1174">_xlfn.TEXTJOIN(", ",TRUE,_xlfn._xlws.FILTER(ROW(PriceList!$B$4:$B$2641),PriceList!$M$4:$M$2641=A1174,""))</f>
        <v>1466</v>
      </c>
      <c r="F1174" s="42" t="str" cm="1">
        <f t="array" ref="F1174">_xlfn.TEXTJOIN(" | ",TRUE,_xlfn.UNIQUE(_xlfn._xlws.FILTER(PriceList!$Q$4:$Q$2641&amp;" x "&amp;PriceList!$R$4:$R$2641&amp;" x "&amp;PriceList!$S$4:$S$2641,PriceList!$M$4:$M$2641=A1174,"")))</f>
        <v>214.5 x 231.3 x 8.4</v>
      </c>
      <c r="G1174" t="str" cm="1">
        <f t="array" ref="G1174">INDEX(_xlfn._xlws.FILTER(PriceList!$P$4:$P$2641,PriceList!$M$4:$M$2641=A1174,""),1)</f>
        <v>O Ring - NBR 70</v>
      </c>
    </row>
    <row r="1175" spans="1:7" x14ac:dyDescent="0.45">
      <c r="A1175" t="s">
        <v>4295</v>
      </c>
      <c r="B1175">
        <f>COUNTIF(PriceList!$M$4:$M$2641,A1175)</f>
        <v>2</v>
      </c>
      <c r="C1175" t="str">
        <f>IF(B1175=1,"1:1","1:Many")</f>
        <v>1:Many</v>
      </c>
      <c r="D1175" s="42" t="str" cm="1">
        <f t="array" ref="D1175">_xlfn.TEXTJOIN(" | ",TRUE,_xlfn._xlws.FILTER(PriceList!$B$4:$B$2641,PriceList!$M$4:$M$2641=A1175,""))</f>
        <v>OR7N 219.5-8.4 | OR9N 219.5-8.4</v>
      </c>
      <c r="E1175" t="str" cm="1">
        <f t="array" ref="E1175">_xlfn.TEXTJOIN(", ",TRUE,_xlfn._xlws.FILTER(ROW(PriceList!$B$4:$B$2641),PriceList!$M$4:$M$2641=A1175,""))</f>
        <v>876, 1470</v>
      </c>
      <c r="F1175" s="42" t="str" cm="1">
        <f t="array" ref="F1175">_xlfn.TEXTJOIN(" | ",TRUE,_xlfn.UNIQUE(_xlfn._xlws.FILTER(PriceList!$Q$4:$Q$2641&amp;" x "&amp;PriceList!$R$4:$R$2641&amp;" x "&amp;PriceList!$S$4:$S$2641,PriceList!$M$4:$M$2641=A1175,"")))</f>
        <v>219.1 x 235.9 x 8.4</v>
      </c>
      <c r="G1175" t="str" cm="1">
        <f t="array" ref="G1175">INDEX(_xlfn._xlws.FILTER(PriceList!$P$4:$P$2641,PriceList!$M$4:$M$2641=A1175,""),1)</f>
        <v>O Ring - NBR 70</v>
      </c>
    </row>
    <row r="1176" spans="1:7" x14ac:dyDescent="0.45">
      <c r="A1176" t="s">
        <v>4563</v>
      </c>
      <c r="B1176">
        <f>COUNTIF(PriceList!$M$4:$M$2641,A1176)</f>
        <v>1</v>
      </c>
      <c r="C1176" t="str">
        <f>IF(B1176=1,"1:1","1:Many")</f>
        <v>1:1</v>
      </c>
      <c r="D1176" s="42" t="str" cm="1">
        <f t="array" ref="D1176">_xlfn.TEXTJOIN(" | ",TRUE,_xlfn._xlws.FILTER(PriceList!$B$4:$B$2641,PriceList!$M$4:$M$2641=A1176,""))</f>
        <v>OR9N 219.2-5.7</v>
      </c>
      <c r="E1176" t="str" cm="1">
        <f t="array" ref="E1176">_xlfn.TEXTJOIN(", ",TRUE,_xlfn._xlws.FILTER(ROW(PriceList!$B$4:$B$2641),PriceList!$M$4:$M$2641=A1176,""))</f>
        <v>1469</v>
      </c>
      <c r="F1176" s="42" t="str" cm="1">
        <f t="array" ref="F1176">_xlfn.TEXTJOIN(" | ",TRUE,_xlfn.UNIQUE(_xlfn._xlws.FILTER(PriceList!$Q$4:$Q$2641&amp;" x "&amp;PriceList!$R$4:$R$2641&amp;" x "&amp;PriceList!$S$4:$S$2641,PriceList!$M$4:$M$2641=A1176,"")))</f>
        <v>219.3 x 230.7 x 5.7</v>
      </c>
      <c r="G1176" t="str" cm="1">
        <f t="array" ref="G1176">INDEX(_xlfn._xlws.FILTER(PriceList!$P$4:$P$2641,PriceList!$M$4:$M$2641=A1176,""),1)</f>
        <v>O Ring - NBR 70</v>
      </c>
    </row>
    <row r="1177" spans="1:7" x14ac:dyDescent="0.45">
      <c r="A1177" t="s">
        <v>5175</v>
      </c>
      <c r="B1177">
        <f>COUNTIF(PriceList!$M$4:$M$2641,A1177)</f>
        <v>2</v>
      </c>
      <c r="C1177" t="str">
        <f>IF(B1177=1,"1:1","1:Many")</f>
        <v>1:Many</v>
      </c>
      <c r="D1177" s="42" t="str" cm="1">
        <f t="array" ref="D1177">_xlfn.TEXTJOIN(" | ",TRUE,_xlfn._xlws.FILTER(PriceList!$B$4:$B$2641,PriceList!$M$4:$M$2641=A1177,""))</f>
        <v>ORV8 219.2-5.7 | ORV8 220-5</v>
      </c>
      <c r="E1177" t="str" cm="1">
        <f t="array" ref="E1177">_xlfn.TEXTJOIN(", ",TRUE,_xlfn._xlws.FILTER(ROW(PriceList!$B$4:$B$2641),PriceList!$M$4:$M$2641=A1177,""))</f>
        <v>2115, 2116</v>
      </c>
      <c r="F1177" s="42" t="str" cm="1">
        <f t="array" ref="F1177">_xlfn.TEXTJOIN(" | ",TRUE,_xlfn.UNIQUE(_xlfn._xlws.FILTER(PriceList!$Q$4:$Q$2641&amp;" x "&amp;PriceList!$R$4:$R$2641&amp;" x "&amp;PriceList!$S$4:$S$2641,PriceList!$M$4:$M$2641=A1177,"")))</f>
        <v>219.3 x 230.7 x 5.7</v>
      </c>
      <c r="G1177" t="str" cm="1">
        <f t="array" ref="G1177">INDEX(_xlfn._xlws.FILTER(PriceList!$P$4:$P$2641,PriceList!$M$4:$M$2641=A1177,""),1)</f>
        <v>O Ring - FPM/FKM/VitonÂ®</v>
      </c>
    </row>
    <row r="1178" spans="1:7" x14ac:dyDescent="0.45">
      <c r="A1178" t="s">
        <v>4564</v>
      </c>
      <c r="B1178">
        <f>COUNTIF(PriceList!$M$4:$M$2641,A1178)</f>
        <v>1</v>
      </c>
      <c r="C1178" t="str">
        <f>IF(B1178=1,"1:1","1:Many")</f>
        <v>1:1</v>
      </c>
      <c r="D1178" s="42" t="str" cm="1">
        <f t="array" ref="D1178">_xlfn.TEXTJOIN(" | ",TRUE,_xlfn._xlws.FILTER(PriceList!$B$4:$B$2641,PriceList!$M$4:$M$2641=A1178,""))</f>
        <v>OR9N 220-5</v>
      </c>
      <c r="E1178" t="str" cm="1">
        <f t="array" ref="E1178">_xlfn.TEXTJOIN(", ",TRUE,_xlfn._xlws.FILTER(ROW(PriceList!$B$4:$B$2641),PriceList!$M$4:$M$2641=A1178,""))</f>
        <v>1471</v>
      </c>
      <c r="F1178" s="42" t="str" cm="1">
        <f t="array" ref="F1178">_xlfn.TEXTJOIN(" | ",TRUE,_xlfn.UNIQUE(_xlfn._xlws.FILTER(PriceList!$Q$4:$Q$2641&amp;" x "&amp;PriceList!$R$4:$R$2641&amp;" x "&amp;PriceList!$S$4:$S$2641,PriceList!$M$4:$M$2641=A1178,"")))</f>
        <v>220 x 230 x 5</v>
      </c>
      <c r="G1178" t="str" cm="1">
        <f t="array" ref="G1178">INDEX(_xlfn._xlws.FILTER(PriceList!$P$4:$P$2641,PriceList!$M$4:$M$2641=A1178,""),1)</f>
        <v>O Ring - NBR 70</v>
      </c>
    </row>
    <row r="1179" spans="1:7" x14ac:dyDescent="0.45">
      <c r="A1179" t="s">
        <v>4567</v>
      </c>
      <c r="B1179">
        <f>COUNTIF(PriceList!$M$4:$M$2641,A1179)</f>
        <v>1</v>
      </c>
      <c r="C1179" t="str">
        <f>IF(B1179=1,"1:1","1:Many")</f>
        <v>1:1</v>
      </c>
      <c r="D1179" s="42" t="str" cm="1">
        <f t="array" ref="D1179">_xlfn.TEXTJOIN(" | ",TRUE,_xlfn._xlws.FILTER(PriceList!$B$4:$B$2641,PriceList!$M$4:$M$2641=A1179,""))</f>
        <v>OR9N 224.5-8.4</v>
      </c>
      <c r="E1179" t="str" cm="1">
        <f t="array" ref="E1179">_xlfn.TEXTJOIN(", ",TRUE,_xlfn._xlws.FILTER(ROW(PriceList!$B$4:$B$2641),PriceList!$M$4:$M$2641=A1179,""))</f>
        <v>1475</v>
      </c>
      <c r="F1179" s="42" t="str" cm="1">
        <f t="array" ref="F1179">_xlfn.TEXTJOIN(" | ",TRUE,_xlfn.UNIQUE(_xlfn._xlws.FILTER(PriceList!$Q$4:$Q$2641&amp;" x "&amp;PriceList!$R$4:$R$2641&amp;" x "&amp;PriceList!$S$4:$S$2641,PriceList!$M$4:$M$2641=A1179,"")))</f>
        <v>224.5 x 241.3 x 8.4</v>
      </c>
      <c r="G1179" t="str" cm="1">
        <f t="array" ref="G1179">INDEX(_xlfn._xlws.FILTER(PriceList!$P$4:$P$2641,PriceList!$M$4:$M$2641=A1179,""),1)</f>
        <v>O Ring - NBR 70</v>
      </c>
    </row>
    <row r="1180" spans="1:7" x14ac:dyDescent="0.45">
      <c r="A1180" t="s">
        <v>4565</v>
      </c>
      <c r="B1180">
        <f>COUNTIF(PriceList!$M$4:$M$2641,A1180)</f>
        <v>1</v>
      </c>
      <c r="C1180" t="str">
        <f>IF(B1180=1,"1:1","1:Many")</f>
        <v>1:1</v>
      </c>
      <c r="D1180" s="42" t="str" cm="1">
        <f t="array" ref="D1180">_xlfn.TEXTJOIN(" | ",TRUE,_xlfn._xlws.FILTER(PriceList!$B$4:$B$2641,PriceList!$M$4:$M$2641=A1180,""))</f>
        <v>OR9N 224.2-5.7</v>
      </c>
      <c r="E1180" t="str" cm="1">
        <f t="array" ref="E1180">_xlfn.TEXTJOIN(", ",TRUE,_xlfn._xlws.FILTER(ROW(PriceList!$B$4:$B$2641),PriceList!$M$4:$M$2641=A1180,""))</f>
        <v>1474</v>
      </c>
      <c r="F1180" s="42" t="str" cm="1">
        <f t="array" ref="F1180">_xlfn.TEXTJOIN(" | ",TRUE,_xlfn.UNIQUE(_xlfn._xlws.FILTER(PriceList!$Q$4:$Q$2641&amp;" x "&amp;PriceList!$R$4:$R$2641&amp;" x "&amp;PriceList!$S$4:$S$2641,PriceList!$M$4:$M$2641=A1180,"")))</f>
        <v>225 x 235 x 5</v>
      </c>
      <c r="G1180" t="str" cm="1">
        <f t="array" ref="G1180">INDEX(_xlfn._xlws.FILTER(PriceList!$P$4:$P$2641,PriceList!$M$4:$M$2641=A1180,""),1)</f>
        <v>O Ring - NBR 70</v>
      </c>
    </row>
    <row r="1181" spans="1:7" x14ac:dyDescent="0.45">
      <c r="A1181" t="s">
        <v>5178</v>
      </c>
      <c r="B1181">
        <f>COUNTIF(PriceList!$M$4:$M$2641,A1181)</f>
        <v>1</v>
      </c>
      <c r="C1181" t="str">
        <f>IF(B1181=1,"1:1","1:Many")</f>
        <v>1:1</v>
      </c>
      <c r="D1181" s="42" t="str" cm="1">
        <f t="array" ref="D1181">_xlfn.TEXTJOIN(" | ",TRUE,_xlfn._xlws.FILTER(PriceList!$B$4:$B$2641,PriceList!$M$4:$M$2641=A1181,""))</f>
        <v>ORV8 227.97-5.33</v>
      </c>
      <c r="E1181" t="str" cm="1">
        <f t="array" ref="E1181">_xlfn.TEXTJOIN(", ",TRUE,_xlfn._xlws.FILTER(ROW(PriceList!$B$4:$B$2641),PriceList!$M$4:$M$2641=A1181,""))</f>
        <v>2119</v>
      </c>
      <c r="F1181" s="42" t="str" cm="1">
        <f t="array" ref="F1181">_xlfn.TEXTJOIN(" | ",TRUE,_xlfn.UNIQUE(_xlfn._xlws.FILTER(PriceList!$Q$4:$Q$2641&amp;" x "&amp;PriceList!$R$4:$R$2641&amp;" x "&amp;PriceList!$S$4:$S$2641,PriceList!$M$4:$M$2641=A1181,"")))</f>
        <v>227 x 239 x 6</v>
      </c>
      <c r="G1181" t="str" cm="1">
        <f t="array" ref="G1181">INDEX(_xlfn._xlws.FILTER(PriceList!$P$4:$P$2641,PriceList!$M$4:$M$2641=A1181,""),1)</f>
        <v>O Ring - FPM/FKM/VitonÂ®</v>
      </c>
    </row>
    <row r="1182" spans="1:7" x14ac:dyDescent="0.45">
      <c r="A1182" t="s">
        <v>4568</v>
      </c>
      <c r="B1182">
        <f>COUNTIF(PriceList!$M$4:$M$2641,A1182)</f>
        <v>1</v>
      </c>
      <c r="C1182" t="str">
        <f>IF(B1182=1,"1:1","1:Many")</f>
        <v>1:1</v>
      </c>
      <c r="D1182" s="42" t="str" cm="1">
        <f t="array" ref="D1182">_xlfn.TEXTJOIN(" | ",TRUE,_xlfn._xlws.FILTER(PriceList!$B$4:$B$2641,PriceList!$M$4:$M$2641=A1182,""))</f>
        <v>OR9N 229.2-5.7</v>
      </c>
      <c r="E1182" t="str" cm="1">
        <f t="array" ref="E1182">_xlfn.TEXTJOIN(", ",TRUE,_xlfn._xlws.FILTER(ROW(PriceList!$B$4:$B$2641),PriceList!$M$4:$M$2641=A1182,""))</f>
        <v>1479</v>
      </c>
      <c r="F1182" s="42" t="str" cm="1">
        <f t="array" ref="F1182">_xlfn.TEXTJOIN(" | ",TRUE,_xlfn.UNIQUE(_xlfn._xlws.FILTER(PriceList!$Q$4:$Q$2641&amp;" x "&amp;PriceList!$R$4:$R$2641&amp;" x "&amp;PriceList!$S$4:$S$2641,PriceList!$M$4:$M$2641=A1182,"")))</f>
        <v>229.3 x 240.7 x 5.7</v>
      </c>
      <c r="G1182" t="str" cm="1">
        <f t="array" ref="G1182">INDEX(_xlfn._xlws.FILTER(PriceList!$P$4:$P$2641,PriceList!$M$4:$M$2641=A1182,""),1)</f>
        <v>O Ring - NBR 70</v>
      </c>
    </row>
    <row r="1183" spans="1:7" x14ac:dyDescent="0.45">
      <c r="A1183" t="s">
        <v>4569</v>
      </c>
      <c r="B1183">
        <f>COUNTIF(PriceList!$M$4:$M$2641,A1183)</f>
        <v>1</v>
      </c>
      <c r="C1183" t="str">
        <f>IF(B1183=1,"1:1","1:Many")</f>
        <v>1:1</v>
      </c>
      <c r="D1183" s="42" t="str" cm="1">
        <f t="array" ref="D1183">_xlfn.TEXTJOIN(" | ",TRUE,_xlfn._xlws.FILTER(PriceList!$B$4:$B$2641,PriceList!$M$4:$M$2641=A1183,""))</f>
        <v>OR9N 234.2-5.7</v>
      </c>
      <c r="E1183" t="str" cm="1">
        <f t="array" ref="E1183">_xlfn.TEXTJOIN(", ",TRUE,_xlfn._xlws.FILTER(ROW(PriceList!$B$4:$B$2641),PriceList!$M$4:$M$2641=A1183,""))</f>
        <v>1480</v>
      </c>
      <c r="F1183" s="42" t="str" cm="1">
        <f t="array" ref="F1183">_xlfn.TEXTJOIN(" | ",TRUE,_xlfn.UNIQUE(_xlfn._xlws.FILTER(PriceList!$Q$4:$Q$2641&amp;" x "&amp;PriceList!$R$4:$R$2641&amp;" x "&amp;PriceList!$S$4:$S$2641,PriceList!$M$4:$M$2641=A1183,"")))</f>
        <v>234.3 x 245.7 x 5.7</v>
      </c>
      <c r="G1183" t="str" cm="1">
        <f t="array" ref="G1183">INDEX(_xlfn._xlws.FILTER(PriceList!$P$4:$P$2641,PriceList!$M$4:$M$2641=A1183,""),1)</f>
        <v>O Ring - NBR 70</v>
      </c>
    </row>
    <row r="1184" spans="1:7" x14ac:dyDescent="0.45">
      <c r="A1184" t="s">
        <v>5184</v>
      </c>
      <c r="B1184">
        <f>COUNTIF(PriceList!$M$4:$M$2641,A1184)</f>
        <v>1</v>
      </c>
      <c r="C1184" t="str">
        <f>IF(B1184=1,"1:1","1:Many")</f>
        <v>1:1</v>
      </c>
      <c r="D1184" s="42" t="str" cm="1">
        <f t="array" ref="D1184">_xlfn.TEXTJOIN(" | ",TRUE,_xlfn._xlws.FILTER(PriceList!$B$4:$B$2641,PriceList!$M$4:$M$2641=A1184,""))</f>
        <v>ORV8 234.32-5.33</v>
      </c>
      <c r="E1184" t="str" cm="1">
        <f t="array" ref="E1184">_xlfn.TEXTJOIN(", ",TRUE,_xlfn._xlws.FILTER(ROW(PriceList!$B$4:$B$2641),PriceList!$M$4:$M$2641=A1184,""))</f>
        <v>2123</v>
      </c>
      <c r="F1184" s="42" t="str" cm="1">
        <f t="array" ref="F1184">_xlfn.TEXTJOIN(" | ",TRUE,_xlfn.UNIQUE(_xlfn._xlws.FILTER(PriceList!$Q$4:$Q$2641&amp;" x "&amp;PriceList!$R$4:$R$2641&amp;" x "&amp;PriceList!$S$4:$S$2641,PriceList!$M$4:$M$2641=A1184,"")))</f>
        <v>234.3 x 245.7 x 5.7</v>
      </c>
      <c r="G1184" t="str" cm="1">
        <f t="array" ref="G1184">INDEX(_xlfn._xlws.FILTER(PriceList!$P$4:$P$2641,PriceList!$M$4:$M$2641=A1184,""),1)</f>
        <v>O Ring - FPM/FKM/VitonÂ®</v>
      </c>
    </row>
    <row r="1185" spans="1:7" x14ac:dyDescent="0.45">
      <c r="A1185" t="s">
        <v>4304</v>
      </c>
      <c r="B1185">
        <f>COUNTIF(PriceList!$M$4:$M$2641,A1185)</f>
        <v>2</v>
      </c>
      <c r="C1185" t="str">
        <f>IF(B1185=1,"1:1","1:Many")</f>
        <v>1:Many</v>
      </c>
      <c r="D1185" s="42" t="str" cm="1">
        <f t="array" ref="D1185">_xlfn.TEXTJOIN(" | ",TRUE,_xlfn._xlws.FILTER(PriceList!$B$4:$B$2641,PriceList!$M$4:$M$2641=A1185,""))</f>
        <v>OR7N 234.5-8.4 | OR9N 234.5-8.4</v>
      </c>
      <c r="E1185" t="str" cm="1">
        <f t="array" ref="E1185">_xlfn.TEXTJOIN(", ",TRUE,_xlfn._xlws.FILTER(ROW(PriceList!$B$4:$B$2641),PriceList!$M$4:$M$2641=A1185,""))</f>
        <v>884, 1483</v>
      </c>
      <c r="F1185" s="42" t="str" cm="1">
        <f t="array" ref="F1185">_xlfn.TEXTJOIN(" | ",TRUE,_xlfn.UNIQUE(_xlfn._xlws.FILTER(PriceList!$Q$4:$Q$2641&amp;" x "&amp;PriceList!$R$4:$R$2641&amp;" x "&amp;PriceList!$S$4:$S$2641,PriceList!$M$4:$M$2641=A1185,"")))</f>
        <v>234.5 x 251.3 x 8.4</v>
      </c>
      <c r="G1185" t="str" cm="1">
        <f t="array" ref="G1185">INDEX(_xlfn._xlws.FILTER(PriceList!$P$4:$P$2641,PriceList!$M$4:$M$2641=A1185,""),1)</f>
        <v>O Ring - NBR 70</v>
      </c>
    </row>
    <row r="1186" spans="1:7" x14ac:dyDescent="0.45">
      <c r="A1186" t="s">
        <v>4570</v>
      </c>
      <c r="B1186">
        <f>COUNTIF(PriceList!$M$4:$M$2641,A1186)</f>
        <v>1</v>
      </c>
      <c r="C1186" t="str">
        <f>IF(B1186=1,"1:1","1:Many")</f>
        <v>1:1</v>
      </c>
      <c r="D1186" s="42" t="str" cm="1">
        <f t="array" ref="D1186">_xlfn.TEXTJOIN(" | ",TRUE,_xlfn._xlws.FILTER(PriceList!$B$4:$B$2641,PriceList!$M$4:$M$2641=A1186,""))</f>
        <v>OR9N 239.2-5.7</v>
      </c>
      <c r="E1186" t="str" cm="1">
        <f t="array" ref="E1186">_xlfn.TEXTJOIN(", ",TRUE,_xlfn._xlws.FILTER(ROW(PriceList!$B$4:$B$2641),PriceList!$M$4:$M$2641=A1186,""))</f>
        <v>1484</v>
      </c>
      <c r="F1186" s="42" t="str" cm="1">
        <f t="array" ref="F1186">_xlfn.TEXTJOIN(" | ",TRUE,_xlfn.UNIQUE(_xlfn._xlws.FILTER(PriceList!$Q$4:$Q$2641&amp;" x "&amp;PriceList!$R$4:$R$2641&amp;" x "&amp;PriceList!$S$4:$S$2641,PriceList!$M$4:$M$2641=A1186,"")))</f>
        <v>239.3 x 250.7 x 5.7</v>
      </c>
      <c r="G1186" t="str" cm="1">
        <f t="array" ref="G1186">INDEX(_xlfn._xlws.FILTER(PriceList!$P$4:$P$2641,PriceList!$M$4:$M$2641=A1186,""),1)</f>
        <v>O Ring - NBR 70</v>
      </c>
    </row>
    <row r="1187" spans="1:7" x14ac:dyDescent="0.45">
      <c r="A1187" t="s">
        <v>5187</v>
      </c>
      <c r="B1187">
        <f>COUNTIF(PriceList!$M$4:$M$2641,A1187)</f>
        <v>2</v>
      </c>
      <c r="C1187" t="str">
        <f>IF(B1187=1,"1:1","1:Many")</f>
        <v>1:Many</v>
      </c>
      <c r="D1187" s="42" t="str" cm="1">
        <f t="array" ref="D1187">_xlfn.TEXTJOIN(" | ",TRUE,_xlfn._xlws.FILTER(PriceList!$B$4:$B$2641,PriceList!$M$4:$M$2641=A1187,""))</f>
        <v>ORV8 239.2-5.7 | ORV8 239-6</v>
      </c>
      <c r="E1187" t="str" cm="1">
        <f t="array" ref="E1187">_xlfn.TEXTJOIN(", ",TRUE,_xlfn._xlws.FILTER(ROW(PriceList!$B$4:$B$2641),PriceList!$M$4:$M$2641=A1187,""))</f>
        <v>2125, 2126</v>
      </c>
      <c r="F1187" s="42" t="str" cm="1">
        <f t="array" ref="F1187">_xlfn.TEXTJOIN(" | ",TRUE,_xlfn.UNIQUE(_xlfn._xlws.FILTER(PriceList!$Q$4:$Q$2641&amp;" x "&amp;PriceList!$R$4:$R$2641&amp;" x "&amp;PriceList!$S$4:$S$2641,PriceList!$M$4:$M$2641=A1187,"")))</f>
        <v>239.3 x 250.7 x 5.7</v>
      </c>
      <c r="G1187" t="str" cm="1">
        <f t="array" ref="G1187">INDEX(_xlfn._xlws.FILTER(PriceList!$P$4:$P$2641,PriceList!$M$4:$M$2641=A1187,""),1)</f>
        <v>O Ring - FPM/FKM/VitonÂ®</v>
      </c>
    </row>
    <row r="1188" spans="1:7" x14ac:dyDescent="0.45">
      <c r="A1188" t="s">
        <v>5192</v>
      </c>
      <c r="B1188">
        <f>COUNTIF(PriceList!$M$4:$M$2641,A1188)</f>
        <v>1</v>
      </c>
      <c r="C1188" t="str">
        <f>IF(B1188=1,"1:1","1:Many")</f>
        <v>1:1</v>
      </c>
      <c r="D1188" s="42" t="str" cm="1">
        <f t="array" ref="D1188">_xlfn.TEXTJOIN(" | ",TRUE,_xlfn._xlws.FILTER(PriceList!$B$4:$B$2641,PriceList!$M$4:$M$2641=A1188,""))</f>
        <v>ORV8 240-5</v>
      </c>
      <c r="E1188" t="str" cm="1">
        <f t="array" ref="E1188">_xlfn.TEXTJOIN(", ",TRUE,_xlfn._xlws.FILTER(ROW(PriceList!$B$4:$B$2641),PriceList!$M$4:$M$2641=A1188,""))</f>
        <v>2130</v>
      </c>
      <c r="F1188" s="42" t="str" cm="1">
        <f t="array" ref="F1188">_xlfn.TEXTJOIN(" | ",TRUE,_xlfn.UNIQUE(_xlfn._xlws.FILTER(PriceList!$Q$4:$Q$2641&amp;" x "&amp;PriceList!$R$4:$R$2641&amp;" x "&amp;PriceList!$S$4:$S$2641,PriceList!$M$4:$M$2641=A1188,"")))</f>
        <v>240 x 250 x 5</v>
      </c>
      <c r="G1188" t="str" cm="1">
        <f t="array" ref="G1188">INDEX(_xlfn._xlws.FILTER(PriceList!$P$4:$P$2641,PriceList!$M$4:$M$2641=A1188,""),1)</f>
        <v>O Ring - FPM/FKM/VitonÂ®</v>
      </c>
    </row>
    <row r="1189" spans="1:7" x14ac:dyDescent="0.45">
      <c r="A1189" t="s">
        <v>4572</v>
      </c>
      <c r="B1189">
        <f>COUNTIF(PriceList!$M$4:$M$2641,A1189)</f>
        <v>1</v>
      </c>
      <c r="C1189" t="str">
        <f>IF(B1189=1,"1:1","1:Many")</f>
        <v>1:1</v>
      </c>
      <c r="D1189" s="42" t="str" cm="1">
        <f t="array" ref="D1189">_xlfn.TEXTJOIN(" | ",TRUE,_xlfn._xlws.FILTER(PriceList!$B$4:$B$2641,PriceList!$M$4:$M$2641=A1189,""))</f>
        <v>OR9N 244.2-5.7</v>
      </c>
      <c r="E1189" t="str" cm="1">
        <f t="array" ref="E1189">_xlfn.TEXTJOIN(", ",TRUE,_xlfn._xlws.FILTER(ROW(PriceList!$B$4:$B$2641),PriceList!$M$4:$M$2641=A1189,""))</f>
        <v>1488</v>
      </c>
      <c r="F1189" s="42" t="str" cm="1">
        <f t="array" ref="F1189">_xlfn.TEXTJOIN(" | ",TRUE,_xlfn.UNIQUE(_xlfn._xlws.FILTER(PriceList!$Q$4:$Q$2641&amp;" x "&amp;PriceList!$R$4:$R$2641&amp;" x "&amp;PriceList!$S$4:$S$2641,PriceList!$M$4:$M$2641=A1189,"")))</f>
        <v>244.3 x 255.7 x 5.7</v>
      </c>
      <c r="G1189" t="str" cm="1">
        <f t="array" ref="G1189">INDEX(_xlfn._xlws.FILTER(PriceList!$P$4:$P$2641,PriceList!$M$4:$M$2641=A1189,""),1)</f>
        <v>O Ring - NBR 70</v>
      </c>
    </row>
    <row r="1190" spans="1:7" x14ac:dyDescent="0.45">
      <c r="A1190" t="s">
        <v>5193</v>
      </c>
      <c r="B1190">
        <f>COUNTIF(PriceList!$M$4:$M$2641,A1190)</f>
        <v>1</v>
      </c>
      <c r="C1190" t="str">
        <f>IF(B1190=1,"1:1","1:Many")</f>
        <v>1:1</v>
      </c>
      <c r="D1190" s="42" t="str" cm="1">
        <f t="array" ref="D1190">_xlfn.TEXTJOIN(" | ",TRUE,_xlfn._xlws.FILTER(PriceList!$B$4:$B$2641,PriceList!$M$4:$M$2641=A1190,""))</f>
        <v>ORV8 244.4-3.1</v>
      </c>
      <c r="E1190" t="str" cm="1">
        <f t="array" ref="E1190">_xlfn.TEXTJOIN(", ",TRUE,_xlfn._xlws.FILTER(ROW(PriceList!$B$4:$B$2641),PriceList!$M$4:$M$2641=A1190,""))</f>
        <v>2131</v>
      </c>
      <c r="F1190" s="42" t="str" cm="1">
        <f t="array" ref="F1190">_xlfn.TEXTJOIN(" | ",TRUE,_xlfn.UNIQUE(_xlfn._xlws.FILTER(PriceList!$Q$4:$Q$2641&amp;" x "&amp;PriceList!$R$4:$R$2641&amp;" x "&amp;PriceList!$S$4:$S$2641,PriceList!$M$4:$M$2641=A1190,"")))</f>
        <v>245 x 251 x 3</v>
      </c>
      <c r="G1190" t="str" cm="1">
        <f t="array" ref="G1190">INDEX(_xlfn._xlws.FILTER(PriceList!$P$4:$P$2641,PriceList!$M$4:$M$2641=A1190,""),1)</f>
        <v>O Ring - FPM/FKM/VitonÂ®</v>
      </c>
    </row>
    <row r="1191" spans="1:7" x14ac:dyDescent="0.45">
      <c r="A1191" t="s">
        <v>4309</v>
      </c>
      <c r="B1191">
        <f>COUNTIF(PriceList!$M$4:$M$2641,A1191)</f>
        <v>1</v>
      </c>
      <c r="C1191" t="str">
        <f>IF(B1191=1,"1:1","1:Many")</f>
        <v>1:1</v>
      </c>
      <c r="D1191" s="42" t="str" cm="1">
        <f t="array" ref="D1191">_xlfn.TEXTJOIN(" | ",TRUE,_xlfn._xlws.FILTER(PriceList!$B$4:$B$2641,PriceList!$M$4:$M$2641=A1191,""))</f>
        <v>OR7N 249.5-8.4</v>
      </c>
      <c r="E1191" t="str" cm="1">
        <f t="array" ref="E1191">_xlfn.TEXTJOIN(", ",TRUE,_xlfn._xlws.FILTER(ROW(PriceList!$B$4:$B$2641),PriceList!$M$4:$M$2641=A1191,""))</f>
        <v>889</v>
      </c>
      <c r="F1191" s="42" t="str" cm="1">
        <f t="array" ref="F1191">_xlfn.TEXTJOIN(" | ",TRUE,_xlfn.UNIQUE(_xlfn._xlws.FILTER(PriceList!$Q$4:$Q$2641&amp;" x "&amp;PriceList!$R$4:$R$2641&amp;" x "&amp;PriceList!$S$4:$S$2641,PriceList!$M$4:$M$2641=A1191,"")))</f>
        <v>249.1 x 265.9 x 8.4</v>
      </c>
      <c r="G1191" t="str" cm="1">
        <f t="array" ref="G1191">INDEX(_xlfn._xlws.FILTER(PriceList!$P$4:$P$2641,PriceList!$M$4:$M$2641=A1191,""),1)</f>
        <v>O Ring - NBR 70</v>
      </c>
    </row>
    <row r="1192" spans="1:7" x14ac:dyDescent="0.45">
      <c r="A1192" t="s">
        <v>4573</v>
      </c>
      <c r="B1192">
        <f>COUNTIF(PriceList!$M$4:$M$2641,A1192)</f>
        <v>1</v>
      </c>
      <c r="C1192" t="str">
        <f>IF(B1192=1,"1:1","1:Many")</f>
        <v>1:1</v>
      </c>
      <c r="D1192" s="42" t="str" cm="1">
        <f t="array" ref="D1192">_xlfn.TEXTJOIN(" | ",TRUE,_xlfn._xlws.FILTER(PriceList!$B$4:$B$2641,PriceList!$M$4:$M$2641=A1192,""))</f>
        <v>OR9N 249.2-5.7</v>
      </c>
      <c r="E1192" t="str" cm="1">
        <f t="array" ref="E1192">_xlfn.TEXTJOIN(", ",TRUE,_xlfn._xlws.FILTER(ROW(PriceList!$B$4:$B$2641),PriceList!$M$4:$M$2641=A1192,""))</f>
        <v>1491</v>
      </c>
      <c r="F1192" s="42" t="str" cm="1">
        <f t="array" ref="F1192">_xlfn.TEXTJOIN(" | ",TRUE,_xlfn.UNIQUE(_xlfn._xlws.FILTER(PriceList!$Q$4:$Q$2641&amp;" x "&amp;PriceList!$R$4:$R$2641&amp;" x "&amp;PriceList!$S$4:$S$2641,PriceList!$M$4:$M$2641=A1192,"")))</f>
        <v>249.3 x 260.7 x 5.7</v>
      </c>
      <c r="G1192" t="str" cm="1">
        <f t="array" ref="G1192">INDEX(_xlfn._xlws.FILTER(PriceList!$P$4:$P$2641,PriceList!$M$4:$M$2641=A1192,""),1)</f>
        <v>O Ring - NBR 70</v>
      </c>
    </row>
    <row r="1193" spans="1:7" x14ac:dyDescent="0.45">
      <c r="A1193" t="s">
        <v>4574</v>
      </c>
      <c r="B1193">
        <f>COUNTIF(PriceList!$M$4:$M$2641,A1193)</f>
        <v>1</v>
      </c>
      <c r="C1193" t="str">
        <f>IF(B1193=1,"1:1","1:Many")</f>
        <v>1:1</v>
      </c>
      <c r="D1193" s="42" t="str" cm="1">
        <f t="array" ref="D1193">_xlfn.TEXTJOIN(" | ",TRUE,_xlfn._xlws.FILTER(PriceList!$B$4:$B$2641,PriceList!$M$4:$M$2641=A1193,""))</f>
        <v>OR9N 254.5-8.4</v>
      </c>
      <c r="E1193" t="str" cm="1">
        <f t="array" ref="E1193">_xlfn.TEXTJOIN(", ",TRUE,_xlfn._xlws.FILTER(ROW(PriceList!$B$4:$B$2641),PriceList!$M$4:$M$2641=A1193,""))</f>
        <v>1495</v>
      </c>
      <c r="F1193" s="42" t="str" cm="1">
        <f t="array" ref="F1193">_xlfn.TEXTJOIN(" | ",TRUE,_xlfn.UNIQUE(_xlfn._xlws.FILTER(PriceList!$Q$4:$Q$2641&amp;" x "&amp;PriceList!$R$4:$R$2641&amp;" x "&amp;PriceList!$S$4:$S$2641,PriceList!$M$4:$M$2641=A1193,"")))</f>
        <v>254.5 x 271.3 x 8.4</v>
      </c>
      <c r="G1193" t="str" cm="1">
        <f t="array" ref="G1193">INDEX(_xlfn._xlws.FILTER(PriceList!$P$4:$P$2641,PriceList!$M$4:$M$2641=A1193,""),1)</f>
        <v>O Ring - NBR 70</v>
      </c>
    </row>
    <row r="1194" spans="1:7" x14ac:dyDescent="0.45">
      <c r="A1194" t="s">
        <v>4575</v>
      </c>
      <c r="B1194">
        <f>COUNTIF(PriceList!$M$4:$M$2641,A1194)</f>
        <v>1</v>
      </c>
      <c r="C1194" t="str">
        <f>IF(B1194=1,"1:1","1:Many")</f>
        <v>1:1</v>
      </c>
      <c r="D1194" s="42" t="str" cm="1">
        <f t="array" ref="D1194">_xlfn.TEXTJOIN(" | ",TRUE,_xlfn._xlws.FILTER(PriceList!$B$4:$B$2641,PriceList!$M$4:$M$2641=A1194,""))</f>
        <v>OR9N 259.2-5.7</v>
      </c>
      <c r="E1194" t="str" cm="1">
        <f t="array" ref="E1194">_xlfn.TEXTJOIN(", ",TRUE,_xlfn._xlws.FILTER(ROW(PriceList!$B$4:$B$2641),PriceList!$M$4:$M$2641=A1194,""))</f>
        <v>1496</v>
      </c>
      <c r="F1194" s="42" t="str" cm="1">
        <f t="array" ref="F1194">_xlfn.TEXTJOIN(" | ",TRUE,_xlfn.UNIQUE(_xlfn._xlws.FILTER(PriceList!$Q$4:$Q$2641&amp;" x "&amp;PriceList!$R$4:$R$2641&amp;" x "&amp;PriceList!$S$4:$S$2641,PriceList!$M$4:$M$2641=A1194,"")))</f>
        <v>259.3 x 270.7 x 5.7</v>
      </c>
      <c r="G1194" t="str" cm="1">
        <f t="array" ref="G1194">INDEX(_xlfn._xlws.FILTER(PriceList!$P$4:$P$2641,PriceList!$M$4:$M$2641=A1194,""),1)</f>
        <v>O Ring - NBR 70</v>
      </c>
    </row>
    <row r="1195" spans="1:7" x14ac:dyDescent="0.45">
      <c r="A1195" t="s">
        <v>5196</v>
      </c>
      <c r="B1195">
        <f>COUNTIF(PriceList!$M$4:$M$2641,A1195)</f>
        <v>1</v>
      </c>
      <c r="C1195" t="str">
        <f>IF(B1195=1,"1:1","1:Many")</f>
        <v>1:1</v>
      </c>
      <c r="D1195" s="42" t="str" cm="1">
        <f t="array" ref="D1195">_xlfn.TEXTJOIN(" | ",TRUE,_xlfn._xlws.FILTER(PriceList!$B$4:$B$2641,PriceList!$M$4:$M$2641=A1195,""))</f>
        <v>ORV8 259.2-5.7</v>
      </c>
      <c r="E1195" t="str" cm="1">
        <f t="array" ref="E1195">_xlfn.TEXTJOIN(", ",TRUE,_xlfn._xlws.FILTER(ROW(PriceList!$B$4:$B$2641),PriceList!$M$4:$M$2641=A1195,""))</f>
        <v>2134</v>
      </c>
      <c r="F1195" s="42" t="str" cm="1">
        <f t="array" ref="F1195">_xlfn.TEXTJOIN(" | ",TRUE,_xlfn.UNIQUE(_xlfn._xlws.FILTER(PriceList!$Q$4:$Q$2641&amp;" x "&amp;PriceList!$R$4:$R$2641&amp;" x "&amp;PriceList!$S$4:$S$2641,PriceList!$M$4:$M$2641=A1195,"")))</f>
        <v>259.3 x 270.7 x 5.7</v>
      </c>
      <c r="G1195" t="str" cm="1">
        <f t="array" ref="G1195">INDEX(_xlfn._xlws.FILTER(PriceList!$P$4:$P$2641,PriceList!$M$4:$M$2641=A1195,""),1)</f>
        <v>O Ring - FPM/FKM/VitonÂ®</v>
      </c>
    </row>
    <row r="1196" spans="1:7" x14ac:dyDescent="0.45">
      <c r="A1196" t="s">
        <v>4576</v>
      </c>
      <c r="B1196">
        <f>COUNTIF(PriceList!$M$4:$M$2641,A1196)</f>
        <v>1</v>
      </c>
      <c r="C1196" t="str">
        <f>IF(B1196=1,"1:1","1:Many")</f>
        <v>1:1</v>
      </c>
      <c r="D1196" s="42" t="str" cm="1">
        <f t="array" ref="D1196">_xlfn.TEXTJOIN(" | ",TRUE,_xlfn._xlws.FILTER(PriceList!$B$4:$B$2641,PriceList!$M$4:$M$2641=A1196,""))</f>
        <v>OR9N 264.5-8.4</v>
      </c>
      <c r="E1196" t="str" cm="1">
        <f t="array" ref="E1196">_xlfn.TEXTJOIN(", ",TRUE,_xlfn._xlws.FILTER(ROW(PriceList!$B$4:$B$2641),PriceList!$M$4:$M$2641=A1196,""))</f>
        <v>1497</v>
      </c>
      <c r="F1196" s="42" t="str" cm="1">
        <f t="array" ref="F1196">_xlfn.TEXTJOIN(" | ",TRUE,_xlfn.UNIQUE(_xlfn._xlws.FILTER(PriceList!$Q$4:$Q$2641&amp;" x "&amp;PriceList!$R$4:$R$2641&amp;" x "&amp;PriceList!$S$4:$S$2641,PriceList!$M$4:$M$2641=A1196,"")))</f>
        <v>264.5 x 281.3 x 8.4</v>
      </c>
      <c r="G1196" t="str" cm="1">
        <f t="array" ref="G1196">INDEX(_xlfn._xlws.FILTER(PriceList!$P$4:$P$2641,PriceList!$M$4:$M$2641=A1196,""),1)</f>
        <v>O Ring - NBR 70</v>
      </c>
    </row>
    <row r="1197" spans="1:7" x14ac:dyDescent="0.45">
      <c r="A1197" t="s">
        <v>4577</v>
      </c>
      <c r="B1197">
        <f>COUNTIF(PriceList!$M$4:$M$2641,A1197)</f>
        <v>1</v>
      </c>
      <c r="C1197" t="str">
        <f>IF(B1197=1,"1:1","1:Many")</f>
        <v>1:1</v>
      </c>
      <c r="D1197" s="42" t="str" cm="1">
        <f t="array" ref="D1197">_xlfn.TEXTJOIN(" | ",TRUE,_xlfn._xlws.FILTER(PriceList!$B$4:$B$2641,PriceList!$M$4:$M$2641=A1197,""))</f>
        <v>OR9N 265-5</v>
      </c>
      <c r="E1197" t="str" cm="1">
        <f t="array" ref="E1197">_xlfn.TEXTJOIN(", ",TRUE,_xlfn._xlws.FILTER(ROW(PriceList!$B$4:$B$2641),PriceList!$M$4:$M$2641=A1197,""))</f>
        <v>1498</v>
      </c>
      <c r="F1197" s="42" t="str" cm="1">
        <f t="array" ref="F1197">_xlfn.TEXTJOIN(" | ",TRUE,_xlfn.UNIQUE(_xlfn._xlws.FILTER(PriceList!$Q$4:$Q$2641&amp;" x "&amp;PriceList!$R$4:$R$2641&amp;" x "&amp;PriceList!$S$4:$S$2641,PriceList!$M$4:$M$2641=A1197,"")))</f>
        <v>265 x 275 x 5</v>
      </c>
      <c r="G1197" t="str" cm="1">
        <f t="array" ref="G1197">INDEX(_xlfn._xlws.FILTER(PriceList!$P$4:$P$2641,PriceList!$M$4:$M$2641=A1197,""),1)</f>
        <v>O Ring - NBR 70</v>
      </c>
    </row>
    <row r="1198" spans="1:7" x14ac:dyDescent="0.45">
      <c r="A1198" t="s">
        <v>4578</v>
      </c>
      <c r="B1198">
        <f>COUNTIF(PriceList!$M$4:$M$2641,A1198)</f>
        <v>1</v>
      </c>
      <c r="C1198" t="str">
        <f>IF(B1198=1,"1:1","1:Many")</f>
        <v>1:1</v>
      </c>
      <c r="D1198" s="42" t="str" cm="1">
        <f t="array" ref="D1198">_xlfn.TEXTJOIN(" | ",TRUE,_xlfn._xlws.FILTER(PriceList!$B$4:$B$2641,PriceList!$M$4:$M$2641=A1198,""))</f>
        <v>OR9N 269.2-5.7</v>
      </c>
      <c r="E1198" t="str" cm="1">
        <f t="array" ref="E1198">_xlfn.TEXTJOIN(", ",TRUE,_xlfn._xlws.FILTER(ROW(PriceList!$B$4:$B$2641),PriceList!$M$4:$M$2641=A1198,""))</f>
        <v>1502</v>
      </c>
      <c r="F1198" s="42" t="str" cm="1">
        <f t="array" ref="F1198">_xlfn.TEXTJOIN(" | ",TRUE,_xlfn.UNIQUE(_xlfn._xlws.FILTER(PriceList!$Q$4:$Q$2641&amp;" x "&amp;PriceList!$R$4:$R$2641&amp;" x "&amp;PriceList!$S$4:$S$2641,PriceList!$M$4:$M$2641=A1198,"")))</f>
        <v>269.3 x 280.7 x 5.7</v>
      </c>
      <c r="G1198" t="str" cm="1">
        <f t="array" ref="G1198">INDEX(_xlfn._xlws.FILTER(PriceList!$P$4:$P$2641,PriceList!$M$4:$M$2641=A1198,""),1)</f>
        <v>O Ring - NBR 70</v>
      </c>
    </row>
    <row r="1199" spans="1:7" x14ac:dyDescent="0.45">
      <c r="A1199" t="s">
        <v>5199</v>
      </c>
      <c r="B1199">
        <f>COUNTIF(PriceList!$M$4:$M$2641,A1199)</f>
        <v>1</v>
      </c>
      <c r="C1199" t="str">
        <f>IF(B1199=1,"1:1","1:Many")</f>
        <v>1:1</v>
      </c>
      <c r="D1199" s="42" t="str" cm="1">
        <f t="array" ref="D1199">_xlfn.TEXTJOIN(" | ",TRUE,_xlfn._xlws.FILTER(PriceList!$B$4:$B$2641,PriceList!$M$4:$M$2641=A1199,""))</f>
        <v>ORV8 269.2-5.7</v>
      </c>
      <c r="E1199" t="str" cm="1">
        <f t="array" ref="E1199">_xlfn.TEXTJOIN(", ",TRUE,_xlfn._xlws.FILTER(ROW(PriceList!$B$4:$B$2641),PriceList!$M$4:$M$2641=A1199,""))</f>
        <v>2136</v>
      </c>
      <c r="F1199" s="42" t="str" cm="1">
        <f t="array" ref="F1199">_xlfn.TEXTJOIN(" | ",TRUE,_xlfn.UNIQUE(_xlfn._xlws.FILTER(PriceList!$Q$4:$Q$2641&amp;" x "&amp;PriceList!$R$4:$R$2641&amp;" x "&amp;PriceList!$S$4:$S$2641,PriceList!$M$4:$M$2641=A1199,"")))</f>
        <v>269.3 x 280.7 x 5.7</v>
      </c>
      <c r="G1199" t="str" cm="1">
        <f t="array" ref="G1199">INDEX(_xlfn._xlws.FILTER(PriceList!$P$4:$P$2641,PriceList!$M$4:$M$2641=A1199,""),1)</f>
        <v>O Ring - FPM/FKM/VitonÂ®</v>
      </c>
    </row>
    <row r="1200" spans="1:7" x14ac:dyDescent="0.45">
      <c r="A1200" t="s">
        <v>4579</v>
      </c>
      <c r="B1200">
        <f>COUNTIF(PriceList!$M$4:$M$2641,A1200)</f>
        <v>1</v>
      </c>
      <c r="C1200" t="str">
        <f>IF(B1200=1,"1:1","1:Many")</f>
        <v>1:1</v>
      </c>
      <c r="D1200" s="42" t="str" cm="1">
        <f t="array" ref="D1200">_xlfn.TEXTJOIN(" | ",TRUE,_xlfn._xlws.FILTER(PriceList!$B$4:$B$2641,PriceList!$M$4:$M$2641=A1200,""))</f>
        <v>OR9N 274.2-5.7</v>
      </c>
      <c r="E1200" t="str" cm="1">
        <f t="array" ref="E1200">_xlfn.TEXTJOIN(", ",TRUE,_xlfn._xlws.FILTER(ROW(PriceList!$B$4:$B$2641),PriceList!$M$4:$M$2641=A1200,""))</f>
        <v>1503</v>
      </c>
      <c r="F1200" s="42" t="str" cm="1">
        <f t="array" ref="F1200">_xlfn.TEXTJOIN(" | ",TRUE,_xlfn.UNIQUE(_xlfn._xlws.FILTER(PriceList!$Q$4:$Q$2641&amp;" x "&amp;PriceList!$R$4:$R$2641&amp;" x "&amp;PriceList!$S$4:$S$2641,PriceList!$M$4:$M$2641=A1200,"")))</f>
        <v>274.3 x 285.7 x 5.7</v>
      </c>
      <c r="G1200" t="str" cm="1">
        <f t="array" ref="G1200">INDEX(_xlfn._xlws.FILTER(PriceList!$P$4:$P$2641,PriceList!$M$4:$M$2641=A1200,""),1)</f>
        <v>O Ring - NBR 70</v>
      </c>
    </row>
    <row r="1201" spans="1:7" x14ac:dyDescent="0.45">
      <c r="A1201" t="s">
        <v>4580</v>
      </c>
      <c r="B1201">
        <f>COUNTIF(PriceList!$M$4:$M$2641,A1201)</f>
        <v>1</v>
      </c>
      <c r="C1201" t="str">
        <f>IF(B1201=1,"1:1","1:Many")</f>
        <v>1:1</v>
      </c>
      <c r="D1201" s="42" t="str" cm="1">
        <f t="array" ref="D1201">_xlfn.TEXTJOIN(" | ",TRUE,_xlfn._xlws.FILTER(PriceList!$B$4:$B$2641,PriceList!$M$4:$M$2641=A1201,""))</f>
        <v>OR9N 279.2-5.7</v>
      </c>
      <c r="E1201" t="str" cm="1">
        <f t="array" ref="E1201">_xlfn.TEXTJOIN(", ",TRUE,_xlfn._xlws.FILTER(ROW(PriceList!$B$4:$B$2641),PriceList!$M$4:$M$2641=A1201,""))</f>
        <v>1507</v>
      </c>
      <c r="F1201" s="42" t="str" cm="1">
        <f t="array" ref="F1201">_xlfn.TEXTJOIN(" | ",TRUE,_xlfn.UNIQUE(_xlfn._xlws.FILTER(PriceList!$Q$4:$Q$2641&amp;" x "&amp;PriceList!$R$4:$R$2641&amp;" x "&amp;PriceList!$S$4:$S$2641,PriceList!$M$4:$M$2641=A1201,"")))</f>
        <v>279.3 x 290.7 x 5.7</v>
      </c>
      <c r="G1201" t="str" cm="1">
        <f t="array" ref="G1201">INDEX(_xlfn._xlws.FILTER(PriceList!$P$4:$P$2641,PriceList!$M$4:$M$2641=A1201,""),1)</f>
        <v>O Ring - NBR 70</v>
      </c>
    </row>
    <row r="1202" spans="1:7" x14ac:dyDescent="0.45">
      <c r="A1202" t="s">
        <v>5202</v>
      </c>
      <c r="B1202">
        <f>COUNTIF(PriceList!$M$4:$M$2641,A1202)</f>
        <v>1</v>
      </c>
      <c r="C1202" t="str">
        <f>IF(B1202=1,"1:1","1:Many")</f>
        <v>1:1</v>
      </c>
      <c r="D1202" s="42" t="str" cm="1">
        <f t="array" ref="D1202">_xlfn.TEXTJOIN(" | ",TRUE,_xlfn._xlws.FILTER(PriceList!$B$4:$B$2641,PriceList!$M$4:$M$2641=A1202,""))</f>
        <v>ORV8 279.2-5.7</v>
      </c>
      <c r="E1202" t="str" cm="1">
        <f t="array" ref="E1202">_xlfn.TEXTJOIN(", ",TRUE,_xlfn._xlws.FILTER(ROW(PriceList!$B$4:$B$2641),PriceList!$M$4:$M$2641=A1202,""))</f>
        <v>2139</v>
      </c>
      <c r="F1202" s="42" t="str" cm="1">
        <f t="array" ref="F1202">_xlfn.TEXTJOIN(" | ",TRUE,_xlfn.UNIQUE(_xlfn._xlws.FILTER(PriceList!$Q$4:$Q$2641&amp;" x "&amp;PriceList!$R$4:$R$2641&amp;" x "&amp;PriceList!$S$4:$S$2641,PriceList!$M$4:$M$2641=A1202,"")))</f>
        <v>279.3 x 290.7 x 5.7</v>
      </c>
      <c r="G1202" t="str" cm="1">
        <f t="array" ref="G1202">INDEX(_xlfn._xlws.FILTER(PriceList!$P$4:$P$2641,PriceList!$M$4:$M$2641=A1202,""),1)</f>
        <v>O Ring - FPM/FKM/VitonÂ®</v>
      </c>
    </row>
    <row r="1203" spans="1:7" x14ac:dyDescent="0.45">
      <c r="A1203" t="s">
        <v>4581</v>
      </c>
      <c r="B1203">
        <f>COUNTIF(PriceList!$M$4:$M$2641,A1203)</f>
        <v>1</v>
      </c>
      <c r="C1203" t="str">
        <f>IF(B1203=1,"1:1","1:Many")</f>
        <v>1:1</v>
      </c>
      <c r="D1203" s="42" t="str" cm="1">
        <f t="array" ref="D1203">_xlfn.TEXTJOIN(" | ",TRUE,_xlfn._xlws.FILTER(PriceList!$B$4:$B$2641,PriceList!$M$4:$M$2641=A1203,""))</f>
        <v>OR9N 284.2-5.7</v>
      </c>
      <c r="E1203" t="str" cm="1">
        <f t="array" ref="E1203">_xlfn.TEXTJOIN(", ",TRUE,_xlfn._xlws.FILTER(ROW(PriceList!$B$4:$B$2641),PriceList!$M$4:$M$2641=A1203,""))</f>
        <v>1508</v>
      </c>
      <c r="F1203" s="42" t="str" cm="1">
        <f t="array" ref="F1203">_xlfn.TEXTJOIN(" | ",TRUE,_xlfn.UNIQUE(_xlfn._xlws.FILTER(PriceList!$Q$4:$Q$2641&amp;" x "&amp;PriceList!$R$4:$R$2641&amp;" x "&amp;PriceList!$S$4:$S$2641,PriceList!$M$4:$M$2641=A1203,"")))</f>
        <v>284.3 x 295.7 x 5.7</v>
      </c>
      <c r="G1203" t="str" cm="1">
        <f t="array" ref="G1203">INDEX(_xlfn._xlws.FILTER(PriceList!$P$4:$P$2641,PriceList!$M$4:$M$2641=A1203,""),1)</f>
        <v>O Ring - NBR 70</v>
      </c>
    </row>
    <row r="1204" spans="1:7" x14ac:dyDescent="0.45">
      <c r="A1204" t="s">
        <v>4582</v>
      </c>
      <c r="B1204">
        <f>COUNTIF(PriceList!$M$4:$M$2641,A1204)</f>
        <v>1</v>
      </c>
      <c r="C1204" t="str">
        <f>IF(B1204=1,"1:1","1:Many")</f>
        <v>1:1</v>
      </c>
      <c r="D1204" s="42" t="str" cm="1">
        <f t="array" ref="D1204">_xlfn.TEXTJOIN(" | ",TRUE,_xlfn._xlws.FILTER(PriceList!$B$4:$B$2641,PriceList!$M$4:$M$2641=A1204,""))</f>
        <v>OR9N 289.2-5.7</v>
      </c>
      <c r="E1204" t="str" cm="1">
        <f t="array" ref="E1204">_xlfn.TEXTJOIN(", ",TRUE,_xlfn._xlws.FILTER(ROW(PriceList!$B$4:$B$2641),PriceList!$M$4:$M$2641=A1204,""))</f>
        <v>1509</v>
      </c>
      <c r="F1204" s="42" t="str" cm="1">
        <f t="array" ref="F1204">_xlfn.TEXTJOIN(" | ",TRUE,_xlfn.UNIQUE(_xlfn._xlws.FILTER(PriceList!$Q$4:$Q$2641&amp;" x "&amp;PriceList!$R$4:$R$2641&amp;" x "&amp;PriceList!$S$4:$S$2641,PriceList!$M$4:$M$2641=A1204,"")))</f>
        <v>289.3 x 300.7 x 5.7</v>
      </c>
      <c r="G1204" t="str" cm="1">
        <f t="array" ref="G1204">INDEX(_xlfn._xlws.FILTER(PriceList!$P$4:$P$2641,PriceList!$M$4:$M$2641=A1204,""),1)</f>
        <v>O Ring - NBR 70</v>
      </c>
    </row>
    <row r="1205" spans="1:7" x14ac:dyDescent="0.45">
      <c r="A1205" t="s">
        <v>5203</v>
      </c>
      <c r="B1205">
        <f>COUNTIF(PriceList!$M$4:$M$2641,A1205)</f>
        <v>1</v>
      </c>
      <c r="C1205" t="str">
        <f>IF(B1205=1,"1:1","1:Many")</f>
        <v>1:1</v>
      </c>
      <c r="D1205" s="42" t="str" cm="1">
        <f t="array" ref="D1205">_xlfn.TEXTJOIN(" | ",TRUE,_xlfn._xlws.FILTER(PriceList!$B$4:$B$2641,PriceList!$M$4:$M$2641=A1205,""))</f>
        <v>ORV8 289.2-5.7</v>
      </c>
      <c r="E1205" t="str" cm="1">
        <f t="array" ref="E1205">_xlfn.TEXTJOIN(", ",TRUE,_xlfn._xlws.FILTER(ROW(PriceList!$B$4:$B$2641),PriceList!$M$4:$M$2641=A1205,""))</f>
        <v>2140</v>
      </c>
      <c r="F1205" s="42" t="str" cm="1">
        <f t="array" ref="F1205">_xlfn.TEXTJOIN(" | ",TRUE,_xlfn.UNIQUE(_xlfn._xlws.FILTER(PriceList!$Q$4:$Q$2641&amp;" x "&amp;PriceList!$R$4:$R$2641&amp;" x "&amp;PriceList!$S$4:$S$2641,PriceList!$M$4:$M$2641=A1205,"")))</f>
        <v>289.3 x 300.7 x 5.7</v>
      </c>
      <c r="G1205" t="str" cm="1">
        <f t="array" ref="G1205">INDEX(_xlfn._xlws.FILTER(PriceList!$P$4:$P$2641,PriceList!$M$4:$M$2641=A1205,""),1)</f>
        <v>O Ring - FPM/FKM/VitonÂ®</v>
      </c>
    </row>
    <row r="1206" spans="1:7" x14ac:dyDescent="0.45">
      <c r="A1206" t="s">
        <v>4583</v>
      </c>
      <c r="B1206">
        <f>COUNTIF(PriceList!$M$4:$M$2641,A1206)</f>
        <v>1</v>
      </c>
      <c r="C1206" t="str">
        <f>IF(B1206=1,"1:1","1:Many")</f>
        <v>1:1</v>
      </c>
      <c r="D1206" s="42" t="str" cm="1">
        <f t="array" ref="D1206">_xlfn.TEXTJOIN(" | ",TRUE,_xlfn._xlws.FILTER(PriceList!$B$4:$B$2641,PriceList!$M$4:$M$2641=A1206,""))</f>
        <v>OR9N 299.2-5.7</v>
      </c>
      <c r="E1206" t="str" cm="1">
        <f t="array" ref="E1206">_xlfn.TEXTJOIN(", ",TRUE,_xlfn._xlws.FILTER(ROW(PriceList!$B$4:$B$2641),PriceList!$M$4:$M$2641=A1206,""))</f>
        <v>1512</v>
      </c>
      <c r="F1206" s="42" t="str" cm="1">
        <f t="array" ref="F1206">_xlfn.TEXTJOIN(" | ",TRUE,_xlfn.UNIQUE(_xlfn._xlws.FILTER(PriceList!$Q$4:$Q$2641&amp;" x "&amp;PriceList!$R$4:$R$2641&amp;" x "&amp;PriceList!$S$4:$S$2641,PriceList!$M$4:$M$2641=A1206,"")))</f>
        <v>299.3 x 310.7 x 5.7</v>
      </c>
      <c r="G1206" t="str" cm="1">
        <f t="array" ref="G1206">INDEX(_xlfn._xlws.FILTER(PriceList!$P$4:$P$2641,PriceList!$M$4:$M$2641=A1206,""),1)</f>
        <v>O Ring - NBR 70</v>
      </c>
    </row>
    <row r="1207" spans="1:7" x14ac:dyDescent="0.45">
      <c r="A1207" t="s">
        <v>4322</v>
      </c>
      <c r="B1207">
        <f>COUNTIF(PriceList!$M$4:$M$2641,A1207)</f>
        <v>2</v>
      </c>
      <c r="C1207" t="str">
        <f>IF(B1207=1,"1:1","1:Many")</f>
        <v>1:Many</v>
      </c>
      <c r="D1207" s="42" t="str" cm="1">
        <f t="array" ref="D1207">_xlfn.TEXTJOIN(" | ",TRUE,_xlfn._xlws.FILTER(PriceList!$B$4:$B$2641,PriceList!$M$4:$M$2641=A1207,""))</f>
        <v>OR7N 304.2-5.7 | OR9N 304.2-5.7</v>
      </c>
      <c r="E1207" t="str" cm="1">
        <f t="array" ref="E1207">_xlfn.TEXTJOIN(", ",TRUE,_xlfn._xlws.FILTER(ROW(PriceList!$B$4:$B$2641),PriceList!$M$4:$M$2641=A1207,""))</f>
        <v>902, 1515</v>
      </c>
      <c r="F1207" s="42" t="str" cm="1">
        <f t="array" ref="F1207">_xlfn.TEXTJOIN(" | ",TRUE,_xlfn.UNIQUE(_xlfn._xlws.FILTER(PriceList!$Q$4:$Q$2641&amp;" x "&amp;PriceList!$R$4:$R$2641&amp;" x "&amp;PriceList!$S$4:$S$2641,PriceList!$M$4:$M$2641=A1207,"")))</f>
        <v>304.3 x 315.7 x 5.7</v>
      </c>
      <c r="G1207" t="str" cm="1">
        <f t="array" ref="G1207">INDEX(_xlfn._xlws.FILTER(PriceList!$P$4:$P$2641,PriceList!$M$4:$M$2641=A1207,""),1)</f>
        <v>O Ring - NBR 70</v>
      </c>
    </row>
    <row r="1208" spans="1:7" x14ac:dyDescent="0.45">
      <c r="A1208" t="s">
        <v>4585</v>
      </c>
      <c r="B1208">
        <f>COUNTIF(PriceList!$M$4:$M$2641,A1208)</f>
        <v>1</v>
      </c>
      <c r="C1208" t="str">
        <f>IF(B1208=1,"1:1","1:Many")</f>
        <v>1:1</v>
      </c>
      <c r="D1208" s="42" t="str" cm="1">
        <f t="array" ref="D1208">_xlfn.TEXTJOIN(" | ",TRUE,_xlfn._xlws.FILTER(PriceList!$B$4:$B$2641,PriceList!$M$4:$M$2641=A1208,""))</f>
        <v>OR9N 309.2-5.7</v>
      </c>
      <c r="E1208" t="str" cm="1">
        <f t="array" ref="E1208">_xlfn.TEXTJOIN(", ",TRUE,_xlfn._xlws.FILTER(ROW(PriceList!$B$4:$B$2641),PriceList!$M$4:$M$2641=A1208,""))</f>
        <v>1516</v>
      </c>
      <c r="F1208" s="42" t="str" cm="1">
        <f t="array" ref="F1208">_xlfn.TEXTJOIN(" | ",TRUE,_xlfn.UNIQUE(_xlfn._xlws.FILTER(PriceList!$Q$4:$Q$2641&amp;" x "&amp;PriceList!$R$4:$R$2641&amp;" x "&amp;PriceList!$S$4:$S$2641,PriceList!$M$4:$M$2641=A1208,"")))</f>
        <v>309.3 x 320.7 x 5.7</v>
      </c>
      <c r="G1208" t="str" cm="1">
        <f t="array" ref="G1208">INDEX(_xlfn._xlws.FILTER(PriceList!$P$4:$P$2641,PriceList!$M$4:$M$2641=A1208,""),1)</f>
        <v>O Ring - NBR 70</v>
      </c>
    </row>
    <row r="1209" spans="1:7" x14ac:dyDescent="0.45">
      <c r="A1209" t="s">
        <v>4586</v>
      </c>
      <c r="B1209">
        <f>COUNTIF(PriceList!$M$4:$M$2641,A1209)</f>
        <v>1</v>
      </c>
      <c r="C1209" t="str">
        <f>IF(B1209=1,"1:1","1:Many")</f>
        <v>1:1</v>
      </c>
      <c r="D1209" s="42" t="str" cm="1">
        <f t="array" ref="D1209">_xlfn.TEXTJOIN(" | ",TRUE,_xlfn._xlws.FILTER(PriceList!$B$4:$B$2641,PriceList!$M$4:$M$2641=A1209,""))</f>
        <v>OR9N 310-5</v>
      </c>
      <c r="E1209" t="str" cm="1">
        <f t="array" ref="E1209">_xlfn.TEXTJOIN(", ",TRUE,_xlfn._xlws.FILTER(ROW(PriceList!$B$4:$B$2641),PriceList!$M$4:$M$2641=A1209,""))</f>
        <v>1517</v>
      </c>
      <c r="F1209" s="42" t="str" cm="1">
        <f t="array" ref="F1209">_xlfn.TEXTJOIN(" | ",TRUE,_xlfn.UNIQUE(_xlfn._xlws.FILTER(PriceList!$Q$4:$Q$2641&amp;" x "&amp;PriceList!$R$4:$R$2641&amp;" x "&amp;PriceList!$S$4:$S$2641,PriceList!$M$4:$M$2641=A1209,"")))</f>
        <v>310 x 320 x 5</v>
      </c>
      <c r="G1209" t="str" cm="1">
        <f t="array" ref="G1209">INDEX(_xlfn._xlws.FILTER(PriceList!$P$4:$P$2641,PriceList!$M$4:$M$2641=A1209,""),1)</f>
        <v>O Ring - NBR 70</v>
      </c>
    </row>
    <row r="1210" spans="1:7" x14ac:dyDescent="0.45">
      <c r="A1210" t="s">
        <v>4587</v>
      </c>
      <c r="B1210">
        <f>COUNTIF(PriceList!$M$4:$M$2641,A1210)</f>
        <v>1</v>
      </c>
      <c r="C1210" t="str">
        <f>IF(B1210=1,"1:1","1:Many")</f>
        <v>1:1</v>
      </c>
      <c r="D1210" s="42" t="str" cm="1">
        <f t="array" ref="D1210">_xlfn.TEXTJOIN(" | ",TRUE,_xlfn._xlws.FILTER(PriceList!$B$4:$B$2641,PriceList!$M$4:$M$2641=A1210,""))</f>
        <v>OR9N 314.2-5.7</v>
      </c>
      <c r="E1210" t="str" cm="1">
        <f t="array" ref="E1210">_xlfn.TEXTJOIN(", ",TRUE,_xlfn._xlws.FILTER(ROW(PriceList!$B$4:$B$2641),PriceList!$M$4:$M$2641=A1210,""))</f>
        <v>1518</v>
      </c>
      <c r="F1210" s="42" t="str" cm="1">
        <f t="array" ref="F1210">_xlfn.TEXTJOIN(" | ",TRUE,_xlfn.UNIQUE(_xlfn._xlws.FILTER(PriceList!$Q$4:$Q$2641&amp;" x "&amp;PriceList!$R$4:$R$2641&amp;" x "&amp;PriceList!$S$4:$S$2641,PriceList!$M$4:$M$2641=A1210,"")))</f>
        <v>314.3 x 325.7 x 5.7</v>
      </c>
      <c r="G1210" t="str" cm="1">
        <f t="array" ref="G1210">INDEX(_xlfn._xlws.FILTER(PriceList!$P$4:$P$2641,PriceList!$M$4:$M$2641=A1210,""),1)</f>
        <v>O Ring - NBR 70</v>
      </c>
    </row>
    <row r="1211" spans="1:7" x14ac:dyDescent="0.45">
      <c r="A1211" t="s">
        <v>4588</v>
      </c>
      <c r="B1211">
        <f>COUNTIF(PriceList!$M$4:$M$2641,A1211)</f>
        <v>1</v>
      </c>
      <c r="C1211" t="str">
        <f>IF(B1211=1,"1:1","1:Many")</f>
        <v>1:1</v>
      </c>
      <c r="D1211" s="42" t="str" cm="1">
        <f t="array" ref="D1211">_xlfn.TEXTJOIN(" | ",TRUE,_xlfn._xlws.FILTER(PriceList!$B$4:$B$2641,PriceList!$M$4:$M$2641=A1211,""))</f>
        <v>OR9N 319.2-5.7</v>
      </c>
      <c r="E1211" t="str" cm="1">
        <f t="array" ref="E1211">_xlfn.TEXTJOIN(", ",TRUE,_xlfn._xlws.FILTER(ROW(PriceList!$B$4:$B$2641),PriceList!$M$4:$M$2641=A1211,""))</f>
        <v>1520</v>
      </c>
      <c r="F1211" s="42" t="str" cm="1">
        <f t="array" ref="F1211">_xlfn.TEXTJOIN(" | ",TRUE,_xlfn.UNIQUE(_xlfn._xlws.FILTER(PriceList!$Q$4:$Q$2641&amp;" x "&amp;PriceList!$R$4:$R$2641&amp;" x "&amp;PriceList!$S$4:$S$2641,PriceList!$M$4:$M$2641=A1211,"")))</f>
        <v>319.3 x 330.7 x 5.7</v>
      </c>
      <c r="G1211" t="str" cm="1">
        <f t="array" ref="G1211">INDEX(_xlfn._xlws.FILTER(PriceList!$P$4:$P$2641,PriceList!$M$4:$M$2641=A1211,""),1)</f>
        <v>O Ring - NBR 70</v>
      </c>
    </row>
    <row r="1212" spans="1:7" x14ac:dyDescent="0.45">
      <c r="A1212" t="s">
        <v>5209</v>
      </c>
      <c r="B1212">
        <f>COUNTIF(PriceList!$M$4:$M$2641,A1212)</f>
        <v>1</v>
      </c>
      <c r="C1212" t="str">
        <f>IF(B1212=1,"1:1","1:Many")</f>
        <v>1:1</v>
      </c>
      <c r="D1212" s="42" t="str" cm="1">
        <f t="array" ref="D1212">_xlfn.TEXTJOIN(" | ",TRUE,_xlfn._xlws.FILTER(PriceList!$B$4:$B$2641,PriceList!$M$4:$M$2641=A1212,""))</f>
        <v>ORV8 319.2-5.7</v>
      </c>
      <c r="E1212" t="str" cm="1">
        <f t="array" ref="E1212">_xlfn.TEXTJOIN(", ",TRUE,_xlfn._xlws.FILTER(ROW(PriceList!$B$4:$B$2641),PriceList!$M$4:$M$2641=A1212,""))</f>
        <v>2145</v>
      </c>
      <c r="F1212" s="42" t="str" cm="1">
        <f t="array" ref="F1212">_xlfn.TEXTJOIN(" | ",TRUE,_xlfn.UNIQUE(_xlfn._xlws.FILTER(PriceList!$Q$4:$Q$2641&amp;" x "&amp;PriceList!$R$4:$R$2641&amp;" x "&amp;PriceList!$S$4:$S$2641,PriceList!$M$4:$M$2641=A1212,"")))</f>
        <v>319.3 x 330.7 x 5.7</v>
      </c>
      <c r="G1212" t="str" cm="1">
        <f t="array" ref="G1212">INDEX(_xlfn._xlws.FILTER(PriceList!$P$4:$P$2641,PriceList!$M$4:$M$2641=A1212,""),1)</f>
        <v>O Ring - FPM/FKM/VitonÂ®</v>
      </c>
    </row>
    <row r="1213" spans="1:7" x14ac:dyDescent="0.45">
      <c r="A1213" t="s">
        <v>4589</v>
      </c>
      <c r="B1213">
        <f>COUNTIF(PriceList!$M$4:$M$2641,A1213)</f>
        <v>1</v>
      </c>
      <c r="C1213" t="str">
        <f>IF(B1213=1,"1:1","1:Many")</f>
        <v>1:1</v>
      </c>
      <c r="D1213" s="42" t="str" cm="1">
        <f t="array" ref="D1213">_xlfn.TEXTJOIN(" | ",TRUE,_xlfn._xlws.FILTER(PriceList!$B$4:$B$2641,PriceList!$M$4:$M$2641=A1213,""))</f>
        <v>OR9N 324.4-5.7</v>
      </c>
      <c r="E1213" t="str" cm="1">
        <f t="array" ref="E1213">_xlfn.TEXTJOIN(", ",TRUE,_xlfn._xlws.FILTER(ROW(PriceList!$B$4:$B$2641),PriceList!$M$4:$M$2641=A1213,""))</f>
        <v>1521</v>
      </c>
      <c r="F1213" s="42" t="str" cm="1">
        <f t="array" ref="F1213">_xlfn.TEXTJOIN(" | ",TRUE,_xlfn.UNIQUE(_xlfn._xlws.FILTER(PriceList!$Q$4:$Q$2641&amp;" x "&amp;PriceList!$R$4:$R$2641&amp;" x "&amp;PriceList!$S$4:$S$2641,PriceList!$M$4:$M$2641=A1213,"")))</f>
        <v>325 x 335 x 5</v>
      </c>
      <c r="G1213" t="str" cm="1">
        <f t="array" ref="G1213">INDEX(_xlfn._xlws.FILTER(PriceList!$P$4:$P$2641,PriceList!$M$4:$M$2641=A1213,""),1)</f>
        <v>O Ring - NBR 70</v>
      </c>
    </row>
    <row r="1214" spans="1:7" x14ac:dyDescent="0.45">
      <c r="A1214" t="s">
        <v>4591</v>
      </c>
      <c r="B1214">
        <f>COUNTIF(PriceList!$M$4:$M$2641,A1214)</f>
        <v>1</v>
      </c>
      <c r="C1214" t="str">
        <f>IF(B1214=1,"1:1","1:Many")</f>
        <v>1:1</v>
      </c>
      <c r="D1214" s="42" t="str" cm="1">
        <f t="array" ref="D1214">_xlfn.TEXTJOIN(" | ",TRUE,_xlfn._xlws.FILTER(PriceList!$B$4:$B$2641,PriceList!$M$4:$M$2641=A1214,""))</f>
        <v>OR9N 329.2-5.7</v>
      </c>
      <c r="E1214" t="str" cm="1">
        <f t="array" ref="E1214">_xlfn.TEXTJOIN(", ",TRUE,_xlfn._xlws.FILTER(ROW(PriceList!$B$4:$B$2641),PriceList!$M$4:$M$2641=A1214,""))</f>
        <v>1522</v>
      </c>
      <c r="F1214" s="42" t="str" cm="1">
        <f t="array" ref="F1214">_xlfn.TEXTJOIN(" | ",TRUE,_xlfn.UNIQUE(_xlfn._xlws.FILTER(PriceList!$Q$4:$Q$2641&amp;" x "&amp;PriceList!$R$4:$R$2641&amp;" x "&amp;PriceList!$S$4:$S$2641,PriceList!$M$4:$M$2641=A1214,"")))</f>
        <v>329.3 x 340.7 x 5.7</v>
      </c>
      <c r="G1214" t="str" cm="1">
        <f t="array" ref="G1214">INDEX(_xlfn._xlws.FILTER(PriceList!$P$4:$P$2641,PriceList!$M$4:$M$2641=A1214,""),1)</f>
        <v>O Ring - NBR 70</v>
      </c>
    </row>
    <row r="1215" spans="1:7" x14ac:dyDescent="0.45">
      <c r="A1215" t="s">
        <v>4592</v>
      </c>
      <c r="B1215">
        <f>COUNTIF(PriceList!$M$4:$M$2641,A1215)</f>
        <v>1</v>
      </c>
      <c r="C1215" t="str">
        <f>IF(B1215=1,"1:1","1:Many")</f>
        <v>1:1</v>
      </c>
      <c r="D1215" s="42" t="str" cm="1">
        <f t="array" ref="D1215">_xlfn.TEXTJOIN(" | ",TRUE,_xlfn._xlws.FILTER(PriceList!$B$4:$B$2641,PriceList!$M$4:$M$2641=A1215,""))</f>
        <v>OR9N 339.2-5.7</v>
      </c>
      <c r="E1215" t="str" cm="1">
        <f t="array" ref="E1215">_xlfn.TEXTJOIN(", ",TRUE,_xlfn._xlws.FILTER(ROW(PriceList!$B$4:$B$2641),PriceList!$M$4:$M$2641=A1215,""))</f>
        <v>1525</v>
      </c>
      <c r="F1215" s="42" t="str" cm="1">
        <f t="array" ref="F1215">_xlfn.TEXTJOIN(" | ",TRUE,_xlfn.UNIQUE(_xlfn._xlws.FILTER(PriceList!$Q$4:$Q$2641&amp;" x "&amp;PriceList!$R$4:$R$2641&amp;" x "&amp;PriceList!$S$4:$S$2641,PriceList!$M$4:$M$2641=A1215,"")))</f>
        <v>339.3 x 350.7 x 5.7</v>
      </c>
      <c r="G1215" t="str" cm="1">
        <f t="array" ref="G1215">INDEX(_xlfn._xlws.FILTER(PriceList!$P$4:$P$2641,PriceList!$M$4:$M$2641=A1215,""),1)</f>
        <v>O Ring - NBR 70</v>
      </c>
    </row>
    <row r="1216" spans="1:7" x14ac:dyDescent="0.45">
      <c r="A1216" t="s">
        <v>4593</v>
      </c>
      <c r="B1216">
        <f>COUNTIF(PriceList!$M$4:$M$2641,A1216)</f>
        <v>1</v>
      </c>
      <c r="C1216" t="str">
        <f>IF(B1216=1,"1:1","1:Many")</f>
        <v>1:1</v>
      </c>
      <c r="D1216" s="42" t="str" cm="1">
        <f t="array" ref="D1216">_xlfn.TEXTJOIN(" | ",TRUE,_xlfn._xlws.FILTER(PriceList!$B$4:$B$2641,PriceList!$M$4:$M$2641=A1216,""))</f>
        <v>OR9N 349.2-5.7</v>
      </c>
      <c r="E1216" t="str" cm="1">
        <f t="array" ref="E1216">_xlfn.TEXTJOIN(", ",TRUE,_xlfn._xlws.FILTER(ROW(PriceList!$B$4:$B$2641),PriceList!$M$4:$M$2641=A1216,""))</f>
        <v>1527</v>
      </c>
      <c r="F1216" s="42" t="str" cm="1">
        <f t="array" ref="F1216">_xlfn.TEXTJOIN(" | ",TRUE,_xlfn.UNIQUE(_xlfn._xlws.FILTER(PriceList!$Q$4:$Q$2641&amp;" x "&amp;PriceList!$R$4:$R$2641&amp;" x "&amp;PriceList!$S$4:$S$2641,PriceList!$M$4:$M$2641=A1216,"")))</f>
        <v>349.3 x 360.7 x 5.7</v>
      </c>
      <c r="G1216" t="str" cm="1">
        <f t="array" ref="G1216">INDEX(_xlfn._xlws.FILTER(PriceList!$P$4:$P$2641,PriceList!$M$4:$M$2641=A1216,""),1)</f>
        <v>O Ring - NBR 70</v>
      </c>
    </row>
    <row r="1217" spans="1:7" x14ac:dyDescent="0.45">
      <c r="A1217" t="s">
        <v>5210</v>
      </c>
      <c r="B1217">
        <f>COUNTIF(PriceList!$M$4:$M$2641,A1217)</f>
        <v>1</v>
      </c>
      <c r="C1217" t="str">
        <f>IF(B1217=1,"1:1","1:Many")</f>
        <v>1:1</v>
      </c>
      <c r="D1217" s="42" t="str" cm="1">
        <f t="array" ref="D1217">_xlfn.TEXTJOIN(" | ",TRUE,_xlfn._xlws.FILTER(PriceList!$B$4:$B$2641,PriceList!$M$4:$M$2641=A1217,""))</f>
        <v>ORV8 349.2-5.7</v>
      </c>
      <c r="E1217" t="str" cm="1">
        <f t="array" ref="E1217">_xlfn.TEXTJOIN(", ",TRUE,_xlfn._xlws.FILTER(ROW(PriceList!$B$4:$B$2641),PriceList!$M$4:$M$2641=A1217,""))</f>
        <v>2146</v>
      </c>
      <c r="F1217" s="42" t="str" cm="1">
        <f t="array" ref="F1217">_xlfn.TEXTJOIN(" | ",TRUE,_xlfn.UNIQUE(_xlfn._xlws.FILTER(PriceList!$Q$4:$Q$2641&amp;" x "&amp;PriceList!$R$4:$R$2641&amp;" x "&amp;PriceList!$S$4:$S$2641,PriceList!$M$4:$M$2641=A1217,"")))</f>
        <v>350 x 360 x 5</v>
      </c>
      <c r="G1217" t="str" cm="1">
        <f t="array" ref="G1217">INDEX(_xlfn._xlws.FILTER(PriceList!$P$4:$P$2641,PriceList!$M$4:$M$2641=A1217,""),1)</f>
        <v>O Ring - FPM/FKM/VitonÂ®</v>
      </c>
    </row>
    <row r="1218" spans="1:7" x14ac:dyDescent="0.45">
      <c r="A1218" t="s">
        <v>5415</v>
      </c>
      <c r="B1218">
        <f>COUNTIF(PriceList!$M$4:$M$2641,A1218)</f>
        <v>1</v>
      </c>
      <c r="C1218" t="str">
        <f>IF(B1218=1,"1:1","1:Many")</f>
        <v>1:1</v>
      </c>
      <c r="D1218" s="42" t="str" cm="1">
        <f t="array" ref="D1218">_xlfn.TEXTJOIN(" | ",TRUE,_xlfn._xlws.FILTER(PriceList!$B$4:$B$2641,PriceList!$M$4:$M$2641=A1218,""))</f>
        <v>RS018-N-0950-1057-042</v>
      </c>
      <c r="E1218" t="str" cm="1">
        <f t="array" ref="E1218">_xlfn.TEXTJOIN(", ",TRUE,_xlfn._xlws.FILTER(ROW(PriceList!$B$4:$B$2641),PriceList!$M$4:$M$2641=A1218,""))</f>
        <v>2353</v>
      </c>
      <c r="F1218" s="42" t="str" cm="1">
        <f t="array" ref="F1218">_xlfn.TEXTJOIN(" | ",TRUE,_xlfn.UNIQUE(_xlfn._xlws.FILTER(PriceList!$Q$4:$Q$2641&amp;" x "&amp;PriceList!$R$4:$R$2641&amp;" x "&amp;PriceList!$S$4:$S$2641,PriceList!$M$4:$M$2641=A1218,"")))</f>
        <v>95 x 105 x 10.5</v>
      </c>
      <c r="G1218" t="str" cm="1">
        <f t="array" ref="G1218">INDEX(_xlfn._xlws.FILTER(PriceList!$P$4:$P$2641,PriceList!$M$4:$M$2641=A1218,""),1)</f>
        <v>Rod Seal with Internal Extrusion Ring</v>
      </c>
    </row>
    <row r="1219" spans="1:7" x14ac:dyDescent="0.45">
      <c r="A1219" t="s">
        <v>5418</v>
      </c>
      <c r="B1219">
        <f>COUNTIF(PriceList!$M$4:$M$2641,A1219)</f>
        <v>1</v>
      </c>
      <c r="C1219" t="str">
        <f>IF(B1219=1,"1:1","1:Many")</f>
        <v>1:1</v>
      </c>
      <c r="D1219" s="42" t="str" cm="1">
        <f t="array" ref="D1219">_xlfn.TEXTJOIN(" | ",TRUE,_xlfn._xlws.FILTER(PriceList!$B$4:$B$2641,PriceList!$M$4:$M$2641=A1219,""))</f>
        <v>RS018-N-1050-1157-042</v>
      </c>
      <c r="E1219" t="str" cm="1">
        <f t="array" ref="E1219">_xlfn.TEXTJOIN(", ",TRUE,_xlfn._xlws.FILTER(ROW(PriceList!$B$4:$B$2641),PriceList!$M$4:$M$2641=A1219,""))</f>
        <v>2359</v>
      </c>
      <c r="F1219" s="42" t="str" cm="1">
        <f t="array" ref="F1219">_xlfn.TEXTJOIN(" | ",TRUE,_xlfn.UNIQUE(_xlfn._xlws.FILTER(PriceList!$Q$4:$Q$2641&amp;" x "&amp;PriceList!$R$4:$R$2641&amp;" x "&amp;PriceList!$S$4:$S$2641,PriceList!$M$4:$M$2641=A1219,"")))</f>
        <v>105 x 115 x 11</v>
      </c>
      <c r="G1219" t="str" cm="1">
        <f t="array" ref="G1219">INDEX(_xlfn._xlws.FILTER(PriceList!$P$4:$P$2641,PriceList!$M$4:$M$2641=A1219,""),1)</f>
        <v>Rod Seal with Internal Extrusion Ring</v>
      </c>
    </row>
    <row r="1220" spans="1:7" x14ac:dyDescent="0.45">
      <c r="A1220" t="s">
        <v>5485</v>
      </c>
      <c r="B1220">
        <f>COUNTIF(PriceList!$M$4:$M$2641,A1220)</f>
        <v>1</v>
      </c>
      <c r="C1220" t="str">
        <f>IF(B1220=1,"1:1","1:Many")</f>
        <v>1:1</v>
      </c>
      <c r="D1220" s="42" t="str" cm="1">
        <f t="array" ref="D1220">_xlfn.TEXTJOIN(" | ",TRUE,_xlfn._xlws.FILTER(PriceList!$B$4:$B$2641,PriceList!$M$4:$M$2641=A1220,""))</f>
        <v>RS054-N-1100-1350-400</v>
      </c>
      <c r="E1220" t="str" cm="1">
        <f t="array" ref="E1220">_xlfn.TEXTJOIN(", ",TRUE,_xlfn._xlws.FILTER(ROW(PriceList!$B$4:$B$2641),PriceList!$M$4:$M$2641=A1220,""))</f>
        <v>2488</v>
      </c>
      <c r="F1220" s="42" t="str" cm="1">
        <f t="array" ref="F1220">_xlfn.TEXTJOIN(" | ",TRUE,_xlfn.UNIQUE(_xlfn._xlws.FILTER(PriceList!$Q$4:$Q$2641&amp;" x "&amp;PriceList!$R$4:$R$2641&amp;" x "&amp;PriceList!$S$4:$S$2641,PriceList!$M$4:$M$2641=A1220,"")))</f>
        <v>110 x 135 x 15</v>
      </c>
      <c r="G1220" t="str" cm="1">
        <f t="array" ref="G1220">INDEX(_xlfn._xlws.FILTER(PriceList!$P$4:$P$2641,PriceList!$M$4:$M$2641=A1220,""),1)</f>
        <v>Rod Seal with Internal Extrusion Ring</v>
      </c>
    </row>
    <row r="1221" spans="1:7" x14ac:dyDescent="0.45">
      <c r="A1221" t="s">
        <v>5487</v>
      </c>
      <c r="B1221">
        <f>COUNTIF(PriceList!$M$4:$M$2641,A1221)</f>
        <v>1</v>
      </c>
      <c r="C1221" t="str">
        <f>IF(B1221=1,"1:1","1:Many")</f>
        <v>1:1</v>
      </c>
      <c r="D1221" s="42" t="str" cm="1">
        <f t="array" ref="D1221">_xlfn.TEXTJOIN(" | ",TRUE,_xlfn._xlws.FILTER(PriceList!$B$4:$B$2641,PriceList!$M$4:$M$2641=A1221,""))</f>
        <v>RS054-N-1200-1450-460</v>
      </c>
      <c r="E1221" t="str" cm="1">
        <f t="array" ref="E1221">_xlfn.TEXTJOIN(", ",TRUE,_xlfn._xlws.FILTER(ROW(PriceList!$B$4:$B$2641),PriceList!$M$4:$M$2641=A1221,""))</f>
        <v>2491</v>
      </c>
      <c r="F1221" s="42" t="str" cm="1">
        <f t="array" ref="F1221">_xlfn.TEXTJOIN(" | ",TRUE,_xlfn.UNIQUE(_xlfn._xlws.FILTER(PriceList!$Q$4:$Q$2641&amp;" x "&amp;PriceList!$R$4:$R$2641&amp;" x "&amp;PriceList!$S$4:$S$2641,PriceList!$M$4:$M$2641=A1221,"")))</f>
        <v>120 x 145 x 18.8</v>
      </c>
      <c r="G1221" t="str" cm="1">
        <f t="array" ref="G1221">INDEX(_xlfn._xlws.FILTER(PriceList!$P$4:$P$2641,PriceList!$M$4:$M$2641=A1221,""),1)</f>
        <v>Rod Seal with Internal Extrusion Ring</v>
      </c>
    </row>
    <row r="1222" spans="1:7" x14ac:dyDescent="0.45">
      <c r="A1222" t="s">
        <v>5489</v>
      </c>
      <c r="B1222">
        <f>COUNTIF(PriceList!$M$4:$M$2641,A1222)</f>
        <v>1</v>
      </c>
      <c r="C1222" t="str">
        <f>IF(B1222=1,"1:1","1:Many")</f>
        <v>1:1</v>
      </c>
      <c r="D1222" s="42" t="str" cm="1">
        <f t="array" ref="D1222">_xlfn.TEXTJOIN(" | ",TRUE,_xlfn._xlws.FILTER(PriceList!$B$4:$B$2641,PriceList!$M$4:$M$2641=A1222,""))</f>
        <v>RS054-N-1300-1550-500</v>
      </c>
      <c r="E1222" t="str" cm="1">
        <f t="array" ref="E1222">_xlfn.TEXTJOIN(", ",TRUE,_xlfn._xlws.FILTER(ROW(PriceList!$B$4:$B$2641),PriceList!$M$4:$M$2641=A1222,""))</f>
        <v>2493</v>
      </c>
      <c r="F1222" s="42" t="str" cm="1">
        <f t="array" ref="F1222">_xlfn.TEXTJOIN(" | ",TRUE,_xlfn.UNIQUE(_xlfn._xlws.FILTER(PriceList!$Q$4:$Q$2641&amp;" x "&amp;PriceList!$R$4:$R$2641&amp;" x "&amp;PriceList!$S$4:$S$2641,PriceList!$M$4:$M$2641=A1222,"")))</f>
        <v>130 x 155 x 18.3</v>
      </c>
      <c r="G1222" t="str" cm="1">
        <f t="array" ref="G1222">INDEX(_xlfn._xlws.FILTER(PriceList!$P$4:$P$2641,PriceList!$M$4:$M$2641=A1222,""),1)</f>
        <v>Rod Seal with Internal Extrusion Ring</v>
      </c>
    </row>
    <row r="1223" spans="1:7" x14ac:dyDescent="0.45">
      <c r="A1223" t="s">
        <v>5354</v>
      </c>
      <c r="B1223">
        <f>COUNTIF(PriceList!$M$4:$M$2641,A1223)</f>
        <v>2</v>
      </c>
      <c r="C1223" t="str">
        <f>IF(B1223=1,"1:1","1:Many")</f>
        <v>1:Many</v>
      </c>
      <c r="D1223" s="42" t="str" cm="1">
        <f t="array" ref="D1223">_xlfn.TEXTJOIN(" | ",TRUE,_xlfn._xlws.FILTER(PriceList!$B$4:$B$2641,PriceList!$M$4:$M$2641=A1223,""))</f>
        <v>RS018-F-1500-1651-063 | RS018-N-1500-1651-063</v>
      </c>
      <c r="E1223" t="str" cm="1">
        <f t="array" ref="E1223">_xlfn.TEXTJOIN(", ",TRUE,_xlfn._xlws.FILTER(ROW(PriceList!$B$4:$B$2641),PriceList!$M$4:$M$2641=A1223,""))</f>
        <v>2246, 2382</v>
      </c>
      <c r="F1223" s="42" t="str" cm="1">
        <f t="array" ref="F1223">_xlfn.TEXTJOIN(" | ",TRUE,_xlfn.UNIQUE(_xlfn._xlws.FILTER(PriceList!$Q$4:$Q$2641&amp;" x "&amp;PriceList!$R$4:$R$2641&amp;" x "&amp;PriceList!$S$4:$S$2641,PriceList!$M$4:$M$2641=A1223,"")))</f>
        <v>150 x 165 x 12.5</v>
      </c>
      <c r="G1223" t="str" cm="1">
        <f t="array" ref="G1223">INDEX(_xlfn._xlws.FILTER(PriceList!$P$4:$P$2641,PriceList!$M$4:$M$2641=A1223,""),1)</f>
        <v>Rod Seal with Internal Extrusion Ring</v>
      </c>
    </row>
    <row r="1224" spans="1:7" x14ac:dyDescent="0.45">
      <c r="A1224" t="s">
        <v>5493</v>
      </c>
      <c r="B1224">
        <f>COUNTIF(PriceList!$M$4:$M$2641,A1224)</f>
        <v>1</v>
      </c>
      <c r="C1224" t="str">
        <f>IF(B1224=1,"1:1","1:Many")</f>
        <v>1:1</v>
      </c>
      <c r="D1224" s="42" t="str" cm="1">
        <f t="array" ref="D1224">_xlfn.TEXTJOIN(" | ",TRUE,_xlfn._xlws.FILTER(PriceList!$B$4:$B$2641,PriceList!$M$4:$M$2641=A1224,""))</f>
        <v>RS054-N-1400-1700-400</v>
      </c>
      <c r="E1224" t="str" cm="1">
        <f t="array" ref="E1224">_xlfn.TEXTJOIN(", ",TRUE,_xlfn._xlws.FILTER(ROW(PriceList!$B$4:$B$2641),PriceList!$M$4:$M$2641=A1224,""))</f>
        <v>2496</v>
      </c>
      <c r="F1224" s="42" t="str" cm="1">
        <f t="array" ref="F1224">_xlfn.TEXTJOIN(" | ",TRUE,_xlfn.UNIQUE(_xlfn._xlws.FILTER(PriceList!$Q$4:$Q$2641&amp;" x "&amp;PriceList!$R$4:$R$2641&amp;" x "&amp;PriceList!$S$4:$S$2641,PriceList!$M$4:$M$2641=A1224,"")))</f>
        <v>140 x 170 x 22.8</v>
      </c>
      <c r="G1224" t="str" cm="1">
        <f t="array" ref="G1224">INDEX(_xlfn._xlws.FILTER(PriceList!$P$4:$P$2641,PriceList!$M$4:$M$2641=A1224,""),1)</f>
        <v>Rod Seal with Internal Extrusion Ring</v>
      </c>
    </row>
    <row r="1225" spans="1:7" x14ac:dyDescent="0.45">
      <c r="A1225" t="s">
        <v>5357</v>
      </c>
      <c r="B1225">
        <f>COUNTIF(PriceList!$M$4:$M$2641,A1225)</f>
        <v>2</v>
      </c>
      <c r="C1225" t="str">
        <f>IF(B1225=1,"1:1","1:Many")</f>
        <v>1:Many</v>
      </c>
      <c r="D1225" s="42" t="str" cm="1">
        <f t="array" ref="D1225">_xlfn.TEXTJOIN(" | ",TRUE,_xlfn._xlws.FILTER(PriceList!$B$4:$B$2641,PriceList!$M$4:$M$2641=A1225,""))</f>
        <v>RS018-F-1600-1751-063 | RS018-N-1600-1751-063</v>
      </c>
      <c r="E1225" t="str" cm="1">
        <f t="array" ref="E1225">_xlfn.TEXTJOIN(", ",TRUE,_xlfn._xlws.FILTER(ROW(PriceList!$B$4:$B$2641),PriceList!$M$4:$M$2641=A1225,""))</f>
        <v>2249, 2385</v>
      </c>
      <c r="F1225" s="42" t="str" cm="1">
        <f t="array" ref="F1225">_xlfn.TEXTJOIN(" | ",TRUE,_xlfn.UNIQUE(_xlfn._xlws.FILTER(PriceList!$Q$4:$Q$2641&amp;" x "&amp;PriceList!$R$4:$R$2641&amp;" x "&amp;PriceList!$S$4:$S$2641,PriceList!$M$4:$M$2641=A1225,"")))</f>
        <v>160 x 175 x 16</v>
      </c>
      <c r="G1225" t="str" cm="1">
        <f t="array" ref="G1225">INDEX(_xlfn._xlws.FILTER(PriceList!$P$4:$P$2641,PriceList!$M$4:$M$2641=A1225,""),1)</f>
        <v>Rod Seal with Internal Extrusion Ring</v>
      </c>
    </row>
    <row r="1226" spans="1:7" x14ac:dyDescent="0.45">
      <c r="A1226" t="s">
        <v>5368</v>
      </c>
      <c r="B1226">
        <f>COUNTIF(PriceList!$M$4:$M$2641,A1226)</f>
        <v>2</v>
      </c>
      <c r="C1226" t="str">
        <f>IF(B1226=1,"1:1","1:Many")</f>
        <v>1:Many</v>
      </c>
      <c r="D1226" s="42" t="str" cm="1">
        <f t="array" ref="D1226">_xlfn.TEXTJOIN(" | ",TRUE,_xlfn._xlws.FILTER(PriceList!$B$4:$B$2641,PriceList!$M$4:$M$2641=A1226,""))</f>
        <v>RS018-F-1900-2105-081 | RS018-N-1900-2105-081</v>
      </c>
      <c r="E1226" t="str" cm="1">
        <f t="array" ref="E1226">_xlfn.TEXTJOIN(", ",TRUE,_xlfn._xlws.FILTER(ROW(PriceList!$B$4:$B$2641),PriceList!$M$4:$M$2641=A1226,""))</f>
        <v>2257, 2395</v>
      </c>
      <c r="F1226" s="42" t="str" cm="1">
        <f t="array" ref="F1226">_xlfn.TEXTJOIN(" | ",TRUE,_xlfn.UNIQUE(_xlfn._xlws.FILTER(PriceList!$Q$4:$Q$2641&amp;" x "&amp;PriceList!$R$4:$R$2641&amp;" x "&amp;PriceList!$S$4:$S$2641,PriceList!$M$4:$M$2641=A1226,"")))</f>
        <v>190 x 210 x 14.5</v>
      </c>
      <c r="G1226" t="str" cm="1">
        <f t="array" ref="G1226">INDEX(_xlfn._xlws.FILTER(PriceList!$P$4:$P$2641,PriceList!$M$4:$M$2641=A1226,""),1)</f>
        <v>Rod Seal with Internal Extrusion Ring</v>
      </c>
    </row>
    <row r="1227" spans="1:7" x14ac:dyDescent="0.45">
      <c r="A1227" t="s">
        <v>5289</v>
      </c>
      <c r="B1227">
        <f>COUNTIF(PriceList!$M$4:$M$2641,A1227)</f>
        <v>2</v>
      </c>
      <c r="C1227" t="str">
        <f>IF(B1227=1,"1:1","1:Many")</f>
        <v>1:Many</v>
      </c>
      <c r="D1227" s="42" t="str" cm="1">
        <f t="array" ref="D1227">_xlfn.TEXTJOIN(" | ",TRUE,_xlfn._xlws.FILTER(PriceList!$B$4:$B$2641,PriceList!$M$4:$M$2641=A1227,""))</f>
        <v>RS018-F-0420-0571-063 | RS018-N-0420-0571-063</v>
      </c>
      <c r="E1227" t="str" cm="1">
        <f t="array" ref="E1227">_xlfn.TEXTJOIN(", ",TRUE,_xlfn._xlws.FILTER(ROW(PriceList!$B$4:$B$2641),PriceList!$M$4:$M$2641=A1227,""))</f>
        <v>2196, 2310</v>
      </c>
      <c r="F1227" s="42" t="str" cm="1">
        <f t="array" ref="F1227">_xlfn.TEXTJOIN(" | ",TRUE,_xlfn.UNIQUE(_xlfn._xlws.FILTER(PriceList!$Q$4:$Q$2641&amp;" x "&amp;PriceList!$R$4:$R$2641&amp;" x "&amp;PriceList!$S$4:$S$2641,PriceList!$M$4:$M$2641=A1227,"")))</f>
        <v>41.148 x 57.15 x 10.922</v>
      </c>
      <c r="G1227" t="str" cm="1">
        <f t="array" ref="G1227">INDEX(_xlfn._xlws.FILTER(PriceList!$P$4:$P$2641,PriceList!$M$4:$M$2641=A1227,""),1)</f>
        <v>Rod Seal with Internal Extrusion Ring</v>
      </c>
    </row>
    <row r="1228" spans="1:7" x14ac:dyDescent="0.45">
      <c r="A1228" t="s">
        <v>5370</v>
      </c>
      <c r="B1228">
        <f>COUNTIF(PriceList!$M$4:$M$2641,A1228)</f>
        <v>2</v>
      </c>
      <c r="C1228" t="str">
        <f>IF(B1228=1,"1:1","1:Many")</f>
        <v>1:Many</v>
      </c>
      <c r="D1228" s="42" t="str" cm="1">
        <f t="array" ref="D1228">_xlfn.TEXTJOIN(" | ",TRUE,_xlfn._xlws.FILTER(PriceList!$B$4:$B$2641,PriceList!$M$4:$M$2641=A1228,""))</f>
        <v>RS018-F-2100-2305-081 | RS018-N-2100-2305-081</v>
      </c>
      <c r="E1228" t="str" cm="1">
        <f t="array" ref="E1228">_xlfn.TEXTJOIN(", ",TRUE,_xlfn._xlws.FILTER(ROW(PriceList!$B$4:$B$2641),PriceList!$M$4:$M$2641=A1228,""))</f>
        <v>2259, 2397</v>
      </c>
      <c r="F1228" s="42" t="str" cm="1">
        <f t="array" ref="F1228">_xlfn.TEXTJOIN(" | ",TRUE,_xlfn.UNIQUE(_xlfn._xlws.FILTER(PriceList!$Q$4:$Q$2641&amp;" x "&amp;PriceList!$R$4:$R$2641&amp;" x "&amp;PriceList!$S$4:$S$2641,PriceList!$M$4:$M$2641=A1228,"")))</f>
        <v>210 x 230 x 14</v>
      </c>
      <c r="G1228" t="str" cm="1">
        <f t="array" ref="G1228">INDEX(_xlfn._xlws.FILTER(PriceList!$P$4:$P$2641,PriceList!$M$4:$M$2641=A1228,""),1)</f>
        <v>Rod Seal with Internal Extrusion Ring</v>
      </c>
    </row>
    <row r="1229" spans="1:7" x14ac:dyDescent="0.45">
      <c r="A1229" t="s">
        <v>5464</v>
      </c>
      <c r="B1229">
        <f>COUNTIF(PriceList!$M$4:$M$2641,A1229)</f>
        <v>1</v>
      </c>
      <c r="C1229" t="str">
        <f>IF(B1229=1,"1:1","1:Many")</f>
        <v>1:1</v>
      </c>
      <c r="D1229" s="42" t="str" cm="1">
        <f t="array" ref="D1229">_xlfn.TEXTJOIN(" | ",TRUE,_xlfn._xlws.FILTER(PriceList!$B$4:$B$2641,PriceList!$M$4:$M$2641=A1229,""))</f>
        <v>RS054-N-0280-0400-225</v>
      </c>
      <c r="E1229" t="str" cm="1">
        <f t="array" ref="E1229">_xlfn.TEXTJOIN(", ",TRUE,_xlfn._xlws.FILTER(ROW(PriceList!$B$4:$B$2641),PriceList!$M$4:$M$2641=A1229,""))</f>
        <v>2454</v>
      </c>
      <c r="F1229" s="42" t="str" cm="1">
        <f t="array" ref="F1229">_xlfn.TEXTJOIN(" | ",TRUE,_xlfn.UNIQUE(_xlfn._xlws.FILTER(PriceList!$Q$4:$Q$2641&amp;" x "&amp;PriceList!$R$4:$R$2641&amp;" x "&amp;PriceList!$S$4:$S$2641,PriceList!$M$4:$M$2641=A1229,"")))</f>
        <v>28 x 40 x 9</v>
      </c>
      <c r="G1229" t="str" cm="1">
        <f t="array" ref="G1229">INDEX(_xlfn._xlws.FILTER(PriceList!$P$4:$P$2641,PriceList!$M$4:$M$2641=A1229,""),1)</f>
        <v>Rod Seal with Internal Extrusion Ring</v>
      </c>
    </row>
    <row r="1230" spans="1:7" x14ac:dyDescent="0.45">
      <c r="A1230" t="s">
        <v>5467</v>
      </c>
      <c r="B1230">
        <f>COUNTIF(PriceList!$M$4:$M$2641,A1230)</f>
        <v>2</v>
      </c>
      <c r="C1230" t="str">
        <f>IF(B1230=1,"1:1","1:Many")</f>
        <v>1:Many</v>
      </c>
      <c r="D1230" s="42" t="str" cm="1">
        <f t="array" ref="D1230">_xlfn.TEXTJOIN(" | ",TRUE,_xlfn._xlws.FILTER(PriceList!$B$4:$B$2641,PriceList!$M$4:$M$2641=A1230,""))</f>
        <v>RS054-N-0360-0480-190 | RS054-N-0360-0480-225</v>
      </c>
      <c r="E1230" t="str" cm="1">
        <f t="array" ref="E1230">_xlfn.TEXTJOIN(", ",TRUE,_xlfn._xlws.FILTER(ROW(PriceList!$B$4:$B$2641),PriceList!$M$4:$M$2641=A1230,""))</f>
        <v>2458, 2459</v>
      </c>
      <c r="F1230" s="42" t="str" cm="1">
        <f t="array" ref="F1230">_xlfn.TEXTJOIN(" | ",TRUE,_xlfn.UNIQUE(_xlfn._xlws.FILTER(PriceList!$Q$4:$Q$2641&amp;" x "&amp;PriceList!$R$4:$R$2641&amp;" x "&amp;PriceList!$S$4:$S$2641,PriceList!$M$4:$M$2641=A1230,"")))</f>
        <v>36 x 48 x 9</v>
      </c>
      <c r="G1230" t="str" cm="1">
        <f t="array" ref="G1230">INDEX(_xlfn._xlws.FILTER(PriceList!$P$4:$P$2641,PriceList!$M$4:$M$2641=A1230,""),1)</f>
        <v>Rod Seal with Internal Extrusion Ring</v>
      </c>
    </row>
    <row r="1231" spans="1:7" x14ac:dyDescent="0.45">
      <c r="A1231" t="s">
        <v>5433</v>
      </c>
      <c r="B1231">
        <f>COUNTIF(PriceList!$M$4:$M$2641,A1231)</f>
        <v>1</v>
      </c>
      <c r="C1231" t="str">
        <f>IF(B1231=1,"1:1","1:Many")</f>
        <v>1:1</v>
      </c>
      <c r="D1231" s="42" t="str" cm="1">
        <f t="array" ref="D1231">_xlfn.TEXTJOIN(" | ",TRUE,_xlfn._xlws.FILTER(PriceList!$B$4:$B$2641,PriceList!$M$4:$M$2641=A1231,""))</f>
        <v>RS018N-IN-01000-01287-00126</v>
      </c>
      <c r="E1231" t="str" cm="1">
        <f t="array" ref="E1231">_xlfn.TEXTJOIN(", ",TRUE,_xlfn._xlws.FILTER(ROW(PriceList!$B$4:$B$2641),PriceList!$M$4:$M$2641=A1231,""))</f>
        <v>2408</v>
      </c>
      <c r="F1231" s="42" t="str" cm="1">
        <f t="array" ref="F1231">_xlfn.TEXTJOIN(" | ",TRUE,_xlfn.UNIQUE(_xlfn._xlws.FILTER(PriceList!$Q$4:$Q$2641&amp;" x "&amp;PriceList!$R$4:$R$2641&amp;" x "&amp;PriceList!$S$4:$S$2641,PriceList!$M$4:$M$2641=A1231,"")))</f>
        <v>101.6 x 127 x 19.05</v>
      </c>
      <c r="G1231" t="str" cm="1">
        <f t="array" ref="G1231">INDEX(_xlfn._xlws.FILTER(PriceList!$P$4:$P$2641,PriceList!$M$4:$M$2641=A1231,""),1)</f>
        <v>Rod Seal with Internal Extrusion Ring</v>
      </c>
    </row>
    <row r="1232" spans="1:7" x14ac:dyDescent="0.45">
      <c r="A1232" t="s">
        <v>5421</v>
      </c>
      <c r="B1232">
        <f>COUNTIF(PriceList!$M$4:$M$2641,A1232)</f>
        <v>2</v>
      </c>
      <c r="C1232" t="str">
        <f>IF(B1232=1,"1:1","1:Many")</f>
        <v>1:Many</v>
      </c>
      <c r="D1232" s="42" t="str" cm="1">
        <f t="array" ref="D1232">_xlfn.TEXTJOIN(" | ",TRUE,_xlfn._xlws.FILTER(PriceList!$B$4:$B$2641,PriceList!$M$4:$M$2641=A1232,""))</f>
        <v>RS018-N-1330-1481-063 | RS063-U-1330-1485-063</v>
      </c>
      <c r="E1232" t="str" cm="1">
        <f t="array" ref="E1232">_xlfn.TEXTJOIN(", ",TRUE,_xlfn._xlws.FILTER(ROW(PriceList!$B$4:$B$2641),PriceList!$M$4:$M$2641=A1232,""))</f>
        <v>2373, 2523</v>
      </c>
      <c r="F1232" s="42" t="str" cm="1">
        <f t="array" ref="F1232">_xlfn.TEXTJOIN(" | ",TRUE,_xlfn.UNIQUE(_xlfn._xlws.FILTER(PriceList!$Q$4:$Q$2641&amp;" x "&amp;PriceList!$R$4:$R$2641&amp;" x "&amp;PriceList!$S$4:$S$2641,PriceList!$M$4:$M$2641=A1232,"")))</f>
        <v>133.35 x 149.098 x 19.05</v>
      </c>
      <c r="G1232" t="str" cm="1">
        <f t="array" ref="G1232">INDEX(_xlfn._xlws.FILTER(PriceList!$P$4:$P$2641,PriceList!$M$4:$M$2641=A1232,""),1)</f>
        <v>Edbro Telescopic Rod Seal</v>
      </c>
    </row>
    <row r="1233" spans="1:7" x14ac:dyDescent="0.45">
      <c r="A1233" t="s">
        <v>5437</v>
      </c>
      <c r="B1233">
        <f>COUNTIF(PriceList!$M$4:$M$2641,A1233)</f>
        <v>1</v>
      </c>
      <c r="C1233" t="str">
        <f>IF(B1233=1,"1:1","1:Many")</f>
        <v>1:1</v>
      </c>
      <c r="D1233" s="42" t="str" cm="1">
        <f t="array" ref="D1233">_xlfn.TEXTJOIN(" | ",TRUE,_xlfn._xlws.FILTER(PriceList!$B$4:$B$2641,PriceList!$M$4:$M$2641=A1233,""))</f>
        <v>RS018N-IN-01250-01537-00126</v>
      </c>
      <c r="E1233" t="str" cm="1">
        <f t="array" ref="E1233">_xlfn.TEXTJOIN(", ",TRUE,_xlfn._xlws.FILTER(ROW(PriceList!$B$4:$B$2641),PriceList!$M$4:$M$2641=A1233,""))</f>
        <v>2410</v>
      </c>
      <c r="F1233" s="42" t="str" cm="1">
        <f t="array" ref="F1233">_xlfn.TEXTJOIN(" | ",TRUE,_xlfn.UNIQUE(_xlfn._xlws.FILTER(PriceList!$Q$4:$Q$2641&amp;" x "&amp;PriceList!$R$4:$R$2641&amp;" x "&amp;PriceList!$S$4:$S$2641,PriceList!$M$4:$M$2641=A1233,"")))</f>
        <v>127 x 152.4 x 19.05</v>
      </c>
      <c r="G1233" t="str" cm="1">
        <f t="array" ref="G1233">INDEX(_xlfn._xlws.FILTER(PriceList!$P$4:$P$2641,PriceList!$M$4:$M$2641=A1233,""),1)</f>
        <v>Rod Seal with Internal Extrusion Ring</v>
      </c>
    </row>
    <row r="1234" spans="1:7" x14ac:dyDescent="0.45">
      <c r="A1234" t="s">
        <v>5470</v>
      </c>
      <c r="B1234">
        <f>COUNTIF(PriceList!$M$4:$M$2641,A1234)</f>
        <v>1</v>
      </c>
      <c r="C1234" t="str">
        <f>IF(B1234=1,"1:1","1:Many")</f>
        <v>1:1</v>
      </c>
      <c r="D1234" s="42" t="str" cm="1">
        <f t="array" ref="D1234">_xlfn.TEXTJOIN(" | ",TRUE,_xlfn._xlws.FILTER(PriceList!$B$4:$B$2641,PriceList!$M$4:$M$2641=A1234,""))</f>
        <v>RS054-N-0450-0630-300</v>
      </c>
      <c r="E1234" t="str" cm="1">
        <f t="array" ref="E1234">_xlfn.TEXTJOIN(", ",TRUE,_xlfn._xlws.FILTER(ROW(PriceList!$B$4:$B$2641),PriceList!$M$4:$M$2641=A1234,""))</f>
        <v>2463</v>
      </c>
      <c r="F1234" s="42" t="str" cm="1">
        <f t="array" ref="F1234">_xlfn.TEXTJOIN(" | ",TRUE,_xlfn.UNIQUE(_xlfn._xlws.FILTER(PriceList!$Q$4:$Q$2641&amp;" x "&amp;PriceList!$R$4:$R$2641&amp;" x "&amp;PriceList!$S$4:$S$2641,PriceList!$M$4:$M$2641=A1234,"")))</f>
        <v>45 x 63 x 10.5</v>
      </c>
      <c r="G1234" t="str" cm="1">
        <f t="array" ref="G1234">INDEX(_xlfn._xlws.FILTER(PriceList!$P$4:$P$2641,PriceList!$M$4:$M$2641=A1234,""),1)</f>
        <v>Rod Seal with Internal Extrusion Ring</v>
      </c>
    </row>
    <row r="1235" spans="1:7" x14ac:dyDescent="0.45">
      <c r="A1235" t="s">
        <v>5404</v>
      </c>
      <c r="B1235">
        <f>COUNTIF(PriceList!$M$4:$M$2641,A1235)</f>
        <v>1</v>
      </c>
      <c r="C1235" t="str">
        <f>IF(B1235=1,"1:1","1:Many")</f>
        <v>1:1</v>
      </c>
      <c r="D1235" s="42" t="str" cm="1">
        <f t="array" ref="D1235">_xlfn.TEXTJOIN(" | ",TRUE,_xlfn._xlws.FILTER(PriceList!$B$4:$B$2641,PriceList!$M$4:$M$2641=A1235,""))</f>
        <v>RS018-N-0630-0756-042</v>
      </c>
      <c r="E1235" t="str" cm="1">
        <f t="array" ref="E1235">_xlfn.TEXTJOIN(", ",TRUE,_xlfn._xlws.FILTER(ROW(PriceList!$B$4:$B$2641),PriceList!$M$4:$M$2641=A1235,""))</f>
        <v>2328</v>
      </c>
      <c r="F1235" s="42" t="str" cm="1">
        <f t="array" ref="F1235">_xlfn.TEXTJOIN(" | ",TRUE,_xlfn.UNIQUE(_xlfn._xlws.FILTER(PriceList!$Q$4:$Q$2641&amp;" x "&amp;PriceList!$R$4:$R$2641&amp;" x "&amp;PriceList!$S$4:$S$2641,PriceList!$M$4:$M$2641=A1235,"")))</f>
        <v>63 x 75 x 10.5</v>
      </c>
      <c r="G1235" t="str" cm="1">
        <f t="array" ref="G1235">INDEX(_xlfn._xlws.FILTER(PriceList!$P$4:$P$2641,PriceList!$M$4:$M$2641=A1235,""),1)</f>
        <v>Rod Seal with Internal Extrusion Ring</v>
      </c>
    </row>
    <row r="1236" spans="1:7" x14ac:dyDescent="0.45">
      <c r="A1236" t="s">
        <v>5429</v>
      </c>
      <c r="B1236">
        <f>COUNTIF(PriceList!$M$4:$M$2641,A1236)</f>
        <v>1</v>
      </c>
      <c r="C1236" t="str">
        <f>IF(B1236=1,"1:1","1:Many")</f>
        <v>1:1</v>
      </c>
      <c r="D1236" s="42" t="str" cm="1">
        <f t="array" ref="D1236">_xlfn.TEXTJOIN(" | ",TRUE,_xlfn._xlws.FILTER(PriceList!$B$4:$B$2641,PriceList!$M$4:$M$2641=A1236,""))</f>
        <v>RS018-N-1850-2001-063</v>
      </c>
      <c r="E1236" t="str" cm="1">
        <f t="array" ref="E1236">_xlfn.TEXTJOIN(", ",TRUE,_xlfn._xlws.FILTER(ROW(PriceList!$B$4:$B$2641),PriceList!$M$4:$M$2641=A1236,""))</f>
        <v>2393</v>
      </c>
      <c r="F1236" s="42" t="str" cm="1">
        <f t="array" ref="F1236">_xlfn.TEXTJOIN(" | ",TRUE,_xlfn.UNIQUE(_xlfn._xlws.FILTER(PriceList!$Q$4:$Q$2641&amp;" x "&amp;PriceList!$R$4:$R$2641&amp;" x "&amp;PriceList!$S$4:$S$2641,PriceList!$M$4:$M$2641=A1236,"")))</f>
        <v>185.674 x 201.93 x 19.05</v>
      </c>
      <c r="G1236" t="str" cm="1">
        <f t="array" ref="G1236">INDEX(_xlfn._xlws.FILTER(PriceList!$P$4:$P$2641,PriceList!$M$4:$M$2641=A1236,""),1)</f>
        <v>Edbro Telescopic Rod Seal</v>
      </c>
    </row>
    <row r="1237" spans="1:7" x14ac:dyDescent="0.45">
      <c r="A1237" t="s">
        <v>5559</v>
      </c>
      <c r="B1237">
        <f>COUNTIF(PriceList!$M$4:$M$2641,A1237)</f>
        <v>1</v>
      </c>
      <c r="C1237" t="str">
        <f>IF(B1237=1,"1:1","1:Many")</f>
        <v>1:1</v>
      </c>
      <c r="D1237" s="42" t="str" cm="1">
        <f t="array" ref="D1237">_xlfn.TEXTJOIN(" | ",TRUE,_xlfn._xlws.FILTER(PriceList!$B$4:$B$2641,PriceList!$M$4:$M$2641=A1237,""))</f>
        <v>SS001 010-015-4</v>
      </c>
      <c r="E1237" t="str" cm="1">
        <f t="array" ref="E1237">_xlfn.TEXTJOIN(", ",TRUE,_xlfn._xlws.FILTER(ROW(PriceList!$B$4:$B$2641),PriceList!$M$4:$M$2641=A1237,""))</f>
        <v>2616</v>
      </c>
      <c r="F1237" s="42" t="str" cm="1">
        <f t="array" ref="F1237">_xlfn.TEXTJOIN(" | ",TRUE,_xlfn.UNIQUE(_xlfn._xlws.FILTER(PriceList!$Q$4:$Q$2641&amp;" x "&amp;PriceList!$R$4:$R$2641&amp;" x "&amp;PriceList!$S$4:$S$2641,PriceList!$M$4:$M$2641=A1237,"")))</f>
        <v>9.398 x 15.748 x 3.048</v>
      </c>
      <c r="G1237" t="str" cm="1">
        <f t="array" ref="G1237">INDEX(_xlfn._xlws.FILTER(PriceList!$P$4:$P$2641,PriceList!$M$4:$M$2641=A1237,""),1)</f>
        <v>Oil Seal - Metal Cased - Springless</v>
      </c>
    </row>
    <row r="1238" spans="1:7" x14ac:dyDescent="0.45">
      <c r="A1238" t="s">
        <v>5563</v>
      </c>
      <c r="B1238">
        <f>COUNTIF(PriceList!$M$4:$M$2641,A1238)</f>
        <v>1</v>
      </c>
      <c r="C1238" t="str">
        <f>IF(B1238=1,"1:1","1:Many")</f>
        <v>1:1</v>
      </c>
      <c r="D1238" s="42" t="str" cm="1">
        <f t="array" ref="D1238">_xlfn.TEXTJOIN(" | ",TRUE,_xlfn._xlws.FILTER(PriceList!$B$4:$B$2641,PriceList!$M$4:$M$2641=A1238,""))</f>
        <v>SS001 012-018-6/6.5</v>
      </c>
      <c r="E1238" t="str" cm="1">
        <f t="array" ref="E1238">_xlfn.TEXTJOIN(", ",TRUE,_xlfn._xlws.FILTER(ROW(PriceList!$B$4:$B$2641),PriceList!$M$4:$M$2641=A1238,""))</f>
        <v>2617</v>
      </c>
      <c r="F1238" s="42" t="str" cm="1">
        <f t="array" ref="F1238">_xlfn.TEXTJOIN(" | ",TRUE,_xlfn.UNIQUE(_xlfn._xlws.FILTER(PriceList!$Q$4:$Q$2641&amp;" x "&amp;PriceList!$R$4:$R$2641&amp;" x "&amp;PriceList!$S$4:$S$2641,PriceList!$M$4:$M$2641=A1238,"")))</f>
        <v>12 x 19 x 5</v>
      </c>
      <c r="G1238" t="str" cm="1">
        <f t="array" ref="G1238">INDEX(_xlfn._xlws.FILTER(PriceList!$P$4:$P$2641,PriceList!$M$4:$M$2641=A1238,""),1)</f>
        <v>Oil Seal - Single Lip - SC Type</v>
      </c>
    </row>
    <row r="1239" spans="1:7" x14ac:dyDescent="0.45">
      <c r="A1239" t="s">
        <v>5574</v>
      </c>
      <c r="B1239">
        <f>COUNTIF(PriceList!$M$4:$M$2641,A1239)</f>
        <v>1</v>
      </c>
      <c r="C1239" t="str">
        <f>IF(B1239=1,"1:1","1:Many")</f>
        <v>1:1</v>
      </c>
      <c r="D1239" s="42" t="str" cm="1">
        <f t="array" ref="D1239">_xlfn.TEXTJOIN(" | ",TRUE,_xlfn._xlws.FILTER(PriceList!$B$4:$B$2641,PriceList!$M$4:$M$2641=A1239,""))</f>
        <v>SS001 031.5-041.5-6/6.8</v>
      </c>
      <c r="E1239" t="str" cm="1">
        <f t="array" ref="E1239">_xlfn.TEXTJOIN(", ",TRUE,_xlfn._xlws.FILTER(ROW(PriceList!$B$4:$B$2641),PriceList!$M$4:$M$2641=A1239,""))</f>
        <v>2626</v>
      </c>
      <c r="F1239" s="42" t="str" cm="1">
        <f t="array" ref="F1239">_xlfn.TEXTJOIN(" | ",TRUE,_xlfn.UNIQUE(_xlfn._xlws.FILTER(PriceList!$Q$4:$Q$2641&amp;" x "&amp;PriceList!$R$4:$R$2641&amp;" x "&amp;PriceList!$S$4:$S$2641,PriceList!$M$4:$M$2641=A1239,"")))</f>
        <v>31.75 x 41.148 x 6.35</v>
      </c>
      <c r="G1239" t="str" cm="1">
        <f t="array" ref="G1239">INDEX(_xlfn._xlws.FILTER(PriceList!$P$4:$P$2641,PriceList!$M$4:$M$2641=A1239,""),1)</f>
        <v>Oil Seal - Single Lip - SC Type</v>
      </c>
    </row>
    <row r="1240" spans="1:7" x14ac:dyDescent="0.45">
      <c r="A1240" t="s">
        <v>5593</v>
      </c>
      <c r="B1240">
        <f>COUNTIF(PriceList!$M$4:$M$2641,A1240)</f>
        <v>1</v>
      </c>
      <c r="C1240" t="str">
        <f>IF(B1240=1,"1:1","1:Many")</f>
        <v>1:1</v>
      </c>
      <c r="D1240" s="42" t="str" cm="1">
        <f t="array" ref="D1240">_xlfn.TEXTJOIN(" | ",TRUE,_xlfn._xlws.FILTER(PriceList!$B$4:$B$2641,PriceList!$M$4:$M$2641=A1240,""))</f>
        <v>SS001 130-160-17.2/19</v>
      </c>
      <c r="E1240" t="str" cm="1">
        <f t="array" ref="E1240">_xlfn.TEXTJOIN(", ",TRUE,_xlfn._xlws.FILTER(ROW(PriceList!$B$4:$B$2641),PriceList!$M$4:$M$2641=A1240,""))</f>
        <v>2641</v>
      </c>
      <c r="F1240" s="42" t="str" cm="1">
        <f t="array" ref="F1240">_xlfn.TEXTJOIN(" | ",TRUE,_xlfn.UNIQUE(_xlfn._xlws.FILTER(PriceList!$Q$4:$Q$2641&amp;" x "&amp;PriceList!$R$4:$R$2641&amp;" x "&amp;PriceList!$S$4:$S$2641,PriceList!$M$4:$M$2641=A1240,"")))</f>
        <v>130 x 160 x 12</v>
      </c>
      <c r="G1240" t="str" cm="1">
        <f t="array" ref="G1240">INDEX(_xlfn._xlws.FILTER(PriceList!$P$4:$P$2641,PriceList!$M$4:$M$2641=A1240,""),1)</f>
        <v>Oil Seal - Single Lip - SC Type</v>
      </c>
    </row>
    <row r="1241" spans="1:7" x14ac:dyDescent="0.45">
      <c r="A1241" t="s">
        <v>5566</v>
      </c>
      <c r="B1241">
        <f>COUNTIF(PriceList!$M$4:$M$2641,A1241)</f>
        <v>1</v>
      </c>
      <c r="C1241" t="str">
        <f>IF(B1241=1,"1:1","1:Many")</f>
        <v>1:1</v>
      </c>
      <c r="D1241" s="42" t="str" cm="1">
        <f t="array" ref="D1241">_xlfn.TEXTJOIN(" | ",TRUE,_xlfn._xlws.FILTER(PriceList!$B$4:$B$2641,PriceList!$M$4:$M$2641=A1241,""))</f>
        <v>SS001 018-026-5/5.8</v>
      </c>
      <c r="E1241" t="str" cm="1">
        <f t="array" ref="E1241">_xlfn.TEXTJOIN(", ",TRUE,_xlfn._xlws.FILTER(ROW(PriceList!$B$4:$B$2641),PriceList!$M$4:$M$2641=A1241,""))</f>
        <v>2618</v>
      </c>
      <c r="F1241" s="42" t="str" cm="1">
        <f t="array" ref="F1241">_xlfn.TEXTJOIN(" | ",TRUE,_xlfn.UNIQUE(_xlfn._xlws.FILTER(PriceList!$Q$4:$Q$2641&amp;" x "&amp;PriceList!$R$4:$R$2641&amp;" x "&amp;PriceList!$S$4:$S$2641,PriceList!$M$4:$M$2641=A1241,"")))</f>
        <v>18 x 26 x 4</v>
      </c>
      <c r="G1241" t="str" cm="1">
        <f t="array" ref="G1241">INDEX(_xlfn._xlws.FILTER(PriceList!$P$4:$P$2641,PriceList!$M$4:$M$2641=A1241,""),1)</f>
        <v>Oil Seal - Rubber Cased - Springless</v>
      </c>
    </row>
    <row r="1242" spans="1:7" x14ac:dyDescent="0.45">
      <c r="A1242" t="s">
        <v>5568</v>
      </c>
      <c r="B1242">
        <f>COUNTIF(PriceList!$M$4:$M$2641,A1242)</f>
        <v>1</v>
      </c>
      <c r="C1242" t="str">
        <f>IF(B1242=1,"1:1","1:Many")</f>
        <v>1:1</v>
      </c>
      <c r="D1242" s="42" t="str" cm="1">
        <f t="array" ref="D1242">_xlfn.TEXTJOIN(" | ",TRUE,_xlfn._xlws.FILTER(PriceList!$B$4:$B$2641,PriceList!$M$4:$M$2641=A1242,""))</f>
        <v>SS001 020-028-5.7/6.3</v>
      </c>
      <c r="E1242" t="str" cm="1">
        <f t="array" ref="E1242">_xlfn.TEXTJOIN(", ",TRUE,_xlfn._xlws.FILTER(ROW(PriceList!$B$4:$B$2641),PriceList!$M$4:$M$2641=A1242,""))</f>
        <v>2619</v>
      </c>
      <c r="F1242" s="42" t="str" cm="1">
        <f t="array" ref="F1242">_xlfn.TEXTJOIN(" | ",TRUE,_xlfn.UNIQUE(_xlfn._xlws.FILTER(PriceList!$Q$4:$Q$2641&amp;" x "&amp;PriceList!$R$4:$R$2641&amp;" x "&amp;PriceList!$S$4:$S$2641,PriceList!$M$4:$M$2641=A1242,"")))</f>
        <v>20 x 28 x 4</v>
      </c>
      <c r="G1242" t="str" cm="1">
        <f t="array" ref="G1242">INDEX(_xlfn._xlws.FILTER(PriceList!$P$4:$P$2641,PriceList!$M$4:$M$2641=A1242,""),1)</f>
        <v>Oil Seal - Rubber Cased - Springless</v>
      </c>
    </row>
    <row r="1243" spans="1:7" x14ac:dyDescent="0.45">
      <c r="A1243" t="s">
        <v>5569</v>
      </c>
      <c r="B1243">
        <f>COUNTIF(PriceList!$M$4:$M$2641,A1243)</f>
        <v>2</v>
      </c>
      <c r="C1243" t="str">
        <f>IF(B1243=1,"1:1","1:Many")</f>
        <v>1:Many</v>
      </c>
      <c r="D1243" s="42" t="str" cm="1">
        <f t="array" ref="D1243">_xlfn.TEXTJOIN(" | ",TRUE,_xlfn._xlws.FILTER(PriceList!$B$4:$B$2641,PriceList!$M$4:$M$2641=A1243,""))</f>
        <v>SS001 025-033-6 | SS001 025-033-7</v>
      </c>
      <c r="E1243" t="str" cm="1">
        <f t="array" ref="E1243">_xlfn.TEXTJOIN(", ",TRUE,_xlfn._xlws.FILTER(ROW(PriceList!$B$4:$B$2641),PriceList!$M$4:$M$2641=A1243,""))</f>
        <v>2620, 2621</v>
      </c>
      <c r="F1243" s="42" t="str" cm="1">
        <f t="array" ref="F1243">_xlfn.TEXTJOIN(" | ",TRUE,_xlfn.UNIQUE(_xlfn._xlws.FILTER(PriceList!$Q$4:$Q$2641&amp;" x "&amp;PriceList!$R$4:$R$2641&amp;" x "&amp;PriceList!$S$4:$S$2641,PriceList!$M$4:$M$2641=A1243,"")))</f>
        <v>25 x 33 x 4</v>
      </c>
      <c r="G1243" t="str" cm="1">
        <f t="array" ref="G1243">INDEX(_xlfn._xlws.FILTER(PriceList!$P$4:$P$2641,PriceList!$M$4:$M$2641=A1243,""),1)</f>
        <v>Oil Seal - Single Lip - SC Type</v>
      </c>
    </row>
    <row r="1244" spans="1:7" x14ac:dyDescent="0.45">
      <c r="A1244" t="s">
        <v>5572</v>
      </c>
      <c r="B1244">
        <f>COUNTIF(PriceList!$M$4:$M$2641,A1244)</f>
        <v>1</v>
      </c>
      <c r="C1244" t="str">
        <f>IF(B1244=1,"1:1","1:Many")</f>
        <v>1:1</v>
      </c>
      <c r="D1244" s="42" t="str" cm="1">
        <f t="array" ref="D1244">_xlfn.TEXTJOIN(" | ",TRUE,_xlfn._xlws.FILTER(PriceList!$B$4:$B$2641,PriceList!$M$4:$M$2641=A1244,""))</f>
        <v>SS001 026-036-7/8</v>
      </c>
      <c r="E1244" t="str" cm="1">
        <f t="array" ref="E1244">_xlfn.TEXTJOIN(", ",TRUE,_xlfn._xlws.FILTER(ROW(PriceList!$B$4:$B$2641),PriceList!$M$4:$M$2641=A1244,""))</f>
        <v>2623</v>
      </c>
      <c r="F1244" s="42" t="str" cm="1">
        <f t="array" ref="F1244">_xlfn.TEXTJOIN(" | ",TRUE,_xlfn.UNIQUE(_xlfn._xlws.FILTER(PriceList!$Q$4:$Q$2641&amp;" x "&amp;PriceList!$R$4:$R$2641&amp;" x "&amp;PriceList!$S$4:$S$2641,PriceList!$M$4:$M$2641=A1244,"")))</f>
        <v>25 x 36 x 6</v>
      </c>
      <c r="G1244" t="str" cm="1">
        <f t="array" ref="G1244">INDEX(_xlfn._xlws.FILTER(PriceList!$P$4:$P$2641,PriceList!$M$4:$M$2641=A1244,""),1)</f>
        <v>Oil Seal - High Pressure with Wiper Lip</v>
      </c>
    </row>
    <row r="1245" spans="1:7" x14ac:dyDescent="0.45">
      <c r="A1245" t="s">
        <v>5570</v>
      </c>
      <c r="B1245">
        <f>COUNTIF(PriceList!$M$4:$M$2641,A1245)</f>
        <v>1</v>
      </c>
      <c r="C1245" t="str">
        <f>IF(B1245=1,"1:1","1:Many")</f>
        <v>1:1</v>
      </c>
      <c r="D1245" s="42" t="str" cm="1">
        <f t="array" ref="D1245">_xlfn.TEXTJOIN(" | ",TRUE,_xlfn._xlws.FILTER(PriceList!$B$4:$B$2641,PriceList!$M$4:$M$2641=A1245,""))</f>
        <v>SS001 025-038-10</v>
      </c>
      <c r="E1245" t="str" cm="1">
        <f t="array" ref="E1245">_xlfn.TEXTJOIN(", ",TRUE,_xlfn._xlws.FILTER(ROW(PriceList!$B$4:$B$2641),PriceList!$M$4:$M$2641=A1245,""))</f>
        <v>2622</v>
      </c>
      <c r="F1245" s="42" t="str" cm="1">
        <f t="array" ref="F1245">_xlfn.TEXTJOIN(" | ",TRUE,_xlfn.UNIQUE(_xlfn._xlws.FILTER(PriceList!$Q$4:$Q$2641&amp;" x "&amp;PriceList!$R$4:$R$2641&amp;" x "&amp;PriceList!$S$4:$S$2641,PriceList!$M$4:$M$2641=A1245,"")))</f>
        <v>25 x 38 x 7</v>
      </c>
      <c r="G1245" t="str" cm="1">
        <f t="array" ref="G1245">INDEX(_xlfn._xlws.FILTER(PriceList!$P$4:$P$2641,PriceList!$M$4:$M$2641=A1245,""),1)</f>
        <v>Oil Seal - High Pressure with Wiper Lip</v>
      </c>
    </row>
    <row r="1246" spans="1:7" x14ac:dyDescent="0.45">
      <c r="A1246" t="s">
        <v>5573</v>
      </c>
      <c r="B1246">
        <f>COUNTIF(PriceList!$M$4:$M$2641,A1246)</f>
        <v>2</v>
      </c>
      <c r="C1246" t="str">
        <f>IF(B1246=1,"1:1","1:Many")</f>
        <v>1:Many</v>
      </c>
      <c r="D1246" s="42" t="str" cm="1">
        <f t="array" ref="D1246">_xlfn.TEXTJOIN(" | ",TRUE,_xlfn._xlws.FILTER(PriceList!$B$4:$B$2641,PriceList!$M$4:$M$2641=A1246,""))</f>
        <v>SS001 030-040-10 | SS001 030-040-8</v>
      </c>
      <c r="E1246" t="str" cm="1">
        <f t="array" ref="E1246">_xlfn.TEXTJOIN(", ",TRUE,_xlfn._xlws.FILTER(ROW(PriceList!$B$4:$B$2641),PriceList!$M$4:$M$2641=A1246,""))</f>
        <v>2624, 2625</v>
      </c>
      <c r="F1246" s="42" t="str" cm="1">
        <f t="array" ref="F1246">_xlfn.TEXTJOIN(" | ",TRUE,_xlfn.UNIQUE(_xlfn._xlws.FILTER(PriceList!$Q$4:$Q$2641&amp;" x "&amp;PriceList!$R$4:$R$2641&amp;" x "&amp;PriceList!$S$4:$S$2641,PriceList!$M$4:$M$2641=A1246,"")))</f>
        <v>30 x 40 x 7</v>
      </c>
      <c r="G1246" t="str" cm="1">
        <f t="array" ref="G1246">INDEX(_xlfn._xlws.FILTER(PriceList!$P$4:$P$2641,PriceList!$M$4:$M$2641=A1246,""),1)</f>
        <v>Oil Seal - High Pressure with Wiper Lip</v>
      </c>
    </row>
    <row r="1247" spans="1:7" x14ac:dyDescent="0.45">
      <c r="A1247" t="s">
        <v>5576</v>
      </c>
      <c r="B1247">
        <f>COUNTIF(PriceList!$M$4:$M$2641,A1247)</f>
        <v>1</v>
      </c>
      <c r="C1247" t="str">
        <f>IF(B1247=1,"1:1","1:Many")</f>
        <v>1:1</v>
      </c>
      <c r="D1247" s="42" t="str" cm="1">
        <f t="array" ref="D1247">_xlfn.TEXTJOIN(" | ",TRUE,_xlfn._xlws.FILTER(PriceList!$B$4:$B$2641,PriceList!$M$4:$M$2641=A1247,""))</f>
        <v>SS001 035-045-8</v>
      </c>
      <c r="E1247" t="str" cm="1">
        <f t="array" ref="E1247">_xlfn.TEXTJOIN(", ",TRUE,_xlfn._xlws.FILTER(ROW(PriceList!$B$4:$B$2641),PriceList!$M$4:$M$2641=A1247,""))</f>
        <v>2627</v>
      </c>
      <c r="F1247" s="42" t="str" cm="1">
        <f t="array" ref="F1247">_xlfn.TEXTJOIN(" | ",TRUE,_xlfn.UNIQUE(_xlfn._xlws.FILTER(PriceList!$Q$4:$Q$2641&amp;" x "&amp;PriceList!$R$4:$R$2641&amp;" x "&amp;PriceList!$S$4:$S$2641,PriceList!$M$4:$M$2641=A1247,"")))</f>
        <v>35 x 45 x 4</v>
      </c>
      <c r="G1247" t="str" cm="1">
        <f t="array" ref="G1247">INDEX(_xlfn._xlws.FILTER(PriceList!$P$4:$P$2641,PriceList!$M$4:$M$2641=A1247,""),1)</f>
        <v>Oil Seal - Metal Cased - Springless</v>
      </c>
    </row>
    <row r="1248" spans="1:7" x14ac:dyDescent="0.45">
      <c r="A1248" t="s">
        <v>5577</v>
      </c>
      <c r="B1248">
        <f>COUNTIF(PriceList!$M$4:$M$2641,A1248)</f>
        <v>1</v>
      </c>
      <c r="C1248" t="str">
        <f>IF(B1248=1,"1:1","1:Many")</f>
        <v>1:1</v>
      </c>
      <c r="D1248" s="42" t="str" cm="1">
        <f t="array" ref="D1248">_xlfn.TEXTJOIN(" | ",TRUE,_xlfn._xlws.FILTER(PriceList!$B$4:$B$2641,PriceList!$M$4:$M$2641=A1248,""))</f>
        <v>SS001 040-050-8</v>
      </c>
      <c r="E1248" t="str" cm="1">
        <f t="array" ref="E1248">_xlfn.TEXTJOIN(", ",TRUE,_xlfn._xlws.FILTER(ROW(PriceList!$B$4:$B$2641),PriceList!$M$4:$M$2641=A1248,""))</f>
        <v>2628</v>
      </c>
      <c r="F1248" s="42" t="str" cm="1">
        <f t="array" ref="F1248">_xlfn.TEXTJOIN(" | ",TRUE,_xlfn.UNIQUE(_xlfn._xlws.FILTER(PriceList!$Q$4:$Q$2641&amp;" x "&amp;PriceList!$R$4:$R$2641&amp;" x "&amp;PriceList!$S$4:$S$2641,PriceList!$M$4:$M$2641=A1248,"")))</f>
        <v>40 x 50 x 5</v>
      </c>
      <c r="G1248" t="str" cm="1">
        <f t="array" ref="G1248">INDEX(_xlfn._xlws.FILTER(PriceList!$P$4:$P$2641,PriceList!$M$4:$M$2641=A1248,""),1)</f>
        <v>Oil Seal - Metal Cased with Wiper Lip</v>
      </c>
    </row>
    <row r="1249" spans="1:7" x14ac:dyDescent="0.45">
      <c r="A1249" t="s">
        <v>5579</v>
      </c>
      <c r="B1249">
        <f>COUNTIF(PriceList!$M$4:$M$2641,A1249)</f>
        <v>1</v>
      </c>
      <c r="C1249" t="str">
        <f>IF(B1249=1,"1:1","1:Many")</f>
        <v>1:1</v>
      </c>
      <c r="D1249" s="42" t="str" cm="1">
        <f t="array" ref="D1249">_xlfn.TEXTJOIN(" | ",TRUE,_xlfn._xlws.FILTER(PriceList!$B$4:$B$2641,PriceList!$M$4:$M$2641=A1249,""))</f>
        <v>SS001 045-055-8</v>
      </c>
      <c r="E1249" t="str" cm="1">
        <f t="array" ref="E1249">_xlfn.TEXTJOIN(", ",TRUE,_xlfn._xlws.FILTER(ROW(PriceList!$B$4:$B$2641),PriceList!$M$4:$M$2641=A1249,""))</f>
        <v>2629</v>
      </c>
      <c r="F1249" s="42" t="str" cm="1">
        <f t="array" ref="F1249">_xlfn.TEXTJOIN(" | ",TRUE,_xlfn.UNIQUE(_xlfn._xlws.FILTER(PriceList!$Q$4:$Q$2641&amp;" x "&amp;PriceList!$R$4:$R$2641&amp;" x "&amp;PriceList!$S$4:$S$2641,PriceList!$M$4:$M$2641=A1249,"")))</f>
        <v>45 x 55 x 7</v>
      </c>
      <c r="G1249" t="str" cm="1">
        <f t="array" ref="G1249">INDEX(_xlfn._xlws.FILTER(PriceList!$P$4:$P$2641,PriceList!$M$4:$M$2641=A1249,""),1)</f>
        <v>Oil Seal - Single Lip - SC Type</v>
      </c>
    </row>
    <row r="1250" spans="1:7" x14ac:dyDescent="0.45">
      <c r="A1250" t="s">
        <v>5580</v>
      </c>
      <c r="B1250">
        <f>COUNTIF(PriceList!$M$4:$M$2641,A1250)</f>
        <v>1</v>
      </c>
      <c r="C1250" t="str">
        <f>IF(B1250=1,"1:1","1:Many")</f>
        <v>1:1</v>
      </c>
      <c r="D1250" s="42" t="str" cm="1">
        <f t="array" ref="D1250">_xlfn.TEXTJOIN(" | ",TRUE,_xlfn._xlws.FILTER(PriceList!$B$4:$B$2641,PriceList!$M$4:$M$2641=A1250,""))</f>
        <v>SS001 045-065-11.8/13</v>
      </c>
      <c r="E1250" t="str" cm="1">
        <f t="array" ref="E1250">_xlfn.TEXTJOIN(", ",TRUE,_xlfn._xlws.FILTER(ROW(PriceList!$B$4:$B$2641),PriceList!$M$4:$M$2641=A1250,""))</f>
        <v>2630</v>
      </c>
      <c r="F1250" s="42" t="str" cm="1">
        <f t="array" ref="F1250">_xlfn.TEXTJOIN(" | ",TRUE,_xlfn.UNIQUE(_xlfn._xlws.FILTER(PriceList!$Q$4:$Q$2641&amp;" x "&amp;PriceList!$R$4:$R$2641&amp;" x "&amp;PriceList!$S$4:$S$2641,PriceList!$M$4:$M$2641=A1250,"")))</f>
        <v>45 x 65 x 7</v>
      </c>
      <c r="G1250" t="str" cm="1">
        <f t="array" ref="G1250">INDEX(_xlfn._xlws.FILTER(PriceList!$P$4:$P$2641,PriceList!$M$4:$M$2641=A1250,""),1)</f>
        <v>Oil Seal - High Pressure with Wiper Lip</v>
      </c>
    </row>
    <row r="1251" spans="1:7" x14ac:dyDescent="0.45">
      <c r="A1251" t="s">
        <v>5581</v>
      </c>
      <c r="B1251">
        <f>COUNTIF(PriceList!$M$4:$M$2641,A1251)</f>
        <v>1</v>
      </c>
      <c r="C1251" t="str">
        <f>IF(B1251=1,"1:1","1:Many")</f>
        <v>1:1</v>
      </c>
      <c r="D1251" s="42" t="str" cm="1">
        <f t="array" ref="D1251">_xlfn.TEXTJOIN(" | ",TRUE,_xlfn._xlws.FILTER(PriceList!$B$4:$B$2641,PriceList!$M$4:$M$2641=A1251,""))</f>
        <v>SS001 050-060-8</v>
      </c>
      <c r="E1251" t="str" cm="1">
        <f t="array" ref="E1251">_xlfn.TEXTJOIN(", ",TRUE,_xlfn._xlws.FILTER(ROW(PriceList!$B$4:$B$2641),PriceList!$M$4:$M$2641=A1251,""))</f>
        <v>2631</v>
      </c>
      <c r="F1251" s="42" t="str" cm="1">
        <f t="array" ref="F1251">_xlfn.TEXTJOIN(" | ",TRUE,_xlfn.UNIQUE(_xlfn._xlws.FILTER(PriceList!$Q$4:$Q$2641&amp;" x "&amp;PriceList!$R$4:$R$2641&amp;" x "&amp;PriceList!$S$4:$S$2641,PriceList!$M$4:$M$2641=A1251,"")))</f>
        <v>50 x 60 x 5</v>
      </c>
      <c r="G1251" t="str" cm="1">
        <f t="array" ref="G1251">INDEX(_xlfn._xlws.FILTER(PriceList!$P$4:$P$2641,PriceList!$M$4:$M$2641=A1251,""),1)</f>
        <v>Oil Seal - Metal Cased with Wiper Lip</v>
      </c>
    </row>
    <row r="1252" spans="1:7" x14ac:dyDescent="0.45">
      <c r="A1252" t="s">
        <v>5582</v>
      </c>
      <c r="B1252">
        <f>COUNTIF(PriceList!$M$4:$M$2641,A1252)</f>
        <v>1</v>
      </c>
      <c r="C1252" t="str">
        <f>IF(B1252=1,"1:1","1:Many")</f>
        <v>1:1</v>
      </c>
      <c r="D1252" s="42" t="str" cm="1">
        <f t="array" ref="D1252">_xlfn.TEXTJOIN(" | ",TRUE,_xlfn._xlws.FILTER(PriceList!$B$4:$B$2641,PriceList!$M$4:$M$2641=A1252,""))</f>
        <v>SS001 050-070-14.5/16</v>
      </c>
      <c r="E1252" t="str" cm="1">
        <f t="array" ref="E1252">_xlfn.TEXTJOIN(", ",TRUE,_xlfn._xlws.FILTER(ROW(PriceList!$B$4:$B$2641),PriceList!$M$4:$M$2641=A1252,""))</f>
        <v>2632</v>
      </c>
      <c r="F1252" s="42" t="str" cm="1">
        <f t="array" ref="F1252">_xlfn.TEXTJOIN(" | ",TRUE,_xlfn.UNIQUE(_xlfn._xlws.FILTER(PriceList!$Q$4:$Q$2641&amp;" x "&amp;PriceList!$R$4:$R$2641&amp;" x "&amp;PriceList!$S$4:$S$2641,PriceList!$M$4:$M$2641=A1252,"")))</f>
        <v>50 x 70 x 10</v>
      </c>
      <c r="G1252" t="str" cm="1">
        <f t="array" ref="G1252">INDEX(_xlfn._xlws.FILTER(PriceList!$P$4:$P$2641,PriceList!$M$4:$M$2641=A1252,""),1)</f>
        <v>Oil Seal - High Pressure with Wiper Lip</v>
      </c>
    </row>
    <row r="1253" spans="1:7" x14ac:dyDescent="0.45">
      <c r="A1253" t="s">
        <v>5583</v>
      </c>
      <c r="B1253">
        <f>COUNTIF(PriceList!$M$4:$M$2641,A1253)</f>
        <v>1</v>
      </c>
      <c r="C1253" t="str">
        <f>IF(B1253=1,"1:1","1:Many")</f>
        <v>1:1</v>
      </c>
      <c r="D1253" s="42" t="str" cm="1">
        <f t="array" ref="D1253">_xlfn.TEXTJOIN(" | ",TRUE,_xlfn._xlws.FILTER(PriceList!$B$4:$B$2641,PriceList!$M$4:$M$2641=A1253,""))</f>
        <v>SS001 055-070-10</v>
      </c>
      <c r="E1253" t="str" cm="1">
        <f t="array" ref="E1253">_xlfn.TEXTJOIN(", ",TRUE,_xlfn._xlws.FILTER(ROW(PriceList!$B$4:$B$2641),PriceList!$M$4:$M$2641=A1253,""))</f>
        <v>2633</v>
      </c>
      <c r="F1253" s="42" t="str" cm="1">
        <f t="array" ref="F1253">_xlfn.TEXTJOIN(" | ",TRUE,_xlfn.UNIQUE(_xlfn._xlws.FILTER(PriceList!$Q$4:$Q$2641&amp;" x "&amp;PriceList!$R$4:$R$2641&amp;" x "&amp;PriceList!$S$4:$S$2641,PriceList!$M$4:$M$2641=A1253,"")))</f>
        <v>55 x 70 x 8</v>
      </c>
      <c r="G1253" t="str" cm="1">
        <f t="array" ref="G1253">INDEX(_xlfn._xlws.FILTER(PriceList!$P$4:$P$2641,PriceList!$M$4:$M$2641=A1253,""),1)</f>
        <v>Oil Seal - High Pressure with Wiper Lip</v>
      </c>
    </row>
    <row r="1254" spans="1:7" x14ac:dyDescent="0.45">
      <c r="A1254" t="s">
        <v>5584</v>
      </c>
      <c r="B1254">
        <f>COUNTIF(PriceList!$M$4:$M$2641,A1254)</f>
        <v>1</v>
      </c>
      <c r="C1254" t="str">
        <f>IF(B1254=1,"1:1","1:Many")</f>
        <v>1:1</v>
      </c>
      <c r="D1254" s="42" t="str" cm="1">
        <f t="array" ref="D1254">_xlfn.TEXTJOIN(" | ",TRUE,_xlfn._xlws.FILTER(PriceList!$B$4:$B$2641,PriceList!$M$4:$M$2641=A1254,""))</f>
        <v>SS001 055-075-14.5/16</v>
      </c>
      <c r="E1254" t="str" cm="1">
        <f t="array" ref="E1254">_xlfn.TEXTJOIN(", ",TRUE,_xlfn._xlws.FILTER(ROW(PriceList!$B$4:$B$2641),PriceList!$M$4:$M$2641=A1254,""))</f>
        <v>2634</v>
      </c>
      <c r="F1254" s="42" t="str" cm="1">
        <f t="array" ref="F1254">_xlfn.TEXTJOIN(" | ",TRUE,_xlfn.UNIQUE(_xlfn._xlws.FILTER(PriceList!$Q$4:$Q$2641&amp;" x "&amp;PriceList!$R$4:$R$2641&amp;" x "&amp;PriceList!$S$4:$S$2641,PriceList!$M$4:$M$2641=A1254,"")))</f>
        <v>55 x 75 x 8</v>
      </c>
      <c r="G1254" t="str" cm="1">
        <f t="array" ref="G1254">INDEX(_xlfn._xlws.FILTER(PriceList!$P$4:$P$2641,PriceList!$M$4:$M$2641=A1254,""),1)</f>
        <v>Oil Seal - Wiper Lip - TC Type</v>
      </c>
    </row>
    <row r="1255" spans="1:7" x14ac:dyDescent="0.45">
      <c r="A1255" t="s">
        <v>5587</v>
      </c>
      <c r="B1255">
        <f>COUNTIF(PriceList!$M$4:$M$2641,A1255)</f>
        <v>1</v>
      </c>
      <c r="C1255" t="str">
        <f>IF(B1255=1,"1:1","1:Many")</f>
        <v>1:1</v>
      </c>
      <c r="D1255" s="42" t="str" cm="1">
        <f t="array" ref="D1255">_xlfn.TEXTJOIN(" | ",TRUE,_xlfn._xlws.FILTER(PriceList!$B$4:$B$2641,PriceList!$M$4:$M$2641=A1255,""))</f>
        <v>SS001 056-071-9/10</v>
      </c>
      <c r="E1255" t="str" cm="1">
        <f t="array" ref="E1255">_xlfn.TEXTJOIN(", ",TRUE,_xlfn._xlws.FILTER(ROW(PriceList!$B$4:$B$2641),PriceList!$M$4:$M$2641=A1255,""))</f>
        <v>2635</v>
      </c>
      <c r="F1255" s="42" t="str" cm="1">
        <f t="array" ref="F1255">_xlfn.TEXTJOIN(" | ",TRUE,_xlfn.UNIQUE(_xlfn._xlws.FILTER(PriceList!$Q$4:$Q$2641&amp;" x "&amp;PriceList!$R$4:$R$2641&amp;" x "&amp;PriceList!$S$4:$S$2641,PriceList!$M$4:$M$2641=A1255,"")))</f>
        <v>56 x 70 x 8</v>
      </c>
      <c r="G1255" t="str" cm="1">
        <f t="array" ref="G1255">INDEX(_xlfn._xlws.FILTER(PriceList!$P$4:$P$2641,PriceList!$M$4:$M$2641=A1255,""),1)</f>
        <v>Oil Seal - Single Lip - SC Type</v>
      </c>
    </row>
    <row r="1256" spans="1:7" x14ac:dyDescent="0.45">
      <c r="A1256" t="s">
        <v>5588</v>
      </c>
      <c r="B1256">
        <f>COUNTIF(PriceList!$M$4:$M$2641,A1256)</f>
        <v>1</v>
      </c>
      <c r="C1256" t="str">
        <f>IF(B1256=1,"1:1","1:Many")</f>
        <v>1:1</v>
      </c>
      <c r="D1256" s="42" t="str" cm="1">
        <f t="array" ref="D1256">_xlfn.TEXTJOIN(" | ",TRUE,_xlfn._xlws.FILTER(PriceList!$B$4:$B$2641,PriceList!$M$4:$M$2641=A1256,""))</f>
        <v>SS001 075-095-16</v>
      </c>
      <c r="E1256" t="str" cm="1">
        <f t="array" ref="E1256">_xlfn.TEXTJOIN(", ",TRUE,_xlfn._xlws.FILTER(ROW(PriceList!$B$4:$B$2641),PriceList!$M$4:$M$2641=A1256,""))</f>
        <v>2636</v>
      </c>
      <c r="F1256" s="42" t="str" cm="1">
        <f t="array" ref="F1256">_xlfn.TEXTJOIN(" | ",TRUE,_xlfn.UNIQUE(_xlfn._xlws.FILTER(PriceList!$Q$4:$Q$2641&amp;" x "&amp;PriceList!$R$4:$R$2641&amp;" x "&amp;PriceList!$S$4:$S$2641,PriceList!$M$4:$M$2641=A1256,"")))</f>
        <v>75 x 95 x 10</v>
      </c>
      <c r="G1256" t="str" cm="1">
        <f t="array" ref="G1256">INDEX(_xlfn._xlws.FILTER(PriceList!$P$4:$P$2641,PriceList!$M$4:$M$2641=A1256,""),1)</f>
        <v>Oil Seal - Wiper Lip - TC Type</v>
      </c>
    </row>
    <row r="1257" spans="1:7" x14ac:dyDescent="0.45">
      <c r="A1257" t="s">
        <v>5589</v>
      </c>
      <c r="B1257">
        <f>COUNTIF(PriceList!$M$4:$M$2641,A1257)</f>
        <v>1</v>
      </c>
      <c r="C1257" t="str">
        <f>IF(B1257=1,"1:1","1:Many")</f>
        <v>1:1</v>
      </c>
      <c r="D1257" s="42" t="str" cm="1">
        <f t="array" ref="D1257">_xlfn.TEXTJOIN(" | ",TRUE,_xlfn._xlws.FILTER(PriceList!$B$4:$B$2641,PriceList!$M$4:$M$2641=A1257,""))</f>
        <v>SS001 080-100-15/16</v>
      </c>
      <c r="E1257" t="str" cm="1">
        <f t="array" ref="E1257">_xlfn.TEXTJOIN(", ",TRUE,_xlfn._xlws.FILTER(ROW(PriceList!$B$4:$B$2641),PriceList!$M$4:$M$2641=A1257,""))</f>
        <v>2637</v>
      </c>
      <c r="F1257" s="42" t="str" cm="1">
        <f t="array" ref="F1257">_xlfn.TEXTJOIN(" | ",TRUE,_xlfn.UNIQUE(_xlfn._xlws.FILTER(PriceList!$Q$4:$Q$2641&amp;" x "&amp;PriceList!$R$4:$R$2641&amp;" x "&amp;PriceList!$S$4:$S$2641,PriceList!$M$4:$M$2641=A1257,"")))</f>
        <v>80 x 100 x 7</v>
      </c>
      <c r="G1257" t="str" cm="1">
        <f t="array" ref="G1257">INDEX(_xlfn._xlws.FILTER(PriceList!$P$4:$P$2641,PriceList!$M$4:$M$2641=A1257,""),1)</f>
        <v>Oil Seal - High Pressure with Wiper Lip</v>
      </c>
    </row>
    <row r="1258" spans="1:7" x14ac:dyDescent="0.45">
      <c r="A1258" t="s">
        <v>5590</v>
      </c>
      <c r="B1258">
        <f>COUNTIF(PriceList!$M$4:$M$2641,A1258)</f>
        <v>2</v>
      </c>
      <c r="C1258" t="str">
        <f>IF(B1258=1,"1:1","1:Many")</f>
        <v>1:Many</v>
      </c>
      <c r="D1258" s="42" t="str" cm="1">
        <f t="array" ref="D1258">_xlfn.TEXTJOIN(" | ",TRUE,_xlfn._xlws.FILTER(PriceList!$B$4:$B$2641,PriceList!$M$4:$M$2641=A1258,""))</f>
        <v>SS001 085-100-10 | SS001 085-100-11.4/12.5</v>
      </c>
      <c r="E1258" t="str" cm="1">
        <f t="array" ref="E1258">_xlfn.TEXTJOIN(", ",TRUE,_xlfn._xlws.FILTER(ROW(PriceList!$B$4:$B$2641),PriceList!$M$4:$M$2641=A1258,""))</f>
        <v>2638, 2639</v>
      </c>
      <c r="F1258" s="42" t="str" cm="1">
        <f t="array" ref="F1258">_xlfn.TEXTJOIN(" | ",TRUE,_xlfn.UNIQUE(_xlfn._xlws.FILTER(PriceList!$Q$4:$Q$2641&amp;" x "&amp;PriceList!$R$4:$R$2641&amp;" x "&amp;PriceList!$S$4:$S$2641,PriceList!$M$4:$M$2641=A1258,"")))</f>
        <v>84 x 100 x 13</v>
      </c>
      <c r="G1258" t="str" cm="1">
        <f t="array" ref="G1258">INDEX(_xlfn._xlws.FILTER(PriceList!$P$4:$P$2641,PriceList!$M$4:$M$2641=A1258,""),1)</f>
        <v>Oil Seal - Fully Metal Cased</v>
      </c>
    </row>
    <row r="1259" spans="1:7" x14ac:dyDescent="0.45">
      <c r="A1259" t="s">
        <v>5592</v>
      </c>
      <c r="B1259">
        <f>COUNTIF(PriceList!$M$4:$M$2641,A1259)</f>
        <v>1</v>
      </c>
      <c r="C1259" t="str">
        <f>IF(B1259=1,"1:1","1:Many")</f>
        <v>1:1</v>
      </c>
      <c r="D1259" s="42" t="str" cm="1">
        <f t="array" ref="D1259">_xlfn.TEXTJOIN(" | ",TRUE,_xlfn._xlws.FILTER(PriceList!$B$4:$B$2641,PriceList!$M$4:$M$2641=A1259,""))</f>
        <v>SS001 090-110-14.7/16</v>
      </c>
      <c r="E1259" t="str" cm="1">
        <f t="array" ref="E1259">_xlfn.TEXTJOIN(", ",TRUE,_xlfn._xlws.FILTER(ROW(PriceList!$B$4:$B$2641),PriceList!$M$4:$M$2641=A1259,""))</f>
        <v>2640</v>
      </c>
      <c r="F1259" s="42" t="str" cm="1">
        <f t="array" ref="F1259">_xlfn.TEXTJOIN(" | ",TRUE,_xlfn.UNIQUE(_xlfn._xlws.FILTER(PriceList!$Q$4:$Q$2641&amp;" x "&amp;PriceList!$R$4:$R$2641&amp;" x "&amp;PriceList!$S$4:$S$2641,PriceList!$M$4:$M$2641=A1259,"")))</f>
        <v>90 x 110 x 8</v>
      </c>
      <c r="G1259" t="str" cm="1">
        <f t="array" ref="G1259">INDEX(_xlfn._xlws.FILTER(PriceList!$P$4:$P$2641,PriceList!$M$4:$M$2641=A1259,""),1)</f>
        <v>Oil Seal - Single Lip - SC Type</v>
      </c>
    </row>
    <row r="1260" spans="1:7" x14ac:dyDescent="0.45">
      <c r="A1260" t="s">
        <v>5439</v>
      </c>
      <c r="B1260">
        <f>COUNTIF(PriceList!$M$4:$M$2641,A1260)</f>
        <v>1</v>
      </c>
      <c r="C1260" t="str">
        <f>IF(B1260=1,"1:1","1:Many")</f>
        <v>1:1</v>
      </c>
      <c r="D1260" s="42" t="str" cm="1">
        <f t="array" ref="D1260">_xlfn.TEXTJOIN(" | ",TRUE,_xlfn._xlws.FILTER(PriceList!$B$4:$B$2641,PriceList!$M$4:$M$2641=A1260,""))</f>
        <v>RS027 0560-0710-125-O</v>
      </c>
      <c r="E1260" t="str" cm="1">
        <f t="array" ref="E1260">_xlfn.TEXTJOIN(", ",TRUE,_xlfn._xlws.FILTER(ROW(PriceList!$B$4:$B$2641),PriceList!$M$4:$M$2641=A1260,""))</f>
        <v>2411</v>
      </c>
      <c r="F1260" s="42" t="str" cm="1">
        <f t="array" ref="F1260">_xlfn.TEXTJOIN(" | ",TRUE,_xlfn.UNIQUE(_xlfn._xlws.FILTER(PriceList!$Q$4:$Q$2641&amp;" x "&amp;PriceList!$R$4:$R$2641&amp;" x "&amp;PriceList!$S$4:$S$2641,PriceList!$M$4:$M$2641=A1260,"")))</f>
        <v>12.7 x 19.05 x 4.572</v>
      </c>
      <c r="G1260" t="str" cm="1">
        <f t="array" ref="G1260">INDEX(_xlfn._xlws.FILTER(PriceList!$P$4:$P$2641,PriceList!$M$4:$M$2641=A1260,""),1)</f>
        <v>HalliteÂ® Type 605</v>
      </c>
    </row>
    <row r="1261" spans="1:7" ht="28.5" x14ac:dyDescent="0.45">
      <c r="A1261" t="s">
        <v>5323</v>
      </c>
      <c r="B1261">
        <f>COUNTIF(PriceList!$M$4:$M$2641,A1261)</f>
        <v>3</v>
      </c>
      <c r="C1261" t="str">
        <f>IF(B1261=1,"1:1","1:Many")</f>
        <v>1:Many</v>
      </c>
      <c r="D1261" s="42" t="str" cm="1">
        <f t="array" ref="D1261">_xlfn.TEXTJOIN(" | ",TRUE,_xlfn._xlws.FILTER(PriceList!$B$4:$B$2641,PriceList!$M$4:$M$2641=A1261,""))</f>
        <v>RS018-F-0850-1001-063 | RS018-N-0850-1001-063 | RS072-F-0850-1000-130</v>
      </c>
      <c r="E1261" t="str" cm="1">
        <f t="array" ref="E1261">_xlfn.TEXTJOIN(", ",TRUE,_xlfn._xlws.FILTER(ROW(PriceList!$B$4:$B$2641),PriceList!$M$4:$M$2641=A1261,""))</f>
        <v>2221, 2346, 2558</v>
      </c>
      <c r="F1261" s="42" t="str" cm="1">
        <f t="array" ref="F1261">_xlfn.TEXTJOIN(" | ",TRUE,_xlfn.UNIQUE(_xlfn._xlws.FILTER(PriceList!$Q$4:$Q$2641&amp;" x "&amp;PriceList!$R$4:$R$2641&amp;" x "&amp;PriceList!$S$4:$S$2641,PriceList!$M$4:$M$2641=A1261,"")))</f>
        <v>85 x 100 x 9</v>
      </c>
      <c r="G1261" t="str" cm="1">
        <f t="array" ref="G1261">INDEX(_xlfn._xlws.FILTER(PriceList!$P$4:$P$2641,PriceList!$M$4:$M$2641=A1261,""),1)</f>
        <v>HalliteÂ® Type 605</v>
      </c>
    </row>
    <row r="1262" spans="1:7" x14ac:dyDescent="0.45">
      <c r="A1262" t="s">
        <v>5514</v>
      </c>
      <c r="B1262">
        <f>COUNTIF(PriceList!$M$4:$M$2641,A1262)</f>
        <v>1</v>
      </c>
      <c r="C1262" t="str">
        <f>IF(B1262=1,"1:1","1:Many")</f>
        <v>1:1</v>
      </c>
      <c r="D1262" s="42" t="str" cm="1">
        <f t="array" ref="D1262">_xlfn.TEXTJOIN(" | ",TRUE,_xlfn._xlws.FILTER(PriceList!$B$4:$B$2641,PriceList!$M$4:$M$2641=A1262,""))</f>
        <v>RS063-U-0850-1005-063</v>
      </c>
      <c r="E1262" t="str" cm="1">
        <f t="array" ref="E1262">_xlfn.TEXTJOIN(", ",TRUE,_xlfn._xlws.FILTER(ROW(PriceList!$B$4:$B$2641),PriceList!$M$4:$M$2641=A1262,""))</f>
        <v>2513</v>
      </c>
      <c r="F1262" s="42" t="str" cm="1">
        <f t="array" ref="F1262">_xlfn.TEXTJOIN(" | ",TRUE,_xlfn.UNIQUE(_xlfn._xlws.FILTER(PriceList!$Q$4:$Q$2641&amp;" x "&amp;PriceList!$R$4:$R$2641&amp;" x "&amp;PriceList!$S$4:$S$2641,PriceList!$M$4:$M$2641=A1262,"")))</f>
        <v>85 x 100.5 x 6</v>
      </c>
      <c r="G1262" t="str" cm="1">
        <f t="array" ref="G1262">INDEX(_xlfn._xlws.FILTER(PriceList!$P$4:$P$2641,PriceList!$M$4:$M$2641=A1262,""),1)</f>
        <v>HalliteÂ® Type 616</v>
      </c>
    </row>
    <row r="1263" spans="1:7" x14ac:dyDescent="0.45">
      <c r="A1263" t="s">
        <v>5413</v>
      </c>
      <c r="B1263">
        <f>COUNTIF(PriceList!$M$4:$M$2641,A1263)</f>
        <v>1</v>
      </c>
      <c r="C1263" t="str">
        <f>IF(B1263=1,"1:1","1:Many")</f>
        <v>1:1</v>
      </c>
      <c r="D1263" s="42" t="str" cm="1">
        <f t="array" ref="D1263">_xlfn.TEXTJOIN(" | ",TRUE,_xlfn._xlws.FILTER(PriceList!$B$4:$B$2641,PriceList!$M$4:$M$2641=A1263,""))</f>
        <v>RS018-N-0920-1027-042</v>
      </c>
      <c r="E1263" t="str" cm="1">
        <f t="array" ref="E1263">_xlfn.TEXTJOIN(", ",TRUE,_xlfn._xlws.FILTER(ROW(PriceList!$B$4:$B$2641),PriceList!$M$4:$M$2641=A1263,""))</f>
        <v>2352</v>
      </c>
      <c r="F1263" s="42" t="str" cm="1">
        <f t="array" ref="F1263">_xlfn.TEXTJOIN(" | ",TRUE,_xlfn.UNIQUE(_xlfn._xlws.FILTER(PriceList!$Q$4:$Q$2641&amp;" x "&amp;PriceList!$R$4:$R$2641&amp;" x "&amp;PriceList!$S$4:$S$2641,PriceList!$M$4:$M$2641=A1263,"")))</f>
        <v>92 x 101.3 x 8</v>
      </c>
      <c r="G1263" t="str" cm="1">
        <f t="array" ref="G1263">INDEX(_xlfn._xlws.FILTER(PriceList!$P$4:$P$2641,PriceList!$M$4:$M$2641=A1263,""),1)</f>
        <v>U Ring - TS Type - Extra Lip</v>
      </c>
    </row>
    <row r="1264" spans="1:7" x14ac:dyDescent="0.45">
      <c r="A1264" t="s">
        <v>5482</v>
      </c>
      <c r="B1264">
        <f>COUNTIF(PriceList!$M$4:$M$2641,A1264)</f>
        <v>1</v>
      </c>
      <c r="C1264" t="str">
        <f>IF(B1264=1,"1:1","1:Many")</f>
        <v>1:1</v>
      </c>
      <c r="D1264" s="42" t="str" cm="1">
        <f t="array" ref="D1264">_xlfn.TEXTJOIN(" | ",TRUE,_xlfn._xlws.FILTER(PriceList!$B$4:$B$2641,PriceList!$M$4:$M$2641=A1264,""))</f>
        <v>RS054-N-0850-1050-400</v>
      </c>
      <c r="E1264" t="str" cm="1">
        <f t="array" ref="E1264">_xlfn.TEXTJOIN(", ",TRUE,_xlfn._xlws.FILTER(ROW(PriceList!$B$4:$B$2641),PriceList!$M$4:$M$2641=A1264,""))</f>
        <v>2481</v>
      </c>
      <c r="F1264" s="42" t="str" cm="1">
        <f t="array" ref="F1264">_xlfn.TEXTJOIN(" | ",TRUE,_xlfn.UNIQUE(_xlfn._xlws.FILTER(PriceList!$Q$4:$Q$2641&amp;" x "&amp;PriceList!$R$4:$R$2641&amp;" x "&amp;PriceList!$S$4:$S$2641,PriceList!$M$4:$M$2641=A1264,"")))</f>
        <v>85 x 105 x 12</v>
      </c>
      <c r="G1264" t="str" cm="1">
        <f t="array" ref="G1264">INDEX(_xlfn._xlws.FILTER(PriceList!$P$4:$P$2641,PriceList!$M$4:$M$2641=A1264,""),1)</f>
        <v>HalliteÂ® Type 605</v>
      </c>
    </row>
    <row r="1265" spans="1:7" ht="57" x14ac:dyDescent="0.45">
      <c r="A1265" t="s">
        <v>5326</v>
      </c>
      <c r="B1265">
        <f>COUNTIF(PriceList!$M$4:$M$2641,A1265)</f>
        <v>7</v>
      </c>
      <c r="C1265" t="str">
        <f>IF(B1265=1,"1:1","1:Many")</f>
        <v>1:Many</v>
      </c>
      <c r="D1265" s="42" t="str" cm="1">
        <f t="array" ref="D1265">_xlfn.TEXTJOIN(" | ",TRUE,_xlfn._xlws.FILTER(PriceList!$B$4:$B$2641,PriceList!$M$4:$M$2641=A1265,""))</f>
        <v>RS018-F-0900-1051-063 | RS018-N-0900-1051-063 | RS045-F-090-105-9/10 | RS054-N-0900-1050-250 | RS072-F-0900-1050-130 | RS072-P-0900-1050-130 | RS117-H-090-105.1-6.3</v>
      </c>
      <c r="E1265" t="str" cm="1">
        <f t="array" ref="E1265">_xlfn.TEXTJOIN(", ",TRUE,_xlfn._xlws.FILTER(ROW(PriceList!$B$4:$B$2641),PriceList!$M$4:$M$2641=A1265,""))</f>
        <v>2223, 2350, 2447, 2482, 2559, 2578, 2603</v>
      </c>
      <c r="F1265" s="42" t="str" cm="1">
        <f t="array" ref="F1265">_xlfn.TEXTJOIN(" | ",TRUE,_xlfn.UNIQUE(_xlfn._xlws.FILTER(PriceList!$Q$4:$Q$2641&amp;" x "&amp;PriceList!$R$4:$R$2641&amp;" x "&amp;PriceList!$S$4:$S$2641,PriceList!$M$4:$M$2641=A1265,"")))</f>
        <v>90 x 105 x 9</v>
      </c>
      <c r="G1265" t="str" cm="1">
        <f t="array" ref="G1265">INDEX(_xlfn._xlws.FILTER(PriceList!$P$4:$P$2641,PriceList!$M$4:$M$2641=A1265,""),1)</f>
        <v>HalliteÂ® Type 605</v>
      </c>
    </row>
    <row r="1266" spans="1:7" x14ac:dyDescent="0.45">
      <c r="A1266" t="s">
        <v>5515</v>
      </c>
      <c r="B1266">
        <f>COUNTIF(PriceList!$M$4:$M$2641,A1266)</f>
        <v>1</v>
      </c>
      <c r="C1266" t="str">
        <f>IF(B1266=1,"1:1","1:Many")</f>
        <v>1:1</v>
      </c>
      <c r="D1266" s="42" t="str" cm="1">
        <f t="array" ref="D1266">_xlfn.TEXTJOIN(" | ",TRUE,_xlfn._xlws.FILTER(PriceList!$B$4:$B$2641,PriceList!$M$4:$M$2641=A1266,""))</f>
        <v>RS063-U-0900-1055-063</v>
      </c>
      <c r="E1266" t="str" cm="1">
        <f t="array" ref="E1266">_xlfn.TEXTJOIN(", ",TRUE,_xlfn._xlws.FILTER(ROW(PriceList!$B$4:$B$2641),PriceList!$M$4:$M$2641=A1266,""))</f>
        <v>2514</v>
      </c>
      <c r="F1266" s="42" t="str" cm="1">
        <f t="array" ref="F1266">_xlfn.TEXTJOIN(" | ",TRUE,_xlfn.UNIQUE(_xlfn._xlws.FILTER(PriceList!$Q$4:$Q$2641&amp;" x "&amp;PriceList!$R$4:$R$2641&amp;" x "&amp;PriceList!$S$4:$S$2641,PriceList!$M$4:$M$2641=A1266,"")))</f>
        <v>90 x 105.5 x 6</v>
      </c>
      <c r="G1266" t="str" cm="1">
        <f t="array" ref="G1266">INDEX(_xlfn._xlws.FILTER(PriceList!$P$4:$P$2641,PriceList!$M$4:$M$2641=A1266,""),1)</f>
        <v>HalliteÂ® Type 616</v>
      </c>
    </row>
    <row r="1267" spans="1:7" ht="28.5" x14ac:dyDescent="0.45">
      <c r="A1267" t="s">
        <v>5328</v>
      </c>
      <c r="B1267">
        <f>COUNTIF(PriceList!$M$4:$M$2641,A1267)</f>
        <v>3</v>
      </c>
      <c r="C1267" t="str">
        <f>IF(B1267=1,"1:1","1:Many")</f>
        <v>1:Many</v>
      </c>
      <c r="D1267" s="42" t="str" cm="1">
        <f t="array" ref="D1267">_xlfn.TEXTJOIN(" | ",TRUE,_xlfn._xlws.FILTER(PriceList!$B$4:$B$2641,PriceList!$M$4:$M$2641=A1267,""))</f>
        <v>RS018-F-0950-1101-063 | RS018-N-0950-1101-063 | RS072-F-0950-1100-130</v>
      </c>
      <c r="E1267" t="str" cm="1">
        <f t="array" ref="E1267">_xlfn.TEXTJOIN(", ",TRUE,_xlfn._xlws.FILTER(ROW(PriceList!$B$4:$B$2641),PriceList!$M$4:$M$2641=A1267,""))</f>
        <v>2225, 2354, 2560</v>
      </c>
      <c r="F1267" s="42" t="str" cm="1">
        <f t="array" ref="F1267">_xlfn.TEXTJOIN(" | ",TRUE,_xlfn.UNIQUE(_xlfn._xlws.FILTER(PriceList!$Q$4:$Q$2641&amp;" x "&amp;PriceList!$R$4:$R$2641&amp;" x "&amp;PriceList!$S$4:$S$2641,PriceList!$M$4:$M$2641=A1267,"")))</f>
        <v>95 x 110 x 9</v>
      </c>
      <c r="G1267" t="str" cm="1">
        <f t="array" ref="G1267">INDEX(_xlfn._xlws.FILTER(PriceList!$P$4:$P$2641,PriceList!$M$4:$M$2641=A1267,""),1)</f>
        <v>HalliteÂ® Type 605</v>
      </c>
    </row>
    <row r="1268" spans="1:7" x14ac:dyDescent="0.45">
      <c r="A1268" t="s">
        <v>5516</v>
      </c>
      <c r="B1268">
        <f>COUNTIF(PriceList!$M$4:$M$2641,A1268)</f>
        <v>1</v>
      </c>
      <c r="C1268" t="str">
        <f>IF(B1268=1,"1:1","1:Many")</f>
        <v>1:1</v>
      </c>
      <c r="D1268" s="42" t="str" cm="1">
        <f t="array" ref="D1268">_xlfn.TEXTJOIN(" | ",TRUE,_xlfn._xlws.FILTER(PriceList!$B$4:$B$2641,PriceList!$M$4:$M$2641=A1268,""))</f>
        <v>RS063-U-0950-1105-063</v>
      </c>
      <c r="E1268" t="str" cm="1">
        <f t="array" ref="E1268">_xlfn.TEXTJOIN(", ",TRUE,_xlfn._xlws.FILTER(ROW(PriceList!$B$4:$B$2641),PriceList!$M$4:$M$2641=A1268,""))</f>
        <v>2515</v>
      </c>
      <c r="F1268" s="42" t="str" cm="1">
        <f t="array" ref="F1268">_xlfn.TEXTJOIN(" | ",TRUE,_xlfn.UNIQUE(_xlfn._xlws.FILTER(PriceList!$Q$4:$Q$2641&amp;" x "&amp;PriceList!$R$4:$R$2641&amp;" x "&amp;PriceList!$S$4:$S$2641,PriceList!$M$4:$M$2641=A1268,"")))</f>
        <v>95 x 110.5 x 6</v>
      </c>
      <c r="G1268" t="str" cm="1">
        <f t="array" ref="G1268">INDEX(_xlfn._xlws.FILTER(PriceList!$P$4:$P$2641,PriceList!$M$4:$M$2641=A1268,""),1)</f>
        <v>HalliteÂ® Type 616</v>
      </c>
    </row>
    <row r="1269" spans="1:7" x14ac:dyDescent="0.45">
      <c r="A1269" t="s">
        <v>5329</v>
      </c>
      <c r="B1269">
        <f>COUNTIF(PriceList!$M$4:$M$2641,A1269)</f>
        <v>2</v>
      </c>
      <c r="C1269" t="str">
        <f>IF(B1269=1,"1:1","1:Many")</f>
        <v>1:Many</v>
      </c>
      <c r="D1269" s="42" t="str" cm="1">
        <f t="array" ref="D1269">_xlfn.TEXTJOIN(" | ",TRUE,_xlfn._xlws.FILTER(PriceList!$B$4:$B$2641,PriceList!$M$4:$M$2641=A1269,""))</f>
        <v>RS018-F-0980-1131-063 | RS018-N-0980-1131-063</v>
      </c>
      <c r="E1269" t="str" cm="1">
        <f t="array" ref="E1269">_xlfn.TEXTJOIN(", ",TRUE,_xlfn._xlws.FILTER(ROW(PriceList!$B$4:$B$2641),PriceList!$M$4:$M$2641=A1269,""))</f>
        <v>2226, 2355</v>
      </c>
      <c r="F1269" s="42" t="str" cm="1">
        <f t="array" ref="F1269">_xlfn.TEXTJOIN(" | ",TRUE,_xlfn.UNIQUE(_xlfn._xlws.FILTER(PriceList!$Q$4:$Q$2641&amp;" x "&amp;PriceList!$R$4:$R$2641&amp;" x "&amp;PriceList!$S$4:$S$2641,PriceList!$M$4:$M$2641=A1269,"")))</f>
        <v>98 x 112 x 8.5</v>
      </c>
      <c r="G1269" t="str" cm="1">
        <f t="array" ref="G1269">INDEX(_xlfn._xlws.FILTER(PriceList!$P$4:$P$2641,PriceList!$M$4:$M$2641=A1269,""),1)</f>
        <v>U Ring - Polyurethane - Rod Working</v>
      </c>
    </row>
    <row r="1270" spans="1:7" x14ac:dyDescent="0.45">
      <c r="A1270" t="s">
        <v>5557</v>
      </c>
      <c r="B1270">
        <f>COUNTIF(PriceList!$M$4:$M$2641,A1270)</f>
        <v>1</v>
      </c>
      <c r="C1270" t="str">
        <f>IF(B1270=1,"1:1","1:Many")</f>
        <v>1:1</v>
      </c>
      <c r="D1270" s="42" t="str" cm="1">
        <f t="array" ref="D1270">_xlfn.TEXTJOIN(" | ",TRUE,_xlfn._xlws.FILTER(PriceList!$B$4:$B$2641,PriceList!$M$4:$M$2641=A1270,""))</f>
        <v>RS171-U-105-113-6.3/7</v>
      </c>
      <c r="E1270" t="str" cm="1">
        <f t="array" ref="E1270">_xlfn.TEXTJOIN(", ",TRUE,_xlfn._xlws.FILTER(ROW(PriceList!$B$4:$B$2641),PriceList!$M$4:$M$2641=A1270,""))</f>
        <v>2614</v>
      </c>
      <c r="F1270" s="42" t="str" cm="1">
        <f t="array" ref="F1270">_xlfn.TEXTJOIN(" | ",TRUE,_xlfn.UNIQUE(_xlfn._xlws.FILTER(PriceList!$Q$4:$Q$2641&amp;" x "&amp;PriceList!$R$4:$R$2641&amp;" x "&amp;PriceList!$S$4:$S$2641,PriceList!$M$4:$M$2641=A1270,"")))</f>
        <v>105 x 113 x 7</v>
      </c>
      <c r="G1270" t="str" cm="1">
        <f t="array" ref="G1270">INDEX(_xlfn._xlws.FILTER(PriceList!$P$4:$P$2641,PriceList!$M$4:$M$2641=A1270,""),1)</f>
        <v>U Ring - Rod Working - Extra Lip</v>
      </c>
    </row>
    <row r="1271" spans="1:7" ht="28.5" x14ac:dyDescent="0.45">
      <c r="A1271" t="s">
        <v>5331</v>
      </c>
      <c r="B1271">
        <f>COUNTIF(PriceList!$M$4:$M$2641,A1271)</f>
        <v>3</v>
      </c>
      <c r="C1271" t="str">
        <f>IF(B1271=1,"1:1","1:Many")</f>
        <v>1:Many</v>
      </c>
      <c r="D1271" s="42" t="str" cm="1">
        <f t="array" ref="D1271">_xlfn.TEXTJOIN(" | ",TRUE,_xlfn._xlws.FILTER(PriceList!$B$4:$B$2641,PriceList!$M$4:$M$2641=A1271,""))</f>
        <v>RS018-F-1000-1151-063 | RS018-N-1000-1151-063 | RS072-F-1000-1150-130</v>
      </c>
      <c r="E1271" t="str" cm="1">
        <f t="array" ref="E1271">_xlfn.TEXTJOIN(", ",TRUE,_xlfn._xlws.FILTER(ROW(PriceList!$B$4:$B$2641),PriceList!$M$4:$M$2641=A1271,""))</f>
        <v>2227, 2356, 2561</v>
      </c>
      <c r="F1271" s="42" t="str" cm="1">
        <f t="array" ref="F1271">_xlfn.TEXTJOIN(" | ",TRUE,_xlfn.UNIQUE(_xlfn._xlws.FILTER(PriceList!$Q$4:$Q$2641&amp;" x "&amp;PriceList!$R$4:$R$2641&amp;" x "&amp;PriceList!$S$4:$S$2641,PriceList!$M$4:$M$2641=A1271,"")))</f>
        <v>100 x 115 x 9</v>
      </c>
      <c r="G1271" t="str" cm="1">
        <f t="array" ref="G1271">INDEX(_xlfn._xlws.FILTER(PriceList!$P$4:$P$2641,PriceList!$M$4:$M$2641=A1271,""),1)</f>
        <v>HalliteÂ® Type 605</v>
      </c>
    </row>
    <row r="1272" spans="1:7" x14ac:dyDescent="0.45">
      <c r="A1272" t="s">
        <v>5483</v>
      </c>
      <c r="B1272">
        <f>COUNTIF(PriceList!$M$4:$M$2641,A1272)</f>
        <v>1</v>
      </c>
      <c r="C1272" t="str">
        <f>IF(B1272=1,"1:1","1:Many")</f>
        <v>1:1</v>
      </c>
      <c r="D1272" s="42" t="str" cm="1">
        <f t="array" ref="D1272">_xlfn.TEXTJOIN(" | ",TRUE,_xlfn._xlws.FILTER(PriceList!$B$4:$B$2641,PriceList!$M$4:$M$2641=A1272,""))</f>
        <v>RS054-N-0950-1150-400</v>
      </c>
      <c r="E1272" t="str" cm="1">
        <f t="array" ref="E1272">_xlfn.TEXTJOIN(", ",TRUE,_xlfn._xlws.FILTER(ROW(PriceList!$B$4:$B$2641),PriceList!$M$4:$M$2641=A1272,""))</f>
        <v>2484</v>
      </c>
      <c r="F1272" s="42" t="str" cm="1">
        <f t="array" ref="F1272">_xlfn.TEXTJOIN(" | ",TRUE,_xlfn.UNIQUE(_xlfn._xlws.FILTER(PriceList!$Q$4:$Q$2641&amp;" x "&amp;PriceList!$R$4:$R$2641&amp;" x "&amp;PriceList!$S$4:$S$2641,PriceList!$M$4:$M$2641=A1272,"")))</f>
        <v>95 x 115 x 12</v>
      </c>
      <c r="G1272" t="str" cm="1">
        <f t="array" ref="G1272">INDEX(_xlfn._xlws.FILTER(PriceList!$P$4:$P$2641,PriceList!$M$4:$M$2641=A1272,""),1)</f>
        <v>HalliteÂ® Type 605</v>
      </c>
    </row>
    <row r="1273" spans="1:7" x14ac:dyDescent="0.45">
      <c r="A1273" t="s">
        <v>5517</v>
      </c>
      <c r="B1273">
        <f>COUNTIF(PriceList!$M$4:$M$2641,A1273)</f>
        <v>1</v>
      </c>
      <c r="C1273" t="str">
        <f>IF(B1273=1,"1:1","1:Many")</f>
        <v>1:1</v>
      </c>
      <c r="D1273" s="42" t="str" cm="1">
        <f t="array" ref="D1273">_xlfn.TEXTJOIN(" | ",TRUE,_xlfn._xlws.FILTER(PriceList!$B$4:$B$2641,PriceList!$M$4:$M$2641=A1273,""))</f>
        <v>RS063-U-1000-1155-063</v>
      </c>
      <c r="E1273" t="str" cm="1">
        <f t="array" ref="E1273">_xlfn.TEXTJOIN(", ",TRUE,_xlfn._xlws.FILTER(ROW(PriceList!$B$4:$B$2641),PriceList!$M$4:$M$2641=A1273,""))</f>
        <v>2516</v>
      </c>
      <c r="F1273" s="42" t="str" cm="1">
        <f t="array" ref="F1273">_xlfn.TEXTJOIN(" | ",TRUE,_xlfn.UNIQUE(_xlfn._xlws.FILTER(PriceList!$Q$4:$Q$2641&amp;" x "&amp;PriceList!$R$4:$R$2641&amp;" x "&amp;PriceList!$S$4:$S$2641,PriceList!$M$4:$M$2641=A1273,"")))</f>
        <v>100 x 115.5 x 6</v>
      </c>
      <c r="G1273" t="str" cm="1">
        <f t="array" ref="G1273">INDEX(_xlfn._xlws.FILTER(PriceList!$P$4:$P$2641,PriceList!$M$4:$M$2641=A1273,""),1)</f>
        <v>HalliteÂ® Type 616</v>
      </c>
    </row>
    <row r="1274" spans="1:7" ht="28.5" x14ac:dyDescent="0.45">
      <c r="A1274" t="s">
        <v>5333</v>
      </c>
      <c r="B1274">
        <f>COUNTIF(PriceList!$M$4:$M$2641,A1274)</f>
        <v>3</v>
      </c>
      <c r="C1274" t="str">
        <f>IF(B1274=1,"1:1","1:Many")</f>
        <v>1:Many</v>
      </c>
      <c r="D1274" s="42" t="str" cm="1">
        <f t="array" ref="D1274">_xlfn.TEXTJOIN(" | ",TRUE,_xlfn._xlws.FILTER(PriceList!$B$4:$B$2641,PriceList!$M$4:$M$2641=A1274,""))</f>
        <v>RS018-F-1050-1201-063 | RS018-N-1050-1201-063 | RS072-F-1050-1200-130</v>
      </c>
      <c r="E1274" t="str" cm="1">
        <f t="array" ref="E1274">_xlfn.TEXTJOIN(", ",TRUE,_xlfn._xlws.FILTER(ROW(PriceList!$B$4:$B$2641),PriceList!$M$4:$M$2641=A1274,""))</f>
        <v>2229, 2360, 2563</v>
      </c>
      <c r="F1274" s="42" t="str" cm="1">
        <f t="array" ref="F1274">_xlfn.TEXTJOIN(" | ",TRUE,_xlfn.UNIQUE(_xlfn._xlws.FILTER(PriceList!$Q$4:$Q$2641&amp;" x "&amp;PriceList!$R$4:$R$2641&amp;" x "&amp;PriceList!$S$4:$S$2641,PriceList!$M$4:$M$2641=A1274,"")))</f>
        <v>105 x 120 x 13</v>
      </c>
      <c r="G1274" t="str" cm="1">
        <f t="array" ref="G1274">INDEX(_xlfn._xlws.FILTER(PriceList!$P$4:$P$2641,PriceList!$M$4:$M$2641=A1274,""),1)</f>
        <v>HalliteÂ® Type 621</v>
      </c>
    </row>
    <row r="1275" spans="1:7" x14ac:dyDescent="0.45">
      <c r="A1275" t="s">
        <v>5484</v>
      </c>
      <c r="B1275">
        <f>COUNTIF(PriceList!$M$4:$M$2641,A1275)</f>
        <v>1</v>
      </c>
      <c r="C1275" t="str">
        <f>IF(B1275=1,"1:1","1:Many")</f>
        <v>1:1</v>
      </c>
      <c r="D1275" s="42" t="str" cm="1">
        <f t="array" ref="D1275">_xlfn.TEXTJOIN(" | ",TRUE,_xlfn._xlws.FILTER(PriceList!$B$4:$B$2641,PriceList!$M$4:$M$2641=A1275,""))</f>
        <v>RS054-N-1000-1250-400</v>
      </c>
      <c r="E1275" t="str" cm="1">
        <f t="array" ref="E1275">_xlfn.TEXTJOIN(", ",TRUE,_xlfn._xlws.FILTER(ROW(PriceList!$B$4:$B$2641),PriceList!$M$4:$M$2641=A1275,""))</f>
        <v>2486</v>
      </c>
      <c r="F1275" s="42" t="str" cm="1">
        <f t="array" ref="F1275">_xlfn.TEXTJOIN(" | ",TRUE,_xlfn.UNIQUE(_xlfn._xlws.FILTER(PriceList!$Q$4:$Q$2641&amp;" x "&amp;PriceList!$R$4:$R$2641&amp;" x "&amp;PriceList!$S$4:$S$2641,PriceList!$M$4:$M$2641=A1275,"")))</f>
        <v>100 x 125 x 15</v>
      </c>
      <c r="G1275" t="str" cm="1">
        <f t="array" ref="G1275">INDEX(_xlfn._xlws.FILTER(PriceList!$P$4:$P$2641,PriceList!$M$4:$M$2641=A1275,""),1)</f>
        <v>U Ring - Rod Working - Extra Lip</v>
      </c>
    </row>
    <row r="1276" spans="1:7" x14ac:dyDescent="0.45">
      <c r="A1276" t="s">
        <v>5520</v>
      </c>
      <c r="B1276">
        <f>COUNTIF(PriceList!$M$4:$M$2641,A1276)</f>
        <v>1</v>
      </c>
      <c r="C1276" t="str">
        <f>IF(B1276=1,"1:1","1:Many")</f>
        <v>1:1</v>
      </c>
      <c r="D1276" s="42" t="str" cm="1">
        <f t="array" ref="D1276">_xlfn.TEXTJOIN(" | ",TRUE,_xlfn._xlws.FILTER(PriceList!$B$4:$B$2641,PriceList!$M$4:$M$2641=A1276,""))</f>
        <v>RS063-U-1100-1255-063</v>
      </c>
      <c r="E1276" t="str" cm="1">
        <f t="array" ref="E1276">_xlfn.TEXTJOIN(", ",TRUE,_xlfn._xlws.FILTER(ROW(PriceList!$B$4:$B$2641),PriceList!$M$4:$M$2641=A1276,""))</f>
        <v>2518</v>
      </c>
      <c r="F1276" s="42" t="str" cm="1">
        <f t="array" ref="F1276">_xlfn.TEXTJOIN(" | ",TRUE,_xlfn.UNIQUE(_xlfn._xlws.FILTER(PriceList!$Q$4:$Q$2641&amp;" x "&amp;PriceList!$R$4:$R$2641&amp;" x "&amp;PriceList!$S$4:$S$2641,PriceList!$M$4:$M$2641=A1276,"")))</f>
        <v>110 x 125.5 x 6</v>
      </c>
      <c r="G1276" t="str" cm="1">
        <f t="array" ref="G1276">INDEX(_xlfn._xlws.FILTER(PriceList!$P$4:$P$2641,PriceList!$M$4:$M$2641=A1276,""),1)</f>
        <v>HalliteÂ® Type 653</v>
      </c>
    </row>
    <row r="1277" spans="1:7" x14ac:dyDescent="0.45">
      <c r="A1277" t="s">
        <v>5385</v>
      </c>
      <c r="B1277">
        <f>COUNTIF(PriceList!$M$4:$M$2641,A1277)</f>
        <v>1</v>
      </c>
      <c r="C1277" t="str">
        <f>IF(B1277=1,"1:1","1:Many")</f>
        <v>1:1</v>
      </c>
      <c r="D1277" s="42" t="str" cm="1">
        <f t="array" ref="D1277">_xlfn.TEXTJOIN(" | ",TRUE,_xlfn._xlws.FILTER(PriceList!$B$4:$B$2641,PriceList!$M$4:$M$2641=A1277,""))</f>
        <v>RS018-N-0150-0301-063</v>
      </c>
      <c r="E1277" t="str" cm="1">
        <f t="array" ref="E1277">_xlfn.TEXTJOIN(", ",TRUE,_xlfn._xlws.FILTER(ROW(PriceList!$B$4:$B$2641),PriceList!$M$4:$M$2641=A1277,""))</f>
        <v>2278</v>
      </c>
      <c r="F1277" s="42" t="str" cm="1">
        <f t="array" ref="F1277">_xlfn.TEXTJOIN(" | ",TRUE,_xlfn.UNIQUE(_xlfn._xlws.FILTER(PriceList!$Q$4:$Q$2641&amp;" x "&amp;PriceList!$R$4:$R$2641&amp;" x "&amp;PriceList!$S$4:$S$2641,PriceList!$M$4:$M$2641=A1277,"")))</f>
        <v>15.748 x 31.75 x 8.636</v>
      </c>
      <c r="G1277" t="str" cm="1">
        <f t="array" ref="G1277">INDEX(_xlfn._xlws.FILTER(PriceList!$P$4:$P$2641,PriceList!$M$4:$M$2641=A1277,""),1)</f>
        <v>U Ring - TS Type</v>
      </c>
    </row>
    <row r="1278" spans="1:7" x14ac:dyDescent="0.45">
      <c r="A1278" t="s">
        <v>5339</v>
      </c>
      <c r="B1278">
        <f>COUNTIF(PriceList!$M$4:$M$2641,A1278)</f>
        <v>2</v>
      </c>
      <c r="C1278" t="str">
        <f>IF(B1278=1,"1:1","1:Many")</f>
        <v>1:Many</v>
      </c>
      <c r="D1278" s="42" t="str" cm="1">
        <f t="array" ref="D1278">_xlfn.TEXTJOIN(" | ",TRUE,_xlfn._xlws.FILTER(PriceList!$B$4:$B$2641,PriceList!$M$4:$M$2641=A1278,""))</f>
        <v>RS018-F-1150-1301-063 | RS018-N-1150-1301-063</v>
      </c>
      <c r="E1278" t="str" cm="1">
        <f t="array" ref="E1278">_xlfn.TEXTJOIN(", ",TRUE,_xlfn._xlws.FILTER(ROW(PriceList!$B$4:$B$2641),PriceList!$M$4:$M$2641=A1278,""))</f>
        <v>2233, 2364</v>
      </c>
      <c r="F1278" s="42" t="str" cm="1">
        <f t="array" ref="F1278">_xlfn.TEXTJOIN(" | ",TRUE,_xlfn.UNIQUE(_xlfn._xlws.FILTER(PriceList!$Q$4:$Q$2641&amp;" x "&amp;PriceList!$R$4:$R$2641&amp;" x "&amp;PriceList!$S$4:$S$2641,PriceList!$M$4:$M$2641=A1278,"")))</f>
        <v>115 x 130 x 9</v>
      </c>
      <c r="G1278" t="str" cm="1">
        <f t="array" ref="G1278">INDEX(_xlfn._xlws.FILTER(PriceList!$P$4:$P$2641,PriceList!$M$4:$M$2641=A1278,""),1)</f>
        <v>HalliteÂ® Type 605</v>
      </c>
    </row>
    <row r="1279" spans="1:7" x14ac:dyDescent="0.45">
      <c r="A1279" t="s">
        <v>5341</v>
      </c>
      <c r="B1279">
        <f>COUNTIF(PriceList!$M$4:$M$2641,A1279)</f>
        <v>2</v>
      </c>
      <c r="C1279" t="str">
        <f>IF(B1279=1,"1:1","1:Many")</f>
        <v>1:Many</v>
      </c>
      <c r="D1279" s="42" t="str" cm="1">
        <f t="array" ref="D1279">_xlfn.TEXTJOIN(" | ",TRUE,_xlfn._xlws.FILTER(PriceList!$B$4:$B$2641,PriceList!$M$4:$M$2641=A1279,""))</f>
        <v>RS018-F-1180-1331-063 | RS018-N-1180-1331-063</v>
      </c>
      <c r="E1279" t="str" cm="1">
        <f t="array" ref="E1279">_xlfn.TEXTJOIN(", ",TRUE,_xlfn._xlws.FILTER(ROW(PriceList!$B$4:$B$2641),PriceList!$M$4:$M$2641=A1279,""))</f>
        <v>2235, 2366</v>
      </c>
      <c r="F1279" s="42" t="str" cm="1">
        <f t="array" ref="F1279">_xlfn.TEXTJOIN(" | ",TRUE,_xlfn.UNIQUE(_xlfn._xlws.FILTER(PriceList!$Q$4:$Q$2641&amp;" x "&amp;PriceList!$R$4:$R$2641&amp;" x "&amp;PriceList!$S$4:$S$2641,PriceList!$M$4:$M$2641=A1279,"")))</f>
        <v>118 x 133 x 9</v>
      </c>
      <c r="G1279" t="str" cm="1">
        <f t="array" ref="G1279">INDEX(_xlfn._xlws.FILTER(PriceList!$P$4:$P$2641,PriceList!$M$4:$M$2641=A1279,""),1)</f>
        <v>U Ring - Polyurethane - Rod Working</v>
      </c>
    </row>
    <row r="1280" spans="1:7" x14ac:dyDescent="0.45">
      <c r="A1280" t="s">
        <v>5340</v>
      </c>
      <c r="B1280">
        <f>COUNTIF(PriceList!$M$4:$M$2641,A1280)</f>
        <v>2</v>
      </c>
      <c r="C1280" t="str">
        <f>IF(B1280=1,"1:1","1:Many")</f>
        <v>1:Many</v>
      </c>
      <c r="D1280" s="42" t="str" cm="1">
        <f t="array" ref="D1280">_xlfn.TEXTJOIN(" | ",TRUE,_xlfn._xlws.FILTER(PriceList!$B$4:$B$2641,PriceList!$M$4:$M$2641=A1280,""))</f>
        <v>RS018-F-1150-1355-081 | RS018-N-1150-1355-081</v>
      </c>
      <c r="E1280" t="str" cm="1">
        <f t="array" ref="E1280">_xlfn.TEXTJOIN(", ",TRUE,_xlfn._xlws.FILTER(ROW(PriceList!$B$4:$B$2641),PriceList!$M$4:$M$2641=A1280,""))</f>
        <v>2234, 2365</v>
      </c>
      <c r="F1280" s="42" t="str" cm="1">
        <f t="array" ref="F1280">_xlfn.TEXTJOIN(" | ",TRUE,_xlfn.UNIQUE(_xlfn._xlws.FILTER(PriceList!$Q$4:$Q$2641&amp;" x "&amp;PriceList!$R$4:$R$2641&amp;" x "&amp;PriceList!$S$4:$S$2641,PriceList!$M$4:$M$2641=A1280,"")))</f>
        <v>115 x 135 x 14.6</v>
      </c>
      <c r="G1280" t="str" cm="1">
        <f t="array" ref="G1280">INDEX(_xlfn._xlws.FILTER(PriceList!$P$4:$P$2641,PriceList!$M$4:$M$2641=A1280,""),1)</f>
        <v>HalliteÂ® Type 621</v>
      </c>
    </row>
    <row r="1281" spans="1:7" x14ac:dyDescent="0.45">
      <c r="A1281" t="s">
        <v>5342</v>
      </c>
      <c r="B1281">
        <f>COUNTIF(PriceList!$M$4:$M$2641,A1281)</f>
        <v>2</v>
      </c>
      <c r="C1281" t="str">
        <f>IF(B1281=1,"1:1","1:Many")</f>
        <v>1:Many</v>
      </c>
      <c r="D1281" s="42" t="str" cm="1">
        <f t="array" ref="D1281">_xlfn.TEXTJOIN(" | ",TRUE,_xlfn._xlws.FILTER(PriceList!$B$4:$B$2641,PriceList!$M$4:$M$2641=A1281,""))</f>
        <v>RS018-F-1200-1351-063 | RS018-N-1200-1351-063</v>
      </c>
      <c r="E1281" t="str" cm="1">
        <f t="array" ref="E1281">_xlfn.TEXTJOIN(", ",TRUE,_xlfn._xlws.FILTER(ROW(PriceList!$B$4:$B$2641),PriceList!$M$4:$M$2641=A1281,""))</f>
        <v>2236, 2367</v>
      </c>
      <c r="F1281" s="42" t="str" cm="1">
        <f t="array" ref="F1281">_xlfn.TEXTJOIN(" | ",TRUE,_xlfn.UNIQUE(_xlfn._xlws.FILTER(PriceList!$Q$4:$Q$2641&amp;" x "&amp;PriceList!$R$4:$R$2641&amp;" x "&amp;PriceList!$S$4:$S$2641,PriceList!$M$4:$M$2641=A1281,"")))</f>
        <v>120 x 135 x 9</v>
      </c>
      <c r="G1281" t="str" cm="1">
        <f t="array" ref="G1281">INDEX(_xlfn._xlws.FILTER(PriceList!$P$4:$P$2641,PriceList!$M$4:$M$2641=A1281,""),1)</f>
        <v>HalliteÂ® Type 605</v>
      </c>
    </row>
    <row r="1282" spans="1:7" x14ac:dyDescent="0.45">
      <c r="A1282" t="s">
        <v>5523</v>
      </c>
      <c r="B1282">
        <f>COUNTIF(PriceList!$M$4:$M$2641,A1282)</f>
        <v>1</v>
      </c>
      <c r="C1282" t="str">
        <f>IF(B1282=1,"1:1","1:Many")</f>
        <v>1:1</v>
      </c>
      <c r="D1282" s="42" t="str" cm="1">
        <f t="array" ref="D1282">_xlfn.TEXTJOIN(" | ",TRUE,_xlfn._xlws.FILTER(PriceList!$B$4:$B$2641,PriceList!$M$4:$M$2641=A1282,""))</f>
        <v>RS063-U-1250-1405-063</v>
      </c>
      <c r="E1282" t="str" cm="1">
        <f t="array" ref="E1282">_xlfn.TEXTJOIN(", ",TRUE,_xlfn._xlws.FILTER(ROW(PriceList!$B$4:$B$2641),PriceList!$M$4:$M$2641=A1282,""))</f>
        <v>2521</v>
      </c>
      <c r="F1282" s="42" t="str" cm="1">
        <f t="array" ref="F1282">_xlfn.TEXTJOIN(" | ",TRUE,_xlfn.UNIQUE(_xlfn._xlws.FILTER(PriceList!$Q$4:$Q$2641&amp;" x "&amp;PriceList!$R$4:$R$2641&amp;" x "&amp;PriceList!$S$4:$S$2641,PriceList!$M$4:$M$2641=A1282,"")))</f>
        <v>125 x 140.5 x 6</v>
      </c>
      <c r="G1282" t="str" cm="1">
        <f t="array" ref="G1282">INDEX(_xlfn._xlws.FILTER(PriceList!$P$4:$P$2641,PriceList!$M$4:$M$2641=A1282,""),1)</f>
        <v>HalliteÂ® Type 616</v>
      </c>
    </row>
    <row r="1283" spans="1:7" x14ac:dyDescent="0.45">
      <c r="A1283" t="s">
        <v>5547</v>
      </c>
      <c r="B1283">
        <f>COUNTIF(PriceList!$M$4:$M$2641,A1283)</f>
        <v>1</v>
      </c>
      <c r="C1283" t="str">
        <f>IF(B1283=1,"1:1","1:Many")</f>
        <v>1:1</v>
      </c>
      <c r="D1283" s="42" t="str" cm="1">
        <f t="array" ref="D1283">_xlfn.TEXTJOIN(" | ",TRUE,_xlfn._xlws.FILTER(PriceList!$B$4:$B$2641,PriceList!$M$4:$M$2641=A1283,""))</f>
        <v>RS072-F-1250-1450-170</v>
      </c>
      <c r="E1283" t="str" cm="1">
        <f t="array" ref="E1283">_xlfn.TEXTJOIN(", ",TRUE,_xlfn._xlws.FILTER(ROW(PriceList!$B$4:$B$2641),PriceList!$M$4:$M$2641=A1283,""))</f>
        <v>2566</v>
      </c>
      <c r="F1283" s="42" t="str" cm="1">
        <f t="array" ref="F1283">_xlfn.TEXTJOIN(" | ",TRUE,_xlfn.UNIQUE(_xlfn._xlws.FILTER(PriceList!$Q$4:$Q$2641&amp;" x "&amp;PriceList!$R$4:$R$2641&amp;" x "&amp;PriceList!$S$4:$S$2641,PriceList!$M$4:$M$2641=A1283,"")))</f>
        <v>125 x 145 x 12</v>
      </c>
      <c r="G1283" t="str" cm="1">
        <f t="array" ref="G1283">INDEX(_xlfn._xlws.FILTER(PriceList!$P$4:$P$2641,PriceList!$M$4:$M$2641=A1283,""),1)</f>
        <v>HalliteÂ® Type 605</v>
      </c>
    </row>
    <row r="1284" spans="1:7" ht="28.5" x14ac:dyDescent="0.45">
      <c r="A1284" t="s">
        <v>5346</v>
      </c>
      <c r="B1284">
        <f>COUNTIF(PriceList!$M$4:$M$2641,A1284)</f>
        <v>3</v>
      </c>
      <c r="C1284" t="str">
        <f>IF(B1284=1,"1:1","1:Many")</f>
        <v>1:Many</v>
      </c>
      <c r="D1284" s="42" t="str" cm="1">
        <f t="array" ref="D1284">_xlfn.TEXTJOIN(" | ",TRUE,_xlfn._xlws.FILTER(PriceList!$B$4:$B$2641,PriceList!$M$4:$M$2641=A1284,""))</f>
        <v>RS018-F-1300-1451-063 | RS018-N-1300-1451-063 | RS072-F-1300-1450-130</v>
      </c>
      <c r="E1284" t="str" cm="1">
        <f t="array" ref="E1284">_xlfn.TEXTJOIN(", ",TRUE,_xlfn._xlws.FILTER(ROW(PriceList!$B$4:$B$2641),PriceList!$M$4:$M$2641=A1284,""))</f>
        <v>2240, 2372, 2567</v>
      </c>
      <c r="F1284" s="42" t="str" cm="1">
        <f t="array" ref="F1284">_xlfn.TEXTJOIN(" | ",TRUE,_xlfn.UNIQUE(_xlfn._xlws.FILTER(PriceList!$Q$4:$Q$2641&amp;" x "&amp;PriceList!$R$4:$R$2641&amp;" x "&amp;PriceList!$S$4:$S$2641,PriceList!$M$4:$M$2641=A1284,"")))</f>
        <v>130 x 145 x 9</v>
      </c>
      <c r="G1284" t="str" cm="1">
        <f t="array" ref="G1284">INDEX(_xlfn._xlws.FILTER(PriceList!$P$4:$P$2641,PriceList!$M$4:$M$2641=A1284,""),1)</f>
        <v>HalliteÂ® Type 605</v>
      </c>
    </row>
    <row r="1285" spans="1:7" x14ac:dyDescent="0.45">
      <c r="A1285" t="s">
        <v>5524</v>
      </c>
      <c r="B1285">
        <f>COUNTIF(PriceList!$M$4:$M$2641,A1285)</f>
        <v>1</v>
      </c>
      <c r="C1285" t="str">
        <f>IF(B1285=1,"1:1","1:Many")</f>
        <v>1:1</v>
      </c>
      <c r="D1285" s="42" t="str" cm="1">
        <f t="array" ref="D1285">_xlfn.TEXTJOIN(" | ",TRUE,_xlfn._xlws.FILTER(PriceList!$B$4:$B$2641,PriceList!$M$4:$M$2641=A1285,""))</f>
        <v>RS063-U-1300-1455-063</v>
      </c>
      <c r="E1285" t="str" cm="1">
        <f t="array" ref="E1285">_xlfn.TEXTJOIN(", ",TRUE,_xlfn._xlws.FILTER(ROW(PriceList!$B$4:$B$2641),PriceList!$M$4:$M$2641=A1285,""))</f>
        <v>2522</v>
      </c>
      <c r="F1285" s="42" t="str" cm="1">
        <f t="array" ref="F1285">_xlfn.TEXTJOIN(" | ",TRUE,_xlfn.UNIQUE(_xlfn._xlws.FILTER(PriceList!$Q$4:$Q$2641&amp;" x "&amp;PriceList!$R$4:$R$2641&amp;" x "&amp;PriceList!$S$4:$S$2641,PriceList!$M$4:$M$2641=A1285,"")))</f>
        <v>130 x 145.5 x 6</v>
      </c>
      <c r="G1285" t="str" cm="1">
        <f t="array" ref="G1285">INDEX(_xlfn._xlws.FILTER(PriceList!$P$4:$P$2641,PriceList!$M$4:$M$2641=A1285,""),1)</f>
        <v>HalliteÂ® Type 616</v>
      </c>
    </row>
    <row r="1286" spans="1:7" x14ac:dyDescent="0.45">
      <c r="A1286" t="s">
        <v>5548</v>
      </c>
      <c r="B1286">
        <f>COUNTIF(PriceList!$M$4:$M$2641,A1286)</f>
        <v>1</v>
      </c>
      <c r="C1286" t="str">
        <f>IF(B1286=1,"1:1","1:Many")</f>
        <v>1:1</v>
      </c>
      <c r="D1286" s="42" t="str" cm="1">
        <f t="array" ref="D1286">_xlfn.TEXTJOIN(" | ",TRUE,_xlfn._xlws.FILTER(PriceList!$B$4:$B$2641,PriceList!$M$4:$M$2641=A1286,""))</f>
        <v>RS072-F-1300-1500-170</v>
      </c>
      <c r="E1286" t="str" cm="1">
        <f t="array" ref="E1286">_xlfn.TEXTJOIN(", ",TRUE,_xlfn._xlws.FILTER(ROW(PriceList!$B$4:$B$2641),PriceList!$M$4:$M$2641=A1286,""))</f>
        <v>2568</v>
      </c>
      <c r="F1286" s="42" t="str" cm="1">
        <f t="array" ref="F1286">_xlfn.TEXTJOIN(" | ",TRUE,_xlfn.UNIQUE(_xlfn._xlws.FILTER(PriceList!$Q$4:$Q$2641&amp;" x "&amp;PriceList!$R$4:$R$2641&amp;" x "&amp;PriceList!$S$4:$S$2641,PriceList!$M$4:$M$2641=A1286,"")))</f>
        <v>130 x 150 x 12</v>
      </c>
      <c r="G1286" t="str" cm="1">
        <f t="array" ref="G1286">INDEX(_xlfn._xlws.FILTER(PriceList!$P$4:$P$2641,PriceList!$M$4:$M$2641=A1286,""),1)</f>
        <v>HalliteÂ® Type 605</v>
      </c>
    </row>
    <row r="1287" spans="1:7" ht="28.5" x14ac:dyDescent="0.45">
      <c r="A1287" t="s">
        <v>5347</v>
      </c>
      <c r="B1287">
        <f>COUNTIF(PriceList!$M$4:$M$2641,A1287)</f>
        <v>3</v>
      </c>
      <c r="C1287" t="str">
        <f>IF(B1287=1,"1:1","1:Many")</f>
        <v>1:Many</v>
      </c>
      <c r="D1287" s="42" t="str" cm="1">
        <f t="array" ref="D1287">_xlfn.TEXTJOIN(" | ",TRUE,_xlfn._xlws.FILTER(PriceList!$B$4:$B$2641,PriceList!$M$4:$M$2641=A1287,""))</f>
        <v>RS018-F-1350-1501-063 | RS018-N-1350-1501-063 | RS045-F-135-150-10/11</v>
      </c>
      <c r="E1287" t="str" cm="1">
        <f t="array" ref="E1287">_xlfn.TEXTJOIN(", ",TRUE,_xlfn._xlws.FILTER(ROW(PriceList!$B$4:$B$2641),PriceList!$M$4:$M$2641=A1287,""))</f>
        <v>2241, 2374, 2451</v>
      </c>
      <c r="F1287" s="42" t="str" cm="1">
        <f t="array" ref="F1287">_xlfn.TEXTJOIN(" | ",TRUE,_xlfn.UNIQUE(_xlfn._xlws.FILTER(PriceList!$Q$4:$Q$2641&amp;" x "&amp;PriceList!$R$4:$R$2641&amp;" x "&amp;PriceList!$S$4:$S$2641,PriceList!$M$4:$M$2641=A1287,"")))</f>
        <v>135 x 150 x 9</v>
      </c>
      <c r="G1287" t="str" cm="1">
        <f t="array" ref="G1287">INDEX(_xlfn._xlws.FILTER(PriceList!$P$4:$P$2641,PriceList!$M$4:$M$2641=A1287,""),1)</f>
        <v>U Ring - Polyurethane - Rod Working</v>
      </c>
    </row>
    <row r="1288" spans="1:7" x14ac:dyDescent="0.45">
      <c r="A1288" t="s">
        <v>5348</v>
      </c>
      <c r="B1288">
        <f>COUNTIF(PriceList!$M$4:$M$2641,A1288)</f>
        <v>2</v>
      </c>
      <c r="C1288" t="str">
        <f>IF(B1288=1,"1:1","1:Many")</f>
        <v>1:Many</v>
      </c>
      <c r="D1288" s="42" t="str" cm="1">
        <f t="array" ref="D1288">_xlfn.TEXTJOIN(" | ",TRUE,_xlfn._xlws.FILTER(PriceList!$B$4:$B$2641,PriceList!$M$4:$M$2641=A1288,""))</f>
        <v>RS018-F-1350-1555-081 | RS018-N-1350-1555-081</v>
      </c>
      <c r="E1288" t="str" cm="1">
        <f t="array" ref="E1288">_xlfn.TEXTJOIN(", ",TRUE,_xlfn._xlws.FILTER(ROW(PriceList!$B$4:$B$2641),PriceList!$M$4:$M$2641=A1288,""))</f>
        <v>2242, 2375</v>
      </c>
      <c r="F1288" s="42" t="str" cm="1">
        <f t="array" ref="F1288">_xlfn.TEXTJOIN(" | ",TRUE,_xlfn.UNIQUE(_xlfn._xlws.FILTER(PriceList!$Q$4:$Q$2641&amp;" x "&amp;PriceList!$R$4:$R$2641&amp;" x "&amp;PriceList!$S$4:$S$2641,PriceList!$M$4:$M$2641=A1288,"")))</f>
        <v>135 x 155 x 16</v>
      </c>
      <c r="G1288" t="str" cm="1">
        <f t="array" ref="G1288">INDEX(_xlfn._xlws.FILTER(PriceList!$P$4:$P$2641,PriceList!$M$4:$M$2641=A1288,""),1)</f>
        <v>U Ring - Rod Working - TDI Type</v>
      </c>
    </row>
    <row r="1289" spans="1:7" ht="28.5" x14ac:dyDescent="0.45">
      <c r="A1289" t="s">
        <v>5351</v>
      </c>
      <c r="B1289">
        <f>COUNTIF(PriceList!$M$4:$M$2641,A1289)</f>
        <v>3</v>
      </c>
      <c r="C1289" t="str">
        <f>IF(B1289=1,"1:1","1:Many")</f>
        <v>1:Many</v>
      </c>
      <c r="D1289" s="42" t="str" cm="1">
        <f t="array" ref="D1289">_xlfn.TEXTJOIN(" | ",TRUE,_xlfn._xlws.FILTER(PriceList!$B$4:$B$2641,PriceList!$M$4:$M$2641=A1289,""))</f>
        <v>RS018-F-1400-1551-063 | RS018-N-1400-1551-063 | RS054-N-1400-1550-500</v>
      </c>
      <c r="E1289" t="str" cm="1">
        <f t="array" ref="E1289">_xlfn.TEXTJOIN(", ",TRUE,_xlfn._xlws.FILTER(ROW(PriceList!$B$4:$B$2641),PriceList!$M$4:$M$2641=A1289,""))</f>
        <v>2243, 2377, 2494</v>
      </c>
      <c r="F1289" s="42" t="str" cm="1">
        <f t="array" ref="F1289">_xlfn.TEXTJOIN(" | ",TRUE,_xlfn.UNIQUE(_xlfn._xlws.FILTER(PriceList!$Q$4:$Q$2641&amp;" x "&amp;PriceList!$R$4:$R$2641&amp;" x "&amp;PriceList!$S$4:$S$2641,PriceList!$M$4:$M$2641=A1289,"")))</f>
        <v>140 x 155 x 13</v>
      </c>
      <c r="G1289" t="str" cm="1">
        <f t="array" ref="G1289">INDEX(_xlfn._xlws.FILTER(PriceList!$P$4:$P$2641,PriceList!$M$4:$M$2641=A1289,""),1)</f>
        <v>HalliteÂ® Type 621</v>
      </c>
    </row>
    <row r="1290" spans="1:7" x14ac:dyDescent="0.45">
      <c r="A1290" t="s">
        <v>5426</v>
      </c>
      <c r="B1290">
        <f>COUNTIF(PriceList!$M$4:$M$2641,A1290)</f>
        <v>1</v>
      </c>
      <c r="C1290" t="str">
        <f>IF(B1290=1,"1:1","1:Many")</f>
        <v>1:1</v>
      </c>
      <c r="D1290" s="42" t="str" cm="1">
        <f t="array" ref="D1290">_xlfn.TEXTJOIN(" | ",TRUE,_xlfn._xlws.FILTER(PriceList!$B$4:$B$2641,PriceList!$M$4:$M$2641=A1290,""))</f>
        <v>RS018-N-1450-1557-042</v>
      </c>
      <c r="E1290" t="str" cm="1">
        <f t="array" ref="E1290">_xlfn.TEXTJOIN(", ",TRUE,_xlfn._xlws.FILTER(ROW(PriceList!$B$4:$B$2641),PriceList!$M$4:$M$2641=A1290,""))</f>
        <v>2379</v>
      </c>
      <c r="F1290" s="42" t="str" cm="1">
        <f t="array" ref="F1290">_xlfn.TEXTJOIN(" | ",TRUE,_xlfn.UNIQUE(_xlfn._xlws.FILTER(PriceList!$Q$4:$Q$2641&amp;" x "&amp;PriceList!$R$4:$R$2641&amp;" x "&amp;PriceList!$S$4:$S$2641,PriceList!$M$4:$M$2641=A1290,"")))</f>
        <v>145 x 155 x 12</v>
      </c>
      <c r="G1290" t="str" cm="1">
        <f t="array" ref="G1290">INDEX(_xlfn._xlws.FILTER(PriceList!$P$4:$P$2641,PriceList!$M$4:$M$2641=A1290,""),1)</f>
        <v>U Ring - Rod Working - Extra Lip</v>
      </c>
    </row>
    <row r="1291" spans="1:7" x14ac:dyDescent="0.45">
      <c r="A1291" t="s">
        <v>5353</v>
      </c>
      <c r="B1291">
        <f>COUNTIF(PriceList!$M$4:$M$2641,A1291)</f>
        <v>2</v>
      </c>
      <c r="C1291" t="str">
        <f>IF(B1291=1,"1:1","1:Many")</f>
        <v>1:Many</v>
      </c>
      <c r="D1291" s="42" t="str" cm="1">
        <f t="array" ref="D1291">_xlfn.TEXTJOIN(" | ",TRUE,_xlfn._xlws.FILTER(PriceList!$B$4:$B$2641,PriceList!$M$4:$M$2641=A1291,""))</f>
        <v>RS018-F-1450-1601-063 | RS018-N-1450-1601-063</v>
      </c>
      <c r="E1291" t="str" cm="1">
        <f t="array" ref="E1291">_xlfn.TEXTJOIN(", ",TRUE,_xlfn._xlws.FILTER(ROW(PriceList!$B$4:$B$2641),PriceList!$M$4:$M$2641=A1291,""))</f>
        <v>2245, 2380</v>
      </c>
      <c r="F1291" s="42" t="str" cm="1">
        <f t="array" ref="F1291">_xlfn.TEXTJOIN(" | ",TRUE,_xlfn.UNIQUE(_xlfn._xlws.FILTER(PriceList!$Q$4:$Q$2641&amp;" x "&amp;PriceList!$R$4:$R$2641&amp;" x "&amp;PriceList!$S$4:$S$2641,PriceList!$M$4:$M$2641=A1291,"")))</f>
        <v>145 x 160 x 9</v>
      </c>
      <c r="G1291" t="str" cm="1">
        <f t="array" ref="G1291">INDEX(_xlfn._xlws.FILTER(PriceList!$P$4:$P$2641,PriceList!$M$4:$M$2641=A1291,""),1)</f>
        <v>U Ring - Polyurethane - Rod Working</v>
      </c>
    </row>
    <row r="1292" spans="1:7" x14ac:dyDescent="0.45">
      <c r="A1292" t="s">
        <v>5527</v>
      </c>
      <c r="B1292">
        <f>COUNTIF(PriceList!$M$4:$M$2641,A1292)</f>
        <v>1</v>
      </c>
      <c r="C1292" t="str">
        <f>IF(B1292=1,"1:1","1:Many")</f>
        <v>1:1</v>
      </c>
      <c r="D1292" s="42" t="str" cm="1">
        <f t="array" ref="D1292">_xlfn.TEXTJOIN(" | ",TRUE,_xlfn._xlws.FILTER(PriceList!$B$4:$B$2641,PriceList!$M$4:$M$2641=A1292,""))</f>
        <v>RS063-U-1450-1605-063</v>
      </c>
      <c r="E1292" t="str" cm="1">
        <f t="array" ref="E1292">_xlfn.TEXTJOIN(", ",TRUE,_xlfn._xlws.FILTER(ROW(PriceList!$B$4:$B$2641),PriceList!$M$4:$M$2641=A1292,""))</f>
        <v>2526</v>
      </c>
      <c r="F1292" s="42" t="str" cm="1">
        <f t="array" ref="F1292">_xlfn.TEXTJOIN(" | ",TRUE,_xlfn.UNIQUE(_xlfn._xlws.FILTER(PriceList!$Q$4:$Q$2641&amp;" x "&amp;PriceList!$R$4:$R$2641&amp;" x "&amp;PriceList!$S$4:$S$2641,PriceList!$M$4:$M$2641=A1292,"")))</f>
        <v>145 x 160.5 x 6</v>
      </c>
      <c r="G1292" t="str" cm="1">
        <f t="array" ref="G1292">INDEX(_xlfn._xlws.FILTER(PriceList!$P$4:$P$2641,PriceList!$M$4:$M$2641=A1292,""),1)</f>
        <v>U Ring - Rod Working - Buffer</v>
      </c>
    </row>
    <row r="1293" spans="1:7" ht="28.5" x14ac:dyDescent="0.45">
      <c r="A1293" t="s">
        <v>5355</v>
      </c>
      <c r="B1293">
        <f>COUNTIF(PriceList!$M$4:$M$2641,A1293)</f>
        <v>4</v>
      </c>
      <c r="C1293" t="str">
        <f>IF(B1293=1,"1:1","1:Many")</f>
        <v>1:Many</v>
      </c>
      <c r="D1293" s="42" t="str" cm="1">
        <f t="array" ref="D1293">_xlfn.TEXTJOIN(" | ",TRUE,_xlfn._xlws.FILTER(PriceList!$B$4:$B$2641,PriceList!$M$4:$M$2641=A1293,""))</f>
        <v>RS018-F-1500-1705-081 | RS018-N-1500-1705-081 | RS063-U-1500-1701-081 | RS072-F-1500-1700-170</v>
      </c>
      <c r="E1293" t="str" cm="1">
        <f t="array" ref="E1293">_xlfn.TEXTJOIN(", ",TRUE,_xlfn._xlws.FILTER(ROW(PriceList!$B$4:$B$2641),PriceList!$M$4:$M$2641=A1293,""))</f>
        <v>2247, 2383, 2528, 2570</v>
      </c>
      <c r="F1293" s="42" t="str" cm="1">
        <f t="array" ref="F1293">_xlfn.TEXTJOIN(" | ",TRUE,_xlfn.UNIQUE(_xlfn._xlws.FILTER(PriceList!$Q$4:$Q$2641&amp;" x "&amp;PriceList!$R$4:$R$2641&amp;" x "&amp;PriceList!$S$4:$S$2641,PriceList!$M$4:$M$2641=A1293,"")))</f>
        <v>150 x 170 x 12</v>
      </c>
      <c r="G1293" t="str" cm="1">
        <f t="array" ref="G1293">INDEX(_xlfn._xlws.FILTER(PriceList!$P$4:$P$2641,PriceList!$M$4:$M$2641=A1293,""),1)</f>
        <v>HalliteÂ® Type 605</v>
      </c>
    </row>
    <row r="1294" spans="1:7" x14ac:dyDescent="0.45">
      <c r="A1294" t="s">
        <v>5356</v>
      </c>
      <c r="B1294">
        <f>COUNTIF(PriceList!$M$4:$M$2641,A1294)</f>
        <v>2</v>
      </c>
      <c r="C1294" t="str">
        <f>IF(B1294=1,"1:1","1:Many")</f>
        <v>1:Many</v>
      </c>
      <c r="D1294" s="42" t="str" cm="1">
        <f t="array" ref="D1294">_xlfn.TEXTJOIN(" | ",TRUE,_xlfn._xlws.FILTER(PriceList!$B$4:$B$2641,PriceList!$M$4:$M$2641=A1294,""))</f>
        <v>RS018-F-1550-1701-063 | RS018-N-1550-1701-063</v>
      </c>
      <c r="E1294" t="str" cm="1">
        <f t="array" ref="E1294">_xlfn.TEXTJOIN(", ",TRUE,_xlfn._xlws.FILTER(ROW(PriceList!$B$4:$B$2641),PriceList!$M$4:$M$2641=A1294,""))</f>
        <v>2248, 2384</v>
      </c>
      <c r="F1294" s="42" t="str" cm="1">
        <f t="array" ref="F1294">_xlfn.TEXTJOIN(" | ",TRUE,_xlfn.UNIQUE(_xlfn._xlws.FILTER(PriceList!$Q$4:$Q$2641&amp;" x "&amp;PriceList!$R$4:$R$2641&amp;" x "&amp;PriceList!$S$4:$S$2641,PriceList!$M$4:$M$2641=A1294,"")))</f>
        <v>155 x 170 x 9</v>
      </c>
      <c r="G1294" t="str" cm="1">
        <f t="array" ref="G1294">INDEX(_xlfn._xlws.FILTER(PriceList!$P$4:$P$2641,PriceList!$M$4:$M$2641=A1294,""),1)</f>
        <v>U Ring - Polyurethane - Rod Working</v>
      </c>
    </row>
    <row r="1295" spans="1:7" x14ac:dyDescent="0.45">
      <c r="A1295" t="s">
        <v>5549</v>
      </c>
      <c r="B1295">
        <f>COUNTIF(PriceList!$M$4:$M$2641,A1295)</f>
        <v>1</v>
      </c>
      <c r="C1295" t="str">
        <f>IF(B1295=1,"1:1","1:Many")</f>
        <v>1:1</v>
      </c>
      <c r="D1295" s="42" t="str" cm="1">
        <f t="array" ref="D1295">_xlfn.TEXTJOIN(" | ",TRUE,_xlfn._xlws.FILTER(PriceList!$B$4:$B$2641,PriceList!$M$4:$M$2641=A1295,""))</f>
        <v>RS072-F-1600-1800-170</v>
      </c>
      <c r="E1295" t="str" cm="1">
        <f t="array" ref="E1295">_xlfn.TEXTJOIN(", ",TRUE,_xlfn._xlws.FILTER(ROW(PriceList!$B$4:$B$2641),PriceList!$M$4:$M$2641=A1295,""))</f>
        <v>2571</v>
      </c>
      <c r="F1295" s="42" t="str" cm="1">
        <f t="array" ref="F1295">_xlfn.TEXTJOIN(" | ",TRUE,_xlfn.UNIQUE(_xlfn._xlws.FILTER(PriceList!$Q$4:$Q$2641&amp;" x "&amp;PriceList!$R$4:$R$2641&amp;" x "&amp;PriceList!$S$4:$S$2641,PriceList!$M$4:$M$2641=A1295,"")))</f>
        <v>160 x 180 x 14.5</v>
      </c>
      <c r="G1295" t="str" cm="1">
        <f t="array" ref="G1295">INDEX(_xlfn._xlws.FILTER(PriceList!$P$4:$P$2641,PriceList!$M$4:$M$2641=A1295,""),1)</f>
        <v>HalliteÂ® Type 605</v>
      </c>
    </row>
    <row r="1296" spans="1:7" x14ac:dyDescent="0.45">
      <c r="A1296" t="s">
        <v>5428</v>
      </c>
      <c r="B1296">
        <f>COUNTIF(PriceList!$M$4:$M$2641,A1296)</f>
        <v>1</v>
      </c>
      <c r="C1296" t="str">
        <f>IF(B1296=1,"1:1","1:Many")</f>
        <v>1:1</v>
      </c>
      <c r="D1296" s="42" t="str" cm="1">
        <f t="array" ref="D1296">_xlfn.TEXTJOIN(" | ",TRUE,_xlfn._xlws.FILTER(PriceList!$B$4:$B$2641,PriceList!$M$4:$M$2641=A1296,""))</f>
        <v>RS018-N-1750-1857-042</v>
      </c>
      <c r="E1296" t="str" cm="1">
        <f t="array" ref="E1296">_xlfn.TEXTJOIN(", ",TRUE,_xlfn._xlws.FILTER(ROW(PriceList!$B$4:$B$2641),PriceList!$M$4:$M$2641=A1296,""))</f>
        <v>2390</v>
      </c>
      <c r="F1296" s="42" t="str" cm="1">
        <f t="array" ref="F1296">_xlfn.TEXTJOIN(" | ",TRUE,_xlfn.UNIQUE(_xlfn._xlws.FILTER(PriceList!$Q$4:$Q$2641&amp;" x "&amp;PriceList!$R$4:$R$2641&amp;" x "&amp;PriceList!$S$4:$S$2641,PriceList!$M$4:$M$2641=A1296,"")))</f>
        <v>175 x 184.5 x 11.5</v>
      </c>
      <c r="G1296" t="str" cm="1">
        <f t="array" ref="G1296">INDEX(_xlfn._xlws.FILTER(PriceList!$P$4:$P$2641,PriceList!$M$4:$M$2641=A1296,""),1)</f>
        <v>U Ring - TS Type - Extra Lip</v>
      </c>
    </row>
    <row r="1297" spans="1:7" x14ac:dyDescent="0.45">
      <c r="A1297" t="s">
        <v>5361</v>
      </c>
      <c r="B1297">
        <f>COUNTIF(PriceList!$M$4:$M$2641,A1297)</f>
        <v>2</v>
      </c>
      <c r="C1297" t="str">
        <f>IF(B1297=1,"1:1","1:Many")</f>
        <v>1:Many</v>
      </c>
      <c r="D1297" s="42" t="str" cm="1">
        <f t="array" ref="D1297">_xlfn.TEXTJOIN(" | ",TRUE,_xlfn._xlws.FILTER(PriceList!$B$4:$B$2641,PriceList!$M$4:$M$2641=A1297,""))</f>
        <v>RS018-F-1700-1851-063 | RS018-N-1700-1851-063</v>
      </c>
      <c r="E1297" t="str" cm="1">
        <f t="array" ref="E1297">_xlfn.TEXTJOIN(", ",TRUE,_xlfn._xlws.FILTER(ROW(PriceList!$B$4:$B$2641),PriceList!$M$4:$M$2641=A1297,""))</f>
        <v>2252, 2388</v>
      </c>
      <c r="F1297" s="42" t="str" cm="1">
        <f t="array" ref="F1297">_xlfn.TEXTJOIN(" | ",TRUE,_xlfn.UNIQUE(_xlfn._xlws.FILTER(PriceList!$Q$4:$Q$2641&amp;" x "&amp;PriceList!$R$4:$R$2641&amp;" x "&amp;PriceList!$S$4:$S$2641,PriceList!$M$4:$M$2641=A1297,"")))</f>
        <v>170 x 185 x 14.5</v>
      </c>
      <c r="G1297" t="str" cm="1">
        <f t="array" ref="G1297">INDEX(_xlfn._xlws.FILTER(PriceList!$P$4:$P$2641,PriceList!$M$4:$M$2641=A1297,""),1)</f>
        <v>HalliteÂ® Type 652</v>
      </c>
    </row>
    <row r="1298" spans="1:7" ht="28.5" x14ac:dyDescent="0.45">
      <c r="A1298" t="s">
        <v>5364</v>
      </c>
      <c r="B1298">
        <f>COUNTIF(PriceList!$M$4:$M$2641,A1298)</f>
        <v>3</v>
      </c>
      <c r="C1298" t="str">
        <f>IF(B1298=1,"1:1","1:Many")</f>
        <v>1:Many</v>
      </c>
      <c r="D1298" s="42" t="str" cm="1">
        <f t="array" ref="D1298">_xlfn.TEXTJOIN(" | ",TRUE,_xlfn._xlws.FILTER(PriceList!$B$4:$B$2641,PriceList!$M$4:$M$2641=A1298,""))</f>
        <v>RS018-F-1700-1905-081 | RS018-N-1700-1905-081 | RS072-F-1700-1900-170</v>
      </c>
      <c r="E1298" t="str" cm="1">
        <f t="array" ref="E1298">_xlfn.TEXTJOIN(", ",TRUE,_xlfn._xlws.FILTER(ROW(PriceList!$B$4:$B$2641),PriceList!$M$4:$M$2641=A1298,""))</f>
        <v>2253, 2389, 2572</v>
      </c>
      <c r="F1298" s="42" t="str" cm="1">
        <f t="array" ref="F1298">_xlfn.TEXTJOIN(" | ",TRUE,_xlfn.UNIQUE(_xlfn._xlws.FILTER(PriceList!$Q$4:$Q$2641&amp;" x "&amp;PriceList!$R$4:$R$2641&amp;" x "&amp;PriceList!$S$4:$S$2641,PriceList!$M$4:$M$2641=A1298,"")))</f>
        <v>170 x 190 x 14.5</v>
      </c>
      <c r="G1298" t="str" cm="1">
        <f t="array" ref="G1298">INDEX(_xlfn._xlws.FILTER(PriceList!$P$4:$P$2641,PriceList!$M$4:$M$2641=A1298,""),1)</f>
        <v>HalliteÂ® Type 605</v>
      </c>
    </row>
    <row r="1299" spans="1:7" x14ac:dyDescent="0.45">
      <c r="A1299" t="s">
        <v>5365</v>
      </c>
      <c r="B1299">
        <f>COUNTIF(PriceList!$M$4:$M$2641,A1299)</f>
        <v>2</v>
      </c>
      <c r="C1299" t="str">
        <f>IF(B1299=1,"1:1","1:Many")</f>
        <v>1:Many</v>
      </c>
      <c r="D1299" s="42" t="str" cm="1">
        <f t="array" ref="D1299">_xlfn.TEXTJOIN(" | ",TRUE,_xlfn._xlws.FILTER(PriceList!$B$4:$B$2641,PriceList!$M$4:$M$2641=A1299,""))</f>
        <v>RS018-F-1800-1951-063 | RS018-N-1800-1951-063</v>
      </c>
      <c r="E1299" t="str" cm="1">
        <f t="array" ref="E1299">_xlfn.TEXTJOIN(", ",TRUE,_xlfn._xlws.FILTER(ROW(PriceList!$B$4:$B$2641),PriceList!$M$4:$M$2641=A1299,""))</f>
        <v>2254, 2391</v>
      </c>
      <c r="F1299" s="42" t="str" cm="1">
        <f t="array" ref="F1299">_xlfn.TEXTJOIN(" | ",TRUE,_xlfn.UNIQUE(_xlfn._xlws.FILTER(PriceList!$Q$4:$Q$2641&amp;" x "&amp;PriceList!$R$4:$R$2641&amp;" x "&amp;PriceList!$S$4:$S$2641,PriceList!$M$4:$M$2641=A1299,"")))</f>
        <v>180 x 195 x 14.5</v>
      </c>
      <c r="G1299" t="str" cm="1">
        <f t="array" ref="G1299">INDEX(_xlfn._xlws.FILTER(PriceList!$P$4:$P$2641,PriceList!$M$4:$M$2641=A1299,""),1)</f>
        <v>HalliteÂ® Type 652</v>
      </c>
    </row>
    <row r="1300" spans="1:7" ht="28.5" x14ac:dyDescent="0.45">
      <c r="A1300" t="s">
        <v>5366</v>
      </c>
      <c r="B1300">
        <f>COUNTIF(PriceList!$M$4:$M$2641,A1300)</f>
        <v>3</v>
      </c>
      <c r="C1300" t="str">
        <f>IF(B1300=1,"1:1","1:Many")</f>
        <v>1:Many</v>
      </c>
      <c r="D1300" s="42" t="str" cm="1">
        <f t="array" ref="D1300">_xlfn.TEXTJOIN(" | ",TRUE,_xlfn._xlws.FILTER(PriceList!$B$4:$B$2641,PriceList!$M$4:$M$2641=A1300,""))</f>
        <v>RS018-F-1800-2005-081 | RS018-N-1800-2005-081 | RS072-F-1800-2000-170</v>
      </c>
      <c r="E1300" t="str" cm="1">
        <f t="array" ref="E1300">_xlfn.TEXTJOIN(", ",TRUE,_xlfn._xlws.FILTER(ROW(PriceList!$B$4:$B$2641),PriceList!$M$4:$M$2641=A1300,""))</f>
        <v>2255, 2392, 2573</v>
      </c>
      <c r="F1300" s="42" t="str" cm="1">
        <f t="array" ref="F1300">_xlfn.TEXTJOIN(" | ",TRUE,_xlfn.UNIQUE(_xlfn._xlws.FILTER(PriceList!$Q$4:$Q$2641&amp;" x "&amp;PriceList!$R$4:$R$2641&amp;" x "&amp;PriceList!$S$4:$S$2641,PriceList!$M$4:$M$2641=A1300,"")))</f>
        <v>180 x 200 x 11.8</v>
      </c>
      <c r="G1300" t="str" cm="1">
        <f t="array" ref="G1300">INDEX(_xlfn._xlws.FILTER(PriceList!$P$4:$P$2641,PriceList!$M$4:$M$2641=A1300,""),1)</f>
        <v>HalliteÂ® Type 605</v>
      </c>
    </row>
    <row r="1301" spans="1:7" x14ac:dyDescent="0.45">
      <c r="A1301" t="s">
        <v>5431</v>
      </c>
      <c r="B1301">
        <f>COUNTIF(PriceList!$M$4:$M$2641,A1301)</f>
        <v>1</v>
      </c>
      <c r="C1301" t="str">
        <f>IF(B1301=1,"1:1","1:Many")</f>
        <v>1:1</v>
      </c>
      <c r="D1301" s="42" t="str" cm="1">
        <f t="array" ref="D1301">_xlfn.TEXTJOIN(" | ",TRUE,_xlfn._xlws.FILTER(PriceList!$B$4:$B$2641,PriceList!$M$4:$M$2641=A1301,""))</f>
        <v>RS018-N-1900-2051-063</v>
      </c>
      <c r="E1301" t="str" cm="1">
        <f t="array" ref="E1301">_xlfn.TEXTJOIN(", ",TRUE,_xlfn._xlws.FILTER(ROW(PriceList!$B$4:$B$2641),PriceList!$M$4:$M$2641=A1301,""))</f>
        <v>2394</v>
      </c>
      <c r="F1301" s="42" t="str" cm="1">
        <f t="array" ref="F1301">_xlfn.TEXTJOIN(" | ",TRUE,_xlfn.UNIQUE(_xlfn._xlws.FILTER(PriceList!$Q$4:$Q$2641&amp;" x "&amp;PriceList!$R$4:$R$2641&amp;" x "&amp;PriceList!$S$4:$S$2641,PriceList!$M$4:$M$2641=A1301,"")))</f>
        <v>190 x 205 x 14.5</v>
      </c>
      <c r="G1301" t="str" cm="1">
        <f t="array" ref="G1301">INDEX(_xlfn._xlws.FILTER(PriceList!$P$4:$P$2641,PriceList!$M$4:$M$2641=A1301,""),1)</f>
        <v>HalliteÂ® Type 652</v>
      </c>
    </row>
    <row r="1302" spans="1:7" x14ac:dyDescent="0.45">
      <c r="A1302" t="s">
        <v>5534</v>
      </c>
      <c r="B1302">
        <f>COUNTIF(PriceList!$M$4:$M$2641,A1302)</f>
        <v>1</v>
      </c>
      <c r="C1302" t="str">
        <f>IF(B1302=1,"1:1","1:Many")</f>
        <v>1:1</v>
      </c>
      <c r="D1302" s="42" t="str" cm="1">
        <f t="array" ref="D1302">_xlfn.TEXTJOIN(" | ",TRUE,_xlfn._xlws.FILTER(PriceList!$B$4:$B$2641,PriceList!$M$4:$M$2641=A1302,""))</f>
        <v>RS072-F-0140-0220-075</v>
      </c>
      <c r="E1302" t="str" cm="1">
        <f t="array" ref="E1302">_xlfn.TEXTJOIN(", ",TRUE,_xlfn._xlws.FILTER(ROW(PriceList!$B$4:$B$2641),PriceList!$M$4:$M$2641=A1302,""))</f>
        <v>2535</v>
      </c>
      <c r="F1302" s="42" t="str" cm="1">
        <f t="array" ref="F1302">_xlfn.TEXTJOIN(" | ",TRUE,_xlfn.UNIQUE(_xlfn._xlws.FILTER(PriceList!$Q$4:$Q$2641&amp;" x "&amp;PriceList!$R$4:$R$2641&amp;" x "&amp;PriceList!$S$4:$S$2641,PriceList!$M$4:$M$2641=A1302,"")))</f>
        <v>14 x 22 x 5.5</v>
      </c>
      <c r="G1302" t="str" cm="1">
        <f t="array" ref="G1302">INDEX(_xlfn._xlws.FILTER(PriceList!$P$4:$P$2641,PriceList!$M$4:$M$2641=A1302,""),1)</f>
        <v>U Ring - Rubber - Rod Working</v>
      </c>
    </row>
    <row r="1303" spans="1:7" ht="28.5" x14ac:dyDescent="0.45">
      <c r="A1303" t="s">
        <v>5369</v>
      </c>
      <c r="B1303">
        <f>COUNTIF(PriceList!$M$4:$M$2641,A1303)</f>
        <v>4</v>
      </c>
      <c r="C1303" t="str">
        <f>IF(B1303=1,"1:1","1:Many")</f>
        <v>1:Many</v>
      </c>
      <c r="D1303" s="42" t="str" cm="1">
        <f t="array" ref="D1303">_xlfn.TEXTJOIN(" | ",TRUE,_xlfn._xlws.FILTER(PriceList!$B$4:$B$2641,PriceList!$M$4:$M$2641=A1303,""))</f>
        <v>RS018-F-2000-2205-081 | RS018-N-2000-2205-081 | RS054-N-2000-2200-500 | RS072-F-2000-2200-170</v>
      </c>
      <c r="E1303" t="str" cm="1">
        <f t="array" ref="E1303">_xlfn.TEXTJOIN(", ",TRUE,_xlfn._xlws.FILTER(ROW(PriceList!$B$4:$B$2641),PriceList!$M$4:$M$2641=A1303,""))</f>
        <v>2258, 2396, 2499, 2574</v>
      </c>
      <c r="F1303" s="42" t="str" cm="1">
        <f t="array" ref="F1303">_xlfn.TEXTJOIN(" | ",TRUE,_xlfn.UNIQUE(_xlfn._xlws.FILTER(PriceList!$Q$4:$Q$2641&amp;" x "&amp;PriceList!$R$4:$R$2641&amp;" x "&amp;PriceList!$S$4:$S$2641,PriceList!$M$4:$M$2641=A1303,"")))</f>
        <v>200 x 220 x 14.5</v>
      </c>
      <c r="G1303" t="str" cm="1">
        <f t="array" ref="G1303">INDEX(_xlfn._xlws.FILTER(PriceList!$P$4:$P$2641,PriceList!$M$4:$M$2641=A1303,""),1)</f>
        <v>HalliteÂ® Type 605</v>
      </c>
    </row>
    <row r="1304" spans="1:7" x14ac:dyDescent="0.45">
      <c r="A1304" t="s">
        <v>5496</v>
      </c>
      <c r="B1304">
        <f>COUNTIF(PriceList!$M$4:$M$2641,A1304)</f>
        <v>1</v>
      </c>
      <c r="C1304" t="str">
        <f>IF(B1304=1,"1:1","1:Many")</f>
        <v>1:1</v>
      </c>
      <c r="D1304" s="42" t="str" cm="1">
        <f t="array" ref="D1304">_xlfn.TEXTJOIN(" | ",TRUE,_xlfn._xlws.FILTER(PriceList!$B$4:$B$2641,PriceList!$M$4:$M$2641=A1304,""))</f>
        <v>RS054-N-2000-2300-600</v>
      </c>
      <c r="E1304" t="str" cm="1">
        <f t="array" ref="E1304">_xlfn.TEXTJOIN(", ",TRUE,_xlfn._xlws.FILTER(ROW(PriceList!$B$4:$B$2641),PriceList!$M$4:$M$2641=A1304,""))</f>
        <v>2500</v>
      </c>
      <c r="F1304" s="42" t="str" cm="1">
        <f t="array" ref="F1304">_xlfn.TEXTJOIN(" | ",TRUE,_xlfn.UNIQUE(_xlfn._xlws.FILTER(PriceList!$Q$4:$Q$2641&amp;" x "&amp;PriceList!$R$4:$R$2641&amp;" x "&amp;PriceList!$S$4:$S$2641,PriceList!$M$4:$M$2641=A1304,"")))</f>
        <v>200 x 230 x 22.7</v>
      </c>
      <c r="G1304" t="str" cm="1">
        <f t="array" ref="G1304">INDEX(_xlfn._xlws.FILTER(PriceList!$P$4:$P$2641,PriceList!$M$4:$M$2641=A1304,""),1)</f>
        <v>U Ring - Energised - Extrusion Ring</v>
      </c>
    </row>
    <row r="1305" spans="1:7" x14ac:dyDescent="0.45">
      <c r="A1305" t="s">
        <v>5535</v>
      </c>
      <c r="B1305">
        <f>COUNTIF(PriceList!$M$4:$M$2641,A1305)</f>
        <v>1</v>
      </c>
      <c r="C1305" t="str">
        <f>IF(B1305=1,"1:1","1:Many")</f>
        <v>1:1</v>
      </c>
      <c r="D1305" s="42" t="str" cm="1">
        <f t="array" ref="D1305">_xlfn.TEXTJOIN(" | ",TRUE,_xlfn._xlws.FILTER(PriceList!$B$4:$B$2641,PriceList!$M$4:$M$2641=A1305,""))</f>
        <v>RS072-F-0160-0240-075</v>
      </c>
      <c r="E1305" t="str" cm="1">
        <f t="array" ref="E1305">_xlfn.TEXTJOIN(", ",TRUE,_xlfn._xlws.FILTER(ROW(PriceList!$B$4:$B$2641),PriceList!$M$4:$M$2641=A1305,""))</f>
        <v>2536</v>
      </c>
      <c r="F1305" s="42" t="str" cm="1">
        <f t="array" ref="F1305">_xlfn.TEXTJOIN(" | ",TRUE,_xlfn.UNIQUE(_xlfn._xlws.FILTER(PriceList!$Q$4:$Q$2641&amp;" x "&amp;PriceList!$R$4:$R$2641&amp;" x "&amp;PriceList!$S$4:$S$2641,PriceList!$M$4:$M$2641=A1305,"")))</f>
        <v>16 x 24 x 5.8</v>
      </c>
      <c r="G1305" t="str" cm="1">
        <f t="array" ref="G1305">INDEX(_xlfn._xlws.FILTER(PriceList!$P$4:$P$2641,PriceList!$M$4:$M$2641=A1305,""),1)</f>
        <v>HalliteÂ® Type 605</v>
      </c>
    </row>
    <row r="1306" spans="1:7" x14ac:dyDescent="0.45">
      <c r="A1306" t="s">
        <v>5371</v>
      </c>
      <c r="B1306">
        <f>COUNTIF(PriceList!$M$4:$M$2641,A1306)</f>
        <v>2</v>
      </c>
      <c r="C1306" t="str">
        <f>IF(B1306=1,"1:1","1:Many")</f>
        <v>1:Many</v>
      </c>
      <c r="D1306" s="42" t="str" cm="1">
        <f t="array" ref="D1306">_xlfn.TEXTJOIN(" | ",TRUE,_xlfn._xlws.FILTER(PriceList!$B$4:$B$2641,PriceList!$M$4:$M$2641=A1306,""))</f>
        <v>RS018-F-2200-2405-081 | RS018-N-2200-2405-081</v>
      </c>
      <c r="E1306" t="str" cm="1">
        <f t="array" ref="E1306">_xlfn.TEXTJOIN(", ",TRUE,_xlfn._xlws.FILTER(ROW(PriceList!$B$4:$B$2641),PriceList!$M$4:$M$2641=A1306,""))</f>
        <v>2260, 2398</v>
      </c>
      <c r="F1306" s="42" t="str" cm="1">
        <f t="array" ref="F1306">_xlfn.TEXTJOIN(" | ",TRUE,_xlfn.UNIQUE(_xlfn._xlws.FILTER(PriceList!$Q$4:$Q$2641&amp;" x "&amp;PriceList!$R$4:$R$2641&amp;" x "&amp;PriceList!$S$4:$S$2641,PriceList!$M$4:$M$2641=A1306,"")))</f>
        <v>220 x 240 x 14.5</v>
      </c>
      <c r="G1306" t="str" cm="1">
        <f t="array" ref="G1306">INDEX(_xlfn._xlws.FILTER(PriceList!$P$4:$P$2641,PriceList!$M$4:$M$2641=A1306,""),1)</f>
        <v>HalliteÂ® Type 605</v>
      </c>
    </row>
    <row r="1307" spans="1:7" x14ac:dyDescent="0.45">
      <c r="A1307" t="s">
        <v>5550</v>
      </c>
      <c r="B1307">
        <f>COUNTIF(PriceList!$M$4:$M$2641,A1307)</f>
        <v>1</v>
      </c>
      <c r="C1307" t="str">
        <f>IF(B1307=1,"1:1","1:Many")</f>
        <v>1:1</v>
      </c>
      <c r="D1307" s="42" t="str" cm="1">
        <f t="array" ref="D1307">_xlfn.TEXTJOIN(" | ",TRUE,_xlfn._xlws.FILTER(PriceList!$B$4:$B$2641,PriceList!$M$4:$M$2641=A1307,""))</f>
        <v>RS117-H-020-024.9-2.2</v>
      </c>
      <c r="E1307" t="str" cm="1">
        <f t="array" ref="E1307">_xlfn.TEXTJOIN(", ",TRUE,_xlfn._xlws.FILTER(ROW(PriceList!$B$4:$B$2641),PriceList!$M$4:$M$2641=A1307,""))</f>
        <v>2585</v>
      </c>
      <c r="F1307" s="42" t="str" cm="1">
        <f t="array" ref="F1307">_xlfn.TEXTJOIN(" | ",TRUE,_xlfn.UNIQUE(_xlfn._xlws.FILTER(PriceList!$Q$4:$Q$2641&amp;" x "&amp;PriceList!$R$4:$R$2641&amp;" x "&amp;PriceList!$S$4:$S$2641,PriceList!$M$4:$M$2641=A1307,"")))</f>
        <v>20 x 25 x 3.2</v>
      </c>
      <c r="G1307" t="str" cm="1">
        <f t="array" ref="G1307">INDEX(_xlfn._xlws.FILTER(PriceList!$P$4:$P$2641,PriceList!$M$4:$M$2641=A1307,""),1)</f>
        <v>HalliteÂ® Type 605</v>
      </c>
    </row>
    <row r="1308" spans="1:7" ht="28.5" x14ac:dyDescent="0.45">
      <c r="A1308" t="s">
        <v>5249</v>
      </c>
      <c r="B1308">
        <f>COUNTIF(PriceList!$M$4:$M$2641,A1308)</f>
        <v>3</v>
      </c>
      <c r="C1308" t="str">
        <f>IF(B1308=1,"1:1","1:Many")</f>
        <v>1:Many</v>
      </c>
      <c r="D1308" s="42" t="str" cm="1">
        <f t="array" ref="D1308">_xlfn.TEXTJOIN(" | ",TRUE,_xlfn._xlws.FILTER(PriceList!$B$4:$B$2641,PriceList!$M$4:$M$2641=A1308,""))</f>
        <v>RS018-F-0180-0253-032 | RS018-N-0180-0253-032 | RS117-H-018-025.3-3.2</v>
      </c>
      <c r="E1308" t="str" cm="1">
        <f t="array" ref="E1308">_xlfn.TEXTJOIN(", ",TRUE,_xlfn._xlws.FILTER(ROW(PriceList!$B$4:$B$2641),PriceList!$M$4:$M$2641=A1308,""))</f>
        <v>2174, 2282, 2584</v>
      </c>
      <c r="F1308" s="42" t="str" cm="1">
        <f t="array" ref="F1308">_xlfn.TEXTJOIN(" | ",TRUE,_xlfn.UNIQUE(_xlfn._xlws.FILTER(PriceList!$Q$4:$Q$2641&amp;" x "&amp;PriceList!$R$4:$R$2641&amp;" x "&amp;PriceList!$S$4:$S$2641,PriceList!$M$4:$M$2641=A1308,"")))</f>
        <v>18 x 25.5 x 2.8</v>
      </c>
      <c r="G1308" t="str" cm="1">
        <f t="array" ref="G1308">INDEX(_xlfn._xlws.FILTER(PriceList!$P$4:$P$2641,PriceList!$M$4:$M$2641=A1308,""),1)</f>
        <v>HalliteÂ® Type 616</v>
      </c>
    </row>
    <row r="1309" spans="1:7" x14ac:dyDescent="0.45">
      <c r="A1309" t="s">
        <v>5499</v>
      </c>
      <c r="B1309">
        <f>COUNTIF(PriceList!$M$4:$M$2641,A1309)</f>
        <v>1</v>
      </c>
      <c r="C1309" t="str">
        <f>IF(B1309=1,"1:1","1:Many")</f>
        <v>1:1</v>
      </c>
      <c r="D1309" s="42" t="str" cm="1">
        <f t="array" ref="D1309">_xlfn.TEXTJOIN(" | ",TRUE,_xlfn._xlws.FILTER(PriceList!$B$4:$B$2641,PriceList!$M$4:$M$2641=A1309,""))</f>
        <v>RS054-N-2200-2500-600</v>
      </c>
      <c r="E1309" t="str" cm="1">
        <f t="array" ref="E1309">_xlfn.TEXTJOIN(", ",TRUE,_xlfn._xlws.FILTER(ROW(PriceList!$B$4:$B$2641),PriceList!$M$4:$M$2641=A1309,""))</f>
        <v>2501</v>
      </c>
      <c r="F1309" s="42" t="str" cm="1">
        <f t="array" ref="F1309">_xlfn.TEXTJOIN(" | ",TRUE,_xlfn.UNIQUE(_xlfn._xlws.FILTER(PriceList!$Q$4:$Q$2641&amp;" x "&amp;PriceList!$R$4:$R$2641&amp;" x "&amp;PriceList!$S$4:$S$2641,PriceList!$M$4:$M$2641=A1309,"")))</f>
        <v>220 x 250 x 18.2</v>
      </c>
      <c r="G1309" t="str" cm="1">
        <f t="array" ref="G1309">INDEX(_xlfn._xlws.FILTER(PriceList!$P$4:$P$2641,PriceList!$M$4:$M$2641=A1309,""),1)</f>
        <v>U Ring - BU Type</v>
      </c>
    </row>
    <row r="1310" spans="1:7" x14ac:dyDescent="0.45">
      <c r="A1310" t="s">
        <v>5372</v>
      </c>
      <c r="B1310">
        <f>COUNTIF(PriceList!$M$4:$M$2641,A1310)</f>
        <v>2</v>
      </c>
      <c r="C1310" t="str">
        <f>IF(B1310=1,"1:1","1:Many")</f>
        <v>1:Many</v>
      </c>
      <c r="D1310" s="42" t="str" cm="1">
        <f t="array" ref="D1310">_xlfn.TEXTJOIN(" | ",TRUE,_xlfn._xlws.FILTER(PriceList!$B$4:$B$2641,PriceList!$M$4:$M$2641=A1310,""))</f>
        <v>RS018-F-2300-2505-081 | RS018-N-2300-2505-081</v>
      </c>
      <c r="E1310" t="str" cm="1">
        <f t="array" ref="E1310">_xlfn.TEXTJOIN(", ",TRUE,_xlfn._xlws.FILTER(ROW(PriceList!$B$4:$B$2641),PriceList!$M$4:$M$2641=A1310,""))</f>
        <v>2261, 2399</v>
      </c>
      <c r="F1310" s="42" t="str" cm="1">
        <f t="array" ref="F1310">_xlfn.TEXTJOIN(" | ",TRUE,_xlfn.UNIQUE(_xlfn._xlws.FILTER(PriceList!$Q$4:$Q$2641&amp;" x "&amp;PriceList!$R$4:$R$2641&amp;" x "&amp;PriceList!$S$4:$S$2641,PriceList!$M$4:$M$2641=A1310,"")))</f>
        <v>230 x 250 x 14.5</v>
      </c>
      <c r="G1310" t="str" cm="1">
        <f t="array" ref="G1310">INDEX(_xlfn._xlws.FILTER(PriceList!$P$4:$P$2641,PriceList!$M$4:$M$2641=A1310,""),1)</f>
        <v>HalliteÂ® Type 652</v>
      </c>
    </row>
    <row r="1311" spans="1:7" x14ac:dyDescent="0.45">
      <c r="A1311" t="s">
        <v>5536</v>
      </c>
      <c r="B1311">
        <f>COUNTIF(PriceList!$M$4:$M$2641,A1311)</f>
        <v>1</v>
      </c>
      <c r="C1311" t="str">
        <f>IF(B1311=1,"1:1","1:Many")</f>
        <v>1:1</v>
      </c>
      <c r="D1311" s="42" t="str" cm="1">
        <f t="array" ref="D1311">_xlfn.TEXTJOIN(" | ",TRUE,_xlfn._xlws.FILTER(PriceList!$B$4:$B$2641,PriceList!$M$4:$M$2641=A1311,""))</f>
        <v>RS072-F-0180-0260-075</v>
      </c>
      <c r="E1311" t="str" cm="1">
        <f t="array" ref="E1311">_xlfn.TEXTJOIN(", ",TRUE,_xlfn._xlws.FILTER(ROW(PriceList!$B$4:$B$2641),PriceList!$M$4:$M$2641=A1311,""))</f>
        <v>2537</v>
      </c>
      <c r="F1311" s="42" t="str" cm="1">
        <f t="array" ref="F1311">_xlfn.TEXTJOIN(" | ",TRUE,_xlfn.UNIQUE(_xlfn._xlws.FILTER(PriceList!$Q$4:$Q$2641&amp;" x "&amp;PriceList!$R$4:$R$2641&amp;" x "&amp;PriceList!$S$4:$S$2641,PriceList!$M$4:$M$2641=A1311,"")))</f>
        <v>18 x 26 x 5</v>
      </c>
      <c r="G1311" t="str" cm="1">
        <f t="array" ref="G1311">INDEX(_xlfn._xlws.FILTER(PriceList!$P$4:$P$2641,PriceList!$M$4:$M$2641=A1311,""),1)</f>
        <v>HalliteÂ® Type 605</v>
      </c>
    </row>
    <row r="1312" spans="1:7" x14ac:dyDescent="0.45">
      <c r="A1312" t="s">
        <v>5373</v>
      </c>
      <c r="B1312">
        <f>COUNTIF(PriceList!$M$4:$M$2641,A1312)</f>
        <v>2</v>
      </c>
      <c r="C1312" t="str">
        <f>IF(B1312=1,"1:1","1:Many")</f>
        <v>1:Many</v>
      </c>
      <c r="D1312" s="42" t="str" cm="1">
        <f t="array" ref="D1312">_xlfn.TEXTJOIN(" | ",TRUE,_xlfn._xlws.FILTER(PriceList!$B$4:$B$2641,PriceList!$M$4:$M$2641=A1312,""))</f>
        <v>RS018-F-2400-2605-081 | RS018-N-2400-2605-081</v>
      </c>
      <c r="E1312" t="str" cm="1">
        <f t="array" ref="E1312">_xlfn.TEXTJOIN(", ",TRUE,_xlfn._xlws.FILTER(ROW(PriceList!$B$4:$B$2641),PriceList!$M$4:$M$2641=A1312,""))</f>
        <v>2262, 2401</v>
      </c>
      <c r="F1312" s="42" t="str" cm="1">
        <f t="array" ref="F1312">_xlfn.TEXTJOIN(" | ",TRUE,_xlfn.UNIQUE(_xlfn._xlws.FILTER(PriceList!$Q$4:$Q$2641&amp;" x "&amp;PriceList!$R$4:$R$2641&amp;" x "&amp;PriceList!$S$4:$S$2641,PriceList!$M$4:$M$2641=A1312,"")))</f>
        <v>240 x 260 x 15</v>
      </c>
      <c r="G1312" t="str" cm="1">
        <f t="array" ref="G1312">INDEX(_xlfn._xlws.FILTER(PriceList!$P$4:$P$2641,PriceList!$M$4:$M$2641=A1312,""),1)</f>
        <v>U Ring - Polyurethane - Rod Working</v>
      </c>
    </row>
    <row r="1313" spans="1:7" ht="28.5" x14ac:dyDescent="0.45">
      <c r="A1313" t="s">
        <v>5253</v>
      </c>
      <c r="B1313">
        <f>COUNTIF(PriceList!$M$4:$M$2641,A1313)</f>
        <v>3</v>
      </c>
      <c r="C1313" t="str">
        <f>IF(B1313=1,"1:1","1:Many")</f>
        <v>1:Many</v>
      </c>
      <c r="D1313" s="42" t="str" cm="1">
        <f t="array" ref="D1313">_xlfn.TEXTJOIN(" | ",TRUE,_xlfn._xlws.FILTER(PriceList!$B$4:$B$2641,PriceList!$M$4:$M$2641=A1313,""))</f>
        <v>RS018-F-0180-0287-042 | RS018-N-0180-0287-042 | RS045-F-018-028-7.3/8</v>
      </c>
      <c r="E1313" t="str" cm="1">
        <f t="array" ref="E1313">_xlfn.TEXTJOIN(", ",TRUE,_xlfn._xlws.FILTER(ROW(PriceList!$B$4:$B$2641),PriceList!$M$4:$M$2641=A1313,""))</f>
        <v>2175, 2283, 2412</v>
      </c>
      <c r="F1313" s="42" t="str" cm="1">
        <f t="array" ref="F1313">_xlfn.TEXTJOIN(" | ",TRUE,_xlfn.UNIQUE(_xlfn._xlws.FILTER(PriceList!$Q$4:$Q$2641&amp;" x "&amp;PriceList!$R$4:$R$2641&amp;" x "&amp;PriceList!$S$4:$S$2641,PriceList!$M$4:$M$2641=A1313,"")))</f>
        <v>18 x 28 x 7.7</v>
      </c>
      <c r="G1313" t="str" cm="1">
        <f t="array" ref="G1313">INDEX(_xlfn._xlws.FILTER(PriceList!$P$4:$P$2641,PriceList!$M$4:$M$2641=A1313,""),1)</f>
        <v>HalliteÂ® Type 605</v>
      </c>
    </row>
    <row r="1314" spans="1:7" x14ac:dyDescent="0.45">
      <c r="A1314" t="s">
        <v>5537</v>
      </c>
      <c r="B1314">
        <f>COUNTIF(PriceList!$M$4:$M$2641,A1314)</f>
        <v>1</v>
      </c>
      <c r="C1314" t="str">
        <f>IF(B1314=1,"1:1","1:Many")</f>
        <v>1:1</v>
      </c>
      <c r="D1314" s="42" t="str" cm="1">
        <f t="array" ref="D1314">_xlfn.TEXTJOIN(" | ",TRUE,_xlfn._xlws.FILTER(PriceList!$B$4:$B$2641,PriceList!$M$4:$M$2641=A1314,""))</f>
        <v>RS072-F-0200-0280-075</v>
      </c>
      <c r="E1314" t="str" cm="1">
        <f t="array" ref="E1314">_xlfn.TEXTJOIN(", ",TRUE,_xlfn._xlws.FILTER(ROW(PriceList!$B$4:$B$2641),PriceList!$M$4:$M$2641=A1314,""))</f>
        <v>2538</v>
      </c>
      <c r="F1314" s="42" t="str" cm="1">
        <f t="array" ref="F1314">_xlfn.TEXTJOIN(" | ",TRUE,_xlfn.UNIQUE(_xlfn._xlws.FILTER(PriceList!$Q$4:$Q$2641&amp;" x "&amp;PriceList!$R$4:$R$2641&amp;" x "&amp;PriceList!$S$4:$S$2641,PriceList!$M$4:$M$2641=A1314,"")))</f>
        <v>20 x 28 x 5</v>
      </c>
      <c r="G1314" t="str" cm="1">
        <f t="array" ref="G1314">INDEX(_xlfn._xlws.FILTER(PriceList!$P$4:$P$2641,PriceList!$M$4:$M$2641=A1314,""),1)</f>
        <v>HalliteÂ® Type 605</v>
      </c>
    </row>
    <row r="1315" spans="1:7" x14ac:dyDescent="0.45">
      <c r="A1315" t="s">
        <v>5551</v>
      </c>
      <c r="B1315">
        <f>COUNTIF(PriceList!$M$4:$M$2641,A1315)</f>
        <v>1</v>
      </c>
      <c r="C1315" t="str">
        <f>IF(B1315=1,"1:1","1:Many")</f>
        <v>1:1</v>
      </c>
      <c r="D1315" s="42" t="str" cm="1">
        <f t="array" ref="D1315">_xlfn.TEXTJOIN(" | ",TRUE,_xlfn._xlws.FILTER(PriceList!$B$4:$B$2641,PriceList!$M$4:$M$2641=A1315,""))</f>
        <v>RS117-H-022-026.9-2.2</v>
      </c>
      <c r="E1315" t="str" cm="1">
        <f t="array" ref="E1315">_xlfn.TEXTJOIN(", ",TRUE,_xlfn._xlws.FILTER(ROW(PriceList!$B$4:$B$2641),PriceList!$M$4:$M$2641=A1315,""))</f>
        <v>2587</v>
      </c>
      <c r="F1315" s="42" t="str" cm="1">
        <f t="array" ref="F1315">_xlfn.TEXTJOIN(" | ",TRUE,_xlfn.UNIQUE(_xlfn._xlws.FILTER(PriceList!$Q$4:$Q$2641&amp;" x "&amp;PriceList!$R$4:$R$2641&amp;" x "&amp;PriceList!$S$4:$S$2641,PriceList!$M$4:$M$2641=A1315,"")))</f>
        <v>22 x 28 x 4.5</v>
      </c>
      <c r="G1315" t="str" cm="1">
        <f t="array" ref="G1315">INDEX(_xlfn._xlws.FILTER(PriceList!$P$4:$P$2641,PriceList!$M$4:$M$2641=A1315,""),1)</f>
        <v>HalliteÂ® Type 610</v>
      </c>
    </row>
    <row r="1316" spans="1:7" x14ac:dyDescent="0.45">
      <c r="A1316" t="s">
        <v>5538</v>
      </c>
      <c r="B1316">
        <f>COUNTIF(PriceList!$M$4:$M$2641,A1316)</f>
        <v>1</v>
      </c>
      <c r="C1316" t="str">
        <f>IF(B1316=1,"1:1","1:Many")</f>
        <v>1:1</v>
      </c>
      <c r="D1316" s="42" t="str" cm="1">
        <f t="array" ref="D1316">_xlfn.TEXTJOIN(" | ",TRUE,_xlfn._xlws.FILTER(PriceList!$B$4:$B$2641,PriceList!$M$4:$M$2641=A1316,""))</f>
        <v>RS072-F-0220-0300-075</v>
      </c>
      <c r="E1316" t="str" cm="1">
        <f t="array" ref="E1316">_xlfn.TEXTJOIN(", ",TRUE,_xlfn._xlws.FILTER(ROW(PriceList!$B$4:$B$2641),PriceList!$M$4:$M$2641=A1316,""))</f>
        <v>2539</v>
      </c>
      <c r="F1316" s="42" t="str" cm="1">
        <f t="array" ref="F1316">_xlfn.TEXTJOIN(" | ",TRUE,_xlfn.UNIQUE(_xlfn._xlws.FILTER(PriceList!$Q$4:$Q$2641&amp;" x "&amp;PriceList!$R$4:$R$2641&amp;" x "&amp;PriceList!$S$4:$S$2641,PriceList!$M$4:$M$2641=A1316,"")))</f>
        <v>22 x 30 x 5.7</v>
      </c>
      <c r="G1316" t="str" cm="1">
        <f t="array" ref="G1316">INDEX(_xlfn._xlws.FILTER(PriceList!$P$4:$P$2641,PriceList!$M$4:$M$2641=A1316,""),1)</f>
        <v>HalliteÂ® Type 605</v>
      </c>
    </row>
    <row r="1317" spans="1:7" ht="28.5" x14ac:dyDescent="0.45">
      <c r="A1317" t="s">
        <v>5258</v>
      </c>
      <c r="B1317">
        <f>COUNTIF(PriceList!$M$4:$M$2641,A1317)</f>
        <v>3</v>
      </c>
      <c r="C1317" t="str">
        <f>IF(B1317=1,"1:1","1:Many")</f>
        <v>1:Many</v>
      </c>
      <c r="D1317" s="42" t="str" cm="1">
        <f t="array" ref="D1317">_xlfn.TEXTJOIN(" | ",TRUE,_xlfn._xlws.FILTER(PriceList!$B$4:$B$2641,PriceList!$M$4:$M$2641=A1317,""))</f>
        <v>RS018-F-0200-0307-042 | RS018-N-0200-0307-042 | RS117-H-020-030.7-4.2</v>
      </c>
      <c r="E1317" t="str" cm="1">
        <f t="array" ref="E1317">_xlfn.TEXTJOIN(", ",TRUE,_xlfn._xlws.FILTER(ROW(PriceList!$B$4:$B$2641),PriceList!$M$4:$M$2641=A1317,""))</f>
        <v>2177, 2285, 2586</v>
      </c>
      <c r="F1317" s="42" t="str" cm="1">
        <f t="array" ref="F1317">_xlfn.TEXTJOIN(" | ",TRUE,_xlfn.UNIQUE(_xlfn._xlws.FILTER(PriceList!$Q$4:$Q$2641&amp;" x "&amp;PriceList!$R$4:$R$2641&amp;" x "&amp;PriceList!$S$4:$S$2641,PriceList!$M$4:$M$2641=A1317,"")))</f>
        <v>20 x 31 x 3.9</v>
      </c>
      <c r="G1317" t="str" cm="1">
        <f t="array" ref="G1317">INDEX(_xlfn._xlws.FILTER(PriceList!$P$4:$P$2641,PriceList!$M$4:$M$2641=A1317,""),1)</f>
        <v>HalliteÂ® Type 616</v>
      </c>
    </row>
    <row r="1318" spans="1:7" x14ac:dyDescent="0.45">
      <c r="A1318" t="s">
        <v>5442</v>
      </c>
      <c r="B1318">
        <f>COUNTIF(PriceList!$M$4:$M$2641,A1318)</f>
        <v>2</v>
      </c>
      <c r="C1318" t="str">
        <f>IF(B1318=1,"1:1","1:Many")</f>
        <v>1:Many</v>
      </c>
      <c r="D1318" s="42" t="str" cm="1">
        <f t="array" ref="D1318">_xlfn.TEXTJOIN(" | ",TRUE,_xlfn._xlws.FILTER(PriceList!$B$4:$B$2641,PriceList!$M$4:$M$2641=A1318,""))</f>
        <v>RS045-F-022-032-5.7/6.3 | RS045-F-022-032-7.3/8</v>
      </c>
      <c r="E1318" t="str" cm="1">
        <f t="array" ref="E1318">_xlfn.TEXTJOIN(", ",TRUE,_xlfn._xlws.FILTER(ROW(PriceList!$B$4:$B$2641),PriceList!$M$4:$M$2641=A1318,""))</f>
        <v>2414, 2415</v>
      </c>
      <c r="F1318" s="42" t="str" cm="1">
        <f t="array" ref="F1318">_xlfn.TEXTJOIN(" | ",TRUE,_xlfn.UNIQUE(_xlfn._xlws.FILTER(PriceList!$Q$4:$Q$2641&amp;" x "&amp;PriceList!$R$4:$R$2641&amp;" x "&amp;PriceList!$S$4:$S$2641,PriceList!$M$4:$M$2641=A1318,"")))</f>
        <v>22 x 32 x 10</v>
      </c>
      <c r="G1318" t="str" cm="1">
        <f t="array" ref="G1318">INDEX(_xlfn._xlws.FILTER(PriceList!$P$4:$P$2641,PriceList!$M$4:$M$2641=A1318,""),1)</f>
        <v>HalliteÂ® Type 605</v>
      </c>
    </row>
    <row r="1319" spans="1:7" x14ac:dyDescent="0.45">
      <c r="A1319" t="s">
        <v>5262</v>
      </c>
      <c r="B1319">
        <f>COUNTIF(PriceList!$M$4:$M$2641,A1319)</f>
        <v>2</v>
      </c>
      <c r="C1319" t="str">
        <f>IF(B1319=1,"1:1","1:Many")</f>
        <v>1:Many</v>
      </c>
      <c r="D1319" s="42" t="str" cm="1">
        <f t="array" ref="D1319">_xlfn.TEXTJOIN(" | ",TRUE,_xlfn._xlws.FILTER(PriceList!$B$4:$B$2641,PriceList!$M$4:$M$2641=A1319,""))</f>
        <v>RS018-F-0250-0323-032 | RS018-N-0250-0323-032</v>
      </c>
      <c r="E1319" t="str" cm="1">
        <f t="array" ref="E1319">_xlfn.TEXTJOIN(", ",TRUE,_xlfn._xlws.FILTER(ROW(PriceList!$B$4:$B$2641),PriceList!$M$4:$M$2641=A1319,""))</f>
        <v>2180, 2289</v>
      </c>
      <c r="F1319" s="42" t="str" cm="1">
        <f t="array" ref="F1319">_xlfn.TEXTJOIN(" | ",TRUE,_xlfn.UNIQUE(_xlfn._xlws.FILTER(PriceList!$Q$4:$Q$2641&amp;" x "&amp;PriceList!$R$4:$R$2641&amp;" x "&amp;PriceList!$S$4:$S$2641,PriceList!$M$4:$M$2641=A1319,"")))</f>
        <v>25 x 32.5 x 2.8</v>
      </c>
      <c r="G1319" t="str" cm="1">
        <f t="array" ref="G1319">INDEX(_xlfn._xlws.FILTER(PriceList!$P$4:$P$2641,PriceList!$M$4:$M$2641=A1319,""),1)</f>
        <v>HalliteÂ® Type 616</v>
      </c>
    </row>
    <row r="1320" spans="1:7" ht="28.5" x14ac:dyDescent="0.45">
      <c r="A1320" t="s">
        <v>5261</v>
      </c>
      <c r="B1320">
        <f>COUNTIF(PriceList!$M$4:$M$2641,A1320)</f>
        <v>3</v>
      </c>
      <c r="C1320" t="str">
        <f>IF(B1320=1,"1:1","1:Many")</f>
        <v>1:Many</v>
      </c>
      <c r="D1320" s="42" t="str" cm="1">
        <f t="array" ref="D1320">_xlfn.TEXTJOIN(" | ",TRUE,_xlfn._xlws.FILTER(PriceList!$B$4:$B$2641,PriceList!$M$4:$M$2641=A1320,""))</f>
        <v>RS018-F-0220-0327-042 | RS018-N-0220-0327-042 | RS117-H-022-032.7-4.2</v>
      </c>
      <c r="E1320" t="str" cm="1">
        <f t="array" ref="E1320">_xlfn.TEXTJOIN(", ",TRUE,_xlfn._xlws.FILTER(ROW(PriceList!$B$4:$B$2641),PriceList!$M$4:$M$2641=A1320,""))</f>
        <v>2179, 2288, 2588</v>
      </c>
      <c r="F1320" s="42" t="str" cm="1">
        <f t="array" ref="F1320">_xlfn.TEXTJOIN(" | ",TRUE,_xlfn.UNIQUE(_xlfn._xlws.FILTER(PriceList!$Q$4:$Q$2641&amp;" x "&amp;PriceList!$R$4:$R$2641&amp;" x "&amp;PriceList!$S$4:$S$2641,PriceList!$M$4:$M$2641=A1320,"")))</f>
        <v>22 x 33 x 3.9</v>
      </c>
      <c r="G1320" t="str" cm="1">
        <f t="array" ref="G1320">INDEX(_xlfn._xlws.FILTER(PriceList!$P$4:$P$2641,PriceList!$M$4:$M$2641=A1320,""),1)</f>
        <v>HalliteÂ® Type 616</v>
      </c>
    </row>
    <row r="1321" spans="1:7" x14ac:dyDescent="0.45">
      <c r="A1321" t="s">
        <v>5539</v>
      </c>
      <c r="B1321">
        <f>COUNTIF(PriceList!$M$4:$M$2641,A1321)</f>
        <v>1</v>
      </c>
      <c r="C1321" t="str">
        <f>IF(B1321=1,"1:1","1:Many")</f>
        <v>1:1</v>
      </c>
      <c r="D1321" s="42" t="str" cm="1">
        <f t="array" ref="D1321">_xlfn.TEXTJOIN(" | ",TRUE,_xlfn._xlws.FILTER(PriceList!$B$4:$B$2641,PriceList!$M$4:$M$2641=A1321,""))</f>
        <v>RS072-F-0250-0330-075</v>
      </c>
      <c r="E1321" t="str" cm="1">
        <f t="array" ref="E1321">_xlfn.TEXTJOIN(", ",TRUE,_xlfn._xlws.FILTER(ROW(PriceList!$B$4:$B$2641),PriceList!$M$4:$M$2641=A1321,""))</f>
        <v>2540</v>
      </c>
      <c r="F1321" s="42" t="str" cm="1">
        <f t="array" ref="F1321">_xlfn.TEXTJOIN(" | ",TRUE,_xlfn.UNIQUE(_xlfn._xlws.FILTER(PriceList!$Q$4:$Q$2641&amp;" x "&amp;PriceList!$R$4:$R$2641&amp;" x "&amp;PriceList!$S$4:$S$2641,PriceList!$M$4:$M$2641=A1321,"")))</f>
        <v>25 x 33 x 5</v>
      </c>
      <c r="G1321" t="str" cm="1">
        <f t="array" ref="G1321">INDEX(_xlfn._xlws.FILTER(PriceList!$P$4:$P$2641,PriceList!$M$4:$M$2641=A1321,""),1)</f>
        <v>HalliteÂ® Type 605</v>
      </c>
    </row>
    <row r="1322" spans="1:7" x14ac:dyDescent="0.45">
      <c r="A1322" t="s">
        <v>5390</v>
      </c>
      <c r="B1322">
        <f>COUNTIF(PriceList!$M$4:$M$2641,A1322)</f>
        <v>1</v>
      </c>
      <c r="C1322" t="str">
        <f>IF(B1322=1,"1:1","1:Many")</f>
        <v>1:1</v>
      </c>
      <c r="D1322" s="42" t="str" cm="1">
        <f t="array" ref="D1322">_xlfn.TEXTJOIN(" | ",TRUE,_xlfn._xlws.FILTER(PriceList!$B$4:$B$2641,PriceList!$M$4:$M$2641=A1322,""))</f>
        <v>RS018-N-0200-0351-063</v>
      </c>
      <c r="E1322" t="str" cm="1">
        <f t="array" ref="E1322">_xlfn.TEXTJOIN(", ",TRUE,_xlfn._xlws.FILTER(ROW(PriceList!$B$4:$B$2641),PriceList!$M$4:$M$2641=A1322,""))</f>
        <v>2286</v>
      </c>
      <c r="F1322" s="42" t="str" cm="1">
        <f t="array" ref="F1322">_xlfn.TEXTJOIN(" | ",TRUE,_xlfn.UNIQUE(_xlfn._xlws.FILTER(PriceList!$Q$4:$Q$2641&amp;" x "&amp;PriceList!$R$4:$R$2641&amp;" x "&amp;PriceList!$S$4:$S$2641,PriceList!$M$4:$M$2641=A1322,"")))</f>
        <v>20 x 35 x 8</v>
      </c>
      <c r="G1322" t="str" cm="1">
        <f t="array" ref="G1322">INDEX(_xlfn._xlws.FILTER(PriceList!$P$4:$P$2641,PriceList!$M$4:$M$2641=A1322,""),1)</f>
        <v>High Pressure Water Pump Seal</v>
      </c>
    </row>
    <row r="1323" spans="1:7" x14ac:dyDescent="0.45">
      <c r="A1323" t="s">
        <v>5443</v>
      </c>
      <c r="B1323">
        <f>COUNTIF(PriceList!$M$4:$M$2641,A1323)</f>
        <v>1</v>
      </c>
      <c r="C1323" t="str">
        <f>IF(B1323=1,"1:1","1:Many")</f>
        <v>1:1</v>
      </c>
      <c r="D1323" s="42" t="str" cm="1">
        <f t="array" ref="D1323">_xlfn.TEXTJOIN(" | ",TRUE,_xlfn._xlws.FILTER(PriceList!$B$4:$B$2641,PriceList!$M$4:$M$2641=A1323,""))</f>
        <v>RS045-F-025-035-7.3/8</v>
      </c>
      <c r="E1323" t="str" cm="1">
        <f t="array" ref="E1323">_xlfn.TEXTJOIN(", ",TRUE,_xlfn._xlws.FILTER(ROW(PriceList!$B$4:$B$2641),PriceList!$M$4:$M$2641=A1323,""))</f>
        <v>2416</v>
      </c>
      <c r="F1323" s="42" t="str" cm="1">
        <f t="array" ref="F1323">_xlfn.TEXTJOIN(" | ",TRUE,_xlfn.UNIQUE(_xlfn._xlws.FILTER(PriceList!$Q$4:$Q$2641&amp;" x "&amp;PriceList!$R$4:$R$2641&amp;" x "&amp;PriceList!$S$4:$S$2641,PriceList!$M$4:$M$2641=A1323,"")))</f>
        <v>25 x 35 x 7.3</v>
      </c>
      <c r="G1323" t="str" cm="1">
        <f t="array" ref="G1323">INDEX(_xlfn._xlws.FILTER(PriceList!$P$4:$P$2641,PriceList!$M$4:$M$2641=A1323,""),1)</f>
        <v>HalliteÂ® Type 605</v>
      </c>
    </row>
    <row r="1324" spans="1:7" ht="28.5" x14ac:dyDescent="0.45">
      <c r="A1324" t="s">
        <v>5263</v>
      </c>
      <c r="B1324">
        <f>COUNTIF(PriceList!$M$4:$M$2641,A1324)</f>
        <v>3</v>
      </c>
      <c r="C1324" t="str">
        <f>IF(B1324=1,"1:1","1:Many")</f>
        <v>1:Many</v>
      </c>
      <c r="D1324" s="42" t="str" cm="1">
        <f t="array" ref="D1324">_xlfn.TEXTJOIN(" | ",TRUE,_xlfn._xlws.FILTER(PriceList!$B$4:$B$2641,PriceList!$M$4:$M$2641=A1324,""))</f>
        <v>RS018-F-0250-0357-042 | RS018-N-0250-0357-042 | RS117-H-025-035.7-4.2</v>
      </c>
      <c r="E1324" t="str" cm="1">
        <f t="array" ref="E1324">_xlfn.TEXTJOIN(", ",TRUE,_xlfn._xlws.FILTER(ROW(PriceList!$B$4:$B$2641),PriceList!$M$4:$M$2641=A1324,""))</f>
        <v>2181, 2290, 2589</v>
      </c>
      <c r="F1324" s="42" t="str" cm="1">
        <f t="array" ref="F1324">_xlfn.TEXTJOIN(" | ",TRUE,_xlfn.UNIQUE(_xlfn._xlws.FILTER(PriceList!$Q$4:$Q$2641&amp;" x "&amp;PriceList!$R$4:$R$2641&amp;" x "&amp;PriceList!$S$4:$S$2641,PriceList!$M$4:$M$2641=A1324,"")))</f>
        <v>25 x 36 x 3.9</v>
      </c>
      <c r="G1324" t="str" cm="1">
        <f t="array" ref="G1324">INDEX(_xlfn._xlws.FILTER(PriceList!$P$4:$P$2641,PriceList!$M$4:$M$2641=A1324,""),1)</f>
        <v>HalliteÂ® Type 616</v>
      </c>
    </row>
    <row r="1325" spans="1:7" x14ac:dyDescent="0.45">
      <c r="A1325" t="s">
        <v>5540</v>
      </c>
      <c r="B1325">
        <f>COUNTIF(PriceList!$M$4:$M$2641,A1325)</f>
        <v>2</v>
      </c>
      <c r="C1325" t="str">
        <f>IF(B1325=1,"1:1","1:Many")</f>
        <v>1:Many</v>
      </c>
      <c r="D1325" s="42" t="str" cm="1">
        <f t="array" ref="D1325">_xlfn.TEXTJOIN(" | ",TRUE,_xlfn._xlws.FILTER(PriceList!$B$4:$B$2641,PriceList!$M$4:$M$2641=A1325,""))</f>
        <v>RS072-F-0280-0360-075 | RS171-U-028-036-7.2/8</v>
      </c>
      <c r="E1325" t="str" cm="1">
        <f t="array" ref="E1325">_xlfn.TEXTJOIN(", ",TRUE,_xlfn._xlws.FILTER(ROW(PriceList!$B$4:$B$2641),PriceList!$M$4:$M$2641=A1325,""))</f>
        <v>2541, 2605</v>
      </c>
      <c r="F1325" s="42" t="str" cm="1">
        <f t="array" ref="F1325">_xlfn.TEXTJOIN(" | ",TRUE,_xlfn.UNIQUE(_xlfn._xlws.FILTER(PriceList!$Q$4:$Q$2641&amp;" x "&amp;PriceList!$R$4:$R$2641&amp;" x "&amp;PriceList!$S$4:$S$2641,PriceList!$M$4:$M$2641=A1325,"")))</f>
        <v>28 x 36 x 5.3</v>
      </c>
      <c r="G1325" t="str" cm="1">
        <f t="array" ref="G1325">INDEX(_xlfn._xlws.FILTER(PriceList!$P$4:$P$2641,PriceList!$M$4:$M$2641=A1325,""),1)</f>
        <v>HalliteÂ® Type 610</v>
      </c>
    </row>
    <row r="1326" spans="1:7" x14ac:dyDescent="0.45">
      <c r="A1326" t="s">
        <v>5319</v>
      </c>
      <c r="B1326">
        <f>COUNTIF(PriceList!$M$4:$M$2641,A1326)</f>
        <v>2</v>
      </c>
      <c r="C1326" t="str">
        <f>IF(B1326=1,"1:1","1:Many")</f>
        <v>1:Many</v>
      </c>
      <c r="D1326" s="42" t="str" cm="1">
        <f t="array" ref="D1326">_xlfn.TEXTJOIN(" | ",TRUE,_xlfn._xlws.FILTER(PriceList!$B$4:$B$2641,PriceList!$M$4:$M$2641=A1326,""))</f>
        <v>RS018-F-0780-0931-063 | RS018-N-0780-0931-063</v>
      </c>
      <c r="E1326" t="str" cm="1">
        <f t="array" ref="E1326">_xlfn.TEXTJOIN(", ",TRUE,_xlfn._xlws.FILTER(ROW(PriceList!$B$4:$B$2641),PriceList!$M$4:$M$2641=A1326,""))</f>
        <v>2217, 2339</v>
      </c>
      <c r="F1326" s="42" t="str" cm="1">
        <f t="array" ref="F1326">_xlfn.TEXTJOIN(" | ",TRUE,_xlfn.UNIQUE(_xlfn._xlws.FILTER(PriceList!$Q$4:$Q$2641&amp;" x "&amp;PriceList!$R$4:$R$2641&amp;" x "&amp;PriceList!$S$4:$S$2641,PriceList!$M$4:$M$2641=A1326,"")))</f>
        <v>76.2 x 93.472 x 4.826</v>
      </c>
      <c r="G1326" t="str" cm="1">
        <f t="array" ref="G1326">INDEX(_xlfn._xlws.FILTER(PriceList!$P$4:$P$2641,PriceList!$M$4:$M$2641=A1326,""),1)</f>
        <v>U Ring - Rod Working - Buffer</v>
      </c>
    </row>
    <row r="1327" spans="1:7" x14ac:dyDescent="0.45">
      <c r="A1327" t="s">
        <v>5380</v>
      </c>
      <c r="B1327">
        <f>COUNTIF(PriceList!$M$4:$M$2641,A1327)</f>
        <v>2</v>
      </c>
      <c r="C1327" t="str">
        <f>IF(B1327=1,"1:1","1:Many")</f>
        <v>1:Many</v>
      </c>
      <c r="D1327" s="42" t="str" cm="1">
        <f t="array" ref="D1327">_xlfn.TEXTJOIN(" | ",TRUE,_xlfn._xlws.FILTER(PriceList!$B$4:$B$2641,PriceList!$M$4:$M$2641=A1327,""))</f>
        <v>RS018-F-3500-3740-081 | RS018-N-3500-3740-081</v>
      </c>
      <c r="E1327" t="str" cm="1">
        <f t="array" ref="E1327">_xlfn.TEXTJOIN(", ",TRUE,_xlfn._xlws.FILTER(ROW(PriceList!$B$4:$B$2641),PriceList!$M$4:$M$2641=A1327,""))</f>
        <v>2267, 2406</v>
      </c>
      <c r="F1327" s="42" t="str" cm="1">
        <f t="array" ref="F1327">_xlfn.TEXTJOIN(" | ",TRUE,_xlfn.UNIQUE(_xlfn._xlws.FILTER(PriceList!$Q$4:$Q$2641&amp;" x "&amp;PriceList!$R$4:$R$2641&amp;" x "&amp;PriceList!$S$4:$S$2641,PriceList!$M$4:$M$2641=A1327,"")))</f>
        <v>350 x 375 x 18</v>
      </c>
      <c r="G1327" t="str" cm="1">
        <f t="array" ref="G1327">INDEX(_xlfn._xlws.FILTER(PriceList!$P$4:$P$2641,PriceList!$M$4:$M$2641=A1327,""),1)</f>
        <v>HalliteÂ® Type 652</v>
      </c>
    </row>
    <row r="1328" spans="1:7" x14ac:dyDescent="0.45">
      <c r="A1328" t="s">
        <v>5445</v>
      </c>
      <c r="B1328">
        <f>COUNTIF(PriceList!$M$4:$M$2641,A1328)</f>
        <v>1</v>
      </c>
      <c r="C1328" t="str">
        <f>IF(B1328=1,"1:1","1:Many")</f>
        <v>1:1</v>
      </c>
      <c r="D1328" s="42" t="str" cm="1">
        <f t="array" ref="D1328">_xlfn.TEXTJOIN(" | ",TRUE,_xlfn._xlws.FILTER(PriceList!$B$4:$B$2641,PriceList!$M$4:$M$2641=A1328,""))</f>
        <v>RS045-F-028-038-7.3/8</v>
      </c>
      <c r="E1328" t="str" cm="1">
        <f t="array" ref="E1328">_xlfn.TEXTJOIN(", ",TRUE,_xlfn._xlws.FILTER(ROW(PriceList!$B$4:$B$2641),PriceList!$M$4:$M$2641=A1328,""))</f>
        <v>2419</v>
      </c>
      <c r="F1328" s="42" t="str" cm="1">
        <f t="array" ref="F1328">_xlfn.TEXTJOIN(" | ",TRUE,_xlfn.UNIQUE(_xlfn._xlws.FILTER(PriceList!$Q$4:$Q$2641&amp;" x "&amp;PriceList!$R$4:$R$2641&amp;" x "&amp;PriceList!$S$4:$S$2641,PriceList!$M$4:$M$2641=A1328,"")))</f>
        <v>28 x 38 x 7.3</v>
      </c>
      <c r="G1328" t="str" cm="1">
        <f t="array" ref="G1328">INDEX(_xlfn._xlws.FILTER(PriceList!$P$4:$P$2641,PriceList!$M$4:$M$2641=A1328,""),1)</f>
        <v>HalliteÂ® Type 605</v>
      </c>
    </row>
    <row r="1329" spans="1:7" ht="28.5" x14ac:dyDescent="0.45">
      <c r="A1329" t="s">
        <v>5543</v>
      </c>
      <c r="B1329">
        <f>COUNTIF(PriceList!$M$4:$M$2641,A1329)</f>
        <v>3</v>
      </c>
      <c r="C1329" t="str">
        <f>IF(B1329=1,"1:1","1:Many")</f>
        <v>1:Many</v>
      </c>
      <c r="D1329" s="42" t="str" cm="1">
        <f t="array" ref="D1329">_xlfn.TEXTJOIN(" | ",TRUE,_xlfn._xlws.FILTER(PriceList!$B$4:$B$2641,PriceList!$M$4:$M$2641=A1329,""))</f>
        <v>RS072-F-0300-0380-075 | RS072-P-0300-0380-075 | RS171-U-030-038-5.8/6.5</v>
      </c>
      <c r="E1329" t="str" cm="1">
        <f t="array" ref="E1329">_xlfn.TEXTJOIN(", ",TRUE,_xlfn._xlws.FILTER(ROW(PriceList!$B$4:$B$2641),PriceList!$M$4:$M$2641=A1329,""))</f>
        <v>2542, 2575, 2606</v>
      </c>
      <c r="F1329" s="42" t="str" cm="1">
        <f t="array" ref="F1329">_xlfn.TEXTJOIN(" | ",TRUE,_xlfn.UNIQUE(_xlfn._xlws.FILTER(PriceList!$Q$4:$Q$2641&amp;" x "&amp;PriceList!$R$4:$R$2641&amp;" x "&amp;PriceList!$S$4:$S$2641,PriceList!$M$4:$M$2641=A1329,"")))</f>
        <v>30 x 38 x 5.7</v>
      </c>
      <c r="G1329" t="str" cm="1">
        <f t="array" ref="G1329">INDEX(_xlfn._xlws.FILTER(PriceList!$P$4:$P$2641,PriceList!$M$4:$M$2641=A1329,""),1)</f>
        <v>HalliteÂ® Type 605</v>
      </c>
    </row>
    <row r="1330" spans="1:7" ht="28.5" x14ac:dyDescent="0.45">
      <c r="A1330" t="s">
        <v>5265</v>
      </c>
      <c r="B1330">
        <f>COUNTIF(PriceList!$M$4:$M$2641,A1330)</f>
        <v>3</v>
      </c>
      <c r="C1330" t="str">
        <f>IF(B1330=1,"1:1","1:Many")</f>
        <v>1:Many</v>
      </c>
      <c r="D1330" s="42" t="str" cm="1">
        <f t="array" ref="D1330">_xlfn.TEXTJOIN(" | ",TRUE,_xlfn._xlws.FILTER(PriceList!$B$4:$B$2641,PriceList!$M$4:$M$2641=A1330,""))</f>
        <v>RS018-F-0280-0387-042 | RS018-N-0280-0387-042 | RS117-H-028-038.7-4.2</v>
      </c>
      <c r="E1330" t="str" cm="1">
        <f t="array" ref="E1330">_xlfn.TEXTJOIN(", ",TRUE,_xlfn._xlws.FILTER(ROW(PriceList!$B$4:$B$2641),PriceList!$M$4:$M$2641=A1330,""))</f>
        <v>2183, 2293, 2590</v>
      </c>
      <c r="F1330" s="42" t="str" cm="1">
        <f t="array" ref="F1330">_xlfn.TEXTJOIN(" | ",TRUE,_xlfn.UNIQUE(_xlfn._xlws.FILTER(PriceList!$Q$4:$Q$2641&amp;" x "&amp;PriceList!$R$4:$R$2641&amp;" x "&amp;PriceList!$S$4:$S$2641,PriceList!$M$4:$M$2641=A1330,"")))</f>
        <v>28 x 39 x 3.9</v>
      </c>
      <c r="G1330" t="str" cm="1">
        <f t="array" ref="G1330">INDEX(_xlfn._xlws.FILTER(PriceList!$P$4:$P$2641,PriceList!$M$4:$M$2641=A1330,""),1)</f>
        <v>HalliteÂ® Type 616</v>
      </c>
    </row>
    <row r="1331" spans="1:7" x14ac:dyDescent="0.45">
      <c r="A1331" t="s">
        <v>5392</v>
      </c>
      <c r="B1331">
        <f>COUNTIF(PriceList!$M$4:$M$2641,A1331)</f>
        <v>1</v>
      </c>
      <c r="C1331" t="str">
        <f>IF(B1331=1,"1:1","1:Many")</f>
        <v>1:1</v>
      </c>
      <c r="D1331" s="42" t="str" cm="1">
        <f t="array" ref="D1331">_xlfn.TEXTJOIN(" | ",TRUE,_xlfn._xlws.FILTER(PriceList!$B$4:$B$2641,PriceList!$M$4:$M$2641=A1331,""))</f>
        <v>RS018-N-0250-0401-063</v>
      </c>
      <c r="E1331" t="str" cm="1">
        <f t="array" ref="E1331">_xlfn.TEXTJOIN(", ",TRUE,_xlfn._xlws.FILTER(ROW(PriceList!$B$4:$B$2641),PriceList!$M$4:$M$2641=A1331,""))</f>
        <v>2291</v>
      </c>
      <c r="F1331" s="42" t="str" cm="1">
        <f t="array" ref="F1331">_xlfn.TEXTJOIN(" | ",TRUE,_xlfn.UNIQUE(_xlfn._xlws.FILTER(PriceList!$Q$4:$Q$2641&amp;" x "&amp;PriceList!$R$4:$R$2641&amp;" x "&amp;PriceList!$S$4:$S$2641,PriceList!$M$4:$M$2641=A1331,"")))</f>
        <v>25 x 40 x 10</v>
      </c>
      <c r="G1331" t="str" cm="1">
        <f t="array" ref="G1331">INDEX(_xlfn._xlws.FILTER(PriceList!$P$4:$P$2641,PriceList!$M$4:$M$2641=A1331,""),1)</f>
        <v>HalliteÂ® Type 605</v>
      </c>
    </row>
    <row r="1332" spans="1:7" x14ac:dyDescent="0.45">
      <c r="A1332" t="s">
        <v>5446</v>
      </c>
      <c r="B1332">
        <f>COUNTIF(PriceList!$M$4:$M$2641,A1332)</f>
        <v>1</v>
      </c>
      <c r="C1332" t="str">
        <f>IF(B1332=1,"1:1","1:Many")</f>
        <v>1:1</v>
      </c>
      <c r="D1332" s="42" t="str" cm="1">
        <f t="array" ref="D1332">_xlfn.TEXTJOIN(" | ",TRUE,_xlfn._xlws.FILTER(PriceList!$B$4:$B$2641,PriceList!$M$4:$M$2641=A1332,""))</f>
        <v>RS045-F-030-040-7/8</v>
      </c>
      <c r="E1332" t="str" cm="1">
        <f t="array" ref="E1332">_xlfn.TEXTJOIN(", ",TRUE,_xlfn._xlws.FILTER(ROW(PriceList!$B$4:$B$2641),PriceList!$M$4:$M$2641=A1332,""))</f>
        <v>2420</v>
      </c>
      <c r="F1332" s="42" t="str" cm="1">
        <f t="array" ref="F1332">_xlfn.TEXTJOIN(" | ",TRUE,_xlfn.UNIQUE(_xlfn._xlws.FILTER(PriceList!$Q$4:$Q$2641&amp;" x "&amp;PriceList!$R$4:$R$2641&amp;" x "&amp;PriceList!$S$4:$S$2641,PriceList!$M$4:$M$2641=A1332,"")))</f>
        <v>30 x 40 x 6</v>
      </c>
      <c r="G1332" t="str" cm="1">
        <f t="array" ref="G1332">INDEX(_xlfn._xlws.FILTER(PriceList!$P$4:$P$2641,PriceList!$M$4:$M$2641=A1332,""),1)</f>
        <v>HalliteÂ® Type 605</v>
      </c>
    </row>
    <row r="1333" spans="1:7" x14ac:dyDescent="0.45">
      <c r="A1333" t="s">
        <v>5225</v>
      </c>
      <c r="B1333">
        <f>COUNTIF(PriceList!$M$4:$M$2641,A1333)</f>
        <v>1</v>
      </c>
      <c r="C1333" t="str">
        <f>IF(B1333=1,"1:1","1:Many")</f>
        <v>1:1</v>
      </c>
      <c r="D1333" s="42" t="str" cm="1">
        <f t="array" ref="D1333">_xlfn.TEXTJOIN(" | ",TRUE,_xlfn._xlws.FILTER(PriceList!$B$4:$B$2641,PriceList!$M$4:$M$2641=A1333,""))</f>
        <v>PNRS010-0300-0400-105</v>
      </c>
      <c r="E1333" t="str" cm="1">
        <f t="array" ref="E1333">_xlfn.TEXTJOIN(", ",TRUE,_xlfn._xlws.FILTER(ROW(PriceList!$B$4:$B$2641),PriceList!$M$4:$M$2641=A1333,""))</f>
        <v>2157</v>
      </c>
      <c r="F1333" s="42" t="str" cm="1">
        <f t="array" ref="F1333">_xlfn.TEXTJOIN(" | ",TRUE,_xlfn.UNIQUE(_xlfn._xlws.FILTER(PriceList!$Q$4:$Q$2641&amp;" x "&amp;PriceList!$R$4:$R$2641&amp;" x "&amp;PriceList!$S$4:$S$2641,PriceList!$M$4:$M$2641=A1333,"")))</f>
        <v>30 x 40 x 7</v>
      </c>
      <c r="G1333" t="str" cm="1">
        <f t="array" ref="G1333">INDEX(_xlfn._xlws.FILTER(PriceList!$P$4:$P$2641,PriceList!$M$4:$M$2641=A1333,""),1)</f>
        <v>Pneumatic Piston Seal</v>
      </c>
    </row>
    <row r="1334" spans="1:7" x14ac:dyDescent="0.45">
      <c r="A1334" t="s">
        <v>5544</v>
      </c>
      <c r="B1334">
        <f>COUNTIF(PriceList!$M$4:$M$2641,A1334)</f>
        <v>1</v>
      </c>
      <c r="C1334" t="str">
        <f>IF(B1334=1,"1:1","1:Many")</f>
        <v>1:1</v>
      </c>
      <c r="D1334" s="42" t="str" cm="1">
        <f t="array" ref="D1334">_xlfn.TEXTJOIN(" | ",TRUE,_xlfn._xlws.FILTER(PriceList!$B$4:$B$2641,PriceList!$M$4:$M$2641=A1334,""))</f>
        <v>RS072-F-0320-0400-075</v>
      </c>
      <c r="E1334" t="str" cm="1">
        <f t="array" ref="E1334">_xlfn.TEXTJOIN(", ",TRUE,_xlfn._xlws.FILTER(ROW(PriceList!$B$4:$B$2641),PriceList!$M$4:$M$2641=A1334,""))</f>
        <v>2543</v>
      </c>
      <c r="F1334" s="42" t="str" cm="1">
        <f t="array" ref="F1334">_xlfn.TEXTJOIN(" | ",TRUE,_xlfn.UNIQUE(_xlfn._xlws.FILTER(PriceList!$Q$4:$Q$2641&amp;" x "&amp;PriceList!$R$4:$R$2641&amp;" x "&amp;PriceList!$S$4:$S$2641,PriceList!$M$4:$M$2641=A1334,"")))</f>
        <v>32 x 40 x 6</v>
      </c>
      <c r="G1334" t="str" cm="1">
        <f t="array" ref="G1334">INDEX(_xlfn._xlws.FILTER(PriceList!$P$4:$P$2641,PriceList!$M$4:$M$2641=A1334,""),1)</f>
        <v>HalliteÂ® Type 605</v>
      </c>
    </row>
    <row r="1335" spans="1:7" ht="28.5" x14ac:dyDescent="0.45">
      <c r="A1335" t="s">
        <v>5266</v>
      </c>
      <c r="B1335">
        <f>COUNTIF(PriceList!$M$4:$M$2641,A1335)</f>
        <v>3</v>
      </c>
      <c r="C1335" t="str">
        <f>IF(B1335=1,"1:1","1:Many")</f>
        <v>1:Many</v>
      </c>
      <c r="D1335" s="42" t="str" cm="1">
        <f t="array" ref="D1335">_xlfn.TEXTJOIN(" | ",TRUE,_xlfn._xlws.FILTER(PriceList!$B$4:$B$2641,PriceList!$M$4:$M$2641=A1335,""))</f>
        <v>RS018-F-0300-0407-042 | RS018-N-0300-0407-042 | RS117-H-030-040.7-4.2</v>
      </c>
      <c r="E1335" t="str" cm="1">
        <f t="array" ref="E1335">_xlfn.TEXTJOIN(", ",TRUE,_xlfn._xlws.FILTER(ROW(PriceList!$B$4:$B$2641),PriceList!$M$4:$M$2641=A1335,""))</f>
        <v>2184, 2294, 2591</v>
      </c>
      <c r="F1335" s="42" t="str" cm="1">
        <f t="array" ref="F1335">_xlfn.TEXTJOIN(" | ",TRUE,_xlfn.UNIQUE(_xlfn._xlws.FILTER(PriceList!$Q$4:$Q$2641&amp;" x "&amp;PriceList!$R$4:$R$2641&amp;" x "&amp;PriceList!$S$4:$S$2641,PriceList!$M$4:$M$2641=A1335,"")))</f>
        <v>30 x 41 x 3.9</v>
      </c>
      <c r="G1335" t="str" cm="1">
        <f t="array" ref="G1335">INDEX(_xlfn._xlws.FILTER(PriceList!$P$4:$P$2641,PriceList!$M$4:$M$2641=A1335,""),1)</f>
        <v>HalliteÂ® Type 616</v>
      </c>
    </row>
    <row r="1336" spans="1:7" x14ac:dyDescent="0.45">
      <c r="A1336" t="s">
        <v>5465</v>
      </c>
      <c r="B1336">
        <f>COUNTIF(PriceList!$M$4:$M$2641,A1336)</f>
        <v>1</v>
      </c>
      <c r="C1336" t="str">
        <f>IF(B1336=1,"1:1","1:Many")</f>
        <v>1:1</v>
      </c>
      <c r="D1336" s="42" t="str" cm="1">
        <f t="array" ref="D1336">_xlfn.TEXTJOIN(" | ",TRUE,_xlfn._xlws.FILTER(PriceList!$B$4:$B$2641,PriceList!$M$4:$M$2641=A1336,""))</f>
        <v>RS054-N-0300-0420-225</v>
      </c>
      <c r="E1336" t="str" cm="1">
        <f t="array" ref="E1336">_xlfn.TEXTJOIN(", ",TRUE,_xlfn._xlws.FILTER(ROW(PriceList!$B$4:$B$2641),PriceList!$M$4:$M$2641=A1336,""))</f>
        <v>2455</v>
      </c>
      <c r="F1336" s="42" t="str" cm="1">
        <f t="array" ref="F1336">_xlfn.TEXTJOIN(" | ",TRUE,_xlfn.UNIQUE(_xlfn._xlws.FILTER(PriceList!$Q$4:$Q$2641&amp;" x "&amp;PriceList!$R$4:$R$2641&amp;" x "&amp;PriceList!$S$4:$S$2641,PriceList!$M$4:$M$2641=A1336,"")))</f>
        <v>30 x 42 x 11</v>
      </c>
      <c r="G1336" t="str" cm="1">
        <f t="array" ref="G1336">INDEX(_xlfn._xlws.FILTER(PriceList!$P$4:$P$2641,PriceList!$M$4:$M$2641=A1336,""),1)</f>
        <v>HalliteÂ® Type 605</v>
      </c>
    </row>
    <row r="1337" spans="1:7" x14ac:dyDescent="0.45">
      <c r="A1337" t="s">
        <v>5447</v>
      </c>
      <c r="B1337">
        <f>COUNTIF(PriceList!$M$4:$M$2641,A1337)</f>
        <v>1</v>
      </c>
      <c r="C1337" t="str">
        <f>IF(B1337=1,"1:1","1:Many")</f>
        <v>1:1</v>
      </c>
      <c r="D1337" s="42" t="str" cm="1">
        <f t="array" ref="D1337">_xlfn.TEXTJOIN(" | ",TRUE,_xlfn._xlws.FILTER(PriceList!$B$4:$B$2641,PriceList!$M$4:$M$2641=A1337,""))</f>
        <v>RS045-F-032-042-07.5/8</v>
      </c>
      <c r="E1337" t="str" cm="1">
        <f t="array" ref="E1337">_xlfn.TEXTJOIN(", ",TRUE,_xlfn._xlws.FILTER(ROW(PriceList!$B$4:$B$2641),PriceList!$M$4:$M$2641=A1337,""))</f>
        <v>2421</v>
      </c>
      <c r="F1337" s="42" t="str" cm="1">
        <f t="array" ref="F1337">_xlfn.TEXTJOIN(" | ",TRUE,_xlfn.UNIQUE(_xlfn._xlws.FILTER(PriceList!$Q$4:$Q$2641&amp;" x "&amp;PriceList!$R$4:$R$2641&amp;" x "&amp;PriceList!$S$4:$S$2641,PriceList!$M$4:$M$2641=A1337,"")))</f>
        <v>32 x 42 x 5.7</v>
      </c>
      <c r="G1337" t="str" cm="1">
        <f t="array" ref="G1337">INDEX(_xlfn._xlws.FILTER(PriceList!$P$4:$P$2641,PriceList!$M$4:$M$2641=A1337,""),1)</f>
        <v>HalliteÂ® Type 605</v>
      </c>
    </row>
    <row r="1338" spans="1:7" ht="28.5" x14ac:dyDescent="0.45">
      <c r="A1338" t="s">
        <v>5268</v>
      </c>
      <c r="B1338">
        <f>COUNTIF(PriceList!$M$4:$M$2641,A1338)</f>
        <v>3</v>
      </c>
      <c r="C1338" t="str">
        <f>IF(B1338=1,"1:1","1:Many")</f>
        <v>1:Many</v>
      </c>
      <c r="D1338" s="42" t="str" cm="1">
        <f t="array" ref="D1338">_xlfn.TEXTJOIN(" | ",TRUE,_xlfn._xlws.FILTER(PriceList!$B$4:$B$2641,PriceList!$M$4:$M$2641=A1338,""))</f>
        <v>RS018-F-0320-0427-042 | RS018-N-0320-0427-042 | RS117-H-032-042.7-4.2</v>
      </c>
      <c r="E1338" t="str" cm="1">
        <f t="array" ref="E1338">_xlfn.TEXTJOIN(", ",TRUE,_xlfn._xlws.FILTER(ROW(PriceList!$B$4:$B$2641),PriceList!$M$4:$M$2641=A1338,""))</f>
        <v>2186, 2298, 2592</v>
      </c>
      <c r="F1338" s="42" t="str" cm="1">
        <f t="array" ref="F1338">_xlfn.TEXTJOIN(" | ",TRUE,_xlfn.UNIQUE(_xlfn._xlws.FILTER(PriceList!$Q$4:$Q$2641&amp;" x "&amp;PriceList!$R$4:$R$2641&amp;" x "&amp;PriceList!$S$4:$S$2641,PriceList!$M$4:$M$2641=A1338,"")))</f>
        <v>32 x 42.5 x 8</v>
      </c>
      <c r="G1338" t="str" cm="1">
        <f t="array" ref="G1338">INDEX(_xlfn._xlws.FILTER(PriceList!$P$4:$P$2641,PriceList!$M$4:$M$2641=A1338,""),1)</f>
        <v>U Ring - TS Type - Extra Lip</v>
      </c>
    </row>
    <row r="1339" spans="1:7" x14ac:dyDescent="0.45">
      <c r="A1339" t="s">
        <v>5545</v>
      </c>
      <c r="B1339">
        <f>COUNTIF(PriceList!$M$4:$M$2641,A1339)</f>
        <v>2</v>
      </c>
      <c r="C1339" t="str">
        <f>IF(B1339=1,"1:1","1:Many")</f>
        <v>1:Many</v>
      </c>
      <c r="D1339" s="42" t="str" cm="1">
        <f t="array" ref="D1339">_xlfn.TEXTJOIN(" | ",TRUE,_xlfn._xlws.FILTER(PriceList!$B$4:$B$2641,PriceList!$M$4:$M$2641=A1339,""))</f>
        <v>RS072-F-0350-0430-075 | RS072-P-0350-0430-075</v>
      </c>
      <c r="E1339" t="str" cm="1">
        <f t="array" ref="E1339">_xlfn.TEXTJOIN(", ",TRUE,_xlfn._xlws.FILTER(ROW(PriceList!$B$4:$B$2641),PriceList!$M$4:$M$2641=A1339,""))</f>
        <v>2544, 2576</v>
      </c>
      <c r="F1339" s="42" t="str" cm="1">
        <f t="array" ref="F1339">_xlfn.TEXTJOIN(" | ",TRUE,_xlfn.UNIQUE(_xlfn._xlws.FILTER(PriceList!$Q$4:$Q$2641&amp;" x "&amp;PriceList!$R$4:$R$2641&amp;" x "&amp;PriceList!$S$4:$S$2641,PriceList!$M$4:$M$2641=A1339,"")))</f>
        <v>35 x 43 x 5.7</v>
      </c>
      <c r="G1339" t="str" cm="1">
        <f t="array" ref="G1339">INDEX(_xlfn._xlws.FILTER(PriceList!$P$4:$P$2641,PriceList!$M$4:$M$2641=A1339,""),1)</f>
        <v>HalliteÂ® Type 605</v>
      </c>
    </row>
    <row r="1340" spans="1:7" x14ac:dyDescent="0.45">
      <c r="A1340" t="s">
        <v>5448</v>
      </c>
      <c r="B1340">
        <f>COUNTIF(PriceList!$M$4:$M$2641,A1340)</f>
        <v>1</v>
      </c>
      <c r="C1340" t="str">
        <f>IF(B1340=1,"1:1","1:Many")</f>
        <v>1:1</v>
      </c>
      <c r="D1340" s="42" t="str" cm="1">
        <f t="array" ref="D1340">_xlfn.TEXTJOIN(" | ",TRUE,_xlfn._xlws.FILTER(PriceList!$B$4:$B$2641,PriceList!$M$4:$M$2641=A1340,""))</f>
        <v>RS045-F-034-044-7.3/8</v>
      </c>
      <c r="E1340" t="str" cm="1">
        <f t="array" ref="E1340">_xlfn.TEXTJOIN(", ",TRUE,_xlfn._xlws.FILTER(ROW(PriceList!$B$4:$B$2641),PriceList!$M$4:$M$2641=A1340,""))</f>
        <v>2422</v>
      </c>
      <c r="F1340" s="42" t="str" cm="1">
        <f t="array" ref="F1340">_xlfn.TEXTJOIN(" | ",TRUE,_xlfn.UNIQUE(_xlfn._xlws.FILTER(PriceList!$Q$4:$Q$2641&amp;" x "&amp;PriceList!$R$4:$R$2641&amp;" x "&amp;PriceList!$S$4:$S$2641,PriceList!$M$4:$M$2641=A1340,"")))</f>
        <v>35 x 44 x 7</v>
      </c>
      <c r="G1340" t="str" cm="1">
        <f t="array" ref="G1340">INDEX(_xlfn._xlws.FILTER(PriceList!$P$4:$P$2641,PriceList!$M$4:$M$2641=A1340,""),1)</f>
        <v>U Ring - TS Type - Extra Lip</v>
      </c>
    </row>
    <row r="1341" spans="1:7" x14ac:dyDescent="0.45">
      <c r="A1341" t="s">
        <v>5450</v>
      </c>
      <c r="B1341">
        <f>COUNTIF(PriceList!$M$4:$M$2641,A1341)</f>
        <v>2</v>
      </c>
      <c r="C1341" t="str">
        <f>IF(B1341=1,"1:1","1:Many")</f>
        <v>1:Many</v>
      </c>
      <c r="D1341" s="42" t="str" cm="1">
        <f t="array" ref="D1341">_xlfn.TEXTJOIN(" | ",TRUE,_xlfn._xlws.FILTER(PriceList!$B$4:$B$2641,PriceList!$M$4:$M$2641=A1341,""))</f>
        <v>RS045-F-036-044-7.3/8 | RS072-F-0360-0440-085</v>
      </c>
      <c r="E1341" t="str" cm="1">
        <f t="array" ref="E1341">_xlfn.TEXTJOIN(", ",TRUE,_xlfn._xlws.FILTER(ROW(PriceList!$B$4:$B$2641),PriceList!$M$4:$M$2641=A1341,""))</f>
        <v>2424, 2546</v>
      </c>
      <c r="F1341" s="42" t="str" cm="1">
        <f t="array" ref="F1341">_xlfn.TEXTJOIN(" | ",TRUE,_xlfn.UNIQUE(_xlfn._xlws.FILTER(PriceList!$Q$4:$Q$2641&amp;" x "&amp;PriceList!$R$4:$R$2641&amp;" x "&amp;PriceList!$S$4:$S$2641,PriceList!$M$4:$M$2641=A1341,"")))</f>
        <v>36 x 44 x 7.5</v>
      </c>
      <c r="G1341" t="str" cm="1">
        <f t="array" ref="G1341">INDEX(_xlfn._xlws.FILTER(PriceList!$P$4:$P$2641,PriceList!$M$4:$M$2641=A1341,""),1)</f>
        <v>HalliteÂ® Type 605</v>
      </c>
    </row>
    <row r="1342" spans="1:7" x14ac:dyDescent="0.45">
      <c r="A1342" t="s">
        <v>5449</v>
      </c>
      <c r="B1342">
        <f>COUNTIF(PriceList!$M$4:$M$2641,A1342)</f>
        <v>2</v>
      </c>
      <c r="C1342" t="str">
        <f>IF(B1342=1,"1:1","1:Many")</f>
        <v>1:Many</v>
      </c>
      <c r="D1342" s="42" t="str" cm="1">
        <f t="array" ref="D1342">_xlfn.TEXTJOIN(" | ",TRUE,_xlfn._xlws.FILTER(PriceList!$B$4:$B$2641,PriceList!$M$4:$M$2641=A1342,""))</f>
        <v>RS045-F-035-045-7.3/8 | RS072-F-0350-0450-11</v>
      </c>
      <c r="E1342" t="str" cm="1">
        <f t="array" ref="E1342">_xlfn.TEXTJOIN(", ",TRUE,_xlfn._xlws.FILTER(ROW(PriceList!$B$4:$B$2641),PriceList!$M$4:$M$2641=A1342,""))</f>
        <v>2423, 2545</v>
      </c>
      <c r="F1342" s="42" t="str" cm="1">
        <f t="array" ref="F1342">_xlfn.TEXTJOIN(" | ",TRUE,_xlfn.UNIQUE(_xlfn._xlws.FILTER(PriceList!$Q$4:$Q$2641&amp;" x "&amp;PriceList!$R$4:$R$2641&amp;" x "&amp;PriceList!$S$4:$S$2641,PriceList!$M$4:$M$2641=A1342,"")))</f>
        <v>35 x 45 x 6</v>
      </c>
      <c r="G1342" t="str" cm="1">
        <f t="array" ref="G1342">INDEX(_xlfn._xlws.FILTER(PriceList!$P$4:$P$2641,PriceList!$M$4:$M$2641=A1342,""),1)</f>
        <v>HalliteÂ® Type 605</v>
      </c>
    </row>
    <row r="1343" spans="1:7" x14ac:dyDescent="0.45">
      <c r="A1343" t="s">
        <v>5451</v>
      </c>
      <c r="B1343">
        <f>COUNTIF(PriceList!$M$4:$M$2641,A1343)</f>
        <v>2</v>
      </c>
      <c r="C1343" t="str">
        <f>IF(B1343=1,"1:1","1:Many")</f>
        <v>1:Many</v>
      </c>
      <c r="D1343" s="42" t="str" cm="1">
        <f t="array" ref="D1343">_xlfn.TEXTJOIN(" | ",TRUE,_xlfn._xlws.FILTER(PriceList!$B$4:$B$2641,PriceList!$M$4:$M$2641=A1343,""))</f>
        <v>RS045-F-036-046-5.7/6.3 | RS045-F-036-046-7.3/8</v>
      </c>
      <c r="E1343" t="str" cm="1">
        <f t="array" ref="E1343">_xlfn.TEXTJOIN(", ",TRUE,_xlfn._xlws.FILTER(ROW(PriceList!$B$4:$B$2641),PriceList!$M$4:$M$2641=A1343,""))</f>
        <v>2425, 2426</v>
      </c>
      <c r="F1343" s="42" t="str" cm="1">
        <f t="array" ref="F1343">_xlfn.TEXTJOIN(" | ",TRUE,_xlfn.UNIQUE(_xlfn._xlws.FILTER(PriceList!$Q$4:$Q$2641&amp;" x "&amp;PriceList!$R$4:$R$2641&amp;" x "&amp;PriceList!$S$4:$S$2641,PriceList!$M$4:$M$2641=A1343,"")))</f>
        <v>36 x 46 x 5.7</v>
      </c>
      <c r="G1343" t="str" cm="1">
        <f t="array" ref="G1343">INDEX(_xlfn._xlws.FILTER(PriceList!$P$4:$P$2641,PriceList!$M$4:$M$2641=A1343,""),1)</f>
        <v>HalliteÂ® Type 605</v>
      </c>
    </row>
    <row r="1344" spans="1:7" ht="28.5" x14ac:dyDescent="0.45">
      <c r="A1344" t="s">
        <v>5278</v>
      </c>
      <c r="B1344">
        <f>COUNTIF(PriceList!$M$4:$M$2641,A1344)</f>
        <v>3</v>
      </c>
      <c r="C1344" t="str">
        <f>IF(B1344=1,"1:1","1:Many")</f>
        <v>1:Many</v>
      </c>
      <c r="D1344" s="42" t="str" cm="1">
        <f t="array" ref="D1344">_xlfn.TEXTJOIN(" | ",TRUE,_xlfn._xlws.FILTER(PriceList!$B$4:$B$2641,PriceList!$M$4:$M$2641=A1344,""))</f>
        <v>RS018-F-0360-0467-042 | RS018-N-0360-0467-042 | RS117-H-036-046.7-4.2</v>
      </c>
      <c r="E1344" t="str" cm="1">
        <f t="array" ref="E1344">_xlfn.TEXTJOIN(", ",TRUE,_xlfn._xlws.FILTER(ROW(PriceList!$B$4:$B$2641),PriceList!$M$4:$M$2641=A1344,""))</f>
        <v>2190, 2303, 2593</v>
      </c>
      <c r="F1344" s="42" t="str" cm="1">
        <f t="array" ref="F1344">_xlfn.TEXTJOIN(" | ",TRUE,_xlfn.UNIQUE(_xlfn._xlws.FILTER(PriceList!$Q$4:$Q$2641&amp;" x "&amp;PriceList!$R$4:$R$2641&amp;" x "&amp;PriceList!$S$4:$S$2641,PriceList!$M$4:$M$2641=A1344,"")))</f>
        <v>36 x 47 x 3.9</v>
      </c>
      <c r="G1344" t="str" cm="1">
        <f t="array" ref="G1344">INDEX(_xlfn._xlws.FILTER(PriceList!$P$4:$P$2641,PriceList!$M$4:$M$2641=A1344,""),1)</f>
        <v>HalliteÂ® Type 616</v>
      </c>
    </row>
    <row r="1345" spans="1:7" x14ac:dyDescent="0.45">
      <c r="A1345" t="s">
        <v>5279</v>
      </c>
      <c r="B1345">
        <f>COUNTIF(PriceList!$M$4:$M$2641,A1345)</f>
        <v>2</v>
      </c>
      <c r="C1345" t="str">
        <f>IF(B1345=1,"1:1","1:Many")</f>
        <v>1:Many</v>
      </c>
      <c r="D1345" s="42" t="str" cm="1">
        <f t="array" ref="D1345">_xlfn.TEXTJOIN(" | ",TRUE,_xlfn._xlws.FILTER(PriceList!$B$4:$B$2641,PriceList!$M$4:$M$2641=A1345,""))</f>
        <v>RS018-F-0380-0487-042 | RS018-N-0380-0487-042</v>
      </c>
      <c r="E1345" t="str" cm="1">
        <f t="array" ref="E1345">_xlfn.TEXTJOIN(", ",TRUE,_xlfn._xlws.FILTER(ROW(PriceList!$B$4:$B$2641),PriceList!$M$4:$M$2641=A1345,""))</f>
        <v>2191, 2304</v>
      </c>
      <c r="F1345" s="42" t="str" cm="1">
        <f t="array" ref="F1345">_xlfn.TEXTJOIN(" | ",TRUE,_xlfn.UNIQUE(_xlfn._xlws.FILTER(PriceList!$Q$4:$Q$2641&amp;" x "&amp;PriceList!$R$4:$R$2641&amp;" x "&amp;PriceList!$S$4:$S$2641,PriceList!$M$4:$M$2641=A1345,"")))</f>
        <v>38 x 48 x 8</v>
      </c>
      <c r="G1345" t="str" cm="1">
        <f t="array" ref="G1345">INDEX(_xlfn._xlws.FILTER(PriceList!$P$4:$P$2641,PriceList!$M$4:$M$2641=A1345,""),1)</f>
        <v>U Ring - Rod Working - Extra Lip</v>
      </c>
    </row>
    <row r="1346" spans="1:7" x14ac:dyDescent="0.45">
      <c r="A1346" t="s">
        <v>5546</v>
      </c>
      <c r="B1346">
        <f>COUNTIF(PriceList!$M$4:$M$2641,A1346)</f>
        <v>2</v>
      </c>
      <c r="C1346" t="str">
        <f>IF(B1346=1,"1:1","1:Many")</f>
        <v>1:Many</v>
      </c>
      <c r="D1346" s="42" t="str" cm="1">
        <f t="array" ref="D1346">_xlfn.TEXTJOIN(" | ",TRUE,_xlfn._xlws.FILTER(PriceList!$B$4:$B$2641,PriceList!$M$4:$M$2641=A1346,""))</f>
        <v>RS072-F-0400-0480-085 | RS171-U-040-048-5.7/6.3</v>
      </c>
      <c r="E1346" t="str" cm="1">
        <f t="array" ref="E1346">_xlfn.TEXTJOIN(", ",TRUE,_xlfn._xlws.FILTER(ROW(PriceList!$B$4:$B$2641),PriceList!$M$4:$M$2641=A1346,""))</f>
        <v>2547, 2607</v>
      </c>
      <c r="F1346" s="42" t="str" cm="1">
        <f t="array" ref="F1346">_xlfn.TEXTJOIN(" | ",TRUE,_xlfn.UNIQUE(_xlfn._xlws.FILTER(PriceList!$Q$4:$Q$2641&amp;" x "&amp;PriceList!$R$4:$R$2641&amp;" x "&amp;PriceList!$S$4:$S$2641,PriceList!$M$4:$M$2641=A1346,"")))</f>
        <v>40 x 48 x 5.7</v>
      </c>
      <c r="G1346" t="str" cm="1">
        <f t="array" ref="G1346">INDEX(_xlfn._xlws.FILTER(PriceList!$P$4:$P$2641,PriceList!$M$4:$M$2641=A1346,""),1)</f>
        <v>HalliteÂ® Type 605</v>
      </c>
    </row>
    <row r="1347" spans="1:7" ht="28.5" x14ac:dyDescent="0.45">
      <c r="A1347" t="s">
        <v>5452</v>
      </c>
      <c r="B1347">
        <f>COUNTIF(PriceList!$M$4:$M$2641,A1347)</f>
        <v>4</v>
      </c>
      <c r="C1347" t="str">
        <f>IF(B1347=1,"1:1","1:Many")</f>
        <v>1:Many</v>
      </c>
      <c r="D1347" s="42" t="str" cm="1">
        <f t="array" ref="D1347">_xlfn.TEXTJOIN(" | ",TRUE,_xlfn._xlws.FILTER(PriceList!$B$4:$B$2641,PriceList!$M$4:$M$2641=A1347,""))</f>
        <v>RS045-F-040-050-5.3/6 | RS045-F-040-050-6.3/7 | RS045-F-040-050-7.3/8 | RS045-F-040-050-8.2/9</v>
      </c>
      <c r="E1347" t="str" cm="1">
        <f t="array" ref="E1347">_xlfn.TEXTJOIN(", ",TRUE,_xlfn._xlws.FILTER(ROW(PriceList!$B$4:$B$2641),PriceList!$M$4:$M$2641=A1347,""))</f>
        <v>2427, 2428, 2429, 2430</v>
      </c>
      <c r="F1347" s="42" t="str" cm="1">
        <f t="array" ref="F1347">_xlfn.TEXTJOIN(" | ",TRUE,_xlfn.UNIQUE(_xlfn._xlws.FILTER(PriceList!$Q$4:$Q$2641&amp;" x "&amp;PriceList!$R$4:$R$2641&amp;" x "&amp;PriceList!$S$4:$S$2641,PriceList!$M$4:$M$2641=A1347,"")))</f>
        <v>40 x 50 x 6</v>
      </c>
      <c r="G1347" t="str" cm="1">
        <f t="array" ref="G1347">INDEX(_xlfn._xlws.FILTER(PriceList!$P$4:$P$2641,PriceList!$M$4:$M$2641=A1347,""),1)</f>
        <v>HalliteÂ® Type 605</v>
      </c>
    </row>
    <row r="1348" spans="1:7" ht="28.5" x14ac:dyDescent="0.45">
      <c r="A1348" t="s">
        <v>5284</v>
      </c>
      <c r="B1348">
        <f>COUNTIF(PriceList!$M$4:$M$2641,A1348)</f>
        <v>3</v>
      </c>
      <c r="C1348" t="str">
        <f>IF(B1348=1,"1:1","1:Many")</f>
        <v>1:Many</v>
      </c>
      <c r="D1348" s="42" t="str" cm="1">
        <f t="array" ref="D1348">_xlfn.TEXTJOIN(" | ",TRUE,_xlfn._xlws.FILTER(PriceList!$B$4:$B$2641,PriceList!$M$4:$M$2641=A1348,""))</f>
        <v>RS018-F-0400-0507-042 | RS018-N-0400-0507-042 | RS117-H-040-050.7-4.2</v>
      </c>
      <c r="E1348" t="str" cm="1">
        <f t="array" ref="E1348">_xlfn.TEXTJOIN(", ",TRUE,_xlfn._xlws.FILTER(ROW(PriceList!$B$4:$B$2641),PriceList!$M$4:$M$2641=A1348,""))</f>
        <v>2193, 2306, 2594</v>
      </c>
      <c r="F1348" s="42" t="str" cm="1">
        <f t="array" ref="F1348">_xlfn.TEXTJOIN(" | ",TRUE,_xlfn.UNIQUE(_xlfn._xlws.FILTER(PriceList!$Q$4:$Q$2641&amp;" x "&amp;PriceList!$R$4:$R$2641&amp;" x "&amp;PriceList!$S$4:$S$2641,PriceList!$M$4:$M$2641=A1348,"")))</f>
        <v>40 x 50.7 x 3.9</v>
      </c>
      <c r="G1348" t="str" cm="1">
        <f t="array" ref="G1348">INDEX(_xlfn._xlws.FILTER(PriceList!$P$4:$P$2641,PriceList!$M$4:$M$2641=A1348,""),1)</f>
        <v>U Ring - Rod Working - Buffer</v>
      </c>
    </row>
    <row r="1349" spans="1:7" x14ac:dyDescent="0.45">
      <c r="A1349" t="s">
        <v>5395</v>
      </c>
      <c r="B1349">
        <f>COUNTIF(PriceList!$M$4:$M$2641,A1349)</f>
        <v>1</v>
      </c>
      <c r="C1349" t="str">
        <f>IF(B1349=1,"1:1","1:Many")</f>
        <v>1:1</v>
      </c>
      <c r="D1349" s="42" t="str" cm="1">
        <f t="array" ref="D1349">_xlfn.TEXTJOIN(" | ",TRUE,_xlfn._xlws.FILTER(PriceList!$B$4:$B$2641,PriceList!$M$4:$M$2641=A1349,""))</f>
        <v>RS018-N-0400-0526-042</v>
      </c>
      <c r="E1349" t="str" cm="1">
        <f t="array" ref="E1349">_xlfn.TEXTJOIN(", ",TRUE,_xlfn._xlws.FILTER(ROW(PriceList!$B$4:$B$2641),PriceList!$M$4:$M$2641=A1349,""))</f>
        <v>2307</v>
      </c>
      <c r="F1349" s="42" t="str" cm="1">
        <f t="array" ref="F1349">_xlfn.TEXTJOIN(" | ",TRUE,_xlfn.UNIQUE(_xlfn._xlws.FILTER(PriceList!$Q$4:$Q$2641&amp;" x "&amp;PriceList!$R$4:$R$2641&amp;" x "&amp;PriceList!$S$4:$S$2641,PriceList!$M$4:$M$2641=A1349,"")))</f>
        <v>40 x 52 x 10.9</v>
      </c>
      <c r="G1349" t="str" cm="1">
        <f t="array" ref="G1349">INDEX(_xlfn._xlws.FILTER(PriceList!$P$4:$P$2641,PriceList!$M$4:$M$2641=A1349,""),1)</f>
        <v>HalliteÂ® Type 605</v>
      </c>
    </row>
    <row r="1350" spans="1:7" x14ac:dyDescent="0.45">
      <c r="A1350" t="s">
        <v>5398</v>
      </c>
      <c r="B1350">
        <f>COUNTIF(PriceList!$M$4:$M$2641,A1350)</f>
        <v>1</v>
      </c>
      <c r="C1350" t="str">
        <f>IF(B1350=1,"1:1","1:Many")</f>
        <v>1:1</v>
      </c>
      <c r="D1350" s="42" t="str" cm="1">
        <f t="array" ref="D1350">_xlfn.TEXTJOIN(" | ",TRUE,_xlfn._xlws.FILTER(PriceList!$B$4:$B$2641,PriceList!$M$4:$M$2641=A1350,""))</f>
        <v>RS018-N-0450-0527-032</v>
      </c>
      <c r="E1350" t="str" cm="1">
        <f t="array" ref="E1350">_xlfn.TEXTJOIN(", ",TRUE,_xlfn._xlws.FILTER(ROW(PriceList!$B$4:$B$2641),PriceList!$M$4:$M$2641=A1350,""))</f>
        <v>2312</v>
      </c>
      <c r="F1350" s="42" t="str" cm="1">
        <f t="array" ref="F1350">_xlfn.TEXTJOIN(" | ",TRUE,_xlfn.UNIQUE(_xlfn._xlws.FILTER(PriceList!$Q$4:$Q$2641&amp;" x "&amp;PriceList!$R$4:$R$2641&amp;" x "&amp;PriceList!$S$4:$S$2641,PriceList!$M$4:$M$2641=A1350,"")))</f>
        <v>45 x 53 x 8.1</v>
      </c>
      <c r="G1350" t="str" cm="1">
        <f t="array" ref="G1350">INDEX(_xlfn._xlws.FILTER(PriceList!$P$4:$P$2641,PriceList!$M$4:$M$2641=A1350,""),1)</f>
        <v>HalliteÂ® Type 605</v>
      </c>
    </row>
    <row r="1351" spans="1:7" ht="42.75" x14ac:dyDescent="0.45">
      <c r="A1351" t="s">
        <v>5453</v>
      </c>
      <c r="B1351">
        <f>COUNTIF(PriceList!$M$4:$M$2641,A1351)</f>
        <v>5</v>
      </c>
      <c r="C1351" t="str">
        <f>IF(B1351=1,"1:1","1:Many")</f>
        <v>1:Many</v>
      </c>
      <c r="D1351" s="42" t="str" cm="1">
        <f t="array" ref="D1351">_xlfn.TEXTJOIN(" | ",TRUE,_xlfn._xlws.FILTER(PriceList!$B$4:$B$2641,PriceList!$M$4:$M$2641=A1351,""))</f>
        <v>RS045-F-045-055-5.8/6.5 | RS045-F-045-055-6.8/7.5 | RS045-F-045-055-7/8 | RS072-F-0450-0550-110 | RS171-U-045-055-7.2/8</v>
      </c>
      <c r="E1351" t="str" cm="1">
        <f t="array" ref="E1351">_xlfn.TEXTJOIN(", ",TRUE,_xlfn._xlws.FILTER(ROW(PriceList!$B$4:$B$2641),PriceList!$M$4:$M$2641=A1351,""))</f>
        <v>2431, 2432, 2433, 2548, 2608</v>
      </c>
      <c r="F1351" s="42" t="str" cm="1">
        <f t="array" ref="F1351">_xlfn.TEXTJOIN(" | ",TRUE,_xlfn.UNIQUE(_xlfn._xlws.FILTER(PriceList!$Q$4:$Q$2641&amp;" x "&amp;PriceList!$R$4:$R$2641&amp;" x "&amp;PriceList!$S$4:$S$2641,PriceList!$M$4:$M$2641=A1351,"")))</f>
        <v>45 x 55 x 5.7</v>
      </c>
      <c r="G1351" t="str" cm="1">
        <f t="array" ref="G1351">INDEX(_xlfn._xlws.FILTER(PriceList!$P$4:$P$2641,PriceList!$M$4:$M$2641=A1351,""),1)</f>
        <v>HalliteÂ® Type 605</v>
      </c>
    </row>
    <row r="1352" spans="1:7" ht="28.5" x14ac:dyDescent="0.45">
      <c r="A1352" t="s">
        <v>5287</v>
      </c>
      <c r="B1352">
        <f>COUNTIF(PriceList!$M$4:$M$2641,A1352)</f>
        <v>3</v>
      </c>
      <c r="C1352" t="str">
        <f>IF(B1352=1,"1:1","1:Many")</f>
        <v>1:Many</v>
      </c>
      <c r="D1352" s="42" t="str" cm="1">
        <f t="array" ref="D1352">_xlfn.TEXTJOIN(" | ",TRUE,_xlfn._xlws.FILTER(PriceList!$B$4:$B$2641,PriceList!$M$4:$M$2641=A1352,""))</f>
        <v>RS018-F-0400-0551-063 | RS018-N-0400-0551-063 | RS117-H-040-055.1-6.3</v>
      </c>
      <c r="E1352" t="str" cm="1">
        <f t="array" ref="E1352">_xlfn.TEXTJOIN(", ",TRUE,_xlfn._xlws.FILTER(ROW(PriceList!$B$4:$B$2641),PriceList!$M$4:$M$2641=A1352,""))</f>
        <v>2194, 2308, 2595</v>
      </c>
      <c r="F1352" s="42" t="str" cm="1">
        <f t="array" ref="F1352">_xlfn.TEXTJOIN(" | ",TRUE,_xlfn.UNIQUE(_xlfn._xlws.FILTER(PriceList!$Q$4:$Q$2641&amp;" x "&amp;PriceList!$R$4:$R$2641&amp;" x "&amp;PriceList!$S$4:$S$2641,PriceList!$M$4:$M$2641=A1352,"")))</f>
        <v>40 x 55.1 x 5.9</v>
      </c>
      <c r="G1352" t="str" cm="1">
        <f t="array" ref="G1352">INDEX(_xlfn._xlws.FILTER(PriceList!$P$4:$P$2641,PriceList!$M$4:$M$2641=A1352,""),1)</f>
        <v>U Ring - Rod Working - Buffer</v>
      </c>
    </row>
    <row r="1353" spans="1:7" x14ac:dyDescent="0.45">
      <c r="A1353" t="s">
        <v>5294</v>
      </c>
      <c r="B1353">
        <f>COUNTIF(PriceList!$M$4:$M$2641,A1353)</f>
        <v>2</v>
      </c>
      <c r="C1353" t="str">
        <f>IF(B1353=1,"1:1","1:Many")</f>
        <v>1:Many</v>
      </c>
      <c r="D1353" s="42" t="str" cm="1">
        <f t="array" ref="D1353">_xlfn.TEXTJOIN(" | ",TRUE,_xlfn._xlws.FILTER(PriceList!$B$4:$B$2641,PriceList!$M$4:$M$2641=A1353,""))</f>
        <v>RS018-F-0450-0557-042 | RS018-N-0450-0557-042</v>
      </c>
      <c r="E1353" t="str" cm="1">
        <f t="array" ref="E1353">_xlfn.TEXTJOIN(", ",TRUE,_xlfn._xlws.FILTER(ROW(PriceList!$B$4:$B$2641),PriceList!$M$4:$M$2641=A1353,""))</f>
        <v>2197, 2313</v>
      </c>
      <c r="F1353" s="42" t="str" cm="1">
        <f t="array" ref="F1353">_xlfn.TEXTJOIN(" | ",TRUE,_xlfn.UNIQUE(_xlfn._xlws.FILTER(PriceList!$Q$4:$Q$2641&amp;" x "&amp;PriceList!$R$4:$R$2641&amp;" x "&amp;PriceList!$S$4:$S$2641,PriceList!$M$4:$M$2641=A1353,"")))</f>
        <v>45 x 55.7 x 3.9</v>
      </c>
      <c r="G1353" t="str" cm="1">
        <f t="array" ref="G1353">INDEX(_xlfn._xlws.FILTER(PriceList!$P$4:$P$2641,PriceList!$M$4:$M$2641=A1353,""),1)</f>
        <v>U Ring - Rod Working - Buffer</v>
      </c>
    </row>
    <row r="1354" spans="1:7" x14ac:dyDescent="0.45">
      <c r="A1354" t="s">
        <v>5419</v>
      </c>
      <c r="B1354">
        <f>COUNTIF(PriceList!$M$4:$M$2641,A1354)</f>
        <v>1</v>
      </c>
      <c r="C1354" t="str">
        <f>IF(B1354=1,"1:1","1:Many")</f>
        <v>1:1</v>
      </c>
      <c r="D1354" s="42" t="str" cm="1">
        <f t="array" ref="D1354">_xlfn.TEXTJOIN(" | ",TRUE,_xlfn._xlws.FILTER(PriceList!$B$4:$B$2641,PriceList!$M$4:$M$2641=A1354,""))</f>
        <v>RS018-N-1280-1431-063</v>
      </c>
      <c r="E1354" t="str" cm="1">
        <f t="array" ref="E1354">_xlfn.TEXTJOIN(", ",TRUE,_xlfn._xlws.FILTER(ROW(PriceList!$B$4:$B$2641),PriceList!$M$4:$M$2641=A1354,""))</f>
        <v>2371</v>
      </c>
      <c r="F1354" s="42" t="str" cm="1">
        <f t="array" ref="F1354">_xlfn.TEXTJOIN(" | ",TRUE,_xlfn.UNIQUE(_xlfn._xlws.FILTER(PriceList!$Q$4:$Q$2641&amp;" x "&amp;PriceList!$R$4:$R$2641&amp;" x "&amp;PriceList!$S$4:$S$2641,PriceList!$M$4:$M$2641=A1354,"")))</f>
        <v>127 x 142.748 x 6.35</v>
      </c>
      <c r="G1354" t="str" cm="1">
        <f t="array" ref="G1354">INDEX(_xlfn._xlws.FILTER(PriceList!$P$4:$P$2641,PriceList!$M$4:$M$2641=A1354,""),1)</f>
        <v>U Ring - Rod Working - Buffer</v>
      </c>
    </row>
    <row r="1355" spans="1:7" x14ac:dyDescent="0.45">
      <c r="A1355" t="s">
        <v>5399</v>
      </c>
      <c r="B1355">
        <f>COUNTIF(PriceList!$M$4:$M$2641,A1355)</f>
        <v>1</v>
      </c>
      <c r="C1355" t="str">
        <f>IF(B1355=1,"1:1","1:Many")</f>
        <v>1:1</v>
      </c>
      <c r="D1355" s="42" t="str" cm="1">
        <f t="array" ref="D1355">_xlfn.TEXTJOIN(" | ",TRUE,_xlfn._xlws.FILTER(PriceList!$B$4:$B$2641,PriceList!$M$4:$M$2641=A1355,""))</f>
        <v>RS018-N-0450-0576-042</v>
      </c>
      <c r="E1355" t="str" cm="1">
        <f t="array" ref="E1355">_xlfn.TEXTJOIN(", ",TRUE,_xlfn._xlws.FILTER(ROW(PriceList!$B$4:$B$2641),PriceList!$M$4:$M$2641=A1355,""))</f>
        <v>2314</v>
      </c>
      <c r="F1355" s="42" t="str" cm="1">
        <f t="array" ref="F1355">_xlfn.TEXTJOIN(" | ",TRUE,_xlfn.UNIQUE(_xlfn._xlws.FILTER(PriceList!$Q$4:$Q$2641&amp;" x "&amp;PriceList!$R$4:$R$2641&amp;" x "&amp;PriceList!$S$4:$S$2641,PriceList!$M$4:$M$2641=A1355,"")))</f>
        <v>45 x 57.7 x 9.5</v>
      </c>
      <c r="G1355" t="str" cm="1">
        <f t="array" ref="G1355">INDEX(_xlfn._xlws.FILTER(PriceList!$P$4:$P$2641,PriceList!$M$4:$M$2641=A1355,""),1)</f>
        <v>HalliteÂ® Type 605</v>
      </c>
    </row>
    <row r="1356" spans="1:7" x14ac:dyDescent="0.45">
      <c r="A1356" t="s">
        <v>5552</v>
      </c>
      <c r="B1356">
        <f>COUNTIF(PriceList!$M$4:$M$2641,A1356)</f>
        <v>1</v>
      </c>
      <c r="C1356" t="str">
        <f>IF(B1356=1,"1:1","1:Many")</f>
        <v>1:1</v>
      </c>
      <c r="D1356" s="42" t="str" cm="1">
        <f t="array" ref="D1356">_xlfn.TEXTJOIN(" | ",TRUE,_xlfn._xlws.FILTER(PriceList!$B$4:$B$2641,PriceList!$M$4:$M$2641=A1356,""))</f>
        <v>RS171-U-050-058-9</v>
      </c>
      <c r="E1356" t="str" cm="1">
        <f t="array" ref="E1356">_xlfn.TEXTJOIN(", ",TRUE,_xlfn._xlws.FILTER(ROW(PriceList!$B$4:$B$2641),PriceList!$M$4:$M$2641=A1356,""))</f>
        <v>2609</v>
      </c>
      <c r="F1356" s="42" t="str" cm="1">
        <f t="array" ref="F1356">_xlfn.TEXTJOIN(" | ",TRUE,_xlfn.UNIQUE(_xlfn._xlws.FILTER(PriceList!$Q$4:$Q$2641&amp;" x "&amp;PriceList!$R$4:$R$2641&amp;" x "&amp;PriceList!$S$4:$S$2641,PriceList!$M$4:$M$2641=A1356,"")))</f>
        <v>50 x 58 x 5.3</v>
      </c>
      <c r="G1356" t="str" cm="1">
        <f t="array" ref="G1356">INDEX(_xlfn._xlws.FILTER(PriceList!$P$4:$P$2641,PriceList!$M$4:$M$2641=A1356,""),1)</f>
        <v>HalliteÂ® Type 610</v>
      </c>
    </row>
    <row r="1357" spans="1:7" ht="28.5" x14ac:dyDescent="0.45">
      <c r="A1357" t="s">
        <v>5295</v>
      </c>
      <c r="B1357">
        <f>COUNTIF(PriceList!$M$4:$M$2641,A1357)</f>
        <v>4</v>
      </c>
      <c r="C1357" t="str">
        <f>IF(B1357=1,"1:1","1:Many")</f>
        <v>1:Many</v>
      </c>
      <c r="D1357" s="42" t="str" cm="1">
        <f t="array" ref="D1357">_xlfn.TEXTJOIN(" | ",TRUE,_xlfn._xlws.FILTER(PriceList!$B$4:$B$2641,PriceList!$M$4:$M$2641=A1357,""))</f>
        <v>RS018-F-0450-0601-063 | RS018-N-0450-0601-063 | RS054-N-0450-0600-225 | RS117-H-045-060.1-6.3</v>
      </c>
      <c r="E1357" t="str" cm="1">
        <f t="array" ref="E1357">_xlfn.TEXTJOIN(", ",TRUE,_xlfn._xlws.FILTER(ROW(PriceList!$B$4:$B$2641),PriceList!$M$4:$M$2641=A1357,""))</f>
        <v>2198, 2315, 2462, 2596</v>
      </c>
      <c r="F1357" s="42" t="str" cm="1">
        <f t="array" ref="F1357">_xlfn.TEXTJOIN(" | ",TRUE,_xlfn.UNIQUE(_xlfn._xlws.FILTER(PriceList!$Q$4:$Q$2641&amp;" x "&amp;PriceList!$R$4:$R$2641&amp;" x "&amp;PriceList!$S$4:$S$2641,PriceList!$M$4:$M$2641=A1357,"")))</f>
        <v>45 x 60 x 10</v>
      </c>
      <c r="G1357" t="str" cm="1">
        <f t="array" ref="G1357">INDEX(_xlfn._xlws.FILTER(PriceList!$P$4:$P$2641,PriceList!$M$4:$M$2641=A1357,""),1)</f>
        <v>HalliteÂ® Type 605</v>
      </c>
    </row>
    <row r="1358" spans="1:7" x14ac:dyDescent="0.45">
      <c r="A1358" t="s">
        <v>5454</v>
      </c>
      <c r="B1358">
        <f>COUNTIF(PriceList!$M$4:$M$2641,A1358)</f>
        <v>2</v>
      </c>
      <c r="C1358" t="str">
        <f>IF(B1358=1,"1:1","1:Many")</f>
        <v>1:Many</v>
      </c>
      <c r="D1358" s="42" t="str" cm="1">
        <f t="array" ref="D1358">_xlfn.TEXTJOIN(" | ",TRUE,_xlfn._xlws.FILTER(PriceList!$B$4:$B$2641,PriceList!$M$4:$M$2641=A1358,""))</f>
        <v>RS045-F-050-060-7/8 | RS072-F-0500-0600-110</v>
      </c>
      <c r="E1358" t="str" cm="1">
        <f t="array" ref="E1358">_xlfn.TEXTJOIN(", ",TRUE,_xlfn._xlws.FILTER(ROW(PriceList!$B$4:$B$2641),PriceList!$M$4:$M$2641=A1358,""))</f>
        <v>2434, 2549</v>
      </c>
      <c r="F1358" s="42" t="str" cm="1">
        <f t="array" ref="F1358">_xlfn.TEXTJOIN(" | ",TRUE,_xlfn.UNIQUE(_xlfn._xlws.FILTER(PriceList!$Q$4:$Q$2641&amp;" x "&amp;PriceList!$R$4:$R$2641&amp;" x "&amp;PriceList!$S$4:$S$2641,PriceList!$M$4:$M$2641=A1358,"")))</f>
        <v>50 x 60 x 6</v>
      </c>
      <c r="G1358" t="str" cm="1">
        <f t="array" ref="G1358">INDEX(_xlfn._xlws.FILTER(PriceList!$P$4:$P$2641,PriceList!$M$4:$M$2641=A1358,""),1)</f>
        <v>HalliteÂ® Type 605</v>
      </c>
    </row>
    <row r="1359" spans="1:7" x14ac:dyDescent="0.45">
      <c r="A1359" t="s">
        <v>5400</v>
      </c>
      <c r="B1359">
        <f>COUNTIF(PriceList!$M$4:$M$2641,A1359)</f>
        <v>1</v>
      </c>
      <c r="C1359" t="str">
        <f>IF(B1359=1,"1:1","1:Many")</f>
        <v>1:1</v>
      </c>
      <c r="D1359" s="42" t="str" cm="1">
        <f t="array" ref="D1359">_xlfn.TEXTJOIN(" | ",TRUE,_xlfn._xlws.FILTER(PriceList!$B$4:$B$2641,PriceList!$M$4:$M$2641=A1359,""))</f>
        <v>RS018-N-0500-0626-042</v>
      </c>
      <c r="E1359" t="str" cm="1">
        <f t="array" ref="E1359">_xlfn.TEXTJOIN(", ",TRUE,_xlfn._xlws.FILTER(ROW(PriceList!$B$4:$B$2641),PriceList!$M$4:$M$2641=A1359,""))</f>
        <v>2318</v>
      </c>
      <c r="F1359" s="42" t="str" cm="1">
        <f t="array" ref="F1359">_xlfn.TEXTJOIN(" | ",TRUE,_xlfn.UNIQUE(_xlfn._xlws.FILTER(PriceList!$Q$4:$Q$2641&amp;" x "&amp;PriceList!$R$4:$R$2641&amp;" x "&amp;PriceList!$S$4:$S$2641,PriceList!$M$4:$M$2641=A1359,"")))</f>
        <v>50 x 62.7 x 9.5</v>
      </c>
      <c r="G1359" t="str" cm="1">
        <f t="array" ref="G1359">INDEX(_xlfn._xlws.FILTER(PriceList!$P$4:$P$2641,PriceList!$M$4:$M$2641=A1359,""),1)</f>
        <v>U Ring - TS Type - Extra Lip</v>
      </c>
    </row>
    <row r="1360" spans="1:7" x14ac:dyDescent="0.45">
      <c r="A1360" t="s">
        <v>5553</v>
      </c>
      <c r="B1360">
        <f>COUNTIF(PriceList!$M$4:$M$2641,A1360)</f>
        <v>1</v>
      </c>
      <c r="C1360" t="str">
        <f>IF(B1360=1,"1:1","1:Many")</f>
        <v>1:1</v>
      </c>
      <c r="D1360" s="42" t="str" cm="1">
        <f t="array" ref="D1360">_xlfn.TEXTJOIN(" | ",TRUE,_xlfn._xlws.FILTER(PriceList!$B$4:$B$2641,PriceList!$M$4:$M$2641=A1360,""))</f>
        <v>RS171-U-055-063-9 DB</v>
      </c>
      <c r="E1360" t="str" cm="1">
        <f t="array" ref="E1360">_xlfn.TEXTJOIN(", ",TRUE,_xlfn._xlws.FILTER(ROW(PriceList!$B$4:$B$2641),PriceList!$M$4:$M$2641=A1360,""))</f>
        <v>2610</v>
      </c>
      <c r="F1360" s="42" t="str" cm="1">
        <f t="array" ref="F1360">_xlfn.TEXTJOIN(" | ",TRUE,_xlfn.UNIQUE(_xlfn._xlws.FILTER(PriceList!$Q$4:$Q$2641&amp;" x "&amp;PriceList!$R$4:$R$2641&amp;" x "&amp;PriceList!$S$4:$S$2641,PriceList!$M$4:$M$2641=A1360,"")))</f>
        <v>55 x 63 x 7.3</v>
      </c>
      <c r="G1360" t="str" cm="1">
        <f t="array" ref="G1360">INDEX(_xlfn._xlws.FILTER(PriceList!$P$4:$P$2641,PriceList!$M$4:$M$2641=A1360,""),1)</f>
        <v>U Ring - Polyurethane - Rod Working</v>
      </c>
    </row>
    <row r="1361" spans="1:7" x14ac:dyDescent="0.45">
      <c r="A1361" t="s">
        <v>5427</v>
      </c>
      <c r="B1361">
        <f>COUNTIF(PriceList!$M$4:$M$2641,A1361)</f>
        <v>1</v>
      </c>
      <c r="C1361" t="str">
        <f>IF(B1361=1,"1:1","1:Many")</f>
        <v>1:1</v>
      </c>
      <c r="D1361" s="42" t="str" cm="1">
        <f t="array" ref="D1361">_xlfn.TEXTJOIN(" | ",TRUE,_xlfn._xlws.FILTER(PriceList!$B$4:$B$2641,PriceList!$M$4:$M$2641=A1361,""))</f>
        <v>RS018-N-1460-1611-063</v>
      </c>
      <c r="E1361" t="str" cm="1">
        <f t="array" ref="E1361">_xlfn.TEXTJOIN(", ",TRUE,_xlfn._xlws.FILTER(ROW(PriceList!$B$4:$B$2641),PriceList!$M$4:$M$2641=A1361,""))</f>
        <v>2381</v>
      </c>
      <c r="F1361" s="42" t="str" cm="1">
        <f t="array" ref="F1361">_xlfn.TEXTJOIN(" | ",TRUE,_xlfn.UNIQUE(_xlfn._xlws.FILTER(PriceList!$Q$4:$Q$2641&amp;" x "&amp;PriceList!$R$4:$R$2641&amp;" x "&amp;PriceList!$S$4:$S$2641,PriceList!$M$4:$M$2641=A1361,"")))</f>
        <v>146.05 x 161.036 x 9.906</v>
      </c>
      <c r="G1361" t="str" cm="1">
        <f t="array" ref="G1361">INDEX(_xlfn._xlws.FILTER(PriceList!$P$4:$P$2641,PriceList!$M$4:$M$2641=A1361,""),1)</f>
        <v>U Ring - Polyurethane - Rod Working</v>
      </c>
    </row>
    <row r="1362" spans="1:7" ht="28.5" x14ac:dyDescent="0.45">
      <c r="A1362" t="s">
        <v>5300</v>
      </c>
      <c r="B1362">
        <f>COUNTIF(PriceList!$M$4:$M$2641,A1362)</f>
        <v>4</v>
      </c>
      <c r="C1362" t="str">
        <f>IF(B1362=1,"1:1","1:Many")</f>
        <v>1:Many</v>
      </c>
      <c r="D1362" s="42" t="str" cm="1">
        <f t="array" ref="D1362">_xlfn.TEXTJOIN(" | ",TRUE,_xlfn._xlws.FILTER(PriceList!$B$4:$B$2641,PriceList!$M$4:$M$2641=A1362,""))</f>
        <v>RS018-F-0500-0651-063 | RS018-N-0500-0651-063 | RS054-N-0500-0650-225 | RS117-H-050-065.1-6.3</v>
      </c>
      <c r="E1362" t="str" cm="1">
        <f t="array" ref="E1362">_xlfn.TEXTJOIN(", ",TRUE,_xlfn._xlws.FILTER(ROW(PriceList!$B$4:$B$2641),PriceList!$M$4:$M$2641=A1362,""))</f>
        <v>2201, 2319, 2465, 2597</v>
      </c>
      <c r="F1362" s="42" t="str" cm="1">
        <f t="array" ref="F1362">_xlfn.TEXTJOIN(" | ",TRUE,_xlfn.UNIQUE(_xlfn._xlws.FILTER(PriceList!$Q$4:$Q$2641&amp;" x "&amp;PriceList!$R$4:$R$2641&amp;" x "&amp;PriceList!$S$4:$S$2641,PriceList!$M$4:$M$2641=A1362,"")))</f>
        <v>50 x 65 x 10</v>
      </c>
      <c r="G1362" t="str" cm="1">
        <f t="array" ref="G1362">INDEX(_xlfn._xlws.FILTER(PriceList!$P$4:$P$2641,PriceList!$M$4:$M$2641=A1362,""),1)</f>
        <v>HalliteÂ® Type 621</v>
      </c>
    </row>
    <row r="1363" spans="1:7" x14ac:dyDescent="0.45">
      <c r="A1363" t="s">
        <v>5455</v>
      </c>
      <c r="B1363">
        <f>COUNTIF(PriceList!$M$4:$M$2641,A1363)</f>
        <v>2</v>
      </c>
      <c r="C1363" t="str">
        <f>IF(B1363=1,"1:1","1:Many")</f>
        <v>1:Many</v>
      </c>
      <c r="D1363" s="42" t="str" cm="1">
        <f t="array" ref="D1363">_xlfn.TEXTJOIN(" | ",TRUE,_xlfn._xlws.FILTER(PriceList!$B$4:$B$2641,PriceList!$M$4:$M$2641=A1363,""))</f>
        <v>RS045-F-055-065-7/8 | RS072-F-0550-0650-110</v>
      </c>
      <c r="E1363" t="str" cm="1">
        <f t="array" ref="E1363">_xlfn.TEXTJOIN(", ",TRUE,_xlfn._xlws.FILTER(ROW(PriceList!$B$4:$B$2641),PriceList!$M$4:$M$2641=A1363,""))</f>
        <v>2435, 2550</v>
      </c>
      <c r="F1363" s="42" t="str" cm="1">
        <f t="array" ref="F1363">_xlfn.TEXTJOIN(" | ",TRUE,_xlfn.UNIQUE(_xlfn._xlws.FILTER(PriceList!$Q$4:$Q$2641&amp;" x "&amp;PriceList!$R$4:$R$2641&amp;" x "&amp;PriceList!$S$4:$S$2641,PriceList!$M$4:$M$2641=A1363,"")))</f>
        <v>55 x 65 x 6</v>
      </c>
      <c r="G1363" t="str" cm="1">
        <f t="array" ref="G1363">INDEX(_xlfn._xlws.FILTER(PriceList!$P$4:$P$2641,PriceList!$M$4:$M$2641=A1363,""),1)</f>
        <v>HalliteÂ® Type 605</v>
      </c>
    </row>
    <row r="1364" spans="1:7" x14ac:dyDescent="0.45">
      <c r="A1364" t="s">
        <v>5456</v>
      </c>
      <c r="B1364">
        <f>COUNTIF(PriceList!$M$4:$M$2641,A1364)</f>
        <v>2</v>
      </c>
      <c r="C1364" t="str">
        <f>IF(B1364=1,"1:1","1:Many")</f>
        <v>1:Many</v>
      </c>
      <c r="D1364" s="42" t="str" cm="1">
        <f t="array" ref="D1364">_xlfn.TEXTJOIN(" | ",TRUE,_xlfn._xlws.FILTER(PriceList!$B$4:$B$2641,PriceList!$M$4:$M$2641=A1364,""))</f>
        <v>RS045-F-056-066-10/11 | RS045-F-056-066-6.3/7</v>
      </c>
      <c r="E1364" t="str" cm="1">
        <f t="array" ref="E1364">_xlfn.TEXTJOIN(", ",TRUE,_xlfn._xlws.FILTER(ROW(PriceList!$B$4:$B$2641),PriceList!$M$4:$M$2641=A1364,""))</f>
        <v>2436, 2437</v>
      </c>
      <c r="F1364" s="42" t="str" cm="1">
        <f t="array" ref="F1364">_xlfn.TEXTJOIN(" | ",TRUE,_xlfn.UNIQUE(_xlfn._xlws.FILTER(PriceList!$Q$4:$Q$2641&amp;" x "&amp;PriceList!$R$4:$R$2641&amp;" x "&amp;PriceList!$S$4:$S$2641,PriceList!$M$4:$M$2641=A1364,"")))</f>
        <v>56 x 66 x 10</v>
      </c>
      <c r="G1364" t="str" cm="1">
        <f t="array" ref="G1364">INDEX(_xlfn._xlws.FILTER(PriceList!$P$4:$P$2641,PriceList!$M$4:$M$2641=A1364,""),1)</f>
        <v>HalliteÂ® Type 605</v>
      </c>
    </row>
    <row r="1365" spans="1:7" x14ac:dyDescent="0.45">
      <c r="A1365" t="s">
        <v>5401</v>
      </c>
      <c r="B1365">
        <f>COUNTIF(PriceList!$M$4:$M$2641,A1365)</f>
        <v>1</v>
      </c>
      <c r="C1365" t="str">
        <f>IF(B1365=1,"1:1","1:Many")</f>
        <v>1:1</v>
      </c>
      <c r="D1365" s="42" t="str" cm="1">
        <f t="array" ref="D1365">_xlfn.TEXTJOIN(" | ",TRUE,_xlfn._xlws.FILTER(PriceList!$B$4:$B$2641,PriceList!$M$4:$M$2641=A1365,""))</f>
        <v>RS018-N-0560-0686-042</v>
      </c>
      <c r="E1365" t="str" cm="1">
        <f t="array" ref="E1365">_xlfn.TEXTJOIN(", ",TRUE,_xlfn._xlws.FILTER(ROW(PriceList!$B$4:$B$2641),PriceList!$M$4:$M$2641=A1365,""))</f>
        <v>2323</v>
      </c>
      <c r="F1365" s="42" t="str" cm="1">
        <f t="array" ref="F1365">_xlfn.TEXTJOIN(" | ",TRUE,_xlfn.UNIQUE(_xlfn._xlws.FILTER(PriceList!$Q$4:$Q$2641&amp;" x "&amp;PriceList!$R$4:$R$2641&amp;" x "&amp;PriceList!$S$4:$S$2641,PriceList!$M$4:$M$2641=A1365,"")))</f>
        <v>56 x 68 x 8.5</v>
      </c>
      <c r="G1365" t="str" cm="1">
        <f t="array" ref="G1365">INDEX(_xlfn._xlws.FILTER(PriceList!$P$4:$P$2641,PriceList!$M$4:$M$2641=A1365,""),1)</f>
        <v>U Ring - Rubber - Rod Working</v>
      </c>
    </row>
    <row r="1366" spans="1:7" x14ac:dyDescent="0.45">
      <c r="A1366" t="s">
        <v>5554</v>
      </c>
      <c r="B1366">
        <f>COUNTIF(PriceList!$M$4:$M$2641,A1366)</f>
        <v>1</v>
      </c>
      <c r="C1366" t="str">
        <f>IF(B1366=1,"1:1","1:Many")</f>
        <v>1:1</v>
      </c>
      <c r="D1366" s="42" t="str" cm="1">
        <f t="array" ref="D1366">_xlfn.TEXTJOIN(" | ",TRUE,_xlfn._xlws.FILTER(PriceList!$B$4:$B$2641,PriceList!$M$4:$M$2641=A1366,""))</f>
        <v>RS171-U-060-068-9</v>
      </c>
      <c r="E1366" t="str" cm="1">
        <f t="array" ref="E1366">_xlfn.TEXTJOIN(", ",TRUE,_xlfn._xlws.FILTER(ROW(PriceList!$B$4:$B$2641),PriceList!$M$4:$M$2641=A1366,""))</f>
        <v>2611</v>
      </c>
      <c r="F1366" s="42" t="str" cm="1">
        <f t="array" ref="F1366">_xlfn.TEXTJOIN(" | ",TRUE,_xlfn.UNIQUE(_xlfn._xlws.FILTER(PriceList!$Q$4:$Q$2641&amp;" x "&amp;PriceList!$R$4:$R$2641&amp;" x "&amp;PriceList!$S$4:$S$2641,PriceList!$M$4:$M$2641=A1366,"")))</f>
        <v>60 x 68 x 8</v>
      </c>
      <c r="G1366" t="str" cm="1">
        <f t="array" ref="G1366">INDEX(_xlfn._xlws.FILTER(PriceList!$P$4:$P$2641,PriceList!$M$4:$M$2641=A1366,""),1)</f>
        <v>U Ring - Polyurethane - Rod Working</v>
      </c>
    </row>
    <row r="1367" spans="1:7" ht="28.5" x14ac:dyDescent="0.45">
      <c r="A1367" t="s">
        <v>5304</v>
      </c>
      <c r="B1367">
        <f>COUNTIF(PriceList!$M$4:$M$2641,A1367)</f>
        <v>3</v>
      </c>
      <c r="C1367" t="str">
        <f>IF(B1367=1,"1:1","1:Many")</f>
        <v>1:Many</v>
      </c>
      <c r="D1367" s="42" t="str" cm="1">
        <f t="array" ref="D1367">_xlfn.TEXTJOIN(" | ",TRUE,_xlfn._xlws.FILTER(PriceList!$B$4:$B$2641,PriceList!$M$4:$M$2641=A1367,""))</f>
        <v>RS018-F-0550-0701-063 | RS018-N-0550-0701-063 | RS054-N-0550-0700-350</v>
      </c>
      <c r="E1367" t="str" cm="1">
        <f t="array" ref="E1367">_xlfn.TEXTJOIN(", ",TRUE,_xlfn._xlws.FILTER(ROW(PriceList!$B$4:$B$2641),PriceList!$M$4:$M$2641=A1367,""))</f>
        <v>2203, 2321, 2467</v>
      </c>
      <c r="F1367" s="42" t="str" cm="1">
        <f t="array" ref="F1367">_xlfn.TEXTJOIN(" | ",TRUE,_xlfn.UNIQUE(_xlfn._xlws.FILTER(PriceList!$Q$4:$Q$2641&amp;" x "&amp;PriceList!$R$4:$R$2641&amp;" x "&amp;PriceList!$S$4:$S$2641,PriceList!$M$4:$M$2641=A1367,"")))</f>
        <v>55 x 70 x 11.8</v>
      </c>
      <c r="G1367" t="str" cm="1">
        <f t="array" ref="G1367">INDEX(_xlfn._xlws.FILTER(PriceList!$P$4:$P$2641,PriceList!$M$4:$M$2641=A1367,""),1)</f>
        <v>HalliteÂ® Type 605</v>
      </c>
    </row>
    <row r="1368" spans="1:7" x14ac:dyDescent="0.45">
      <c r="A1368" t="s">
        <v>5458</v>
      </c>
      <c r="B1368">
        <f>COUNTIF(PriceList!$M$4:$M$2641,A1368)</f>
        <v>2</v>
      </c>
      <c r="C1368" t="str">
        <f>IF(B1368=1,"1:1","1:Many")</f>
        <v>1:Many</v>
      </c>
      <c r="D1368" s="42" t="str" cm="1">
        <f t="array" ref="D1368">_xlfn.TEXTJOIN(" | ",TRUE,_xlfn._xlws.FILTER(PriceList!$B$4:$B$2641,PriceList!$M$4:$M$2641=A1368,""))</f>
        <v>RS045-F-060-070-10 | RS045-F-060-070-13</v>
      </c>
      <c r="E1368" t="str" cm="1">
        <f t="array" ref="E1368">_xlfn.TEXTJOIN(", ",TRUE,_xlfn._xlws.FILTER(ROW(PriceList!$B$4:$B$2641),PriceList!$M$4:$M$2641=A1368,""))</f>
        <v>2439, 2440</v>
      </c>
      <c r="F1368" s="42" t="str" cm="1">
        <f t="array" ref="F1368">_xlfn.TEXTJOIN(" | ",TRUE,_xlfn.UNIQUE(_xlfn._xlws.FILTER(PriceList!$Q$4:$Q$2641&amp;" x "&amp;PriceList!$R$4:$R$2641&amp;" x "&amp;PriceList!$S$4:$S$2641,PriceList!$M$4:$M$2641=A1368,"")))</f>
        <v>60 x 70 x 6</v>
      </c>
      <c r="G1368" t="str" cm="1">
        <f t="array" ref="G1368">INDEX(_xlfn._xlws.FILTER(PriceList!$P$4:$P$2641,PriceList!$M$4:$M$2641=A1368,""),1)</f>
        <v>HalliteÂ® Type 605</v>
      </c>
    </row>
    <row r="1369" spans="1:7" x14ac:dyDescent="0.45">
      <c r="A1369" t="s">
        <v>5504</v>
      </c>
      <c r="B1369">
        <f>COUNTIF(PriceList!$M$4:$M$2641,A1369)</f>
        <v>1</v>
      </c>
      <c r="C1369" t="str">
        <f>IF(B1369=1,"1:1","1:Many")</f>
        <v>1:1</v>
      </c>
      <c r="D1369" s="42" t="str" cm="1">
        <f t="array" ref="D1369">_xlfn.TEXTJOIN(" | ",TRUE,_xlfn._xlws.FILTER(PriceList!$B$4:$B$2641,PriceList!$M$4:$M$2641=A1369,""))</f>
        <v>RS063-U-0550-0705-063</v>
      </c>
      <c r="E1369" t="str" cm="1">
        <f t="array" ref="E1369">_xlfn.TEXTJOIN(", ",TRUE,_xlfn._xlws.FILTER(ROW(PriceList!$B$4:$B$2641),PriceList!$M$4:$M$2641=A1369,""))</f>
        <v>2505</v>
      </c>
      <c r="F1369" s="42" t="str" cm="1">
        <f t="array" ref="F1369">_xlfn.TEXTJOIN(" | ",TRUE,_xlfn.UNIQUE(_xlfn._xlws.FILTER(PriceList!$Q$4:$Q$2641&amp;" x "&amp;PriceList!$R$4:$R$2641&amp;" x "&amp;PriceList!$S$4:$S$2641,PriceList!$M$4:$M$2641=A1369,"")))</f>
        <v>55 x 70.5 x 6</v>
      </c>
      <c r="G1369" t="str" cm="1">
        <f t="array" ref="G1369">INDEX(_xlfn._xlws.FILTER(PriceList!$P$4:$P$2641,PriceList!$M$4:$M$2641=A1369,""),1)</f>
        <v>HalliteÂ® Type 653</v>
      </c>
    </row>
    <row r="1370" spans="1:7" x14ac:dyDescent="0.45">
      <c r="A1370" t="s">
        <v>5307</v>
      </c>
      <c r="B1370">
        <f>COUNTIF(PriceList!$M$4:$M$2641,A1370)</f>
        <v>2</v>
      </c>
      <c r="C1370" t="str">
        <f>IF(B1370=1,"1:1","1:Many")</f>
        <v>1:Many</v>
      </c>
      <c r="D1370" s="42" t="str" cm="1">
        <f t="array" ref="D1370">_xlfn.TEXTJOIN(" | ",TRUE,_xlfn._xlws.FILTER(PriceList!$B$4:$B$2641,PriceList!$M$4:$M$2641=A1370,""))</f>
        <v>RS018-F-0600-0707-042 | RS018-N-0600-0707-042</v>
      </c>
      <c r="E1370" t="str" cm="1">
        <f t="array" ref="E1370">_xlfn.TEXTJOIN(", ",TRUE,_xlfn._xlws.FILTER(ROW(PriceList!$B$4:$B$2641),PriceList!$M$4:$M$2641=A1370,""))</f>
        <v>2206, 2325</v>
      </c>
      <c r="F1370" s="42" t="str" cm="1">
        <f t="array" ref="F1370">_xlfn.TEXTJOIN(" | ",TRUE,_xlfn.UNIQUE(_xlfn._xlws.FILTER(PriceList!$Q$4:$Q$2641&amp;" x "&amp;PriceList!$R$4:$R$2641&amp;" x "&amp;PriceList!$S$4:$S$2641,PriceList!$M$4:$M$2641=A1370,"")))</f>
        <v>60 x 71 x 7</v>
      </c>
      <c r="G1370" t="str" cm="1">
        <f t="array" ref="G1370">INDEX(_xlfn._xlws.FILTER(PriceList!$P$4:$P$2641,PriceList!$M$4:$M$2641=A1370,""),1)</f>
        <v>HalliteÂ® Type 605</v>
      </c>
    </row>
    <row r="1371" spans="1:7" x14ac:dyDescent="0.45">
      <c r="A1371" t="s">
        <v>5507</v>
      </c>
      <c r="B1371">
        <f>COUNTIF(PriceList!$M$4:$M$2641,A1371)</f>
        <v>1</v>
      </c>
      <c r="C1371" t="str">
        <f>IF(B1371=1,"1:1","1:Many")</f>
        <v>1:1</v>
      </c>
      <c r="D1371" s="42" t="str" cm="1">
        <f t="array" ref="D1371">_xlfn.TEXTJOIN(" | ",TRUE,_xlfn._xlws.FILTER(PriceList!$B$4:$B$2641,PriceList!$M$4:$M$2641=A1371,""))</f>
        <v>RS063-U-0560-0715-063</v>
      </c>
      <c r="E1371" t="str" cm="1">
        <f t="array" ref="E1371">_xlfn.TEXTJOIN(", ",TRUE,_xlfn._xlws.FILTER(ROW(PriceList!$B$4:$B$2641),PriceList!$M$4:$M$2641=A1371,""))</f>
        <v>2506</v>
      </c>
      <c r="F1371" s="42" t="str" cm="1">
        <f t="array" ref="F1371">_xlfn.TEXTJOIN(" | ",TRUE,_xlfn.UNIQUE(_xlfn._xlws.FILTER(PriceList!$Q$4:$Q$2641&amp;" x "&amp;PriceList!$R$4:$R$2641&amp;" x "&amp;PriceList!$S$4:$S$2641,PriceList!$M$4:$M$2641=A1371,"")))</f>
        <v>56 x 71.5 x 6</v>
      </c>
      <c r="G1371" t="str" cm="1">
        <f t="array" ref="G1371">INDEX(_xlfn._xlws.FILTER(PriceList!$P$4:$P$2641,PriceList!$M$4:$M$2641=A1371,""),1)</f>
        <v>HalliteÂ® Type 616</v>
      </c>
    </row>
    <row r="1372" spans="1:7" x14ac:dyDescent="0.45">
      <c r="A1372" t="s">
        <v>5359</v>
      </c>
      <c r="B1372">
        <f>COUNTIF(PriceList!$M$4:$M$2641,A1372)</f>
        <v>2</v>
      </c>
      <c r="C1372" t="str">
        <f>IF(B1372=1,"1:1","1:Many")</f>
        <v>1:Many</v>
      </c>
      <c r="D1372" s="42" t="str" cm="1">
        <f t="array" ref="D1372">_xlfn.TEXTJOIN(" | ",TRUE,_xlfn._xlws.FILTER(PriceList!$B$4:$B$2641,PriceList!$M$4:$M$2641=A1372,""))</f>
        <v>RS018-F-1650-1801-063 | RS018-N-1650-1801-063</v>
      </c>
      <c r="E1372" t="str" cm="1">
        <f t="array" ref="E1372">_xlfn.TEXTJOIN(", ",TRUE,_xlfn._xlws.FILTER(ROW(PriceList!$B$4:$B$2641),PriceList!$M$4:$M$2641=A1372,""))</f>
        <v>2251, 2387</v>
      </c>
      <c r="F1372" s="42" t="str" cm="1">
        <f t="array" ref="F1372">_xlfn.TEXTJOIN(" | ",TRUE,_xlfn.UNIQUE(_xlfn._xlws.FILTER(PriceList!$Q$4:$Q$2641&amp;" x "&amp;PriceList!$R$4:$R$2641&amp;" x "&amp;PriceList!$S$4:$S$2641,PriceList!$M$4:$M$2641=A1372,"")))</f>
        <v>165.1 x 180.848 x 15.748</v>
      </c>
      <c r="G1372" t="str" cm="1">
        <f t="array" ref="G1372">INDEX(_xlfn._xlws.FILTER(PriceList!$P$4:$P$2641,PriceList!$M$4:$M$2641=A1372,""),1)</f>
        <v>U Ring - Polyurethane - Rod Working</v>
      </c>
    </row>
    <row r="1373" spans="1:7" x14ac:dyDescent="0.45">
      <c r="A1373" t="s">
        <v>5309</v>
      </c>
      <c r="B1373">
        <f>COUNTIF(PriceList!$M$4:$M$2641,A1373)</f>
        <v>2</v>
      </c>
      <c r="C1373" t="str">
        <f>IF(B1373=1,"1:1","1:Many")</f>
        <v>1:Many</v>
      </c>
      <c r="D1373" s="42" t="str" cm="1">
        <f t="array" ref="D1373">_xlfn.TEXTJOIN(" | ",TRUE,_xlfn._xlws.FILTER(PriceList!$B$4:$B$2641,PriceList!$M$4:$M$2641=A1373,""))</f>
        <v>RS018-F-0630-0737-042 | RS018-N-0630-0737-042</v>
      </c>
      <c r="E1373" t="str" cm="1">
        <f t="array" ref="E1373">_xlfn.TEXTJOIN(", ",TRUE,_xlfn._xlws.FILTER(ROW(PriceList!$B$4:$B$2641),PriceList!$M$4:$M$2641=A1373,""))</f>
        <v>2208, 2327</v>
      </c>
      <c r="F1373" s="42" t="str" cm="1">
        <f t="array" ref="F1373">_xlfn.TEXTJOIN(" | ",TRUE,_xlfn.UNIQUE(_xlfn._xlws.FILTER(PriceList!$Q$4:$Q$2641&amp;" x "&amp;PriceList!$R$4:$R$2641&amp;" x "&amp;PriceList!$S$4:$S$2641,PriceList!$M$4:$M$2641=A1373,"")))</f>
        <v>63 x 73 x 12</v>
      </c>
      <c r="G1373" t="str" cm="1">
        <f t="array" ref="G1373">INDEX(_xlfn._xlws.FILTER(PriceList!$P$4:$P$2641,PriceList!$M$4:$M$2641=A1373,""),1)</f>
        <v>U Ring - Polyurethane - Rod Working</v>
      </c>
    </row>
    <row r="1374" spans="1:7" x14ac:dyDescent="0.45">
      <c r="A1374" t="s">
        <v>5508</v>
      </c>
      <c r="B1374">
        <f>COUNTIF(PriceList!$M$4:$M$2641,A1374)</f>
        <v>1</v>
      </c>
      <c r="C1374" t="str">
        <f>IF(B1374=1,"1:1","1:Many")</f>
        <v>1:1</v>
      </c>
      <c r="D1374" s="42" t="str" cm="1">
        <f t="array" ref="D1374">_xlfn.TEXTJOIN(" | ",TRUE,_xlfn._xlws.FILTER(PriceList!$B$4:$B$2641,PriceList!$M$4:$M$2641=A1374,""))</f>
        <v>RS063-U-0600-0755-063</v>
      </c>
      <c r="E1374" t="str" cm="1">
        <f t="array" ref="E1374">_xlfn.TEXTJOIN(", ",TRUE,_xlfn._xlws.FILTER(ROW(PriceList!$B$4:$B$2641),PriceList!$M$4:$M$2641=A1374,""))</f>
        <v>2507</v>
      </c>
      <c r="F1374" s="42" t="str" cm="1">
        <f t="array" ref="F1374">_xlfn.TEXTJOIN(" | ",TRUE,_xlfn.UNIQUE(_xlfn._xlws.FILTER(PriceList!$Q$4:$Q$2641&amp;" x "&amp;PriceList!$R$4:$R$2641&amp;" x "&amp;PriceList!$S$4:$S$2641,PriceList!$M$4:$M$2641=A1374,"")))</f>
        <v>60 x 75.5 x 6</v>
      </c>
      <c r="G1374" t="str" cm="1">
        <f t="array" ref="G1374">INDEX(_xlfn._xlws.FILTER(PriceList!$P$4:$P$2641,PriceList!$M$4:$M$2641=A1374,""),1)</f>
        <v>HalliteÂ® Type 653</v>
      </c>
    </row>
    <row r="1375" spans="1:7" x14ac:dyDescent="0.45">
      <c r="A1375" t="s">
        <v>5459</v>
      </c>
      <c r="B1375">
        <f>COUNTIF(PriceList!$M$4:$M$2641,A1375)</f>
        <v>1</v>
      </c>
      <c r="C1375" t="str">
        <f>IF(B1375=1,"1:1","1:Many")</f>
        <v>1:1</v>
      </c>
      <c r="D1375" s="42" t="str" cm="1">
        <f t="array" ref="D1375">_xlfn.TEXTJOIN(" | ",TRUE,_xlfn._xlws.FILTER(PriceList!$B$4:$B$2641,PriceList!$M$4:$M$2641=A1375,""))</f>
        <v>RS045-F-068-076-4.8/5.5</v>
      </c>
      <c r="E1375" t="str" cm="1">
        <f t="array" ref="E1375">_xlfn.TEXTJOIN(", ",TRUE,_xlfn._xlws.FILTER(ROW(PriceList!$B$4:$B$2641),PriceList!$M$4:$M$2641=A1375,""))</f>
        <v>2441</v>
      </c>
      <c r="F1375" s="42" t="str" cm="1">
        <f t="array" ref="F1375">_xlfn.TEXTJOIN(" | ",TRUE,_xlfn.UNIQUE(_xlfn._xlws.FILTER(PriceList!$Q$4:$Q$2641&amp;" x "&amp;PriceList!$R$4:$R$2641&amp;" x "&amp;PriceList!$S$4:$S$2641,PriceList!$M$4:$M$2641=A1375,"")))</f>
        <v>68 x 76 x 8</v>
      </c>
      <c r="G1375" t="str" cm="1">
        <f t="array" ref="G1375">INDEX(_xlfn._xlws.FILTER(PriceList!$P$4:$P$2641,PriceList!$M$4:$M$2641=A1375,""),1)</f>
        <v>U Ring - TS Type</v>
      </c>
    </row>
    <row r="1376" spans="1:7" x14ac:dyDescent="0.45">
      <c r="A1376" t="s">
        <v>5477</v>
      </c>
      <c r="B1376">
        <f>COUNTIF(PriceList!$M$4:$M$2641,A1376)</f>
        <v>2</v>
      </c>
      <c r="C1376" t="str">
        <f>IF(B1376=1,"1:1","1:Many")</f>
        <v>1:Many</v>
      </c>
      <c r="D1376" s="42" t="str" cm="1">
        <f t="array" ref="D1376">_xlfn.TEXTJOIN(" | ",TRUE,_xlfn._xlws.FILTER(PriceList!$B$4:$B$2641,PriceList!$M$4:$M$2641=A1376,""))</f>
        <v>RS054-N-0630-0780-225 | RS072-F-0630-0780-130</v>
      </c>
      <c r="E1376" t="str" cm="1">
        <f t="array" ref="E1376">_xlfn.TEXTJOIN(", ",TRUE,_xlfn._xlws.FILTER(ROW(PriceList!$B$4:$B$2641),PriceList!$M$4:$M$2641=A1376,""))</f>
        <v>2473, 2553</v>
      </c>
      <c r="F1376" s="42" t="str" cm="1">
        <f t="array" ref="F1376">_xlfn.TEXTJOIN(" | ",TRUE,_xlfn.UNIQUE(_xlfn._xlws.FILTER(PriceList!$Q$4:$Q$2641&amp;" x "&amp;PriceList!$R$4:$R$2641&amp;" x "&amp;PriceList!$S$4:$S$2641,PriceList!$M$4:$M$2641=A1376,"")))</f>
        <v>63 x 78 x 10</v>
      </c>
      <c r="G1376" t="str" cm="1">
        <f t="array" ref="G1376">INDEX(_xlfn._xlws.FILTER(PriceList!$P$4:$P$2641,PriceList!$M$4:$M$2641=A1376,""),1)</f>
        <v>HalliteÂ® Type 605</v>
      </c>
    </row>
    <row r="1377" spans="1:7" x14ac:dyDescent="0.45">
      <c r="A1377" t="s">
        <v>5555</v>
      </c>
      <c r="B1377">
        <f>COUNTIF(PriceList!$M$4:$M$2641,A1377)</f>
        <v>1</v>
      </c>
      <c r="C1377" t="str">
        <f>IF(B1377=1,"1:1","1:Many")</f>
        <v>1:1</v>
      </c>
      <c r="D1377" s="42" t="str" cm="1">
        <f t="array" ref="D1377">_xlfn.TEXTJOIN(" | ",TRUE,_xlfn._xlws.FILTER(PriceList!$B$4:$B$2641,PriceList!$M$4:$M$2641=A1377,""))</f>
        <v>RS171-U-070-078-8/9</v>
      </c>
      <c r="E1377" t="str" cm="1">
        <f t="array" ref="E1377">_xlfn.TEXTJOIN(", ",TRUE,_xlfn._xlws.FILTER(ROW(PriceList!$B$4:$B$2641),PriceList!$M$4:$M$2641=A1377,""))</f>
        <v>2612</v>
      </c>
      <c r="F1377" s="42" t="str" cm="1">
        <f t="array" ref="F1377">_xlfn.TEXTJOIN(" | ",TRUE,_xlfn.UNIQUE(_xlfn._xlws.FILTER(PriceList!$Q$4:$Q$2641&amp;" x "&amp;PriceList!$R$4:$R$2641&amp;" x "&amp;PriceList!$S$4:$S$2641,PriceList!$M$4:$M$2641=A1377,"")))</f>
        <v>70 x 78 x 11.5</v>
      </c>
      <c r="G1377" t="str" cm="1">
        <f t="array" ref="G1377">INDEX(_xlfn._xlws.FILTER(PriceList!$P$4:$P$2641,PriceList!$M$4:$M$2641=A1377,""),1)</f>
        <v>U Ring - Rod Working - Extra Lip</v>
      </c>
    </row>
    <row r="1378" spans="1:7" ht="28.5" x14ac:dyDescent="0.45">
      <c r="A1378" t="s">
        <v>5314</v>
      </c>
      <c r="B1378">
        <f>COUNTIF(PriceList!$M$4:$M$2641,A1378)</f>
        <v>3</v>
      </c>
      <c r="C1378" t="str">
        <f>IF(B1378=1,"1:1","1:Many")</f>
        <v>1:Many</v>
      </c>
      <c r="D1378" s="42" t="str" cm="1">
        <f t="array" ref="D1378">_xlfn.TEXTJOIN(" | ",TRUE,_xlfn._xlws.FILTER(PriceList!$B$4:$B$2641,PriceList!$M$4:$M$2641=A1378,""))</f>
        <v>RS018-F-0650-0801-063 | RS018-N-0650-0801-063 | RS072-F-0650-0800-130</v>
      </c>
      <c r="E1378" t="str" cm="1">
        <f t="array" ref="E1378">_xlfn.TEXTJOIN(", ",TRUE,_xlfn._xlws.FILTER(ROW(PriceList!$B$4:$B$2641),PriceList!$M$4:$M$2641=A1378,""))</f>
        <v>2211, 2331, 2554</v>
      </c>
      <c r="F1378" s="42" t="str" cm="1">
        <f t="array" ref="F1378">_xlfn.TEXTJOIN(" | ",TRUE,_xlfn.UNIQUE(_xlfn._xlws.FILTER(PriceList!$Q$4:$Q$2641&amp;" x "&amp;PriceList!$R$4:$R$2641&amp;" x "&amp;PriceList!$S$4:$S$2641,PriceList!$M$4:$M$2641=A1378,"")))</f>
        <v>65 x 80 x 9</v>
      </c>
      <c r="G1378" t="str" cm="1">
        <f t="array" ref="G1378">INDEX(_xlfn._xlws.FILTER(PriceList!$P$4:$P$2641,PriceList!$M$4:$M$2641=A1378,""),1)</f>
        <v>HalliteÂ® Type 605</v>
      </c>
    </row>
    <row r="1379" spans="1:7" x14ac:dyDescent="0.45">
      <c r="A1379" t="s">
        <v>5510</v>
      </c>
      <c r="B1379">
        <f>COUNTIF(PriceList!$M$4:$M$2641,A1379)</f>
        <v>1</v>
      </c>
      <c r="C1379" t="str">
        <f>IF(B1379=1,"1:1","1:Many")</f>
        <v>1:1</v>
      </c>
      <c r="D1379" s="42" t="str" cm="1">
        <f t="array" ref="D1379">_xlfn.TEXTJOIN(" | ",TRUE,_xlfn._xlws.FILTER(PriceList!$B$4:$B$2641,PriceList!$M$4:$M$2641=A1379,""))</f>
        <v>RS063-U-0650-0805-063</v>
      </c>
      <c r="E1379" t="str" cm="1">
        <f t="array" ref="E1379">_xlfn.TEXTJOIN(", ",TRUE,_xlfn._xlws.FILTER(ROW(PriceList!$B$4:$B$2641),PriceList!$M$4:$M$2641=A1379,""))</f>
        <v>2509</v>
      </c>
      <c r="F1379" s="42" t="str" cm="1">
        <f t="array" ref="F1379">_xlfn.TEXTJOIN(" | ",TRUE,_xlfn.UNIQUE(_xlfn._xlws.FILTER(PriceList!$Q$4:$Q$2641&amp;" x "&amp;PriceList!$R$4:$R$2641&amp;" x "&amp;PriceList!$S$4:$S$2641,PriceList!$M$4:$M$2641=A1379,"")))</f>
        <v>65 x 80.5 x 6</v>
      </c>
      <c r="G1379" t="str" cm="1">
        <f t="array" ref="G1379">INDEX(_xlfn._xlws.FILTER(PriceList!$P$4:$P$2641,PriceList!$M$4:$M$2641=A1379,""),1)</f>
        <v>HalliteÂ® Type 616</v>
      </c>
    </row>
    <row r="1380" spans="1:7" x14ac:dyDescent="0.45">
      <c r="A1380" t="s">
        <v>5460</v>
      </c>
      <c r="B1380">
        <f>COUNTIF(PriceList!$M$4:$M$2641,A1380)</f>
        <v>2</v>
      </c>
      <c r="C1380" t="str">
        <f>IF(B1380=1,"1:1","1:Many")</f>
        <v>1:Many</v>
      </c>
      <c r="D1380" s="42" t="str" cm="1">
        <f t="array" ref="D1380">_xlfn.TEXTJOIN(" | ",TRUE,_xlfn._xlws.FILTER(PriceList!$B$4:$B$2641,PriceList!$M$4:$M$2641=A1380,""))</f>
        <v>RS045-F-070-082-13.8/15 | RS045-F-070-082-8.8/10</v>
      </c>
      <c r="E1380" t="str" cm="1">
        <f t="array" ref="E1380">_xlfn.TEXTJOIN(", ",TRUE,_xlfn._xlws.FILTER(ROW(PriceList!$B$4:$B$2641),PriceList!$M$4:$M$2641=A1380,""))</f>
        <v>2442, 2443</v>
      </c>
      <c r="F1380" s="42" t="str" cm="1">
        <f t="array" ref="F1380">_xlfn.TEXTJOIN(" | ",TRUE,_xlfn.UNIQUE(_xlfn._xlws.FILTER(PriceList!$Q$4:$Q$2641&amp;" x "&amp;PriceList!$R$4:$R$2641&amp;" x "&amp;PriceList!$S$4:$S$2641,PriceList!$M$4:$M$2641=A1380,"")))</f>
        <v>70 x 82 x 8.7</v>
      </c>
      <c r="G1380" t="str" cm="1">
        <f t="array" ref="G1380">INDEX(_xlfn._xlws.FILTER(PriceList!$P$4:$P$2641,PriceList!$M$4:$M$2641=A1380,""),1)</f>
        <v>HalliteÂ® Type 605</v>
      </c>
    </row>
    <row r="1381" spans="1:7" x14ac:dyDescent="0.45">
      <c r="A1381" t="s">
        <v>5406</v>
      </c>
      <c r="B1381">
        <f>COUNTIF(PriceList!$M$4:$M$2641,A1381)</f>
        <v>1</v>
      </c>
      <c r="C1381" t="str">
        <f>IF(B1381=1,"1:1","1:Many")</f>
        <v>1:1</v>
      </c>
      <c r="D1381" s="42" t="str" cm="1">
        <f t="array" ref="D1381">_xlfn.TEXTJOIN(" | ",TRUE,_xlfn._xlws.FILTER(PriceList!$B$4:$B$2641,PriceList!$M$4:$M$2641=A1381,""))</f>
        <v>RS018-N-0700-0826-042</v>
      </c>
      <c r="E1381" t="str" cm="1">
        <f t="array" ref="E1381">_xlfn.TEXTJOIN(", ",TRUE,_xlfn._xlws.FILTER(ROW(PriceList!$B$4:$B$2641),PriceList!$M$4:$M$2641=A1381,""))</f>
        <v>2335</v>
      </c>
      <c r="F1381" s="42" t="str" cm="1">
        <f t="array" ref="F1381">_xlfn.TEXTJOIN(" | ",TRUE,_xlfn.UNIQUE(_xlfn._xlws.FILTER(PriceList!$Q$4:$Q$2641&amp;" x "&amp;PriceList!$R$4:$R$2641&amp;" x "&amp;PriceList!$S$4:$S$2641,PriceList!$M$4:$M$2641=A1381,"")))</f>
        <v>70 x 83 x 10</v>
      </c>
      <c r="G1381" t="str" cm="1">
        <f t="array" ref="G1381">INDEX(_xlfn._xlws.FILTER(PriceList!$P$4:$P$2641,PriceList!$M$4:$M$2641=A1381,""),1)</f>
        <v>HalliteÂ® Type 605</v>
      </c>
    </row>
    <row r="1382" spans="1:7" x14ac:dyDescent="0.45">
      <c r="A1382" t="s">
        <v>5405</v>
      </c>
      <c r="B1382">
        <f>COUNTIF(PriceList!$M$4:$M$2641,A1382)</f>
        <v>1</v>
      </c>
      <c r="C1382" t="str">
        <f>IF(B1382=1,"1:1","1:Many")</f>
        <v>1:1</v>
      </c>
      <c r="D1382" s="42" t="str" cm="1">
        <f t="array" ref="D1382">_xlfn.TEXTJOIN(" | ",TRUE,_xlfn._xlws.FILTER(PriceList!$B$4:$B$2641,PriceList!$M$4:$M$2641=A1382,""))</f>
        <v>RS018-N-0650-0855-081</v>
      </c>
      <c r="E1382" t="str" cm="1">
        <f t="array" ref="E1382">_xlfn.TEXTJOIN(", ",TRUE,_xlfn._xlws.FILTER(ROW(PriceList!$B$4:$B$2641),PriceList!$M$4:$M$2641=A1382,""))</f>
        <v>2332</v>
      </c>
      <c r="F1382" s="42" t="str" cm="1">
        <f t="array" ref="F1382">_xlfn.TEXTJOIN(" | ",TRUE,_xlfn.UNIQUE(_xlfn._xlws.FILTER(PriceList!$Q$4:$Q$2641&amp;" x "&amp;PriceList!$R$4:$R$2641&amp;" x "&amp;PriceList!$S$4:$S$2641,PriceList!$M$4:$M$2641=A1382,"")))</f>
        <v>65 x 85 x 12</v>
      </c>
      <c r="G1382" t="str" cm="1">
        <f t="array" ref="G1382">INDEX(_xlfn._xlws.FILTER(PriceList!$P$4:$P$2641,PriceList!$M$4:$M$2641=A1382,""),1)</f>
        <v>HalliteÂ® Type 605</v>
      </c>
    </row>
    <row r="1383" spans="1:7" ht="57" x14ac:dyDescent="0.45">
      <c r="A1383" t="s">
        <v>5316</v>
      </c>
      <c r="B1383">
        <f>COUNTIF(PriceList!$M$4:$M$2641,A1383)</f>
        <v>8</v>
      </c>
      <c r="C1383" t="str">
        <f>IF(B1383=1,"1:1","1:Many")</f>
        <v>1:Many</v>
      </c>
      <c r="D1383" s="42" t="str" cm="1">
        <f t="array" ref="D1383">_xlfn.TEXTJOIN(" | ",TRUE,_xlfn._xlws.FILTER(PriceList!$B$4:$B$2641,PriceList!$M$4:$M$2641=A1383,""))</f>
        <v>RS018-F-0700-0851-063 | RS018-N-0700-0851-063 | RS045-F-070-085-5.8/6.5 | RS045-F-070-085-9/10 | RS054-N-0700-0850-225 | RS072-F-0700-0850-130 | RS072-P-0700-0850-130 | RS117-H-070-085.1-6.3</v>
      </c>
      <c r="E1383" t="str" cm="1">
        <f t="array" ref="E1383">_xlfn.TEXTJOIN(", ",TRUE,_xlfn._xlws.FILTER(ROW(PriceList!$B$4:$B$2641),PriceList!$M$4:$M$2641=A1383,""))</f>
        <v>2214, 2336, 2444, 2445, 2475, 2555, 2577, 2601</v>
      </c>
      <c r="F1383" s="42" t="str" cm="1">
        <f t="array" ref="F1383">_xlfn.TEXTJOIN(" | ",TRUE,_xlfn.UNIQUE(_xlfn._xlws.FILTER(PriceList!$Q$4:$Q$2641&amp;" x "&amp;PriceList!$R$4:$R$2641&amp;" x "&amp;PriceList!$S$4:$S$2641,PriceList!$M$4:$M$2641=A1383,"")))</f>
        <v>70 x 85 x 9</v>
      </c>
      <c r="G1383" t="str" cm="1">
        <f t="array" ref="G1383">INDEX(_xlfn._xlws.FILTER(PriceList!$P$4:$P$2641,PriceList!$M$4:$M$2641=A1383,""),1)</f>
        <v>HalliteÂ® Type 605</v>
      </c>
    </row>
    <row r="1384" spans="1:7" x14ac:dyDescent="0.45">
      <c r="A1384" t="s">
        <v>5317</v>
      </c>
      <c r="B1384">
        <f>COUNTIF(PriceList!$M$4:$M$2641,A1384)</f>
        <v>2</v>
      </c>
      <c r="C1384" t="str">
        <f>IF(B1384=1,"1:1","1:Many")</f>
        <v>1:Many</v>
      </c>
      <c r="D1384" s="42" t="str" cm="1">
        <f t="array" ref="D1384">_xlfn.TEXTJOIN(" | ",TRUE,_xlfn._xlws.FILTER(PriceList!$B$4:$B$2641,PriceList!$M$4:$M$2641=A1384,""))</f>
        <v>RS018-F-0750-0857-042 | RS018-N-0750-0857-042</v>
      </c>
      <c r="E1384" t="str" cm="1">
        <f t="array" ref="E1384">_xlfn.TEXTJOIN(", ",TRUE,_xlfn._xlws.FILTER(ROW(PriceList!$B$4:$B$2641),PriceList!$M$4:$M$2641=A1384,""))</f>
        <v>2215, 2337</v>
      </c>
      <c r="F1384" s="42" t="str" cm="1">
        <f t="array" ref="F1384">_xlfn.TEXTJOIN(" | ",TRUE,_xlfn.UNIQUE(_xlfn._xlws.FILTER(PriceList!$Q$4:$Q$2641&amp;" x "&amp;PriceList!$R$4:$R$2641&amp;" x "&amp;PriceList!$S$4:$S$2641,PriceList!$M$4:$M$2641=A1384,"")))</f>
        <v>75 x 85 x 6</v>
      </c>
      <c r="G1384" t="str" cm="1">
        <f t="array" ref="G1384">INDEX(_xlfn._xlws.FILTER(PriceList!$P$4:$P$2641,PriceList!$M$4:$M$2641=A1384,""),1)</f>
        <v>HalliteÂ® Type 605</v>
      </c>
    </row>
    <row r="1385" spans="1:7" x14ac:dyDescent="0.45">
      <c r="A1385" t="s">
        <v>5511</v>
      </c>
      <c r="B1385">
        <f>COUNTIF(PriceList!$M$4:$M$2641,A1385)</f>
        <v>1</v>
      </c>
      <c r="C1385" t="str">
        <f>IF(B1385=1,"1:1","1:Many")</f>
        <v>1:1</v>
      </c>
      <c r="D1385" s="42" t="str" cm="1">
        <f t="array" ref="D1385">_xlfn.TEXTJOIN(" | ",TRUE,_xlfn._xlws.FILTER(PriceList!$B$4:$B$2641,PriceList!$M$4:$M$2641=A1385,""))</f>
        <v>RS063-U-0700-0855-063</v>
      </c>
      <c r="E1385" t="str" cm="1">
        <f t="array" ref="E1385">_xlfn.TEXTJOIN(", ",TRUE,_xlfn._xlws.FILTER(ROW(PriceList!$B$4:$B$2641),PriceList!$M$4:$M$2641=A1385,""))</f>
        <v>2510</v>
      </c>
      <c r="F1385" s="42" t="str" cm="1">
        <f t="array" ref="F1385">_xlfn.TEXTJOIN(" | ",TRUE,_xlfn.UNIQUE(_xlfn._xlws.FILTER(PriceList!$Q$4:$Q$2641&amp;" x "&amp;PriceList!$R$4:$R$2641&amp;" x "&amp;PriceList!$S$4:$S$2641,PriceList!$M$4:$M$2641=A1385,"")))</f>
        <v>70 x 85.5 x 6</v>
      </c>
      <c r="G1385" t="str" cm="1">
        <f t="array" ref="G1385">INDEX(_xlfn._xlws.FILTER(PriceList!$P$4:$P$2641,PriceList!$M$4:$M$2641=A1385,""),1)</f>
        <v>HalliteÂ® Type 653</v>
      </c>
    </row>
    <row r="1386" spans="1:7" x14ac:dyDescent="0.45">
      <c r="A1386" t="s">
        <v>5558</v>
      </c>
      <c r="B1386">
        <f>COUNTIF(PriceList!$M$4:$M$2641,A1386)</f>
        <v>1</v>
      </c>
      <c r="C1386" t="str">
        <f>IF(B1386=1,"1:1","1:Many")</f>
        <v>1:1</v>
      </c>
      <c r="D1386" s="42" t="str" cm="1">
        <f t="array" ref="D1386">_xlfn.TEXTJOIN(" | ",TRUE,_xlfn._xlws.FILTER(PriceList!$B$4:$B$2641,PriceList!$M$4:$M$2641=A1386,""))</f>
        <v>RS171-U-79-087.7-8</v>
      </c>
      <c r="E1386" t="str" cm="1">
        <f t="array" ref="E1386">_xlfn.TEXTJOIN(", ",TRUE,_xlfn._xlws.FILTER(ROW(PriceList!$B$4:$B$2641),PriceList!$M$4:$M$2641=A1386,""))</f>
        <v>2615</v>
      </c>
      <c r="F1386" s="42" t="str" cm="1">
        <f t="array" ref="F1386">_xlfn.TEXTJOIN(" | ",TRUE,_xlfn.UNIQUE(_xlfn._xlws.FILTER(PriceList!$Q$4:$Q$2641&amp;" x "&amp;PriceList!$R$4:$R$2641&amp;" x "&amp;PriceList!$S$4:$S$2641,PriceList!$M$4:$M$2641=A1386,"")))</f>
        <v>79 x 87.7 x 8</v>
      </c>
      <c r="G1386" t="str" cm="1">
        <f t="array" ref="G1386">INDEX(_xlfn._xlws.FILTER(PriceList!$P$4:$P$2641,PriceList!$M$4:$M$2641=A1386,""),1)</f>
        <v>U Ring - TS Type - Extra Lip</v>
      </c>
    </row>
    <row r="1387" spans="1:7" ht="42.75" x14ac:dyDescent="0.45">
      <c r="A1387" t="s">
        <v>5318</v>
      </c>
      <c r="B1387">
        <f>COUNTIF(PriceList!$M$4:$M$2641,A1387)</f>
        <v>5</v>
      </c>
      <c r="C1387" t="str">
        <f>IF(B1387=1,"1:1","1:Many")</f>
        <v>1:Many</v>
      </c>
      <c r="D1387" s="42" t="str" cm="1">
        <f t="array" ref="D1387">_xlfn.TEXTJOIN(" | ",TRUE,_xlfn._xlws.FILTER(PriceList!$B$4:$B$2641,PriceList!$M$4:$M$2641=A1387,""))</f>
        <v>RS018-F-0750-0901-063 | RS018-N-0750-0901-063 | RS054-N-0750-0900-225 | RS072-F-0750-0900-130 | RS117-H-075-090.1-6.3</v>
      </c>
      <c r="E1387" t="str" cm="1">
        <f t="array" ref="E1387">_xlfn.TEXTJOIN(", ",TRUE,_xlfn._xlws.FILTER(ROW(PriceList!$B$4:$B$2641),PriceList!$M$4:$M$2641=A1387,""))</f>
        <v>2216, 2338, 2477, 2556, 2602</v>
      </c>
      <c r="F1387" s="42" t="str" cm="1">
        <f t="array" ref="F1387">_xlfn.TEXTJOIN(" | ",TRUE,_xlfn.UNIQUE(_xlfn._xlws.FILTER(PriceList!$Q$4:$Q$2641&amp;" x "&amp;PriceList!$R$4:$R$2641&amp;" x "&amp;PriceList!$S$4:$S$2641,PriceList!$M$4:$M$2641=A1387,"")))</f>
        <v>75 x 90 x 9</v>
      </c>
      <c r="G1387" t="str" cm="1">
        <f t="array" ref="G1387">INDEX(_xlfn._xlws.FILTER(PriceList!$P$4:$P$2641,PriceList!$M$4:$M$2641=A1387,""),1)</f>
        <v>HalliteÂ® Type 605</v>
      </c>
    </row>
    <row r="1388" spans="1:7" x14ac:dyDescent="0.45">
      <c r="A1388" t="s">
        <v>5512</v>
      </c>
      <c r="B1388">
        <f>COUNTIF(PriceList!$M$4:$M$2641,A1388)</f>
        <v>1</v>
      </c>
      <c r="C1388" t="str">
        <f>IF(B1388=1,"1:1","1:Many")</f>
        <v>1:1</v>
      </c>
      <c r="D1388" s="42" t="str" cm="1">
        <f t="array" ref="D1388">_xlfn.TEXTJOIN(" | ",TRUE,_xlfn._xlws.FILTER(PriceList!$B$4:$B$2641,PriceList!$M$4:$M$2641=A1388,""))</f>
        <v>RS063-U-0750-0905-063</v>
      </c>
      <c r="E1388" t="str" cm="1">
        <f t="array" ref="E1388">_xlfn.TEXTJOIN(", ",TRUE,_xlfn._xlws.FILTER(ROW(PriceList!$B$4:$B$2641),PriceList!$M$4:$M$2641=A1388,""))</f>
        <v>2511</v>
      </c>
      <c r="F1388" s="42" t="str" cm="1">
        <f t="array" ref="F1388">_xlfn.TEXTJOIN(" | ",TRUE,_xlfn.UNIQUE(_xlfn._xlws.FILTER(PriceList!$Q$4:$Q$2641&amp;" x "&amp;PriceList!$R$4:$R$2641&amp;" x "&amp;PriceList!$S$4:$S$2641,PriceList!$M$4:$M$2641=A1388,"")))</f>
        <v>75 x 90.5 x 6</v>
      </c>
      <c r="G1388" t="str" cm="1">
        <f t="array" ref="G1388">INDEX(_xlfn._xlws.FILTER(PriceList!$P$4:$P$2641,PriceList!$M$4:$M$2641=A1388,""),1)</f>
        <v>HalliteÂ® Type 616</v>
      </c>
    </row>
    <row r="1389" spans="1:7" x14ac:dyDescent="0.45">
      <c r="A1389" t="s">
        <v>5480</v>
      </c>
      <c r="B1389">
        <f>COUNTIF(PriceList!$M$4:$M$2641,A1389)</f>
        <v>1</v>
      </c>
      <c r="C1389" t="str">
        <f>IF(B1389=1,"1:1","1:Many")</f>
        <v>1:1</v>
      </c>
      <c r="D1389" s="42" t="str" cm="1">
        <f t="array" ref="D1389">_xlfn.TEXTJOIN(" | ",TRUE,_xlfn._xlws.FILTER(PriceList!$B$4:$B$2641,PriceList!$M$4:$M$2641=A1389,""))</f>
        <v>RS054-N-0750-0950-400</v>
      </c>
      <c r="E1389" t="str" cm="1">
        <f t="array" ref="E1389">_xlfn.TEXTJOIN(", ",TRUE,_xlfn._xlws.FILTER(ROW(PriceList!$B$4:$B$2641),PriceList!$M$4:$M$2641=A1389,""))</f>
        <v>2478</v>
      </c>
      <c r="F1389" s="42" t="str" cm="1">
        <f t="array" ref="F1389">_xlfn.TEXTJOIN(" | ",TRUE,_xlfn.UNIQUE(_xlfn._xlws.FILTER(PriceList!$Q$4:$Q$2641&amp;" x "&amp;PriceList!$R$4:$R$2641&amp;" x "&amp;PriceList!$S$4:$S$2641,PriceList!$M$4:$M$2641=A1389,"")))</f>
        <v>75 x 95 x 12</v>
      </c>
      <c r="G1389" t="str" cm="1">
        <f t="array" ref="G1389">INDEX(_xlfn._xlws.FILTER(PriceList!$P$4:$P$2641,PriceList!$M$4:$M$2641=A1389,""),1)</f>
        <v>HalliteÂ® Type 605</v>
      </c>
    </row>
    <row r="1390" spans="1:7" ht="42.75" x14ac:dyDescent="0.45">
      <c r="A1390" t="s">
        <v>5321</v>
      </c>
      <c r="B1390">
        <f>COUNTIF(PriceList!$M$4:$M$2641,A1390)</f>
        <v>5</v>
      </c>
      <c r="C1390" t="str">
        <f>IF(B1390=1,"1:1","1:Many")</f>
        <v>1:Many</v>
      </c>
      <c r="D1390" s="42" t="str" cm="1">
        <f t="array" ref="D1390">_xlfn.TEXTJOIN(" | ",TRUE,_xlfn._xlws.FILTER(PriceList!$B$4:$B$2641,PriceList!$M$4:$M$2641=A1390,""))</f>
        <v>RS018-F-0800-0951-063 | RS018-N-0800-0951-063 | RS045-F-080-095-9/10 | RS054-N-0800-0950-225 | RS072-F-0800-0950-130</v>
      </c>
      <c r="E1390" t="str" cm="1">
        <f t="array" ref="E1390">_xlfn.TEXTJOIN(", ",TRUE,_xlfn._xlws.FILTER(ROW(PriceList!$B$4:$B$2641),PriceList!$M$4:$M$2641=A1390,""))</f>
        <v>2219, 2341, 2446, 2479, 2557</v>
      </c>
      <c r="F1390" s="42" t="str" cm="1">
        <f t="array" ref="F1390">_xlfn.TEXTJOIN(" | ",TRUE,_xlfn.UNIQUE(_xlfn._xlws.FILTER(PriceList!$Q$4:$Q$2641&amp;" x "&amp;PriceList!$R$4:$R$2641&amp;" x "&amp;PriceList!$S$4:$S$2641,PriceList!$M$4:$M$2641=A1390,"")))</f>
        <v>80 x 95 x 9</v>
      </c>
      <c r="G1390" t="str" cm="1">
        <f t="array" ref="G1390">INDEX(_xlfn._xlws.FILTER(PriceList!$P$4:$P$2641,PriceList!$M$4:$M$2641=A1390,""),1)</f>
        <v>HalliteÂ® Type 605</v>
      </c>
    </row>
    <row r="1391" spans="1:7" x14ac:dyDescent="0.45">
      <c r="A1391" t="s">
        <v>5513</v>
      </c>
      <c r="B1391">
        <f>COUNTIF(PriceList!$M$4:$M$2641,A1391)</f>
        <v>1</v>
      </c>
      <c r="C1391" t="str">
        <f>IF(B1391=1,"1:1","1:Many")</f>
        <v>1:1</v>
      </c>
      <c r="D1391" s="42" t="str" cm="1">
        <f t="array" ref="D1391">_xlfn.TEXTJOIN(" | ",TRUE,_xlfn._xlws.FILTER(PriceList!$B$4:$B$2641,PriceList!$M$4:$M$2641=A1391,""))</f>
        <v>RS063-U-0800-0955-063</v>
      </c>
      <c r="E1391" t="str" cm="1">
        <f t="array" ref="E1391">_xlfn.TEXTJOIN(", ",TRUE,_xlfn._xlws.FILTER(ROW(PriceList!$B$4:$B$2641),PriceList!$M$4:$M$2641=A1391,""))</f>
        <v>2512</v>
      </c>
      <c r="F1391" s="42" t="str" cm="1">
        <f t="array" ref="F1391">_xlfn.TEXTJOIN(" | ",TRUE,_xlfn.UNIQUE(_xlfn._xlws.FILTER(PriceList!$Q$4:$Q$2641&amp;" x "&amp;PriceList!$R$4:$R$2641&amp;" x "&amp;PriceList!$S$4:$S$2641,PriceList!$M$4:$M$2641=A1391,"")))</f>
        <v>80 x 95.5 x 6</v>
      </c>
      <c r="G1391" t="str" cm="1">
        <f t="array" ref="G1391">INDEX(_xlfn._xlws.FILTER(PriceList!$P$4:$P$2641,PriceList!$M$4:$M$2641=A1391,""),1)</f>
        <v>HalliteÂ® Type 616</v>
      </c>
    </row>
    <row r="1392" spans="1:7" x14ac:dyDescent="0.45">
      <c r="A1392" t="s">
        <v>5556</v>
      </c>
      <c r="B1392">
        <f>COUNTIF(PriceList!$M$4:$M$2641,A1392)</f>
        <v>1</v>
      </c>
      <c r="C1392" t="str">
        <f>IF(B1392=1,"1:1","1:Many")</f>
        <v>1:1</v>
      </c>
      <c r="D1392" s="42" t="str" cm="1">
        <f t="array" ref="D1392">_xlfn.TEXTJOIN(" | ",TRUE,_xlfn._xlws.FILTER(PriceList!$B$4:$B$2641,PriceList!$M$4:$M$2641=A1392,""))</f>
        <v>RS171-U-090-098-6.3/7</v>
      </c>
      <c r="E1392" t="str" cm="1">
        <f t="array" ref="E1392">_xlfn.TEXTJOIN(", ",TRUE,_xlfn._xlws.FILTER(ROW(PriceList!$B$4:$B$2641),PriceList!$M$4:$M$2641=A1392,""))</f>
        <v>2613</v>
      </c>
      <c r="F1392" s="42" t="str" cm="1">
        <f t="array" ref="F1392">_xlfn.TEXTJOIN(" | ",TRUE,_xlfn.UNIQUE(_xlfn._xlws.FILTER(PriceList!$Q$4:$Q$2641&amp;" x "&amp;PriceList!$R$4:$R$2641&amp;" x "&amp;PriceList!$S$4:$S$2641,PriceList!$M$4:$M$2641=A1392,"")))</f>
        <v>90 x 98 x 8</v>
      </c>
      <c r="G1392" t="str" cm="1">
        <f t="array" ref="G1392">INDEX(_xlfn._xlws.FILTER(PriceList!$P$4:$P$2641,PriceList!$M$4:$M$2641=A1392,""),1)</f>
        <v>U Ring - Polyurethane - Rod Working</v>
      </c>
    </row>
    <row r="1393" spans="1:7" x14ac:dyDescent="0.45">
      <c r="A1393" t="s">
        <v>5481</v>
      </c>
      <c r="B1393">
        <f>COUNTIF(PriceList!$M$4:$M$2641,A1393)</f>
        <v>1</v>
      </c>
      <c r="C1393" t="str">
        <f>IF(B1393=1,"1:1","1:Many")</f>
        <v>1:1</v>
      </c>
      <c r="D1393" s="42" t="str" cm="1">
        <f t="array" ref="D1393">_xlfn.TEXTJOIN(" | ",TRUE,_xlfn._xlws.FILTER(PriceList!$B$4:$B$2641,PriceList!$M$4:$M$2641=A1393,""))</f>
        <v>RS054-N-0800-1000-400</v>
      </c>
      <c r="E1393" t="str" cm="1">
        <f t="array" ref="E1393">_xlfn.TEXTJOIN(", ",TRUE,_xlfn._xlws.FILTER(ROW(PriceList!$B$4:$B$2641),PriceList!$M$4:$M$2641=A1393,""))</f>
        <v>2480</v>
      </c>
      <c r="F1393" s="42" t="str" cm="1">
        <f t="array" ref="F1393">_xlfn.TEXTJOIN(" | ",TRUE,_xlfn.UNIQUE(_xlfn._xlws.FILTER(PriceList!$Q$4:$Q$2641&amp;" x "&amp;PriceList!$R$4:$R$2641&amp;" x "&amp;PriceList!$S$4:$S$2641,PriceList!$M$4:$M$2641=A1393,"")))</f>
        <v>80 x 100 x 30</v>
      </c>
      <c r="G1393" t="str" cm="1">
        <f t="array" ref="G1393">INDEX(_xlfn._xlws.FILTER(PriceList!$P$4:$P$2641,PriceList!$M$4:$M$2641=A1393,""),1)</f>
        <v>HalliteÂ® Type 07</v>
      </c>
    </row>
    <row r="1394" spans="1:7" x14ac:dyDescent="0.45">
      <c r="A1394" t="s">
        <v>5461</v>
      </c>
      <c r="B1394">
        <f>COUNTIF(PriceList!$M$4:$M$2641,A1394)</f>
        <v>2</v>
      </c>
      <c r="C1394" t="str">
        <f>IF(B1394=1,"1:1","1:Many")</f>
        <v>1:Many</v>
      </c>
      <c r="D1394" s="42" t="str" cm="1">
        <f t="array" ref="D1394">_xlfn.TEXTJOIN(" | ",TRUE,_xlfn._xlws.FILTER(PriceList!$B$4:$B$2641,PriceList!$M$4:$M$2641=A1394,""))</f>
        <v>RS045-F-090-110-15/16 | RS054-N-0900-1100-400</v>
      </c>
      <c r="E1394" t="str" cm="1">
        <f t="array" ref="E1394">_xlfn.TEXTJOIN(", ",TRUE,_xlfn._xlws.FILTER(ROW(PriceList!$B$4:$B$2641),PriceList!$M$4:$M$2641=A1394,""))</f>
        <v>2448, 2483</v>
      </c>
      <c r="F1394" s="42" t="str" cm="1">
        <f t="array" ref="F1394">_xlfn.TEXTJOIN(" | ",TRUE,_xlfn.UNIQUE(_xlfn._xlws.FILTER(PriceList!$Q$4:$Q$2641&amp;" x "&amp;PriceList!$R$4:$R$2641&amp;" x "&amp;PriceList!$S$4:$S$2641,PriceList!$M$4:$M$2641=A1394,"")))</f>
        <v>90 x 110 x 35</v>
      </c>
      <c r="G1394" t="str" cm="1">
        <f t="array" ref="G1394">INDEX(_xlfn._xlws.FILTER(PriceList!$P$4:$P$2641,PriceList!$M$4:$M$2641=A1394,""),1)</f>
        <v>HalliteÂ® Type 07</v>
      </c>
    </row>
    <row r="1395" spans="1:7" ht="28.5" x14ac:dyDescent="0.45">
      <c r="A1395" t="s">
        <v>5462</v>
      </c>
      <c r="B1395">
        <f>COUNTIF(PriceList!$M$4:$M$2641,A1395)</f>
        <v>3</v>
      </c>
      <c r="C1395" t="str">
        <f>IF(B1395=1,"1:1","1:Many")</f>
        <v>1:Many</v>
      </c>
      <c r="D1395" s="42" t="str" cm="1">
        <f t="array" ref="D1395">_xlfn.TEXTJOIN(" | ",TRUE,_xlfn._xlws.FILTER(PriceList!$B$4:$B$2641,PriceList!$M$4:$M$2641=A1395,""))</f>
        <v>RS045-F-100-120-12/13 | RS054-N-1000-1200-400 | RS072-F-1000-1200-150</v>
      </c>
      <c r="E1395" t="str" cm="1">
        <f t="array" ref="E1395">_xlfn.TEXTJOIN(", ",TRUE,_xlfn._xlws.FILTER(ROW(PriceList!$B$4:$B$2641),PriceList!$M$4:$M$2641=A1395,""))</f>
        <v>2449, 2485, 2562</v>
      </c>
      <c r="F1395" s="42" t="str" cm="1">
        <f t="array" ref="F1395">_xlfn.TEXTJOIN(" | ",TRUE,_xlfn.UNIQUE(_xlfn._xlws.FILTER(PriceList!$Q$4:$Q$2641&amp;" x "&amp;PriceList!$R$4:$R$2641&amp;" x "&amp;PriceList!$S$4:$S$2641,PriceList!$M$4:$M$2641=A1395,"")))</f>
        <v>100 x 120 x 30</v>
      </c>
      <c r="G1395" t="str" cm="1">
        <f t="array" ref="G1395">INDEX(_xlfn._xlws.FILTER(PriceList!$P$4:$P$2641,PriceList!$M$4:$M$2641=A1395,""),1)</f>
        <v>HalliteÂ® Type 07</v>
      </c>
    </row>
    <row r="1396" spans="1:7" ht="28.5" x14ac:dyDescent="0.45">
      <c r="A1396" t="s">
        <v>5335</v>
      </c>
      <c r="B1396">
        <f>COUNTIF(PriceList!$M$4:$M$2641,A1396)</f>
        <v>3</v>
      </c>
      <c r="C1396" t="str">
        <f>IF(B1396=1,"1:1","1:Many")</f>
        <v>1:Many</v>
      </c>
      <c r="D1396" s="42" t="str" cm="1">
        <f t="array" ref="D1396">_xlfn.TEXTJOIN(" | ",TRUE,_xlfn._xlws.FILTER(PriceList!$B$4:$B$2641,PriceList!$M$4:$M$2641=A1396,""))</f>
        <v>RS018-F-1100-1251-063 | RS018-N-1100-1251-063 | RS072-F-1100-1250-130</v>
      </c>
      <c r="E1396" t="str" cm="1">
        <f t="array" ref="E1396">_xlfn.TEXTJOIN(", ",TRUE,_xlfn._xlws.FILTER(ROW(PriceList!$B$4:$B$2641),PriceList!$M$4:$M$2641=A1396,""))</f>
        <v>2231, 2362, 2564</v>
      </c>
      <c r="F1396" s="42" t="str" cm="1">
        <f t="array" ref="F1396">_xlfn.TEXTJOIN(" | ",TRUE,_xlfn.UNIQUE(_xlfn._xlws.FILTER(PriceList!$Q$4:$Q$2641&amp;" x "&amp;PriceList!$R$4:$R$2641&amp;" x "&amp;PriceList!$S$4:$S$2641,PriceList!$M$4:$M$2641=A1396,"")))</f>
        <v>110 x 125 x 30</v>
      </c>
      <c r="G1396" t="str" cm="1">
        <f t="array" ref="G1396">INDEX(_xlfn._xlws.FILTER(PriceList!$P$4:$P$2641,PriceList!$M$4:$M$2641=A1396,""),1)</f>
        <v>HalliteÂ® Type 11</v>
      </c>
    </row>
    <row r="1397" spans="1:7" ht="28.5" x14ac:dyDescent="0.45">
      <c r="A1397" t="s">
        <v>5338</v>
      </c>
      <c r="B1397">
        <f>COUNTIF(PriceList!$M$4:$M$2641,A1397)</f>
        <v>3</v>
      </c>
      <c r="C1397" t="str">
        <f>IF(B1397=1,"1:1","1:Many")</f>
        <v>1:Many</v>
      </c>
      <c r="D1397" s="42" t="str" cm="1">
        <f t="array" ref="D1397">_xlfn.TEXTJOIN(" | ",TRUE,_xlfn._xlws.FILTER(PriceList!$B$4:$B$2641,PriceList!$M$4:$M$2641=A1397,""))</f>
        <v>RS018-F-1100-1305-081 | RS018-N-1100-1305-081 | RS054-N-1100-1300-400</v>
      </c>
      <c r="E1397" t="str" cm="1">
        <f t="array" ref="E1397">_xlfn.TEXTJOIN(", ",TRUE,_xlfn._xlws.FILTER(ROW(PriceList!$B$4:$B$2641),PriceList!$M$4:$M$2641=A1397,""))</f>
        <v>2232, 2363, 2487</v>
      </c>
      <c r="F1397" s="42" t="str" cm="1">
        <f t="array" ref="F1397">_xlfn.TEXTJOIN(" | ",TRUE,_xlfn.UNIQUE(_xlfn._xlws.FILTER(PriceList!$Q$4:$Q$2641&amp;" x "&amp;PriceList!$R$4:$R$2641&amp;" x "&amp;PriceList!$S$4:$S$2641,PriceList!$M$4:$M$2641=A1397,"")))</f>
        <v>110 x 130 x 30</v>
      </c>
      <c r="G1397" t="str" cm="1">
        <f t="array" ref="G1397">INDEX(_xlfn._xlws.FILTER(PriceList!$P$4:$P$2641,PriceList!$M$4:$M$2641=A1397,""),1)</f>
        <v>HalliteÂ® Type 07</v>
      </c>
    </row>
    <row r="1398" spans="1:7" ht="28.5" x14ac:dyDescent="0.45">
      <c r="A1398" t="s">
        <v>5343</v>
      </c>
      <c r="B1398">
        <f>COUNTIF(PriceList!$M$4:$M$2641,A1398)</f>
        <v>4</v>
      </c>
      <c r="C1398" t="str">
        <f>IF(B1398=1,"1:1","1:Many")</f>
        <v>1:Many</v>
      </c>
      <c r="D1398" s="42" t="str" cm="1">
        <f t="array" ref="D1398">_xlfn.TEXTJOIN(" | ",TRUE,_xlfn._xlws.FILTER(PriceList!$B$4:$B$2641,PriceList!$M$4:$M$2641=A1398,""))</f>
        <v>RS018-F-1200-1405-081 | RS018-N-1200-1405-081 | RS054-N-1200-1400-400 | RS072-F-1200-1400-170</v>
      </c>
      <c r="E1398" t="str" cm="1">
        <f t="array" ref="E1398">_xlfn.TEXTJOIN(", ",TRUE,_xlfn._xlws.FILTER(ROW(PriceList!$B$4:$B$2641),PriceList!$M$4:$M$2641=A1398,""))</f>
        <v>2237, 2368, 2490, 2565</v>
      </c>
      <c r="F1398" s="42" t="str" cm="1">
        <f t="array" ref="F1398">_xlfn.TEXTJOIN(" | ",TRUE,_xlfn.UNIQUE(_xlfn._xlws.FILTER(PriceList!$Q$4:$Q$2641&amp;" x "&amp;PriceList!$R$4:$R$2641&amp;" x "&amp;PriceList!$S$4:$S$2641,PriceList!$M$4:$M$2641=A1398,"")))</f>
        <v>120 x 140 x 30</v>
      </c>
      <c r="G1398" t="str" cm="1">
        <f t="array" ref="G1398">INDEX(_xlfn._xlws.FILTER(PriceList!$P$4:$P$2641,PriceList!$M$4:$M$2641=A1398,""),1)</f>
        <v>HalliteÂ® Type 09</v>
      </c>
    </row>
    <row r="1399" spans="1:7" ht="28.5" x14ac:dyDescent="0.45">
      <c r="A1399" t="s">
        <v>5344</v>
      </c>
      <c r="B1399">
        <f>COUNTIF(PriceList!$M$4:$M$2641,A1399)</f>
        <v>3</v>
      </c>
      <c r="C1399" t="str">
        <f>IF(B1399=1,"1:1","1:Many")</f>
        <v>1:Many</v>
      </c>
      <c r="D1399" s="42" t="str" cm="1">
        <f t="array" ref="D1399">_xlfn.TEXTJOIN(" | ",TRUE,_xlfn._xlws.FILTER(PriceList!$B$4:$B$2641,PriceList!$M$4:$M$2641=A1399,""))</f>
        <v>RS018-F-1250-1401-063 | RS018-N-1250-1401-063 | RS045-F-125-140-12/13</v>
      </c>
      <c r="E1399" t="str" cm="1">
        <f t="array" ref="E1399">_xlfn.TEXTJOIN(", ",TRUE,_xlfn._xlws.FILTER(ROW(PriceList!$B$4:$B$2641),PriceList!$M$4:$M$2641=A1399,""))</f>
        <v>2238, 2369, 2450</v>
      </c>
      <c r="F1399" s="42" t="str" cm="1">
        <f t="array" ref="F1399">_xlfn.TEXTJOIN(" | ",TRUE,_xlfn.UNIQUE(_xlfn._xlws.FILTER(PriceList!$Q$4:$Q$2641&amp;" x "&amp;PriceList!$R$4:$R$2641&amp;" x "&amp;PriceList!$S$4:$S$2641,PriceList!$M$4:$M$2641=A1399,"")))</f>
        <v>125 x 140 x 27.5</v>
      </c>
      <c r="G1399" t="str" cm="1">
        <f t="array" ref="G1399">INDEX(_xlfn._xlws.FILTER(PriceList!$P$4:$P$2641,PriceList!$M$4:$M$2641=A1399,""),1)</f>
        <v>HalliteÂ® Type 07</v>
      </c>
    </row>
    <row r="1400" spans="1:7" x14ac:dyDescent="0.45">
      <c r="A1400" t="s">
        <v>5488</v>
      </c>
      <c r="B1400">
        <f>COUNTIF(PriceList!$M$4:$M$2641,A1400)</f>
        <v>1</v>
      </c>
      <c r="C1400" t="str">
        <f>IF(B1400=1,"1:1","1:Many")</f>
        <v>1:1</v>
      </c>
      <c r="D1400" s="42" t="str" cm="1">
        <f t="array" ref="D1400">_xlfn.TEXTJOIN(" | ",TRUE,_xlfn._xlws.FILTER(PriceList!$B$4:$B$2641,PriceList!$M$4:$M$2641=A1400,""))</f>
        <v>RS054-N-1250-1500-460</v>
      </c>
      <c r="E1400" t="str" cm="1">
        <f t="array" ref="E1400">_xlfn.TEXTJOIN(", ",TRUE,_xlfn._xlws.FILTER(ROW(PriceList!$B$4:$B$2641),PriceList!$M$4:$M$2641=A1400,""))</f>
        <v>2492</v>
      </c>
      <c r="F1400" s="42" t="str" cm="1">
        <f t="array" ref="F1400">_xlfn.TEXTJOIN(" | ",TRUE,_xlfn.UNIQUE(_xlfn._xlws.FILTER(PriceList!$Q$4:$Q$2641&amp;" x "&amp;PriceList!$R$4:$R$2641&amp;" x "&amp;PriceList!$S$4:$S$2641,PriceList!$M$4:$M$2641=A1400,"")))</f>
        <v>125 x 150 x 43</v>
      </c>
      <c r="G1400" t="str" cm="1">
        <f t="array" ref="G1400">INDEX(_xlfn._xlws.FILTER(PriceList!$P$4:$P$2641,PriceList!$M$4:$M$2641=A1400,""),1)</f>
        <v>HalliteÂ® Type 07</v>
      </c>
    </row>
    <row r="1401" spans="1:7" ht="28.5" x14ac:dyDescent="0.45">
      <c r="A1401" t="s">
        <v>5352</v>
      </c>
      <c r="B1401">
        <f>COUNTIF(PriceList!$M$4:$M$2641,A1401)</f>
        <v>4</v>
      </c>
      <c r="C1401" t="str">
        <f>IF(B1401=1,"1:1","1:Many")</f>
        <v>1:Many</v>
      </c>
      <c r="D1401" s="42" t="str" cm="1">
        <f t="array" ref="D1401">_xlfn.TEXTJOIN(" | ",TRUE,_xlfn._xlws.FILTER(PriceList!$B$4:$B$2641,PriceList!$M$4:$M$2641=A1401,""))</f>
        <v>RS018-F-1400-1605-081 | RS018-N-1400-1605-081 | RS045-F-140-160-12/13 | RS072-F-1400-1600-170</v>
      </c>
      <c r="E1401" t="str" cm="1">
        <f t="array" ref="E1401">_xlfn.TEXTJOIN(", ",TRUE,_xlfn._xlws.FILTER(ROW(PriceList!$B$4:$B$2641),PriceList!$M$4:$M$2641=A1401,""))</f>
        <v>2244, 2378, 2452, 2569</v>
      </c>
      <c r="F1401" s="42" t="str" cm="1">
        <f t="array" ref="F1401">_xlfn.TEXTJOIN(" | ",TRUE,_xlfn.UNIQUE(_xlfn._xlws.FILTER(PriceList!$Q$4:$Q$2641&amp;" x "&amp;PriceList!$R$4:$R$2641&amp;" x "&amp;PriceList!$S$4:$S$2641,PriceList!$M$4:$M$2641=A1401,"")))</f>
        <v>140 x 160 x 35</v>
      </c>
      <c r="G1401" t="str" cm="1">
        <f t="array" ref="G1401">INDEX(_xlfn._xlws.FILTER(PriceList!$P$4:$P$2641,PriceList!$M$4:$M$2641=A1401,""),1)</f>
        <v>HalliteÂ® Type 07</v>
      </c>
    </row>
    <row r="1402" spans="1:7" x14ac:dyDescent="0.45">
      <c r="A1402" t="s">
        <v>5490</v>
      </c>
      <c r="B1402">
        <f>COUNTIF(PriceList!$M$4:$M$2641,A1402)</f>
        <v>1</v>
      </c>
      <c r="C1402" t="str">
        <f>IF(B1402=1,"1:1","1:Many")</f>
        <v>1:1</v>
      </c>
      <c r="D1402" s="42" t="str" cm="1">
        <f t="array" ref="D1402">_xlfn.TEXTJOIN(" | ",TRUE,_xlfn._xlws.FILTER(PriceList!$B$4:$B$2641,PriceList!$M$4:$M$2641=A1402,""))</f>
        <v>RS054-N-1400-1650-460</v>
      </c>
      <c r="E1402" t="str" cm="1">
        <f t="array" ref="E1402">_xlfn.TEXTJOIN(", ",TRUE,_xlfn._xlws.FILTER(ROW(PriceList!$B$4:$B$2641),PriceList!$M$4:$M$2641=A1402,""))</f>
        <v>2495</v>
      </c>
      <c r="F1402" s="42" t="str" cm="1">
        <f t="array" ref="F1402">_xlfn.TEXTJOIN(" | ",TRUE,_xlfn.UNIQUE(_xlfn._xlws.FILTER(PriceList!$Q$4:$Q$2641&amp;" x "&amp;PriceList!$R$4:$R$2641&amp;" x "&amp;PriceList!$S$4:$S$2641,PriceList!$M$4:$M$2641=A1402,"")))</f>
        <v>140 x 165 x 34</v>
      </c>
      <c r="G1402" t="str" cm="1">
        <f t="array" ref="G1402">INDEX(_xlfn._xlws.FILTER(PriceList!$P$4:$P$2641,PriceList!$M$4:$M$2641=A1402,""),1)</f>
        <v>HalliteÂ® Type 14</v>
      </c>
    </row>
    <row r="1403" spans="1:7" x14ac:dyDescent="0.45">
      <c r="A1403" t="s">
        <v>5495</v>
      </c>
      <c r="B1403">
        <f>COUNTIF(PriceList!$M$4:$M$2641,A1403)</f>
        <v>1</v>
      </c>
      <c r="C1403" t="str">
        <f>IF(B1403=1,"1:1","1:Many")</f>
        <v>1:1</v>
      </c>
      <c r="D1403" s="42" t="str" cm="1">
        <f t="array" ref="D1403">_xlfn.TEXTJOIN(" | ",TRUE,_xlfn._xlws.FILTER(PriceList!$B$4:$B$2641,PriceList!$M$4:$M$2641=A1403,""))</f>
        <v>RS054-N-1800-2100-600</v>
      </c>
      <c r="E1403" t="str" cm="1">
        <f t="array" ref="E1403">_xlfn.TEXTJOIN(", ",TRUE,_xlfn._xlws.FILTER(ROW(PriceList!$B$4:$B$2641),PriceList!$M$4:$M$2641=A1403,""))</f>
        <v>2498</v>
      </c>
      <c r="F1403" s="42" t="str" cm="1">
        <f t="array" ref="F1403">_xlfn.TEXTJOIN(" | ",TRUE,_xlfn.UNIQUE(_xlfn._xlws.FILTER(PriceList!$Q$4:$Q$2641&amp;" x "&amp;PriceList!$R$4:$R$2641&amp;" x "&amp;PriceList!$S$4:$S$2641,PriceList!$M$4:$M$2641=A1403,"")))</f>
        <v>180 x 210 x 55</v>
      </c>
      <c r="G1403" t="str" cm="1">
        <f t="array" ref="G1403">INDEX(_xlfn._xlws.FILTER(PriceList!$P$4:$P$2641,PriceList!$M$4:$M$2641=A1403,""),1)</f>
        <v>HalliteÂ® Type 07</v>
      </c>
    </row>
    <row r="1404" spans="1:7" x14ac:dyDescent="0.45">
      <c r="A1404" t="s">
        <v>5441</v>
      </c>
      <c r="B1404">
        <f>COUNTIF(PriceList!$M$4:$M$2641,A1404)</f>
        <v>1</v>
      </c>
      <c r="C1404" t="str">
        <f>IF(B1404=1,"1:1","1:Many")</f>
        <v>1:1</v>
      </c>
      <c r="D1404" s="42" t="str" cm="1">
        <f t="array" ref="D1404">_xlfn.TEXTJOIN(" | ",TRUE,_xlfn._xlws.FILTER(PriceList!$B$4:$B$2641,PriceList!$M$4:$M$2641=A1404,""))</f>
        <v>RS045-F-020-030-7.3/8</v>
      </c>
      <c r="E1404" t="str" cm="1">
        <f t="array" ref="E1404">_xlfn.TEXTJOIN(", ",TRUE,_xlfn._xlws.FILTER(ROW(PriceList!$B$4:$B$2641),PriceList!$M$4:$M$2641=A1404,""))</f>
        <v>2413</v>
      </c>
      <c r="F1404" s="42" t="str" cm="1">
        <f t="array" ref="F1404">_xlfn.TEXTJOIN(" | ",TRUE,_xlfn.UNIQUE(_xlfn._xlws.FILTER(PriceList!$Q$4:$Q$2641&amp;" x "&amp;PriceList!$R$4:$R$2641&amp;" x "&amp;PriceList!$S$4:$S$2641,PriceList!$M$4:$M$2641=A1404,"")))</f>
        <v>20 x 30 x 18.5</v>
      </c>
      <c r="G1404" t="str" cm="1">
        <f t="array" ref="G1404">INDEX(_xlfn._xlws.FILTER(PriceList!$P$4:$P$2641,PriceList!$M$4:$M$2641=A1404,""),1)</f>
        <v>HalliteÂ® Type 11</v>
      </c>
    </row>
    <row r="1405" spans="1:7" x14ac:dyDescent="0.45">
      <c r="A1405" t="s">
        <v>5463</v>
      </c>
      <c r="B1405">
        <f>COUNTIF(PriceList!$M$4:$M$2641,A1405)</f>
        <v>1</v>
      </c>
      <c r="C1405" t="str">
        <f>IF(B1405=1,"1:1","1:Many")</f>
        <v>1:1</v>
      </c>
      <c r="D1405" s="42" t="str" cm="1">
        <f t="array" ref="D1405">_xlfn.TEXTJOIN(" | ",TRUE,_xlfn._xlws.FILTER(PriceList!$B$4:$B$2641,PriceList!$M$4:$M$2641=A1405,""))</f>
        <v>RS054-N-0250-0370-225</v>
      </c>
      <c r="E1405" t="str" cm="1">
        <f t="array" ref="E1405">_xlfn.TEXTJOIN(", ",TRUE,_xlfn._xlws.FILTER(ROW(PriceList!$B$4:$B$2641),PriceList!$M$4:$M$2641=A1405,""))</f>
        <v>2453</v>
      </c>
      <c r="F1405" s="42" t="str" cm="1">
        <f t="array" ref="F1405">_xlfn.TEXTJOIN(" | ",TRUE,_xlfn.UNIQUE(_xlfn._xlws.FILTER(PriceList!$Q$4:$Q$2641&amp;" x "&amp;PriceList!$R$4:$R$2641&amp;" x "&amp;PriceList!$S$4:$S$2641,PriceList!$M$4:$M$2641=A1405,"")))</f>
        <v>25 x 37 x 19</v>
      </c>
      <c r="G1405" t="str" cm="1">
        <f t="array" ref="G1405">INDEX(_xlfn._xlws.FILTER(PriceList!$P$4:$P$2641,PriceList!$M$4:$M$2641=A1405,""),1)</f>
        <v>HalliteÂ® Type 07</v>
      </c>
    </row>
    <row r="1406" spans="1:7" x14ac:dyDescent="0.45">
      <c r="A1406" t="s">
        <v>5324</v>
      </c>
      <c r="B1406">
        <f>COUNTIF(PriceList!$M$4:$M$2641,A1406)</f>
        <v>2</v>
      </c>
      <c r="C1406" t="str">
        <f>IF(B1406=1,"1:1","1:Many")</f>
        <v>1:Many</v>
      </c>
      <c r="D1406" s="42" t="str" cm="1">
        <f t="array" ref="D1406">_xlfn.TEXTJOIN(" | ",TRUE,_xlfn._xlws.FILTER(PriceList!$B$4:$B$2641,PriceList!$M$4:$M$2641=A1406,""))</f>
        <v>RS018-F-0880-1031-063 | RS018-N-0880-1031-063</v>
      </c>
      <c r="E1406" t="str" cm="1">
        <f t="array" ref="E1406">_xlfn.TEXTJOIN(", ",TRUE,_xlfn._xlws.FILTER(ROW(PriceList!$B$4:$B$2641),PriceList!$M$4:$M$2641=A1406,""))</f>
        <v>2222, 2348</v>
      </c>
      <c r="F1406" s="42" t="str" cm="1">
        <f t="array" ref="F1406">_xlfn.TEXTJOIN(" | ",TRUE,_xlfn.UNIQUE(_xlfn._xlws.FILTER(PriceList!$Q$4:$Q$2641&amp;" x "&amp;PriceList!$R$4:$R$2641&amp;" x "&amp;PriceList!$S$4:$S$2641,PriceList!$M$4:$M$2641=A1406,"")))</f>
        <v>88.392 x 104.648 x 29.21</v>
      </c>
      <c r="G1406" t="str" cm="1">
        <f t="array" ref="G1406">INDEX(_xlfn._xlws.FILTER(PriceList!$P$4:$P$2641,PriceList!$M$4:$M$2641=A1406,""),1)</f>
        <v>HalliteÂ® Type 07</v>
      </c>
    </row>
    <row r="1407" spans="1:7" x14ac:dyDescent="0.45">
      <c r="A1407" t="s">
        <v>5393</v>
      </c>
      <c r="B1407">
        <f>COUNTIF(PriceList!$M$4:$M$2641,A1407)</f>
        <v>1</v>
      </c>
      <c r="C1407" t="str">
        <f>IF(B1407=1,"1:1","1:Many")</f>
        <v>1:1</v>
      </c>
      <c r="D1407" s="42" t="str" cm="1">
        <f t="array" ref="D1407">_xlfn.TEXTJOIN(" | ",TRUE,_xlfn._xlws.FILTER(PriceList!$B$4:$B$2641,PriceList!$M$4:$M$2641=A1407,""))</f>
        <v>RS018-N-0300-0451-063</v>
      </c>
      <c r="E1407" t="str" cm="1">
        <f t="array" ref="E1407">_xlfn.TEXTJOIN(", ",TRUE,_xlfn._xlws.FILTER(ROW(PriceList!$B$4:$B$2641),PriceList!$M$4:$M$2641=A1407,""))</f>
        <v>2295</v>
      </c>
      <c r="F1407" s="42" t="str" cm="1">
        <f t="array" ref="F1407">_xlfn.TEXTJOIN(" | ",TRUE,_xlfn.UNIQUE(_xlfn._xlws.FILTER(PriceList!$Q$4:$Q$2641&amp;" x "&amp;PriceList!$R$4:$R$2641&amp;" x "&amp;PriceList!$S$4:$S$2641,PriceList!$M$4:$M$2641=A1407,"")))</f>
        <v>30 x 45 x 22.5</v>
      </c>
      <c r="G1407" t="str" cm="1">
        <f t="array" ref="G1407">INDEX(_xlfn._xlws.FILTER(PriceList!$P$4:$P$2641,PriceList!$M$4:$M$2641=A1407,""),1)</f>
        <v>HalliteÂ® Type 09</v>
      </c>
    </row>
    <row r="1408" spans="1:7" ht="28.5" x14ac:dyDescent="0.45">
      <c r="A1408" t="s">
        <v>5273</v>
      </c>
      <c r="B1408">
        <f>COUNTIF(PriceList!$M$4:$M$2641,A1408)</f>
        <v>3</v>
      </c>
      <c r="C1408" t="str">
        <f>IF(B1408=1,"1:1","1:Many")</f>
        <v>1:Many</v>
      </c>
      <c r="D1408" s="42" t="str" cm="1">
        <f t="array" ref="D1408">_xlfn.TEXTJOIN(" | ",TRUE,_xlfn._xlws.FILTER(PriceList!$B$4:$B$2641,PriceList!$M$4:$M$2641=A1408,""))</f>
        <v>RS018-F-0350-0501-063 | RS018-N-0350-0501-063 | RS054-N-0350-0500-225</v>
      </c>
      <c r="E1408" t="str" cm="1">
        <f t="array" ref="E1408">_xlfn.TEXTJOIN(", ",TRUE,_xlfn._xlws.FILTER(ROW(PriceList!$B$4:$B$2641),PriceList!$M$4:$M$2641=A1408,""))</f>
        <v>2188, 2301, 2457</v>
      </c>
      <c r="F1408" s="42" t="str" cm="1">
        <f t="array" ref="F1408">_xlfn.TEXTJOIN(" | ",TRUE,_xlfn.UNIQUE(_xlfn._xlws.FILTER(PriceList!$Q$4:$Q$2641&amp;" x "&amp;PriceList!$R$4:$R$2641&amp;" x "&amp;PriceList!$S$4:$S$2641,PriceList!$M$4:$M$2641=A1408,"")))</f>
        <v>35 x 50 x 22.5</v>
      </c>
      <c r="G1408" t="str" cm="1">
        <f t="array" ref="G1408">INDEX(_xlfn._xlws.FILTER(PriceList!$P$4:$P$2641,PriceList!$M$4:$M$2641=A1408,""),1)</f>
        <v>HalliteÂ® Type 07</v>
      </c>
    </row>
    <row r="1409" spans="1:7" x14ac:dyDescent="0.45">
      <c r="A1409" t="s">
        <v>5469</v>
      </c>
      <c r="B1409">
        <f>COUNTIF(PriceList!$M$4:$M$2641,A1409)</f>
        <v>1</v>
      </c>
      <c r="C1409" t="str">
        <f>IF(B1409=1,"1:1","1:Many")</f>
        <v>1:1</v>
      </c>
      <c r="D1409" s="42" t="str" cm="1">
        <f t="array" ref="D1409">_xlfn.TEXTJOIN(" | ",TRUE,_xlfn._xlws.FILTER(PriceList!$B$4:$B$2641,PriceList!$M$4:$M$2641=A1409,""))</f>
        <v>RS054-N-0400-0550-225</v>
      </c>
      <c r="E1409" t="str" cm="1">
        <f t="array" ref="E1409">_xlfn.TEXTJOIN(", ",TRUE,_xlfn._xlws.FILTER(ROW(PriceList!$B$4:$B$2641),PriceList!$M$4:$M$2641=A1409,""))</f>
        <v>2461</v>
      </c>
      <c r="F1409" s="42" t="str" cm="1">
        <f t="array" ref="F1409">_xlfn.TEXTJOIN(" | ",TRUE,_xlfn.UNIQUE(_xlfn._xlws.FILTER(PriceList!$Q$4:$Q$2641&amp;" x "&amp;PriceList!$R$4:$R$2641&amp;" x "&amp;PriceList!$S$4:$S$2641,PriceList!$M$4:$M$2641=A1409,"")))</f>
        <v>40 x 55 x 22.5</v>
      </c>
      <c r="G1409" t="str" cm="1">
        <f t="array" ref="G1409">INDEX(_xlfn._xlws.FILTER(PriceList!$P$4:$P$2641,PriceList!$M$4:$M$2641=A1409,""),1)</f>
        <v>HalliteÂ® Type 07</v>
      </c>
    </row>
    <row r="1410" spans="1:7" x14ac:dyDescent="0.45">
      <c r="A1410" t="s">
        <v>5296</v>
      </c>
      <c r="B1410">
        <f>COUNTIF(PriceList!$M$4:$M$2641,A1410)</f>
        <v>2</v>
      </c>
      <c r="C1410" t="str">
        <f>IF(B1410=1,"1:1","1:Many")</f>
        <v>1:Many</v>
      </c>
      <c r="D1410" s="42" t="str" cm="1">
        <f t="array" ref="D1410">_xlfn.TEXTJOIN(" | ",TRUE,_xlfn._xlws.FILTER(PriceList!$B$4:$B$2641,PriceList!$M$4:$M$2641=A1410,""))</f>
        <v>RS018-F-0480-0631-063 | RS018-N-0480-0631-063</v>
      </c>
      <c r="E1410" t="str" cm="1">
        <f t="array" ref="E1410">_xlfn.TEXTJOIN(", ",TRUE,_xlfn._xlws.FILTER(ROW(PriceList!$B$4:$B$2641),PriceList!$M$4:$M$2641=A1410,""))</f>
        <v>2199, 2316</v>
      </c>
      <c r="F1410" s="42" t="str" cm="1">
        <f t="array" ref="F1410">_xlfn.TEXTJOIN(" | ",TRUE,_xlfn.UNIQUE(_xlfn._xlws.FILTER(PriceList!$Q$4:$Q$2641&amp;" x "&amp;PriceList!$R$4:$R$2641&amp;" x "&amp;PriceList!$S$4:$S$2641,PriceList!$M$4:$M$2641=A1410,"")))</f>
        <v>48 x 63 x 22.5</v>
      </c>
      <c r="G1410" t="str" cm="1">
        <f t="array" ref="G1410">INDEX(_xlfn._xlws.FILTER(PriceList!$P$4:$P$2641,PriceList!$M$4:$M$2641=A1410,""),1)</f>
        <v>HalliteÂ® Type 09</v>
      </c>
    </row>
    <row r="1411" spans="1:7" ht="28.5" x14ac:dyDescent="0.45">
      <c r="A1411" t="s">
        <v>5457</v>
      </c>
      <c r="B1411">
        <f>COUNTIF(PriceList!$M$4:$M$2641,A1411)</f>
        <v>3</v>
      </c>
      <c r="C1411" t="str">
        <f>IF(B1411=1,"1:1","1:Many")</f>
        <v>1:Many</v>
      </c>
      <c r="D1411" s="42" t="str" cm="1">
        <f t="array" ref="D1411">_xlfn.TEXTJOIN(" | ",TRUE,_xlfn._xlws.FILTER(PriceList!$B$4:$B$2641,PriceList!$M$4:$M$2641=A1411,""))</f>
        <v>RS045-F-056-071-9/10 | RS054-N-0560-0710-225 | RS072-F-0560-0710-130</v>
      </c>
      <c r="E1411" t="str" cm="1">
        <f t="array" ref="E1411">_xlfn.TEXTJOIN(", ",TRUE,_xlfn._xlws.FILTER(ROW(PriceList!$B$4:$B$2641),PriceList!$M$4:$M$2641=A1411,""))</f>
        <v>2438, 2469, 2551</v>
      </c>
      <c r="F1411" s="42" t="str" cm="1">
        <f t="array" ref="F1411">_xlfn.TEXTJOIN(" | ",TRUE,_xlfn.UNIQUE(_xlfn._xlws.FILTER(PriceList!$Q$4:$Q$2641&amp;" x "&amp;PriceList!$R$4:$R$2641&amp;" x "&amp;PriceList!$S$4:$S$2641,PriceList!$M$4:$M$2641=A1411,"")))</f>
        <v>56 x 71 x 29</v>
      </c>
      <c r="G1411" t="str" cm="1">
        <f t="array" ref="G1411">INDEX(_xlfn._xlws.FILTER(PriceList!$P$4:$P$2641,PriceList!$M$4:$M$2641=A1411,""),1)</f>
        <v>HalliteÂ® Type 07</v>
      </c>
    </row>
    <row r="1412" spans="1:7" x14ac:dyDescent="0.45">
      <c r="A1412" t="s">
        <v>5473</v>
      </c>
      <c r="B1412">
        <f>COUNTIF(PriceList!$M$4:$M$2641,A1412)</f>
        <v>1</v>
      </c>
      <c r="C1412" t="str">
        <f>IF(B1412=1,"1:1","1:Many")</f>
        <v>1:1</v>
      </c>
      <c r="D1412" s="42" t="str" cm="1">
        <f t="array" ref="D1412">_xlfn.TEXTJOIN(" | ",TRUE,_xlfn._xlws.FILTER(PriceList!$B$4:$B$2641,PriceList!$M$4:$M$2641=A1412,""))</f>
        <v>RS054-N-0550-0750-370</v>
      </c>
      <c r="E1412" t="str" cm="1">
        <f t="array" ref="E1412">_xlfn.TEXTJOIN(", ",TRUE,_xlfn._xlws.FILTER(ROW(PriceList!$B$4:$B$2641),PriceList!$M$4:$M$2641=A1412,""))</f>
        <v>2468</v>
      </c>
      <c r="F1412" s="42" t="str" cm="1">
        <f t="array" ref="F1412">_xlfn.TEXTJOIN(" | ",TRUE,_xlfn.UNIQUE(_xlfn._xlws.FILTER(PriceList!$Q$4:$Q$2641&amp;" x "&amp;PriceList!$R$4:$R$2641&amp;" x "&amp;PriceList!$S$4:$S$2641,PriceList!$M$4:$M$2641=A1412,"")))</f>
        <v>55 x 75 x 30</v>
      </c>
      <c r="G1412" t="str" cm="1">
        <f t="array" ref="G1412">INDEX(_xlfn._xlws.FILTER(PriceList!$P$4:$P$2641,PriceList!$M$4:$M$2641=A1412,""),1)</f>
        <v>HalliteÂ® Type 07</v>
      </c>
    </row>
    <row r="1413" spans="1:7" x14ac:dyDescent="0.45">
      <c r="A1413" t="s">
        <v>5475</v>
      </c>
      <c r="B1413">
        <f>COUNTIF(PriceList!$M$4:$M$2641,A1413)</f>
        <v>2</v>
      </c>
      <c r="C1413" t="str">
        <f>IF(B1413=1,"1:1","1:Many")</f>
        <v>1:Many</v>
      </c>
      <c r="D1413" s="42" t="str" cm="1">
        <f t="array" ref="D1413">_xlfn.TEXTJOIN(" | ",TRUE,_xlfn._xlws.FILTER(PriceList!$B$4:$B$2641,PriceList!$M$4:$M$2641=A1413,""))</f>
        <v>RS054-N-0600-0750-225 | RS072-F-0600-0750-130</v>
      </c>
      <c r="E1413" t="str" cm="1">
        <f t="array" ref="E1413">_xlfn.TEXTJOIN(", ",TRUE,_xlfn._xlws.FILTER(ROW(PriceList!$B$4:$B$2641),PriceList!$M$4:$M$2641=A1413,""))</f>
        <v>2471, 2552</v>
      </c>
      <c r="F1413" s="42" t="str" cm="1">
        <f t="array" ref="F1413">_xlfn.TEXTJOIN(" | ",TRUE,_xlfn.UNIQUE(_xlfn._xlws.FILTER(PriceList!$Q$4:$Q$2641&amp;" x "&amp;PriceList!$R$4:$R$2641&amp;" x "&amp;PriceList!$S$4:$S$2641,PriceList!$M$4:$M$2641=A1413,"")))</f>
        <v>60 x 75 x 25</v>
      </c>
      <c r="G1413" t="str" cm="1">
        <f t="array" ref="G1413">INDEX(_xlfn._xlws.FILTER(PriceList!$P$4:$P$2641,PriceList!$M$4:$M$2641=A1413,""),1)</f>
        <v>HalliteÂ® Type 07</v>
      </c>
    </row>
    <row r="1414" spans="1:7" x14ac:dyDescent="0.45">
      <c r="A1414" t="s">
        <v>5478</v>
      </c>
      <c r="B1414">
        <f>COUNTIF(PriceList!$M$4:$M$2641,A1414)</f>
        <v>1</v>
      </c>
      <c r="C1414" t="str">
        <f>IF(B1414=1,"1:1","1:Many")</f>
        <v>1:1</v>
      </c>
      <c r="D1414" s="42" t="str" cm="1">
        <f t="array" ref="D1414">_xlfn.TEXTJOIN(" | ",TRUE,_xlfn._xlws.FILTER(PriceList!$B$4:$B$2641,PriceList!$M$4:$M$2641=A1414,""))</f>
        <v>RS054-N-0630-0830-370</v>
      </c>
      <c r="E1414" t="str" cm="1">
        <f t="array" ref="E1414">_xlfn.TEXTJOIN(", ",TRUE,_xlfn._xlws.FILTER(ROW(PriceList!$B$4:$B$2641),PriceList!$M$4:$M$2641=A1414,""))</f>
        <v>2474</v>
      </c>
      <c r="F1414" s="42" t="str" cm="1">
        <f t="array" ref="F1414">_xlfn.TEXTJOIN(" | ",TRUE,_xlfn.UNIQUE(_xlfn._xlws.FILTER(PriceList!$Q$4:$Q$2641&amp;" x "&amp;PriceList!$R$4:$R$2641&amp;" x "&amp;PriceList!$S$4:$S$2641,PriceList!$M$4:$M$2641=A1414,"")))</f>
        <v>63 x 83 x 30</v>
      </c>
      <c r="G1414" t="str" cm="1">
        <f t="array" ref="G1414">INDEX(_xlfn._xlws.FILTER(PriceList!$P$4:$P$2641,PriceList!$M$4:$M$2641=A1414,""),1)</f>
        <v>HalliteÂ® Type 07</v>
      </c>
    </row>
    <row r="1415" spans="1:7" x14ac:dyDescent="0.45">
      <c r="A1415" t="s">
        <v>5479</v>
      </c>
      <c r="B1415">
        <f>COUNTIF(PriceList!$M$4:$M$2641,A1415)</f>
        <v>1</v>
      </c>
      <c r="C1415" t="str">
        <f>IF(B1415=1,"1:1","1:Many")</f>
        <v>1:1</v>
      </c>
      <c r="D1415" s="42" t="str" cm="1">
        <f t="array" ref="D1415">_xlfn.TEXTJOIN(" | ",TRUE,_xlfn._xlws.FILTER(PriceList!$B$4:$B$2641,PriceList!$M$4:$M$2641=A1415,""))</f>
        <v>RS054-N-0700-0900-400(1+2+1+1)</v>
      </c>
      <c r="E1415" t="str" cm="1">
        <f t="array" ref="E1415">_xlfn.TEXTJOIN(", ",TRUE,_xlfn._xlws.FILTER(ROW(PriceList!$B$4:$B$2641),PriceList!$M$4:$M$2641=A1415,""))</f>
        <v>2476</v>
      </c>
      <c r="F1415" s="42" t="str" cm="1">
        <f t="array" ref="F1415">_xlfn.TEXTJOIN(" | ",TRUE,_xlfn.UNIQUE(_xlfn._xlws.FILTER(PriceList!$Q$4:$Q$2641&amp;" x "&amp;PriceList!$R$4:$R$2641&amp;" x "&amp;PriceList!$S$4:$S$2641,PriceList!$M$4:$M$2641=A1415,"")))</f>
        <v>70 x 90 x 30</v>
      </c>
      <c r="G1415" t="str" cm="1">
        <f t="array" ref="G1415">INDEX(_xlfn._xlws.FILTER(PriceList!$P$4:$P$2641,PriceList!$M$4:$M$2641=A1415,""),1)</f>
        <v>HalliteÂ® Type 07</v>
      </c>
    </row>
    <row r="1416" spans="1:7" ht="28.5" x14ac:dyDescent="0.45">
      <c r="A1416" t="s">
        <v>3835</v>
      </c>
      <c r="B1416">
        <f>COUNTIF(PriceList!$M$4:$M$2641,A1416)</f>
        <v>3</v>
      </c>
      <c r="C1416" t="str">
        <f>IF(B1416=1,"1:1","1:Many")</f>
        <v>1:Many</v>
      </c>
      <c r="D1416" s="42" t="str" cm="1">
        <f t="array" ref="D1416">_xlfn.TEXTJOIN(" | ",TRUE,_xlfn._xlws.FILTER(PriceList!$B$4:$B$2641,PriceList!$M$4:$M$2641=A1416,""))</f>
        <v>DS033-U-1000-1100-0710 | DS066-F-1000-1088-060 | DS066-N-1000-1088-060</v>
      </c>
      <c r="E1416" t="str" cm="1">
        <f t="array" ref="E1416">_xlfn.TEXTJOIN(", ",TRUE,_xlfn._xlws.FILTER(ROW(PriceList!$B$4:$B$2641),PriceList!$M$4:$M$2641=A1416,""))</f>
        <v>236, 423, 470</v>
      </c>
      <c r="F1416" s="42" t="str" cm="1">
        <f t="array" ref="F1416">_xlfn.TEXTJOIN(" | ",TRUE,_xlfn.UNIQUE(_xlfn._xlws.FILTER(PriceList!$Q$4:$Q$2641&amp;" x "&amp;PriceList!$R$4:$R$2641&amp;" x "&amp;PriceList!$S$4:$S$2641,PriceList!$M$4:$M$2641=A1416,"")))</f>
        <v>100 x 110 x 5.3</v>
      </c>
      <c r="G1416" t="str" cm="1">
        <f t="array" ref="G1416">INDEX(_xlfn._xlws.FILTER(PriceList!$P$4:$P$2641,PriceList!$M$4:$M$2641=A1416,""),1)</f>
        <v>HalliteÂ® Type 38</v>
      </c>
    </row>
    <row r="1417" spans="1:7" ht="42.75" x14ac:dyDescent="0.45">
      <c r="A1417" t="s">
        <v>3758</v>
      </c>
      <c r="B1417">
        <f>COUNTIF(PriceList!$M$4:$M$2641,A1417)</f>
        <v>5</v>
      </c>
      <c r="C1417" t="str">
        <f>IF(B1417=1,"1:1","1:Many")</f>
        <v>1:Many</v>
      </c>
      <c r="D1417" s="42" t="str" cm="1">
        <f t="array" ref="D1417">_xlfn.TEXTJOIN(" | ",TRUE,_xlfn._xlws.FILTER(PriceList!$B$4:$B$2641,PriceList!$M$4:$M$2641=A1417,""))</f>
        <v>DS011-F-1000-1120-0712 | DS011-N-1000-1120-0712 | DS011-U-1000-1120-0712 | DS066-F-1000-1120-080 | DS066-N-1000-1122-081</v>
      </c>
      <c r="E1417" t="str" cm="1">
        <f t="array" ref="E1417">_xlfn.TEXTJOIN(", ",TRUE,_xlfn._xlws.FILTER(ROW(PriceList!$B$4:$B$2641),PriceList!$M$4:$M$2641=A1417,""))</f>
        <v>36, 96, 179, 424, 471</v>
      </c>
      <c r="F1417" s="42" t="str" cm="1">
        <f t="array" ref="F1417">_xlfn.TEXTJOIN(" | ",TRUE,_xlfn.UNIQUE(_xlfn._xlws.FILTER(PriceList!$Q$4:$Q$2641&amp;" x "&amp;PriceList!$R$4:$R$2641&amp;" x "&amp;PriceList!$S$4:$S$2641,PriceList!$M$4:$M$2641=A1417,"")))</f>
        <v>100 x 112 x 7.2</v>
      </c>
      <c r="G1417" t="str" cm="1">
        <f t="array" ref="G1417">INDEX(_xlfn._xlws.FILTER(PriceList!$P$4:$P$2641,PriceList!$M$4:$M$2641=A1417,""),1)</f>
        <v>HalliteÂ® Type 38</v>
      </c>
    </row>
    <row r="1418" spans="1:7" x14ac:dyDescent="0.45">
      <c r="A1418" t="s">
        <v>3853</v>
      </c>
      <c r="B1418">
        <f>COUNTIF(PriceList!$M$4:$M$2641,A1418)</f>
        <v>1</v>
      </c>
      <c r="C1418" t="str">
        <f>IF(B1418=1,"1:1","1:Many")</f>
        <v>1:1</v>
      </c>
      <c r="D1418" s="42" t="str" cm="1">
        <f t="array" ref="D1418">_xlfn.TEXTJOIN(" | ",TRUE,_xlfn._xlws.FILTER(PriceList!$B$4:$B$2641,PriceList!$M$4:$M$2641=A1418,""))</f>
        <v>DS044-U-1000-1140-0811</v>
      </c>
      <c r="E1418" t="str" cm="1">
        <f t="array" ref="E1418">_xlfn.TEXTJOIN(", ",TRUE,_xlfn._xlws.FILTER(ROW(PriceList!$B$4:$B$2641),PriceList!$M$4:$M$2641=A1418,""))</f>
        <v>264</v>
      </c>
      <c r="F1418" s="42" t="str" cm="1">
        <f t="array" ref="F1418">_xlfn.TEXTJOIN(" | ",TRUE,_xlfn.UNIQUE(_xlfn._xlws.FILTER(PriceList!$Q$4:$Q$2641&amp;" x "&amp;PriceList!$R$4:$R$2641&amp;" x "&amp;PriceList!$S$4:$S$2641,PriceList!$M$4:$M$2641=A1418,"")))</f>
        <v>100 x 114 x 8</v>
      </c>
      <c r="G1418" t="str" cm="1">
        <f t="array" ref="G1418">INDEX(_xlfn._xlws.FILTER(PriceList!$P$4:$P$2641,PriceList!$M$4:$M$2641=A1418,""),1)</f>
        <v>HalliteÂ® Type 842</v>
      </c>
    </row>
    <row r="1419" spans="1:7" x14ac:dyDescent="0.45">
      <c r="A1419" t="s">
        <v>3883</v>
      </c>
      <c r="B1419">
        <f>COUNTIF(PriceList!$M$4:$M$2641,A1419)</f>
        <v>2</v>
      </c>
      <c r="C1419" t="str">
        <f>IF(B1419=1,"1:1","1:Many")</f>
        <v>1:Many</v>
      </c>
      <c r="D1419" s="42" t="str" cm="1">
        <f t="array" ref="D1419">_xlfn.TEXTJOIN(" | ",TRUE,_xlfn._xlws.FILTER(PriceList!$B$4:$B$2641,PriceList!$M$4:$M$2641=A1419,""))</f>
        <v>DS066-F-1050-1138-060 | DS066-N-1050-1138-060</v>
      </c>
      <c r="E1419" t="str" cm="1">
        <f t="array" ref="E1419">_xlfn.TEXTJOIN(", ",TRUE,_xlfn._xlws.FILTER(ROW(PriceList!$B$4:$B$2641),PriceList!$M$4:$M$2641=A1419,""))</f>
        <v>425, 472</v>
      </c>
      <c r="F1419" s="42" t="str" cm="1">
        <f t="array" ref="F1419">_xlfn.TEXTJOIN(" | ",TRUE,_xlfn.UNIQUE(_xlfn._xlws.FILTER(PriceList!$Q$4:$Q$2641&amp;" x "&amp;PriceList!$R$4:$R$2641&amp;" x "&amp;PriceList!$S$4:$S$2641,PriceList!$M$4:$M$2641=A1419,"")))</f>
        <v>105 x 113 x 5</v>
      </c>
      <c r="G1419" t="str" cm="1">
        <f t="array" ref="G1419">INDEX(_xlfn._xlws.FILTER(PriceList!$P$4:$P$2641,PriceList!$M$4:$M$2641=A1419,""),1)</f>
        <v>HalliteÂ® Type 38</v>
      </c>
    </row>
    <row r="1420" spans="1:7" x14ac:dyDescent="0.45">
      <c r="A1420" t="s">
        <v>3854</v>
      </c>
      <c r="B1420">
        <f>COUNTIF(PriceList!$M$4:$M$2641,A1420)</f>
        <v>1</v>
      </c>
      <c r="C1420" t="str">
        <f>IF(B1420=1,"1:1","1:Many")</f>
        <v>1:1</v>
      </c>
      <c r="D1420" s="42" t="str" cm="1">
        <f t="array" ref="D1420">_xlfn.TEXTJOIN(" | ",TRUE,_xlfn._xlws.FILTER(PriceList!$B$4:$B$2641,PriceList!$M$4:$M$2641=A1420,""))</f>
        <v>DS044-U-1050-1210-0912</v>
      </c>
      <c r="E1420" t="str" cm="1">
        <f t="array" ref="E1420">_xlfn.TEXTJOIN(", ",TRUE,_xlfn._xlws.FILTER(ROW(PriceList!$B$4:$B$2641),PriceList!$M$4:$M$2641=A1420,""))</f>
        <v>265</v>
      </c>
      <c r="F1420" s="42" t="str" cm="1">
        <f t="array" ref="F1420">_xlfn.TEXTJOIN(" | ",TRUE,_xlfn.UNIQUE(_xlfn._xlws.FILTER(PriceList!$Q$4:$Q$2641&amp;" x "&amp;PriceList!$R$4:$R$2641&amp;" x "&amp;PriceList!$S$4:$S$2641,PriceList!$M$4:$M$2641=A1420,"")))</f>
        <v>105 x 121 x 8</v>
      </c>
      <c r="G1420" t="str" cm="1">
        <f t="array" ref="G1420">INDEX(_xlfn._xlws.FILTER(PriceList!$P$4:$P$2641,PriceList!$M$4:$M$2641=A1420,""),1)</f>
        <v>HalliteÂ® Type 33</v>
      </c>
    </row>
    <row r="1421" spans="1:7" ht="28.5" x14ac:dyDescent="0.45">
      <c r="A1421" t="s">
        <v>3823</v>
      </c>
      <c r="B1421">
        <f>COUNTIF(PriceList!$M$4:$M$2641,A1421)</f>
        <v>3</v>
      </c>
      <c r="C1421" t="str">
        <f>IF(B1421=1,"1:1","1:Many")</f>
        <v>1:Many</v>
      </c>
      <c r="D1421" s="42" t="str" cm="1">
        <f t="array" ref="D1421">_xlfn.TEXTJOIN(" | ",TRUE,_xlfn._xlws.FILTER(PriceList!$B$4:$B$2641,PriceList!$M$4:$M$2641=A1421,""))</f>
        <v>DS033-N-1100-1200-0710 | DS066-F-1100-1188-060 | DS066-N-1100-1188-060</v>
      </c>
      <c r="E1421" t="str" cm="1">
        <f t="array" ref="E1421">_xlfn.TEXTJOIN(", ",TRUE,_xlfn._xlws.FILTER(ROW(PriceList!$B$4:$B$2641),PriceList!$M$4:$M$2641=A1421,""))</f>
        <v>197, 426, 473</v>
      </c>
      <c r="F1421" s="42" t="str" cm="1">
        <f t="array" ref="F1421">_xlfn.TEXTJOIN(" | ",TRUE,_xlfn.UNIQUE(_xlfn._xlws.FILTER(PriceList!$Q$4:$Q$2641&amp;" x "&amp;PriceList!$R$4:$R$2641&amp;" x "&amp;PriceList!$S$4:$S$2641,PriceList!$M$4:$M$2641=A1421,"")))</f>
        <v>110 x 120 x 7</v>
      </c>
      <c r="G1421" t="str" cm="1">
        <f t="array" ref="G1421">INDEX(_xlfn._xlws.FILTER(PriceList!$P$4:$P$2641,PriceList!$M$4:$M$2641=A1421,""),1)</f>
        <v>HalliteÂ® Type 860</v>
      </c>
    </row>
    <row r="1422" spans="1:7" ht="57" x14ac:dyDescent="0.45">
      <c r="A1422" t="s">
        <v>3759</v>
      </c>
      <c r="B1422">
        <f>COUNTIF(PriceList!$M$4:$M$2641,A1422)</f>
        <v>7</v>
      </c>
      <c r="C1422" t="str">
        <f>IF(B1422=1,"1:1","1:Many")</f>
        <v>1:Many</v>
      </c>
      <c r="D1422" s="42" t="str" cm="1">
        <f t="array" ref="D1422">_xlfn.TEXTJOIN(" | ",TRUE,_xlfn._xlws.FILTER(PriceList!$B$4:$B$2641,PriceList!$M$4:$M$2641=A1422,""))</f>
        <v>DS011-F-1100-1220-0712 | DS011-N-1100-1220-0712 | DS011-U-1100-1220-0712 | DS055-F-1100-1220-0811 | DS066-F-1100-1222-081 | DS066-N-1100-1222-081 | DS077-U-1100-1220-5.5/10</v>
      </c>
      <c r="E1422" t="str" cm="1">
        <f t="array" ref="E1422">_xlfn.TEXTJOIN(", ",TRUE,_xlfn._xlws.FILTER(ROW(PriceList!$B$4:$B$2641),PriceList!$M$4:$M$2641=A1422,""))</f>
        <v>37, 97, 180, 300, 427, 474, 508</v>
      </c>
      <c r="F1422" s="42" t="str" cm="1">
        <f t="array" ref="F1422">_xlfn.TEXTJOIN(" | ",TRUE,_xlfn.UNIQUE(_xlfn._xlws.FILTER(PriceList!$Q$4:$Q$2641&amp;" x "&amp;PriceList!$R$4:$R$2641&amp;" x "&amp;PriceList!$S$4:$S$2641,PriceList!$M$4:$M$2641=A1422,"")))</f>
        <v>110 x 122 x 7.2</v>
      </c>
      <c r="G1422" t="str" cm="1">
        <f t="array" ref="G1422">INDEX(_xlfn._xlws.FILTER(PriceList!$P$4:$P$2641,PriceList!$M$4:$M$2641=A1422,""),1)</f>
        <v>HalliteÂ® Type 38</v>
      </c>
    </row>
    <row r="1423" spans="1:7" x14ac:dyDescent="0.45">
      <c r="A1423" t="s">
        <v>3889</v>
      </c>
      <c r="B1423">
        <f>COUNTIF(PriceList!$M$4:$M$2641,A1423)</f>
        <v>1</v>
      </c>
      <c r="C1423" t="str">
        <f>IF(B1423=1,"1:1","1:Many")</f>
        <v>1:1</v>
      </c>
      <c r="D1423" s="42" t="str" cm="1">
        <f t="array" ref="D1423">_xlfn.TEXTJOIN(" | ",TRUE,_xlfn._xlws.FILTER(PriceList!$B$4:$B$2641,PriceList!$M$4:$M$2641=A1423,""))</f>
        <v>DS088-U-110.0-125.0-8.0</v>
      </c>
      <c r="E1423" t="str" cm="1">
        <f t="array" ref="E1423">_xlfn.TEXTJOIN(", ",TRUE,_xlfn._xlws.FILTER(ROW(PriceList!$B$4:$B$2641),PriceList!$M$4:$M$2641=A1423,""))</f>
        <v>539</v>
      </c>
      <c r="F1423" s="42" t="str" cm="1">
        <f t="array" ref="F1423">_xlfn.TEXTJOIN(" | ",TRUE,_xlfn.UNIQUE(_xlfn._xlws.FILTER(PriceList!$Q$4:$Q$2641&amp;" x "&amp;PriceList!$R$4:$R$2641&amp;" x "&amp;PriceList!$S$4:$S$2641,PriceList!$M$4:$M$2641=A1423,"")))</f>
        <v>110 x 125 x 9.5</v>
      </c>
      <c r="G1423" t="str" cm="1">
        <f t="array" ref="G1423">INDEX(_xlfn._xlws.FILTER(PriceList!$P$4:$P$2641,PriceList!$M$4:$M$2641=A1423,""),1)</f>
        <v>HalliteÂ® Type 38</v>
      </c>
    </row>
    <row r="1424" spans="1:7" x14ac:dyDescent="0.45">
      <c r="A1424" t="s">
        <v>3855</v>
      </c>
      <c r="B1424">
        <f>COUNTIF(PriceList!$M$4:$M$2641,A1424)</f>
        <v>2</v>
      </c>
      <c r="C1424" t="str">
        <f>IF(B1424=1,"1:1","1:Many")</f>
        <v>1:Many</v>
      </c>
      <c r="D1424" s="42" t="str" cm="1">
        <f t="array" ref="D1424">_xlfn.TEXTJOIN(" | ",TRUE,_xlfn._xlws.FILTER(PriceList!$B$4:$B$2641,PriceList!$M$4:$M$2641=A1424,""))</f>
        <v>DS044-U-1100-1260-0912 | DS088-U-110.0-126.0-9.0</v>
      </c>
      <c r="E1424" t="str" cm="1">
        <f t="array" ref="E1424">_xlfn.TEXTJOIN(", ",TRUE,_xlfn._xlws.FILTER(ROW(PriceList!$B$4:$B$2641),PriceList!$M$4:$M$2641=A1424,""))</f>
        <v>266, 540</v>
      </c>
      <c r="F1424" s="42" t="str" cm="1">
        <f t="array" ref="F1424">_xlfn.TEXTJOIN(" | ",TRUE,_xlfn.UNIQUE(_xlfn._xlws.FILTER(PriceList!$Q$4:$Q$2641&amp;" x "&amp;PriceList!$R$4:$R$2641&amp;" x "&amp;PriceList!$S$4:$S$2641,PriceList!$M$4:$M$2641=A1424,"")))</f>
        <v>110 x 126 x 8</v>
      </c>
      <c r="G1424" t="str" cm="1">
        <f t="array" ref="G1424">INDEX(_xlfn._xlws.FILTER(PriceList!$P$4:$P$2641,PriceList!$M$4:$M$2641=A1424,""),1)</f>
        <v>HalliteÂ® Type 33</v>
      </c>
    </row>
    <row r="1425" spans="1:7" ht="28.5" x14ac:dyDescent="0.45">
      <c r="A1425" t="s">
        <v>3777</v>
      </c>
      <c r="B1425">
        <f>COUNTIF(PriceList!$M$4:$M$2641,A1425)</f>
        <v>3</v>
      </c>
      <c r="C1425" t="str">
        <f>IF(B1425=1,"1:1","1:Many")</f>
        <v>1:Many</v>
      </c>
      <c r="D1425" s="42" t="str" cm="1">
        <f t="array" ref="D1425">_xlfn.TEXTJOIN(" | ",TRUE,_xlfn._xlws.FILTER(PriceList!$B$4:$B$2641,PriceList!$M$4:$M$2641=A1425,""))</f>
        <v>DS011-N-0280-0380-0507 | DS033-U-0280-0380-0508 | DS044-U-0280-0400-0609</v>
      </c>
      <c r="E1425" t="str" cm="1">
        <f t="array" ref="E1425">_xlfn.TEXTJOIN(", ",TRUE,_xlfn._xlws.FILTER(ROW(PriceList!$B$4:$B$2641),PriceList!$M$4:$M$2641=A1425,""))</f>
        <v>60, 210, 242</v>
      </c>
      <c r="F1425" s="42" t="str" cm="1">
        <f t="array" ref="F1425">_xlfn.TEXTJOIN(" | ",TRUE,_xlfn.UNIQUE(_xlfn._xlws.FILTER(PriceList!$Q$4:$Q$2641&amp;" x "&amp;PriceList!$R$4:$R$2641&amp;" x "&amp;PriceList!$S$4:$S$2641,PriceList!$M$4:$M$2641=A1425,"")))</f>
        <v>28.448 x 38.1 x 4.572</v>
      </c>
      <c r="G1425" t="str" cm="1">
        <f t="array" ref="G1425">INDEX(_xlfn._xlws.FILTER(PriceList!$P$4:$P$2641,PriceList!$M$4:$M$2641=A1425,""),1)</f>
        <v>HalliteÂ® Type 520</v>
      </c>
    </row>
    <row r="1426" spans="1:7" ht="57" x14ac:dyDescent="0.45">
      <c r="A1426" t="s">
        <v>3709</v>
      </c>
      <c r="B1426">
        <f>COUNTIF(PriceList!$M$4:$M$2641,A1426)</f>
        <v>7</v>
      </c>
      <c r="C1426" t="str">
        <f>IF(B1426=1,"1:1","1:Many")</f>
        <v>1:Many</v>
      </c>
      <c r="D1426" s="42" t="str" cm="1">
        <f t="array" ref="D1426">_xlfn.TEXTJOIN(" | ",TRUE,_xlfn._xlws.FILTER(PriceList!$B$4:$B$2641,PriceList!$M$4:$M$2641=A1426,""))</f>
        <v>DS011-F-0120-0180-03.8/5 | DS011-N-0120-0180-03.8/5 | DS011-U-0120-0180-03.8/5 | DS011-U-012-017-02.5/4 (RED) | DS055-N-0120-0180-0608 | DS066-F-0120-0188-050 | DS066-N-0120-0188-050</v>
      </c>
      <c r="E1426" t="str" cm="1">
        <f t="array" ref="E1426">_xlfn.TEXTJOIN(", ",TRUE,_xlfn._xlws.FILTER(ROW(PriceList!$B$4:$B$2641),PriceList!$M$4:$M$2641=A1426,""))</f>
        <v>4, 47, 121, 123, 309, 389, 432</v>
      </c>
      <c r="F1426" s="42" t="str" cm="1">
        <f t="array" ref="F1426">_xlfn.TEXTJOIN(" | ",TRUE,_xlfn.UNIQUE(_xlfn._xlws.FILTER(PriceList!$Q$4:$Q$2641&amp;" x "&amp;PriceList!$R$4:$R$2641&amp;" x "&amp;PriceList!$S$4:$S$2641,PriceList!$M$4:$M$2641=A1426,"")))</f>
        <v>12 x 18 x 4</v>
      </c>
      <c r="G1426" t="str" cm="1">
        <f t="array" ref="G1426">INDEX(_xlfn._xlws.FILTER(PriceList!$P$4:$P$2641,PriceList!$M$4:$M$2641=A1426,""),1)</f>
        <v>HalliteÂ® Type 839</v>
      </c>
    </row>
    <row r="1427" spans="1:7" ht="42.75" x14ac:dyDescent="0.45">
      <c r="A1427" t="s">
        <v>3769</v>
      </c>
      <c r="B1427">
        <f>COUNTIF(PriceList!$M$4:$M$2641,A1427)</f>
        <v>6</v>
      </c>
      <c r="C1427" t="str">
        <f>IF(B1427=1,"1:1","1:Many")</f>
        <v>1:Many</v>
      </c>
      <c r="D1427" s="42" t="str" cm="1">
        <f t="array" ref="D1427">_xlfn.TEXTJOIN(" | ",TRUE,_xlfn._xlws.FILTER(PriceList!$B$4:$B$2641,PriceList!$M$4:$M$2641=A1427,""))</f>
        <v>DS011-N-0120-0200-0507 | DS011-U-0120-0200-05/07 | DS055-F-0120-0200-0608 | DS055-N-0120-0200-0608 | DS055-U-0120-0200-0608 | DS077-U-0120-0200-0407</v>
      </c>
      <c r="E1427" t="str" cm="1">
        <f t="array" ref="E1427">_xlfn.TEXTJOIN(", ",TRUE,_xlfn._xlws.FILTER(ROW(PriceList!$B$4:$B$2641),PriceList!$M$4:$M$2641=A1427,""))</f>
        <v>48, 122, 274, 310, 352, 477</v>
      </c>
      <c r="F1427" s="42" t="str" cm="1">
        <f t="array" ref="F1427">_xlfn.TEXTJOIN(" | ",TRUE,_xlfn.UNIQUE(_xlfn._xlws.FILTER(PriceList!$Q$4:$Q$2641&amp;" x "&amp;PriceList!$R$4:$R$2641&amp;" x "&amp;PriceList!$S$4:$S$2641,PriceList!$M$4:$M$2641=A1427,"")))</f>
        <v>12 x 20 x 4</v>
      </c>
      <c r="G1427" t="str" cm="1">
        <f t="array" ref="G1427">INDEX(_xlfn._xlws.FILTER(PriceList!$P$4:$P$2641,PriceList!$M$4:$M$2641=A1427,""),1)</f>
        <v>HalliteÂ® Type 33</v>
      </c>
    </row>
    <row r="1428" spans="1:7" ht="42.75" x14ac:dyDescent="0.45">
      <c r="A1428" t="s">
        <v>3760</v>
      </c>
      <c r="B1428">
        <f>COUNTIF(PriceList!$M$4:$M$2641,A1428)</f>
        <v>6</v>
      </c>
      <c r="C1428" t="str">
        <f>IF(B1428=1,"1:1","1:Many")</f>
        <v>1:Many</v>
      </c>
      <c r="D1428" s="42" t="str" cm="1">
        <f t="array" ref="D1428">_xlfn.TEXTJOIN(" | ",TRUE,_xlfn._xlws.FILTER(PriceList!$B$4:$B$2641,PriceList!$M$4:$M$2641=A1428,""))</f>
        <v>DS011-F-1200-1320-0712 | DS011-N-1200-1320-0712 | DS011-U-1200-1320-0712 | DS055-F-1200-1320-0811 | DS055-U-1200-1320-0811 | DS077-U-1200-1320-5.5/10</v>
      </c>
      <c r="E1428" t="str" cm="1">
        <f t="array" ref="E1428">_xlfn.TEXTJOIN(", ",TRUE,_xlfn._xlws.FILTER(ROW(PriceList!$B$4:$B$2641),PriceList!$M$4:$M$2641=A1428,""))</f>
        <v>38, 98, 181, 301, 381, 509</v>
      </c>
      <c r="F1428" s="42" t="str" cm="1">
        <f t="array" ref="F1428">_xlfn.TEXTJOIN(" | ",TRUE,_xlfn.UNIQUE(_xlfn._xlws.FILTER(PriceList!$Q$4:$Q$2641&amp;" x "&amp;PriceList!$R$4:$R$2641&amp;" x "&amp;PriceList!$S$4:$S$2641,PriceList!$M$4:$M$2641=A1428,"")))</f>
        <v>120 x 132 x 7</v>
      </c>
      <c r="G1428" t="str" cm="1">
        <f t="array" ref="G1428">INDEX(_xlfn._xlws.FILTER(PriceList!$P$4:$P$2641,PriceList!$M$4:$M$2641=A1428,""),1)</f>
        <v>HalliteÂ® Type 38</v>
      </c>
    </row>
    <row r="1429" spans="1:7" x14ac:dyDescent="0.45">
      <c r="A1429" t="s">
        <v>3821</v>
      </c>
      <c r="B1429">
        <f>COUNTIF(PriceList!$M$4:$M$2641,A1429)</f>
        <v>2</v>
      </c>
      <c r="C1429" t="str">
        <f>IF(B1429=1,"1:1","1:Many")</f>
        <v>1:Many</v>
      </c>
      <c r="D1429" s="42" t="str" cm="1">
        <f t="array" ref="D1429">_xlfn.TEXTJOIN(" | ",TRUE,_xlfn._xlws.FILTER(PriceList!$B$4:$B$2641,PriceList!$M$4:$M$2641=A1429,""))</f>
        <v>DS011-U-1200-1350-1016 | DS044-U-1200-1360-0912</v>
      </c>
      <c r="E1429" t="str" cm="1">
        <f t="array" ref="E1429">_xlfn.TEXTJOIN(", ",TRUE,_xlfn._xlws.FILTER(ROW(PriceList!$B$4:$B$2641),PriceList!$M$4:$M$2641=A1429,""))</f>
        <v>182, 267</v>
      </c>
      <c r="F1429" s="42" t="str" cm="1">
        <f t="array" ref="F1429">_xlfn.TEXTJOIN(" | ",TRUE,_xlfn.UNIQUE(_xlfn._xlws.FILTER(PriceList!$Q$4:$Q$2641&amp;" x "&amp;PriceList!$R$4:$R$2641&amp;" x "&amp;PriceList!$S$4:$S$2641,PriceList!$M$4:$M$2641=A1429,"")))</f>
        <v>120 x 135 x 9.5</v>
      </c>
      <c r="G1429" t="str" cm="1">
        <f t="array" ref="G1429">INDEX(_xlfn._xlws.FILTER(PriceList!$P$4:$P$2641,PriceList!$M$4:$M$2641=A1429,""),1)</f>
        <v>HalliteÂ® Type 38</v>
      </c>
    </row>
    <row r="1430" spans="1:7" ht="42.75" x14ac:dyDescent="0.45">
      <c r="A1430" t="s">
        <v>3761</v>
      </c>
      <c r="B1430">
        <f>COUNTIF(PriceList!$M$4:$M$2641,A1430)</f>
        <v>6</v>
      </c>
      <c r="C1430" t="str">
        <f>IF(B1430=1,"1:1","1:Many")</f>
        <v>1:Many</v>
      </c>
      <c r="D1430" s="42" t="str" cm="1">
        <f t="array" ref="D1430">_xlfn.TEXTJOIN(" | ",TRUE,_xlfn._xlws.FILTER(PriceList!$B$4:$B$2641,PriceList!$M$4:$M$2641=A1430,""))</f>
        <v>DS011-F-1250-1370-0712 | DS011-N-1250-1370-0712 | DS011-U-1250-1370-0712 | DS055-F-1250-1370-0811 | DS055-U-1250-1370-0811 | DS077-U-1250-1370-5.5/10</v>
      </c>
      <c r="E1430" t="str" cm="1">
        <f t="array" ref="E1430">_xlfn.TEXTJOIN(", ",TRUE,_xlfn._xlws.FILTER(ROW(PriceList!$B$4:$B$2641),PriceList!$M$4:$M$2641=A1430,""))</f>
        <v>39, 99, 183, 302, 382, 510</v>
      </c>
      <c r="F1430" s="42" t="str" cm="1">
        <f t="array" ref="F1430">_xlfn.TEXTJOIN(" | ",TRUE,_xlfn.UNIQUE(_xlfn._xlws.FILTER(PriceList!$Q$4:$Q$2641&amp;" x "&amp;PriceList!$R$4:$R$2641&amp;" x "&amp;PriceList!$S$4:$S$2641,PriceList!$M$4:$M$2641=A1430,"")))</f>
        <v>125 x 137 x 7.7</v>
      </c>
      <c r="G1430" t="str" cm="1">
        <f t="array" ref="G1430">INDEX(_xlfn._xlws.FILTER(PriceList!$P$4:$P$2641,PriceList!$M$4:$M$2641=A1430,""),1)</f>
        <v>HalliteÂ® Type 38</v>
      </c>
    </row>
    <row r="1431" spans="1:7" ht="28.5" x14ac:dyDescent="0.45">
      <c r="A1431" t="s">
        <v>3762</v>
      </c>
      <c r="B1431">
        <f>COUNTIF(PriceList!$M$4:$M$2641,A1431)</f>
        <v>4</v>
      </c>
      <c r="C1431" t="str">
        <f>IF(B1431=1,"1:1","1:Many")</f>
        <v>1:Many</v>
      </c>
      <c r="D1431" s="42" t="str" cm="1">
        <f t="array" ref="D1431">_xlfn.TEXTJOIN(" | ",TRUE,_xlfn._xlws.FILTER(PriceList!$B$4:$B$2641,PriceList!$M$4:$M$2641=A1431,""))</f>
        <v>DS011-F-1250-1400-1016 | DS011-N-1250-1400-1016 | DS033-U-1250-1400-0912 | DS088-U-125.0-140.0-7.0</v>
      </c>
      <c r="E1431" t="str" cm="1">
        <f t="array" ref="E1431">_xlfn.TEXTJOIN(", ",TRUE,_xlfn._xlws.FILTER(ROW(PriceList!$B$4:$B$2641),PriceList!$M$4:$M$2641=A1431,""))</f>
        <v>40, 100, 237, 541</v>
      </c>
      <c r="F1431" s="42" t="str" cm="1">
        <f t="array" ref="F1431">_xlfn.TEXTJOIN(" | ",TRUE,_xlfn.UNIQUE(_xlfn._xlws.FILTER(PriceList!$Q$4:$Q$2641&amp;" x "&amp;PriceList!$R$4:$R$2641&amp;" x "&amp;PriceList!$S$4:$S$2641,PriceList!$M$4:$M$2641=A1431,"")))</f>
        <v>125 x 140 x 9.5</v>
      </c>
      <c r="G1431" t="str" cm="1">
        <f t="array" ref="G1431">INDEX(_xlfn._xlws.FILTER(PriceList!$P$4:$P$2641,PriceList!$M$4:$M$2641=A1431,""),1)</f>
        <v>HalliteÂ® Type 38</v>
      </c>
    </row>
    <row r="1432" spans="1:7" x14ac:dyDescent="0.45">
      <c r="A1432" t="s">
        <v>3856</v>
      </c>
      <c r="B1432">
        <f>COUNTIF(PriceList!$M$4:$M$2641,A1432)</f>
        <v>1</v>
      </c>
      <c r="C1432" t="str">
        <f>IF(B1432=1,"1:1","1:Many")</f>
        <v>1:1</v>
      </c>
      <c r="D1432" s="42" t="str" cm="1">
        <f t="array" ref="D1432">_xlfn.TEXTJOIN(" | ",TRUE,_xlfn._xlws.FILTER(PriceList!$B$4:$B$2641,PriceList!$M$4:$M$2641=A1432,""))</f>
        <v>DS044-U-1250-1410-0912</v>
      </c>
      <c r="E1432" t="str" cm="1">
        <f t="array" ref="E1432">_xlfn.TEXTJOIN(", ",TRUE,_xlfn._xlws.FILTER(ROW(PriceList!$B$4:$B$2641),PriceList!$M$4:$M$2641=A1432,""))</f>
        <v>268</v>
      </c>
      <c r="F1432" s="42" t="str" cm="1">
        <f t="array" ref="F1432">_xlfn.TEXTJOIN(" | ",TRUE,_xlfn.UNIQUE(_xlfn._xlws.FILTER(PriceList!$Q$4:$Q$2641&amp;" x "&amp;PriceList!$R$4:$R$2641&amp;" x "&amp;PriceList!$S$4:$S$2641,PriceList!$M$4:$M$2641=A1432,"")))</f>
        <v>125 x 141 x 8</v>
      </c>
      <c r="G1432" t="str" cm="1">
        <f t="array" ref="G1432">INDEX(_xlfn._xlws.FILTER(PriceList!$P$4:$P$2641,PriceList!$M$4:$M$2641=A1432,""),1)</f>
        <v>HalliteÂ® Type 33</v>
      </c>
    </row>
    <row r="1433" spans="1:7" ht="42.75" x14ac:dyDescent="0.45">
      <c r="A1433" t="s">
        <v>3827</v>
      </c>
      <c r="B1433">
        <f>COUNTIF(PriceList!$M$4:$M$2641,A1433)</f>
        <v>4</v>
      </c>
      <c r="C1433" t="str">
        <f>IF(B1433=1,"1:1","1:Many")</f>
        <v>1:Many</v>
      </c>
      <c r="D1433" s="42" t="str" cm="1">
        <f t="array" ref="D1433">_xlfn.TEXTJOIN(" | ",TRUE,_xlfn._xlws.FILTER(PriceList!$B$4:$B$2641,PriceList!$M$4:$M$2641=A1433,""))</f>
        <v>DS033-U-0320-0420-0507 | DS033-U-0320-0420-0710 | DS077-U-0330-0410-0407 | DS088-U-032.0-042.0-4.0-DB</v>
      </c>
      <c r="E1433" t="str" cm="1">
        <f t="array" ref="E1433">_xlfn.TEXTJOIN(", ",TRUE,_xlfn._xlws.FILTER(ROW(PriceList!$B$4:$B$2641),PriceList!$M$4:$M$2641=A1433,""))</f>
        <v>213, 214, 488, 519</v>
      </c>
      <c r="F1433" s="42" t="str" cm="1">
        <f t="array" ref="F1433">_xlfn.TEXTJOIN(" | ",TRUE,_xlfn.UNIQUE(_xlfn._xlws.FILTER(PriceList!$Q$4:$Q$2641&amp;" x "&amp;PriceList!$R$4:$R$2641&amp;" x "&amp;PriceList!$S$4:$S$2641,PriceList!$M$4:$M$2641=A1433,"")))</f>
        <v>31.75 x 41.148 x 4.572</v>
      </c>
      <c r="G1433" t="str" cm="1">
        <f t="array" ref="G1433">INDEX(_xlfn._xlws.FILTER(PriceList!$P$4:$P$2641,PriceList!$M$4:$M$2641=A1433,""),1)</f>
        <v>HalliteÂ® Type 520</v>
      </c>
    </row>
    <row r="1434" spans="1:7" ht="71.25" x14ac:dyDescent="0.45">
      <c r="A1434" t="s">
        <v>3763</v>
      </c>
      <c r="B1434">
        <f>COUNTIF(PriceList!$M$4:$M$2641,A1434)</f>
        <v>9</v>
      </c>
      <c r="C1434" t="str">
        <f>IF(B1434=1,"1:1","1:Many")</f>
        <v>1:Many</v>
      </c>
      <c r="D1434" s="42" t="str" cm="1">
        <f t="array" ref="D1434">_xlfn.TEXTJOIN(" | ",TRUE,_xlfn._xlws.FILTER(PriceList!$B$4:$B$2641,PriceList!$M$4:$M$2641=A1434,""))</f>
        <v>DS011-F-1300-1420-0712 | DS011-N-1300-1420-0712 | DS011-U-1300-1420-0712 | DS011-U-1300-1430-0710 | DS055-F-1300-1420-0811 | DS055-N-1300-1420-0811 | DS055-U-1300-1420-0811 | DS066-F-1300-1422-080 | DS077-U-1300-1420-5.5/10</v>
      </c>
      <c r="E1434" t="str" cm="1">
        <f t="array" ref="E1434">_xlfn.TEXTJOIN(", ",TRUE,_xlfn._xlws.FILTER(ROW(PriceList!$B$4:$B$2641),PriceList!$M$4:$M$2641=A1434,""))</f>
        <v>41, 101, 184, 185, 303, 340, 383, 428, 511</v>
      </c>
      <c r="F1434" s="42" t="str" cm="1">
        <f t="array" ref="F1434">_xlfn.TEXTJOIN(" | ",TRUE,_xlfn.UNIQUE(_xlfn._xlws.FILTER(PriceList!$Q$4:$Q$2641&amp;" x "&amp;PriceList!$R$4:$R$2641&amp;" x "&amp;PriceList!$S$4:$S$2641,PriceList!$M$4:$M$2641=A1434,"")))</f>
        <v>130 x 142 x 7.2</v>
      </c>
      <c r="G1434" t="str" cm="1">
        <f t="array" ref="G1434">INDEX(_xlfn._xlws.FILTER(PriceList!$P$4:$P$2641,PriceList!$M$4:$M$2641=A1434,""),1)</f>
        <v>HalliteÂ® Type 38</v>
      </c>
    </row>
    <row r="1435" spans="1:7" ht="28.5" x14ac:dyDescent="0.45">
      <c r="A1435" t="s">
        <v>3836</v>
      </c>
      <c r="B1435">
        <f>COUNTIF(PriceList!$M$4:$M$2641,A1435)</f>
        <v>3</v>
      </c>
      <c r="C1435" t="str">
        <f>IF(B1435=1,"1:1","1:Many")</f>
        <v>1:Many</v>
      </c>
      <c r="D1435" s="42" t="str" cm="1">
        <f t="array" ref="D1435">_xlfn.TEXTJOIN(" | ",TRUE,_xlfn._xlws.FILTER(PriceList!$B$4:$B$2641,PriceList!$M$4:$M$2641=A1435,""))</f>
        <v>DS033-U-1300-1450-0912 | DS044-U-1300-1460-0912 | DS088-U-130.0-146.0-9.0</v>
      </c>
      <c r="E1435" t="str" cm="1">
        <f t="array" ref="E1435">_xlfn.TEXTJOIN(", ",TRUE,_xlfn._xlws.FILTER(ROW(PriceList!$B$4:$B$2641),PriceList!$M$4:$M$2641=A1435,""))</f>
        <v>238, 269, 542</v>
      </c>
      <c r="F1435" s="42" t="str" cm="1">
        <f t="array" ref="F1435">_xlfn.TEXTJOIN(" | ",TRUE,_xlfn.UNIQUE(_xlfn._xlws.FILTER(PriceList!$Q$4:$Q$2641&amp;" x "&amp;PriceList!$R$4:$R$2641&amp;" x "&amp;PriceList!$S$4:$S$2641,PriceList!$M$4:$M$2641=A1435,"")))</f>
        <v>130 x 145 x 10</v>
      </c>
      <c r="G1435" t="str" cm="1">
        <f t="array" ref="G1435">INDEX(_xlfn._xlws.FILTER(PriceList!$P$4:$P$2641,PriceList!$M$4:$M$2641=A1435,""),1)</f>
        <v>HalliteÂ® Type 38</v>
      </c>
    </row>
    <row r="1436" spans="1:7" ht="42.75" x14ac:dyDescent="0.45">
      <c r="A1436" t="s">
        <v>3790</v>
      </c>
      <c r="B1436">
        <f>COUNTIF(PriceList!$M$4:$M$2641,A1436)</f>
        <v>5</v>
      </c>
      <c r="C1436" t="str">
        <f>IF(B1436=1,"1:1","1:Many")</f>
        <v>1:Many</v>
      </c>
      <c r="D1436" s="42" t="str" cm="1">
        <f t="array" ref="D1436">_xlfn.TEXTJOIN(" | ",TRUE,_xlfn._xlws.FILTER(PriceList!$B$4:$B$2641,PriceList!$M$4:$M$2641=A1436,""))</f>
        <v>DS011-N-1350-1470-0712 | DS011-U-1350-1470-0712 | DS055-N-1350-1470-0811 | DS055-U-1350-1470-0811 | DS077-U-1350-1470-5.5/10</v>
      </c>
      <c r="E1436" t="str" cm="1">
        <f t="array" ref="E1436">_xlfn.TEXTJOIN(", ",TRUE,_xlfn._xlws.FILTER(ROW(PriceList!$B$4:$B$2641),PriceList!$M$4:$M$2641=A1436,""))</f>
        <v>102, 186, 341, 384, 512</v>
      </c>
      <c r="F1436" s="42" t="str" cm="1">
        <f t="array" ref="F1436">_xlfn.TEXTJOIN(" | ",TRUE,_xlfn.UNIQUE(_xlfn._xlws.FILTER(PriceList!$Q$4:$Q$2641&amp;" x "&amp;PriceList!$R$4:$R$2641&amp;" x "&amp;PriceList!$S$4:$S$2641,PriceList!$M$4:$M$2641=A1436,"")))</f>
        <v>135 x 147.2 x 7</v>
      </c>
      <c r="G1436" t="str" cm="1">
        <f t="array" ref="G1436">INDEX(_xlfn._xlws.FILTER(PriceList!$P$4:$P$2641,PriceList!$M$4:$M$2641=A1436,""),1)</f>
        <v>HalliteÂ® Type 831</v>
      </c>
    </row>
    <row r="1437" spans="1:7" x14ac:dyDescent="0.45">
      <c r="A1437" t="s">
        <v>3807</v>
      </c>
      <c r="B1437">
        <f>COUNTIF(PriceList!$M$4:$M$2641,A1437)</f>
        <v>1</v>
      </c>
      <c r="C1437" t="str">
        <f>IF(B1437=1,"1:1","1:Many")</f>
        <v>1:1</v>
      </c>
      <c r="D1437" s="42" t="str" cm="1">
        <f t="array" ref="D1437">_xlfn.TEXTJOIN(" | ",TRUE,_xlfn._xlws.FILTER(PriceList!$B$4:$B$2641,PriceList!$M$4:$M$2641=A1437,""))</f>
        <v>DS011-U-0350-0480-0510</v>
      </c>
      <c r="E1437" t="str" cm="1">
        <f t="array" ref="E1437">_xlfn.TEXTJOIN(", ",TRUE,_xlfn._xlws.FILTER(ROW(PriceList!$B$4:$B$2641),PriceList!$M$4:$M$2641=A1437,""))</f>
        <v>143</v>
      </c>
      <c r="F1437" s="42" t="str" cm="1">
        <f t="array" ref="F1437">_xlfn.TEXTJOIN(" | ",TRUE,_xlfn.UNIQUE(_xlfn._xlws.FILTER(PriceList!$Q$4:$Q$2641&amp;" x "&amp;PriceList!$R$4:$R$2641&amp;" x "&amp;PriceList!$S$4:$S$2641,PriceList!$M$4:$M$2641=A1437,"")))</f>
        <v>35.052 x 47.752 x 3.048</v>
      </c>
      <c r="G1437" t="str" cm="1">
        <f t="array" ref="G1437">INDEX(_xlfn._xlws.FILTER(PriceList!$P$4:$P$2641,PriceList!$M$4:$M$2641=A1437,""),1)</f>
        <v>HalliteÂ® Type 33</v>
      </c>
    </row>
    <row r="1438" spans="1:7" ht="99.75" x14ac:dyDescent="0.45">
      <c r="A1438" t="s">
        <v>3770</v>
      </c>
      <c r="B1438">
        <f>COUNTIF(PriceList!$M$4:$M$2641,A1438)</f>
        <v>12</v>
      </c>
      <c r="C1438" t="str">
        <f>IF(B1438=1,"1:1","1:Many")</f>
        <v>1:Many</v>
      </c>
      <c r="D1438" s="42" t="str" cm="1">
        <f t="array" ref="D1438">_xlfn.TEXTJOIN(" | ",TRUE,_xlfn._xlws.FILTER(PriceList!$B$4:$B$2641,PriceList!$M$4:$M$2641=A1438,""))</f>
        <v>DS011-N-0150-0216-03.8/5.3 | DS055-F-0140-0220-0608 | DS055-N-0140-0220-0608 | DS055-N-0150-0230-0608 | DS055-U-0140-0220-0608 | DS055-U-0150-0230-0608 | DS066-F-0140-0208-050 | DS066-F-0150-0218-050 | DS066-N-0140-0208-050 | DS066-N-0150-0218-050 | DS077-U-0140-0220-0407 | DS077-U-0150-0230-0407</v>
      </c>
      <c r="E1438" t="str" cm="1">
        <f t="array" ref="E1438">_xlfn.TEXTJOIN(", ",TRUE,_xlfn._xlws.FILTER(ROW(PriceList!$B$4:$B$2641),PriceList!$M$4:$M$2641=A1438,""))</f>
        <v>49, 275, 311, 312, 353, 354, 390, 391, 433, 434, 478, 479</v>
      </c>
      <c r="F1438" s="42" t="str" cm="1">
        <f t="array" ref="F1438">_xlfn.TEXTJOIN(" | ",TRUE,_xlfn.UNIQUE(_xlfn._xlws.FILTER(PriceList!$Q$4:$Q$2641&amp;" x "&amp;PriceList!$R$4:$R$2641&amp;" x "&amp;PriceList!$S$4:$S$2641,PriceList!$M$4:$M$2641=A1438,"")))</f>
        <v>14 x 22 x 4</v>
      </c>
      <c r="G1438" t="str" cm="1">
        <f t="array" ref="G1438">INDEX(_xlfn._xlws.FILTER(PriceList!$P$4:$P$2641,PriceList!$M$4:$M$2641=A1438,""),1)</f>
        <v>HalliteÂ® Type 33</v>
      </c>
    </row>
    <row r="1439" spans="1:7" ht="71.25" x14ac:dyDescent="0.45">
      <c r="A1439" t="s">
        <v>3764</v>
      </c>
      <c r="B1439">
        <f>COUNTIF(PriceList!$M$4:$M$2641,A1439)</f>
        <v>9</v>
      </c>
      <c r="C1439" t="str">
        <f>IF(B1439=1,"1:1","1:Many")</f>
        <v>1:Many</v>
      </c>
      <c r="D1439" s="42" t="str" cm="1">
        <f t="array" ref="D1439">_xlfn.TEXTJOIN(" | ",TRUE,_xlfn._xlws.FILTER(PriceList!$B$4:$B$2641,PriceList!$M$4:$M$2641=A1439,""))</f>
        <v>DS011-F-1400-1520-0712 | DS011-N-1400-1520-0712 | DS011-N-140-152-5.5/9 | DS011-U-1400-1520-0712 | DS011-U-1400-1530-0712 | DS055-F-1400-1520-0811 | DS055-N-1400-1520-0811 | DS055-U-1400-1520-0811 | DS077-U-1400-1520-5.5/10</v>
      </c>
      <c r="E1439" t="str" cm="1">
        <f t="array" ref="E1439">_xlfn.TEXTJOIN(", ",TRUE,_xlfn._xlws.FILTER(ROW(PriceList!$B$4:$B$2641),PriceList!$M$4:$M$2641=A1439,""))</f>
        <v>42, 103, 105, 187, 188, 304, 342, 385, 513</v>
      </c>
      <c r="F1439" s="42" t="str" cm="1">
        <f t="array" ref="F1439">_xlfn.TEXTJOIN(" | ",TRUE,_xlfn.UNIQUE(_xlfn._xlws.FILTER(PriceList!$Q$4:$Q$2641&amp;" x "&amp;PriceList!$R$4:$R$2641&amp;" x "&amp;PriceList!$S$4:$S$2641,PriceList!$M$4:$M$2641=A1439,"")))</f>
        <v>140 x 152 x 7.7</v>
      </c>
      <c r="G1439" t="str" cm="1">
        <f t="array" ref="G1439">INDEX(_xlfn._xlws.FILTER(PriceList!$P$4:$P$2641,PriceList!$M$4:$M$2641=A1439,""),1)</f>
        <v>HalliteÂ® Type 38</v>
      </c>
    </row>
    <row r="1440" spans="1:7" ht="28.5" x14ac:dyDescent="0.45">
      <c r="A1440" t="s">
        <v>3765</v>
      </c>
      <c r="B1440">
        <f>COUNTIF(PriceList!$M$4:$M$2641,A1440)</f>
        <v>4</v>
      </c>
      <c r="C1440" t="str">
        <f>IF(B1440=1,"1:1","1:Many")</f>
        <v>1:Many</v>
      </c>
      <c r="D1440" s="42" t="str" cm="1">
        <f t="array" ref="D1440">_xlfn.TEXTJOIN(" | ",TRUE,_xlfn._xlws.FILTER(PriceList!$B$4:$B$2641,PriceList!$M$4:$M$2641=A1440,""))</f>
        <v>DS011-F-1400-1550-1016 | DS011-N-1400-1550-1016 | DS011-U-1400-1550-1016 | DS033-N-1400-1550-0912</v>
      </c>
      <c r="E1440" t="str" cm="1">
        <f t="array" ref="E1440">_xlfn.TEXTJOIN(", ",TRUE,_xlfn._xlws.FILTER(ROW(PriceList!$B$4:$B$2641),PriceList!$M$4:$M$2641=A1440,""))</f>
        <v>43, 104, 189, 198</v>
      </c>
      <c r="F1440" s="42" t="str" cm="1">
        <f t="array" ref="F1440">_xlfn.TEXTJOIN(" | ",TRUE,_xlfn.UNIQUE(_xlfn._xlws.FILTER(PriceList!$Q$4:$Q$2641&amp;" x "&amp;PriceList!$R$4:$R$2641&amp;" x "&amp;PriceList!$S$4:$S$2641,PriceList!$M$4:$M$2641=A1440,"")))</f>
        <v>140 x 155 x 9.5</v>
      </c>
      <c r="G1440" t="str" cm="1">
        <f t="array" ref="G1440">INDEX(_xlfn._xlws.FILTER(PriceList!$P$4:$P$2641,PriceList!$M$4:$M$2641=A1440,""),1)</f>
        <v>HalliteÂ® Type 33</v>
      </c>
    </row>
    <row r="1441" spans="1:7" x14ac:dyDescent="0.45">
      <c r="A1441" t="s">
        <v>3884</v>
      </c>
      <c r="B1441">
        <f>COUNTIF(PriceList!$M$4:$M$2641,A1441)</f>
        <v>2</v>
      </c>
      <c r="C1441" t="str">
        <f>IF(B1441=1,"1:1","1:Many")</f>
        <v>1:Many</v>
      </c>
      <c r="D1441" s="42" t="str" cm="1">
        <f t="array" ref="D1441">_xlfn.TEXTJOIN(" | ",TRUE,_xlfn._xlws.FILTER(PriceList!$B$4:$B$2641,PriceList!$M$4:$M$2641=A1441,""))</f>
        <v>DS066-F-1400-1568-095 | DS066-N-1400-1560-095</v>
      </c>
      <c r="E1441" t="str" cm="1">
        <f t="array" ref="E1441">_xlfn.TEXTJOIN(", ",TRUE,_xlfn._xlws.FILTER(ROW(PriceList!$B$4:$B$2641),PriceList!$M$4:$M$2641=A1441,""))</f>
        <v>429, 475</v>
      </c>
      <c r="F1441" s="42" t="str" cm="1">
        <f t="array" ref="F1441">_xlfn.TEXTJOIN(" | ",TRUE,_xlfn.UNIQUE(_xlfn._xlws.FILTER(PriceList!$Q$4:$Q$2641&amp;" x "&amp;PriceList!$R$4:$R$2641&amp;" x "&amp;PriceList!$S$4:$S$2641,PriceList!$M$4:$M$2641=A1441,"")))</f>
        <v>140 x 156 x 8</v>
      </c>
      <c r="G1441" t="str" cm="1">
        <f t="array" ref="G1441">INDEX(_xlfn._xlws.FILTER(PriceList!$P$4:$P$2641,PriceList!$M$4:$M$2641=A1441,""),1)</f>
        <v>HalliteÂ® Type 33</v>
      </c>
    </row>
    <row r="1442" spans="1:7" x14ac:dyDescent="0.45">
      <c r="A1442" t="s">
        <v>3837</v>
      </c>
      <c r="B1442">
        <f>COUNTIF(PriceList!$M$4:$M$2641,A1442)</f>
        <v>1</v>
      </c>
      <c r="C1442" t="str">
        <f>IF(B1442=1,"1:1","1:Many")</f>
        <v>1:1</v>
      </c>
      <c r="D1442" s="42" t="str" cm="1">
        <f t="array" ref="D1442">_xlfn.TEXTJOIN(" | ",TRUE,_xlfn._xlws.FILTER(PriceList!$B$4:$B$2641,PriceList!$M$4:$M$2641=A1442,""))</f>
        <v>DS033-U-1450-1600-0912</v>
      </c>
      <c r="E1442" t="str" cm="1">
        <f t="array" ref="E1442">_xlfn.TEXTJOIN(", ",TRUE,_xlfn._xlws.FILTER(ROW(PriceList!$B$4:$B$2641),PriceList!$M$4:$M$2641=A1442,""))</f>
        <v>239</v>
      </c>
      <c r="F1442" s="42" t="str" cm="1">
        <f t="array" ref="F1442">_xlfn.TEXTJOIN(" | ",TRUE,_xlfn.UNIQUE(_xlfn._xlws.FILTER(PriceList!$Q$4:$Q$2641&amp;" x "&amp;PriceList!$R$4:$R$2641&amp;" x "&amp;PriceList!$S$4:$S$2641,PriceList!$M$4:$M$2641=A1442,"")))</f>
        <v>145 x 160 x 9.5</v>
      </c>
      <c r="G1442" t="str" cm="1">
        <f t="array" ref="G1442">INDEX(_xlfn._xlws.FILTER(PriceList!$P$4:$P$2641,PriceList!$M$4:$M$2641=A1442,""),1)</f>
        <v>HalliteÂ® Type 842</v>
      </c>
    </row>
    <row r="1443" spans="1:7" ht="42.75" x14ac:dyDescent="0.45">
      <c r="A1443" t="s">
        <v>3766</v>
      </c>
      <c r="B1443">
        <f>COUNTIF(PriceList!$M$4:$M$2641,A1443)</f>
        <v>6</v>
      </c>
      <c r="C1443" t="str">
        <f>IF(B1443=1,"1:1","1:Many")</f>
        <v>1:Many</v>
      </c>
      <c r="D1443" s="42" t="str" cm="1">
        <f t="array" ref="D1443">_xlfn.TEXTJOIN(" | ",TRUE,_xlfn._xlws.FILTER(PriceList!$B$4:$B$2641,PriceList!$M$4:$M$2641=A1443,""))</f>
        <v>DS011-F-1500-1620-0712 | DS011-N-1500-1620-0712 | DS011-U-1500-1620-0712 | DS055-F-1500-1620-0811 | DS055-U-1500-1620-0811 | DS077-U-1500-1620-5.5/10</v>
      </c>
      <c r="E1443" t="str" cm="1">
        <f t="array" ref="E1443">_xlfn.TEXTJOIN(", ",TRUE,_xlfn._xlws.FILTER(ROW(PriceList!$B$4:$B$2641),PriceList!$M$4:$M$2641=A1443,""))</f>
        <v>44, 106, 190, 305, 386, 514</v>
      </c>
      <c r="F1443" s="42" t="str" cm="1">
        <f t="array" ref="F1443">_xlfn.TEXTJOIN(" | ",TRUE,_xlfn.UNIQUE(_xlfn._xlws.FILTER(PriceList!$Q$4:$Q$2641&amp;" x "&amp;PriceList!$R$4:$R$2641&amp;" x "&amp;PriceList!$S$4:$S$2641,PriceList!$M$4:$M$2641=A1443,"")))</f>
        <v>150 x 162 x 7</v>
      </c>
      <c r="G1443" t="str" cm="1">
        <f t="array" ref="G1443">INDEX(_xlfn._xlws.FILTER(PriceList!$P$4:$P$2641,PriceList!$M$4:$M$2641=A1443,""),1)</f>
        <v>HalliteÂ® Type 38</v>
      </c>
    </row>
    <row r="1444" spans="1:7" ht="28.5" x14ac:dyDescent="0.45">
      <c r="A1444" t="s">
        <v>3767</v>
      </c>
      <c r="B1444">
        <f>COUNTIF(PriceList!$M$4:$M$2641,A1444)</f>
        <v>4</v>
      </c>
      <c r="C1444" t="str">
        <f>IF(B1444=1,"1:1","1:Many")</f>
        <v>1:Many</v>
      </c>
      <c r="D1444" s="42" t="str" cm="1">
        <f t="array" ref="D1444">_xlfn.TEXTJOIN(" | ",TRUE,_xlfn._xlws.FILTER(PriceList!$B$4:$B$2641,PriceList!$M$4:$M$2641=A1444,""))</f>
        <v>DS011-F-1500-1650-1016 | DS011-N-1500-1650-1016 | DS011-U-1500-1650-1016 | DS033-N-1500-1650-0912</v>
      </c>
      <c r="E1444" t="str" cm="1">
        <f t="array" ref="E1444">_xlfn.TEXTJOIN(", ",TRUE,_xlfn._xlws.FILTER(ROW(PriceList!$B$4:$B$2641),PriceList!$M$4:$M$2641=A1444,""))</f>
        <v>45, 107, 191, 199</v>
      </c>
      <c r="F1444" s="42" t="str" cm="1">
        <f t="array" ref="F1444">_xlfn.TEXTJOIN(" | ",TRUE,_xlfn.UNIQUE(_xlfn._xlws.FILTER(PriceList!$Q$4:$Q$2641&amp;" x "&amp;PriceList!$R$4:$R$2641&amp;" x "&amp;PriceList!$S$4:$S$2641,PriceList!$M$4:$M$2641=A1444,"")))</f>
        <v>150 x 165 x 7.2</v>
      </c>
      <c r="G1444" t="str" cm="1">
        <f t="array" ref="G1444">INDEX(_xlfn._xlws.FILTER(PriceList!$P$4:$P$2641,PriceList!$M$4:$M$2641=A1444,""),1)</f>
        <v>HalliteÂ® Type 38</v>
      </c>
    </row>
    <row r="1445" spans="1:7" x14ac:dyDescent="0.45">
      <c r="A1445" t="s">
        <v>3809</v>
      </c>
      <c r="B1445">
        <f>COUNTIF(PriceList!$M$4:$M$2641,A1445)</f>
        <v>1</v>
      </c>
      <c r="C1445" t="str">
        <f>IF(B1445=1,"1:1","1:Many")</f>
        <v>1:1</v>
      </c>
      <c r="D1445" s="42" t="str" cm="1">
        <f t="array" ref="D1445">_xlfn.TEXTJOIN(" | ",TRUE,_xlfn._xlws.FILTER(PriceList!$B$4:$B$2641,PriceList!$M$4:$M$2641=A1445,""))</f>
        <v>DS011-U-0380-0480-0507</v>
      </c>
      <c r="E1445" t="str" cm="1">
        <f t="array" ref="E1445">_xlfn.TEXTJOIN(", ",TRUE,_xlfn._xlws.FILTER(ROW(PriceList!$B$4:$B$2641),PriceList!$M$4:$M$2641=A1445,""))</f>
        <v>146</v>
      </c>
      <c r="F1445" s="42" t="str" cm="1">
        <f t="array" ref="F1445">_xlfn.TEXTJOIN(" | ",TRUE,_xlfn.UNIQUE(_xlfn._xlws.FILTER(PriceList!$Q$4:$Q$2641&amp;" x "&amp;PriceList!$R$4:$R$2641&amp;" x "&amp;PriceList!$S$4:$S$2641,PriceList!$M$4:$M$2641=A1445,"")))</f>
        <v>38.1 x 47.498 x 4.572</v>
      </c>
      <c r="G1445" t="str" cm="1">
        <f t="array" ref="G1445">INDEX(_xlfn._xlws.FILTER(PriceList!$P$4:$P$2641,PriceList!$M$4:$M$2641=A1445,""),1)</f>
        <v>HalliteÂ® Type 520</v>
      </c>
    </row>
    <row r="1446" spans="1:7" ht="57" x14ac:dyDescent="0.45">
      <c r="A1446" t="s">
        <v>3772</v>
      </c>
      <c r="B1446">
        <f>COUNTIF(PriceList!$M$4:$M$2641,A1446)</f>
        <v>8</v>
      </c>
      <c r="C1446" t="str">
        <f>IF(B1446=1,"1:1","1:Many")</f>
        <v>1:Many</v>
      </c>
      <c r="D1446" s="42" t="str" cm="1">
        <f t="array" ref="D1446">_xlfn.TEXTJOIN(" | ",TRUE,_xlfn._xlws.FILTER(PriceList!$B$4:$B$2641,PriceList!$M$4:$M$2641=A1446,""))</f>
        <v>DS011-N-0160-0240-03.5/5 | DS011-N-0160-0240-0507 | DS055-F-0160-0240-0608 | DS055-N-0160-0240-0608 | DS055-U-0160-0240-0608 | DS066-F-0160-0228-050 | DS066-N-0160-0228-050 | DS077-U-0160-0240-0407</v>
      </c>
      <c r="E1446" t="str" cm="1">
        <f t="array" ref="E1446">_xlfn.TEXTJOIN(", ",TRUE,_xlfn._xlws.FILTER(ROW(PriceList!$B$4:$B$2641),PriceList!$M$4:$M$2641=A1446,""))</f>
        <v>50, 51, 276, 313, 355, 392, 435, 480</v>
      </c>
      <c r="F1446" s="42" t="str" cm="1">
        <f t="array" ref="F1446">_xlfn.TEXTJOIN(" | ",TRUE,_xlfn.UNIQUE(_xlfn._xlws.FILTER(PriceList!$Q$4:$Q$2641&amp;" x "&amp;PriceList!$R$4:$R$2641&amp;" x "&amp;PriceList!$S$4:$S$2641,PriceList!$M$4:$M$2641=A1446,"")))</f>
        <v>16 x 24 x 4</v>
      </c>
      <c r="G1446" t="str" cm="1">
        <f t="array" ref="G1446">INDEX(_xlfn._xlws.FILTER(PriceList!$P$4:$P$2641,PriceList!$M$4:$M$2641=A1446,""),1)</f>
        <v>HalliteÂ® Type 33</v>
      </c>
    </row>
    <row r="1447" spans="1:7" ht="28.5" x14ac:dyDescent="0.45">
      <c r="A1447" t="s">
        <v>3768</v>
      </c>
      <c r="B1447">
        <f>COUNTIF(PriceList!$M$4:$M$2641,A1447)</f>
        <v>4</v>
      </c>
      <c r="C1447" t="str">
        <f>IF(B1447=1,"1:1","1:Many")</f>
        <v>1:Many</v>
      </c>
      <c r="D1447" s="42" t="str" cm="1">
        <f t="array" ref="D1447">_xlfn.TEXTJOIN(" | ",TRUE,_xlfn._xlws.FILTER(PriceList!$B$4:$B$2641,PriceList!$M$4:$M$2641=A1447,""))</f>
        <v>DS011-F-1600-1750-1016 | DS011-N-1600-1750-1016 | DS011-U-1600-1750-1016 | DS033-N-1600-1750-0912</v>
      </c>
      <c r="E1447" t="str" cm="1">
        <f t="array" ref="E1447">_xlfn.TEXTJOIN(", ",TRUE,_xlfn._xlws.FILTER(ROW(PriceList!$B$4:$B$2641),PriceList!$M$4:$M$2641=A1447,""))</f>
        <v>46, 108, 192, 200</v>
      </c>
      <c r="F1447" s="42" t="str" cm="1">
        <f t="array" ref="F1447">_xlfn.TEXTJOIN(" | ",TRUE,_xlfn.UNIQUE(_xlfn._xlws.FILTER(PriceList!$Q$4:$Q$2641&amp;" x "&amp;PriceList!$R$4:$R$2641&amp;" x "&amp;PriceList!$S$4:$S$2641,PriceList!$M$4:$M$2641=A1447,"")))</f>
        <v>160 x 175 x 9.5</v>
      </c>
      <c r="G1447" t="str" cm="1">
        <f t="array" ref="G1447">INDEX(_xlfn._xlws.FILTER(PriceList!$P$4:$P$2641,PriceList!$M$4:$M$2641=A1447,""),1)</f>
        <v>HalliteÂ® Type 38</v>
      </c>
    </row>
    <row r="1448" spans="1:7" ht="57" x14ac:dyDescent="0.45">
      <c r="A1448" t="s">
        <v>3734</v>
      </c>
      <c r="B1448">
        <f>COUNTIF(PriceList!$M$4:$M$2641,A1448)</f>
        <v>7</v>
      </c>
      <c r="C1448" t="str">
        <f>IF(B1448=1,"1:1","1:Many")</f>
        <v>1:Many</v>
      </c>
      <c r="D1448" s="42" t="str" cm="1">
        <f t="array" ref="D1448">_xlfn.TEXTJOIN(" | ",TRUE,_xlfn._xlws.FILTER(PriceList!$B$4:$B$2641,PriceList!$M$4:$M$2641=A1448,""))</f>
        <v>DS011-F-0420-0500-0507 | DS011-N-0420-0500-0507 | DS011-U-0420-0500-0407 | DS033-U-0420-0520-0710 | DS055-N-0420-0500-0608 | DS055-U-0420-0500-0608 | DS077-U-0420-0500-0407</v>
      </c>
      <c r="E1448" t="str" cm="1">
        <f t="array" ref="E1448">_xlfn.TEXTJOIN(", ",TRUE,_xlfn._xlws.FILTER(ROW(PriceList!$B$4:$B$2641),PriceList!$M$4:$M$2641=A1448,""))</f>
        <v>17, 71, 151, 221, 325, 367, 493</v>
      </c>
      <c r="F1448" s="42" t="str" cm="1">
        <f t="array" ref="F1448">_xlfn.TEXTJOIN(" | ",TRUE,_xlfn.UNIQUE(_xlfn._xlws.FILTER(PriceList!$Q$4:$Q$2641&amp;" x "&amp;PriceList!$R$4:$R$2641&amp;" x "&amp;PriceList!$S$4:$S$2641,PriceList!$M$4:$M$2641=A1448,"")))</f>
        <v>41.148 x 50.8 x 4.572</v>
      </c>
      <c r="G1448" t="str" cm="1">
        <f t="array" ref="G1448">INDEX(_xlfn._xlws.FILTER(PriceList!$P$4:$P$2641,PriceList!$M$4:$M$2641=A1448,""),1)</f>
        <v>HalliteÂ® Type 520</v>
      </c>
    </row>
    <row r="1449" spans="1:7" ht="42.75" x14ac:dyDescent="0.45">
      <c r="A1449" t="s">
        <v>3794</v>
      </c>
      <c r="B1449">
        <f>COUNTIF(PriceList!$M$4:$M$2641,A1449)</f>
        <v>6</v>
      </c>
      <c r="C1449" t="str">
        <f>IF(B1449=1,"1:1","1:Many")</f>
        <v>1:Many</v>
      </c>
      <c r="D1449" s="42" t="str" cm="1">
        <f t="array" ref="D1449">_xlfn.TEXTJOIN(" | ",TRUE,_xlfn._xlws.FILTER(PriceList!$B$4:$B$2641,PriceList!$M$4:$M$2641=A1449,""))</f>
        <v>DS011-N-1700-1820-0712 | DS011-U-1700-1820-0712 | DS055-F-1700-1820-0811 | DS055-N-1700-1820-0811 | DS055-U-1700-1820-0811 | DS077-U-1700-1820-5.5/10</v>
      </c>
      <c r="E1449" t="str" cm="1">
        <f t="array" ref="E1449">_xlfn.TEXTJOIN(", ",TRUE,_xlfn._xlws.FILTER(ROW(PriceList!$B$4:$B$2641),PriceList!$M$4:$M$2641=A1449,""))</f>
        <v>109, 193, 306, 343, 387, 515</v>
      </c>
      <c r="F1449" s="42" t="str" cm="1">
        <f t="array" ref="F1449">_xlfn.TEXTJOIN(" | ",TRUE,_xlfn.UNIQUE(_xlfn._xlws.FILTER(PriceList!$Q$4:$Q$2641&amp;" x "&amp;PriceList!$R$4:$R$2641&amp;" x "&amp;PriceList!$S$4:$S$2641,PriceList!$M$4:$M$2641=A1449,"")))</f>
        <v>170 x 182 x 7.5</v>
      </c>
      <c r="G1449" t="str" cm="1">
        <f t="array" ref="G1449">INDEX(_xlfn._xlws.FILTER(PriceList!$P$4:$P$2641,PriceList!$M$4:$M$2641=A1449,""),1)</f>
        <v>HalliteÂ® Type 38</v>
      </c>
    </row>
    <row r="1450" spans="1:7" x14ac:dyDescent="0.45">
      <c r="A1450" t="s">
        <v>3822</v>
      </c>
      <c r="B1450">
        <f>COUNTIF(PriceList!$M$4:$M$2641,A1450)</f>
        <v>2</v>
      </c>
      <c r="C1450" t="str">
        <f>IF(B1450=1,"1:1","1:Many")</f>
        <v>1:Many</v>
      </c>
      <c r="D1450" s="42" t="str" cm="1">
        <f t="array" ref="D1450">_xlfn.TEXTJOIN(" | ",TRUE,_xlfn._xlws.FILTER(PriceList!$B$4:$B$2641,PriceList!$M$4:$M$2641=A1450,""))</f>
        <v>DS011-U-1700-1850-1016 | DS033-N-1700-1850-1014</v>
      </c>
      <c r="E1450" t="str" cm="1">
        <f t="array" ref="E1450">_xlfn.TEXTJOIN(", ",TRUE,_xlfn._xlws.FILTER(ROW(PriceList!$B$4:$B$2641),PriceList!$M$4:$M$2641=A1450,""))</f>
        <v>194, 201</v>
      </c>
      <c r="F1450" s="42" t="str" cm="1">
        <f t="array" ref="F1450">_xlfn.TEXTJOIN(" | ",TRUE,_xlfn.UNIQUE(_xlfn._xlws.FILTER(PriceList!$Q$4:$Q$2641&amp;" x "&amp;PriceList!$R$4:$R$2641&amp;" x "&amp;PriceList!$S$4:$S$2641,PriceList!$M$4:$M$2641=A1450,"")))</f>
        <v>170 x 185 x 9.5</v>
      </c>
      <c r="G1450" t="str" cm="1">
        <f t="array" ref="G1450">INDEX(_xlfn._xlws.FILTER(PriceList!$P$4:$P$2641,PriceList!$M$4:$M$2641=A1450,""),1)</f>
        <v>HalliteÂ® Type 38</v>
      </c>
    </row>
    <row r="1451" spans="1:7" ht="42.75" x14ac:dyDescent="0.45">
      <c r="A1451" t="s">
        <v>3715</v>
      </c>
      <c r="B1451">
        <f>COUNTIF(PriceList!$M$4:$M$2641,A1451)</f>
        <v>5</v>
      </c>
      <c r="C1451" t="str">
        <f>IF(B1451=1,"1:1","1:Many")</f>
        <v>1:Many</v>
      </c>
      <c r="D1451" s="42" t="str" cm="1">
        <f t="array" ref="D1451">_xlfn.TEXTJOIN(" | ",TRUE,_xlfn._xlws.FILTER(PriceList!$B$4:$B$2641,PriceList!$M$4:$M$2641=A1451,""))</f>
        <v>DS011-F-0180-0240-03.8/5 | DS011-N-0180-0246-038053 | DS011-U-0180-0240-03.8/5.3 | DS066-F-0180-0248-050 | DS066-N-0180-0248-050</v>
      </c>
      <c r="E1451" t="str" cm="1">
        <f t="array" ref="E1451">_xlfn.TEXTJOIN(", ",TRUE,_xlfn._xlws.FILTER(ROW(PriceList!$B$4:$B$2641),PriceList!$M$4:$M$2641=A1451,""))</f>
        <v>5, 52, 124, 393, 436</v>
      </c>
      <c r="F1451" s="42" t="str" cm="1">
        <f t="array" ref="F1451">_xlfn.TEXTJOIN(" | ",TRUE,_xlfn.UNIQUE(_xlfn._xlws.FILTER(PriceList!$Q$4:$Q$2641&amp;" x "&amp;PriceList!$R$4:$R$2641&amp;" x "&amp;PriceList!$S$4:$S$2641,PriceList!$M$4:$M$2641=A1451,"")))</f>
        <v>18 x 24 x 5</v>
      </c>
      <c r="G1451" t="str" cm="1">
        <f t="array" ref="G1451">INDEX(_xlfn._xlws.FILTER(PriceList!$P$4:$P$2641,PriceList!$M$4:$M$2641=A1451,""),1)</f>
        <v>HalliteÂ® Type 38</v>
      </c>
    </row>
    <row r="1452" spans="1:7" ht="71.25" x14ac:dyDescent="0.45">
      <c r="A1452" t="s">
        <v>3718</v>
      </c>
      <c r="B1452">
        <f>COUNTIF(PriceList!$M$4:$M$2641,A1452)</f>
        <v>9</v>
      </c>
      <c r="C1452" t="str">
        <f>IF(B1452=1,"1:1","1:Many")</f>
        <v>1:Many</v>
      </c>
      <c r="D1452" s="42" t="str" cm="1">
        <f t="array" ref="D1452">_xlfn.TEXTJOIN(" | ",TRUE,_xlfn._xlws.FILTER(PriceList!$B$4:$B$2641,PriceList!$M$4:$M$2641=A1452,""))</f>
        <v>DS011-F-0180-0260-0507 | DS011-N-0180-0260-0507 | DS011-U-0180-0250-02.6/4.5 | DS011-U-0180-0250-03004 | DS011-U-0180-0260-0507 | DS055-F-0180-0260-0608 | DS055-N-0180-0260-0608 | DS055-U-0180-0260-0608 | DS077-U-0180-0260-0407</v>
      </c>
      <c r="E1452" t="str" cm="1">
        <f t="array" ref="E1452">_xlfn.TEXTJOIN(", ",TRUE,_xlfn._xlws.FILTER(ROW(PriceList!$B$4:$B$2641),PriceList!$M$4:$M$2641=A1452,""))</f>
        <v>6, 53, 125, 126, 127, 277, 314, 356, 481</v>
      </c>
      <c r="F1452" s="42" t="str" cm="1">
        <f t="array" ref="F1452">_xlfn.TEXTJOIN(" | ",TRUE,_xlfn.UNIQUE(_xlfn._xlws.FILTER(PriceList!$Q$4:$Q$2641&amp;" x "&amp;PriceList!$R$4:$R$2641&amp;" x "&amp;PriceList!$S$4:$S$2641,PriceList!$M$4:$M$2641=A1452,"")))</f>
        <v>18 x 26 x 4</v>
      </c>
      <c r="G1452" t="str" cm="1">
        <f t="array" ref="G1452">INDEX(_xlfn._xlws.FILTER(PriceList!$P$4:$P$2641,PriceList!$M$4:$M$2641=A1452,""),1)</f>
        <v>HalliteÂ® Type 33</v>
      </c>
    </row>
    <row r="1453" spans="1:7" x14ac:dyDescent="0.45">
      <c r="A1453" t="s">
        <v>3774</v>
      </c>
      <c r="B1453">
        <f>COUNTIF(PriceList!$M$4:$M$2641,A1453)</f>
        <v>2</v>
      </c>
      <c r="C1453" t="str">
        <f>IF(B1453=1,"1:1","1:Many")</f>
        <v>1:Many</v>
      </c>
      <c r="D1453" s="42" t="str" cm="1">
        <f t="array" ref="D1453">_xlfn.TEXTJOIN(" | ",TRUE,_xlfn._xlws.FILTER(PriceList!$B$4:$B$2641,PriceList!$M$4:$M$2641=A1453,""))</f>
        <v>DS011-N-0180-0280-05.3/8 | DS033-N-0180-0280-0710</v>
      </c>
      <c r="E1453" t="str" cm="1">
        <f t="array" ref="E1453">_xlfn.TEXTJOIN(", ",TRUE,_xlfn._xlws.FILTER(ROW(PriceList!$B$4:$B$2641),PriceList!$M$4:$M$2641=A1453,""))</f>
        <v>54, 196</v>
      </c>
      <c r="F1453" s="42" t="str" cm="1">
        <f t="array" ref="F1453">_xlfn.TEXTJOIN(" | ",TRUE,_xlfn.UNIQUE(_xlfn._xlws.FILTER(PriceList!$Q$4:$Q$2641&amp;" x "&amp;PriceList!$R$4:$R$2641&amp;" x "&amp;PriceList!$S$4:$S$2641,PriceList!$M$4:$M$2641=A1453,"")))</f>
        <v>18 x 28 x 7</v>
      </c>
      <c r="G1453" t="str" cm="1">
        <f t="array" ref="G1453">INDEX(_xlfn._xlws.FILTER(PriceList!$P$4:$P$2641,PriceList!$M$4:$M$2641=A1453,""),1)</f>
        <v>HalliteÂ® Type 860</v>
      </c>
    </row>
    <row r="1454" spans="1:7" x14ac:dyDescent="0.45">
      <c r="A1454" t="s">
        <v>3824</v>
      </c>
      <c r="B1454">
        <f>COUNTIF(PriceList!$M$4:$M$2641,A1454)</f>
        <v>2</v>
      </c>
      <c r="C1454" t="str">
        <f>IF(B1454=1,"1:1","1:Many")</f>
        <v>1:Many</v>
      </c>
      <c r="D1454" s="42" t="str" cm="1">
        <f t="array" ref="D1454">_xlfn.TEXTJOIN(" | ",TRUE,_xlfn._xlws.FILTER(PriceList!$B$4:$B$2641,PriceList!$M$4:$M$2641=A1454,""))</f>
        <v>DS033-N-1800-1950-1014 | DS066-F-1800-1960-095</v>
      </c>
      <c r="E1454" t="str" cm="1">
        <f t="array" ref="E1454">_xlfn.TEXTJOIN(", ",TRUE,_xlfn._xlws.FILTER(ROW(PriceList!$B$4:$B$2641),PriceList!$M$4:$M$2641=A1454,""))</f>
        <v>202, 430</v>
      </c>
      <c r="F1454" s="42" t="str" cm="1">
        <f t="array" ref="F1454">_xlfn.TEXTJOIN(" | ",TRUE,_xlfn.UNIQUE(_xlfn._xlws.FILTER(PriceList!$Q$4:$Q$2641&amp;" x "&amp;PriceList!$R$4:$R$2641&amp;" x "&amp;PriceList!$S$4:$S$2641,PriceList!$M$4:$M$2641=A1454,"")))</f>
        <v>180 x 195 x 9.5</v>
      </c>
      <c r="G1454" t="str" cm="1">
        <f t="array" ref="G1454">INDEX(_xlfn._xlws.FILTER(PriceList!$P$4:$P$2641,PriceList!$M$4:$M$2641=A1454,""),1)</f>
        <v>HalliteÂ® Type 38</v>
      </c>
    </row>
    <row r="1455" spans="1:7" x14ac:dyDescent="0.45">
      <c r="A1455" t="s">
        <v>3795</v>
      </c>
      <c r="B1455">
        <f>COUNTIF(PriceList!$M$4:$M$2641,A1455)</f>
        <v>2</v>
      </c>
      <c r="C1455" t="str">
        <f>IF(B1455=1,"1:1","1:Many")</f>
        <v>1:Many</v>
      </c>
      <c r="D1455" s="42" t="str" cm="1">
        <f t="array" ref="D1455">_xlfn.TEXTJOIN(" | ",TRUE,_xlfn._xlws.FILTER(PriceList!$B$4:$B$2641,PriceList!$M$4:$M$2641=A1455,""))</f>
        <v>DS011-N-1800-2000-1018 | DS044-U-1800-2000-1014</v>
      </c>
      <c r="E1455" t="str" cm="1">
        <f t="array" ref="E1455">_xlfn.TEXTJOIN(", ",TRUE,_xlfn._xlws.FILTER(ROW(PriceList!$B$4:$B$2641),PriceList!$M$4:$M$2641=A1455,""))</f>
        <v>110, 270</v>
      </c>
      <c r="F1455" s="42" t="str" cm="1">
        <f t="array" ref="F1455">_xlfn.TEXTJOIN(" | ",TRUE,_xlfn.UNIQUE(_xlfn._xlws.FILTER(PriceList!$Q$4:$Q$2641&amp;" x "&amp;PriceList!$R$4:$R$2641&amp;" x "&amp;PriceList!$S$4:$S$2641,PriceList!$M$4:$M$2641=A1455,"")))</f>
        <v>180 x 200 x 10</v>
      </c>
      <c r="G1455" t="str" cm="1">
        <f t="array" ref="G1455">INDEX(_xlfn._xlws.FILTER(PriceList!$P$4:$P$2641,PriceList!$M$4:$M$2641=A1455,""),1)</f>
        <v>HalliteÂ® Type 38</v>
      </c>
    </row>
    <row r="1456" spans="1:7" x14ac:dyDescent="0.45">
      <c r="A1456" t="s">
        <v>3796</v>
      </c>
      <c r="B1456">
        <f>COUNTIF(PriceList!$M$4:$M$2641,A1456)</f>
        <v>1</v>
      </c>
      <c r="C1456" t="str">
        <f>IF(B1456=1,"1:1","1:Many")</f>
        <v>1:1</v>
      </c>
      <c r="D1456" s="42" t="str" cm="1">
        <f t="array" ref="D1456">_xlfn.TEXTJOIN(" | ",TRUE,_xlfn._xlws.FILTER(PriceList!$B$4:$B$2641,PriceList!$M$4:$M$2641=A1456,""))</f>
        <v>DS011-N-1900-2100-1018</v>
      </c>
      <c r="E1456" t="str" cm="1">
        <f t="array" ref="E1456">_xlfn.TEXTJOIN(", ",TRUE,_xlfn._xlws.FILTER(ROW(PriceList!$B$4:$B$2641),PriceList!$M$4:$M$2641=A1456,""))</f>
        <v>111</v>
      </c>
      <c r="F1456" s="42" t="str" cm="1">
        <f t="array" ref="F1456">_xlfn.TEXTJOIN(" | ",TRUE,_xlfn.UNIQUE(_xlfn._xlws.FILTER(PriceList!$Q$4:$Q$2641&amp;" x "&amp;PriceList!$R$4:$R$2641&amp;" x "&amp;PriceList!$S$4:$S$2641,PriceList!$M$4:$M$2641=A1456,"")))</f>
        <v>190 x 209 x 6</v>
      </c>
      <c r="G1456" t="str" cm="1">
        <f t="array" ref="G1456">INDEX(_xlfn._xlws.FILTER(PriceList!$P$4:$P$2641,PriceList!$M$4:$M$2641=A1456,""),1)</f>
        <v>HalliteÂ® Type 842</v>
      </c>
    </row>
    <row r="1457" spans="1:7" ht="85.5" x14ac:dyDescent="0.45">
      <c r="A1457" t="s">
        <v>3721</v>
      </c>
      <c r="B1457">
        <f>COUNTIF(PriceList!$M$4:$M$2641,A1457)</f>
        <v>11</v>
      </c>
      <c r="C1457" t="str">
        <f>IF(B1457=1,"1:1","1:Many")</f>
        <v>1:Many</v>
      </c>
      <c r="D1457" s="42" t="str" cm="1">
        <f t="array" ref="D1457">_xlfn.TEXTJOIN(" | ",TRUE,_xlfn._xlws.FILTER(PriceList!$B$4:$B$2641,PriceList!$M$4:$M$2641=A1457,""))</f>
        <v>DS011-F-0200-0280-0507 | DS011-N-0200-0280-0507 | DS011-U-0200-0280-0507 | DS011-U-020-028-2.5/4(RED) | DS033-U-0200-0280-0508 | DS055-F-0200-0280-0608 | DS055-N-0200-0280-0608 | DS055-U-0200-0280-0608 | DS066-F-0200-0268-050 | DS066-N-0200-0268-050 | DS077-U-0200-0280-0407</v>
      </c>
      <c r="E1457" t="str" cm="1">
        <f t="array" ref="E1457">_xlfn.TEXTJOIN(", ",TRUE,_xlfn._xlws.FILTER(ROW(PriceList!$B$4:$B$2641),PriceList!$M$4:$M$2641=A1457,""))</f>
        <v>7, 55, 128, 129, 205, 278, 315, 357, 394, 437, 482</v>
      </c>
      <c r="F1457" s="42" t="str" cm="1">
        <f t="array" ref="F1457">_xlfn.TEXTJOIN(" | ",TRUE,_xlfn.UNIQUE(_xlfn._xlws.FILTER(PriceList!$Q$4:$Q$2641&amp;" x "&amp;PriceList!$R$4:$R$2641&amp;" x "&amp;PriceList!$S$4:$S$2641,PriceList!$M$4:$M$2641=A1457,"")))</f>
        <v>20 x 28 x 4</v>
      </c>
      <c r="G1457" t="str" cm="1">
        <f t="array" ref="G1457">INDEX(_xlfn._xlws.FILTER(PriceList!$P$4:$P$2641,PriceList!$M$4:$M$2641=A1457,""),1)</f>
        <v>HalliteÂ® Type 33</v>
      </c>
    </row>
    <row r="1458" spans="1:7" x14ac:dyDescent="0.45">
      <c r="A1458" t="s">
        <v>3825</v>
      </c>
      <c r="B1458">
        <f>COUNTIF(PriceList!$M$4:$M$2641,A1458)</f>
        <v>2</v>
      </c>
      <c r="C1458" t="str">
        <f>IF(B1458=1,"1:1","1:Many")</f>
        <v>1:Many</v>
      </c>
      <c r="D1458" s="42" t="str" cm="1">
        <f t="array" ref="D1458">_xlfn.TEXTJOIN(" | ",TRUE,_xlfn._xlws.FILTER(PriceList!$B$4:$B$2641,PriceList!$M$4:$M$2641=A1458,""))</f>
        <v>DS033-U-0200-0300-0710 | DS044-U-0200-0300-0710</v>
      </c>
      <c r="E1458" t="str" cm="1">
        <f t="array" ref="E1458">_xlfn.TEXTJOIN(", ",TRUE,_xlfn._xlws.FILTER(ROW(PriceList!$B$4:$B$2641),PriceList!$M$4:$M$2641=A1458,""))</f>
        <v>206, 240</v>
      </c>
      <c r="F1458" s="42" t="str" cm="1">
        <f t="array" ref="F1458">_xlfn.TEXTJOIN(" | ",TRUE,_xlfn.UNIQUE(_xlfn._xlws.FILTER(PriceList!$Q$4:$Q$2641&amp;" x "&amp;PriceList!$R$4:$R$2641&amp;" x "&amp;PriceList!$S$4:$S$2641,PriceList!$M$4:$M$2641=A1458,"")))</f>
        <v>20 x 30 x 5</v>
      </c>
      <c r="G1458" t="str" cm="1">
        <f t="array" ref="G1458">INDEX(_xlfn._xlws.FILTER(PriceList!$P$4:$P$2641,PriceList!$M$4:$M$2641=A1458,""),1)</f>
        <v>HalliteÂ® Type 860</v>
      </c>
    </row>
    <row r="1459" spans="1:7" x14ac:dyDescent="0.45">
      <c r="A1459" t="s">
        <v>3859</v>
      </c>
      <c r="B1459">
        <f>COUNTIF(PriceList!$M$4:$M$2641,A1459)</f>
        <v>2</v>
      </c>
      <c r="C1459" t="str">
        <f>IF(B1459=1,"1:1","1:Many")</f>
        <v>1:Many</v>
      </c>
      <c r="D1459" s="42" t="str" cm="1">
        <f t="array" ref="D1459">_xlfn.TEXTJOIN(" | ",TRUE,_xlfn._xlws.FILTER(PriceList!$B$4:$B$2641,PriceList!$M$4:$M$2641=A1459,""))</f>
        <v>DS044-U-2000-2160-0912 | DS066-N-2000-2160-095</v>
      </c>
      <c r="E1459" t="str" cm="1">
        <f t="array" ref="E1459">_xlfn.TEXTJOIN(", ",TRUE,_xlfn._xlws.FILTER(ROW(PriceList!$B$4:$B$2641),PriceList!$M$4:$M$2641=A1459,""))</f>
        <v>272, 476</v>
      </c>
      <c r="F1459" s="42" t="str" cm="1">
        <f t="array" ref="F1459">_xlfn.TEXTJOIN(" | ",TRUE,_xlfn.UNIQUE(_xlfn._xlws.FILTER(PriceList!$Q$4:$Q$2641&amp;" x "&amp;PriceList!$R$4:$R$2641&amp;" x "&amp;PriceList!$S$4:$S$2641,PriceList!$M$4:$M$2641=A1459,"")))</f>
        <v>200 x 215 x 9.5</v>
      </c>
      <c r="G1459" t="str" cm="1">
        <f t="array" ref="G1459">INDEX(_xlfn._xlws.FILTER(PriceList!$P$4:$P$2641,PriceList!$M$4:$M$2641=A1459,""),1)</f>
        <v>HalliteÂ® Type 38</v>
      </c>
    </row>
    <row r="1460" spans="1:7" ht="28.5" x14ac:dyDescent="0.45">
      <c r="A1460" t="s">
        <v>3797</v>
      </c>
      <c r="B1460">
        <f>COUNTIF(PriceList!$M$4:$M$2641,A1460)</f>
        <v>4</v>
      </c>
      <c r="C1460" t="str">
        <f>IF(B1460=1,"1:1","1:Many")</f>
        <v>1:Many</v>
      </c>
      <c r="D1460" s="42" t="str" cm="1">
        <f t="array" ref="D1460">_xlfn.TEXTJOIN(" | ",TRUE,_xlfn._xlws.FILTER(PriceList!$B$4:$B$2641,PriceList!$M$4:$M$2641=A1460,""))</f>
        <v>DS011-N-2000-2200-1018 | DS011-U-2000-2200-7/14 | DS033-N-2000-2200-1216 | DS044-U-2000-2200-1014</v>
      </c>
      <c r="E1460" t="str" cm="1">
        <f t="array" ref="E1460">_xlfn.TEXTJOIN(", ",TRUE,_xlfn._xlws.FILTER(ROW(PriceList!$B$4:$B$2641),PriceList!$M$4:$M$2641=A1460,""))</f>
        <v>112, 195, 203, 273</v>
      </c>
      <c r="F1460" s="42" t="str" cm="1">
        <f t="array" ref="F1460">_xlfn.TEXTJOIN(" | ",TRUE,_xlfn.UNIQUE(_xlfn._xlws.FILTER(PriceList!$Q$4:$Q$2641&amp;" x "&amp;PriceList!$R$4:$R$2641&amp;" x "&amp;PriceList!$S$4:$S$2641,PriceList!$M$4:$M$2641=A1460,"")))</f>
        <v>200 x 220 x 10</v>
      </c>
      <c r="G1460" t="str" cm="1">
        <f t="array" ref="G1460">INDEX(_xlfn._xlws.FILTER(PriceList!$P$4:$P$2641,PriceList!$M$4:$M$2641=A1460,""),1)</f>
        <v>HalliteÂ® Type 38</v>
      </c>
    </row>
    <row r="1461" spans="1:7" x14ac:dyDescent="0.45">
      <c r="A1461" t="s">
        <v>3839</v>
      </c>
      <c r="B1461">
        <f>COUNTIF(PriceList!$M$4:$M$2641,A1461)</f>
        <v>2</v>
      </c>
      <c r="C1461" t="str">
        <f>IF(B1461=1,"1:1","1:Many")</f>
        <v>1:Many</v>
      </c>
      <c r="D1461" s="42" t="str" cm="1">
        <f t="array" ref="D1461">_xlfn.TEXTJOIN(" | ",TRUE,_xlfn._xlws.FILTER(PriceList!$B$4:$B$2641,PriceList!$M$4:$M$2641=A1461,""))</f>
        <v>DS044-U-0500-0635-0811 | DS044-U-0500-0640-0811</v>
      </c>
      <c r="E1461" t="str" cm="1">
        <f t="array" ref="E1461">_xlfn.TEXTJOIN(", ",TRUE,_xlfn._xlws.FILTER(ROW(PriceList!$B$4:$B$2641),PriceList!$M$4:$M$2641=A1461,""))</f>
        <v>250, 251</v>
      </c>
      <c r="F1461" s="42" t="str" cm="1">
        <f t="array" ref="F1461">_xlfn.TEXTJOIN(" | ",TRUE,_xlfn.UNIQUE(_xlfn._xlws.FILTER(PriceList!$Q$4:$Q$2641&amp;" x "&amp;PriceList!$R$4:$R$2641&amp;" x "&amp;PriceList!$S$4:$S$2641,PriceList!$M$4:$M$2641=A1461,"")))</f>
        <v>50.8 x 63.5 x 6.35</v>
      </c>
      <c r="G1461" t="str" cm="1">
        <f t="array" ref="G1461">INDEX(_xlfn._xlws.FILTER(PriceList!$P$4:$P$2641,PriceList!$M$4:$M$2641=A1461,""),1)</f>
        <v>HalliteÂ® Type 520</v>
      </c>
    </row>
    <row r="1462" spans="1:7" ht="28.5" x14ac:dyDescent="0.45">
      <c r="A1462" t="s">
        <v>3870</v>
      </c>
      <c r="B1462">
        <f>COUNTIF(PriceList!$M$4:$M$2641,A1462)</f>
        <v>2</v>
      </c>
      <c r="C1462" t="str">
        <f>IF(B1462=1,"1:1","1:Many")</f>
        <v>1:Many</v>
      </c>
      <c r="D1462" s="42" t="str" cm="1">
        <f t="array" ref="D1462">_xlfn.TEXTJOIN(" | ",TRUE,_xlfn._xlws.FILTER(PriceList!$B$4:$B$2641,PriceList!$M$4:$M$2641=A1462,""))</f>
        <v>DS055-N-2100-2250-9.5/13 | DS055-U-2100-2250-95125</v>
      </c>
      <c r="E1462" t="str" cm="1">
        <f t="array" ref="E1462">_xlfn.TEXTJOIN(", ",TRUE,_xlfn._xlws.FILTER(ROW(PriceList!$B$4:$B$2641),PriceList!$M$4:$M$2641=A1462,""))</f>
        <v>344, 388</v>
      </c>
      <c r="F1462" s="42" t="str" cm="1">
        <f t="array" ref="F1462">_xlfn.TEXTJOIN(" | ",TRUE,_xlfn.UNIQUE(_xlfn._xlws.FILTER(PriceList!$Q$4:$Q$2641&amp;" x "&amp;PriceList!$R$4:$R$2641&amp;" x "&amp;PriceList!$S$4:$S$2641,PriceList!$M$4:$M$2641=A1462,"")))</f>
        <v>210 x 226 x 8</v>
      </c>
      <c r="G1462" t="str" cm="1">
        <f t="array" ref="G1462">INDEX(_xlfn._xlws.FILTER(PriceList!$P$4:$P$2641,PriceList!$M$4:$M$2641=A1462,""),1)</f>
        <v>HalliteÂ® Type 38</v>
      </c>
    </row>
    <row r="1463" spans="1:7" x14ac:dyDescent="0.45">
      <c r="A1463" t="s">
        <v>3879</v>
      </c>
      <c r="B1463">
        <f>COUNTIF(PriceList!$M$4:$M$2641,A1463)</f>
        <v>2</v>
      </c>
      <c r="C1463" t="str">
        <f>IF(B1463=1,"1:1","1:Many")</f>
        <v>1:Many</v>
      </c>
      <c r="D1463" s="42" t="str" cm="1">
        <f t="array" ref="D1463">_xlfn.TEXTJOIN(" | ",TRUE,_xlfn._xlws.FILTER(PriceList!$B$4:$B$2641,PriceList!$M$4:$M$2641=A1463,""))</f>
        <v>DS066-F-0220-0288-050 | DS066-N-0220-0288-050</v>
      </c>
      <c r="E1463" t="str" cm="1">
        <f t="array" ref="E1463">_xlfn.TEXTJOIN(", ",TRUE,_xlfn._xlws.FILTER(ROW(PriceList!$B$4:$B$2641),PriceList!$M$4:$M$2641=A1463,""))</f>
        <v>395, 438</v>
      </c>
      <c r="F1463" s="42" t="str" cm="1">
        <f t="array" ref="F1463">_xlfn.TEXTJOIN(" | ",TRUE,_xlfn.UNIQUE(_xlfn._xlws.FILTER(PriceList!$Q$4:$Q$2641&amp;" x "&amp;PriceList!$R$4:$R$2641&amp;" x "&amp;PriceList!$S$4:$S$2641,PriceList!$M$4:$M$2641=A1463,"")))</f>
        <v>22 x 28 x 4</v>
      </c>
      <c r="G1463" t="str" cm="1">
        <f t="array" ref="G1463">INDEX(_xlfn._xlws.FILTER(PriceList!$P$4:$P$2641,PriceList!$M$4:$M$2641=A1463,""),1)</f>
        <v>HalliteÂ® Type 839</v>
      </c>
    </row>
    <row r="1464" spans="1:7" ht="71.25" x14ac:dyDescent="0.45">
      <c r="A1464" t="s">
        <v>3723</v>
      </c>
      <c r="B1464">
        <f>COUNTIF(PriceList!$M$4:$M$2641,A1464)</f>
        <v>8</v>
      </c>
      <c r="C1464" t="str">
        <f>IF(B1464=1,"1:1","1:Many")</f>
        <v>1:Many</v>
      </c>
      <c r="D1464" s="42" t="str" cm="1">
        <f t="array" ref="D1464">_xlfn.TEXTJOIN(" | ",TRUE,_xlfn._xlws.FILTER(PriceList!$B$4:$B$2641,PriceList!$M$4:$M$2641=A1464,""))</f>
        <v>DS011-F-0220-0300-0507 | DS011-N-0220-0300-0507 | DS011-U-0220-0300-0507 | DS011-U-022-030-3/5.5(RED) | DS055-F-0220-0300-0608 | DS055-N-0220-0300-0608 | DS055-U-0220-0300-0608 | DS077-U-0220-0300-0407</v>
      </c>
      <c r="E1464" t="str" cm="1">
        <f t="array" ref="E1464">_xlfn.TEXTJOIN(", ",TRUE,_xlfn._xlws.FILTER(ROW(PriceList!$B$4:$B$2641),PriceList!$M$4:$M$2641=A1464,""))</f>
        <v>8, 56, 130, 131, 279, 316, 358, 483</v>
      </c>
      <c r="F1464" s="42" t="str" cm="1">
        <f t="array" ref="F1464">_xlfn.TEXTJOIN(" | ",TRUE,_xlfn.UNIQUE(_xlfn._xlws.FILTER(PriceList!$Q$4:$Q$2641&amp;" x "&amp;PriceList!$R$4:$R$2641&amp;" x "&amp;PriceList!$S$4:$S$2641,PriceList!$M$4:$M$2641=A1464,"")))</f>
        <v>22 x 30 x 4</v>
      </c>
      <c r="G1464" t="str" cm="1">
        <f t="array" ref="G1464">INDEX(_xlfn._xlws.FILTER(PriceList!$P$4:$P$2641,PriceList!$M$4:$M$2641=A1464,""),1)</f>
        <v>HalliteÂ® Type 33</v>
      </c>
    </row>
    <row r="1465" spans="1:7" ht="28.5" x14ac:dyDescent="0.45">
      <c r="A1465" t="s">
        <v>3866</v>
      </c>
      <c r="B1465">
        <f>COUNTIF(PriceList!$M$4:$M$2641,A1465)</f>
        <v>2</v>
      </c>
      <c r="C1465" t="str">
        <f>IF(B1465=1,"1:1","1:Many")</f>
        <v>1:Many</v>
      </c>
      <c r="D1465" s="42" t="str" cm="1">
        <f t="array" ref="D1465">_xlfn.TEXTJOIN(" | ",TRUE,_xlfn._xlws.FILTER(PriceList!$B$4:$B$2641,PriceList!$M$4:$M$2641=A1465,""))</f>
        <v>DS055-F-2200-2350-09.5/12.5 | DS055-N-2200-2350-9.5/13</v>
      </c>
      <c r="E1465" t="str" cm="1">
        <f t="array" ref="E1465">_xlfn.TEXTJOIN(", ",TRUE,_xlfn._xlws.FILTER(ROW(PriceList!$B$4:$B$2641),PriceList!$M$4:$M$2641=A1465,""))</f>
        <v>307, 345</v>
      </c>
      <c r="F1465" s="42" t="str" cm="1">
        <f t="array" ref="F1465">_xlfn.TEXTJOIN(" | ",TRUE,_xlfn.UNIQUE(_xlfn._xlws.FILTER(PriceList!$Q$4:$Q$2641&amp;" x "&amp;PriceList!$R$4:$R$2641&amp;" x "&amp;PriceList!$S$4:$S$2641,PriceList!$M$4:$M$2641=A1465,"")))</f>
        <v>220 x 235 x 10.2</v>
      </c>
      <c r="G1465" t="str" cm="1">
        <f t="array" ref="G1465">INDEX(_xlfn._xlws.FILTER(PriceList!$P$4:$P$2641,PriceList!$M$4:$M$2641=A1465,""),1)</f>
        <v>HalliteÂ® Type 38</v>
      </c>
    </row>
    <row r="1466" spans="1:7" x14ac:dyDescent="0.45">
      <c r="A1466" t="s">
        <v>3798</v>
      </c>
      <c r="B1466">
        <f>COUNTIF(PriceList!$M$4:$M$2641,A1466)</f>
        <v>1</v>
      </c>
      <c r="C1466" t="str">
        <f>IF(B1466=1,"1:1","1:Many")</f>
        <v>1:1</v>
      </c>
      <c r="D1466" s="42" t="str" cm="1">
        <f t="array" ref="D1466">_xlfn.TEXTJOIN(" | ",TRUE,_xlfn._xlws.FILTER(PriceList!$B$4:$B$2641,PriceList!$M$4:$M$2641=A1466,""))</f>
        <v>DS011-N-2200-2400-1018</v>
      </c>
      <c r="E1466" t="str" cm="1">
        <f t="array" ref="E1466">_xlfn.TEXTJOIN(", ",TRUE,_xlfn._xlws.FILTER(ROW(PriceList!$B$4:$B$2641),PriceList!$M$4:$M$2641=A1466,""))</f>
        <v>113</v>
      </c>
      <c r="F1466" s="42" t="str" cm="1">
        <f t="array" ref="F1466">_xlfn.TEXTJOIN(" | ",TRUE,_xlfn.UNIQUE(_xlfn._xlws.FILTER(PriceList!$Q$4:$Q$2641&amp;" x "&amp;PriceList!$R$4:$R$2641&amp;" x "&amp;PriceList!$S$4:$S$2641,PriceList!$M$4:$M$2641=A1466,"")))</f>
        <v>220 x 240 x 10</v>
      </c>
      <c r="G1466" t="str" cm="1">
        <f t="array" ref="G1466">INDEX(_xlfn._xlws.FILTER(PriceList!$P$4:$P$2641,PriceList!$M$4:$M$2641=A1466,""),1)</f>
        <v>HalliteÂ® Type 38</v>
      </c>
    </row>
    <row r="1467" spans="1:7" x14ac:dyDescent="0.45">
      <c r="A1467" t="s">
        <v>3871</v>
      </c>
      <c r="B1467">
        <f>COUNTIF(PriceList!$M$4:$M$2641,A1467)</f>
        <v>1</v>
      </c>
      <c r="C1467" t="str">
        <f>IF(B1467=1,"1:1","1:Many")</f>
        <v>1:1</v>
      </c>
      <c r="D1467" s="42" t="str" cm="1">
        <f t="array" ref="D1467">_xlfn.TEXTJOIN(" | ",TRUE,_xlfn._xlws.FILTER(PriceList!$B$4:$B$2641,PriceList!$M$4:$M$2641=A1467,""))</f>
        <v>DS055-N-2250-2400-9.5/13</v>
      </c>
      <c r="E1467" t="str" cm="1">
        <f t="array" ref="E1467">_xlfn.TEXTJOIN(", ",TRUE,_xlfn._xlws.FILTER(ROW(PriceList!$B$4:$B$2641),PriceList!$M$4:$M$2641=A1467,""))</f>
        <v>346</v>
      </c>
      <c r="F1467" s="42" t="str" cm="1">
        <f t="array" ref="F1467">_xlfn.TEXTJOIN(" | ",TRUE,_xlfn.UNIQUE(_xlfn._xlws.FILTER(PriceList!$Q$4:$Q$2641&amp;" x "&amp;PriceList!$R$4:$R$2641&amp;" x "&amp;PriceList!$S$4:$S$2641,PriceList!$M$4:$M$2641=A1467,"")))</f>
        <v>225 x 240 x 9.5</v>
      </c>
      <c r="G1467" t="str" cm="1">
        <f t="array" ref="G1467">INDEX(_xlfn._xlws.FILTER(PriceList!$P$4:$P$2641,PriceList!$M$4:$M$2641=A1467,""),1)</f>
        <v>HalliteÂ® Type 38</v>
      </c>
    </row>
    <row r="1468" spans="1:7" x14ac:dyDescent="0.45">
      <c r="A1468" t="s">
        <v>3843</v>
      </c>
      <c r="B1468">
        <f>COUNTIF(PriceList!$M$4:$M$2641,A1468)</f>
        <v>1</v>
      </c>
      <c r="C1468" t="str">
        <f>IF(B1468=1,"1:1","1:Many")</f>
        <v>1:1</v>
      </c>
      <c r="D1468" s="42" t="str" cm="1">
        <f t="array" ref="D1468">_xlfn.TEXTJOIN(" | ",TRUE,_xlfn._xlws.FILTER(PriceList!$B$4:$B$2641,PriceList!$M$4:$M$2641=A1468,""))</f>
        <v>DS044-U-0560-0700-0811</v>
      </c>
      <c r="E1468" t="str" cm="1">
        <f t="array" ref="E1468">_xlfn.TEXTJOIN(", ",TRUE,_xlfn._xlws.FILTER(ROW(PriceList!$B$4:$B$2641),PriceList!$M$4:$M$2641=A1468,""))</f>
        <v>253</v>
      </c>
      <c r="F1468" s="42" t="str" cm="1">
        <f t="array" ref="F1468">_xlfn.TEXTJOIN(" | ",TRUE,_xlfn.UNIQUE(_xlfn._xlws.FILTER(PriceList!$Q$4:$Q$2641&amp;" x "&amp;PriceList!$R$4:$R$2641&amp;" x "&amp;PriceList!$S$4:$S$2641,PriceList!$M$4:$M$2641=A1468,"")))</f>
        <v>57.15 x 69.85 x 6.35</v>
      </c>
      <c r="G1468" t="str" cm="1">
        <f t="array" ref="G1468">INDEX(_xlfn._xlws.FILTER(PriceList!$P$4:$P$2641,PriceList!$M$4:$M$2641=A1468,""),1)</f>
        <v>HalliteÂ® Type 520</v>
      </c>
    </row>
    <row r="1469" spans="1:7" x14ac:dyDescent="0.45">
      <c r="A1469" t="s">
        <v>3872</v>
      </c>
      <c r="B1469">
        <f>COUNTIF(PriceList!$M$4:$M$2641,A1469)</f>
        <v>2</v>
      </c>
      <c r="C1469" t="str">
        <f>IF(B1469=1,"1:1","1:Many")</f>
        <v>1:Many</v>
      </c>
      <c r="D1469" s="42" t="str" cm="1">
        <f t="array" ref="D1469">_xlfn.TEXTJOIN(" | ",TRUE,_xlfn._xlws.FILTER(PriceList!$B$4:$B$2641,PriceList!$M$4:$M$2641=A1469,""))</f>
        <v>DS055-N-2300-2450-9.5/13 | DS066-F-2300-2460-095</v>
      </c>
      <c r="E1469" t="str" cm="1">
        <f t="array" ref="E1469">_xlfn.TEXTJOIN(", ",TRUE,_xlfn._xlws.FILTER(ROW(PriceList!$B$4:$B$2641),PriceList!$M$4:$M$2641=A1469,""))</f>
        <v>347, 431</v>
      </c>
      <c r="F1469" s="42" t="str" cm="1">
        <f t="array" ref="F1469">_xlfn.TEXTJOIN(" | ",TRUE,_xlfn.UNIQUE(_xlfn._xlws.FILTER(PriceList!$Q$4:$Q$2641&amp;" x "&amp;PriceList!$R$4:$R$2641&amp;" x "&amp;PriceList!$S$4:$S$2641,PriceList!$M$4:$M$2641=A1469,"")))</f>
        <v>230 x 246 x 7.5</v>
      </c>
      <c r="G1469" t="str" cm="1">
        <f t="array" ref="G1469">INDEX(_xlfn._xlws.FILTER(PriceList!$P$4:$P$2641,PriceList!$M$4:$M$2641=A1469,""),1)</f>
        <v>HalliteÂ® Type 38</v>
      </c>
    </row>
    <row r="1470" spans="1:7" x14ac:dyDescent="0.45">
      <c r="A1470" t="s">
        <v>3799</v>
      </c>
      <c r="B1470">
        <f>COUNTIF(PriceList!$M$4:$M$2641,A1470)</f>
        <v>1</v>
      </c>
      <c r="C1470" t="str">
        <f>IF(B1470=1,"1:1","1:Many")</f>
        <v>1:1</v>
      </c>
      <c r="D1470" s="42" t="str" cm="1">
        <f t="array" ref="D1470">_xlfn.TEXTJOIN(" | ",TRUE,_xlfn._xlws.FILTER(PriceList!$B$4:$B$2641,PriceList!$M$4:$M$2641=A1470,""))</f>
        <v>DS011-N-2300-2500-1018</v>
      </c>
      <c r="E1470" t="str" cm="1">
        <f t="array" ref="E1470">_xlfn.TEXTJOIN(", ",TRUE,_xlfn._xlws.FILTER(ROW(PriceList!$B$4:$B$2641),PriceList!$M$4:$M$2641=A1470,""))</f>
        <v>114</v>
      </c>
      <c r="F1470" s="42" t="str" cm="1">
        <f t="array" ref="F1470">_xlfn.TEXTJOIN(" | ",TRUE,_xlfn.UNIQUE(_xlfn._xlws.FILTER(PriceList!$Q$4:$Q$2641&amp;" x "&amp;PriceList!$R$4:$R$2641&amp;" x "&amp;PriceList!$S$4:$S$2641,PriceList!$M$4:$M$2641=A1470,"")))</f>
        <v>230 x 250 x 10</v>
      </c>
      <c r="G1470" t="str" cm="1">
        <f t="array" ref="G1470">INDEX(_xlfn._xlws.FILTER(PriceList!$P$4:$P$2641,PriceList!$M$4:$M$2641=A1470,""),1)</f>
        <v>HalliteÂ® Type 38</v>
      </c>
    </row>
    <row r="1471" spans="1:7" x14ac:dyDescent="0.45">
      <c r="A1471" t="s">
        <v>3800</v>
      </c>
      <c r="B1471">
        <f>COUNTIF(PriceList!$M$4:$M$2641,A1471)</f>
        <v>2</v>
      </c>
      <c r="C1471" t="str">
        <f>IF(B1471=1,"1:1","1:Many")</f>
        <v>1:Many</v>
      </c>
      <c r="D1471" s="42" t="str" cm="1">
        <f t="array" ref="D1471">_xlfn.TEXTJOIN(" | ",TRUE,_xlfn._xlws.FILTER(PriceList!$B$4:$B$2641,PriceList!$M$4:$M$2641=A1471,""))</f>
        <v>DS011-N-2400-2600-1018 | DS033-N-2400-2600-1216</v>
      </c>
      <c r="E1471" t="str" cm="1">
        <f t="array" ref="E1471">_xlfn.TEXTJOIN(", ",TRUE,_xlfn._xlws.FILTER(ROW(PriceList!$B$4:$B$2641),PriceList!$M$4:$M$2641=A1471,""))</f>
        <v>115, 204</v>
      </c>
      <c r="F1471" s="42" t="str" cm="1">
        <f t="array" ref="F1471">_xlfn.TEXTJOIN(" | ",TRUE,_xlfn.UNIQUE(_xlfn._xlws.FILTER(PriceList!$Q$4:$Q$2641&amp;" x "&amp;PriceList!$R$4:$R$2641&amp;" x "&amp;PriceList!$S$4:$S$2641,PriceList!$M$4:$M$2641=A1471,"")))</f>
        <v>240 x 260 x 10.2</v>
      </c>
      <c r="G1471" t="str" cm="1">
        <f t="array" ref="G1471">INDEX(_xlfn._xlws.FILTER(PriceList!$P$4:$P$2641,PriceList!$M$4:$M$2641=A1471,""),1)</f>
        <v>HalliteÂ® Type 38</v>
      </c>
    </row>
    <row r="1472" spans="1:7" x14ac:dyDescent="0.45">
      <c r="A1472" t="s">
        <v>3880</v>
      </c>
      <c r="B1472">
        <f>COUNTIF(PriceList!$M$4:$M$2641,A1472)</f>
        <v>2</v>
      </c>
      <c r="C1472" t="str">
        <f>IF(B1472=1,"1:1","1:Many")</f>
        <v>1:Many</v>
      </c>
      <c r="D1472" s="42" t="str" cm="1">
        <f t="array" ref="D1472">_xlfn.TEXTJOIN(" | ",TRUE,_xlfn._xlws.FILTER(PriceList!$B$4:$B$2641,PriceList!$M$4:$M$2641=A1472,""))</f>
        <v>DS066-F-0250-0318-050 | DS066-N-0250-0318-050</v>
      </c>
      <c r="E1472" t="str" cm="1">
        <f t="array" ref="E1472">_xlfn.TEXTJOIN(", ",TRUE,_xlfn._xlws.FILTER(ROW(PriceList!$B$4:$B$2641),PriceList!$M$4:$M$2641=A1472,""))</f>
        <v>396, 439</v>
      </c>
      <c r="F1472" s="42" t="str" cm="1">
        <f t="array" ref="F1472">_xlfn.TEXTJOIN(" | ",TRUE,_xlfn.UNIQUE(_xlfn._xlws.FILTER(PriceList!$Q$4:$Q$2641&amp;" x "&amp;PriceList!$R$4:$R$2641&amp;" x "&amp;PriceList!$S$4:$S$2641,PriceList!$M$4:$M$2641=A1472,"")))</f>
        <v>25 x 31 x 4</v>
      </c>
      <c r="G1472" t="str" cm="1">
        <f t="array" ref="G1472">INDEX(_xlfn._xlws.FILTER(PriceList!$P$4:$P$2641,PriceList!$M$4:$M$2641=A1472,""),1)</f>
        <v>HalliteÂ® Type 844</v>
      </c>
    </row>
    <row r="1473" spans="1:7" ht="85.5" x14ac:dyDescent="0.45">
      <c r="A1473" t="s">
        <v>3724</v>
      </c>
      <c r="B1473">
        <f>COUNTIF(PriceList!$M$4:$M$2641,A1473)</f>
        <v>10</v>
      </c>
      <c r="C1473" t="str">
        <f>IF(B1473=1,"1:1","1:Many")</f>
        <v>1:Many</v>
      </c>
      <c r="D1473" s="42" t="str" cm="1">
        <f t="array" ref="D1473">_xlfn.TEXTJOIN(" | ",TRUE,_xlfn._xlws.FILTER(PriceList!$B$4:$B$2641,PriceList!$M$4:$M$2641=A1473,""))</f>
        <v>DS011-F-0250-0330-0507 | DS011-N-0250-0330-0406 | DS011-N-0250-0330-0507 | DS011-U-0250-0330-0507 | DS011-U-025-033-3/5.5(RED) | DS055-F-0250-0330-0608 | DS055-N-0250-0330-0608 | DS055-U-0250-0330-0608 | DS077-U-0250-0330-0407 | DS088-U-025.0-032.0-7.5-DB</v>
      </c>
      <c r="E1473" t="str" cm="1">
        <f t="array" ref="E1473">_xlfn.TEXTJOIN(", ",TRUE,_xlfn._xlws.FILTER(ROW(PriceList!$B$4:$B$2641),PriceList!$M$4:$M$2641=A1473,""))</f>
        <v>9, 57, 58, 132, 134, 280, 317, 359, 484, 516</v>
      </c>
      <c r="F1473" s="42" t="str" cm="1">
        <f t="array" ref="F1473">_xlfn.TEXTJOIN(" | ",TRUE,_xlfn.UNIQUE(_xlfn._xlws.FILTER(PriceList!$Q$4:$Q$2641&amp;" x "&amp;PriceList!$R$4:$R$2641&amp;" x "&amp;PriceList!$S$4:$S$2641,PriceList!$M$4:$M$2641=A1473,"")))</f>
        <v>25 x 33 x 4</v>
      </c>
      <c r="G1473" t="str" cm="1">
        <f t="array" ref="G1473">INDEX(_xlfn._xlws.FILTER(PriceList!$P$4:$P$2641,PriceList!$M$4:$M$2641=A1473,""),1)</f>
        <v>HalliteÂ® Type 33</v>
      </c>
    </row>
    <row r="1474" spans="1:7" ht="42.75" x14ac:dyDescent="0.45">
      <c r="A1474" t="s">
        <v>3806</v>
      </c>
      <c r="B1474">
        <f>COUNTIF(PriceList!$M$4:$M$2641,A1474)</f>
        <v>5</v>
      </c>
      <c r="C1474" t="str">
        <f>IF(B1474=1,"1:1","1:Many")</f>
        <v>1:Many</v>
      </c>
      <c r="D1474" s="42" t="str" cm="1">
        <f t="array" ref="D1474">_xlfn.TEXTJOIN(" | ",TRUE,_xlfn._xlws.FILTER(PriceList!$B$4:$B$2641,PriceList!$M$4:$M$2641=A1474,""))</f>
        <v>DS011-U-0250-0350-0507 | DS033-U-0250-0350-0710 | DS033-U-025-035-5/8 | DS088-U-025.0-035.0-4.0-DB | DS088-U-025.0-035.0-5.0 DB</v>
      </c>
      <c r="E1474" t="str" cm="1">
        <f t="array" ref="E1474">_xlfn.TEXTJOIN(", ",TRUE,_xlfn._xlws.FILTER(ROW(PriceList!$B$4:$B$2641),PriceList!$M$4:$M$2641=A1474,""))</f>
        <v>133, 207, 209, 517, 518</v>
      </c>
      <c r="F1474" s="42" t="str" cm="1">
        <f t="array" ref="F1474">_xlfn.TEXTJOIN(" | ",TRUE,_xlfn.UNIQUE(_xlfn._xlws.FILTER(PriceList!$Q$4:$Q$2641&amp;" x "&amp;PriceList!$R$4:$R$2641&amp;" x "&amp;PriceList!$S$4:$S$2641,PriceList!$M$4:$M$2641=A1474,"")))</f>
        <v>25 x 35 x 5</v>
      </c>
      <c r="G1474" t="str" cm="1">
        <f t="array" ref="G1474">INDEX(_xlfn._xlws.FILTER(PriceList!$P$4:$P$2641,PriceList!$M$4:$M$2641=A1474,""),1)</f>
        <v>HalliteÂ® Type 860</v>
      </c>
    </row>
    <row r="1475" spans="1:7" x14ac:dyDescent="0.45">
      <c r="A1475" t="s">
        <v>3826</v>
      </c>
      <c r="B1475">
        <f>COUNTIF(PriceList!$M$4:$M$2641,A1475)</f>
        <v>2</v>
      </c>
      <c r="C1475" t="str">
        <f>IF(B1475=1,"1:1","1:Many")</f>
        <v>1:Many</v>
      </c>
      <c r="D1475" s="42" t="str" cm="1">
        <f t="array" ref="D1475">_xlfn.TEXTJOIN(" | ",TRUE,_xlfn._xlws.FILTER(PriceList!$B$4:$B$2641,PriceList!$M$4:$M$2641=A1475,""))</f>
        <v>DS033-U-0250-0370-0710 | DS044-U-0250-0370-0609</v>
      </c>
      <c r="E1475" t="str" cm="1">
        <f t="array" ref="E1475">_xlfn.TEXTJOIN(", ",TRUE,_xlfn._xlws.FILTER(ROW(PriceList!$B$4:$B$2641),PriceList!$M$4:$M$2641=A1475,""))</f>
        <v>208, 241</v>
      </c>
      <c r="F1475" s="42" t="str" cm="1">
        <f t="array" ref="F1475">_xlfn.TEXTJOIN(" | ",TRUE,_xlfn.UNIQUE(_xlfn._xlws.FILTER(PriceList!$Q$4:$Q$2641&amp;" x "&amp;PriceList!$R$4:$R$2641&amp;" x "&amp;PriceList!$S$4:$S$2641,PriceList!$M$4:$M$2641=A1475,"")))</f>
        <v>25 x 37 x 6</v>
      </c>
      <c r="G1475" t="str" cm="1">
        <f t="array" ref="G1475">INDEX(_xlfn._xlws.FILTER(PriceList!$P$4:$P$2641,PriceList!$M$4:$M$2641=A1475,""),1)</f>
        <v>HalliteÂ® Type 860</v>
      </c>
    </row>
    <row r="1476" spans="1:7" x14ac:dyDescent="0.45">
      <c r="A1476" t="s">
        <v>3801</v>
      </c>
      <c r="B1476">
        <f>COUNTIF(PriceList!$M$4:$M$2641,A1476)</f>
        <v>1</v>
      </c>
      <c r="C1476" t="str">
        <f>IF(B1476=1,"1:1","1:Many")</f>
        <v>1:1</v>
      </c>
      <c r="D1476" s="42" t="str" cm="1">
        <f t="array" ref="D1476">_xlfn.TEXTJOIN(" | ",TRUE,_xlfn._xlws.FILTER(PriceList!$B$4:$B$2641,PriceList!$M$4:$M$2641=A1476,""))</f>
        <v>DS011-N-2500-2700-1018</v>
      </c>
      <c r="E1476" t="str" cm="1">
        <f t="array" ref="E1476">_xlfn.TEXTJOIN(", ",TRUE,_xlfn._xlws.FILTER(ROW(PriceList!$B$4:$B$2641),PriceList!$M$4:$M$2641=A1476,""))</f>
        <v>116</v>
      </c>
      <c r="F1476" s="42" t="str" cm="1">
        <f t="array" ref="F1476">_xlfn.TEXTJOIN(" | ",TRUE,_xlfn.UNIQUE(_xlfn._xlws.FILTER(PriceList!$Q$4:$Q$2641&amp;" x "&amp;PriceList!$R$4:$R$2641&amp;" x "&amp;PriceList!$S$4:$S$2641,PriceList!$M$4:$M$2641=A1476,"")))</f>
        <v>250 x 270 x 10</v>
      </c>
      <c r="G1476" t="str" cm="1">
        <f t="array" ref="G1476">INDEX(_xlfn._xlws.FILTER(PriceList!$P$4:$P$2641,PriceList!$M$4:$M$2641=A1476,""),1)</f>
        <v>HalliteÂ® Type 38</v>
      </c>
    </row>
    <row r="1477" spans="1:7" x14ac:dyDescent="0.45">
      <c r="A1477" t="s">
        <v>3873</v>
      </c>
      <c r="B1477">
        <f>COUNTIF(PriceList!$M$4:$M$2641,A1477)</f>
        <v>1</v>
      </c>
      <c r="C1477" t="str">
        <f>IF(B1477=1,"1:1","1:Many")</f>
        <v>1:1</v>
      </c>
      <c r="D1477" s="42" t="str" cm="1">
        <f t="array" ref="D1477">_xlfn.TEXTJOIN(" | ",TRUE,_xlfn._xlws.FILTER(PriceList!$B$4:$B$2641,PriceList!$M$4:$M$2641=A1477,""))</f>
        <v>DS055-N-2600-2750-9.5/13</v>
      </c>
      <c r="E1477" t="str" cm="1">
        <f t="array" ref="E1477">_xlfn.TEXTJOIN(", ",TRUE,_xlfn._xlws.FILTER(ROW(PriceList!$B$4:$B$2641),PriceList!$M$4:$M$2641=A1477,""))</f>
        <v>348</v>
      </c>
      <c r="F1477" s="42" t="str" cm="1">
        <f t="array" ref="F1477">_xlfn.TEXTJOIN(" | ",TRUE,_xlfn.UNIQUE(_xlfn._xlws.FILTER(PriceList!$Q$4:$Q$2641&amp;" x "&amp;PriceList!$R$4:$R$2641&amp;" x "&amp;PriceList!$S$4:$S$2641,PriceList!$M$4:$M$2641=A1477,"")))</f>
        <v>260 x 275 x 9.5</v>
      </c>
      <c r="G1477" t="str" cm="1">
        <f t="array" ref="G1477">INDEX(_xlfn._xlws.FILTER(PriceList!$P$4:$P$2641,PriceList!$M$4:$M$2641=A1477,""),1)</f>
        <v>HalliteÂ® Type 38</v>
      </c>
    </row>
    <row r="1478" spans="1:7" x14ac:dyDescent="0.45">
      <c r="A1478" t="s">
        <v>3802</v>
      </c>
      <c r="B1478">
        <f>COUNTIF(PriceList!$M$4:$M$2641,A1478)</f>
        <v>1</v>
      </c>
      <c r="C1478" t="str">
        <f>IF(B1478=1,"1:1","1:Many")</f>
        <v>1:1</v>
      </c>
      <c r="D1478" s="42" t="str" cm="1">
        <f t="array" ref="D1478">_xlfn.TEXTJOIN(" | ",TRUE,_xlfn._xlws.FILTER(PriceList!$B$4:$B$2641,PriceList!$M$4:$M$2641=A1478,""))</f>
        <v>DS011-N-2600-2800-1018</v>
      </c>
      <c r="E1478" t="str" cm="1">
        <f t="array" ref="E1478">_xlfn.TEXTJOIN(", ",TRUE,_xlfn._xlws.FILTER(ROW(PriceList!$B$4:$B$2641),PriceList!$M$4:$M$2641=A1478,""))</f>
        <v>117</v>
      </c>
      <c r="F1478" s="42" t="str" cm="1">
        <f t="array" ref="F1478">_xlfn.TEXTJOIN(" | ",TRUE,_xlfn.UNIQUE(_xlfn._xlws.FILTER(PriceList!$Q$4:$Q$2641&amp;" x "&amp;PriceList!$R$4:$R$2641&amp;" x "&amp;PriceList!$S$4:$S$2641,PriceList!$M$4:$M$2641=A1478,"")))</f>
        <v>260 x 280 x 10</v>
      </c>
      <c r="G1478" t="str" cm="1">
        <f t="array" ref="G1478">INDEX(_xlfn._xlws.FILTER(PriceList!$P$4:$P$2641,PriceList!$M$4:$M$2641=A1478,""),1)</f>
        <v>HalliteÂ® Type 38</v>
      </c>
    </row>
    <row r="1479" spans="1:7" x14ac:dyDescent="0.45">
      <c r="A1479" t="s">
        <v>3874</v>
      </c>
      <c r="B1479">
        <f>COUNTIF(PriceList!$M$4:$M$2641,A1479)</f>
        <v>1</v>
      </c>
      <c r="C1479" t="str">
        <f>IF(B1479=1,"1:1","1:Many")</f>
        <v>1:1</v>
      </c>
      <c r="D1479" s="42" t="str" cm="1">
        <f t="array" ref="D1479">_xlfn.TEXTJOIN(" | ",TRUE,_xlfn._xlws.FILTER(PriceList!$B$4:$B$2641,PriceList!$M$4:$M$2641=A1479,""))</f>
        <v>DS055-N-2700-2850-9.5/13</v>
      </c>
      <c r="E1479" t="str" cm="1">
        <f t="array" ref="E1479">_xlfn.TEXTJOIN(", ",TRUE,_xlfn._xlws.FILTER(ROW(PriceList!$B$4:$B$2641),PriceList!$M$4:$M$2641=A1479,""))</f>
        <v>349</v>
      </c>
      <c r="F1479" s="42" t="str" cm="1">
        <f t="array" ref="F1479">_xlfn.TEXTJOIN(" | ",TRUE,_xlfn.UNIQUE(_xlfn._xlws.FILTER(PriceList!$Q$4:$Q$2641&amp;" x "&amp;PriceList!$R$4:$R$2641&amp;" x "&amp;PriceList!$S$4:$S$2641,PriceList!$M$4:$M$2641=A1479,"")))</f>
        <v>270 x 286 x 7.5</v>
      </c>
      <c r="G1479" t="str" cm="1">
        <f t="array" ref="G1479">INDEX(_xlfn._xlws.FILTER(PriceList!$P$4:$P$2641,PriceList!$M$4:$M$2641=A1479,""),1)</f>
        <v>HalliteÂ® Type 38</v>
      </c>
    </row>
    <row r="1480" spans="1:7" ht="28.5" x14ac:dyDescent="0.45">
      <c r="A1480" t="s">
        <v>3816</v>
      </c>
      <c r="B1480">
        <f>COUNTIF(PriceList!$M$4:$M$2641,A1480)</f>
        <v>3</v>
      </c>
      <c r="C1480" t="str">
        <f>IF(B1480=1,"1:1","1:Many")</f>
        <v>1:Many</v>
      </c>
      <c r="D1480" s="42" t="str" cm="1">
        <f t="array" ref="D1480">_xlfn.TEXTJOIN(" | ",TRUE,_xlfn._xlws.FILTER(PriceList!$B$4:$B$2641,PriceList!$M$4:$M$2641=A1480,""))</f>
        <v>DS011-U-0680-0760-3.1/5 | DS055-N-0680-0760-0608 | DS055-U-0680-0760-0608</v>
      </c>
      <c r="E1480" t="str" cm="1">
        <f t="array" ref="E1480">_xlfn.TEXTJOIN(", ",TRUE,_xlfn._xlws.FILTER(ROW(PriceList!$B$4:$B$2641),PriceList!$M$4:$M$2641=A1480,""))</f>
        <v>170, 332, 374</v>
      </c>
      <c r="F1480" s="42" t="str" cm="1">
        <f t="array" ref="F1480">_xlfn.TEXTJOIN(" | ",TRUE,_xlfn.UNIQUE(_xlfn._xlws.FILTER(PriceList!$Q$4:$Q$2641&amp;" x "&amp;PriceList!$R$4:$R$2641&amp;" x "&amp;PriceList!$S$4:$S$2641,PriceList!$M$4:$M$2641=A1480,"")))</f>
        <v>69.85 x 77.724 x 4.572</v>
      </c>
      <c r="G1480" t="str" cm="1">
        <f t="array" ref="G1480">INDEX(_xlfn._xlws.FILTER(PriceList!$P$4:$P$2641,PriceList!$M$4:$M$2641=A1480,""),1)</f>
        <v>HalliteÂ® Type 842</v>
      </c>
    </row>
    <row r="1481" spans="1:7" x14ac:dyDescent="0.45">
      <c r="A1481" t="s">
        <v>3846</v>
      </c>
      <c r="B1481">
        <f>COUNTIF(PriceList!$M$4:$M$2641,A1481)</f>
        <v>2</v>
      </c>
      <c r="C1481" t="str">
        <f>IF(B1481=1,"1:1","1:Many")</f>
        <v>1:Many</v>
      </c>
      <c r="D1481" s="42" t="str" cm="1">
        <f t="array" ref="D1481">_xlfn.TEXTJOIN(" | ",TRUE,_xlfn._xlws.FILTER(PriceList!$B$4:$B$2641,PriceList!$M$4:$M$2641=A1481,""))</f>
        <v>DS044-U-0700-0840-0811 | DS088-U-070.0-083.5-6.0</v>
      </c>
      <c r="E1481" t="str" cm="1">
        <f t="array" ref="E1481">_xlfn.TEXTJOIN(", ",TRUE,_xlfn._xlws.FILTER(ROW(PriceList!$B$4:$B$2641),PriceList!$M$4:$M$2641=A1481,""))</f>
        <v>256, 534</v>
      </c>
      <c r="F1481" s="42" t="str" cm="1">
        <f t="array" ref="F1481">_xlfn.TEXTJOIN(" | ",TRUE,_xlfn.UNIQUE(_xlfn._xlws.FILTER(PriceList!$Q$4:$Q$2641&amp;" x "&amp;PriceList!$R$4:$R$2641&amp;" x "&amp;PriceList!$S$4:$S$2641,PriceList!$M$4:$M$2641=A1481,"")))</f>
        <v>69.85 x 82.55 x 6.35</v>
      </c>
      <c r="G1481" t="str" cm="1">
        <f t="array" ref="G1481">INDEX(_xlfn._xlws.FILTER(PriceList!$P$4:$P$2641,PriceList!$M$4:$M$2641=A1481,""),1)</f>
        <v>HalliteÂ® Type 520</v>
      </c>
    </row>
    <row r="1482" spans="1:7" ht="71.25" x14ac:dyDescent="0.45">
      <c r="A1482" t="s">
        <v>3725</v>
      </c>
      <c r="B1482">
        <f>COUNTIF(PriceList!$M$4:$M$2641,A1482)</f>
        <v>9</v>
      </c>
      <c r="C1482" t="str">
        <f>IF(B1482=1,"1:1","1:Many")</f>
        <v>1:Many</v>
      </c>
      <c r="D1482" s="42" t="str" cm="1">
        <f t="array" ref="D1482">_xlfn.TEXTJOIN(" | ",TRUE,_xlfn._xlws.FILTER(PriceList!$B$4:$B$2641,PriceList!$M$4:$M$2641=A1482,""))</f>
        <v>DS011-F-0280-0360-0507 | DS011-N-0280-0360-0507 | DS011-U-0280-0360-0507 | DS055-F-0280-0360-0608 | DS055-N-0280-0360-0608 | DS055-U-0280-0360-0608 | DS066-F-0280-0348-050 | DS066-N-0280-0348-050 | DS077-U-0280-0360-0407</v>
      </c>
      <c r="E1482" t="str" cm="1">
        <f t="array" ref="E1482">_xlfn.TEXTJOIN(", ",TRUE,_xlfn._xlws.FILTER(ROW(PriceList!$B$4:$B$2641),PriceList!$M$4:$M$2641=A1482,""))</f>
        <v>10, 59, 135, 281, 318, 360, 397, 440, 485</v>
      </c>
      <c r="F1482" s="42" t="str" cm="1">
        <f t="array" ref="F1482">_xlfn.TEXTJOIN(" | ",TRUE,_xlfn.UNIQUE(_xlfn._xlws.FILTER(PriceList!$Q$4:$Q$2641&amp;" x "&amp;PriceList!$R$4:$R$2641&amp;" x "&amp;PriceList!$S$4:$S$2641,PriceList!$M$4:$M$2641=A1482,"")))</f>
        <v>28 x 36 x 5</v>
      </c>
      <c r="G1482" t="str" cm="1">
        <f t="array" ref="G1482">INDEX(_xlfn._xlws.FILTER(PriceList!$P$4:$P$2641,PriceList!$M$4:$M$2641=A1482,""),1)</f>
        <v>HalliteÂ® Type 38</v>
      </c>
    </row>
    <row r="1483" spans="1:7" ht="28.5" x14ac:dyDescent="0.45">
      <c r="A1483" t="s">
        <v>3867</v>
      </c>
      <c r="B1483">
        <f>COUNTIF(PriceList!$M$4:$M$2641,A1483)</f>
        <v>2</v>
      </c>
      <c r="C1483" t="str">
        <f>IF(B1483=1,"1:1","1:Many")</f>
        <v>1:Many</v>
      </c>
      <c r="D1483" s="42" t="str" cm="1">
        <f t="array" ref="D1483">_xlfn.TEXTJOIN(" | ",TRUE,_xlfn._xlws.FILTER(PriceList!$B$4:$B$2641,PriceList!$M$4:$M$2641=A1483,""))</f>
        <v>DS055-F-2800-2950-9.5/13 | DS055-N-2800-2950-9.5/13</v>
      </c>
      <c r="E1483" t="str" cm="1">
        <f t="array" ref="E1483">_xlfn.TEXTJOIN(", ",TRUE,_xlfn._xlws.FILTER(ROW(PriceList!$B$4:$B$2641),PriceList!$M$4:$M$2641=A1483,""))</f>
        <v>308, 350</v>
      </c>
      <c r="F1483" s="42" t="str" cm="1">
        <f t="array" ref="F1483">_xlfn.TEXTJOIN(" | ",TRUE,_xlfn.UNIQUE(_xlfn._xlws.FILTER(PriceList!$Q$4:$Q$2641&amp;" x "&amp;PriceList!$R$4:$R$2641&amp;" x "&amp;PriceList!$S$4:$S$2641,PriceList!$M$4:$M$2641=A1483,"")))</f>
        <v>280 x 295 x 9.5</v>
      </c>
      <c r="G1483" t="str" cm="1">
        <f t="array" ref="G1483">INDEX(_xlfn._xlws.FILTER(PriceList!$P$4:$P$2641,PriceList!$M$4:$M$2641=A1483,""),1)</f>
        <v>HalliteÂ® Type 38</v>
      </c>
    </row>
    <row r="1484" spans="1:7" x14ac:dyDescent="0.45">
      <c r="A1484" t="s">
        <v>3803</v>
      </c>
      <c r="B1484">
        <f>COUNTIF(PriceList!$M$4:$M$2641,A1484)</f>
        <v>1</v>
      </c>
      <c r="C1484" t="str">
        <f>IF(B1484=1,"1:1","1:Many")</f>
        <v>1:1</v>
      </c>
      <c r="D1484" s="42" t="str" cm="1">
        <f t="array" ref="D1484">_xlfn.TEXTJOIN(" | ",TRUE,_xlfn._xlws.FILTER(PriceList!$B$4:$B$2641,PriceList!$M$4:$M$2641=A1484,""))</f>
        <v>DS011-N-2800-3000-1018</v>
      </c>
      <c r="E1484" t="str" cm="1">
        <f t="array" ref="E1484">_xlfn.TEXTJOIN(", ",TRUE,_xlfn._xlws.FILTER(ROW(PriceList!$B$4:$B$2641),PriceList!$M$4:$M$2641=A1484,""))</f>
        <v>118</v>
      </c>
      <c r="F1484" s="42" t="str" cm="1">
        <f t="array" ref="F1484">_xlfn.TEXTJOIN(" | ",TRUE,_xlfn.UNIQUE(_xlfn._xlws.FILTER(PriceList!$Q$4:$Q$2641&amp;" x "&amp;PriceList!$R$4:$R$2641&amp;" x "&amp;PriceList!$S$4:$S$2641,PriceList!$M$4:$M$2641=A1484,"")))</f>
        <v>280 x 300 x 10</v>
      </c>
      <c r="G1484" t="str" cm="1">
        <f t="array" ref="G1484">INDEX(_xlfn._xlws.FILTER(PriceList!$P$4:$P$2641,PriceList!$M$4:$M$2641=A1484,""),1)</f>
        <v>HalliteÂ® Type 38</v>
      </c>
    </row>
    <row r="1485" spans="1:7" x14ac:dyDescent="0.45">
      <c r="A1485" t="s">
        <v>3804</v>
      </c>
      <c r="B1485">
        <f>COUNTIF(PriceList!$M$4:$M$2641,A1485)</f>
        <v>1</v>
      </c>
      <c r="C1485" t="str">
        <f>IF(B1485=1,"1:1","1:Many")</f>
        <v>1:1</v>
      </c>
      <c r="D1485" s="42" t="str" cm="1">
        <f t="array" ref="D1485">_xlfn.TEXTJOIN(" | ",TRUE,_xlfn._xlws.FILTER(PriceList!$B$4:$B$2641,PriceList!$M$4:$M$2641=A1485,""))</f>
        <v>DS011-N-2900-3100-1018</v>
      </c>
      <c r="E1485" t="str" cm="1">
        <f t="array" ref="E1485">_xlfn.TEXTJOIN(", ",TRUE,_xlfn._xlws.FILTER(ROW(PriceList!$B$4:$B$2641),PriceList!$M$4:$M$2641=A1485,""))</f>
        <v>119</v>
      </c>
      <c r="F1485" s="42" t="str" cm="1">
        <f t="array" ref="F1485">_xlfn.TEXTJOIN(" | ",TRUE,_xlfn.UNIQUE(_xlfn._xlws.FILTER(PriceList!$Q$4:$Q$2641&amp;" x "&amp;PriceList!$R$4:$R$2641&amp;" x "&amp;PriceList!$S$4:$S$2641,PriceList!$M$4:$M$2641=A1485,"")))</f>
        <v>290 x 310 x 12</v>
      </c>
      <c r="G1485" t="str" cm="1">
        <f t="array" ref="G1485">INDEX(_xlfn._xlws.FILTER(PriceList!$P$4:$P$2641,PriceList!$M$4:$M$2641=A1485,""),1)</f>
        <v>HalliteÂ® Type 38</v>
      </c>
    </row>
    <row r="1486" spans="1:7" ht="85.5" x14ac:dyDescent="0.45">
      <c r="A1486" t="s">
        <v>3726</v>
      </c>
      <c r="B1486">
        <f>COUNTIF(PriceList!$M$4:$M$2641,A1486)</f>
        <v>11</v>
      </c>
      <c r="C1486" t="str">
        <f>IF(B1486=1,"1:1","1:Many")</f>
        <v>1:Many</v>
      </c>
      <c r="D1486" s="42" t="str" cm="1">
        <f t="array" ref="D1486">_xlfn.TEXTJOIN(" | ",TRUE,_xlfn._xlws.FILTER(PriceList!$B$4:$B$2641,PriceList!$M$4:$M$2641=A1486,""))</f>
        <v>DS011-F-0300-0380-0507 | DS011-N-0300-0380-0507 | DS011-U-0300-0380-03/5.5 (RED) | DS011-U-0300-0380-0507 | DS011-U-0300-0386-0507 | DS055-F-0300-0380-0608 | DS055-N-0300-0380-0608 | DS055-U-0300-0380-0608 | DS066-F-0300-0368-050 | DS066-N-0300-0368-050 | DS077-U-0300-0380-0407</v>
      </c>
      <c r="E1486" t="str" cm="1">
        <f t="array" ref="E1486">_xlfn.TEXTJOIN(", ",TRUE,_xlfn._xlws.FILTER(ROW(PriceList!$B$4:$B$2641),PriceList!$M$4:$M$2641=A1486,""))</f>
        <v>11, 61, 136, 137, 138, 282, 319, 361, 398, 441, 486</v>
      </c>
      <c r="F1486" s="42" t="str" cm="1">
        <f t="array" ref="F1486">_xlfn.TEXTJOIN(" | ",TRUE,_xlfn.UNIQUE(_xlfn._xlws.FILTER(PriceList!$Q$4:$Q$2641&amp;" x "&amp;PriceList!$R$4:$R$2641&amp;" x "&amp;PriceList!$S$4:$S$2641,PriceList!$M$4:$M$2641=A1486,"")))</f>
        <v>30 x 38 x 5</v>
      </c>
      <c r="G1486" t="str" cm="1">
        <f t="array" ref="G1486">INDEX(_xlfn._xlws.FILTER(PriceList!$P$4:$P$2641,PriceList!$M$4:$M$2641=A1486,""),1)</f>
        <v>HalliteÂ® Type 38</v>
      </c>
    </row>
    <row r="1487" spans="1:7" ht="28.5" x14ac:dyDescent="0.45">
      <c r="A1487" t="s">
        <v>3779</v>
      </c>
      <c r="B1487">
        <f>COUNTIF(PriceList!$M$4:$M$2641,A1487)</f>
        <v>3</v>
      </c>
      <c r="C1487" t="str">
        <f>IF(B1487=1,"1:1","1:Many")</f>
        <v>1:Many</v>
      </c>
      <c r="D1487" s="42" t="str" cm="1">
        <f t="array" ref="D1487">_xlfn.TEXTJOIN(" | ",TRUE,_xlfn._xlws.FILTER(PriceList!$B$4:$B$2641,PriceList!$M$4:$M$2641=A1487,""))</f>
        <v>DS011-N-0300-0400-0507 | DS033-U-0300-0400-0507 | DS033-U-0300-0400-0710</v>
      </c>
      <c r="E1487" t="str" cm="1">
        <f t="array" ref="E1487">_xlfn.TEXTJOIN(", ",TRUE,_xlfn._xlws.FILTER(ROW(PriceList!$B$4:$B$2641),PriceList!$M$4:$M$2641=A1487,""))</f>
        <v>62, 211, 212</v>
      </c>
      <c r="F1487" s="42" t="str" cm="1">
        <f t="array" ref="F1487">_xlfn.TEXTJOIN(" | ",TRUE,_xlfn.UNIQUE(_xlfn._xlws.FILTER(PriceList!$Q$4:$Q$2641&amp;" x "&amp;PriceList!$R$4:$R$2641&amp;" x "&amp;PriceList!$S$4:$S$2641,PriceList!$M$4:$M$2641=A1487,"")))</f>
        <v>30 x 40 x 5</v>
      </c>
      <c r="G1487" t="str" cm="1">
        <f t="array" ref="G1487">INDEX(_xlfn._xlws.FILTER(PriceList!$P$4:$P$2641,PriceList!$M$4:$M$2641=A1487,""),1)</f>
        <v>HalliteÂ® Type 860</v>
      </c>
    </row>
    <row r="1488" spans="1:7" x14ac:dyDescent="0.45">
      <c r="A1488" t="s">
        <v>3780</v>
      </c>
      <c r="B1488">
        <f>COUNTIF(PriceList!$M$4:$M$2641,A1488)</f>
        <v>2</v>
      </c>
      <c r="C1488" t="str">
        <f>IF(B1488=1,"1:1","1:Many")</f>
        <v>1:Many</v>
      </c>
      <c r="D1488" s="42" t="str" cm="1">
        <f t="array" ref="D1488">_xlfn.TEXTJOIN(" | ",TRUE,_xlfn._xlws.FILTER(PriceList!$B$4:$B$2641,PriceList!$M$4:$M$2641=A1488,""))</f>
        <v>DS011-N-0300-0420-0609 | DS044-U-0300-0420-0609</v>
      </c>
      <c r="E1488" t="str" cm="1">
        <f t="array" ref="E1488">_xlfn.TEXTJOIN(", ",TRUE,_xlfn._xlws.FILTER(ROW(PriceList!$B$4:$B$2641),PriceList!$M$4:$M$2641=A1488,""))</f>
        <v>63, 243</v>
      </c>
      <c r="F1488" s="42" t="str" cm="1">
        <f t="array" ref="F1488">_xlfn.TEXTJOIN(" | ",TRUE,_xlfn.UNIQUE(_xlfn._xlws.FILTER(PriceList!$Q$4:$Q$2641&amp;" x "&amp;PriceList!$R$4:$R$2641&amp;" x "&amp;PriceList!$S$4:$S$2641,PriceList!$M$4:$M$2641=A1488,"")))</f>
        <v>30 x 42 x 6</v>
      </c>
      <c r="G1488" t="str" cm="1">
        <f t="array" ref="G1488">INDEX(_xlfn._xlws.FILTER(PriceList!$P$4:$P$2641,PriceList!$M$4:$M$2641=A1488,""),1)</f>
        <v>HalliteÂ® Type 33</v>
      </c>
    </row>
    <row r="1489" spans="1:7" x14ac:dyDescent="0.45">
      <c r="A1489" t="s">
        <v>3875</v>
      </c>
      <c r="B1489">
        <f>COUNTIF(PriceList!$M$4:$M$2641,A1489)</f>
        <v>1</v>
      </c>
      <c r="C1489" t="str">
        <f>IF(B1489=1,"1:1","1:Many")</f>
        <v>1:1</v>
      </c>
      <c r="D1489" s="42" t="str" cm="1">
        <f t="array" ref="D1489">_xlfn.TEXTJOIN(" | ",TRUE,_xlfn._xlws.FILTER(PriceList!$B$4:$B$2641,PriceList!$M$4:$M$2641=A1489,""))</f>
        <v>DS055-N-3000-3150-9.5/13</v>
      </c>
      <c r="E1489" t="str" cm="1">
        <f t="array" ref="E1489">_xlfn.TEXTJOIN(", ",TRUE,_xlfn._xlws.FILTER(ROW(PriceList!$B$4:$B$2641),PriceList!$M$4:$M$2641=A1489,""))</f>
        <v>351</v>
      </c>
      <c r="F1489" s="42" t="str" cm="1">
        <f t="array" ref="F1489">_xlfn.TEXTJOIN(" | ",TRUE,_xlfn.UNIQUE(_xlfn._xlws.FILTER(PriceList!$Q$4:$Q$2641&amp;" x "&amp;PriceList!$R$4:$R$2641&amp;" x "&amp;PriceList!$S$4:$S$2641,PriceList!$M$4:$M$2641=A1489,"")))</f>
        <v>300 x 316 x 7.5</v>
      </c>
      <c r="G1489" t="str" cm="1">
        <f t="array" ref="G1489">INDEX(_xlfn._xlws.FILTER(PriceList!$P$4:$P$2641,PriceList!$M$4:$M$2641=A1489,""),1)</f>
        <v>HalliteÂ® Type 38</v>
      </c>
    </row>
    <row r="1490" spans="1:7" x14ac:dyDescent="0.45">
      <c r="A1490" t="s">
        <v>3805</v>
      </c>
      <c r="B1490">
        <f>COUNTIF(PriceList!$M$4:$M$2641,A1490)</f>
        <v>1</v>
      </c>
      <c r="C1490" t="str">
        <f>IF(B1490=1,"1:1","1:Many")</f>
        <v>1:1</v>
      </c>
      <c r="D1490" s="42" t="str" cm="1">
        <f t="array" ref="D1490">_xlfn.TEXTJOIN(" | ",TRUE,_xlfn._xlws.FILTER(PriceList!$B$4:$B$2641,PriceList!$M$4:$M$2641=A1490,""))</f>
        <v>DS011-N-3000-3200-1018</v>
      </c>
      <c r="E1490" t="str" cm="1">
        <f t="array" ref="E1490">_xlfn.TEXTJOIN(", ",TRUE,_xlfn._xlws.FILTER(ROW(PriceList!$B$4:$B$2641),PriceList!$M$4:$M$2641=A1490,""))</f>
        <v>120</v>
      </c>
      <c r="F1490" s="42" t="str" cm="1">
        <f t="array" ref="F1490">_xlfn.TEXTJOIN(" | ",TRUE,_xlfn.UNIQUE(_xlfn._xlws.FILTER(PriceList!$Q$4:$Q$2641&amp;" x "&amp;PriceList!$R$4:$R$2641&amp;" x "&amp;PriceList!$S$4:$S$2641,PriceList!$M$4:$M$2641=A1490,"")))</f>
        <v>300 x 320 x 10.2</v>
      </c>
      <c r="G1490" t="str" cm="1">
        <f t="array" ref="G1490">INDEX(_xlfn._xlws.FILTER(PriceList!$P$4:$P$2641,PriceList!$M$4:$M$2641=A1490,""),1)</f>
        <v>HalliteÂ® Type 38</v>
      </c>
    </row>
    <row r="1491" spans="1:7" x14ac:dyDescent="0.45">
      <c r="A1491" t="s">
        <v>3848</v>
      </c>
      <c r="B1491">
        <f>COUNTIF(PriceList!$M$4:$M$2641,A1491)</f>
        <v>2</v>
      </c>
      <c r="C1491" t="str">
        <f>IF(B1491=1,"1:1","1:Many")</f>
        <v>1:Many</v>
      </c>
      <c r="D1491" s="42" t="str" cm="1">
        <f t="array" ref="D1491">_xlfn.TEXTJOIN(" | ",TRUE,_xlfn._xlws.FILTER(PriceList!$B$4:$B$2641,PriceList!$M$4:$M$2641=A1491,""))</f>
        <v>DS044-U-0750-0890-0811 | DS088-U-075.0-090.0-8.0</v>
      </c>
      <c r="E1491" t="str" cm="1">
        <f t="array" ref="E1491">_xlfn.TEXTJOIN(", ",TRUE,_xlfn._xlws.FILTER(ROW(PriceList!$B$4:$B$2641),PriceList!$M$4:$M$2641=A1491,""))</f>
        <v>257, 535</v>
      </c>
      <c r="F1491" s="42" t="str" cm="1">
        <f t="array" ref="F1491">_xlfn.TEXTJOIN(" | ",TRUE,_xlfn.UNIQUE(_xlfn._xlws.FILTER(PriceList!$Q$4:$Q$2641&amp;" x "&amp;PriceList!$R$4:$R$2641&amp;" x "&amp;PriceList!$S$4:$S$2641,PriceList!$M$4:$M$2641=A1491,"")))</f>
        <v>76.2 x 88.9 x 6.35</v>
      </c>
      <c r="G1491" t="str" cm="1">
        <f t="array" ref="G1491">INDEX(_xlfn._xlws.FILTER(PriceList!$P$4:$P$2641,PriceList!$M$4:$M$2641=A1491,""),1)</f>
        <v>HalliteÂ® Type 520</v>
      </c>
    </row>
    <row r="1492" spans="1:7" ht="71.25" x14ac:dyDescent="0.45">
      <c r="A1492" t="s">
        <v>3727</v>
      </c>
      <c r="B1492">
        <f>COUNTIF(PriceList!$M$4:$M$2641,A1492)</f>
        <v>9</v>
      </c>
      <c r="C1492" t="str">
        <f>IF(B1492=1,"1:1","1:Many")</f>
        <v>1:Many</v>
      </c>
      <c r="D1492" s="42" t="str" cm="1">
        <f t="array" ref="D1492">_xlfn.TEXTJOIN(" | ",TRUE,_xlfn._xlws.FILTER(PriceList!$B$4:$B$2641,PriceList!$M$4:$M$2641=A1492,""))</f>
        <v>DS011-F-0320-0400-0507 | DS011-N-0320-0400-0507 | DS011-U-0320-0400-0508 | DS055-F-0320-0400-0608 | DS055-N-0320-0400-0608 | DS055-U-0320-0400-0608 | DS066-F-0320-0388-050 | DS066-N-0320-0388-050 | DS077-U-0320-0400-0407</v>
      </c>
      <c r="E1492" t="str" cm="1">
        <f t="array" ref="E1492">_xlfn.TEXTJOIN(", ",TRUE,_xlfn._xlws.FILTER(ROW(PriceList!$B$4:$B$2641),PriceList!$M$4:$M$2641=A1492,""))</f>
        <v>12, 64, 139, 283, 320, 362, 399, 442, 487</v>
      </c>
      <c r="F1492" s="42" t="str" cm="1">
        <f t="array" ref="F1492">_xlfn.TEXTJOIN(" | ",TRUE,_xlfn.UNIQUE(_xlfn._xlws.FILTER(PriceList!$Q$4:$Q$2641&amp;" x "&amp;PriceList!$R$4:$R$2641&amp;" x "&amp;PriceList!$S$4:$S$2641,PriceList!$M$4:$M$2641=A1492,"")))</f>
        <v>32 x 40 x 5</v>
      </c>
      <c r="G1492" t="str" cm="1">
        <f t="array" ref="G1492">INDEX(_xlfn._xlws.FILTER(PriceList!$P$4:$P$2641,PriceList!$M$4:$M$2641=A1492,""),1)</f>
        <v>HalliteÂ® Type 33</v>
      </c>
    </row>
    <row r="1493" spans="1:7" x14ac:dyDescent="0.45">
      <c r="A1493" t="s">
        <v>3829</v>
      </c>
      <c r="B1493">
        <f>COUNTIF(PriceList!$M$4:$M$2641,A1493)</f>
        <v>2</v>
      </c>
      <c r="C1493" t="str">
        <f>IF(B1493=1,"1:1","1:Many")</f>
        <v>1:Many</v>
      </c>
      <c r="D1493" s="42" t="str" cm="1">
        <f t="array" ref="D1493">_xlfn.TEXTJOIN(" | ",TRUE,_xlfn._xlws.FILTER(PriceList!$B$4:$B$2641,PriceList!$M$4:$M$2641=A1493,""))</f>
        <v>DS033-U-0320-0450-0710 | DS044-U-0320-0440-0710</v>
      </c>
      <c r="E1493" t="str" cm="1">
        <f t="array" ref="E1493">_xlfn.TEXTJOIN(", ",TRUE,_xlfn._xlws.FILTER(ROW(PriceList!$B$4:$B$2641),PriceList!$M$4:$M$2641=A1493,""))</f>
        <v>215, 244</v>
      </c>
      <c r="F1493" s="42" t="str" cm="1">
        <f t="array" ref="F1493">_xlfn.TEXTJOIN(" | ",TRUE,_xlfn.UNIQUE(_xlfn._xlws.FILTER(PriceList!$Q$4:$Q$2641&amp;" x "&amp;PriceList!$R$4:$R$2641&amp;" x "&amp;PriceList!$S$4:$S$2641,PriceList!$M$4:$M$2641=A1493,"")))</f>
        <v>32 x 44 x 6</v>
      </c>
      <c r="G1493" t="str" cm="1">
        <f t="array" ref="G1493">INDEX(_xlfn._xlws.FILTER(PriceList!$P$4:$P$2641,PriceList!$M$4:$M$2641=A1493,""),1)</f>
        <v>HalliteÂ® Type 33</v>
      </c>
    </row>
    <row r="1494" spans="1:7" x14ac:dyDescent="0.45">
      <c r="A1494" t="s">
        <v>3868</v>
      </c>
      <c r="B1494">
        <f>COUNTIF(PriceList!$M$4:$M$2641,A1494)</f>
        <v>1</v>
      </c>
      <c r="C1494" t="str">
        <f>IF(B1494=1,"1:1","1:Many")</f>
        <v>1:1</v>
      </c>
      <c r="D1494" s="42" t="str" cm="1">
        <f t="array" ref="D1494">_xlfn.TEXTJOIN(" | ",TRUE,_xlfn._xlws.FILTER(PriceList!$B$4:$B$2641,PriceList!$M$4:$M$2641=A1494,""))</f>
        <v>DS055-N-0860-0940-0608</v>
      </c>
      <c r="E1494" t="str" cm="1">
        <f t="array" ref="E1494">_xlfn.TEXTJOIN(", ",TRUE,_xlfn._xlws.FILTER(ROW(PriceList!$B$4:$B$2641),PriceList!$M$4:$M$2641=A1494,""))</f>
        <v>337</v>
      </c>
      <c r="F1494" s="42" t="str" cm="1">
        <f t="array" ref="F1494">_xlfn.TEXTJOIN(" | ",TRUE,_xlfn.UNIQUE(_xlfn._xlws.FILTER(PriceList!$Q$4:$Q$2641&amp;" x "&amp;PriceList!$R$4:$R$2641&amp;" x "&amp;PriceList!$S$4:$S$2641,PriceList!$M$4:$M$2641=A1494,"")))</f>
        <v>85.598 x 95.25 x 4.572</v>
      </c>
      <c r="G1494" t="str" cm="1">
        <f t="array" ref="G1494">INDEX(_xlfn._xlws.FILTER(PriceList!$P$4:$P$2641,PriceList!$M$4:$M$2641=A1494,""),1)</f>
        <v>HalliteÂ® Type 842</v>
      </c>
    </row>
    <row r="1495" spans="1:7" ht="85.5" x14ac:dyDescent="0.45">
      <c r="A1495" t="s">
        <v>3728</v>
      </c>
      <c r="B1495">
        <f>COUNTIF(PriceList!$M$4:$M$2641,A1495)</f>
        <v>11</v>
      </c>
      <c r="C1495" t="str">
        <f>IF(B1495=1,"1:1","1:Many")</f>
        <v>1:Many</v>
      </c>
      <c r="D1495" s="42" t="str" cm="1">
        <f t="array" ref="D1495">_xlfn.TEXTJOIN(" | ",TRUE,_xlfn._xlws.FILTER(PriceList!$B$4:$B$2641,PriceList!$M$4:$M$2641=A1495,""))</f>
        <v>DS011-F-0350-0430-0507 | DS011-N-0350-0430-0507 | DS011-U-0350-0430-0507 | DS055-F-0350-0430-0608 | DS055-N-0350-0430-0608 | DS055-U-0350-0430-0608 | DS066-F-0350-0418-050 | DS066-F-0360-0428-050 | DS066-N-0350-0418-050 | DS066-N-0360-0428-050 | DS077-U-0350-0430-0407</v>
      </c>
      <c r="E1495" t="str" cm="1">
        <f t="array" ref="E1495">_xlfn.TEXTJOIN(", ",TRUE,_xlfn._xlws.FILTER(ROW(PriceList!$B$4:$B$2641),PriceList!$M$4:$M$2641=A1495,""))</f>
        <v>13, 65, 140, 284, 321, 363, 400, 401, 443, 444, 489</v>
      </c>
      <c r="F1495" s="42" t="str" cm="1">
        <f t="array" ref="F1495">_xlfn.TEXTJOIN(" | ",TRUE,_xlfn.UNIQUE(_xlfn._xlws.FILTER(PriceList!$Q$4:$Q$2641&amp;" x "&amp;PriceList!$R$4:$R$2641&amp;" x "&amp;PriceList!$S$4:$S$2641,PriceList!$M$4:$M$2641=A1495,"")))</f>
        <v>35 x 43 x 5</v>
      </c>
      <c r="G1495" t="str" cm="1">
        <f t="array" ref="G1495">INDEX(_xlfn._xlws.FILTER(PriceList!$P$4:$P$2641,PriceList!$M$4:$M$2641=A1495,""),1)</f>
        <v>HalliteÂ® Type 38</v>
      </c>
    </row>
    <row r="1496" spans="1:7" ht="42.75" x14ac:dyDescent="0.45">
      <c r="A1496" t="s">
        <v>3781</v>
      </c>
      <c r="B1496">
        <f>COUNTIF(PriceList!$M$4:$M$2641,A1496)</f>
        <v>4</v>
      </c>
      <c r="C1496" t="str">
        <f>IF(B1496=1,"1:1","1:Many")</f>
        <v>1:Many</v>
      </c>
      <c r="D1496" s="42" t="str" cm="1">
        <f t="array" ref="D1496">_xlfn.TEXTJOIN(" | ",TRUE,_xlfn._xlws.FILTER(PriceList!$B$4:$B$2641,PriceList!$M$4:$M$2641=A1496,""))</f>
        <v>DS011-N-0350-0450-0308 | DS011-U-0350-0450-0507 | DS033-U-0350-0450-0710 | DS088-U-035.0-045.0-4.0-DB</v>
      </c>
      <c r="E1496" t="str" cm="1">
        <f t="array" ref="E1496">_xlfn.TEXTJOIN(", ",TRUE,_xlfn._xlws.FILTER(ROW(PriceList!$B$4:$B$2641),PriceList!$M$4:$M$2641=A1496,""))</f>
        <v>66, 141, 216, 520</v>
      </c>
      <c r="F1496" s="42" t="str" cm="1">
        <f t="array" ref="F1496">_xlfn.TEXTJOIN(" | ",TRUE,_xlfn.UNIQUE(_xlfn._xlws.FILTER(PriceList!$Q$4:$Q$2641&amp;" x "&amp;PriceList!$R$4:$R$2641&amp;" x "&amp;PriceList!$S$4:$S$2641,PriceList!$M$4:$M$2641=A1496,"")))</f>
        <v>35 x 45 x 7</v>
      </c>
      <c r="G1496" t="str" cm="1">
        <f t="array" ref="G1496">INDEX(_xlfn._xlws.FILTER(PriceList!$P$4:$P$2641,PriceList!$M$4:$M$2641=A1496,""),1)</f>
        <v>HalliteÂ® Type 860</v>
      </c>
    </row>
    <row r="1497" spans="1:7" ht="28.5" x14ac:dyDescent="0.45">
      <c r="A1497" t="s">
        <v>3782</v>
      </c>
      <c r="B1497">
        <f>COUNTIF(PriceList!$M$4:$M$2641,A1497)</f>
        <v>4</v>
      </c>
      <c r="C1497" t="str">
        <f>IF(B1497=1,"1:1","1:Many")</f>
        <v>1:Many</v>
      </c>
      <c r="D1497" s="42" t="str" cm="1">
        <f t="array" ref="D1497">_xlfn.TEXTJOIN(" | ",TRUE,_xlfn._xlws.FILTER(PriceList!$B$4:$B$2641,PriceList!$M$4:$M$2641=A1497,""))</f>
        <v>DS011-N-0360-0460-0507 | DS011-U-0350-0470-5.5/9 | DS033-U-0360-0460-0710 | DS044-U-0350-0470-0710</v>
      </c>
      <c r="E1497" t="str" cm="1">
        <f t="array" ref="E1497">_xlfn.TEXTJOIN(", ",TRUE,_xlfn._xlws.FILTER(ROW(PriceList!$B$4:$B$2641),PriceList!$M$4:$M$2641=A1497,""))</f>
        <v>68, 142, 218, 245</v>
      </c>
      <c r="F1497" s="42" t="str" cm="1">
        <f t="array" ref="F1497">_xlfn.TEXTJOIN(" | ",TRUE,_xlfn.UNIQUE(_xlfn._xlws.FILTER(PriceList!$Q$4:$Q$2641&amp;" x "&amp;PriceList!$R$4:$R$2641&amp;" x "&amp;PriceList!$S$4:$S$2641,PriceList!$M$4:$M$2641=A1497,"")))</f>
        <v>35 x 47 x 6</v>
      </c>
      <c r="G1497" t="str" cm="1">
        <f t="array" ref="G1497">INDEX(_xlfn._xlws.FILTER(PriceList!$P$4:$P$2641,PriceList!$M$4:$M$2641=A1497,""),1)</f>
        <v>HalliteÂ® Type 33</v>
      </c>
    </row>
    <row r="1498" spans="1:7" ht="71.25" x14ac:dyDescent="0.45">
      <c r="A1498" t="s">
        <v>3729</v>
      </c>
      <c r="B1498">
        <f>COUNTIF(PriceList!$M$4:$M$2641,A1498)</f>
        <v>9</v>
      </c>
      <c r="C1498" t="str">
        <f>IF(B1498=1,"1:1","1:Many")</f>
        <v>1:Many</v>
      </c>
      <c r="D1498" s="42" t="str" cm="1">
        <f t="array" ref="D1498">_xlfn.TEXTJOIN(" | ",TRUE,_xlfn._xlws.FILTER(PriceList!$B$4:$B$2641,PriceList!$M$4:$M$2641=A1498,""))</f>
        <v>DS011-F-0360-0440-0507 | DS011-N-0360-0440-0507 | DS011-U-0360-0440-03.5/6(RED) | DS011-U-0360-0440-0507 | DS033-U-0360-0450-0710 | DS055-F-0360-0440-0608 | DS055-N-0360-0440-0608 | DS055-U-0360-0440-0608 | DS077-U-0360-0440-0407</v>
      </c>
      <c r="E1498" t="str" cm="1">
        <f t="array" ref="E1498">_xlfn.TEXTJOIN(", ",TRUE,_xlfn._xlws.FILTER(ROW(PriceList!$B$4:$B$2641),PriceList!$M$4:$M$2641=A1498,""))</f>
        <v>14, 67, 144, 145, 217, 285, 322, 364, 490</v>
      </c>
      <c r="F1498" s="42" t="str" cm="1">
        <f t="array" ref="F1498">_xlfn.TEXTJOIN(" | ",TRUE,_xlfn.UNIQUE(_xlfn._xlws.FILTER(PriceList!$Q$4:$Q$2641&amp;" x "&amp;PriceList!$R$4:$R$2641&amp;" x "&amp;PriceList!$S$4:$S$2641,PriceList!$M$4:$M$2641=A1498,"")))</f>
        <v>36 x 44 x 5</v>
      </c>
      <c r="G1498" t="str" cm="1">
        <f t="array" ref="G1498">INDEX(_xlfn._xlws.FILTER(PriceList!$P$4:$P$2641,PriceList!$M$4:$M$2641=A1498,""),1)</f>
        <v>HalliteÂ® Type 38</v>
      </c>
    </row>
    <row r="1499" spans="1:7" x14ac:dyDescent="0.45">
      <c r="A1499" t="s">
        <v>3830</v>
      </c>
      <c r="B1499">
        <f>COUNTIF(PriceList!$M$4:$M$2641,A1499)</f>
        <v>2</v>
      </c>
      <c r="C1499" t="str">
        <f>IF(B1499=1,"1:1","1:Many")</f>
        <v>1:Many</v>
      </c>
      <c r="D1499" s="42" t="str" cm="1">
        <f t="array" ref="D1499">_xlfn.TEXTJOIN(" | ",TRUE,_xlfn._xlws.FILTER(PriceList!$B$4:$B$2641,PriceList!$M$4:$M$2641=A1499,""))</f>
        <v>DS033-U-0360-0480-0710 | DS044-U-0360-0480-0710</v>
      </c>
      <c r="E1499" t="str" cm="1">
        <f t="array" ref="E1499">_xlfn.TEXTJOIN(", ",TRUE,_xlfn._xlws.FILTER(ROW(PriceList!$B$4:$B$2641),PriceList!$M$4:$M$2641=A1499,""))</f>
        <v>219, 246</v>
      </c>
      <c r="F1499" s="42" t="str" cm="1">
        <f t="array" ref="F1499">_xlfn.TEXTJOIN(" | ",TRUE,_xlfn.UNIQUE(_xlfn._xlws.FILTER(PriceList!$Q$4:$Q$2641&amp;" x "&amp;PriceList!$R$4:$R$2641&amp;" x "&amp;PriceList!$S$4:$S$2641,PriceList!$M$4:$M$2641=A1499,"")))</f>
        <v>36 x 48 x 6</v>
      </c>
      <c r="G1499" t="str" cm="1">
        <f t="array" ref="G1499">INDEX(_xlfn._xlws.FILTER(PriceList!$P$4:$P$2641,PriceList!$M$4:$M$2641=A1499,""),1)</f>
        <v>HalliteÂ® Type 33</v>
      </c>
    </row>
    <row r="1500" spans="1:7" ht="57" x14ac:dyDescent="0.45">
      <c r="A1500" t="s">
        <v>3730</v>
      </c>
      <c r="B1500">
        <f>COUNTIF(PriceList!$M$4:$M$2641,A1500)</f>
        <v>8</v>
      </c>
      <c r="C1500" t="str">
        <f>IF(B1500=1,"1:1","1:Many")</f>
        <v>1:Many</v>
      </c>
      <c r="D1500" s="42" t="str" cm="1">
        <f t="array" ref="D1500">_xlfn.TEXTJOIN(" | ",TRUE,_xlfn._xlws.FILTER(PriceList!$B$4:$B$2641,PriceList!$M$4:$M$2641=A1500,""))</f>
        <v>DS011-F-0380-0460-0507 | DS011-N-0380-0460-0507 | DS055-F-0380-0460-0608 | DS055-N-0380-0460-0608 | DS055-U-0380-0460-0608 | DS066-F-0380-0448-050 | DS066-N-0380-0448-050 | DS077-U-0380-0460-0407</v>
      </c>
      <c r="E1500" t="str" cm="1">
        <f t="array" ref="E1500">_xlfn.TEXTJOIN(", ",TRUE,_xlfn._xlws.FILTER(ROW(PriceList!$B$4:$B$2641),PriceList!$M$4:$M$2641=A1500,""))</f>
        <v>15, 69, 286, 323, 365, 402, 445, 491</v>
      </c>
      <c r="F1500" s="42" t="str" cm="1">
        <f t="array" ref="F1500">_xlfn.TEXTJOIN(" | ",TRUE,_xlfn.UNIQUE(_xlfn._xlws.FILTER(PriceList!$Q$4:$Q$2641&amp;" x "&amp;PriceList!$R$4:$R$2641&amp;" x "&amp;PriceList!$S$4:$S$2641,PriceList!$M$4:$M$2641=A1500,"")))</f>
        <v>38 x 46 x 5</v>
      </c>
      <c r="G1500" t="str" cm="1">
        <f t="array" ref="G1500">INDEX(_xlfn._xlws.FILTER(PriceList!$P$4:$P$2641,PriceList!$M$4:$M$2641=A1500,""),1)</f>
        <v>HalliteÂ® Type 842</v>
      </c>
    </row>
    <row r="1501" spans="1:7" ht="28.5" x14ac:dyDescent="0.45">
      <c r="A1501" t="s">
        <v>3864</v>
      </c>
      <c r="B1501">
        <f>COUNTIF(PriceList!$M$4:$M$2641,A1501)</f>
        <v>4</v>
      </c>
      <c r="C1501" t="str">
        <f>IF(B1501=1,"1:1","1:Many")</f>
        <v>1:Many</v>
      </c>
      <c r="D1501" s="42" t="str" cm="1">
        <f t="array" ref="D1501">_xlfn.TEXTJOIN(" | ",TRUE,_xlfn._xlws.FILTER(PriceList!$B$4:$B$2641,PriceList!$M$4:$M$2641=A1501,""))</f>
        <v>DS055-F-1000-1080-0608 | DS055-N-1000-1080-0608 | DS055-U-1000-1080-0608 | DS077-U-1000-1080-0407</v>
      </c>
      <c r="E1501" t="str" cm="1">
        <f t="array" ref="E1501">_xlfn.TEXTJOIN(", ",TRUE,_xlfn._xlws.FILTER(ROW(PriceList!$B$4:$B$2641),PriceList!$M$4:$M$2641=A1501,""))</f>
        <v>299, 339, 380, 507</v>
      </c>
      <c r="F1501" s="42" t="str" cm="1">
        <f t="array" ref="F1501">_xlfn.TEXTJOIN(" | ",TRUE,_xlfn.UNIQUE(_xlfn._xlws.FILTER(PriceList!$Q$4:$Q$2641&amp;" x "&amp;PriceList!$R$4:$R$2641&amp;" x "&amp;PriceList!$S$4:$S$2641,PriceList!$M$4:$M$2641=A1501,"")))</f>
        <v>98.298 x 107.95 x 4.572</v>
      </c>
      <c r="G1501" t="str" cm="1">
        <f t="array" ref="G1501">INDEX(_xlfn._xlws.FILTER(PriceList!$P$4:$P$2641,PriceList!$M$4:$M$2641=A1501,""),1)</f>
        <v>HalliteÂ® Type 842</v>
      </c>
    </row>
    <row r="1502" spans="1:7" ht="85.5" x14ac:dyDescent="0.45">
      <c r="A1502" t="s">
        <v>3733</v>
      </c>
      <c r="B1502">
        <f>COUNTIF(PriceList!$M$4:$M$2641,A1502)</f>
        <v>11</v>
      </c>
      <c r="C1502" t="str">
        <f>IF(B1502=1,"1:1","1:Many")</f>
        <v>1:Many</v>
      </c>
      <c r="D1502" s="42" t="str" cm="1">
        <f t="array" ref="D1502">_xlfn.TEXTJOIN(" | ",TRUE,_xlfn._xlws.FILTER(PriceList!$B$4:$B$2641,PriceList!$M$4:$M$2641=A1502,""))</f>
        <v>DS011-F-0400-0480-0507 | DS011-N-0400-0480-0507 | DS011-U-0400-0480-0507 | DS055-F-0400-0480-0608 | DS055-N-0400-0480-0608 | DS055-U-0400-0480-0608 | DS066-F-0400-0468-050 | DS066-F-0400-0488-063 | DS066-N-0400-0468-050 | DS066-N-0400-0488-063 | DS077-U-0400-0480-0407</v>
      </c>
      <c r="E1502" t="str" cm="1">
        <f t="array" ref="E1502">_xlfn.TEXTJOIN(", ",TRUE,_xlfn._xlws.FILTER(ROW(PriceList!$B$4:$B$2641),PriceList!$M$4:$M$2641=A1502,""))</f>
        <v>16, 70, 147, 287, 324, 366, 403, 404, 446, 447, 492</v>
      </c>
      <c r="F1502" s="42" t="str" cm="1">
        <f t="array" ref="F1502">_xlfn.TEXTJOIN(" | ",TRUE,_xlfn.UNIQUE(_xlfn._xlws.FILTER(PriceList!$Q$4:$Q$2641&amp;" x "&amp;PriceList!$R$4:$R$2641&amp;" x "&amp;PriceList!$S$4:$S$2641,PriceList!$M$4:$M$2641=A1502,"")))</f>
        <v>40 x 48 x 5</v>
      </c>
      <c r="G1502" t="str" cm="1">
        <f t="array" ref="G1502">INDEX(_xlfn._xlws.FILTER(PriceList!$P$4:$P$2641,PriceList!$M$4:$M$2641=A1502,""),1)</f>
        <v>HalliteÂ® Type 38</v>
      </c>
    </row>
    <row r="1503" spans="1:7" ht="42.75" x14ac:dyDescent="0.45">
      <c r="A1503" t="s">
        <v>3811</v>
      </c>
      <c r="B1503">
        <f>COUNTIF(PriceList!$M$4:$M$2641,A1503)</f>
        <v>5</v>
      </c>
      <c r="C1503" t="str">
        <f>IF(B1503=1,"1:1","1:Many")</f>
        <v>1:Many</v>
      </c>
      <c r="D1503" s="42" t="str" cm="1">
        <f t="array" ref="D1503">_xlfn.TEXTJOIN(" | ",TRUE,_xlfn._xlws.FILTER(PriceList!$B$4:$B$2641,PriceList!$M$4:$M$2641=A1503,""))</f>
        <v>DS011-U-0400-0500-0508 | DS011-U-0400-0500-0712 | DS033-U-0400-0500-0710 | DS088-U-040.0-050.0-5.0-DB | DS088-U-040.0-050.0-7.0</v>
      </c>
      <c r="E1503" t="str" cm="1">
        <f t="array" ref="E1503">_xlfn.TEXTJOIN(", ",TRUE,_xlfn._xlws.FILTER(ROW(PriceList!$B$4:$B$2641),PriceList!$M$4:$M$2641=A1503,""))</f>
        <v>148, 149, 220, 521, 522</v>
      </c>
      <c r="F1503" s="42" t="str" cm="1">
        <f t="array" ref="F1503">_xlfn.TEXTJOIN(" | ",TRUE,_xlfn.UNIQUE(_xlfn._xlws.FILTER(PriceList!$Q$4:$Q$2641&amp;" x "&amp;PriceList!$R$4:$R$2641&amp;" x "&amp;PriceList!$S$4:$S$2641,PriceList!$M$4:$M$2641=A1503,"")))</f>
        <v>40 x 50 x 7</v>
      </c>
      <c r="G1503" t="str" cm="1">
        <f t="array" ref="G1503">INDEX(_xlfn._xlws.FILTER(PriceList!$P$4:$P$2641,PriceList!$M$4:$M$2641=A1503,""),1)</f>
        <v>HalliteÂ® Type 860</v>
      </c>
    </row>
    <row r="1504" spans="1:7" x14ac:dyDescent="0.45">
      <c r="A1504" t="s">
        <v>3812</v>
      </c>
      <c r="B1504">
        <f>COUNTIF(PriceList!$M$4:$M$2641,A1504)</f>
        <v>2</v>
      </c>
      <c r="C1504" t="str">
        <f>IF(B1504=1,"1:1","1:Many")</f>
        <v>1:Many</v>
      </c>
      <c r="D1504" s="42" t="str" cm="1">
        <f t="array" ref="D1504">_xlfn.TEXTJOIN(" | ",TRUE,_xlfn._xlws.FILTER(PriceList!$B$4:$B$2641,PriceList!$M$4:$M$2641=A1504,""))</f>
        <v>DS011-U-040-051.5-5/7 | DS044-U-0400-0520-0710</v>
      </c>
      <c r="E1504" t="str" cm="1">
        <f t="array" ref="E1504">_xlfn.TEXTJOIN(", ",TRUE,_xlfn._xlws.FILTER(ROW(PriceList!$B$4:$B$2641),PriceList!$M$4:$M$2641=A1504,""))</f>
        <v>150, 247</v>
      </c>
      <c r="F1504" s="42" t="str" cm="1">
        <f t="array" ref="F1504">_xlfn.TEXTJOIN(" | ",TRUE,_xlfn.UNIQUE(_xlfn._xlws.FILTER(PriceList!$Q$4:$Q$2641&amp;" x "&amp;PriceList!$R$4:$R$2641&amp;" x "&amp;PriceList!$S$4:$S$2641,PriceList!$M$4:$M$2641=A1504,"")))</f>
        <v>40 x 52 x 6</v>
      </c>
      <c r="G1504" t="str" cm="1">
        <f t="array" ref="G1504">INDEX(_xlfn._xlws.FILTER(PriceList!$P$4:$P$2641,PriceList!$M$4:$M$2641=A1504,""),1)</f>
        <v>HalliteÂ® Type 33</v>
      </c>
    </row>
    <row r="1505" spans="1:7" ht="71.25" x14ac:dyDescent="0.45">
      <c r="A1505" t="s">
        <v>3739</v>
      </c>
      <c r="B1505">
        <f>COUNTIF(PriceList!$M$4:$M$2641,A1505)</f>
        <v>10</v>
      </c>
      <c r="C1505" t="str">
        <f>IF(B1505=1,"1:1","1:Many")</f>
        <v>1:Many</v>
      </c>
      <c r="D1505" s="42" t="str" cm="1">
        <f t="array" ref="D1505">_xlfn.TEXTJOIN(" | ",TRUE,_xlfn._xlws.FILTER(PriceList!$B$4:$B$2641,PriceList!$M$4:$M$2641=A1505,""))</f>
        <v>DS011-F-0450-0530-0507 | DS011-N-0450-0530-0507 | DS011-U-0450-0530-0507 | DS055-F-0450-0530-0608 | DS055-N-0450-0530-0608 | DS055-U-0450-0530-0608 | DS066-F-0450-0518-050 | DS066-F-0450-0538-063 | DS066-N-0450-0518-050 | DS077-U-0450-0530-0407</v>
      </c>
      <c r="E1505" t="str" cm="1">
        <f t="array" ref="E1505">_xlfn.TEXTJOIN(", ",TRUE,_xlfn._xlws.FILTER(ROW(PriceList!$B$4:$B$2641),PriceList!$M$4:$M$2641=A1505,""))</f>
        <v>18, 72, 152, 288, 326, 368, 405, 406, 448, 494</v>
      </c>
      <c r="F1505" s="42" t="str" cm="1">
        <f t="array" ref="F1505">_xlfn.TEXTJOIN(" | ",TRUE,_xlfn.UNIQUE(_xlfn._xlws.FILTER(PriceList!$Q$4:$Q$2641&amp;" x "&amp;PriceList!$R$4:$R$2641&amp;" x "&amp;PriceList!$S$4:$S$2641,PriceList!$M$4:$M$2641=A1505,"")))</f>
        <v>45 x 53 x 5</v>
      </c>
      <c r="G1505" t="str" cm="1">
        <f t="array" ref="G1505">INDEX(_xlfn._xlws.FILTER(PriceList!$P$4:$P$2641,PriceList!$M$4:$M$2641=A1505,""),1)</f>
        <v>HalliteÂ® Type 38</v>
      </c>
    </row>
    <row r="1506" spans="1:7" ht="71.25" x14ac:dyDescent="0.45">
      <c r="A1506" t="s">
        <v>3740</v>
      </c>
      <c r="B1506">
        <f>COUNTIF(PriceList!$M$4:$M$2641,A1506)</f>
        <v>8</v>
      </c>
      <c r="C1506" t="str">
        <f>IF(B1506=1,"1:1","1:Many")</f>
        <v>1:Many</v>
      </c>
      <c r="D1506" s="42" t="str" cm="1">
        <f t="array" ref="D1506">_xlfn.TEXTJOIN(" | ",TRUE,_xlfn._xlws.FILTER(PriceList!$B$4:$B$2641,PriceList!$M$4:$M$2641=A1506,""))</f>
        <v>DS011-F-0450-0550-0507 | DS011-N-0450-0550-0507 | DS011-N-045-055-6/10 | DS011-U-0450-0550-0507 | DS033-U-0450-0550-0710 | DS088-U-045.0-055.0-4.0-DB | DS088-U-045.0-055.0-5.0-DB | DS088-U-045.0-055.0-6.0</v>
      </c>
      <c r="E1506" t="str" cm="1">
        <f t="array" ref="E1506">_xlfn.TEXTJOIN(", ",TRUE,_xlfn._xlws.FILTER(ROW(PriceList!$B$4:$B$2641),PriceList!$M$4:$M$2641=A1506,""))</f>
        <v>19, 73, 74, 153, 222, 523, 524, 525</v>
      </c>
      <c r="F1506" s="42" t="str" cm="1">
        <f t="array" ref="F1506">_xlfn.TEXTJOIN(" | ",TRUE,_xlfn.UNIQUE(_xlfn._xlws.FILTER(PriceList!$Q$4:$Q$2641&amp;" x "&amp;PriceList!$R$4:$R$2641&amp;" x "&amp;PriceList!$S$4:$S$2641,PriceList!$M$4:$M$2641=A1506,"")))</f>
        <v>45 x 55 x 5</v>
      </c>
      <c r="G1506" t="str" cm="1">
        <f t="array" ref="G1506">INDEX(_xlfn._xlws.FILTER(PriceList!$P$4:$P$2641,PriceList!$M$4:$M$2641=A1506,""),1)</f>
        <v>HalliteÂ® Type 38</v>
      </c>
    </row>
    <row r="1507" spans="1:7" ht="42.75" x14ac:dyDescent="0.45">
      <c r="A1507" t="s">
        <v>3814</v>
      </c>
      <c r="B1507">
        <f>COUNTIF(PriceList!$M$4:$M$2641,A1507)</f>
        <v>4</v>
      </c>
      <c r="C1507" t="str">
        <f>IF(B1507=1,"1:1","1:Many")</f>
        <v>1:Many</v>
      </c>
      <c r="D1507" s="42" t="str" cm="1">
        <f t="array" ref="D1507">_xlfn.TEXTJOIN(" | ",TRUE,_xlfn._xlws.FILTER(PriceList!$B$4:$B$2641,PriceList!$M$4:$M$2641=A1507,""))</f>
        <v>DS011-U-0450-0570-0608 | DS033-U-0450-0580-0710 | DS044-U-0450-0570-0710 | DS088-U-045.0-056.0-5.0-DB</v>
      </c>
      <c r="E1507" t="str" cm="1">
        <f t="array" ref="E1507">_xlfn.TEXTJOIN(", ",TRUE,_xlfn._xlws.FILTER(ROW(PriceList!$B$4:$B$2641),PriceList!$M$4:$M$2641=A1507,""))</f>
        <v>154, 223, 248, 526</v>
      </c>
      <c r="F1507" s="42" t="str" cm="1">
        <f t="array" ref="F1507">_xlfn.TEXTJOIN(" | ",TRUE,_xlfn.UNIQUE(_xlfn._xlws.FILTER(PriceList!$Q$4:$Q$2641&amp;" x "&amp;PriceList!$R$4:$R$2641&amp;" x "&amp;PriceList!$S$4:$S$2641,PriceList!$M$4:$M$2641=A1507,"")))</f>
        <v>45 x 57 x 6</v>
      </c>
      <c r="G1507" t="str" cm="1">
        <f t="array" ref="G1507">INDEX(_xlfn._xlws.FILTER(PriceList!$P$4:$P$2641,PriceList!$M$4:$M$2641=A1507,""),1)</f>
        <v>HalliteÂ® Type 33</v>
      </c>
    </row>
    <row r="1508" spans="1:7" ht="71.25" x14ac:dyDescent="0.45">
      <c r="A1508" t="s">
        <v>3741</v>
      </c>
      <c r="B1508">
        <f>COUNTIF(PriceList!$M$4:$M$2641,A1508)</f>
        <v>10</v>
      </c>
      <c r="C1508" t="str">
        <f>IF(B1508=1,"1:1","1:Many")</f>
        <v>1:Many</v>
      </c>
      <c r="D1508" s="42" t="str" cm="1">
        <f t="array" ref="D1508">_xlfn.TEXTJOIN(" | ",TRUE,_xlfn._xlws.FILTER(PriceList!$B$4:$B$2641,PriceList!$M$4:$M$2641=A1508,""))</f>
        <v>DS011-F-0500-0580-0507 | DS011-N-0500-0580-0507 | DS011-U-0500-0580-0507 | DS011-U-0500-0580-0710 | DS055-F-0500-0580-0608 | DS055-N-0500-0580-0608 | DS055-U-0500-0580-0608 | DS066-F-0500-0568-050 | DS066-N-0500-0568-050 | DS077-U-0500-0580-0407</v>
      </c>
      <c r="E1508" t="str" cm="1">
        <f t="array" ref="E1508">_xlfn.TEXTJOIN(", ",TRUE,_xlfn._xlws.FILTER(ROW(PriceList!$B$4:$B$2641),PriceList!$M$4:$M$2641=A1508,""))</f>
        <v>20, 75, 155, 156, 289, 327, 369, 407, 449, 495</v>
      </c>
      <c r="F1508" s="42" t="str" cm="1">
        <f t="array" ref="F1508">_xlfn.TEXTJOIN(" | ",TRUE,_xlfn.UNIQUE(_xlfn._xlws.FILTER(PriceList!$Q$4:$Q$2641&amp;" x "&amp;PriceList!$R$4:$R$2641&amp;" x "&amp;PriceList!$S$4:$S$2641,PriceList!$M$4:$M$2641=A1508,"")))</f>
        <v>50 x 58 x 5</v>
      </c>
      <c r="G1508" t="str" cm="1">
        <f t="array" ref="G1508">INDEX(_xlfn._xlws.FILTER(PriceList!$P$4:$P$2641,PriceList!$M$4:$M$2641=A1508,""),1)</f>
        <v>HalliteÂ® Type 33</v>
      </c>
    </row>
    <row r="1509" spans="1:7" x14ac:dyDescent="0.45">
      <c r="A1509" t="s">
        <v>3885</v>
      </c>
      <c r="B1509">
        <f>COUNTIF(PriceList!$M$4:$M$2641,A1509)</f>
        <v>1</v>
      </c>
      <c r="C1509" t="str">
        <f>IF(B1509=1,"1:1","1:Many")</f>
        <v>1:1</v>
      </c>
      <c r="D1509" s="42" t="str" cm="1">
        <f t="array" ref="D1509">_xlfn.TEXTJOIN(" | ",TRUE,_xlfn._xlws.FILTER(PriceList!$B$4:$B$2641,PriceList!$M$4:$M$2641=A1509,""))</f>
        <v>DS066-N-0500-0588-063</v>
      </c>
      <c r="E1509" t="str" cm="1">
        <f t="array" ref="E1509">_xlfn.TEXTJOIN(", ",TRUE,_xlfn._xlws.FILTER(ROW(PriceList!$B$4:$B$2641),PriceList!$M$4:$M$2641=A1509,""))</f>
        <v>450</v>
      </c>
      <c r="F1509" s="42" t="str" cm="1">
        <f t="array" ref="F1509">_xlfn.TEXTJOIN(" | ",TRUE,_xlfn.UNIQUE(_xlfn._xlws.FILTER(PriceList!$Q$4:$Q$2641&amp;" x "&amp;PriceList!$R$4:$R$2641&amp;" x "&amp;PriceList!$S$4:$S$2641,PriceList!$M$4:$M$2641=A1509,"")))</f>
        <v>50 x 58.6 x 5.3</v>
      </c>
      <c r="G1509" t="str" cm="1">
        <f t="array" ref="G1509">INDEX(_xlfn._xlws.FILTER(PriceList!$P$4:$P$2641,PriceList!$M$4:$M$2641=A1509,""),1)</f>
        <v>HalliteÂ® Type 831</v>
      </c>
    </row>
    <row r="1510" spans="1:7" ht="85.5" x14ac:dyDescent="0.45">
      <c r="A1510" t="s">
        <v>3742</v>
      </c>
      <c r="B1510">
        <f>COUNTIF(PriceList!$M$4:$M$2641,A1510)</f>
        <v>10</v>
      </c>
      <c r="C1510" t="str">
        <f>IF(B1510=1,"1:1","1:Many")</f>
        <v>1:Many</v>
      </c>
      <c r="D1510" s="42" t="str" cm="1">
        <f t="array" ref="D1510">_xlfn.TEXTJOIN(" | ",TRUE,_xlfn._xlws.FILTER(PriceList!$B$4:$B$2641,PriceList!$M$4:$M$2641=A1510,""))</f>
        <v>DS011-F-0500-0600-0308 | DS011-F-0500-0600-0507 | DS011-N-0500-0600-0507 | DS011-N-0500-0600-0710 | DS011-U-0500-0600-0507 | DS011-U-0500-0600-0712 | DS033-U-0500-0600-0710 | DS088-U-050.0-060.0-4.0-DB | DS088-U-050.0-060.0-5.0-DB | DS088-U-050.0-060.0-7.0</v>
      </c>
      <c r="E1510" t="str" cm="1">
        <f t="array" ref="E1510">_xlfn.TEXTJOIN(", ",TRUE,_xlfn._xlws.FILTER(ROW(PriceList!$B$4:$B$2641),PriceList!$M$4:$M$2641=A1510,""))</f>
        <v>21, 22, 76, 77, 157, 158, 224, 527, 528, 529</v>
      </c>
      <c r="F1510" s="42" t="str" cm="1">
        <f t="array" ref="F1510">_xlfn.TEXTJOIN(" | ",TRUE,_xlfn.UNIQUE(_xlfn._xlws.FILTER(PriceList!$Q$4:$Q$2641&amp;" x "&amp;PriceList!$R$4:$R$2641&amp;" x "&amp;PriceList!$S$4:$S$2641,PriceList!$M$4:$M$2641=A1510,"")))</f>
        <v>50 x 60 x 5</v>
      </c>
      <c r="G1510" t="str" cm="1">
        <f t="array" ref="G1510">INDEX(_xlfn._xlws.FILTER(PriceList!$P$4:$P$2641,PriceList!$M$4:$M$2641=A1510,""),1)</f>
        <v>HalliteÂ® Type 38</v>
      </c>
    </row>
    <row r="1511" spans="1:7" ht="28.5" x14ac:dyDescent="0.45">
      <c r="A1511" t="s">
        <v>3784</v>
      </c>
      <c r="B1511">
        <f>COUNTIF(PriceList!$M$4:$M$2641,A1511)</f>
        <v>3</v>
      </c>
      <c r="C1511" t="str">
        <f>IF(B1511=1,"1:1","1:Many")</f>
        <v>1:Many</v>
      </c>
      <c r="D1511" s="42" t="str" cm="1">
        <f t="array" ref="D1511">_xlfn.TEXTJOIN(" | ",TRUE,_xlfn._xlws.FILTER(PriceList!$B$4:$B$2641,PriceList!$M$4:$M$2641=A1511,""))</f>
        <v>DS011-N-0500-0620-0609 | DS011-N-050-062-5/7 | DS044-U-0500-0620-0710</v>
      </c>
      <c r="E1511" t="str" cm="1">
        <f t="array" ref="E1511">_xlfn.TEXTJOIN(", ",TRUE,_xlfn._xlws.FILTER(ROW(PriceList!$B$4:$B$2641),PriceList!$M$4:$M$2641=A1511,""))</f>
        <v>78, 79, 249</v>
      </c>
      <c r="F1511" s="42" t="str" cm="1">
        <f t="array" ref="F1511">_xlfn.TEXTJOIN(" | ",TRUE,_xlfn.UNIQUE(_xlfn._xlws.FILTER(PriceList!$Q$4:$Q$2641&amp;" x "&amp;PriceList!$R$4:$R$2641&amp;" x "&amp;PriceList!$S$4:$S$2641,PriceList!$M$4:$M$2641=A1511,"")))</f>
        <v>50 x 62 x 6</v>
      </c>
      <c r="G1511" t="str" cm="1">
        <f t="array" ref="G1511">INDEX(_xlfn._xlws.FILTER(PriceList!$P$4:$P$2641,PriceList!$M$4:$M$2641=A1511,""),1)</f>
        <v>HalliteÂ® Type 33</v>
      </c>
    </row>
    <row r="1512" spans="1:7" ht="42.75" x14ac:dyDescent="0.45">
      <c r="A1512" t="s">
        <v>3743</v>
      </c>
      <c r="B1512">
        <f>COUNTIF(PriceList!$M$4:$M$2641,A1512)</f>
        <v>4</v>
      </c>
      <c r="C1512" t="str">
        <f>IF(B1512=1,"1:1","1:Many")</f>
        <v>1:Many</v>
      </c>
      <c r="D1512" s="42" t="str" cm="1">
        <f t="array" ref="D1512">_xlfn.TEXTJOIN(" | ",TRUE,_xlfn._xlws.FILTER(PriceList!$B$4:$B$2641,PriceList!$M$4:$M$2641=A1512,""))</f>
        <v>DS011-F-0550-0650-0507 | DS011-N-0550-0650-0507 | DS033-U-0550-0650-0710 | DS088-U-055.0-065.0-4.0-DB</v>
      </c>
      <c r="E1512" t="str" cm="1">
        <f t="array" ref="E1512">_xlfn.TEXTJOIN(", ",TRUE,_xlfn._xlws.FILTER(ROW(PriceList!$B$4:$B$2641),PriceList!$M$4:$M$2641=A1512,""))</f>
        <v>23, 80, 225, 530</v>
      </c>
      <c r="F1512" s="42" t="str" cm="1">
        <f t="array" ref="F1512">_xlfn.TEXTJOIN(" | ",TRUE,_xlfn.UNIQUE(_xlfn._xlws.FILTER(PriceList!$Q$4:$Q$2641&amp;" x "&amp;PriceList!$R$4:$R$2641&amp;" x "&amp;PriceList!$S$4:$S$2641,PriceList!$M$4:$M$2641=A1512,"")))</f>
        <v>55 x 65 x 5.3</v>
      </c>
      <c r="G1512" t="str" cm="1">
        <f t="array" ref="G1512">INDEX(_xlfn._xlws.FILTER(PriceList!$P$4:$P$2641,PriceList!$M$4:$M$2641=A1512,""),1)</f>
        <v>HalliteÂ® Type 839</v>
      </c>
    </row>
    <row r="1513" spans="1:7" ht="28.5" x14ac:dyDescent="0.45">
      <c r="A1513" t="s">
        <v>3785</v>
      </c>
      <c r="B1513">
        <f>COUNTIF(PriceList!$M$4:$M$2641,A1513)</f>
        <v>2</v>
      </c>
      <c r="C1513" t="str">
        <f>IF(B1513=1,"1:1","1:Many")</f>
        <v>1:Many</v>
      </c>
      <c r="D1513" s="42" t="str" cm="1">
        <f t="array" ref="D1513">_xlfn.TEXTJOIN(" | ",TRUE,_xlfn._xlws.FILTER(PriceList!$B$4:$B$2641,PriceList!$M$4:$M$2641=A1513,""))</f>
        <v>DS011-N-0550-0680-06.3/10 | DS011-U-0550-0660-0508</v>
      </c>
      <c r="E1513" t="str" cm="1">
        <f t="array" ref="E1513">_xlfn.TEXTJOIN(", ",TRUE,_xlfn._xlws.FILTER(ROW(PriceList!$B$4:$B$2641),PriceList!$M$4:$M$2641=A1513,""))</f>
        <v>81, 159</v>
      </c>
      <c r="F1513" s="42" t="str" cm="1">
        <f t="array" ref="F1513">_xlfn.TEXTJOIN(" | ",TRUE,_xlfn.UNIQUE(_xlfn._xlws.FILTER(PriceList!$Q$4:$Q$2641&amp;" x "&amp;PriceList!$R$4:$R$2641&amp;" x "&amp;PriceList!$S$4:$S$2641,PriceList!$M$4:$M$2641=A1513,"")))</f>
        <v>55 x 67 x 6</v>
      </c>
      <c r="G1513" t="str" cm="1">
        <f t="array" ref="G1513">INDEX(_xlfn._xlws.FILTER(PriceList!$P$4:$P$2641,PriceList!$M$4:$M$2641=A1513,""),1)</f>
        <v>HalliteÂ® Type 33</v>
      </c>
    </row>
    <row r="1514" spans="1:7" ht="85.5" x14ac:dyDescent="0.45">
      <c r="A1514" t="s">
        <v>3860</v>
      </c>
      <c r="B1514">
        <f>COUNTIF(PriceList!$M$4:$M$2641,A1514)</f>
        <v>12</v>
      </c>
      <c r="C1514" t="str">
        <f>IF(B1514=1,"1:1","1:Many")</f>
        <v>1:Many</v>
      </c>
      <c r="D1514" s="42" t="str" cm="1">
        <f t="array" ref="D1514">_xlfn.TEXTJOIN(" | ",TRUE,_xlfn._xlws.FILTER(PriceList!$B$4:$B$2641,PriceList!$M$4:$M$2641=A1514,""))</f>
        <v>DS055-F-0550-0630-0608 | DS055-F-0560-0640-0608 | DS055-N-0550-0630-0608 | DS055-N-0560-0640-0608 | DS055-U-0550-0630-0608 | DS055-U-0560-0640-0608 | DS066-F-0560-0628-050 | DS066-F-0560-0648-063 | DS066-N-0560-0628-050 | DS066-N-0560-0648-063 | DS077-U-0550-0630-0407 | DS077-U-0560-0640-0407</v>
      </c>
      <c r="E1514" t="str" cm="1">
        <f t="array" ref="E1514">_xlfn.TEXTJOIN(", ",TRUE,_xlfn._xlws.FILTER(ROW(PriceList!$B$4:$B$2641),PriceList!$M$4:$M$2641=A1514,""))</f>
        <v>290, 291, 328, 329, 370, 371, 408, 409, 451, 452, 496, 497</v>
      </c>
      <c r="F1514" s="42" t="str" cm="1">
        <f t="array" ref="F1514">_xlfn.TEXTJOIN(" | ",TRUE,_xlfn.UNIQUE(_xlfn._xlws.FILTER(PriceList!$Q$4:$Q$2641&amp;" x "&amp;PriceList!$R$4:$R$2641&amp;" x "&amp;PriceList!$S$4:$S$2641,PriceList!$M$4:$M$2641=A1514,"")))</f>
        <v>56 x 64 x 4</v>
      </c>
      <c r="G1514" t="str" cm="1">
        <f t="array" ref="G1514">INDEX(_xlfn._xlws.FILTER(PriceList!$P$4:$P$2641,PriceList!$M$4:$M$2641=A1514,""),1)</f>
        <v>HalliteÂ® Type 846</v>
      </c>
    </row>
    <row r="1515" spans="1:7" ht="28.5" x14ac:dyDescent="0.45">
      <c r="A1515" t="s">
        <v>3744</v>
      </c>
      <c r="B1515">
        <f>COUNTIF(PriceList!$M$4:$M$2641,A1515)</f>
        <v>4</v>
      </c>
      <c r="C1515" t="str">
        <f>IF(B1515=1,"1:1","1:Many")</f>
        <v>1:Many</v>
      </c>
      <c r="D1515" s="42" t="str" cm="1">
        <f t="array" ref="D1515">_xlfn.TEXTJOIN(" | ",TRUE,_xlfn._xlws.FILTER(PriceList!$B$4:$B$2641,PriceList!$M$4:$M$2641=A1515,""))</f>
        <v>DS011-F-0560-0660-0507 | DS011-N-0560-0660-0507 | DS011-U-0560-0660-0507 | DS033-U-0560-0660-0710</v>
      </c>
      <c r="E1515" t="str" cm="1">
        <f t="array" ref="E1515">_xlfn.TEXTJOIN(", ",TRUE,_xlfn._xlws.FILTER(ROW(PriceList!$B$4:$B$2641),PriceList!$M$4:$M$2641=A1515,""))</f>
        <v>24, 82, 160, 226</v>
      </c>
      <c r="F1515" s="42" t="str" cm="1">
        <f t="array" ref="F1515">_xlfn.TEXTJOIN(" | ",TRUE,_xlfn.UNIQUE(_xlfn._xlws.FILTER(PriceList!$Q$4:$Q$2641&amp;" x "&amp;PriceList!$R$4:$R$2641&amp;" x "&amp;PriceList!$S$4:$S$2641,PriceList!$M$4:$M$2641=A1515,"")))</f>
        <v>56 x 66 x 6</v>
      </c>
      <c r="G1515" t="str" cm="1">
        <f t="array" ref="G1515">INDEX(_xlfn._xlws.FILTER(PriceList!$P$4:$P$2641,PriceList!$M$4:$M$2641=A1515,""),1)</f>
        <v>HalliteÂ® Type 33</v>
      </c>
    </row>
    <row r="1516" spans="1:7" x14ac:dyDescent="0.45">
      <c r="A1516" t="s">
        <v>3842</v>
      </c>
      <c r="B1516">
        <f>COUNTIF(PriceList!$M$4:$M$2641,A1516)</f>
        <v>2</v>
      </c>
      <c r="C1516" t="str">
        <f>IF(B1516=1,"1:1","1:Many")</f>
        <v>1:Many</v>
      </c>
      <c r="D1516" s="42" t="str" cm="1">
        <f t="array" ref="D1516">_xlfn.TEXTJOIN(" | ",TRUE,_xlfn._xlws.FILTER(PriceList!$B$4:$B$2641,PriceList!$M$4:$M$2641=A1516,""))</f>
        <v>DS044-U-0550-0690-0811 | DS088-U-056.0-068.0-7.0</v>
      </c>
      <c r="E1516" t="str" cm="1">
        <f t="array" ref="E1516">_xlfn.TEXTJOIN(", ",TRUE,_xlfn._xlws.FILTER(ROW(PriceList!$B$4:$B$2641),PriceList!$M$4:$M$2641=A1516,""))</f>
        <v>252, 531</v>
      </c>
      <c r="F1516" s="42" t="str" cm="1">
        <f t="array" ref="F1516">_xlfn.TEXTJOIN(" | ",TRUE,_xlfn.UNIQUE(_xlfn._xlws.FILTER(PriceList!$Q$4:$Q$2641&amp;" x "&amp;PriceList!$R$4:$R$2641&amp;" x "&amp;PriceList!$S$4:$S$2641,PriceList!$M$4:$M$2641=A1516,"")))</f>
        <v>56 x 68 x 6</v>
      </c>
      <c r="G1516" t="str" cm="1">
        <f t="array" ref="G1516">INDEX(_xlfn._xlws.FILTER(PriceList!$P$4:$P$2641,PriceList!$M$4:$M$2641=A1516,""),1)</f>
        <v>HalliteÂ® Type 33</v>
      </c>
    </row>
    <row r="1517" spans="1:7" ht="71.25" x14ac:dyDescent="0.45">
      <c r="A1517" t="s">
        <v>3815</v>
      </c>
      <c r="B1517">
        <f>COUNTIF(PriceList!$M$4:$M$2641,A1517)</f>
        <v>9</v>
      </c>
      <c r="C1517" t="str">
        <f>IF(B1517=1,"1:1","1:Many")</f>
        <v>1:Many</v>
      </c>
      <c r="D1517" s="42" t="str" cm="1">
        <f t="array" ref="D1517">_xlfn.TEXTJOIN(" | ",TRUE,_xlfn._xlws.FILTER(PriceList!$B$4:$B$2641,PriceList!$M$4:$M$2641=A1517,""))</f>
        <v>DS011-U-0600-0680-0507 | DS055-F-0600-0680-0608 | DS055-N-0600-0680-0608 | DS055-U-0600-0680-0608 | DS066-F-0600-0668-050 | DS066-F-0600-0688-060 | DS066-N-0600-0668-050 | DS066-N-0600-0688-060 | DS077-U-0600-0680-0407</v>
      </c>
      <c r="E1517" t="str" cm="1">
        <f t="array" ref="E1517">_xlfn.TEXTJOIN(", ",TRUE,_xlfn._xlws.FILTER(ROW(PriceList!$B$4:$B$2641),PriceList!$M$4:$M$2641=A1517,""))</f>
        <v>161, 292, 330, 372, 410, 411, 453, 454, 498</v>
      </c>
      <c r="F1517" s="42" t="str" cm="1">
        <f t="array" ref="F1517">_xlfn.TEXTJOIN(" | ",TRUE,_xlfn.UNIQUE(_xlfn._xlws.FILTER(PriceList!$Q$4:$Q$2641&amp;" x "&amp;PriceList!$R$4:$R$2641&amp;" x "&amp;PriceList!$S$4:$S$2641,PriceList!$M$4:$M$2641=A1517,"")))</f>
        <v>60 x 68 x 5</v>
      </c>
      <c r="G1517" t="str" cm="1">
        <f t="array" ref="G1517">INDEX(_xlfn._xlws.FILTER(PriceList!$P$4:$P$2641,PriceList!$M$4:$M$2641=A1517,""),1)</f>
        <v>HalliteÂ® Type 831</v>
      </c>
    </row>
    <row r="1518" spans="1:7" ht="57" x14ac:dyDescent="0.45">
      <c r="A1518" t="s">
        <v>3745</v>
      </c>
      <c r="B1518">
        <f>COUNTIF(PriceList!$M$4:$M$2641,A1518)</f>
        <v>7</v>
      </c>
      <c r="C1518" t="str">
        <f>IF(B1518=1,"1:1","1:Many")</f>
        <v>1:Many</v>
      </c>
      <c r="D1518" s="42" t="str" cm="1">
        <f t="array" ref="D1518">_xlfn.TEXTJOIN(" | ",TRUE,_xlfn._xlws.FILTER(PriceList!$B$4:$B$2641,PriceList!$M$4:$M$2641=A1518,""))</f>
        <v>DS011-F-0600-0700-0507 | DS011-N-0600-0700-0507 | DS011-U-0600-0700-0507 | DS011-U-0600-0700-0610 | DS011-U-0600-0700-0712 | DS033-U-0600-0700-0710 | DS088-U-060.0-070.0-5.0-DB</v>
      </c>
      <c r="E1518" t="str" cm="1">
        <f t="array" ref="E1518">_xlfn.TEXTJOIN(", ",TRUE,_xlfn._xlws.FILTER(ROW(PriceList!$B$4:$B$2641),PriceList!$M$4:$M$2641=A1518,""))</f>
        <v>25, 83, 162, 163, 164, 227, 532</v>
      </c>
      <c r="F1518" s="42" t="str" cm="1">
        <f t="array" ref="F1518">_xlfn.TEXTJOIN(" | ",TRUE,_xlfn.UNIQUE(_xlfn._xlws.FILTER(PriceList!$Q$4:$Q$2641&amp;" x "&amp;PriceList!$R$4:$R$2641&amp;" x "&amp;PriceList!$S$4:$S$2641,PriceList!$M$4:$M$2641=A1518,"")))</f>
        <v>60 x 70 x 6</v>
      </c>
      <c r="G1518" t="str" cm="1">
        <f t="array" ref="G1518">INDEX(_xlfn._xlws.FILTER(PriceList!$P$4:$P$2641,PriceList!$M$4:$M$2641=A1518,""),1)</f>
        <v>HalliteÂ® Type 38</v>
      </c>
    </row>
    <row r="1519" spans="1:7" x14ac:dyDescent="0.45">
      <c r="A1519" t="s">
        <v>3845</v>
      </c>
      <c r="B1519">
        <f>COUNTIF(PriceList!$M$4:$M$2641,A1519)</f>
        <v>1</v>
      </c>
      <c r="C1519" t="str">
        <f>IF(B1519=1,"1:1","1:Many")</f>
        <v>1:1</v>
      </c>
      <c r="D1519" s="42" t="str" cm="1">
        <f t="array" ref="D1519">_xlfn.TEXTJOIN(" | ",TRUE,_xlfn._xlws.FILTER(PriceList!$B$4:$B$2641,PriceList!$M$4:$M$2641=A1519,""))</f>
        <v>DS044-U-0600-0730-0610</v>
      </c>
      <c r="E1519" t="str" cm="1">
        <f t="array" ref="E1519">_xlfn.TEXTJOIN(", ",TRUE,_xlfn._xlws.FILTER(ROW(PriceList!$B$4:$B$2641),PriceList!$M$4:$M$2641=A1519,""))</f>
        <v>254</v>
      </c>
      <c r="F1519" s="42" t="str" cm="1">
        <f t="array" ref="F1519">_xlfn.TEXTJOIN(" | ",TRUE,_xlfn.UNIQUE(_xlfn._xlws.FILTER(PriceList!$Q$4:$Q$2641&amp;" x "&amp;PriceList!$R$4:$R$2641&amp;" x "&amp;PriceList!$S$4:$S$2641,PriceList!$M$4:$M$2641=A1519,"")))</f>
        <v>60 x 72 x 6</v>
      </c>
      <c r="G1519" t="str" cm="1">
        <f t="array" ref="G1519">INDEX(_xlfn._xlws.FILTER(PriceList!$P$4:$P$2641,PriceList!$M$4:$M$2641=A1519,""),1)</f>
        <v>HalliteÂ® Type 33</v>
      </c>
    </row>
    <row r="1520" spans="1:7" ht="71.25" x14ac:dyDescent="0.45">
      <c r="A1520" t="s">
        <v>3861</v>
      </c>
      <c r="B1520">
        <f>COUNTIF(PriceList!$M$4:$M$2641,A1520)</f>
        <v>9</v>
      </c>
      <c r="C1520" t="str">
        <f>IF(B1520=1,"1:1","1:Many")</f>
        <v>1:Many</v>
      </c>
      <c r="D1520" s="42" t="str" cm="1">
        <f t="array" ref="D1520">_xlfn.TEXTJOIN(" | ",TRUE,_xlfn._xlws.FILTER(PriceList!$B$4:$B$2641,PriceList!$M$4:$M$2641=A1520,""))</f>
        <v>DS055-F-0630-0710-0608 | DS055-N-0630-0710-0608 | DS055-U-0630-0710-0608 | DS066-F-0630-0698-050 | DS066-F-0630-0718-060 | DS066-N-0630-0698-050 | DS066-N-0630-0718-060 | DS077-U-0620-0700-0407 | DS077-U-0630-0710-0407</v>
      </c>
      <c r="E1520" t="str" cm="1">
        <f t="array" ref="E1520">_xlfn.TEXTJOIN(", ",TRUE,_xlfn._xlws.FILTER(ROW(PriceList!$B$4:$B$2641),PriceList!$M$4:$M$2641=A1520,""))</f>
        <v>293, 331, 373, 412, 413, 455, 456, 499, 500</v>
      </c>
      <c r="F1520" s="42" t="str" cm="1">
        <f t="array" ref="F1520">_xlfn.TEXTJOIN(" | ",TRUE,_xlfn.UNIQUE(_xlfn._xlws.FILTER(PriceList!$Q$4:$Q$2641&amp;" x "&amp;PriceList!$R$4:$R$2641&amp;" x "&amp;PriceList!$S$4:$S$2641,PriceList!$M$4:$M$2641=A1520,"")))</f>
        <v>63 x 71 x 4</v>
      </c>
      <c r="G1520" t="str" cm="1">
        <f t="array" ref="G1520">INDEX(_xlfn._xlws.FILTER(PriceList!$P$4:$P$2641,PriceList!$M$4:$M$2641=A1520,""),1)</f>
        <v>HalliteÂ® Type 846</v>
      </c>
    </row>
    <row r="1521" spans="1:7" ht="57" x14ac:dyDescent="0.45">
      <c r="A1521" t="s">
        <v>3746</v>
      </c>
      <c r="B1521">
        <f>COUNTIF(PriceList!$M$4:$M$2641,A1521)</f>
        <v>7</v>
      </c>
      <c r="C1521" t="str">
        <f>IF(B1521=1,"1:1","1:Many")</f>
        <v>1:Many</v>
      </c>
      <c r="D1521" s="42" t="str" cm="1">
        <f t="array" ref="D1521">_xlfn.TEXTJOIN(" | ",TRUE,_xlfn._xlws.FILTER(PriceList!$B$4:$B$2641,PriceList!$M$4:$M$2641=A1521,""))</f>
        <v>DS011-F-0630-0730-0507 | DS011-N-0630-0730-0507 | DS011-N-0630-0730-0609 (SPL) | DS011-N-0630-0730-0710 | DS011-U-0630-0730-0507 | DS011-U-0630-0730-0610 | DS033-U-0630-0730-0710</v>
      </c>
      <c r="E1521" t="str" cm="1">
        <f t="array" ref="E1521">_xlfn.TEXTJOIN(", ",TRUE,_xlfn._xlws.FILTER(ROW(PriceList!$B$4:$B$2641),PriceList!$M$4:$M$2641=A1521,""))</f>
        <v>26, 84, 85, 86, 165, 166, 228</v>
      </c>
      <c r="F1521" s="42" t="str" cm="1">
        <f t="array" ref="F1521">_xlfn.TEXTJOIN(" | ",TRUE,_xlfn.UNIQUE(_xlfn._xlws.FILTER(PriceList!$Q$4:$Q$2641&amp;" x "&amp;PriceList!$R$4:$R$2641&amp;" x "&amp;PriceList!$S$4:$S$2641,PriceList!$M$4:$M$2641=A1521,"")))</f>
        <v>63 x 73 x 6</v>
      </c>
      <c r="G1521" t="str" cm="1">
        <f t="array" ref="G1521">INDEX(_xlfn._xlws.FILTER(PriceList!$P$4:$P$2641,PriceList!$M$4:$M$2641=A1521,""),1)</f>
        <v>HalliteÂ® Type 33</v>
      </c>
    </row>
    <row r="1522" spans="1:7" ht="57" x14ac:dyDescent="0.45">
      <c r="A1522" t="s">
        <v>3747</v>
      </c>
      <c r="B1522">
        <f>COUNTIF(PriceList!$M$4:$M$2641,A1522)</f>
        <v>8</v>
      </c>
      <c r="C1522" t="str">
        <f>IF(B1522=1,"1:1","1:Many")</f>
        <v>1:Many</v>
      </c>
      <c r="D1522" s="42" t="str" cm="1">
        <f t="array" ref="D1522">_xlfn.TEXTJOIN(" | ",TRUE,_xlfn._xlws.FILTER(PriceList!$B$4:$B$2641,PriceList!$M$4:$M$2641=A1522,""))</f>
        <v>DS011-F-0650-0750-0507 | DS011-N-0650-0750-0507 | DS011-U-0650-0750-0507 | DS011-U-0650-0750-0610 | DS011-U-0650-0750-0712 | DS033-U-0650-0750-0710 | DS066-F-0650-0738-060 | DS066-N-0650-0738-060</v>
      </c>
      <c r="E1522" t="str" cm="1">
        <f t="array" ref="E1522">_xlfn.TEXTJOIN(", ",TRUE,_xlfn._xlws.FILTER(ROW(PriceList!$B$4:$B$2641),PriceList!$M$4:$M$2641=A1522,""))</f>
        <v>27, 87, 167, 168, 169, 229, 414, 457</v>
      </c>
      <c r="F1522" s="42" t="str" cm="1">
        <f t="array" ref="F1522">_xlfn.TEXTJOIN(" | ",TRUE,_xlfn.UNIQUE(_xlfn._xlws.FILTER(PriceList!$Q$4:$Q$2641&amp;" x "&amp;PriceList!$R$4:$R$2641&amp;" x "&amp;PriceList!$S$4:$S$2641,PriceList!$M$4:$M$2641=A1522,"")))</f>
        <v>65 x 75 x 6</v>
      </c>
      <c r="G1522" t="str" cm="1">
        <f t="array" ref="G1522">INDEX(_xlfn._xlws.FILTER(PriceList!$P$4:$P$2641,PriceList!$M$4:$M$2641=A1522,""),1)</f>
        <v>HalliteÂ® Type 38</v>
      </c>
    </row>
    <row r="1523" spans="1:7" x14ac:dyDescent="0.45">
      <c r="A1523" t="s">
        <v>3787</v>
      </c>
      <c r="B1523">
        <f>COUNTIF(PriceList!$M$4:$M$2641,A1523)</f>
        <v>1</v>
      </c>
      <c r="C1523" t="str">
        <f>IF(B1523=1,"1:1","1:Many")</f>
        <v>1:1</v>
      </c>
      <c r="D1523" s="42" t="str" cm="1">
        <f t="array" ref="D1523">_xlfn.TEXTJOIN(" | ",TRUE,_xlfn._xlws.FILTER(PriceList!$B$4:$B$2641,PriceList!$M$4:$M$2641=A1523,""))</f>
        <v>DS011-N-0650-0770-0609</v>
      </c>
      <c r="E1523" t="str" cm="1">
        <f t="array" ref="E1523">_xlfn.TEXTJOIN(", ",TRUE,_xlfn._xlws.FILTER(ROW(PriceList!$B$4:$B$2641),PriceList!$M$4:$M$2641=A1523,""))</f>
        <v>88</v>
      </c>
      <c r="F1523" s="42" t="str" cm="1">
        <f t="array" ref="F1523">_xlfn.TEXTJOIN(" | ",TRUE,_xlfn.UNIQUE(_xlfn._xlws.FILTER(PriceList!$Q$4:$Q$2641&amp;" x "&amp;PriceList!$R$4:$R$2641&amp;" x "&amp;PriceList!$S$4:$S$2641,PriceList!$M$4:$M$2641=A1523,"")))</f>
        <v>65 x 77 x 6</v>
      </c>
      <c r="G1523" t="str" cm="1">
        <f t="array" ref="G1523">INDEX(_xlfn._xlws.FILTER(PriceList!$P$4:$P$2641,PriceList!$M$4:$M$2641=A1523,""),1)</f>
        <v>HalliteÂ® Type 33</v>
      </c>
    </row>
    <row r="1524" spans="1:7" ht="57" x14ac:dyDescent="0.45">
      <c r="A1524" t="s">
        <v>3749</v>
      </c>
      <c r="B1524">
        <f>COUNTIF(PriceList!$M$4:$M$2641,A1524)</f>
        <v>7</v>
      </c>
      <c r="C1524" t="str">
        <f>IF(B1524=1,"1:1","1:Many")</f>
        <v>1:Many</v>
      </c>
      <c r="D1524" s="42" t="str" cm="1">
        <f t="array" ref="D1524">_xlfn.TEXTJOIN(" | ",TRUE,_xlfn._xlws.FILTER(PriceList!$B$4:$B$2641,PriceList!$M$4:$M$2641=A1524,""))</f>
        <v>DS011-F-070-078-4/7 | DS055-F-0700-0780-0608 | DS055-N-0700-0780-0608 | DS055-U-0700-0780-0608 | DS066-F-0700-0788-060 | DS066-N-0700-0788-060 | DS077-U-0700-0780-0407</v>
      </c>
      <c r="E1524" t="str" cm="1">
        <f t="array" ref="E1524">_xlfn.TEXTJOIN(", ",TRUE,_xlfn._xlws.FILTER(ROW(PriceList!$B$4:$B$2641),PriceList!$M$4:$M$2641=A1524,""))</f>
        <v>29, 294, 333, 375, 415, 458, 501</v>
      </c>
      <c r="F1524" s="42" t="str" cm="1">
        <f t="array" ref="F1524">_xlfn.TEXTJOIN(" | ",TRUE,_xlfn.UNIQUE(_xlfn._xlws.FILTER(PriceList!$Q$4:$Q$2641&amp;" x "&amp;PriceList!$R$4:$R$2641&amp;" x "&amp;PriceList!$S$4:$S$2641,PriceList!$M$4:$M$2641=A1524,"")))</f>
        <v>70 x 78 x 4</v>
      </c>
      <c r="G1524" t="str" cm="1">
        <f t="array" ref="G1524">INDEX(_xlfn._xlws.FILTER(PriceList!$P$4:$P$2641,PriceList!$M$4:$M$2641=A1524,""),1)</f>
        <v>HalliteÂ® Type 846</v>
      </c>
    </row>
    <row r="1525" spans="1:7" ht="42.75" x14ac:dyDescent="0.45">
      <c r="A1525" t="s">
        <v>3748</v>
      </c>
      <c r="B1525">
        <f>COUNTIF(PriceList!$M$4:$M$2641,A1525)</f>
        <v>5</v>
      </c>
      <c r="C1525" t="str">
        <f>IF(B1525=1,"1:1","1:Many")</f>
        <v>1:Many</v>
      </c>
      <c r="D1525" s="42" t="str" cm="1">
        <f t="array" ref="D1525">_xlfn.TEXTJOIN(" | ",TRUE,_xlfn._xlws.FILTER(PriceList!$B$4:$B$2641,PriceList!$M$4:$M$2641=A1525,""))</f>
        <v>DS011-F-0700-0800-0507 | DS011-N-0700-0800-0507 | DS011-U-0700-0800-0507 | DS033-U-0700-0800-0710 | DS088-U-070.0-080.0-7.0</v>
      </c>
      <c r="E1525" t="str" cm="1">
        <f t="array" ref="E1525">_xlfn.TEXTJOIN(", ",TRUE,_xlfn._xlws.FILTER(ROW(PriceList!$B$4:$B$2641),PriceList!$M$4:$M$2641=A1525,""))</f>
        <v>28, 89, 171, 230, 533</v>
      </c>
      <c r="F1525" s="42" t="str" cm="1">
        <f t="array" ref="F1525">_xlfn.TEXTJOIN(" | ",TRUE,_xlfn.UNIQUE(_xlfn._xlws.FILTER(PriceList!$Q$4:$Q$2641&amp;" x "&amp;PriceList!$R$4:$R$2641&amp;" x "&amp;PriceList!$S$4:$S$2641,PriceList!$M$4:$M$2641=A1525,"")))</f>
        <v>70 x 80 x 5</v>
      </c>
      <c r="G1525" t="str" cm="1">
        <f t="array" ref="G1525">INDEX(_xlfn._xlws.FILTER(PriceList!$P$4:$P$2641,PriceList!$M$4:$M$2641=A1525,""),1)</f>
        <v>HalliteÂ® Type 38</v>
      </c>
    </row>
    <row r="1526" spans="1:7" ht="28.5" x14ac:dyDescent="0.45">
      <c r="A1526" t="s">
        <v>3752</v>
      </c>
      <c r="B1526">
        <f>COUNTIF(PriceList!$M$4:$M$2641,A1526)</f>
        <v>4</v>
      </c>
      <c r="C1526" t="str">
        <f>IF(B1526=1,"1:1","1:Many")</f>
        <v>1:Many</v>
      </c>
      <c r="D1526" s="42" t="str" cm="1">
        <f t="array" ref="D1526">_xlfn.TEXTJOIN(" | ",TRUE,_xlfn._xlws.FILTER(PriceList!$B$4:$B$2641,PriceList!$M$4:$M$2641=A1526,""))</f>
        <v>DS011-F-070-082-7/12 | DS044-U-0700-0820-0710 | DS066-F-0700-0822-081 | DS066-N-0700-0822-081</v>
      </c>
      <c r="E1526" t="str" cm="1">
        <f t="array" ref="E1526">_xlfn.TEXTJOIN(", ",TRUE,_xlfn._xlws.FILTER(ROW(PriceList!$B$4:$B$2641),PriceList!$M$4:$M$2641=A1526,""))</f>
        <v>30, 255, 416, 459</v>
      </c>
      <c r="F1526" s="42" t="str" cm="1">
        <f t="array" ref="F1526">_xlfn.TEXTJOIN(" | ",TRUE,_xlfn.UNIQUE(_xlfn._xlws.FILTER(PriceList!$Q$4:$Q$2641&amp;" x "&amp;PriceList!$R$4:$R$2641&amp;" x "&amp;PriceList!$S$4:$S$2641,PriceList!$M$4:$M$2641=A1526,"")))</f>
        <v>70 x 82 x 7</v>
      </c>
      <c r="G1526" t="str" cm="1">
        <f t="array" ref="G1526">INDEX(_xlfn._xlws.FILTER(PriceList!$P$4:$P$2641,PriceList!$M$4:$M$2641=A1526,""),1)</f>
        <v>HalliteÂ® Type 38</v>
      </c>
    </row>
    <row r="1527" spans="1:7" ht="57" x14ac:dyDescent="0.45">
      <c r="A1527" t="s">
        <v>3788</v>
      </c>
      <c r="B1527">
        <f>COUNTIF(PriceList!$M$4:$M$2641,A1527)</f>
        <v>7</v>
      </c>
      <c r="C1527" t="str">
        <f>IF(B1527=1,"1:1","1:Many")</f>
        <v>1:Many</v>
      </c>
      <c r="D1527" s="42" t="str" cm="1">
        <f t="array" ref="D1527">_xlfn.TEXTJOIN(" | ",TRUE,_xlfn._xlws.FILTER(PriceList!$B$4:$B$2641,PriceList!$M$4:$M$2641=A1527,""))</f>
        <v>DS011-N-0750-0830-0406 | DS055-F-0750-0830-0608 | DS055-N-0750-0830-0608 | DS055-U-0750-0830-0608 | DS066-F-0750-0838-060 | DS066-N-0750-0838-060 | DS077-U-0750-0830-0407</v>
      </c>
      <c r="E1527" t="str" cm="1">
        <f t="array" ref="E1527">_xlfn.TEXTJOIN(", ",TRUE,_xlfn._xlws.FILTER(ROW(PriceList!$B$4:$B$2641),PriceList!$M$4:$M$2641=A1527,""))</f>
        <v>90, 295, 334, 376, 417, 460, 502</v>
      </c>
      <c r="F1527" s="42" t="str" cm="1">
        <f t="array" ref="F1527">_xlfn.TEXTJOIN(" | ",TRUE,_xlfn.UNIQUE(_xlfn._xlws.FILTER(PriceList!$Q$4:$Q$2641&amp;" x "&amp;PriceList!$R$4:$R$2641&amp;" x "&amp;PriceList!$S$4:$S$2641,PriceList!$M$4:$M$2641=A1527,"")))</f>
        <v>75 x 83 x 5</v>
      </c>
      <c r="G1527" t="str" cm="1">
        <f t="array" ref="G1527">INDEX(_xlfn._xlws.FILTER(PriceList!$P$4:$P$2641,PriceList!$M$4:$M$2641=A1527,""),1)</f>
        <v>HalliteÂ® Type 38</v>
      </c>
    </row>
    <row r="1528" spans="1:7" x14ac:dyDescent="0.45">
      <c r="A1528" t="s">
        <v>3832</v>
      </c>
      <c r="B1528">
        <f>COUNTIF(PriceList!$M$4:$M$2641,A1528)</f>
        <v>1</v>
      </c>
      <c r="C1528" t="str">
        <f>IF(B1528=1,"1:1","1:Many")</f>
        <v>1:1</v>
      </c>
      <c r="D1528" s="42" t="str" cm="1">
        <f t="array" ref="D1528">_xlfn.TEXTJOIN(" | ",TRUE,_xlfn._xlws.FILTER(PriceList!$B$4:$B$2641,PriceList!$M$4:$M$2641=A1528,""))</f>
        <v>DS033-U-0750-0850-0710</v>
      </c>
      <c r="E1528" t="str" cm="1">
        <f t="array" ref="E1528">_xlfn.TEXTJOIN(", ",TRUE,_xlfn._xlws.FILTER(ROW(PriceList!$B$4:$B$2641),PriceList!$M$4:$M$2641=A1528,""))</f>
        <v>231</v>
      </c>
      <c r="F1528" s="42" t="str" cm="1">
        <f t="array" ref="F1528">_xlfn.TEXTJOIN(" | ",TRUE,_xlfn.UNIQUE(_xlfn._xlws.FILTER(PriceList!$Q$4:$Q$2641&amp;" x "&amp;PriceList!$R$4:$R$2641&amp;" x "&amp;PriceList!$S$4:$S$2641,PriceList!$M$4:$M$2641=A1528,"")))</f>
        <v>75 x 85 x 6</v>
      </c>
      <c r="G1528" t="str" cm="1">
        <f t="array" ref="G1528">INDEX(_xlfn._xlws.FILTER(PriceList!$P$4:$P$2641,PriceList!$M$4:$M$2641=A1528,""),1)</f>
        <v>HalliteÂ® Type 38</v>
      </c>
    </row>
    <row r="1529" spans="1:7" ht="28.5" x14ac:dyDescent="0.45">
      <c r="A1529" t="s">
        <v>3753</v>
      </c>
      <c r="B1529">
        <f>COUNTIF(PriceList!$M$4:$M$2641,A1529)</f>
        <v>4</v>
      </c>
      <c r="C1529" t="str">
        <f>IF(B1529=1,"1:1","1:Many")</f>
        <v>1:Many</v>
      </c>
      <c r="D1529" s="42" t="str" cm="1">
        <f t="array" ref="D1529">_xlfn.TEXTJOIN(" | ",TRUE,_xlfn._xlws.FILTER(PriceList!$B$4:$B$2641,PriceList!$M$4:$M$2641=A1529,""))</f>
        <v>DS011-F-0750-0870-0712 | DS011-N-0750-0870-0712 | DS011-U-0750-0870-0712 | DS066-N-0750-0872-081</v>
      </c>
      <c r="E1529" t="str" cm="1">
        <f t="array" ref="E1529">_xlfn.TEXTJOIN(", ",TRUE,_xlfn._xlws.FILTER(ROW(PriceList!$B$4:$B$2641),PriceList!$M$4:$M$2641=A1529,""))</f>
        <v>31, 91, 172, 461</v>
      </c>
      <c r="F1529" s="42" t="str" cm="1">
        <f t="array" ref="F1529">_xlfn.TEXTJOIN(" | ",TRUE,_xlfn.UNIQUE(_xlfn._xlws.FILTER(PriceList!$Q$4:$Q$2641&amp;" x "&amp;PriceList!$R$4:$R$2641&amp;" x "&amp;PriceList!$S$4:$S$2641,PriceList!$M$4:$M$2641=A1529,"")))</f>
        <v>75 x 87 x 6</v>
      </c>
      <c r="G1529" t="str" cm="1">
        <f t="array" ref="G1529">INDEX(_xlfn._xlws.FILTER(PriceList!$P$4:$P$2641,PriceList!$M$4:$M$2641=A1529,""),1)</f>
        <v>HalliteÂ® Type 33</v>
      </c>
    </row>
    <row r="1530" spans="1:7" x14ac:dyDescent="0.45">
      <c r="A1530" t="s">
        <v>3857</v>
      </c>
      <c r="B1530">
        <f>COUNTIF(PriceList!$M$4:$M$2641,A1530)</f>
        <v>1</v>
      </c>
      <c r="C1530" t="str">
        <f>IF(B1530=1,"1:1","1:Many")</f>
        <v>1:1</v>
      </c>
      <c r="D1530" s="42" t="str" cm="1">
        <f t="array" ref="D1530">_xlfn.TEXTJOIN(" | ",TRUE,_xlfn._xlws.FILTER(PriceList!$B$4:$B$2641,PriceList!$M$4:$M$2641=A1530,""))</f>
        <v>DS044-U-1900-2150-1217</v>
      </c>
      <c r="E1530" t="str" cm="1">
        <f t="array" ref="E1530">_xlfn.TEXTJOIN(", ",TRUE,_xlfn._xlws.FILTER(ROW(PriceList!$B$4:$B$2641),PriceList!$M$4:$M$2641=A1530,""))</f>
        <v>271</v>
      </c>
      <c r="F1530" s="42" t="str" cm="1">
        <f t="array" ref="F1530">_xlfn.TEXTJOIN(" | ",TRUE,_xlfn.UNIQUE(_xlfn._xlws.FILTER(PriceList!$Q$4:$Q$2641&amp;" x "&amp;PriceList!$R$4:$R$2641&amp;" x "&amp;PriceList!$S$4:$S$2641,PriceList!$M$4:$M$2641=A1530,"")))</f>
        <v>190.5 x 215.9 x 6.35</v>
      </c>
      <c r="G1530" t="str" cm="1">
        <f t="array" ref="G1530">INDEX(_xlfn._xlws.FILTER(PriceList!$P$4:$P$2641,PriceList!$M$4:$M$2641=A1530,""),1)</f>
        <v>HalliteÂ® Type 33</v>
      </c>
    </row>
    <row r="1531" spans="1:7" ht="42.75" x14ac:dyDescent="0.45">
      <c r="A1531" t="s">
        <v>3862</v>
      </c>
      <c r="B1531">
        <f>COUNTIF(PriceList!$M$4:$M$2641,A1531)</f>
        <v>6</v>
      </c>
      <c r="C1531" t="str">
        <f>IF(B1531=1,"1:1","1:Many")</f>
        <v>1:Many</v>
      </c>
      <c r="D1531" s="42" t="str" cm="1">
        <f t="array" ref="D1531">_xlfn.TEXTJOIN(" | ",TRUE,_xlfn._xlws.FILTER(PriceList!$B$4:$B$2641,PriceList!$M$4:$M$2641=A1531,""))</f>
        <v>DS055-F-0800-0880-0608 | DS055-N-0800-0880-0608 | DS055-U-0800-0880-0608 | DS066-F-0800-0888-060 | DS066-N-0800-0888-060 | DS077-U-0800-0880-0407</v>
      </c>
      <c r="E1531" t="str" cm="1">
        <f t="array" ref="E1531">_xlfn.TEXTJOIN(", ",TRUE,_xlfn._xlws.FILTER(ROW(PriceList!$B$4:$B$2641),PriceList!$M$4:$M$2641=A1531,""))</f>
        <v>296, 335, 377, 418, 462, 503</v>
      </c>
      <c r="F1531" s="42" t="str" cm="1">
        <f t="array" ref="F1531">_xlfn.TEXTJOIN(" | ",TRUE,_xlfn.UNIQUE(_xlfn._xlws.FILTER(PriceList!$Q$4:$Q$2641&amp;" x "&amp;PriceList!$R$4:$R$2641&amp;" x "&amp;PriceList!$S$4:$S$2641,PriceList!$M$4:$M$2641=A1531,"")))</f>
        <v>80 x 88 x 5</v>
      </c>
      <c r="G1531" t="str" cm="1">
        <f t="array" ref="G1531">INDEX(_xlfn._xlws.FILTER(PriceList!$P$4:$P$2641,PriceList!$M$4:$M$2641=A1531,""),1)</f>
        <v>HalliteÂ® Type 831</v>
      </c>
    </row>
    <row r="1532" spans="1:7" ht="42.75" x14ac:dyDescent="0.45">
      <c r="A1532" t="s">
        <v>3789</v>
      </c>
      <c r="B1532">
        <f>COUNTIF(PriceList!$M$4:$M$2641,A1532)</f>
        <v>4</v>
      </c>
      <c r="C1532" t="str">
        <f>IF(B1532=1,"1:1","1:Many")</f>
        <v>1:Many</v>
      </c>
      <c r="D1532" s="42" t="str" cm="1">
        <f t="array" ref="D1532">_xlfn.TEXTJOIN(" | ",TRUE,_xlfn._xlws.FILTER(PriceList!$B$4:$B$2641,PriceList!$M$4:$M$2641=A1532,""))</f>
        <v>DS011-N-0800-0900-0507 | DS033-U-0800-0900-0710 | DS088-U-080.0-090.0-4.5 | DS088-U-080.0-090.0-7.0-DB</v>
      </c>
      <c r="E1532" t="str" cm="1">
        <f t="array" ref="E1532">_xlfn.TEXTJOIN(", ",TRUE,_xlfn._xlws.FILTER(ROW(PriceList!$B$4:$B$2641),PriceList!$M$4:$M$2641=A1532,""))</f>
        <v>92, 232, 536, 537</v>
      </c>
      <c r="F1532" s="42" t="str" cm="1">
        <f t="array" ref="F1532">_xlfn.TEXTJOIN(" | ",TRUE,_xlfn.UNIQUE(_xlfn._xlws.FILTER(PriceList!$Q$4:$Q$2641&amp;" x "&amp;PriceList!$R$4:$R$2641&amp;" x "&amp;PriceList!$S$4:$S$2641,PriceList!$M$4:$M$2641=A1532,"")))</f>
        <v>80 x 90 x 6</v>
      </c>
      <c r="G1532" t="str" cm="1">
        <f t="array" ref="G1532">INDEX(_xlfn._xlws.FILTER(PriceList!$P$4:$P$2641,PriceList!$M$4:$M$2641=A1532,""),1)</f>
        <v>HalliteÂ® Type 33</v>
      </c>
    </row>
    <row r="1533" spans="1:7" ht="42.75" x14ac:dyDescent="0.45">
      <c r="A1533" t="s">
        <v>3754</v>
      </c>
      <c r="B1533">
        <f>COUNTIF(PriceList!$M$4:$M$2641,A1533)</f>
        <v>5</v>
      </c>
      <c r="C1533" t="str">
        <f>IF(B1533=1,"1:1","1:Many")</f>
        <v>1:Many</v>
      </c>
      <c r="D1533" s="42" t="str" cm="1">
        <f t="array" ref="D1533">_xlfn.TEXTJOIN(" | ",TRUE,_xlfn._xlws.FILTER(PriceList!$B$4:$B$2641,PriceList!$M$4:$M$2641=A1533,""))</f>
        <v>DS011-F-0800-0920-0712 | DS011-N-0800-0920-0712 | DS011-U-0800-0920-0712 | DS044-U-0800-0920-0710 | DS066-N-0800-0922-081</v>
      </c>
      <c r="E1533" t="str" cm="1">
        <f t="array" ref="E1533">_xlfn.TEXTJOIN(", ",TRUE,_xlfn._xlws.FILTER(ROW(PriceList!$B$4:$B$2641),PriceList!$M$4:$M$2641=A1533,""))</f>
        <v>32, 93, 173, 258, 463</v>
      </c>
      <c r="F1533" s="42" t="str" cm="1">
        <f t="array" ref="F1533">_xlfn.TEXTJOIN(" | ",TRUE,_xlfn.UNIQUE(_xlfn._xlws.FILTER(PriceList!$Q$4:$Q$2641&amp;" x "&amp;PriceList!$R$4:$R$2641&amp;" x "&amp;PriceList!$S$4:$S$2641,PriceList!$M$4:$M$2641=A1533,"")))</f>
        <v>80 x 92 x 7.2</v>
      </c>
      <c r="G1533" t="str" cm="1">
        <f t="array" ref="G1533">INDEX(_xlfn._xlws.FILTER(PriceList!$P$4:$P$2641,PriceList!$M$4:$M$2641=A1533,""),1)</f>
        <v>HalliteÂ® Type 38</v>
      </c>
    </row>
    <row r="1534" spans="1:7" x14ac:dyDescent="0.45">
      <c r="A1534" t="s">
        <v>3850</v>
      </c>
      <c r="B1534">
        <f>COUNTIF(PriceList!$M$4:$M$2641,A1534)</f>
        <v>1</v>
      </c>
      <c r="C1534" t="str">
        <f>IF(B1534=1,"1:1","1:Many")</f>
        <v>1:1</v>
      </c>
      <c r="D1534" s="42" t="str" cm="1">
        <f t="array" ref="D1534">_xlfn.TEXTJOIN(" | ",TRUE,_xlfn._xlws.FILTER(PriceList!$B$4:$B$2641,PriceList!$M$4:$M$2641=A1534,""))</f>
        <v>DS044-U-0800-0940-0811</v>
      </c>
      <c r="E1534" t="str" cm="1">
        <f t="array" ref="E1534">_xlfn.TEXTJOIN(", ",TRUE,_xlfn._xlws.FILTER(ROW(PriceList!$B$4:$B$2641),PriceList!$M$4:$M$2641=A1534,""))</f>
        <v>259</v>
      </c>
      <c r="F1534" s="42" t="str" cm="1">
        <f t="array" ref="F1534">_xlfn.TEXTJOIN(" | ",TRUE,_xlfn.UNIQUE(_xlfn._xlws.FILTER(PriceList!$Q$4:$Q$2641&amp;" x "&amp;PriceList!$R$4:$R$2641&amp;" x "&amp;PriceList!$S$4:$S$2641,PriceList!$M$4:$M$2641=A1534,"")))</f>
        <v>80 x 95 x 5</v>
      </c>
      <c r="G1534" t="str" cm="1">
        <f t="array" ref="G1534">INDEX(_xlfn._xlws.FILTER(PriceList!$P$4:$P$2641,PriceList!$M$4:$M$2641=A1534,""),1)</f>
        <v>HalliteÂ® Type 842</v>
      </c>
    </row>
    <row r="1535" spans="1:7" ht="42.75" x14ac:dyDescent="0.45">
      <c r="A1535" t="s">
        <v>3863</v>
      </c>
      <c r="B1535">
        <f>COUNTIF(PriceList!$M$4:$M$2641,A1535)</f>
        <v>6</v>
      </c>
      <c r="C1535" t="str">
        <f>IF(B1535=1,"1:1","1:Many")</f>
        <v>1:Many</v>
      </c>
      <c r="D1535" s="42" t="str" cm="1">
        <f t="array" ref="D1535">_xlfn.TEXTJOIN(" | ",TRUE,_xlfn._xlws.FILTER(PriceList!$B$4:$B$2641,PriceList!$M$4:$M$2641=A1535,""))</f>
        <v>DS055-F-0850-0930-0608 | DS055-N-0850-0930-0608 | DS055-U-0850-0930-0608 | DS066-F-0850-0938-060 | DS066-N-0850-0938-060 | DS077-U-0850-0930-0407</v>
      </c>
      <c r="E1535" t="str" cm="1">
        <f t="array" ref="E1535">_xlfn.TEXTJOIN(", ",TRUE,_xlfn._xlws.FILTER(ROW(PriceList!$B$4:$B$2641),PriceList!$M$4:$M$2641=A1535,""))</f>
        <v>297, 336, 378, 419, 464, 504</v>
      </c>
      <c r="F1535" s="42" t="str" cm="1">
        <f t="array" ref="F1535">_xlfn.TEXTJOIN(" | ",TRUE,_xlfn.UNIQUE(_xlfn._xlws.FILTER(PriceList!$Q$4:$Q$2641&amp;" x "&amp;PriceList!$R$4:$R$2641&amp;" x "&amp;PriceList!$S$4:$S$2641,PriceList!$M$4:$M$2641=A1535,"")))</f>
        <v>85 x 93 x 5</v>
      </c>
      <c r="G1535" t="str" cm="1">
        <f t="array" ref="G1535">INDEX(_xlfn._xlws.FILTER(PriceList!$P$4:$P$2641,PriceList!$M$4:$M$2641=A1535,""),1)</f>
        <v>HalliteÂ® Type 38</v>
      </c>
    </row>
    <row r="1536" spans="1:7" x14ac:dyDescent="0.45">
      <c r="A1536" t="s">
        <v>3818</v>
      </c>
      <c r="B1536">
        <f>COUNTIF(PriceList!$M$4:$M$2641,A1536)</f>
        <v>2</v>
      </c>
      <c r="C1536" t="str">
        <f>IF(B1536=1,"1:1","1:Many")</f>
        <v>1:Many</v>
      </c>
      <c r="D1536" s="42" t="str" cm="1">
        <f t="array" ref="D1536">_xlfn.TEXTJOIN(" | ",TRUE,_xlfn._xlws.FILTER(PriceList!$B$4:$B$2641,PriceList!$M$4:$M$2641=A1536,""))</f>
        <v>DS011-U-0840-0950-0508 | DS033-U-0850-0950-0710</v>
      </c>
      <c r="E1536" t="str" cm="1">
        <f t="array" ref="E1536">_xlfn.TEXTJOIN(", ",TRUE,_xlfn._xlws.FILTER(ROW(PriceList!$B$4:$B$2641),PriceList!$M$4:$M$2641=A1536,""))</f>
        <v>174, 233</v>
      </c>
      <c r="F1536" s="42" t="str" cm="1">
        <f t="array" ref="F1536">_xlfn.TEXTJOIN(" | ",TRUE,_xlfn.UNIQUE(_xlfn._xlws.FILTER(PriceList!$Q$4:$Q$2641&amp;" x "&amp;PriceList!$R$4:$R$2641&amp;" x "&amp;PriceList!$S$4:$S$2641,PriceList!$M$4:$M$2641=A1536,"")))</f>
        <v>85 x 95 x 7</v>
      </c>
      <c r="G1536" t="str" cm="1">
        <f t="array" ref="G1536">INDEX(_xlfn._xlws.FILTER(PriceList!$P$4:$P$2641,PriceList!$M$4:$M$2641=A1536,""),1)</f>
        <v>HalliteÂ® Type 860</v>
      </c>
    </row>
    <row r="1537" spans="1:7" ht="28.5" x14ac:dyDescent="0.45">
      <c r="A1537" t="s">
        <v>3755</v>
      </c>
      <c r="B1537">
        <f>COUNTIF(PriceList!$M$4:$M$2641,A1537)</f>
        <v>4</v>
      </c>
      <c r="C1537" t="str">
        <f>IF(B1537=1,"1:1","1:Many")</f>
        <v>1:Many</v>
      </c>
      <c r="D1537" s="42" t="str" cm="1">
        <f t="array" ref="D1537">_xlfn.TEXTJOIN(" | ",TRUE,_xlfn._xlws.FILTER(PriceList!$B$4:$B$2641,PriceList!$M$4:$M$2641=A1537,""))</f>
        <v>DS011-F-0850-0970-0712 | DS011-N-0850-0970-0712 | DS011-U-0850-0970-0712 | DS066-N-0850-0970-081</v>
      </c>
      <c r="E1537" t="str" cm="1">
        <f t="array" ref="E1537">_xlfn.TEXTJOIN(", ",TRUE,_xlfn._xlws.FILTER(ROW(PriceList!$B$4:$B$2641),PriceList!$M$4:$M$2641=A1537,""))</f>
        <v>33, 94, 175, 465</v>
      </c>
      <c r="F1537" s="42" t="str" cm="1">
        <f t="array" ref="F1537">_xlfn.TEXTJOIN(" | ",TRUE,_xlfn.UNIQUE(_xlfn._xlws.FILTER(PriceList!$Q$4:$Q$2641&amp;" x "&amp;PriceList!$R$4:$R$2641&amp;" x "&amp;PriceList!$S$4:$S$2641,PriceList!$M$4:$M$2641=A1537,"")))</f>
        <v>85 x 97 x 8</v>
      </c>
      <c r="G1537" t="str" cm="1">
        <f t="array" ref="G1537">INDEX(_xlfn._xlws.FILTER(PriceList!$P$4:$P$2641,PriceList!$M$4:$M$2641=A1537,""),1)</f>
        <v>HalliteÂ® Type 842</v>
      </c>
    </row>
    <row r="1538" spans="1:7" ht="42.75" x14ac:dyDescent="0.45">
      <c r="A1538" t="s">
        <v>3833</v>
      </c>
      <c r="B1538">
        <f>COUNTIF(PriceList!$M$4:$M$2641,A1538)</f>
        <v>5</v>
      </c>
      <c r="C1538" t="str">
        <f>IF(B1538=1,"1:1","1:Many")</f>
        <v>1:Many</v>
      </c>
      <c r="D1538" s="42" t="str" cm="1">
        <f t="array" ref="D1538">_xlfn.TEXTJOIN(" | ",TRUE,_xlfn._xlws.FILTER(PriceList!$B$4:$B$2641,PriceList!$M$4:$M$2641=A1538,""))</f>
        <v>DS033-U-0900-1000-0710 | DS044-U-0900-1000-7/9.5 | DS066-F-0900-0988-060 | DS066-N-0900-0988-060 | DS088-U-090.0-100.0-3.2</v>
      </c>
      <c r="E1538" t="str" cm="1">
        <f t="array" ref="E1538">_xlfn.TEXTJOIN(", ",TRUE,_xlfn._xlws.FILTER(ROW(PriceList!$B$4:$B$2641),PriceList!$M$4:$M$2641=A1538,""))</f>
        <v>234, 260, 420, 466, 538</v>
      </c>
      <c r="F1538" s="42" t="str" cm="1">
        <f t="array" ref="F1538">_xlfn.TEXTJOIN(" | ",TRUE,_xlfn.UNIQUE(_xlfn._xlws.FILTER(PriceList!$Q$4:$Q$2641&amp;" x "&amp;PriceList!$R$4:$R$2641&amp;" x "&amp;PriceList!$S$4:$S$2641,PriceList!$M$4:$M$2641=A1538,"")))</f>
        <v>90 x 100 x 6</v>
      </c>
      <c r="G1538" t="str" cm="1">
        <f t="array" ref="G1538">INDEX(_xlfn._xlws.FILTER(PriceList!$P$4:$P$2641,PriceList!$M$4:$M$2641=A1538,""),1)</f>
        <v>HalliteÂ® Type 38</v>
      </c>
    </row>
    <row r="1539" spans="1:7" ht="57" x14ac:dyDescent="0.45">
      <c r="A1539" t="s">
        <v>3756</v>
      </c>
      <c r="B1539">
        <f>COUNTIF(PriceList!$M$4:$M$2641,A1539)</f>
        <v>6</v>
      </c>
      <c r="C1539" t="str">
        <f>IF(B1539=1,"1:1","1:Many")</f>
        <v>1:Many</v>
      </c>
      <c r="D1539" s="42" t="str" cm="1">
        <f t="array" ref="D1539">_xlfn.TEXTJOIN(" | ",TRUE,_xlfn._xlws.FILTER(PriceList!$B$4:$B$2641,PriceList!$M$4:$M$2641=A1539,""))</f>
        <v>DS011-F-0900-1020-0712 | DS011-N-0900-1020-0712 | DS011-U-090-102-7/12 | DS066-F-0900-1020-080 | DS066-N-0900-1022-081 | DS077-U-0900-1022-5.5/7/10</v>
      </c>
      <c r="E1539" t="str" cm="1">
        <f t="array" ref="E1539">_xlfn.TEXTJOIN(", ",TRUE,_xlfn._xlws.FILTER(ROW(PriceList!$B$4:$B$2641),PriceList!$M$4:$M$2641=A1539,""))</f>
        <v>34, 95, 177, 421, 467, 505</v>
      </c>
      <c r="F1539" s="42" t="str" cm="1">
        <f t="array" ref="F1539">_xlfn.TEXTJOIN(" | ",TRUE,_xlfn.UNIQUE(_xlfn._xlws.FILTER(PriceList!$Q$4:$Q$2641&amp;" x "&amp;PriceList!$R$4:$R$2641&amp;" x "&amp;PriceList!$S$4:$S$2641,PriceList!$M$4:$M$2641=A1539,"")))</f>
        <v>90 x 102 x 7</v>
      </c>
      <c r="G1539" t="str" cm="1">
        <f t="array" ref="G1539">INDEX(_xlfn._xlws.FILTER(PriceList!$P$4:$P$2641,PriceList!$M$4:$M$2641=A1539,""),1)</f>
        <v>HalliteÂ® Type 38</v>
      </c>
    </row>
    <row r="1540" spans="1:7" x14ac:dyDescent="0.45">
      <c r="A1540" t="s">
        <v>3851</v>
      </c>
      <c r="B1540">
        <f>COUNTIF(PriceList!$M$4:$M$2641,A1540)</f>
        <v>1</v>
      </c>
      <c r="C1540" t="str">
        <f>IF(B1540=1,"1:1","1:Many")</f>
        <v>1:1</v>
      </c>
      <c r="D1540" s="42" t="str" cm="1">
        <f t="array" ref="D1540">_xlfn.TEXTJOIN(" | ",TRUE,_xlfn._xlws.FILTER(PriceList!$B$4:$B$2641,PriceList!$M$4:$M$2641=A1540,""))</f>
        <v>DS044-U-0900-1040-0811</v>
      </c>
      <c r="E1540" t="str" cm="1">
        <f t="array" ref="E1540">_xlfn.TEXTJOIN(", ",TRUE,_xlfn._xlws.FILTER(ROW(PriceList!$B$4:$B$2641),PriceList!$M$4:$M$2641=A1540,""))</f>
        <v>261</v>
      </c>
      <c r="F1540" s="42" t="str" cm="1">
        <f t="array" ref="F1540">_xlfn.TEXTJOIN(" | ",TRUE,_xlfn.UNIQUE(_xlfn._xlws.FILTER(PriceList!$Q$4:$Q$2641&amp;" x "&amp;PriceList!$R$4:$R$2641&amp;" x "&amp;PriceList!$S$4:$S$2641,PriceList!$M$4:$M$2641=A1540,"")))</f>
        <v>90 x 103 x 8</v>
      </c>
      <c r="G1540" t="str" cm="1">
        <f t="array" ref="G1540">INDEX(_xlfn._xlws.FILTER(PriceList!$P$4:$P$2641,PriceList!$M$4:$M$2641=A1540,""),1)</f>
        <v>HalliteÂ® Type 842</v>
      </c>
    </row>
    <row r="1541" spans="1:7" x14ac:dyDescent="0.45">
      <c r="A1541" t="s">
        <v>3820</v>
      </c>
      <c r="B1541">
        <f>COUNTIF(PriceList!$M$4:$M$2641,A1541)</f>
        <v>1</v>
      </c>
      <c r="C1541" t="str">
        <f>IF(B1541=1,"1:1","1:Many")</f>
        <v>1:1</v>
      </c>
      <c r="D1541" s="42" t="str" cm="1">
        <f t="array" ref="D1541">_xlfn.TEXTJOIN(" | ",TRUE,_xlfn._xlws.FILTER(PriceList!$B$4:$B$2641,PriceList!$M$4:$M$2641=A1541,""))</f>
        <v>DS011-U-0900-1050-0712</v>
      </c>
      <c r="E1541" t="str" cm="1">
        <f t="array" ref="E1541">_xlfn.TEXTJOIN(", ",TRUE,_xlfn._xlws.FILTER(ROW(PriceList!$B$4:$B$2641),PriceList!$M$4:$M$2641=A1541,""))</f>
        <v>176</v>
      </c>
      <c r="F1541" s="42" t="str" cm="1">
        <f t="array" ref="F1541">_xlfn.TEXTJOIN(" | ",TRUE,_xlfn.UNIQUE(_xlfn._xlws.FILTER(PriceList!$Q$4:$Q$2641&amp;" x "&amp;PriceList!$R$4:$R$2641&amp;" x "&amp;PriceList!$S$4:$S$2641,PriceList!$M$4:$M$2641=A1541,"")))</f>
        <v>90 x 105 x 5.1</v>
      </c>
      <c r="G1541" t="str" cm="1">
        <f t="array" ref="G1541">INDEX(_xlfn._xlws.FILTER(PriceList!$P$4:$P$2641,PriceList!$M$4:$M$2641=A1541,""),1)</f>
        <v>HalliteÂ® Type 842</v>
      </c>
    </row>
    <row r="1542" spans="1:7" ht="28.5" x14ac:dyDescent="0.45">
      <c r="A1542" t="s">
        <v>3757</v>
      </c>
      <c r="B1542">
        <f>COUNTIF(PriceList!$M$4:$M$2641,A1542)</f>
        <v>4</v>
      </c>
      <c r="C1542" t="str">
        <f>IF(B1542=1,"1:1","1:Many")</f>
        <v>1:Many</v>
      </c>
      <c r="D1542" s="42" t="str" cm="1">
        <f t="array" ref="D1542">_xlfn.TEXTJOIN(" | ",TRUE,_xlfn._xlws.FILTER(PriceList!$B$4:$B$2641,PriceList!$M$4:$M$2641=A1542,""))</f>
        <v>DS011-F-0950-1070-0712 | DS011-U-0950-1070-0712 | DS044-U-095-107-9/13 | DS066-N-0950-1072-081</v>
      </c>
      <c r="E1542" t="str" cm="1">
        <f t="array" ref="E1542">_xlfn.TEXTJOIN(", ",TRUE,_xlfn._xlws.FILTER(ROW(PriceList!$B$4:$B$2641),PriceList!$M$4:$M$2641=A1542,""))</f>
        <v>35, 178, 263, 469</v>
      </c>
      <c r="F1542" s="42" t="str" cm="1">
        <f t="array" ref="F1542">_xlfn.TEXTJOIN(" | ",TRUE,_xlfn.UNIQUE(_xlfn._xlws.FILTER(PriceList!$Q$4:$Q$2641&amp;" x "&amp;PriceList!$R$4:$R$2641&amp;" x "&amp;PriceList!$S$4:$S$2641,PriceList!$M$4:$M$2641=A1542,"")))</f>
        <v>95 x 107 x 7</v>
      </c>
      <c r="G1542" t="str" cm="1">
        <f t="array" ref="G1542">INDEX(_xlfn._xlws.FILTER(PriceList!$P$4:$P$2641,PriceList!$M$4:$M$2641=A1542,""),1)</f>
        <v>HalliteÂ® Type 38</v>
      </c>
    </row>
    <row r="1543" spans="1:7" x14ac:dyDescent="0.45">
      <c r="A1543" t="s">
        <v>3852</v>
      </c>
      <c r="B1543">
        <f>COUNTIF(PriceList!$M$4:$M$2641,A1543)</f>
        <v>1</v>
      </c>
      <c r="C1543" t="str">
        <f>IF(B1543=1,"1:1","1:Many")</f>
        <v>1:1</v>
      </c>
      <c r="D1543" s="42" t="str" cm="1">
        <f t="array" ref="D1543">_xlfn.TEXTJOIN(" | ",TRUE,_xlfn._xlws.FILTER(PriceList!$B$4:$B$2641,PriceList!$M$4:$M$2641=A1543,""))</f>
        <v>DS044-U-0950-1090-0811</v>
      </c>
      <c r="E1543" t="str" cm="1">
        <f t="array" ref="E1543">_xlfn.TEXTJOIN(", ",TRUE,_xlfn._xlws.FILTER(ROW(PriceList!$B$4:$B$2641),PriceList!$M$4:$M$2641=A1543,""))</f>
        <v>262</v>
      </c>
      <c r="F1543" s="42" t="str" cm="1">
        <f t="array" ref="F1543">_xlfn.TEXTJOIN(" | ",TRUE,_xlfn.UNIQUE(_xlfn._xlws.FILTER(PriceList!$Q$4:$Q$2641&amp;" x "&amp;PriceList!$R$4:$R$2641&amp;" x "&amp;PriceList!$S$4:$S$2641,PriceList!$M$4:$M$2641=A1543,"")))</f>
        <v>95 x 110 x 9.5</v>
      </c>
      <c r="G1543" t="str" cm="1">
        <f t="array" ref="G1543">INDEX(_xlfn._xlws.FILTER(PriceList!$P$4:$P$2641,PriceList!$M$4:$M$2641=A1543,""),1)</f>
        <v>HalliteÂ® Type 842</v>
      </c>
    </row>
    <row r="1544" spans="1:7" ht="57" x14ac:dyDescent="0.45">
      <c r="A1544" t="s">
        <v>3834</v>
      </c>
      <c r="B1544">
        <f>COUNTIF(PriceList!$M$4:$M$2641,A1544)</f>
        <v>7</v>
      </c>
      <c r="C1544" t="str">
        <f>IF(B1544=1,"1:1","1:Many")</f>
        <v>1:Many</v>
      </c>
      <c r="D1544" s="42" t="str" cm="1">
        <f t="array" ref="D1544">_xlfn.TEXTJOIN(" | ",TRUE,_xlfn._xlws.FILTER(PriceList!$B$4:$B$2641,PriceList!$M$4:$M$2641=A1544,""))</f>
        <v>DS033-U-0950-1050-0710 | DS055-F-0950-1030-0608 | DS055-N-0950-1030-0608 | DS055-U-0950-1030-0608 | DS066-F-0950-1038-060 | DS066-N-0950-1038-060 | DS077-U-0950-1030-0407</v>
      </c>
      <c r="E1544" t="str" cm="1">
        <f t="array" ref="E1544">_xlfn.TEXTJOIN(", ",TRUE,_xlfn._xlws.FILTER(ROW(PriceList!$B$4:$B$2641),PriceList!$M$4:$M$2641=A1544,""))</f>
        <v>235, 298, 338, 379, 422, 468, 506</v>
      </c>
      <c r="F1544" s="42" t="str" cm="1">
        <f t="array" ref="F1544">_xlfn.TEXTJOIN(" | ",TRUE,_xlfn.UNIQUE(_xlfn._xlws.FILTER(PriceList!$Q$4:$Q$2641&amp;" x "&amp;PriceList!$R$4:$R$2641&amp;" x "&amp;PriceList!$S$4:$S$2641,PriceList!$M$4:$M$2641=A1544,"")))</f>
        <v>96 x 104 x 7.6</v>
      </c>
      <c r="G1544" t="str" cm="1">
        <f t="array" ref="G1544">INDEX(_xlfn._xlws.FILTER(PriceList!$P$4:$P$2641,PriceList!$M$4:$M$2641=A1544,""),1)</f>
        <v>HalliteÂ® Type 38</v>
      </c>
    </row>
  </sheetData>
  <mergeCells count="1">
    <mergeCell ref="A1:G1"/>
  </mergeCells>
  <conditionalFormatting sqref="C13:C1544">
    <cfRule type="containsText" dxfId="0" priority="1" operator="containsText" text="1:Many">
      <formula>NOT(ISERROR(SEARCH("1:Many",C13)))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PriceList</vt:lpstr>
      <vt:lpstr>SKU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Amar Jaiswal</cp:lastModifiedBy>
  <dcterms:created xsi:type="dcterms:W3CDTF">2026-04-27T22:37:40Z</dcterms:created>
  <dcterms:modified xsi:type="dcterms:W3CDTF">2026-07-02T00:30:32Z</dcterms:modified>
</cp:coreProperties>
</file>